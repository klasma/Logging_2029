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46012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46012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46012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46012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46012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46012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46012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46012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46012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46012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46012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46012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46012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46012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46012</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46012</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46012</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46012</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46012</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46012</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46012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62861-2025</t>
        </is>
      </c>
      <c r="B23" s="1" t="n">
        <v>46008.77298611111</v>
      </c>
      <c r="C23" s="1" t="n">
        <v>46012</v>
      </c>
      <c r="D23" t="inlineStr">
        <is>
          <t>DALARNAS LÄN</t>
        </is>
      </c>
      <c r="E23" t="inlineStr">
        <is>
          <t>LEKSAND</t>
        </is>
      </c>
      <c r="G23" t="n">
        <v>6</v>
      </c>
      <c r="H23" t="n">
        <v>0</v>
      </c>
      <c r="I23" t="n">
        <v>2</v>
      </c>
      <c r="J23" t="n">
        <v>1</v>
      </c>
      <c r="K23" t="n">
        <v>0</v>
      </c>
      <c r="L23" t="n">
        <v>0</v>
      </c>
      <c r="M23" t="n">
        <v>0</v>
      </c>
      <c r="N23" t="n">
        <v>0</v>
      </c>
      <c r="O23" t="n">
        <v>1</v>
      </c>
      <c r="P23" t="n">
        <v>0</v>
      </c>
      <c r="Q23" t="n">
        <v>3</v>
      </c>
      <c r="R23" s="2" t="inlineStr">
        <is>
          <t>Garnlav
Bronshjon
Mindre märgborre</t>
        </is>
      </c>
      <c r="S23">
        <f>HYPERLINK("https://klasma.github.io/Logging_2029/artfynd/A 62861-2025 artfynd.xlsx", "A 62861-2025")</f>
        <v/>
      </c>
      <c r="T23">
        <f>HYPERLINK("https://klasma.github.io/Logging_2029/kartor/A 62861-2025 karta.png", "A 62861-2025")</f>
        <v/>
      </c>
      <c r="V23">
        <f>HYPERLINK("https://klasma.github.io/Logging_2029/klagomål/A 62861-2025 FSC-klagomål.docx", "A 62861-2025")</f>
        <v/>
      </c>
      <c r="W23">
        <f>HYPERLINK("https://klasma.github.io/Logging_2029/klagomålsmail/A 62861-2025 FSC-klagomål mail.docx", "A 62861-2025")</f>
        <v/>
      </c>
      <c r="X23">
        <f>HYPERLINK("https://klasma.github.io/Logging_2029/tillsyn/A 62861-2025 tillsynsbegäran.docx", "A 62861-2025")</f>
        <v/>
      </c>
      <c r="Y23">
        <f>HYPERLINK("https://klasma.github.io/Logging_2029/tillsynsmail/A 62861-2025 tillsynsbegäran mail.docx", "A 62861-2025")</f>
        <v/>
      </c>
    </row>
    <row r="24" ht="15" customHeight="1">
      <c r="A24" t="inlineStr">
        <is>
          <t>A 37399-2023</t>
        </is>
      </c>
      <c r="B24" s="1" t="n">
        <v>45156</v>
      </c>
      <c r="C24" s="1" t="n">
        <v>46012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9408-2024</t>
        </is>
      </c>
      <c r="B25" s="1" t="n">
        <v>45358</v>
      </c>
      <c r="C25" s="1" t="n">
        <v>46012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46012</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46012</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46012</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18860-2025</t>
        </is>
      </c>
      <c r="B29" s="1" t="n">
        <v>45764.42738425926</v>
      </c>
      <c r="C29" s="1" t="n">
        <v>46012</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55519-2021</t>
        </is>
      </c>
      <c r="B30" s="1" t="n">
        <v>44475</v>
      </c>
      <c r="C30" s="1" t="n">
        <v>46012</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41718-2021</t>
        </is>
      </c>
      <c r="B31" s="1" t="n">
        <v>44425</v>
      </c>
      <c r="C31" s="1" t="n">
        <v>46012</v>
      </c>
      <c r="D31" t="inlineStr">
        <is>
          <t>DALARNAS LÄN</t>
        </is>
      </c>
      <c r="E31" t="inlineStr">
        <is>
          <t>LEKSAND</t>
        </is>
      </c>
      <c r="F31" t="inlineStr">
        <is>
          <t>Bergvik skog väst AB</t>
        </is>
      </c>
      <c r="G31" t="n">
        <v>5.7</v>
      </c>
      <c r="H31" t="n">
        <v>0</v>
      </c>
      <c r="I31" t="n">
        <v>0</v>
      </c>
      <c r="J31" t="n">
        <v>1</v>
      </c>
      <c r="K31" t="n">
        <v>0</v>
      </c>
      <c r="L31" t="n">
        <v>0</v>
      </c>
      <c r="M31" t="n">
        <v>0</v>
      </c>
      <c r="N31" t="n">
        <v>0</v>
      </c>
      <c r="O31" t="n">
        <v>1</v>
      </c>
      <c r="P31" t="n">
        <v>0</v>
      </c>
      <c r="Q31" t="n">
        <v>1</v>
      </c>
      <c r="R31" s="2" t="inlineStr">
        <is>
          <t>Garnlav</t>
        </is>
      </c>
      <c r="S31">
        <f>HYPERLINK("https://klasma.github.io/Logging_2029/artfynd/A 41718-2021 artfynd.xlsx", "A 41718-2021")</f>
        <v/>
      </c>
      <c r="T31">
        <f>HYPERLINK("https://klasma.github.io/Logging_2029/kartor/A 41718-2021 karta.png", "A 41718-2021")</f>
        <v/>
      </c>
      <c r="V31">
        <f>HYPERLINK("https://klasma.github.io/Logging_2029/klagomål/A 41718-2021 FSC-klagomål.docx", "A 41718-2021")</f>
        <v/>
      </c>
      <c r="W31">
        <f>HYPERLINK("https://klasma.github.io/Logging_2029/klagomålsmail/A 41718-2021 FSC-klagomål mail.docx", "A 41718-2021")</f>
        <v/>
      </c>
      <c r="X31">
        <f>HYPERLINK("https://klasma.github.io/Logging_2029/tillsyn/A 41718-2021 tillsynsbegäran.docx", "A 41718-2021")</f>
        <v/>
      </c>
      <c r="Y31">
        <f>HYPERLINK("https://klasma.github.io/Logging_2029/tillsynsmail/A 41718-2021 tillsynsbegäran mail.docx", "A 41718-2021")</f>
        <v/>
      </c>
    </row>
    <row r="32" ht="15" customHeight="1">
      <c r="A32" t="inlineStr">
        <is>
          <t>A 164-2024</t>
        </is>
      </c>
      <c r="B32" s="1" t="n">
        <v>45294.49954861111</v>
      </c>
      <c r="C32" s="1" t="n">
        <v>46012</v>
      </c>
      <c r="D32" t="inlineStr">
        <is>
          <t>DALARNAS LÄN</t>
        </is>
      </c>
      <c r="E32" t="inlineStr">
        <is>
          <t>LEKSAND</t>
        </is>
      </c>
      <c r="G32" t="n">
        <v>3.7</v>
      </c>
      <c r="H32" t="n">
        <v>1</v>
      </c>
      <c r="I32" t="n">
        <v>0</v>
      </c>
      <c r="J32" t="n">
        <v>1</v>
      </c>
      <c r="K32" t="n">
        <v>0</v>
      </c>
      <c r="L32" t="n">
        <v>0</v>
      </c>
      <c r="M32" t="n">
        <v>0</v>
      </c>
      <c r="N32" t="n">
        <v>0</v>
      </c>
      <c r="O32" t="n">
        <v>1</v>
      </c>
      <c r="P32" t="n">
        <v>0</v>
      </c>
      <c r="Q32" t="n">
        <v>1</v>
      </c>
      <c r="R32" s="2" t="inlineStr">
        <is>
          <t>Järpe</t>
        </is>
      </c>
      <c r="S32">
        <f>HYPERLINK("https://klasma.github.io/Logging_2029/artfynd/A 164-2024 artfynd.xlsx", "A 164-2024")</f>
        <v/>
      </c>
      <c r="T32">
        <f>HYPERLINK("https://klasma.github.io/Logging_2029/kartor/A 164-2024 karta.png", "A 164-2024")</f>
        <v/>
      </c>
      <c r="V32">
        <f>HYPERLINK("https://klasma.github.io/Logging_2029/klagomål/A 164-2024 FSC-klagomål.docx", "A 164-2024")</f>
        <v/>
      </c>
      <c r="W32">
        <f>HYPERLINK("https://klasma.github.io/Logging_2029/klagomålsmail/A 164-2024 FSC-klagomål mail.docx", "A 164-2024")</f>
        <v/>
      </c>
      <c r="X32">
        <f>HYPERLINK("https://klasma.github.io/Logging_2029/tillsyn/A 164-2024 tillsynsbegäran.docx", "A 164-2024")</f>
        <v/>
      </c>
      <c r="Y32">
        <f>HYPERLINK("https://klasma.github.io/Logging_2029/tillsynsmail/A 164-2024 tillsynsbegäran mail.docx", "A 164-2024")</f>
        <v/>
      </c>
      <c r="Z32">
        <f>HYPERLINK("https://klasma.github.io/Logging_2029/fåglar/A 164-2024 prioriterade fågelarter.docx", "A 164-2024")</f>
        <v/>
      </c>
    </row>
    <row r="33" ht="15" customHeight="1">
      <c r="A33" t="inlineStr">
        <is>
          <t>A 31951-2025</t>
        </is>
      </c>
      <c r="B33" s="1" t="n">
        <v>45835.33481481481</v>
      </c>
      <c r="C33" s="1" t="n">
        <v>46012</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45375-2025</t>
        </is>
      </c>
      <c r="B34" s="1" t="n">
        <v>45922.39347222223</v>
      </c>
      <c r="C34" s="1" t="n">
        <v>46012</v>
      </c>
      <c r="D34" t="inlineStr">
        <is>
          <t>DALARNAS LÄN</t>
        </is>
      </c>
      <c r="E34" t="inlineStr">
        <is>
          <t>LEKSAND</t>
        </is>
      </c>
      <c r="G34" t="n">
        <v>4.3</v>
      </c>
      <c r="H34" t="n">
        <v>1</v>
      </c>
      <c r="I34" t="n">
        <v>0</v>
      </c>
      <c r="J34" t="n">
        <v>0</v>
      </c>
      <c r="K34" t="n">
        <v>0</v>
      </c>
      <c r="L34" t="n">
        <v>1</v>
      </c>
      <c r="M34" t="n">
        <v>0</v>
      </c>
      <c r="N34" t="n">
        <v>0</v>
      </c>
      <c r="O34" t="n">
        <v>1</v>
      </c>
      <c r="P34" t="n">
        <v>1</v>
      </c>
      <c r="Q34" t="n">
        <v>1</v>
      </c>
      <c r="R34" s="2" t="inlineStr">
        <is>
          <t>Mosippa</t>
        </is>
      </c>
      <c r="S34">
        <f>HYPERLINK("https://klasma.github.io/Logging_2029/artfynd/A 45375-2025 artfynd.xlsx", "A 45375-2025")</f>
        <v/>
      </c>
      <c r="T34">
        <f>HYPERLINK("https://klasma.github.io/Logging_2029/kartor/A 45375-2025 karta.png", "A 45375-2025")</f>
        <v/>
      </c>
      <c r="V34">
        <f>HYPERLINK("https://klasma.github.io/Logging_2029/klagomål/A 45375-2025 FSC-klagomål.docx", "A 45375-2025")</f>
        <v/>
      </c>
      <c r="W34">
        <f>HYPERLINK("https://klasma.github.io/Logging_2029/klagomålsmail/A 45375-2025 FSC-klagomål mail.docx", "A 45375-2025")</f>
        <v/>
      </c>
      <c r="X34">
        <f>HYPERLINK("https://klasma.github.io/Logging_2029/tillsyn/A 45375-2025 tillsynsbegäran.docx", "A 45375-2025")</f>
        <v/>
      </c>
      <c r="Y34">
        <f>HYPERLINK("https://klasma.github.io/Logging_2029/tillsynsmail/A 45375-2025 tillsynsbegäran mail.docx", "A 45375-2025")</f>
        <v/>
      </c>
    </row>
    <row r="35" ht="15" customHeight="1">
      <c r="A35" t="inlineStr">
        <is>
          <t>A 34993-2025</t>
        </is>
      </c>
      <c r="B35" s="1" t="n">
        <v>45849.82383101852</v>
      </c>
      <c r="C35" s="1" t="n">
        <v>46012</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46012</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47601-2025</t>
        </is>
      </c>
      <c r="B37" s="1" t="n">
        <v>45931.46008101852</v>
      </c>
      <c r="C37" s="1" t="n">
        <v>46012</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53633-2024</t>
        </is>
      </c>
      <c r="B38" s="1" t="n">
        <v>45614.83726851852</v>
      </c>
      <c r="C38" s="1" t="n">
        <v>46012</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41873-2022</t>
        </is>
      </c>
      <c r="B39" s="1" t="n">
        <v>44829</v>
      </c>
      <c r="C39" s="1" t="n">
        <v>46012</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4974-2025</t>
        </is>
      </c>
      <c r="B40" s="1" t="n">
        <v>45690.8478587963</v>
      </c>
      <c r="C40" s="1" t="n">
        <v>46012</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16333-2023</t>
        </is>
      </c>
      <c r="B41" s="1" t="n">
        <v>45028</v>
      </c>
      <c r="C41" s="1" t="n">
        <v>46012</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26287-2023</t>
        </is>
      </c>
      <c r="B42" s="1" t="n">
        <v>45091</v>
      </c>
      <c r="C42" s="1" t="n">
        <v>46012</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36778-2025</t>
        </is>
      </c>
      <c r="B43" s="1" t="n">
        <v>45873</v>
      </c>
      <c r="C43" s="1" t="n">
        <v>46012</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11218-2023</t>
        </is>
      </c>
      <c r="B44" s="1" t="n">
        <v>44992.62401620371</v>
      </c>
      <c r="C44" s="1" t="n">
        <v>46012</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55633-2024</t>
        </is>
      </c>
      <c r="B45" s="1" t="n">
        <v>45621</v>
      </c>
      <c r="C45" s="1" t="n">
        <v>46012</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52600-2024</t>
        </is>
      </c>
      <c r="B46" s="1" t="n">
        <v>45609</v>
      </c>
      <c r="C46" s="1" t="n">
        <v>46012</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59205-2023</t>
        </is>
      </c>
      <c r="B47" s="1" t="n">
        <v>45251</v>
      </c>
      <c r="C47" s="1" t="n">
        <v>46012</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6029-2025</t>
        </is>
      </c>
      <c r="B48" s="1" t="n">
        <v>45695</v>
      </c>
      <c r="C48" s="1" t="n">
        <v>46012</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16735-2025</t>
        </is>
      </c>
      <c r="B49" s="1" t="n">
        <v>45754.54314814815</v>
      </c>
      <c r="C49" s="1" t="n">
        <v>46012</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23137-2022</t>
        </is>
      </c>
      <c r="B50" s="1" t="n">
        <v>44719</v>
      </c>
      <c r="C50" s="1" t="n">
        <v>46012</v>
      </c>
      <c r="D50" t="inlineStr">
        <is>
          <t>DALARNAS LÄN</t>
        </is>
      </c>
      <c r="E50" t="inlineStr">
        <is>
          <t>LEKSAND</t>
        </is>
      </c>
      <c r="G50" t="n">
        <v>3</v>
      </c>
      <c r="H50" t="n">
        <v>0</v>
      </c>
      <c r="I50" t="n">
        <v>0</v>
      </c>
      <c r="J50" t="n">
        <v>0</v>
      </c>
      <c r="K50" t="n">
        <v>1</v>
      </c>
      <c r="L50" t="n">
        <v>0</v>
      </c>
      <c r="M50" t="n">
        <v>0</v>
      </c>
      <c r="N50" t="n">
        <v>0</v>
      </c>
      <c r="O50" t="n">
        <v>1</v>
      </c>
      <c r="P50" t="n">
        <v>1</v>
      </c>
      <c r="Q50" t="n">
        <v>1</v>
      </c>
      <c r="R50" s="2" t="inlineStr">
        <is>
          <t>Koppartaggsvamp</t>
        </is>
      </c>
      <c r="S50">
        <f>HYPERLINK("https://klasma.github.io/Logging_2029/artfynd/A 23137-2022 artfynd.xlsx", "A 23137-2022")</f>
        <v/>
      </c>
      <c r="T50">
        <f>HYPERLINK("https://klasma.github.io/Logging_2029/kartor/A 23137-2022 karta.png", "A 23137-2022")</f>
        <v/>
      </c>
      <c r="V50">
        <f>HYPERLINK("https://klasma.github.io/Logging_2029/klagomål/A 23137-2022 FSC-klagomål.docx", "A 23137-2022")</f>
        <v/>
      </c>
      <c r="W50">
        <f>HYPERLINK("https://klasma.github.io/Logging_2029/klagomålsmail/A 23137-2022 FSC-klagomål mail.docx", "A 23137-2022")</f>
        <v/>
      </c>
      <c r="X50">
        <f>HYPERLINK("https://klasma.github.io/Logging_2029/tillsyn/A 23137-2022 tillsynsbegäran.docx", "A 23137-2022")</f>
        <v/>
      </c>
      <c r="Y50">
        <f>HYPERLINK("https://klasma.github.io/Logging_2029/tillsynsmail/A 23137-2022 tillsynsbegäran mail.docx", "A 23137-2022")</f>
        <v/>
      </c>
    </row>
    <row r="51" ht="15" customHeight="1">
      <c r="A51" t="inlineStr">
        <is>
          <t>A 31124-2024</t>
        </is>
      </c>
      <c r="B51" s="1" t="n">
        <v>45502.62886574074</v>
      </c>
      <c r="C51" s="1" t="n">
        <v>46012</v>
      </c>
      <c r="D51" t="inlineStr">
        <is>
          <t>DALARNAS LÄN</t>
        </is>
      </c>
      <c r="E51" t="inlineStr">
        <is>
          <t>LEKSAND</t>
        </is>
      </c>
      <c r="G51" t="n">
        <v>1.9</v>
      </c>
      <c r="H51" t="n">
        <v>1</v>
      </c>
      <c r="I51" t="n">
        <v>0</v>
      </c>
      <c r="J51" t="n">
        <v>0</v>
      </c>
      <c r="K51" t="n">
        <v>1</v>
      </c>
      <c r="L51" t="n">
        <v>0</v>
      </c>
      <c r="M51" t="n">
        <v>0</v>
      </c>
      <c r="N51" t="n">
        <v>0</v>
      </c>
      <c r="O51" t="n">
        <v>1</v>
      </c>
      <c r="P51" t="n">
        <v>1</v>
      </c>
      <c r="Q51" t="n">
        <v>1</v>
      </c>
      <c r="R51" s="2" t="inlineStr">
        <is>
          <t>Väddnätfjäril</t>
        </is>
      </c>
      <c r="S51">
        <f>HYPERLINK("https://klasma.github.io/Logging_2029/artfynd/A 31124-2024 artfynd.xlsx", "A 31124-2024")</f>
        <v/>
      </c>
      <c r="T51">
        <f>HYPERLINK("https://klasma.github.io/Logging_2029/kartor/A 31124-2024 karta.png", "A 31124-2024")</f>
        <v/>
      </c>
      <c r="V51">
        <f>HYPERLINK("https://klasma.github.io/Logging_2029/klagomål/A 31124-2024 FSC-klagomål.docx", "A 31124-2024")</f>
        <v/>
      </c>
      <c r="W51">
        <f>HYPERLINK("https://klasma.github.io/Logging_2029/klagomålsmail/A 31124-2024 FSC-klagomål mail.docx", "A 31124-2024")</f>
        <v/>
      </c>
      <c r="X51">
        <f>HYPERLINK("https://klasma.github.io/Logging_2029/tillsyn/A 31124-2024 tillsynsbegäran.docx", "A 31124-2024")</f>
        <v/>
      </c>
      <c r="Y51">
        <f>HYPERLINK("https://klasma.github.io/Logging_2029/tillsynsmail/A 31124-2024 tillsynsbegäran mail.docx", "A 31124-2024")</f>
        <v/>
      </c>
    </row>
    <row r="52" ht="15" customHeight="1">
      <c r="A52" t="inlineStr">
        <is>
          <t>A 1078-2021</t>
        </is>
      </c>
      <c r="B52" s="1" t="n">
        <v>44207</v>
      </c>
      <c r="C52" s="1" t="n">
        <v>46012</v>
      </c>
      <c r="D52" t="inlineStr">
        <is>
          <t>DALARNAS LÄN</t>
        </is>
      </c>
      <c r="E52" t="inlineStr">
        <is>
          <t>LEKSAND</t>
        </is>
      </c>
      <c r="G52" t="n">
        <v>4.9</v>
      </c>
      <c r="H52" t="n">
        <v>0</v>
      </c>
      <c r="I52" t="n">
        <v>0</v>
      </c>
      <c r="J52" t="n">
        <v>0</v>
      </c>
      <c r="K52" t="n">
        <v>0</v>
      </c>
      <c r="L52" t="n">
        <v>0</v>
      </c>
      <c r="M52" t="n">
        <v>0</v>
      </c>
      <c r="N52" t="n">
        <v>0</v>
      </c>
      <c r="O52" t="n">
        <v>0</v>
      </c>
      <c r="P52" t="n">
        <v>0</v>
      </c>
      <c r="Q52" t="n">
        <v>0</v>
      </c>
      <c r="R52" s="2" t="inlineStr"/>
    </row>
    <row r="53" ht="15" customHeight="1">
      <c r="A53" t="inlineStr">
        <is>
          <t>A 36438-2021</t>
        </is>
      </c>
      <c r="B53" s="1" t="n">
        <v>44390.91288194444</v>
      </c>
      <c r="C53" s="1" t="n">
        <v>46012</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46012</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46012</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46012</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46012</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46012</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46012</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46012</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46012</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46012</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46012</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46012</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46012</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46012</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46012</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46012</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46012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46012</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46012</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46012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46012</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46012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46012</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46012</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46012</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46012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46012</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46012</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46012</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46012</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46012</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46012</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46012</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46012</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46012</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46012</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46012</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46012</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46012</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46012</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46012</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46012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46012</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46012</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46012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46012</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46012</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46012</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46012</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46012</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46012</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46012</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46012</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46012</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46012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46012</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46012</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46012</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46012</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28128-2022</t>
        </is>
      </c>
      <c r="B112" s="1" t="n">
        <v>44746.50628472222</v>
      </c>
      <c r="C112" s="1" t="n">
        <v>46012</v>
      </c>
      <c r="D112" t="inlineStr">
        <is>
          <t>DALARNAS LÄN</t>
        </is>
      </c>
      <c r="E112" t="inlineStr">
        <is>
          <t>LEKSAND</t>
        </is>
      </c>
      <c r="G112" t="n">
        <v>3.5</v>
      </c>
      <c r="H112" t="n">
        <v>0</v>
      </c>
      <c r="I112" t="n">
        <v>0</v>
      </c>
      <c r="J112" t="n">
        <v>0</v>
      </c>
      <c r="K112" t="n">
        <v>0</v>
      </c>
      <c r="L112" t="n">
        <v>0</v>
      </c>
      <c r="M112" t="n">
        <v>0</v>
      </c>
      <c r="N112" t="n">
        <v>0</v>
      </c>
      <c r="O112" t="n">
        <v>0</v>
      </c>
      <c r="P112" t="n">
        <v>0</v>
      </c>
      <c r="Q112" t="n">
        <v>0</v>
      </c>
      <c r="R112" s="2" t="inlineStr"/>
    </row>
    <row r="113" ht="15" customHeight="1">
      <c r="A113" t="inlineStr">
        <is>
          <t>A 14797-2025</t>
        </is>
      </c>
      <c r="B113" s="1" t="n">
        <v>45742.90363425926</v>
      </c>
      <c r="C113" s="1" t="n">
        <v>46012</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19559-2023</t>
        </is>
      </c>
      <c r="B114" s="1" t="n">
        <v>45050</v>
      </c>
      <c r="C114" s="1" t="n">
        <v>46012</v>
      </c>
      <c r="D114" t="inlineStr">
        <is>
          <t>DALARNAS LÄN</t>
        </is>
      </c>
      <c r="E114" t="inlineStr">
        <is>
          <t>LEKSAND</t>
        </is>
      </c>
      <c r="G114" t="n">
        <v>0.1</v>
      </c>
      <c r="H114" t="n">
        <v>0</v>
      </c>
      <c r="I114" t="n">
        <v>0</v>
      </c>
      <c r="J114" t="n">
        <v>0</v>
      </c>
      <c r="K114" t="n">
        <v>0</v>
      </c>
      <c r="L114" t="n">
        <v>0</v>
      </c>
      <c r="M114" t="n">
        <v>0</v>
      </c>
      <c r="N114" t="n">
        <v>0</v>
      </c>
      <c r="O114" t="n">
        <v>0</v>
      </c>
      <c r="P114" t="n">
        <v>0</v>
      </c>
      <c r="Q114" t="n">
        <v>0</v>
      </c>
      <c r="R114" s="2" t="inlineStr"/>
    </row>
    <row r="115" ht="15" customHeight="1">
      <c r="A115" t="inlineStr">
        <is>
          <t>A 8046-2024</t>
        </is>
      </c>
      <c r="B115" s="1" t="n">
        <v>45351.31555555556</v>
      </c>
      <c r="C115" s="1" t="n">
        <v>46012</v>
      </c>
      <c r="D115" t="inlineStr">
        <is>
          <t>DALARNAS LÄN</t>
        </is>
      </c>
      <c r="E115" t="inlineStr">
        <is>
          <t>LEKSAND</t>
        </is>
      </c>
      <c r="G115" t="n">
        <v>2.9</v>
      </c>
      <c r="H115" t="n">
        <v>0</v>
      </c>
      <c r="I115" t="n">
        <v>0</v>
      </c>
      <c r="J115" t="n">
        <v>0</v>
      </c>
      <c r="K115" t="n">
        <v>0</v>
      </c>
      <c r="L115" t="n">
        <v>0</v>
      </c>
      <c r="M115" t="n">
        <v>0</v>
      </c>
      <c r="N115" t="n">
        <v>0</v>
      </c>
      <c r="O115" t="n">
        <v>0</v>
      </c>
      <c r="P115" t="n">
        <v>0</v>
      </c>
      <c r="Q115" t="n">
        <v>0</v>
      </c>
      <c r="R115" s="2" t="inlineStr"/>
    </row>
    <row r="116" ht="15" customHeight="1">
      <c r="A116" t="inlineStr">
        <is>
          <t>A 38001-2023</t>
        </is>
      </c>
      <c r="B116" s="1" t="n">
        <v>45160</v>
      </c>
      <c r="C116" s="1" t="n">
        <v>46012</v>
      </c>
      <c r="D116" t="inlineStr">
        <is>
          <t>DALARNAS LÄN</t>
        </is>
      </c>
      <c r="E116" t="inlineStr">
        <is>
          <t>LEKSAND</t>
        </is>
      </c>
      <c r="G116" t="n">
        <v>3.6</v>
      </c>
      <c r="H116" t="n">
        <v>0</v>
      </c>
      <c r="I116" t="n">
        <v>0</v>
      </c>
      <c r="J116" t="n">
        <v>0</v>
      </c>
      <c r="K116" t="n">
        <v>0</v>
      </c>
      <c r="L116" t="n">
        <v>0</v>
      </c>
      <c r="M116" t="n">
        <v>0</v>
      </c>
      <c r="N116" t="n">
        <v>0</v>
      </c>
      <c r="O116" t="n">
        <v>0</v>
      </c>
      <c r="P116" t="n">
        <v>0</v>
      </c>
      <c r="Q116" t="n">
        <v>0</v>
      </c>
      <c r="R116" s="2" t="inlineStr"/>
    </row>
    <row r="117" ht="15" customHeight="1">
      <c r="A117" t="inlineStr">
        <is>
          <t>A 13161-2024</t>
        </is>
      </c>
      <c r="B117" s="1" t="n">
        <v>45386.38972222222</v>
      </c>
      <c r="C117" s="1" t="n">
        <v>46012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31915-2024</t>
        </is>
      </c>
      <c r="B118" s="1" t="n">
        <v>45510.38956018518</v>
      </c>
      <c r="C118" s="1" t="n">
        <v>46012</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12290-2024</t>
        </is>
      </c>
      <c r="B119" s="1" t="n">
        <v>45378.57877314815</v>
      </c>
      <c r="C119" s="1" t="n">
        <v>46012</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46012</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7417-2024</t>
        </is>
      </c>
      <c r="B121" s="1" t="n">
        <v>45345.62378472222</v>
      </c>
      <c r="C121" s="1" t="n">
        <v>46012</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46012</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46012</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46012</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46012</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46012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46012</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46012</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33072-2021</t>
        </is>
      </c>
      <c r="B129" s="1" t="n">
        <v>44375</v>
      </c>
      <c r="C129" s="1" t="n">
        <v>46012</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19820-2024</t>
        </is>
      </c>
      <c r="B130" s="1" t="n">
        <v>45433.33907407407</v>
      </c>
      <c r="C130" s="1" t="n">
        <v>46012</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19823-2024</t>
        </is>
      </c>
      <c r="B131" s="1" t="n">
        <v>45433.34469907408</v>
      </c>
      <c r="C131" s="1" t="n">
        <v>46012</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46012</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16005-2025</t>
        </is>
      </c>
      <c r="B133" s="1" t="n">
        <v>45749.59765046297</v>
      </c>
      <c r="C133" s="1" t="n">
        <v>46012</v>
      </c>
      <c r="D133" t="inlineStr">
        <is>
          <t>DALARNAS LÄN</t>
        </is>
      </c>
      <c r="E133" t="inlineStr">
        <is>
          <t>LEKSAND</t>
        </is>
      </c>
      <c r="G133" t="n">
        <v>2.1</v>
      </c>
      <c r="H133" t="n">
        <v>0</v>
      </c>
      <c r="I133" t="n">
        <v>0</v>
      </c>
      <c r="J133" t="n">
        <v>0</v>
      </c>
      <c r="K133" t="n">
        <v>0</v>
      </c>
      <c r="L133" t="n">
        <v>0</v>
      </c>
      <c r="M133" t="n">
        <v>0</v>
      </c>
      <c r="N133" t="n">
        <v>0</v>
      </c>
      <c r="O133" t="n">
        <v>0</v>
      </c>
      <c r="P133" t="n">
        <v>0</v>
      </c>
      <c r="Q133" t="n">
        <v>0</v>
      </c>
      <c r="R133" s="2" t="inlineStr"/>
    </row>
    <row r="134" ht="15" customHeight="1">
      <c r="A134" t="inlineStr">
        <is>
          <t>A 412-2024</t>
        </is>
      </c>
      <c r="B134" s="1" t="n">
        <v>45296</v>
      </c>
      <c r="C134" s="1" t="n">
        <v>46012</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59673-2023</t>
        </is>
      </c>
      <c r="B135" s="1" t="n">
        <v>45255.44603009259</v>
      </c>
      <c r="C135" s="1" t="n">
        <v>46012</v>
      </c>
      <c r="D135" t="inlineStr">
        <is>
          <t>DALARNAS LÄN</t>
        </is>
      </c>
      <c r="E135" t="inlineStr">
        <is>
          <t>LEKSAND</t>
        </is>
      </c>
      <c r="G135" t="n">
        <v>12.2</v>
      </c>
      <c r="H135" t="n">
        <v>0</v>
      </c>
      <c r="I135" t="n">
        <v>0</v>
      </c>
      <c r="J135" t="n">
        <v>0</v>
      </c>
      <c r="K135" t="n">
        <v>0</v>
      </c>
      <c r="L135" t="n">
        <v>0</v>
      </c>
      <c r="M135" t="n">
        <v>0</v>
      </c>
      <c r="N135" t="n">
        <v>0</v>
      </c>
      <c r="O135" t="n">
        <v>0</v>
      </c>
      <c r="P135" t="n">
        <v>0</v>
      </c>
      <c r="Q135" t="n">
        <v>0</v>
      </c>
      <c r="R135" s="2" t="inlineStr"/>
    </row>
    <row r="136" ht="15" customHeight="1">
      <c r="A136" t="inlineStr">
        <is>
          <t>A 23068-2024</t>
        </is>
      </c>
      <c r="B136" s="1" t="n">
        <v>45450.45521990741</v>
      </c>
      <c r="C136" s="1" t="n">
        <v>46012</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40755-2024</t>
        </is>
      </c>
      <c r="B137" s="1" t="n">
        <v>45558.45815972222</v>
      </c>
      <c r="C137" s="1" t="n">
        <v>46012</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22281-2024</t>
        </is>
      </c>
      <c r="B138" s="1" t="n">
        <v>45446.54756944445</v>
      </c>
      <c r="C138" s="1" t="n">
        <v>46012</v>
      </c>
      <c r="D138" t="inlineStr">
        <is>
          <t>DALARNAS LÄN</t>
        </is>
      </c>
      <c r="E138" t="inlineStr">
        <is>
          <t>LEKSAND</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23615-2024</t>
        </is>
      </c>
      <c r="B139" s="1" t="n">
        <v>45454.43050925926</v>
      </c>
      <c r="C139" s="1" t="n">
        <v>46012</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17726-2024</t>
        </is>
      </c>
      <c r="B140" s="1" t="n">
        <v>45418.55609953704</v>
      </c>
      <c r="C140" s="1" t="n">
        <v>46012</v>
      </c>
      <c r="D140" t="inlineStr">
        <is>
          <t>DALARNAS LÄN</t>
        </is>
      </c>
      <c r="E140" t="inlineStr">
        <is>
          <t>LEKSAND</t>
        </is>
      </c>
      <c r="G140" t="n">
        <v>5.2</v>
      </c>
      <c r="H140" t="n">
        <v>0</v>
      </c>
      <c r="I140" t="n">
        <v>0</v>
      </c>
      <c r="J140" t="n">
        <v>0</v>
      </c>
      <c r="K140" t="n">
        <v>0</v>
      </c>
      <c r="L140" t="n">
        <v>0</v>
      </c>
      <c r="M140" t="n">
        <v>0</v>
      </c>
      <c r="N140" t="n">
        <v>0</v>
      </c>
      <c r="O140" t="n">
        <v>0</v>
      </c>
      <c r="P140" t="n">
        <v>0</v>
      </c>
      <c r="Q140" t="n">
        <v>0</v>
      </c>
      <c r="R140" s="2" t="inlineStr"/>
    </row>
    <row r="141" ht="15" customHeight="1">
      <c r="A141" t="inlineStr">
        <is>
          <t>A 5738-2023</t>
        </is>
      </c>
      <c r="B141" s="1" t="n">
        <v>44962</v>
      </c>
      <c r="C141" s="1" t="n">
        <v>46012</v>
      </c>
      <c r="D141" t="inlineStr">
        <is>
          <t>DALARNAS LÄN</t>
        </is>
      </c>
      <c r="E141" t="inlineStr">
        <is>
          <t>LEKSAND</t>
        </is>
      </c>
      <c r="G141" t="n">
        <v>0.2</v>
      </c>
      <c r="H141" t="n">
        <v>0</v>
      </c>
      <c r="I141" t="n">
        <v>0</v>
      </c>
      <c r="J141" t="n">
        <v>0</v>
      </c>
      <c r="K141" t="n">
        <v>0</v>
      </c>
      <c r="L141" t="n">
        <v>0</v>
      </c>
      <c r="M141" t="n">
        <v>0</v>
      </c>
      <c r="N141" t="n">
        <v>0</v>
      </c>
      <c r="O141" t="n">
        <v>0</v>
      </c>
      <c r="P141" t="n">
        <v>0</v>
      </c>
      <c r="Q141" t="n">
        <v>0</v>
      </c>
      <c r="R141" s="2" t="inlineStr"/>
    </row>
    <row r="142" ht="15" customHeight="1">
      <c r="A142" t="inlineStr">
        <is>
          <t>A 60692-2023</t>
        </is>
      </c>
      <c r="B142" s="1" t="n">
        <v>45260.50008101852</v>
      </c>
      <c r="C142" s="1" t="n">
        <v>46012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5570-2024</t>
        </is>
      </c>
      <c r="B143" s="1" t="n">
        <v>45334</v>
      </c>
      <c r="C143" s="1" t="n">
        <v>46012</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43693-2022</t>
        </is>
      </c>
      <c r="B144" s="1" t="n">
        <v>44837.6369212963</v>
      </c>
      <c r="C144" s="1" t="n">
        <v>46012</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43735-2022</t>
        </is>
      </c>
      <c r="B145" s="1" t="n">
        <v>44837.70210648148</v>
      </c>
      <c r="C145" s="1" t="n">
        <v>46012</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23283-2024</t>
        </is>
      </c>
      <c r="B146" s="1" t="n">
        <v>45453</v>
      </c>
      <c r="C146" s="1" t="n">
        <v>46012</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30204-2024</t>
        </is>
      </c>
      <c r="B147" s="1" t="n">
        <v>45490.35402777778</v>
      </c>
      <c r="C147" s="1" t="n">
        <v>46012</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47121-2021</t>
        </is>
      </c>
      <c r="B148" s="1" t="n">
        <v>44446</v>
      </c>
      <c r="C148" s="1" t="n">
        <v>46012</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4121-2024</t>
        </is>
      </c>
      <c r="B149" s="1" t="n">
        <v>45323</v>
      </c>
      <c r="C149" s="1" t="n">
        <v>46012</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19618-2024</t>
        </is>
      </c>
      <c r="B150" s="1" t="n">
        <v>45432.32896990741</v>
      </c>
      <c r="C150" s="1" t="n">
        <v>46012</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32688-2024</t>
        </is>
      </c>
      <c r="B151" s="1" t="n">
        <v>45515.83091435185</v>
      </c>
      <c r="C151" s="1" t="n">
        <v>46012</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72575-2021</t>
        </is>
      </c>
      <c r="B152" s="1" t="n">
        <v>44546</v>
      </c>
      <c r="C152" s="1" t="n">
        <v>46012</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72581-2021</t>
        </is>
      </c>
      <c r="B153" s="1" t="n">
        <v>44546.46354166666</v>
      </c>
      <c r="C153" s="1" t="n">
        <v>46012</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7450-2023</t>
        </is>
      </c>
      <c r="B154" s="1" t="n">
        <v>44971</v>
      </c>
      <c r="C154" s="1" t="n">
        <v>46012</v>
      </c>
      <c r="D154" t="inlineStr">
        <is>
          <t>DALARNAS LÄN</t>
        </is>
      </c>
      <c r="E154" t="inlineStr">
        <is>
          <t>LEKSAND</t>
        </is>
      </c>
      <c r="G154" t="n">
        <v>3</v>
      </c>
      <c r="H154" t="n">
        <v>0</v>
      </c>
      <c r="I154" t="n">
        <v>0</v>
      </c>
      <c r="J154" t="n">
        <v>0</v>
      </c>
      <c r="K154" t="n">
        <v>0</v>
      </c>
      <c r="L154" t="n">
        <v>0</v>
      </c>
      <c r="M154" t="n">
        <v>0</v>
      </c>
      <c r="N154" t="n">
        <v>0</v>
      </c>
      <c r="O154" t="n">
        <v>0</v>
      </c>
      <c r="P154" t="n">
        <v>0</v>
      </c>
      <c r="Q154" t="n">
        <v>0</v>
      </c>
      <c r="R154" s="2" t="inlineStr"/>
    </row>
    <row r="155" ht="15" customHeight="1">
      <c r="A155" t="inlineStr">
        <is>
          <t>A 2517-2024</t>
        </is>
      </c>
      <c r="B155" s="1" t="n">
        <v>45313</v>
      </c>
      <c r="C155" s="1" t="n">
        <v>46012</v>
      </c>
      <c r="D155" t="inlineStr">
        <is>
          <t>DALARNAS LÄN</t>
        </is>
      </c>
      <c r="E155" t="inlineStr">
        <is>
          <t>LEKSAND</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61614-2023</t>
        </is>
      </c>
      <c r="B156" s="1" t="n">
        <v>45261</v>
      </c>
      <c r="C156" s="1" t="n">
        <v>46012</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26062-2024</t>
        </is>
      </c>
      <c r="B157" s="1" t="n">
        <v>45468.3509375</v>
      </c>
      <c r="C157" s="1" t="n">
        <v>46012</v>
      </c>
      <c r="D157" t="inlineStr">
        <is>
          <t>DALARNAS LÄN</t>
        </is>
      </c>
      <c r="E157" t="inlineStr">
        <is>
          <t>LEKSAND</t>
        </is>
      </c>
      <c r="F157" t="inlineStr">
        <is>
          <t>Övriga statliga verk och myndigheter</t>
        </is>
      </c>
      <c r="G157" t="n">
        <v>6.4</v>
      </c>
      <c r="H157" t="n">
        <v>0</v>
      </c>
      <c r="I157" t="n">
        <v>0</v>
      </c>
      <c r="J157" t="n">
        <v>0</v>
      </c>
      <c r="K157" t="n">
        <v>0</v>
      </c>
      <c r="L157" t="n">
        <v>0</v>
      </c>
      <c r="M157" t="n">
        <v>0</v>
      </c>
      <c r="N157" t="n">
        <v>0</v>
      </c>
      <c r="O157" t="n">
        <v>0</v>
      </c>
      <c r="P157" t="n">
        <v>0</v>
      </c>
      <c r="Q157" t="n">
        <v>0</v>
      </c>
      <c r="R157" s="2" t="inlineStr"/>
    </row>
    <row r="158" ht="15" customHeight="1">
      <c r="A158" t="inlineStr">
        <is>
          <t>A 34585-2024</t>
        </is>
      </c>
      <c r="B158" s="1" t="n">
        <v>45526.37697916666</v>
      </c>
      <c r="C158" s="1" t="n">
        <v>46012</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63514-2023</t>
        </is>
      </c>
      <c r="B159" s="1" t="n">
        <v>45274</v>
      </c>
      <c r="C159" s="1" t="n">
        <v>46012</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23891-2025</t>
        </is>
      </c>
      <c r="B160" s="1" t="n">
        <v>45793</v>
      </c>
      <c r="C160" s="1" t="n">
        <v>46012</v>
      </c>
      <c r="D160" t="inlineStr">
        <is>
          <t>DALARNAS LÄN</t>
        </is>
      </c>
      <c r="E160" t="inlineStr">
        <is>
          <t>LEKSAND</t>
        </is>
      </c>
      <c r="F160" t="inlineStr">
        <is>
          <t>Kommuner</t>
        </is>
      </c>
      <c r="G160" t="n">
        <v>1.5</v>
      </c>
      <c r="H160" t="n">
        <v>0</v>
      </c>
      <c r="I160" t="n">
        <v>0</v>
      </c>
      <c r="J160" t="n">
        <v>0</v>
      </c>
      <c r="K160" t="n">
        <v>0</v>
      </c>
      <c r="L160" t="n">
        <v>0</v>
      </c>
      <c r="M160" t="n">
        <v>0</v>
      </c>
      <c r="N160" t="n">
        <v>0</v>
      </c>
      <c r="O160" t="n">
        <v>0</v>
      </c>
      <c r="P160" t="n">
        <v>0</v>
      </c>
      <c r="Q160" t="n">
        <v>0</v>
      </c>
      <c r="R160" s="2" t="inlineStr"/>
    </row>
    <row r="161" ht="15" customHeight="1">
      <c r="A161" t="inlineStr">
        <is>
          <t>A 24187-2025</t>
        </is>
      </c>
      <c r="B161" s="1" t="n">
        <v>45796</v>
      </c>
      <c r="C161" s="1" t="n">
        <v>46012</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24188-2025</t>
        </is>
      </c>
      <c r="B162" s="1" t="n">
        <v>45796</v>
      </c>
      <c r="C162" s="1" t="n">
        <v>46012</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56211-2023</t>
        </is>
      </c>
      <c r="B163" s="1" t="n">
        <v>45240</v>
      </c>
      <c r="C163" s="1" t="n">
        <v>46012</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46012</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46012</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46012</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24373-2025</t>
        </is>
      </c>
      <c r="B167" s="1" t="n">
        <v>45797.61113425926</v>
      </c>
      <c r="C167" s="1" t="n">
        <v>46012</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46012</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46012</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40868-2024</t>
        </is>
      </c>
      <c r="B170" s="1" t="n">
        <v>45558</v>
      </c>
      <c r="C170" s="1" t="n">
        <v>46012</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22646-2025</t>
        </is>
      </c>
      <c r="B171" s="1" t="n">
        <v>45786</v>
      </c>
      <c r="C171" s="1" t="n">
        <v>46012</v>
      </c>
      <c r="D171" t="inlineStr">
        <is>
          <t>DALARNAS LÄN</t>
        </is>
      </c>
      <c r="E171" t="inlineStr">
        <is>
          <t>LEKSAND</t>
        </is>
      </c>
      <c r="F171" t="inlineStr">
        <is>
          <t>Kommuner</t>
        </is>
      </c>
      <c r="G171" t="n">
        <v>1.6</v>
      </c>
      <c r="H171" t="n">
        <v>0</v>
      </c>
      <c r="I171" t="n">
        <v>0</v>
      </c>
      <c r="J171" t="n">
        <v>0</v>
      </c>
      <c r="K171" t="n">
        <v>0</v>
      </c>
      <c r="L171" t="n">
        <v>0</v>
      </c>
      <c r="M171" t="n">
        <v>0</v>
      </c>
      <c r="N171" t="n">
        <v>0</v>
      </c>
      <c r="O171" t="n">
        <v>0</v>
      </c>
      <c r="P171" t="n">
        <v>0</v>
      </c>
      <c r="Q171" t="n">
        <v>0</v>
      </c>
      <c r="R171" s="2" t="inlineStr"/>
    </row>
    <row r="172" ht="15" customHeight="1">
      <c r="A172" t="inlineStr">
        <is>
          <t>A 24369-2025</t>
        </is>
      </c>
      <c r="B172" s="1" t="n">
        <v>45797.60731481481</v>
      </c>
      <c r="C172" s="1" t="n">
        <v>46012</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46012</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24715-2025</t>
        </is>
      </c>
      <c r="B174" s="1" t="n">
        <v>45798.97899305556</v>
      </c>
      <c r="C174" s="1" t="n">
        <v>46012</v>
      </c>
      <c r="D174" t="inlineStr">
        <is>
          <t>DALARNAS LÄN</t>
        </is>
      </c>
      <c r="E174" t="inlineStr">
        <is>
          <t>LEKSAND</t>
        </is>
      </c>
      <c r="G174" t="n">
        <v>8.4</v>
      </c>
      <c r="H174" t="n">
        <v>0</v>
      </c>
      <c r="I174" t="n">
        <v>0</v>
      </c>
      <c r="J174" t="n">
        <v>0</v>
      </c>
      <c r="K174" t="n">
        <v>0</v>
      </c>
      <c r="L174" t="n">
        <v>0</v>
      </c>
      <c r="M174" t="n">
        <v>0</v>
      </c>
      <c r="N174" t="n">
        <v>0</v>
      </c>
      <c r="O174" t="n">
        <v>0</v>
      </c>
      <c r="P174" t="n">
        <v>0</v>
      </c>
      <c r="Q174" t="n">
        <v>0</v>
      </c>
      <c r="R174" s="2" t="inlineStr"/>
    </row>
    <row r="175" ht="15" customHeight="1">
      <c r="A175" t="inlineStr">
        <is>
          <t>A 25096-2025</t>
        </is>
      </c>
      <c r="B175" s="1" t="n">
        <v>45800.33868055556</v>
      </c>
      <c r="C175" s="1" t="n">
        <v>46012</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40752-2024</t>
        </is>
      </c>
      <c r="B176" s="1" t="n">
        <v>45558.45638888889</v>
      </c>
      <c r="C176" s="1" t="n">
        <v>46012</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25105-2025</t>
        </is>
      </c>
      <c r="B177" s="1" t="n">
        <v>45800.34751157407</v>
      </c>
      <c r="C177" s="1" t="n">
        <v>46012</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31255-2023</t>
        </is>
      </c>
      <c r="B178" s="1" t="n">
        <v>45114.36729166667</v>
      </c>
      <c r="C178" s="1" t="n">
        <v>46012</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47640-2024</t>
        </is>
      </c>
      <c r="B179" s="1" t="n">
        <v>45588.36508101852</v>
      </c>
      <c r="C179" s="1" t="n">
        <v>46012</v>
      </c>
      <c r="D179" t="inlineStr">
        <is>
          <t>DALARNAS LÄN</t>
        </is>
      </c>
      <c r="E179" t="inlineStr">
        <is>
          <t>LEKSAND</t>
        </is>
      </c>
      <c r="G179" t="n">
        <v>9.1</v>
      </c>
      <c r="H179" t="n">
        <v>0</v>
      </c>
      <c r="I179" t="n">
        <v>0</v>
      </c>
      <c r="J179" t="n">
        <v>0</v>
      </c>
      <c r="K179" t="n">
        <v>0</v>
      </c>
      <c r="L179" t="n">
        <v>0</v>
      </c>
      <c r="M179" t="n">
        <v>0</v>
      </c>
      <c r="N179" t="n">
        <v>0</v>
      </c>
      <c r="O179" t="n">
        <v>0</v>
      </c>
      <c r="P179" t="n">
        <v>0</v>
      </c>
      <c r="Q179" t="n">
        <v>0</v>
      </c>
      <c r="R179" s="2" t="inlineStr"/>
    </row>
    <row r="180" ht="15" customHeight="1">
      <c r="A180" t="inlineStr">
        <is>
          <t>A 25610-2025</t>
        </is>
      </c>
      <c r="B180" s="1" t="n">
        <v>45803.56033564815</v>
      </c>
      <c r="C180" s="1" t="n">
        <v>46012</v>
      </c>
      <c r="D180" t="inlineStr">
        <is>
          <t>DALARNAS LÄN</t>
        </is>
      </c>
      <c r="E180" t="inlineStr">
        <is>
          <t>LEKSAND</t>
        </is>
      </c>
      <c r="G180" t="n">
        <v>5.2</v>
      </c>
      <c r="H180" t="n">
        <v>0</v>
      </c>
      <c r="I180" t="n">
        <v>0</v>
      </c>
      <c r="J180" t="n">
        <v>0</v>
      </c>
      <c r="K180" t="n">
        <v>0</v>
      </c>
      <c r="L180" t="n">
        <v>0</v>
      </c>
      <c r="M180" t="n">
        <v>0</v>
      </c>
      <c r="N180" t="n">
        <v>0</v>
      </c>
      <c r="O180" t="n">
        <v>0</v>
      </c>
      <c r="P180" t="n">
        <v>0</v>
      </c>
      <c r="Q180" t="n">
        <v>0</v>
      </c>
      <c r="R180" s="2" t="inlineStr"/>
    </row>
    <row r="181" ht="15" customHeight="1">
      <c r="A181" t="inlineStr">
        <is>
          <t>A 58244-2024</t>
        </is>
      </c>
      <c r="B181" s="1" t="n">
        <v>45631</v>
      </c>
      <c r="C181" s="1" t="n">
        <v>46012</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62161-2024</t>
        </is>
      </c>
      <c r="B182" s="1" t="n">
        <v>45656.86009259259</v>
      </c>
      <c r="C182" s="1" t="n">
        <v>46012</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7897-2025</t>
        </is>
      </c>
      <c r="B183" s="1" t="n">
        <v>45707.30969907407</v>
      </c>
      <c r="C183" s="1" t="n">
        <v>46012</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45886.83605324074</v>
      </c>
      <c r="C184" s="1" t="n">
        <v>46012</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11606-2025</t>
        </is>
      </c>
      <c r="B185" s="1" t="n">
        <v>45727</v>
      </c>
      <c r="C185" s="1" t="n">
        <v>46012</v>
      </c>
      <c r="D185" t="inlineStr">
        <is>
          <t>DALARNAS LÄN</t>
        </is>
      </c>
      <c r="E185" t="inlineStr">
        <is>
          <t>LEKSAND</t>
        </is>
      </c>
      <c r="G185" t="n">
        <v>2.3</v>
      </c>
      <c r="H185" t="n">
        <v>0</v>
      </c>
      <c r="I185" t="n">
        <v>0</v>
      </c>
      <c r="J185" t="n">
        <v>0</v>
      </c>
      <c r="K185" t="n">
        <v>0</v>
      </c>
      <c r="L185" t="n">
        <v>0</v>
      </c>
      <c r="M185" t="n">
        <v>0</v>
      </c>
      <c r="N185" t="n">
        <v>0</v>
      </c>
      <c r="O185" t="n">
        <v>0</v>
      </c>
      <c r="P185" t="n">
        <v>0</v>
      </c>
      <c r="Q185" t="n">
        <v>0</v>
      </c>
      <c r="R185" s="2" t="inlineStr"/>
    </row>
    <row r="186" ht="15" customHeight="1">
      <c r="A186" t="inlineStr">
        <is>
          <t>A 21954-2023</t>
        </is>
      </c>
      <c r="B186" s="1" t="n">
        <v>45068</v>
      </c>
      <c r="C186" s="1" t="n">
        <v>46012</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8743-2023</t>
        </is>
      </c>
      <c r="B187" s="1" t="n">
        <v>44978</v>
      </c>
      <c r="C187" s="1" t="n">
        <v>46012</v>
      </c>
      <c r="D187" t="inlineStr">
        <is>
          <t>DALARNAS LÄN</t>
        </is>
      </c>
      <c r="E187" t="inlineStr">
        <is>
          <t>LEKSAND</t>
        </is>
      </c>
      <c r="G187" t="n">
        <v>3</v>
      </c>
      <c r="H187" t="n">
        <v>0</v>
      </c>
      <c r="I187" t="n">
        <v>0</v>
      </c>
      <c r="J187" t="n">
        <v>0</v>
      </c>
      <c r="K187" t="n">
        <v>0</v>
      </c>
      <c r="L187" t="n">
        <v>0</v>
      </c>
      <c r="M187" t="n">
        <v>0</v>
      </c>
      <c r="N187" t="n">
        <v>0</v>
      </c>
      <c r="O187" t="n">
        <v>0</v>
      </c>
      <c r="P187" t="n">
        <v>0</v>
      </c>
      <c r="Q187" t="n">
        <v>0</v>
      </c>
      <c r="R187" s="2" t="inlineStr"/>
    </row>
    <row r="188" ht="15" customHeight="1">
      <c r="A188" t="inlineStr">
        <is>
          <t>A 39546-2025</t>
        </is>
      </c>
      <c r="B188" s="1" t="n">
        <v>45890.45706018519</v>
      </c>
      <c r="C188" s="1" t="n">
        <v>46012</v>
      </c>
      <c r="D188" t="inlineStr">
        <is>
          <t>DALARNAS LÄN</t>
        </is>
      </c>
      <c r="E188" t="inlineStr">
        <is>
          <t>LEKSAND</t>
        </is>
      </c>
      <c r="G188" t="n">
        <v>4.6</v>
      </c>
      <c r="H188" t="n">
        <v>0</v>
      </c>
      <c r="I188" t="n">
        <v>0</v>
      </c>
      <c r="J188" t="n">
        <v>0</v>
      </c>
      <c r="K188" t="n">
        <v>0</v>
      </c>
      <c r="L188" t="n">
        <v>0</v>
      </c>
      <c r="M188" t="n">
        <v>0</v>
      </c>
      <c r="N188" t="n">
        <v>0</v>
      </c>
      <c r="O188" t="n">
        <v>0</v>
      </c>
      <c r="P188" t="n">
        <v>0</v>
      </c>
      <c r="Q188" t="n">
        <v>0</v>
      </c>
      <c r="R188" s="2" t="inlineStr"/>
    </row>
    <row r="189" ht="15" customHeight="1">
      <c r="A189" t="inlineStr">
        <is>
          <t>A 39572-2025</t>
        </is>
      </c>
      <c r="B189" s="1" t="n">
        <v>45890</v>
      </c>
      <c r="C189" s="1" t="n">
        <v>46012</v>
      </c>
      <c r="D189" t="inlineStr">
        <is>
          <t>DALARNAS LÄN</t>
        </is>
      </c>
      <c r="E189" t="inlineStr">
        <is>
          <t>LEKSAND</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63544-2023</t>
        </is>
      </c>
      <c r="B190" s="1" t="n">
        <v>45275</v>
      </c>
      <c r="C190" s="1" t="n">
        <v>46012</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39569-2025</t>
        </is>
      </c>
      <c r="B191" s="1" t="n">
        <v>45890</v>
      </c>
      <c r="C191" s="1" t="n">
        <v>46012</v>
      </c>
      <c r="D191" t="inlineStr">
        <is>
          <t>DALARNAS LÄN</t>
        </is>
      </c>
      <c r="E191" t="inlineStr">
        <is>
          <t>LEKSAND</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39516-2025</t>
        </is>
      </c>
      <c r="B192" s="1" t="n">
        <v>45890.42633101852</v>
      </c>
      <c r="C192" s="1" t="n">
        <v>46012</v>
      </c>
      <c r="D192" t="inlineStr">
        <is>
          <t>DALARNAS LÄN</t>
        </is>
      </c>
      <c r="E192" t="inlineStr">
        <is>
          <t>LEKSAND</t>
        </is>
      </c>
      <c r="G192" t="n">
        <v>3.6</v>
      </c>
      <c r="H192" t="n">
        <v>0</v>
      </c>
      <c r="I192" t="n">
        <v>0</v>
      </c>
      <c r="J192" t="n">
        <v>0</v>
      </c>
      <c r="K192" t="n">
        <v>0</v>
      </c>
      <c r="L192" t="n">
        <v>0</v>
      </c>
      <c r="M192" t="n">
        <v>0</v>
      </c>
      <c r="N192" t="n">
        <v>0</v>
      </c>
      <c r="O192" t="n">
        <v>0</v>
      </c>
      <c r="P192" t="n">
        <v>0</v>
      </c>
      <c r="Q192" t="n">
        <v>0</v>
      </c>
      <c r="R192" s="2" t="inlineStr"/>
    </row>
    <row r="193" ht="15" customHeight="1">
      <c r="A193" t="inlineStr">
        <is>
          <t>A 39660-2025</t>
        </is>
      </c>
      <c r="B193" s="1" t="n">
        <v>45890.63006944444</v>
      </c>
      <c r="C193" s="1" t="n">
        <v>46012</v>
      </c>
      <c r="D193" t="inlineStr">
        <is>
          <t>DALARNAS LÄN</t>
        </is>
      </c>
      <c r="E193" t="inlineStr">
        <is>
          <t>LEKSAND</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39693-2025</t>
        </is>
      </c>
      <c r="B194" s="1" t="n">
        <v>45890.68304398148</v>
      </c>
      <c r="C194" s="1" t="n">
        <v>46012</v>
      </c>
      <c r="D194" t="inlineStr">
        <is>
          <t>DALARNAS LÄN</t>
        </is>
      </c>
      <c r="E194" t="inlineStr">
        <is>
          <t>LEKSAND</t>
        </is>
      </c>
      <c r="G194" t="n">
        <v>3.1</v>
      </c>
      <c r="H194" t="n">
        <v>0</v>
      </c>
      <c r="I194" t="n">
        <v>0</v>
      </c>
      <c r="J194" t="n">
        <v>0</v>
      </c>
      <c r="K194" t="n">
        <v>0</v>
      </c>
      <c r="L194" t="n">
        <v>0</v>
      </c>
      <c r="M194" t="n">
        <v>0</v>
      </c>
      <c r="N194" t="n">
        <v>0</v>
      </c>
      <c r="O194" t="n">
        <v>0</v>
      </c>
      <c r="P194" t="n">
        <v>0</v>
      </c>
      <c r="Q194" t="n">
        <v>0</v>
      </c>
      <c r="R194" s="2" t="inlineStr"/>
    </row>
    <row r="195" ht="15" customHeight="1">
      <c r="A195" t="inlineStr">
        <is>
          <t>A 41169-2024</t>
        </is>
      </c>
      <c r="B195" s="1" t="n">
        <v>45559.48637731482</v>
      </c>
      <c r="C195" s="1" t="n">
        <v>46012</v>
      </c>
      <c r="D195" t="inlineStr">
        <is>
          <t>DALARNAS LÄN</t>
        </is>
      </c>
      <c r="E195" t="inlineStr">
        <is>
          <t>LEKSAND</t>
        </is>
      </c>
      <c r="G195" t="n">
        <v>8.9</v>
      </c>
      <c r="H195" t="n">
        <v>0</v>
      </c>
      <c r="I195" t="n">
        <v>0</v>
      </c>
      <c r="J195" t="n">
        <v>0</v>
      </c>
      <c r="K195" t="n">
        <v>0</v>
      </c>
      <c r="L195" t="n">
        <v>0</v>
      </c>
      <c r="M195" t="n">
        <v>0</v>
      </c>
      <c r="N195" t="n">
        <v>0</v>
      </c>
      <c r="O195" t="n">
        <v>0</v>
      </c>
      <c r="P195" t="n">
        <v>0</v>
      </c>
      <c r="Q195" t="n">
        <v>0</v>
      </c>
      <c r="R195" s="2" t="inlineStr"/>
    </row>
    <row r="196" ht="15" customHeight="1">
      <c r="A196" t="inlineStr">
        <is>
          <t>A 26386-2025</t>
        </is>
      </c>
      <c r="B196" s="1" t="n">
        <v>45806</v>
      </c>
      <c r="C196" s="1" t="n">
        <v>46012</v>
      </c>
      <c r="D196" t="inlineStr">
        <is>
          <t>DALARNAS LÄN</t>
        </is>
      </c>
      <c r="E196" t="inlineStr">
        <is>
          <t>LEKSAND</t>
        </is>
      </c>
      <c r="F196" t="inlineStr">
        <is>
          <t>Bergvik skog väst AB</t>
        </is>
      </c>
      <c r="G196" t="n">
        <v>26.3</v>
      </c>
      <c r="H196" t="n">
        <v>0</v>
      </c>
      <c r="I196" t="n">
        <v>0</v>
      </c>
      <c r="J196" t="n">
        <v>0</v>
      </c>
      <c r="K196" t="n">
        <v>0</v>
      </c>
      <c r="L196" t="n">
        <v>0</v>
      </c>
      <c r="M196" t="n">
        <v>0</v>
      </c>
      <c r="N196" t="n">
        <v>0</v>
      </c>
      <c r="O196" t="n">
        <v>0</v>
      </c>
      <c r="P196" t="n">
        <v>0</v>
      </c>
      <c r="Q196" t="n">
        <v>0</v>
      </c>
      <c r="R196" s="2" t="inlineStr"/>
    </row>
    <row r="197" ht="15" customHeight="1">
      <c r="A197" t="inlineStr">
        <is>
          <t>A 25329-2022</t>
        </is>
      </c>
      <c r="B197" s="1" t="n">
        <v>44731.8799537037</v>
      </c>
      <c r="C197" s="1" t="n">
        <v>46012</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28032-2024</t>
        </is>
      </c>
      <c r="B198" s="1" t="n">
        <v>45476.49346064815</v>
      </c>
      <c r="C198" s="1" t="n">
        <v>46012</v>
      </c>
      <c r="D198" t="inlineStr">
        <is>
          <t>DALARNAS LÄN</t>
        </is>
      </c>
      <c r="E198" t="inlineStr">
        <is>
          <t>LEKSAND</t>
        </is>
      </c>
      <c r="G198" t="n">
        <v>2</v>
      </c>
      <c r="H198" t="n">
        <v>0</v>
      </c>
      <c r="I198" t="n">
        <v>0</v>
      </c>
      <c r="J198" t="n">
        <v>0</v>
      </c>
      <c r="K198" t="n">
        <v>0</v>
      </c>
      <c r="L198" t="n">
        <v>0</v>
      </c>
      <c r="M198" t="n">
        <v>0</v>
      </c>
      <c r="N198" t="n">
        <v>0</v>
      </c>
      <c r="O198" t="n">
        <v>0</v>
      </c>
      <c r="P198" t="n">
        <v>0</v>
      </c>
      <c r="Q198" t="n">
        <v>0</v>
      </c>
      <c r="R198" s="2" t="inlineStr"/>
    </row>
    <row r="199" ht="15" customHeight="1">
      <c r="A199" t="inlineStr">
        <is>
          <t>A 19550-2023</t>
        </is>
      </c>
      <c r="B199" s="1" t="n">
        <v>45049</v>
      </c>
      <c r="C199" s="1" t="n">
        <v>46012</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33593-2024</t>
        </is>
      </c>
      <c r="B200" s="1" t="n">
        <v>45520.36055555556</v>
      </c>
      <c r="C200" s="1" t="n">
        <v>46012</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26423-2025</t>
        </is>
      </c>
      <c r="B201" s="1" t="n">
        <v>45807.37829861111</v>
      </c>
      <c r="C201" s="1" t="n">
        <v>46012</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27323-2025</t>
        </is>
      </c>
      <c r="B202" s="1" t="n">
        <v>45812.60392361111</v>
      </c>
      <c r="C202" s="1" t="n">
        <v>46012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47203-2023</t>
        </is>
      </c>
      <c r="B203" s="1" t="n">
        <v>45202</v>
      </c>
      <c r="C203" s="1" t="n">
        <v>46012</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9105-2024</t>
        </is>
      </c>
      <c r="B204" s="1" t="n">
        <v>45357</v>
      </c>
      <c r="C204" s="1" t="n">
        <v>46012</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50447-2023</t>
        </is>
      </c>
      <c r="B205" s="1" t="n">
        <v>45216.72185185185</v>
      </c>
      <c r="C205" s="1" t="n">
        <v>46012</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60945-2024</t>
        </is>
      </c>
      <c r="B206" s="1" t="n">
        <v>45645.37893518519</v>
      </c>
      <c r="C206" s="1" t="n">
        <v>46012</v>
      </c>
      <c r="D206" t="inlineStr">
        <is>
          <t>DALARNAS LÄN</t>
        </is>
      </c>
      <c r="E206" t="inlineStr">
        <is>
          <t>LEKSAND</t>
        </is>
      </c>
      <c r="G206" t="n">
        <v>2.2</v>
      </c>
      <c r="H206" t="n">
        <v>0</v>
      </c>
      <c r="I206" t="n">
        <v>0</v>
      </c>
      <c r="J206" t="n">
        <v>0</v>
      </c>
      <c r="K206" t="n">
        <v>0</v>
      </c>
      <c r="L206" t="n">
        <v>0</v>
      </c>
      <c r="M206" t="n">
        <v>0</v>
      </c>
      <c r="N206" t="n">
        <v>0</v>
      </c>
      <c r="O206" t="n">
        <v>0</v>
      </c>
      <c r="P206" t="n">
        <v>0</v>
      </c>
      <c r="Q206" t="n">
        <v>0</v>
      </c>
      <c r="R206" s="2" t="inlineStr"/>
    </row>
    <row r="207" ht="15" customHeight="1">
      <c r="A207" t="inlineStr">
        <is>
          <t>A 40517-2025</t>
        </is>
      </c>
      <c r="B207" s="1" t="n">
        <v>45896.36368055556</v>
      </c>
      <c r="C207" s="1" t="n">
        <v>46012</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46012</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61787-2022</t>
        </is>
      </c>
      <c r="B209" s="1" t="n">
        <v>44917</v>
      </c>
      <c r="C209" s="1" t="n">
        <v>46012</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27183-2025</t>
        </is>
      </c>
      <c r="B210" s="1" t="n">
        <v>45812.36097222222</v>
      </c>
      <c r="C210" s="1" t="n">
        <v>46012</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27262-2025</t>
        </is>
      </c>
      <c r="B211" s="1" t="n">
        <v>45812</v>
      </c>
      <c r="C211" s="1" t="n">
        <v>46012</v>
      </c>
      <c r="D211" t="inlineStr">
        <is>
          <t>DALARNAS LÄN</t>
        </is>
      </c>
      <c r="E211" t="inlineStr">
        <is>
          <t>LEKSAND</t>
        </is>
      </c>
      <c r="F211" t="inlineStr">
        <is>
          <t>Bergvik skog väst AB</t>
        </is>
      </c>
      <c r="G211" t="n">
        <v>7.7</v>
      </c>
      <c r="H211" t="n">
        <v>0</v>
      </c>
      <c r="I211" t="n">
        <v>0</v>
      </c>
      <c r="J211" t="n">
        <v>0</v>
      </c>
      <c r="K211" t="n">
        <v>0</v>
      </c>
      <c r="L211" t="n">
        <v>0</v>
      </c>
      <c r="M211" t="n">
        <v>0</v>
      </c>
      <c r="N211" t="n">
        <v>0</v>
      </c>
      <c r="O211" t="n">
        <v>0</v>
      </c>
      <c r="P211" t="n">
        <v>0</v>
      </c>
      <c r="Q211" t="n">
        <v>0</v>
      </c>
      <c r="R211" s="2" t="inlineStr"/>
    </row>
    <row r="212" ht="15" customHeight="1">
      <c r="A212" t="inlineStr">
        <is>
          <t>A 27329-2025</t>
        </is>
      </c>
      <c r="B212" s="1" t="n">
        <v>45812.60864583333</v>
      </c>
      <c r="C212" s="1" t="n">
        <v>46012</v>
      </c>
      <c r="D212" t="inlineStr">
        <is>
          <t>DALARNAS LÄN</t>
        </is>
      </c>
      <c r="E212" t="inlineStr">
        <is>
          <t>LEKSAND</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27332-2025</t>
        </is>
      </c>
      <c r="B213" s="1" t="n">
        <v>45812.61265046296</v>
      </c>
      <c r="C213" s="1" t="n">
        <v>46012</v>
      </c>
      <c r="D213" t="inlineStr">
        <is>
          <t>DALARNAS LÄN</t>
        </is>
      </c>
      <c r="E213" t="inlineStr">
        <is>
          <t>LEKSAND</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28913-2024</t>
        </is>
      </c>
      <c r="B214" s="1" t="n">
        <v>45480.75318287037</v>
      </c>
      <c r="C214" s="1" t="n">
        <v>46012</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27682-2025</t>
        </is>
      </c>
      <c r="B215" s="1" t="n">
        <v>45813.64782407408</v>
      </c>
      <c r="C215" s="1" t="n">
        <v>46012</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39921-2024</t>
        </is>
      </c>
      <c r="B216" s="1" t="n">
        <v>45553</v>
      </c>
      <c r="C216" s="1" t="n">
        <v>46012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41015-2024</t>
        </is>
      </c>
      <c r="B217" s="1" t="n">
        <v>45559.32537037037</v>
      </c>
      <c r="C217" s="1" t="n">
        <v>46012</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27705-2025</t>
        </is>
      </c>
      <c r="B218" s="1" t="n">
        <v>45813</v>
      </c>
      <c r="C218" s="1" t="n">
        <v>46012</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6050-2023</t>
        </is>
      </c>
      <c r="B219" s="1" t="n">
        <v>44959</v>
      </c>
      <c r="C219" s="1" t="n">
        <v>46012</v>
      </c>
      <c r="D219" t="inlineStr">
        <is>
          <t>DALARNAS LÄN</t>
        </is>
      </c>
      <c r="E219" t="inlineStr">
        <is>
          <t>LEKSAND</t>
        </is>
      </c>
      <c r="G219" t="n">
        <v>6.2</v>
      </c>
      <c r="H219" t="n">
        <v>0</v>
      </c>
      <c r="I219" t="n">
        <v>0</v>
      </c>
      <c r="J219" t="n">
        <v>0</v>
      </c>
      <c r="K219" t="n">
        <v>0</v>
      </c>
      <c r="L219" t="n">
        <v>0</v>
      </c>
      <c r="M219" t="n">
        <v>0</v>
      </c>
      <c r="N219" t="n">
        <v>0</v>
      </c>
      <c r="O219" t="n">
        <v>0</v>
      </c>
      <c r="P219" t="n">
        <v>0</v>
      </c>
      <c r="Q219" t="n">
        <v>0</v>
      </c>
      <c r="R219" s="2" t="inlineStr"/>
    </row>
    <row r="220" ht="15" customHeight="1">
      <c r="A220" t="inlineStr">
        <is>
          <t>A 27680-2025</t>
        </is>
      </c>
      <c r="B220" s="1" t="n">
        <v>45813.64618055556</v>
      </c>
      <c r="C220" s="1" t="n">
        <v>46012</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27791-2023</t>
        </is>
      </c>
      <c r="B221" s="1" t="n">
        <v>45098</v>
      </c>
      <c r="C221" s="1" t="n">
        <v>46012</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28483-2025</t>
        </is>
      </c>
      <c r="B222" s="1" t="n">
        <v>45818</v>
      </c>
      <c r="C222" s="1" t="n">
        <v>46012</v>
      </c>
      <c r="D222" t="inlineStr">
        <is>
          <t>DALARNAS LÄN</t>
        </is>
      </c>
      <c r="E222" t="inlineStr">
        <is>
          <t>LEKSAND</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41237-2025</t>
        </is>
      </c>
      <c r="B223" s="1" t="n">
        <v>45898.59570601852</v>
      </c>
      <c r="C223" s="1" t="n">
        <v>46012</v>
      </c>
      <c r="D223" t="inlineStr">
        <is>
          <t>DALARNAS LÄN</t>
        </is>
      </c>
      <c r="E223" t="inlineStr">
        <is>
          <t>LEKSAND</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41248-2025</t>
        </is>
      </c>
      <c r="B224" s="1" t="n">
        <v>45898.60199074074</v>
      </c>
      <c r="C224" s="1" t="n">
        <v>46012</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41308-2025</t>
        </is>
      </c>
      <c r="B225" s="1" t="n">
        <v>45898</v>
      </c>
      <c r="C225" s="1" t="n">
        <v>46012</v>
      </c>
      <c r="D225" t="inlineStr">
        <is>
          <t>DALARNAS LÄN</t>
        </is>
      </c>
      <c r="E225" t="inlineStr">
        <is>
          <t>LEKSAND</t>
        </is>
      </c>
      <c r="F225" t="inlineStr">
        <is>
          <t>Bergvik skog väst AB</t>
        </is>
      </c>
      <c r="G225" t="n">
        <v>6.7</v>
      </c>
      <c r="H225" t="n">
        <v>0</v>
      </c>
      <c r="I225" t="n">
        <v>0</v>
      </c>
      <c r="J225" t="n">
        <v>0</v>
      </c>
      <c r="K225" t="n">
        <v>0</v>
      </c>
      <c r="L225" t="n">
        <v>0</v>
      </c>
      <c r="M225" t="n">
        <v>0</v>
      </c>
      <c r="N225" t="n">
        <v>0</v>
      </c>
      <c r="O225" t="n">
        <v>0</v>
      </c>
      <c r="P225" t="n">
        <v>0</v>
      </c>
      <c r="Q225" t="n">
        <v>0</v>
      </c>
      <c r="R225" s="2" t="inlineStr"/>
    </row>
    <row r="226" ht="15" customHeight="1">
      <c r="A226" t="inlineStr">
        <is>
          <t>A 14504-2025</t>
        </is>
      </c>
      <c r="B226" s="1" t="n">
        <v>45741</v>
      </c>
      <c r="C226" s="1" t="n">
        <v>46012</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28505-2025</t>
        </is>
      </c>
      <c r="B227" s="1" t="n">
        <v>45818</v>
      </c>
      <c r="C227" s="1" t="n">
        <v>46012</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41380-2025</t>
        </is>
      </c>
      <c r="B228" s="1" t="n">
        <v>45900.92826388889</v>
      </c>
      <c r="C228" s="1" t="n">
        <v>46012</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28499-2025</t>
        </is>
      </c>
      <c r="B229" s="1" t="n">
        <v>45818</v>
      </c>
      <c r="C229" s="1" t="n">
        <v>46012</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27984-2025</t>
        </is>
      </c>
      <c r="B230" s="1" t="n">
        <v>45817.57710648148</v>
      </c>
      <c r="C230" s="1" t="n">
        <v>46012</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40007-2024</t>
        </is>
      </c>
      <c r="B231" s="1" t="n">
        <v>45553.6516550926</v>
      </c>
      <c r="C231" s="1" t="n">
        <v>46012</v>
      </c>
      <c r="D231" t="inlineStr">
        <is>
          <t>DALARNAS LÄN</t>
        </is>
      </c>
      <c r="E231" t="inlineStr">
        <is>
          <t>LEKSAND</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2311-2021</t>
        </is>
      </c>
      <c r="B232" s="1" t="n">
        <v>44213</v>
      </c>
      <c r="C232" s="1" t="n">
        <v>46012</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32072-2024</t>
        </is>
      </c>
      <c r="B233" s="1" t="n">
        <v>45510.98405092592</v>
      </c>
      <c r="C233" s="1" t="n">
        <v>46012</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28488-2025</t>
        </is>
      </c>
      <c r="B234" s="1" t="n">
        <v>45818</v>
      </c>
      <c r="C234" s="1" t="n">
        <v>46012</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13165-2023</t>
        </is>
      </c>
      <c r="B235" s="1" t="n">
        <v>45002.57731481481</v>
      </c>
      <c r="C235" s="1" t="n">
        <v>46012</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41335-2025</t>
        </is>
      </c>
      <c r="B236" s="1" t="n">
        <v>45899.36747685185</v>
      </c>
      <c r="C236" s="1" t="n">
        <v>46012</v>
      </c>
      <c r="D236" t="inlineStr">
        <is>
          <t>DALARNAS LÄN</t>
        </is>
      </c>
      <c r="E236" t="inlineStr">
        <is>
          <t>LEKSAND</t>
        </is>
      </c>
      <c r="G236" t="n">
        <v>5.9</v>
      </c>
      <c r="H236" t="n">
        <v>0</v>
      </c>
      <c r="I236" t="n">
        <v>0</v>
      </c>
      <c r="J236" t="n">
        <v>0</v>
      </c>
      <c r="K236" t="n">
        <v>0</v>
      </c>
      <c r="L236" t="n">
        <v>0</v>
      </c>
      <c r="M236" t="n">
        <v>0</v>
      </c>
      <c r="N236" t="n">
        <v>0</v>
      </c>
      <c r="O236" t="n">
        <v>0</v>
      </c>
      <c r="P236" t="n">
        <v>0</v>
      </c>
      <c r="Q236" t="n">
        <v>0</v>
      </c>
      <c r="R236" s="2" t="inlineStr"/>
    </row>
    <row r="237" ht="15" customHeight="1">
      <c r="A237" t="inlineStr">
        <is>
          <t>A 41487-2025</t>
        </is>
      </c>
      <c r="B237" s="1" t="n">
        <v>45901.4815625</v>
      </c>
      <c r="C237" s="1" t="n">
        <v>46012</v>
      </c>
      <c r="D237" t="inlineStr">
        <is>
          <t>DALARNAS LÄN</t>
        </is>
      </c>
      <c r="E237" t="inlineStr">
        <is>
          <t>LEKSAND</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7467-2023</t>
        </is>
      </c>
      <c r="B238" s="1" t="n">
        <v>44966</v>
      </c>
      <c r="C238" s="1" t="n">
        <v>46012</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45788-2021</t>
        </is>
      </c>
      <c r="B239" s="1" t="n">
        <v>44441</v>
      </c>
      <c r="C239" s="1" t="n">
        <v>46012</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28770-2025</t>
        </is>
      </c>
      <c r="B240" s="1" t="n">
        <v>45820</v>
      </c>
      <c r="C240" s="1" t="n">
        <v>46012</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28458-2025</t>
        </is>
      </c>
      <c r="B241" s="1" t="n">
        <v>45819.413125</v>
      </c>
      <c r="C241" s="1" t="n">
        <v>46012</v>
      </c>
      <c r="D241" t="inlineStr">
        <is>
          <t>DALARNAS LÄN</t>
        </is>
      </c>
      <c r="E241" t="inlineStr">
        <is>
          <t>LEKSAND</t>
        </is>
      </c>
      <c r="G241" t="n">
        <v>3</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46012</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28592-2023</t>
        </is>
      </c>
      <c r="B243" s="1" t="n">
        <v>45103</v>
      </c>
      <c r="C243" s="1" t="n">
        <v>46012</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29005-2025</t>
        </is>
      </c>
      <c r="B244" s="1" t="n">
        <v>45821.39326388889</v>
      </c>
      <c r="C244" s="1" t="n">
        <v>46012</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28985-2025</t>
        </is>
      </c>
      <c r="B245" s="1" t="n">
        <v>45821.36862268519</v>
      </c>
      <c r="C245" s="1" t="n">
        <v>46012</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42284-2025</t>
        </is>
      </c>
      <c r="B246" s="1" t="n">
        <v>45903</v>
      </c>
      <c r="C246" s="1" t="n">
        <v>46012</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2630-2025</t>
        </is>
      </c>
      <c r="B247" s="1" t="n">
        <v>45675.85865740741</v>
      </c>
      <c r="C247" s="1" t="n">
        <v>46012</v>
      </c>
      <c r="D247" t="inlineStr">
        <is>
          <t>DALARNAS LÄN</t>
        </is>
      </c>
      <c r="E247" t="inlineStr">
        <is>
          <t>LEKSAND</t>
        </is>
      </c>
      <c r="G247" t="n">
        <v>1.6</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46012</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29729-2025</t>
        </is>
      </c>
      <c r="B249" s="1" t="n">
        <v>45825.58077546296</v>
      </c>
      <c r="C249" s="1" t="n">
        <v>46012</v>
      </c>
      <c r="D249" t="inlineStr">
        <is>
          <t>DALARNAS LÄN</t>
        </is>
      </c>
      <c r="E249" t="inlineStr">
        <is>
          <t>LEKSAND</t>
        </is>
      </c>
      <c r="F249" t="inlineStr">
        <is>
          <t>Bergvik skog väst AB</t>
        </is>
      </c>
      <c r="G249" t="n">
        <v>4.3</v>
      </c>
      <c r="H249" t="n">
        <v>0</v>
      </c>
      <c r="I249" t="n">
        <v>0</v>
      </c>
      <c r="J249" t="n">
        <v>0</v>
      </c>
      <c r="K249" t="n">
        <v>0</v>
      </c>
      <c r="L249" t="n">
        <v>0</v>
      </c>
      <c r="M249" t="n">
        <v>0</v>
      </c>
      <c r="N249" t="n">
        <v>0</v>
      </c>
      <c r="O249" t="n">
        <v>0</v>
      </c>
      <c r="P249" t="n">
        <v>0</v>
      </c>
      <c r="Q249" t="n">
        <v>0</v>
      </c>
      <c r="R249" s="2" t="inlineStr"/>
    </row>
    <row r="250" ht="15" customHeight="1">
      <c r="A250" t="inlineStr">
        <is>
          <t>A 29553-2025</t>
        </is>
      </c>
      <c r="B250" s="1" t="n">
        <v>45825.35315972222</v>
      </c>
      <c r="C250" s="1" t="n">
        <v>46012</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13063-2023</t>
        </is>
      </c>
      <c r="B251" s="1" t="n">
        <v>45001</v>
      </c>
      <c r="C251" s="1" t="n">
        <v>46012</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24714-2025</t>
        </is>
      </c>
      <c r="B252" s="1" t="n">
        <v>45798.96927083333</v>
      </c>
      <c r="C252" s="1" t="n">
        <v>46012</v>
      </c>
      <c r="D252" t="inlineStr">
        <is>
          <t>DALARNAS LÄN</t>
        </is>
      </c>
      <c r="E252" t="inlineStr">
        <is>
          <t>LEKSAND</t>
        </is>
      </c>
      <c r="F252" t="inlineStr">
        <is>
          <t>Bergvik skog väst AB</t>
        </is>
      </c>
      <c r="G252" t="n">
        <v>6.2</v>
      </c>
      <c r="H252" t="n">
        <v>0</v>
      </c>
      <c r="I252" t="n">
        <v>0</v>
      </c>
      <c r="J252" t="n">
        <v>0</v>
      </c>
      <c r="K252" t="n">
        <v>0</v>
      </c>
      <c r="L252" t="n">
        <v>0</v>
      </c>
      <c r="M252" t="n">
        <v>0</v>
      </c>
      <c r="N252" t="n">
        <v>0</v>
      </c>
      <c r="O252" t="n">
        <v>0</v>
      </c>
      <c r="P252" t="n">
        <v>0</v>
      </c>
      <c r="Q252" t="n">
        <v>0</v>
      </c>
      <c r="R252" s="2" t="inlineStr"/>
    </row>
    <row r="253" ht="15" customHeight="1">
      <c r="A253" t="inlineStr">
        <is>
          <t>A 30254-2025</t>
        </is>
      </c>
      <c r="B253" s="1" t="n">
        <v>45827.42336805556</v>
      </c>
      <c r="C253" s="1" t="n">
        <v>46012</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42727-2024</t>
        </is>
      </c>
      <c r="B254" s="1" t="n">
        <v>45566</v>
      </c>
      <c r="C254" s="1" t="n">
        <v>46012</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36444-2023</t>
        </is>
      </c>
      <c r="B255" s="1" t="n">
        <v>45152.63138888889</v>
      </c>
      <c r="C255" s="1" t="n">
        <v>46012</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40407-2024</t>
        </is>
      </c>
      <c r="B256" s="1" t="n">
        <v>45555</v>
      </c>
      <c r="C256" s="1" t="n">
        <v>46012</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43195-2025</t>
        </is>
      </c>
      <c r="B257" s="1" t="n">
        <v>45910.4294212963</v>
      </c>
      <c r="C257" s="1" t="n">
        <v>46012</v>
      </c>
      <c r="D257" t="inlineStr">
        <is>
          <t>DALARNAS LÄN</t>
        </is>
      </c>
      <c r="E257" t="inlineStr">
        <is>
          <t>LEKSAND</t>
        </is>
      </c>
      <c r="G257" t="n">
        <v>2.5</v>
      </c>
      <c r="H257" t="n">
        <v>0</v>
      </c>
      <c r="I257" t="n">
        <v>0</v>
      </c>
      <c r="J257" t="n">
        <v>0</v>
      </c>
      <c r="K257" t="n">
        <v>0</v>
      </c>
      <c r="L257" t="n">
        <v>0</v>
      </c>
      <c r="M257" t="n">
        <v>0</v>
      </c>
      <c r="N257" t="n">
        <v>0</v>
      </c>
      <c r="O257" t="n">
        <v>0</v>
      </c>
      <c r="P257" t="n">
        <v>0</v>
      </c>
      <c r="Q257" t="n">
        <v>0</v>
      </c>
      <c r="R257" s="2" t="inlineStr"/>
    </row>
    <row r="258" ht="15" customHeight="1">
      <c r="A258" t="inlineStr">
        <is>
          <t>A 30917-2025</t>
        </is>
      </c>
      <c r="B258" s="1" t="n">
        <v>45832.37989583334</v>
      </c>
      <c r="C258" s="1" t="n">
        <v>46012</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31179-2025</t>
        </is>
      </c>
      <c r="B259" s="1" t="n">
        <v>45832.67648148148</v>
      </c>
      <c r="C259" s="1" t="n">
        <v>46012</v>
      </c>
      <c r="D259" t="inlineStr">
        <is>
          <t>DALARNAS LÄN</t>
        </is>
      </c>
      <c r="E259" t="inlineStr">
        <is>
          <t>LEKSAND</t>
        </is>
      </c>
      <c r="G259" t="n">
        <v>4.7</v>
      </c>
      <c r="H259" t="n">
        <v>0</v>
      </c>
      <c r="I259" t="n">
        <v>0</v>
      </c>
      <c r="J259" t="n">
        <v>0</v>
      </c>
      <c r="K259" t="n">
        <v>0</v>
      </c>
      <c r="L259" t="n">
        <v>0</v>
      </c>
      <c r="M259" t="n">
        <v>0</v>
      </c>
      <c r="N259" t="n">
        <v>0</v>
      </c>
      <c r="O259" t="n">
        <v>0</v>
      </c>
      <c r="P259" t="n">
        <v>0</v>
      </c>
      <c r="Q259" t="n">
        <v>0</v>
      </c>
      <c r="R259" s="2" t="inlineStr"/>
    </row>
    <row r="260" ht="15" customHeight="1">
      <c r="A260" t="inlineStr">
        <is>
          <t>A 30969-2025</t>
        </is>
      </c>
      <c r="B260" s="1" t="n">
        <v>45832.45914351852</v>
      </c>
      <c r="C260" s="1" t="n">
        <v>46012</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30911-2025</t>
        </is>
      </c>
      <c r="B261" s="1" t="n">
        <v>45832.37547453704</v>
      </c>
      <c r="C261" s="1" t="n">
        <v>46012</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43830-2025</t>
        </is>
      </c>
      <c r="B262" s="1" t="n">
        <v>45912</v>
      </c>
      <c r="C262" s="1" t="n">
        <v>46012</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30920-2025</t>
        </is>
      </c>
      <c r="B263" s="1" t="n">
        <v>45832.38484953704</v>
      </c>
      <c r="C263" s="1" t="n">
        <v>46012</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43630-2025</t>
        </is>
      </c>
      <c r="B264" s="1" t="n">
        <v>45911.70278935185</v>
      </c>
      <c r="C264" s="1" t="n">
        <v>46012</v>
      </c>
      <c r="D264" t="inlineStr">
        <is>
          <t>DALARNAS LÄN</t>
        </is>
      </c>
      <c r="E264" t="inlineStr">
        <is>
          <t>LEKSAND</t>
        </is>
      </c>
      <c r="G264" t="n">
        <v>4.7</v>
      </c>
      <c r="H264" t="n">
        <v>0</v>
      </c>
      <c r="I264" t="n">
        <v>0</v>
      </c>
      <c r="J264" t="n">
        <v>0</v>
      </c>
      <c r="K264" t="n">
        <v>0</v>
      </c>
      <c r="L264" t="n">
        <v>0</v>
      </c>
      <c r="M264" t="n">
        <v>0</v>
      </c>
      <c r="N264" t="n">
        <v>0</v>
      </c>
      <c r="O264" t="n">
        <v>0</v>
      </c>
      <c r="P264" t="n">
        <v>0</v>
      </c>
      <c r="Q264" t="n">
        <v>0</v>
      </c>
      <c r="R264" s="2" t="inlineStr"/>
    </row>
    <row r="265" ht="15" customHeight="1">
      <c r="A265" t="inlineStr">
        <is>
          <t>A 46628-2024</t>
        </is>
      </c>
      <c r="B265" s="1" t="n">
        <v>45583.33195601852</v>
      </c>
      <c r="C265" s="1" t="n">
        <v>46012</v>
      </c>
      <c r="D265" t="inlineStr">
        <is>
          <t>DALARNAS LÄN</t>
        </is>
      </c>
      <c r="E265" t="inlineStr">
        <is>
          <t>LEKSAND</t>
        </is>
      </c>
      <c r="G265" t="n">
        <v>0.2</v>
      </c>
      <c r="H265" t="n">
        <v>0</v>
      </c>
      <c r="I265" t="n">
        <v>0</v>
      </c>
      <c r="J265" t="n">
        <v>0</v>
      </c>
      <c r="K265" t="n">
        <v>0</v>
      </c>
      <c r="L265" t="n">
        <v>0</v>
      </c>
      <c r="M265" t="n">
        <v>0</v>
      </c>
      <c r="N265" t="n">
        <v>0</v>
      </c>
      <c r="O265" t="n">
        <v>0</v>
      </c>
      <c r="P265" t="n">
        <v>0</v>
      </c>
      <c r="Q265" t="n">
        <v>0</v>
      </c>
      <c r="R265" s="2" t="inlineStr"/>
    </row>
    <row r="266" ht="15" customHeight="1">
      <c r="A266" t="inlineStr">
        <is>
          <t>A 43607-2025</t>
        </is>
      </c>
      <c r="B266" s="1" t="n">
        <v>45911.66873842593</v>
      </c>
      <c r="C266" s="1" t="n">
        <v>46012</v>
      </c>
      <c r="D266" t="inlineStr">
        <is>
          <t>DALARNAS LÄN</t>
        </is>
      </c>
      <c r="E266" t="inlineStr">
        <is>
          <t>LEKSAND</t>
        </is>
      </c>
      <c r="G266" t="n">
        <v>7.3</v>
      </c>
      <c r="H266" t="n">
        <v>0</v>
      </c>
      <c r="I266" t="n">
        <v>0</v>
      </c>
      <c r="J266" t="n">
        <v>0</v>
      </c>
      <c r="K266" t="n">
        <v>0</v>
      </c>
      <c r="L266" t="n">
        <v>0</v>
      </c>
      <c r="M266" t="n">
        <v>0</v>
      </c>
      <c r="N266" t="n">
        <v>0</v>
      </c>
      <c r="O266" t="n">
        <v>0</v>
      </c>
      <c r="P266" t="n">
        <v>0</v>
      </c>
      <c r="Q266" t="n">
        <v>0</v>
      </c>
      <c r="R266" s="2" t="inlineStr"/>
    </row>
    <row r="267" ht="15" customHeight="1">
      <c r="A267" t="inlineStr">
        <is>
          <t>A 43629-2025</t>
        </is>
      </c>
      <c r="B267" s="1" t="n">
        <v>45911.70180555555</v>
      </c>
      <c r="C267" s="1" t="n">
        <v>46012</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9141-2023</t>
        </is>
      </c>
      <c r="B268" s="1" t="n">
        <v>44974</v>
      </c>
      <c r="C268" s="1" t="n">
        <v>46012</v>
      </c>
      <c r="D268" t="inlineStr">
        <is>
          <t>DALARNAS LÄN</t>
        </is>
      </c>
      <c r="E268" t="inlineStr">
        <is>
          <t>LEKSAND</t>
        </is>
      </c>
      <c r="G268" t="n">
        <v>1.9</v>
      </c>
      <c r="H268" t="n">
        <v>0</v>
      </c>
      <c r="I268" t="n">
        <v>0</v>
      </c>
      <c r="J268" t="n">
        <v>0</v>
      </c>
      <c r="K268" t="n">
        <v>0</v>
      </c>
      <c r="L268" t="n">
        <v>0</v>
      </c>
      <c r="M268" t="n">
        <v>0</v>
      </c>
      <c r="N268" t="n">
        <v>0</v>
      </c>
      <c r="O268" t="n">
        <v>0</v>
      </c>
      <c r="P268" t="n">
        <v>0</v>
      </c>
      <c r="Q268" t="n">
        <v>0</v>
      </c>
      <c r="R268" s="2" t="inlineStr"/>
    </row>
    <row r="269" ht="15" customHeight="1">
      <c r="A269" t="inlineStr">
        <is>
          <t>A 30916-2025</t>
        </is>
      </c>
      <c r="B269" s="1" t="n">
        <v>45832.37885416667</v>
      </c>
      <c r="C269" s="1" t="n">
        <v>46012</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30973-2025</t>
        </is>
      </c>
      <c r="B270" s="1" t="n">
        <v>45832.46300925926</v>
      </c>
      <c r="C270" s="1" t="n">
        <v>46012</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43781-2025</t>
        </is>
      </c>
      <c r="B271" s="1" t="n">
        <v>45912.52229166667</v>
      </c>
      <c r="C271" s="1" t="n">
        <v>46012</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31189-2025</t>
        </is>
      </c>
      <c r="B272" s="1" t="n">
        <v>45832.6799537037</v>
      </c>
      <c r="C272" s="1" t="n">
        <v>46012</v>
      </c>
      <c r="D272" t="inlineStr">
        <is>
          <t>DALARNAS LÄN</t>
        </is>
      </c>
      <c r="E272" t="inlineStr">
        <is>
          <t>LEKSAND</t>
        </is>
      </c>
      <c r="G272" t="n">
        <v>5</v>
      </c>
      <c r="H272" t="n">
        <v>0</v>
      </c>
      <c r="I272" t="n">
        <v>0</v>
      </c>
      <c r="J272" t="n">
        <v>0</v>
      </c>
      <c r="K272" t="n">
        <v>0</v>
      </c>
      <c r="L272" t="n">
        <v>0</v>
      </c>
      <c r="M272" t="n">
        <v>0</v>
      </c>
      <c r="N272" t="n">
        <v>0</v>
      </c>
      <c r="O272" t="n">
        <v>0</v>
      </c>
      <c r="P272" t="n">
        <v>0</v>
      </c>
      <c r="Q272" t="n">
        <v>0</v>
      </c>
      <c r="R272" s="2" t="inlineStr"/>
    </row>
    <row r="273" ht="15" customHeight="1">
      <c r="A273" t="inlineStr">
        <is>
          <t>A 43875-2025</t>
        </is>
      </c>
      <c r="B273" s="1" t="n">
        <v>45912.67685185185</v>
      </c>
      <c r="C273" s="1" t="n">
        <v>46012</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54844-2021</t>
        </is>
      </c>
      <c r="B274" s="1" t="n">
        <v>44474.30614583333</v>
      </c>
      <c r="C274" s="1" t="n">
        <v>46012</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43888-2025</t>
        </is>
      </c>
      <c r="B275" s="1" t="n">
        <v>45912</v>
      </c>
      <c r="C275" s="1" t="n">
        <v>46012</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8211-2023</t>
        </is>
      </c>
      <c r="B276" s="1" t="n">
        <v>44974</v>
      </c>
      <c r="C276" s="1" t="n">
        <v>46012</v>
      </c>
      <c r="D276" t="inlineStr">
        <is>
          <t>DALARNAS LÄN</t>
        </is>
      </c>
      <c r="E276" t="inlineStr">
        <is>
          <t>LEKSAND</t>
        </is>
      </c>
      <c r="G276" t="n">
        <v>5.2</v>
      </c>
      <c r="H276" t="n">
        <v>0</v>
      </c>
      <c r="I276" t="n">
        <v>0</v>
      </c>
      <c r="J276" t="n">
        <v>0</v>
      </c>
      <c r="K276" t="n">
        <v>0</v>
      </c>
      <c r="L276" t="n">
        <v>0</v>
      </c>
      <c r="M276" t="n">
        <v>0</v>
      </c>
      <c r="N276" t="n">
        <v>0</v>
      </c>
      <c r="O276" t="n">
        <v>0</v>
      </c>
      <c r="P276" t="n">
        <v>0</v>
      </c>
      <c r="Q276" t="n">
        <v>0</v>
      </c>
      <c r="R276" s="2" t="inlineStr"/>
    </row>
    <row r="277" ht="15" customHeight="1">
      <c r="A277" t="inlineStr">
        <is>
          <t>A 31619-2025</t>
        </is>
      </c>
      <c r="B277" s="1" t="n">
        <v>45833</v>
      </c>
      <c r="C277" s="1" t="n">
        <v>46012</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43628-2025</t>
        </is>
      </c>
      <c r="B278" s="1" t="n">
        <v>45911.70060185185</v>
      </c>
      <c r="C278" s="1" t="n">
        <v>46012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46012</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44519-2025</t>
        </is>
      </c>
      <c r="B280" s="1" t="n">
        <v>45916.71483796297</v>
      </c>
      <c r="C280" s="1" t="n">
        <v>46012</v>
      </c>
      <c r="D280" t="inlineStr">
        <is>
          <t>DALARNAS LÄN</t>
        </is>
      </c>
      <c r="E280" t="inlineStr">
        <is>
          <t>LEKSAND</t>
        </is>
      </c>
      <c r="G280" t="n">
        <v>3.6</v>
      </c>
      <c r="H280" t="n">
        <v>0</v>
      </c>
      <c r="I280" t="n">
        <v>0</v>
      </c>
      <c r="J280" t="n">
        <v>0</v>
      </c>
      <c r="K280" t="n">
        <v>0</v>
      </c>
      <c r="L280" t="n">
        <v>0</v>
      </c>
      <c r="M280" t="n">
        <v>0</v>
      </c>
      <c r="N280" t="n">
        <v>0</v>
      </c>
      <c r="O280" t="n">
        <v>0</v>
      </c>
      <c r="P280" t="n">
        <v>0</v>
      </c>
      <c r="Q280" t="n">
        <v>0</v>
      </c>
      <c r="R280" s="2" t="inlineStr"/>
    </row>
    <row r="281" ht="15" customHeight="1">
      <c r="A281" t="inlineStr">
        <is>
          <t>A 31446-2025</t>
        </is>
      </c>
      <c r="B281" s="1" t="n">
        <v>45833</v>
      </c>
      <c r="C281" s="1" t="n">
        <v>46012</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31787-2025</t>
        </is>
      </c>
      <c r="B282" s="1" t="n">
        <v>45834</v>
      </c>
      <c r="C282" s="1" t="n">
        <v>46012</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46665-2023</t>
        </is>
      </c>
      <c r="B283" s="1" t="n">
        <v>45198.47399305556</v>
      </c>
      <c r="C283" s="1" t="n">
        <v>46012</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31493-2025</t>
        </is>
      </c>
      <c r="B284" s="1" t="n">
        <v>45833</v>
      </c>
      <c r="C284" s="1" t="n">
        <v>46012</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46012</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32104-2025</t>
        </is>
      </c>
      <c r="B286" s="1" t="n">
        <v>45835</v>
      </c>
      <c r="C286" s="1" t="n">
        <v>46012</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32593-2025</t>
        </is>
      </c>
      <c r="B287" s="1" t="n">
        <v>45838</v>
      </c>
      <c r="C287" s="1" t="n">
        <v>46012</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14615-2024</t>
        </is>
      </c>
      <c r="B288" s="1" t="n">
        <v>45397.26047453703</v>
      </c>
      <c r="C288" s="1" t="n">
        <v>46012</v>
      </c>
      <c r="D288" t="inlineStr">
        <is>
          <t>DALARNAS LÄN</t>
        </is>
      </c>
      <c r="E288" t="inlineStr">
        <is>
          <t>LEKSAND</t>
        </is>
      </c>
      <c r="G288" t="n">
        <v>0.4</v>
      </c>
      <c r="H288" t="n">
        <v>0</v>
      </c>
      <c r="I288" t="n">
        <v>0</v>
      </c>
      <c r="J288" t="n">
        <v>0</v>
      </c>
      <c r="K288" t="n">
        <v>0</v>
      </c>
      <c r="L288" t="n">
        <v>0</v>
      </c>
      <c r="M288" t="n">
        <v>0</v>
      </c>
      <c r="N288" t="n">
        <v>0</v>
      </c>
      <c r="O288" t="n">
        <v>0</v>
      </c>
      <c r="P288" t="n">
        <v>0</v>
      </c>
      <c r="Q288" t="n">
        <v>0</v>
      </c>
      <c r="R288" s="2" t="inlineStr"/>
    </row>
    <row r="289" ht="15" customHeight="1">
      <c r="A289" t="inlineStr">
        <is>
          <t>A 32661-2025</t>
        </is>
      </c>
      <c r="B289" s="1" t="n">
        <v>45838.67953703704</v>
      </c>
      <c r="C289" s="1" t="n">
        <v>46012</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44948-2025</t>
        </is>
      </c>
      <c r="B290" s="1" t="n">
        <v>45918.60555555556</v>
      </c>
      <c r="C290" s="1" t="n">
        <v>46012</v>
      </c>
      <c r="D290" t="inlineStr">
        <is>
          <t>DALARNAS LÄN</t>
        </is>
      </c>
      <c r="E290" t="inlineStr">
        <is>
          <t>LEKSAND</t>
        </is>
      </c>
      <c r="G290" t="n">
        <v>5.1</v>
      </c>
      <c r="H290" t="n">
        <v>0</v>
      </c>
      <c r="I290" t="n">
        <v>0</v>
      </c>
      <c r="J290" t="n">
        <v>0</v>
      </c>
      <c r="K290" t="n">
        <v>0</v>
      </c>
      <c r="L290" t="n">
        <v>0</v>
      </c>
      <c r="M290" t="n">
        <v>0</v>
      </c>
      <c r="N290" t="n">
        <v>0</v>
      </c>
      <c r="O290" t="n">
        <v>0</v>
      </c>
      <c r="P290" t="n">
        <v>0</v>
      </c>
      <c r="Q290" t="n">
        <v>0</v>
      </c>
      <c r="R290" s="2" t="inlineStr"/>
    </row>
    <row r="291" ht="15" customHeight="1">
      <c r="A291" t="inlineStr">
        <is>
          <t>A 32301-2025</t>
        </is>
      </c>
      <c r="B291" s="1" t="n">
        <v>45835</v>
      </c>
      <c r="C291" s="1" t="n">
        <v>46012</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30863-2024</t>
        </is>
      </c>
      <c r="B292" s="1" t="n">
        <v>45497.71074074074</v>
      </c>
      <c r="C292" s="1" t="n">
        <v>46012</v>
      </c>
      <c r="D292" t="inlineStr">
        <is>
          <t>DALARNAS LÄN</t>
        </is>
      </c>
      <c r="E292" t="inlineStr">
        <is>
          <t>LEKSAND</t>
        </is>
      </c>
      <c r="F292" t="inlineStr">
        <is>
          <t>Bergvik skog väst AB</t>
        </is>
      </c>
      <c r="G292" t="n">
        <v>0.6</v>
      </c>
      <c r="H292" t="n">
        <v>0</v>
      </c>
      <c r="I292" t="n">
        <v>0</v>
      </c>
      <c r="J292" t="n">
        <v>0</v>
      </c>
      <c r="K292" t="n">
        <v>0</v>
      </c>
      <c r="L292" t="n">
        <v>0</v>
      </c>
      <c r="M292" t="n">
        <v>0</v>
      </c>
      <c r="N292" t="n">
        <v>0</v>
      </c>
      <c r="O292" t="n">
        <v>0</v>
      </c>
      <c r="P292" t="n">
        <v>0</v>
      </c>
      <c r="Q292" t="n">
        <v>0</v>
      </c>
      <c r="R292" s="2" t="inlineStr"/>
    </row>
    <row r="293" ht="15" customHeight="1">
      <c r="A293" t="inlineStr">
        <is>
          <t>A 32653-2025</t>
        </is>
      </c>
      <c r="B293" s="1" t="n">
        <v>45838</v>
      </c>
      <c r="C293" s="1" t="n">
        <v>46012</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44672-2025</t>
        </is>
      </c>
      <c r="B294" s="1" t="n">
        <v>45917.56780092593</v>
      </c>
      <c r="C294" s="1" t="n">
        <v>46012</v>
      </c>
      <c r="D294" t="inlineStr">
        <is>
          <t>DALARNAS LÄN</t>
        </is>
      </c>
      <c r="E294" t="inlineStr">
        <is>
          <t>LEKSAND</t>
        </is>
      </c>
      <c r="G294" t="n">
        <v>0.5</v>
      </c>
      <c r="H294" t="n">
        <v>0</v>
      </c>
      <c r="I294" t="n">
        <v>0</v>
      </c>
      <c r="J294" t="n">
        <v>0</v>
      </c>
      <c r="K294" t="n">
        <v>0</v>
      </c>
      <c r="L294" t="n">
        <v>0</v>
      </c>
      <c r="M294" t="n">
        <v>0</v>
      </c>
      <c r="N294" t="n">
        <v>0</v>
      </c>
      <c r="O294" t="n">
        <v>0</v>
      </c>
      <c r="P294" t="n">
        <v>0</v>
      </c>
      <c r="Q294" t="n">
        <v>0</v>
      </c>
      <c r="R294" s="2" t="inlineStr"/>
    </row>
    <row r="295" ht="15" customHeight="1">
      <c r="A295" t="inlineStr">
        <is>
          <t>A 54289-2023</t>
        </is>
      </c>
      <c r="B295" s="1" t="n">
        <v>45232.71193287037</v>
      </c>
      <c r="C295" s="1" t="n">
        <v>46012</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31945-2025</t>
        </is>
      </c>
      <c r="B296" s="1" t="n">
        <v>45835</v>
      </c>
      <c r="C296" s="1" t="n">
        <v>46012</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45101-2025</t>
        </is>
      </c>
      <c r="B297" s="1" t="n">
        <v>45919.39679398148</v>
      </c>
      <c r="C297" s="1" t="n">
        <v>46012</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33160-2025</t>
        </is>
      </c>
      <c r="B298" s="1" t="n">
        <v>45840</v>
      </c>
      <c r="C298" s="1" t="n">
        <v>46012</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44750.48355324074</v>
      </c>
      <c r="C299" s="1" t="n">
        <v>46012</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45300-2025</t>
        </is>
      </c>
      <c r="B300" s="1" t="n">
        <v>45921.30490740741</v>
      </c>
      <c r="C300" s="1" t="n">
        <v>46012</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45381-2025</t>
        </is>
      </c>
      <c r="B301" s="1" t="n">
        <v>45922.39989583333</v>
      </c>
      <c r="C301" s="1" t="n">
        <v>46012</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32855-2025</t>
        </is>
      </c>
      <c r="B302" s="1" t="n">
        <v>45839.57643518518</v>
      </c>
      <c r="C302" s="1" t="n">
        <v>46012</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45318-2025</t>
        </is>
      </c>
      <c r="B303" s="1" t="n">
        <v>45921.85230324074</v>
      </c>
      <c r="C303" s="1" t="n">
        <v>46012</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12356-2023</t>
        </is>
      </c>
      <c r="B304" s="1" t="n">
        <v>44998</v>
      </c>
      <c r="C304" s="1" t="n">
        <v>46012</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46176-2025</t>
        </is>
      </c>
      <c r="B305" s="1" t="n">
        <v>45924.65101851852</v>
      </c>
      <c r="C305" s="1" t="n">
        <v>46012</v>
      </c>
      <c r="D305" t="inlineStr">
        <is>
          <t>DALARNAS LÄN</t>
        </is>
      </c>
      <c r="E305" t="inlineStr">
        <is>
          <t>LEKSAND</t>
        </is>
      </c>
      <c r="G305" t="n">
        <v>2.4</v>
      </c>
      <c r="H305" t="n">
        <v>0</v>
      </c>
      <c r="I305" t="n">
        <v>0</v>
      </c>
      <c r="J305" t="n">
        <v>0</v>
      </c>
      <c r="K305" t="n">
        <v>0</v>
      </c>
      <c r="L305" t="n">
        <v>0</v>
      </c>
      <c r="M305" t="n">
        <v>0</v>
      </c>
      <c r="N305" t="n">
        <v>0</v>
      </c>
      <c r="O305" t="n">
        <v>0</v>
      </c>
      <c r="P305" t="n">
        <v>0</v>
      </c>
      <c r="Q305" t="n">
        <v>0</v>
      </c>
      <c r="R305" s="2" t="inlineStr"/>
    </row>
    <row r="306" ht="15" customHeight="1">
      <c r="A306" t="inlineStr">
        <is>
          <t>A 41046-2024</t>
        </is>
      </c>
      <c r="B306" s="1" t="n">
        <v>45559.36677083333</v>
      </c>
      <c r="C306" s="1" t="n">
        <v>46012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33804-2025</t>
        </is>
      </c>
      <c r="B307" s="1" t="n">
        <v>45842</v>
      </c>
      <c r="C307" s="1" t="n">
        <v>46012</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56016-2024</t>
        </is>
      </c>
      <c r="B308" s="1" t="n">
        <v>45623.87737268519</v>
      </c>
      <c r="C308" s="1" t="n">
        <v>46012</v>
      </c>
      <c r="D308" t="inlineStr">
        <is>
          <t>DALARNAS LÄN</t>
        </is>
      </c>
      <c r="E308" t="inlineStr">
        <is>
          <t>LEKSAND</t>
        </is>
      </c>
      <c r="G308" t="n">
        <v>6.1</v>
      </c>
      <c r="H308" t="n">
        <v>0</v>
      </c>
      <c r="I308" t="n">
        <v>0</v>
      </c>
      <c r="J308" t="n">
        <v>0</v>
      </c>
      <c r="K308" t="n">
        <v>0</v>
      </c>
      <c r="L308" t="n">
        <v>0</v>
      </c>
      <c r="M308" t="n">
        <v>0</v>
      </c>
      <c r="N308" t="n">
        <v>0</v>
      </c>
      <c r="O308" t="n">
        <v>0</v>
      </c>
      <c r="P308" t="n">
        <v>0</v>
      </c>
      <c r="Q308" t="n">
        <v>0</v>
      </c>
      <c r="R308" s="2" t="inlineStr"/>
    </row>
    <row r="309" ht="15" customHeight="1">
      <c r="A309" t="inlineStr">
        <is>
          <t>A 46405-2025</t>
        </is>
      </c>
      <c r="B309" s="1" t="n">
        <v>45925.56306712963</v>
      </c>
      <c r="C309" s="1" t="n">
        <v>46012</v>
      </c>
      <c r="D309" t="inlineStr">
        <is>
          <t>DALARNAS LÄN</t>
        </is>
      </c>
      <c r="E309" t="inlineStr">
        <is>
          <t>LEKSAND</t>
        </is>
      </c>
      <c r="G309" t="n">
        <v>5.7</v>
      </c>
      <c r="H309" t="n">
        <v>0</v>
      </c>
      <c r="I309" t="n">
        <v>0</v>
      </c>
      <c r="J309" t="n">
        <v>0</v>
      </c>
      <c r="K309" t="n">
        <v>0</v>
      </c>
      <c r="L309" t="n">
        <v>0</v>
      </c>
      <c r="M309" t="n">
        <v>0</v>
      </c>
      <c r="N309" t="n">
        <v>0</v>
      </c>
      <c r="O309" t="n">
        <v>0</v>
      </c>
      <c r="P309" t="n">
        <v>0</v>
      </c>
      <c r="Q309" t="n">
        <v>0</v>
      </c>
      <c r="R309" s="2" t="inlineStr"/>
    </row>
    <row r="310" ht="15" customHeight="1">
      <c r="A310" t="inlineStr">
        <is>
          <t>A 46483-2025</t>
        </is>
      </c>
      <c r="B310" s="1" t="n">
        <v>45925.70248842592</v>
      </c>
      <c r="C310" s="1" t="n">
        <v>46012</v>
      </c>
      <c r="D310" t="inlineStr">
        <is>
          <t>DALARNAS LÄN</t>
        </is>
      </c>
      <c r="E310" t="inlineStr">
        <is>
          <t>LEKSAND</t>
        </is>
      </c>
      <c r="G310" t="n">
        <v>3.6</v>
      </c>
      <c r="H310" t="n">
        <v>0</v>
      </c>
      <c r="I310" t="n">
        <v>0</v>
      </c>
      <c r="J310" t="n">
        <v>0</v>
      </c>
      <c r="K310" t="n">
        <v>0</v>
      </c>
      <c r="L310" t="n">
        <v>0</v>
      </c>
      <c r="M310" t="n">
        <v>0</v>
      </c>
      <c r="N310" t="n">
        <v>0</v>
      </c>
      <c r="O310" t="n">
        <v>0</v>
      </c>
      <c r="P310" t="n">
        <v>0</v>
      </c>
      <c r="Q310" t="n">
        <v>0</v>
      </c>
      <c r="R310" s="2" t="inlineStr"/>
    </row>
    <row r="311" ht="15" customHeight="1">
      <c r="A311" t="inlineStr">
        <is>
          <t>A 55926-2024</t>
        </is>
      </c>
      <c r="B311" s="1" t="n">
        <v>45623.601875</v>
      </c>
      <c r="C311" s="1" t="n">
        <v>46012</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16293-2025</t>
        </is>
      </c>
      <c r="B312" s="1" t="n">
        <v>45751.33447916667</v>
      </c>
      <c r="C312" s="1" t="n">
        <v>46012</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51860-2024</t>
        </is>
      </c>
      <c r="B313" s="1" t="n">
        <v>45607.54511574074</v>
      </c>
      <c r="C313" s="1" t="n">
        <v>46012</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34789-2025</t>
        </is>
      </c>
      <c r="B314" s="1" t="n">
        <v>45848</v>
      </c>
      <c r="C314" s="1" t="n">
        <v>46012</v>
      </c>
      <c r="D314" t="inlineStr">
        <is>
          <t>DALARNAS LÄN</t>
        </is>
      </c>
      <c r="E314" t="inlineStr">
        <is>
          <t>LEKSAND</t>
        </is>
      </c>
      <c r="F314" t="inlineStr">
        <is>
          <t>Bergvik skog väst AB</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12363-2023</t>
        </is>
      </c>
      <c r="B315" s="1" t="n">
        <v>44998</v>
      </c>
      <c r="C315" s="1" t="n">
        <v>46012</v>
      </c>
      <c r="D315" t="inlineStr">
        <is>
          <t>DALARNAS LÄN</t>
        </is>
      </c>
      <c r="E315" t="inlineStr">
        <is>
          <t>LEKSAND</t>
        </is>
      </c>
      <c r="G315" t="n">
        <v>10</v>
      </c>
      <c r="H315" t="n">
        <v>0</v>
      </c>
      <c r="I315" t="n">
        <v>0</v>
      </c>
      <c r="J315" t="n">
        <v>0</v>
      </c>
      <c r="K315" t="n">
        <v>0</v>
      </c>
      <c r="L315" t="n">
        <v>0</v>
      </c>
      <c r="M315" t="n">
        <v>0</v>
      </c>
      <c r="N315" t="n">
        <v>0</v>
      </c>
      <c r="O315" t="n">
        <v>0</v>
      </c>
      <c r="P315" t="n">
        <v>0</v>
      </c>
      <c r="Q315" t="n">
        <v>0</v>
      </c>
      <c r="R315" s="2" t="inlineStr"/>
    </row>
    <row r="316" ht="15" customHeight="1">
      <c r="A316" t="inlineStr">
        <is>
          <t>A 41896-2024</t>
        </is>
      </c>
      <c r="B316" s="1" t="n">
        <v>45561.51310185185</v>
      </c>
      <c r="C316" s="1" t="n">
        <v>46012</v>
      </c>
      <c r="D316" t="inlineStr">
        <is>
          <t>DALARNAS LÄN</t>
        </is>
      </c>
      <c r="E316" t="inlineStr">
        <is>
          <t>LEKSAND</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34537-2025</t>
        </is>
      </c>
      <c r="B317" s="1" t="n">
        <v>45847</v>
      </c>
      <c r="C317" s="1" t="n">
        <v>46012</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46978-2025</t>
        </is>
      </c>
      <c r="B318" s="1" t="n">
        <v>45929.51811342593</v>
      </c>
      <c r="C318" s="1" t="n">
        <v>46012</v>
      </c>
      <c r="D318" t="inlineStr">
        <is>
          <t>DALARNAS LÄN</t>
        </is>
      </c>
      <c r="E318" t="inlineStr">
        <is>
          <t>LEKSAND</t>
        </is>
      </c>
      <c r="G318" t="n">
        <v>2</v>
      </c>
      <c r="H318" t="n">
        <v>0</v>
      </c>
      <c r="I318" t="n">
        <v>0</v>
      </c>
      <c r="J318" t="n">
        <v>0</v>
      </c>
      <c r="K318" t="n">
        <v>0</v>
      </c>
      <c r="L318" t="n">
        <v>0</v>
      </c>
      <c r="M318" t="n">
        <v>0</v>
      </c>
      <c r="N318" t="n">
        <v>0</v>
      </c>
      <c r="O318" t="n">
        <v>0</v>
      </c>
      <c r="P318" t="n">
        <v>0</v>
      </c>
      <c r="Q318" t="n">
        <v>0</v>
      </c>
      <c r="R318" s="2" t="inlineStr"/>
    </row>
    <row r="319" ht="15" customHeight="1">
      <c r="A319" t="inlineStr">
        <is>
          <t>A 15020-2023</t>
        </is>
      </c>
      <c r="B319" s="1" t="n">
        <v>45015.6196412037</v>
      </c>
      <c r="C319" s="1" t="n">
        <v>46012</v>
      </c>
      <c r="D319" t="inlineStr">
        <is>
          <t>DALARNAS LÄN</t>
        </is>
      </c>
      <c r="E319" t="inlineStr">
        <is>
          <t>LEKSAND</t>
        </is>
      </c>
      <c r="G319" t="n">
        <v>2.6</v>
      </c>
      <c r="H319" t="n">
        <v>0</v>
      </c>
      <c r="I319" t="n">
        <v>0</v>
      </c>
      <c r="J319" t="n">
        <v>0</v>
      </c>
      <c r="K319" t="n">
        <v>0</v>
      </c>
      <c r="L319" t="n">
        <v>0</v>
      </c>
      <c r="M319" t="n">
        <v>0</v>
      </c>
      <c r="N319" t="n">
        <v>0</v>
      </c>
      <c r="O319" t="n">
        <v>0</v>
      </c>
      <c r="P319" t="n">
        <v>0</v>
      </c>
      <c r="Q319" t="n">
        <v>0</v>
      </c>
      <c r="R319" s="2" t="inlineStr"/>
    </row>
    <row r="320" ht="15" customHeight="1">
      <c r="A320" t="inlineStr">
        <is>
          <t>A 55784-2025</t>
        </is>
      </c>
      <c r="B320" s="1" t="n">
        <v>45972.63765046297</v>
      </c>
      <c r="C320" s="1" t="n">
        <v>46012</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35094-2025</t>
        </is>
      </c>
      <c r="B321" s="1" t="n">
        <v>45852</v>
      </c>
      <c r="C321" s="1" t="n">
        <v>46012</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23323-2023</t>
        </is>
      </c>
      <c r="B322" s="1" t="n">
        <v>45076</v>
      </c>
      <c r="C322" s="1" t="n">
        <v>46012</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34965-2025</t>
        </is>
      </c>
      <c r="B323" s="1" t="n">
        <v>45849</v>
      </c>
      <c r="C323" s="1" t="n">
        <v>46012</v>
      </c>
      <c r="D323" t="inlineStr">
        <is>
          <t>DALARNAS LÄN</t>
        </is>
      </c>
      <c r="E323" t="inlineStr">
        <is>
          <t>LEKSAND</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34966-2025</t>
        </is>
      </c>
      <c r="B324" s="1" t="n">
        <v>45849</v>
      </c>
      <c r="C324" s="1" t="n">
        <v>46012</v>
      </c>
      <c r="D324" t="inlineStr">
        <is>
          <t>DALARNAS LÄN</t>
        </is>
      </c>
      <c r="E324" t="inlineStr">
        <is>
          <t>LEKSAND</t>
        </is>
      </c>
      <c r="F324" t="inlineStr">
        <is>
          <t>Bergvik skog väst AB</t>
        </is>
      </c>
      <c r="G324" t="n">
        <v>0.9</v>
      </c>
      <c r="H324" t="n">
        <v>0</v>
      </c>
      <c r="I324" t="n">
        <v>0</v>
      </c>
      <c r="J324" t="n">
        <v>0</v>
      </c>
      <c r="K324" t="n">
        <v>0</v>
      </c>
      <c r="L324" t="n">
        <v>0</v>
      </c>
      <c r="M324" t="n">
        <v>0</v>
      </c>
      <c r="N324" t="n">
        <v>0</v>
      </c>
      <c r="O324" t="n">
        <v>0</v>
      </c>
      <c r="P324" t="n">
        <v>0</v>
      </c>
      <c r="Q324" t="n">
        <v>0</v>
      </c>
      <c r="R324" s="2" t="inlineStr"/>
    </row>
    <row r="325" ht="15" customHeight="1">
      <c r="A325" t="inlineStr">
        <is>
          <t>A 55493-2025</t>
        </is>
      </c>
      <c r="B325" s="1" t="n">
        <v>45971.57913194445</v>
      </c>
      <c r="C325" s="1" t="n">
        <v>46012</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10299-2024</t>
        </is>
      </c>
      <c r="B326" s="1" t="n">
        <v>45365.50425925926</v>
      </c>
      <c r="C326" s="1" t="n">
        <v>46012</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55643-2024</t>
        </is>
      </c>
      <c r="B327" s="1" t="n">
        <v>45621</v>
      </c>
      <c r="C327" s="1" t="n">
        <v>46012</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60129-2023</t>
        </is>
      </c>
      <c r="B328" s="1" t="n">
        <v>45258.49056712963</v>
      </c>
      <c r="C328" s="1" t="n">
        <v>46012</v>
      </c>
      <c r="D328" t="inlineStr">
        <is>
          <t>DALARNAS LÄN</t>
        </is>
      </c>
      <c r="E328" t="inlineStr">
        <is>
          <t>LEKSAND</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47068-2025</t>
        </is>
      </c>
      <c r="B329" s="1" t="n">
        <v>45929.63511574074</v>
      </c>
      <c r="C329" s="1" t="n">
        <v>46012</v>
      </c>
      <c r="D329" t="inlineStr">
        <is>
          <t>DALARNAS LÄN</t>
        </is>
      </c>
      <c r="E329" t="inlineStr">
        <is>
          <t>LEKSAND</t>
        </is>
      </c>
      <c r="G329" t="n">
        <v>3.4</v>
      </c>
      <c r="H329" t="n">
        <v>0</v>
      </c>
      <c r="I329" t="n">
        <v>0</v>
      </c>
      <c r="J329" t="n">
        <v>0</v>
      </c>
      <c r="K329" t="n">
        <v>0</v>
      </c>
      <c r="L329" t="n">
        <v>0</v>
      </c>
      <c r="M329" t="n">
        <v>0</v>
      </c>
      <c r="N329" t="n">
        <v>0</v>
      </c>
      <c r="O329" t="n">
        <v>0</v>
      </c>
      <c r="P329" t="n">
        <v>0</v>
      </c>
      <c r="Q329" t="n">
        <v>0</v>
      </c>
      <c r="R329" s="2" t="inlineStr"/>
    </row>
    <row r="330" ht="15" customHeight="1">
      <c r="A330" t="inlineStr">
        <is>
          <t>A 46949-2025</t>
        </is>
      </c>
      <c r="B330" s="1" t="n">
        <v>45929.46811342592</v>
      </c>
      <c r="C330" s="1" t="n">
        <v>46012</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16137-2023</t>
        </is>
      </c>
      <c r="B331" s="1" t="n">
        <v>45027</v>
      </c>
      <c r="C331" s="1" t="n">
        <v>46012</v>
      </c>
      <c r="D331" t="inlineStr">
        <is>
          <t>DALARNAS LÄN</t>
        </is>
      </c>
      <c r="E331" t="inlineStr">
        <is>
          <t>LEKSAND</t>
        </is>
      </c>
      <c r="G331" t="n">
        <v>1.6</v>
      </c>
      <c r="H331" t="n">
        <v>0</v>
      </c>
      <c r="I331" t="n">
        <v>0</v>
      </c>
      <c r="J331" t="n">
        <v>0</v>
      </c>
      <c r="K331" t="n">
        <v>0</v>
      </c>
      <c r="L331" t="n">
        <v>0</v>
      </c>
      <c r="M331" t="n">
        <v>0</v>
      </c>
      <c r="N331" t="n">
        <v>0</v>
      </c>
      <c r="O331" t="n">
        <v>0</v>
      </c>
      <c r="P331" t="n">
        <v>0</v>
      </c>
      <c r="Q331" t="n">
        <v>0</v>
      </c>
      <c r="R331" s="2" t="inlineStr"/>
    </row>
    <row r="332" ht="15" customHeight="1">
      <c r="A332" t="inlineStr">
        <is>
          <t>A 56283-2024</t>
        </is>
      </c>
      <c r="B332" s="1" t="n">
        <v>45624.67864583333</v>
      </c>
      <c r="C332" s="1" t="n">
        <v>46012</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56299-2024</t>
        </is>
      </c>
      <c r="B333" s="1" t="n">
        <v>45624.68607638889</v>
      </c>
      <c r="C333" s="1" t="n">
        <v>46012</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13705-2021</t>
        </is>
      </c>
      <c r="B334" s="1" t="n">
        <v>44274</v>
      </c>
      <c r="C334" s="1" t="n">
        <v>46012</v>
      </c>
      <c r="D334" t="inlineStr">
        <is>
          <t>DALARNAS LÄN</t>
        </is>
      </c>
      <c r="E334" t="inlineStr">
        <is>
          <t>LEKSAND</t>
        </is>
      </c>
      <c r="G334" t="n">
        <v>3.8</v>
      </c>
      <c r="H334" t="n">
        <v>0</v>
      </c>
      <c r="I334" t="n">
        <v>0</v>
      </c>
      <c r="J334" t="n">
        <v>0</v>
      </c>
      <c r="K334" t="n">
        <v>0</v>
      </c>
      <c r="L334" t="n">
        <v>0</v>
      </c>
      <c r="M334" t="n">
        <v>0</v>
      </c>
      <c r="N334" t="n">
        <v>0</v>
      </c>
      <c r="O334" t="n">
        <v>0</v>
      </c>
      <c r="P334" t="n">
        <v>0</v>
      </c>
      <c r="Q334" t="n">
        <v>0</v>
      </c>
      <c r="R334" s="2" t="inlineStr"/>
    </row>
    <row r="335" ht="15" customHeight="1">
      <c r="A335" t="inlineStr">
        <is>
          <t>A 43077-2024</t>
        </is>
      </c>
      <c r="B335" s="1" t="n">
        <v>45567.50030092592</v>
      </c>
      <c r="C335" s="1" t="n">
        <v>46012</v>
      </c>
      <c r="D335" t="inlineStr">
        <is>
          <t>DALARNAS LÄN</t>
        </is>
      </c>
      <c r="E335" t="inlineStr">
        <is>
          <t>LEKSAND</t>
        </is>
      </c>
      <c r="G335" t="n">
        <v>1.6</v>
      </c>
      <c r="H335" t="n">
        <v>0</v>
      </c>
      <c r="I335" t="n">
        <v>0</v>
      </c>
      <c r="J335" t="n">
        <v>0</v>
      </c>
      <c r="K335" t="n">
        <v>0</v>
      </c>
      <c r="L335" t="n">
        <v>0</v>
      </c>
      <c r="M335" t="n">
        <v>0</v>
      </c>
      <c r="N335" t="n">
        <v>0</v>
      </c>
      <c r="O335" t="n">
        <v>0</v>
      </c>
      <c r="P335" t="n">
        <v>0</v>
      </c>
      <c r="Q335" t="n">
        <v>0</v>
      </c>
      <c r="R335" s="2" t="inlineStr"/>
    </row>
    <row r="336" ht="15" customHeight="1">
      <c r="A336" t="inlineStr">
        <is>
          <t>A 35746-2025</t>
        </is>
      </c>
      <c r="B336" s="1" t="n">
        <v>45860</v>
      </c>
      <c r="C336" s="1" t="n">
        <v>46012</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47976-2025</t>
        </is>
      </c>
      <c r="B337" s="1" t="n">
        <v>45932.60846064815</v>
      </c>
      <c r="C337" s="1" t="n">
        <v>46012</v>
      </c>
      <c r="D337" t="inlineStr">
        <is>
          <t>DALARNAS LÄN</t>
        </is>
      </c>
      <c r="E337" t="inlineStr">
        <is>
          <t>LEKSAND</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47977-2025</t>
        </is>
      </c>
      <c r="B338" s="1" t="n">
        <v>45932.60920138889</v>
      </c>
      <c r="C338" s="1" t="n">
        <v>46012</v>
      </c>
      <c r="D338" t="inlineStr">
        <is>
          <t>DALARNAS LÄN</t>
        </is>
      </c>
      <c r="E338" t="inlineStr">
        <is>
          <t>LEKSAND</t>
        </is>
      </c>
      <c r="F338" t="inlineStr">
        <is>
          <t>Bergvik skog väst AB</t>
        </is>
      </c>
      <c r="G338" t="n">
        <v>0.2</v>
      </c>
      <c r="H338" t="n">
        <v>0</v>
      </c>
      <c r="I338" t="n">
        <v>0</v>
      </c>
      <c r="J338" t="n">
        <v>0</v>
      </c>
      <c r="K338" t="n">
        <v>0</v>
      </c>
      <c r="L338" t="n">
        <v>0</v>
      </c>
      <c r="M338" t="n">
        <v>0</v>
      </c>
      <c r="N338" t="n">
        <v>0</v>
      </c>
      <c r="O338" t="n">
        <v>0</v>
      </c>
      <c r="P338" t="n">
        <v>0</v>
      </c>
      <c r="Q338" t="n">
        <v>0</v>
      </c>
      <c r="R338" s="2" t="inlineStr"/>
    </row>
    <row r="339" ht="15" customHeight="1">
      <c r="A339" t="inlineStr">
        <is>
          <t>A 35866-2025</t>
        </is>
      </c>
      <c r="B339" s="1" t="n">
        <v>45861</v>
      </c>
      <c r="C339" s="1" t="n">
        <v>46012</v>
      </c>
      <c r="D339" t="inlineStr">
        <is>
          <t>DALARNAS LÄN</t>
        </is>
      </c>
      <c r="E339" t="inlineStr">
        <is>
          <t>LEKSAND</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56331-2025</t>
        </is>
      </c>
      <c r="B340" s="1" t="n">
        <v>45974.64157407408</v>
      </c>
      <c r="C340" s="1" t="n">
        <v>46012</v>
      </c>
      <c r="D340" t="inlineStr">
        <is>
          <t>DALARNAS LÄN</t>
        </is>
      </c>
      <c r="E340" t="inlineStr">
        <is>
          <t>LEKSAND</t>
        </is>
      </c>
      <c r="G340" t="n">
        <v>1.1</v>
      </c>
      <c r="H340" t="n">
        <v>0</v>
      </c>
      <c r="I340" t="n">
        <v>0</v>
      </c>
      <c r="J340" t="n">
        <v>0</v>
      </c>
      <c r="K340" t="n">
        <v>0</v>
      </c>
      <c r="L340" t="n">
        <v>0</v>
      </c>
      <c r="M340" t="n">
        <v>0</v>
      </c>
      <c r="N340" t="n">
        <v>0</v>
      </c>
      <c r="O340" t="n">
        <v>0</v>
      </c>
      <c r="P340" t="n">
        <v>0</v>
      </c>
      <c r="Q340" t="n">
        <v>0</v>
      </c>
      <c r="R340" s="2" t="inlineStr"/>
    </row>
    <row r="341" ht="15" customHeight="1">
      <c r="A341" t="inlineStr">
        <is>
          <t>A 35998-2025</t>
        </is>
      </c>
      <c r="B341" s="1" t="n">
        <v>45863.51550925926</v>
      </c>
      <c r="C341" s="1" t="n">
        <v>46012</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36021-2025</t>
        </is>
      </c>
      <c r="B342" s="1" t="n">
        <v>45863.72346064815</v>
      </c>
      <c r="C342" s="1" t="n">
        <v>46012</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24005-2024</t>
        </is>
      </c>
      <c r="B343" s="1" t="n">
        <v>45456.39239583333</v>
      </c>
      <c r="C343" s="1" t="n">
        <v>46012</v>
      </c>
      <c r="D343" t="inlineStr">
        <is>
          <t>DALARNAS LÄN</t>
        </is>
      </c>
      <c r="E343" t="inlineStr">
        <is>
          <t>LEKSAND</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1984-2025</t>
        </is>
      </c>
      <c r="B344" s="1" t="n">
        <v>45670</v>
      </c>
      <c r="C344" s="1" t="n">
        <v>46012</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56161-2025</t>
        </is>
      </c>
      <c r="B345" s="1" t="n">
        <v>45974.37554398148</v>
      </c>
      <c r="C345" s="1" t="n">
        <v>46012</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59199-2024</t>
        </is>
      </c>
      <c r="B346" s="1" t="n">
        <v>45637</v>
      </c>
      <c r="C346" s="1" t="n">
        <v>46012</v>
      </c>
      <c r="D346" t="inlineStr">
        <is>
          <t>DALARNAS LÄN</t>
        </is>
      </c>
      <c r="E346" t="inlineStr">
        <is>
          <t>LEKSAND</t>
        </is>
      </c>
      <c r="G346" t="n">
        <v>5.4</v>
      </c>
      <c r="H346" t="n">
        <v>0</v>
      </c>
      <c r="I346" t="n">
        <v>0</v>
      </c>
      <c r="J346" t="n">
        <v>0</v>
      </c>
      <c r="K346" t="n">
        <v>0</v>
      </c>
      <c r="L346" t="n">
        <v>0</v>
      </c>
      <c r="M346" t="n">
        <v>0</v>
      </c>
      <c r="N346" t="n">
        <v>0</v>
      </c>
      <c r="O346" t="n">
        <v>0</v>
      </c>
      <c r="P346" t="n">
        <v>0</v>
      </c>
      <c r="Q346" t="n">
        <v>0</v>
      </c>
      <c r="R346" s="2" t="inlineStr"/>
    </row>
    <row r="347" ht="15" customHeight="1">
      <c r="A347" t="inlineStr">
        <is>
          <t>A 36020-2025</t>
        </is>
      </c>
      <c r="B347" s="1" t="n">
        <v>45863</v>
      </c>
      <c r="C347" s="1" t="n">
        <v>46012</v>
      </c>
      <c r="D347" t="inlineStr">
        <is>
          <t>DALARNAS LÄN</t>
        </is>
      </c>
      <c r="E347" t="inlineStr">
        <is>
          <t>LEKSAND</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36017-2025</t>
        </is>
      </c>
      <c r="B348" s="1" t="n">
        <v>45863</v>
      </c>
      <c r="C348" s="1" t="n">
        <v>46012</v>
      </c>
      <c r="D348" t="inlineStr">
        <is>
          <t>DALARNAS LÄN</t>
        </is>
      </c>
      <c r="E348" t="inlineStr">
        <is>
          <t>LEKSAND</t>
        </is>
      </c>
      <c r="F348" t="inlineStr">
        <is>
          <t>Bergvik skog väst AB</t>
        </is>
      </c>
      <c r="G348" t="n">
        <v>17.9</v>
      </c>
      <c r="H348" t="n">
        <v>0</v>
      </c>
      <c r="I348" t="n">
        <v>0</v>
      </c>
      <c r="J348" t="n">
        <v>0</v>
      </c>
      <c r="K348" t="n">
        <v>0</v>
      </c>
      <c r="L348" t="n">
        <v>0</v>
      </c>
      <c r="M348" t="n">
        <v>0</v>
      </c>
      <c r="N348" t="n">
        <v>0</v>
      </c>
      <c r="O348" t="n">
        <v>0</v>
      </c>
      <c r="P348" t="n">
        <v>0</v>
      </c>
      <c r="Q348" t="n">
        <v>0</v>
      </c>
      <c r="R348" s="2" t="inlineStr"/>
    </row>
    <row r="349" ht="15" customHeight="1">
      <c r="A349" t="inlineStr">
        <is>
          <t>A 56623-2025</t>
        </is>
      </c>
      <c r="B349" s="1" t="n">
        <v>45975.60164351852</v>
      </c>
      <c r="C349" s="1" t="n">
        <v>46012</v>
      </c>
      <c r="D349" t="inlineStr">
        <is>
          <t>DALARNAS LÄN</t>
        </is>
      </c>
      <c r="E349" t="inlineStr">
        <is>
          <t>LEKSAND</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36190-2025</t>
        </is>
      </c>
      <c r="B350" s="1" t="n">
        <v>45867</v>
      </c>
      <c r="C350" s="1" t="n">
        <v>46012</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33310-2023</t>
        </is>
      </c>
      <c r="B351" s="1" t="n">
        <v>45127.82231481482</v>
      </c>
      <c r="C351" s="1" t="n">
        <v>46012</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57899-2024</t>
        </is>
      </c>
      <c r="B352" s="1" t="n">
        <v>45630</v>
      </c>
      <c r="C352" s="1" t="n">
        <v>46012</v>
      </c>
      <c r="D352" t="inlineStr">
        <is>
          <t>DALARNAS LÄN</t>
        </is>
      </c>
      <c r="E352" t="inlineStr">
        <is>
          <t>LEKSAND</t>
        </is>
      </c>
      <c r="G352" t="n">
        <v>0.6</v>
      </c>
      <c r="H352" t="n">
        <v>0</v>
      </c>
      <c r="I352" t="n">
        <v>0</v>
      </c>
      <c r="J352" t="n">
        <v>0</v>
      </c>
      <c r="K352" t="n">
        <v>0</v>
      </c>
      <c r="L352" t="n">
        <v>0</v>
      </c>
      <c r="M352" t="n">
        <v>0</v>
      </c>
      <c r="N352" t="n">
        <v>0</v>
      </c>
      <c r="O352" t="n">
        <v>0</v>
      </c>
      <c r="P352" t="n">
        <v>0</v>
      </c>
      <c r="Q352" t="n">
        <v>0</v>
      </c>
      <c r="R352" s="2" t="inlineStr"/>
    </row>
    <row r="353" ht="15" customHeight="1">
      <c r="A353" t="inlineStr">
        <is>
          <t>A 11110-2023</t>
        </is>
      </c>
      <c r="B353" s="1" t="n">
        <v>44992</v>
      </c>
      <c r="C353" s="1" t="n">
        <v>46012</v>
      </c>
      <c r="D353" t="inlineStr">
        <is>
          <t>DALARNAS LÄN</t>
        </is>
      </c>
      <c r="E353" t="inlineStr">
        <is>
          <t>LEKSAND</t>
        </is>
      </c>
      <c r="G353" t="n">
        <v>11.2</v>
      </c>
      <c r="H353" t="n">
        <v>0</v>
      </c>
      <c r="I353" t="n">
        <v>0</v>
      </c>
      <c r="J353" t="n">
        <v>0</v>
      </c>
      <c r="K353" t="n">
        <v>0</v>
      </c>
      <c r="L353" t="n">
        <v>0</v>
      </c>
      <c r="M353" t="n">
        <v>0</v>
      </c>
      <c r="N353" t="n">
        <v>0</v>
      </c>
      <c r="O353" t="n">
        <v>0</v>
      </c>
      <c r="P353" t="n">
        <v>0</v>
      </c>
      <c r="Q353" t="n">
        <v>0</v>
      </c>
      <c r="R353" s="2" t="inlineStr"/>
    </row>
    <row r="354" ht="15" customHeight="1">
      <c r="A354" t="inlineStr">
        <is>
          <t>A 56753-2023</t>
        </is>
      </c>
      <c r="B354" s="1" t="n">
        <v>45244.37094907407</v>
      </c>
      <c r="C354" s="1" t="n">
        <v>46012</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48421-2025</t>
        </is>
      </c>
      <c r="B355" s="1" t="n">
        <v>45934.67564814815</v>
      </c>
      <c r="C355" s="1" t="n">
        <v>46012</v>
      </c>
      <c r="D355" t="inlineStr">
        <is>
          <t>DALARNAS LÄN</t>
        </is>
      </c>
      <c r="E355" t="inlineStr">
        <is>
          <t>LEKSAND</t>
        </is>
      </c>
      <c r="G355" t="n">
        <v>2.2</v>
      </c>
      <c r="H355" t="n">
        <v>0</v>
      </c>
      <c r="I355" t="n">
        <v>0</v>
      </c>
      <c r="J355" t="n">
        <v>0</v>
      </c>
      <c r="K355" t="n">
        <v>0</v>
      </c>
      <c r="L355" t="n">
        <v>0</v>
      </c>
      <c r="M355" t="n">
        <v>0</v>
      </c>
      <c r="N355" t="n">
        <v>0</v>
      </c>
      <c r="O355" t="n">
        <v>0</v>
      </c>
      <c r="P355" t="n">
        <v>0</v>
      </c>
      <c r="Q355" t="n">
        <v>0</v>
      </c>
      <c r="R355" s="2" t="inlineStr"/>
    </row>
    <row r="356" ht="15" customHeight="1">
      <c r="A356" t="inlineStr">
        <is>
          <t>A 36540-2025</t>
        </is>
      </c>
      <c r="B356" s="1" t="n">
        <v>45869.63885416667</v>
      </c>
      <c r="C356" s="1" t="n">
        <v>46012</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56960-2025</t>
        </is>
      </c>
      <c r="B357" s="1" t="n">
        <v>45978.65903935185</v>
      </c>
      <c r="C357" s="1" t="n">
        <v>46012</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57933-2024</t>
        </is>
      </c>
      <c r="B358" s="1" t="n">
        <v>45630</v>
      </c>
      <c r="C358" s="1" t="n">
        <v>46012</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11403-2023</t>
        </is>
      </c>
      <c r="B359" s="1" t="n">
        <v>44993</v>
      </c>
      <c r="C359" s="1" t="n">
        <v>46012</v>
      </c>
      <c r="D359" t="inlineStr">
        <is>
          <t>DALARNAS LÄN</t>
        </is>
      </c>
      <c r="E359" t="inlineStr">
        <is>
          <t>LEKSAND</t>
        </is>
      </c>
      <c r="G359" t="n">
        <v>0.1</v>
      </c>
      <c r="H359" t="n">
        <v>0</v>
      </c>
      <c r="I359" t="n">
        <v>0</v>
      </c>
      <c r="J359" t="n">
        <v>0</v>
      </c>
      <c r="K359" t="n">
        <v>0</v>
      </c>
      <c r="L359" t="n">
        <v>0</v>
      </c>
      <c r="M359" t="n">
        <v>0</v>
      </c>
      <c r="N359" t="n">
        <v>0</v>
      </c>
      <c r="O359" t="n">
        <v>0</v>
      </c>
      <c r="P359" t="n">
        <v>0</v>
      </c>
      <c r="Q359" t="n">
        <v>0</v>
      </c>
      <c r="R359" s="2" t="inlineStr"/>
    </row>
    <row r="360" ht="15" customHeight="1">
      <c r="A360" t="inlineStr">
        <is>
          <t>A 22683-2022</t>
        </is>
      </c>
      <c r="B360" s="1" t="n">
        <v>44714</v>
      </c>
      <c r="C360" s="1" t="n">
        <v>46012</v>
      </c>
      <c r="D360" t="inlineStr">
        <is>
          <t>DALARNAS LÄN</t>
        </is>
      </c>
      <c r="E360" t="inlineStr">
        <is>
          <t>LEKSAND</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52755-2024</t>
        </is>
      </c>
      <c r="B361" s="1" t="n">
        <v>45610.50217592593</v>
      </c>
      <c r="C361" s="1" t="n">
        <v>46012</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56517-2025</t>
        </is>
      </c>
      <c r="B362" s="1" t="n">
        <v>45975.45777777778</v>
      </c>
      <c r="C362" s="1" t="n">
        <v>46012</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46012</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46012</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6846-2023</t>
        </is>
      </c>
      <c r="B365" s="1" t="n">
        <v>44967.43953703704</v>
      </c>
      <c r="C365" s="1" t="n">
        <v>46012</v>
      </c>
      <c r="D365" t="inlineStr">
        <is>
          <t>DALARNAS LÄN</t>
        </is>
      </c>
      <c r="E365" t="inlineStr">
        <is>
          <t>LEKSAND</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57930-2024</t>
        </is>
      </c>
      <c r="B366" s="1" t="n">
        <v>45630</v>
      </c>
      <c r="C366" s="1" t="n">
        <v>46012</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46012</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51677-2024</t>
        </is>
      </c>
      <c r="B368" s="1" t="n">
        <v>45607.30265046296</v>
      </c>
      <c r="C368" s="1" t="n">
        <v>46012</v>
      </c>
      <c r="D368" t="inlineStr">
        <is>
          <t>DALARNAS LÄN</t>
        </is>
      </c>
      <c r="E368" t="inlineStr">
        <is>
          <t>LEKSAND</t>
        </is>
      </c>
      <c r="G368" t="n">
        <v>3.4</v>
      </c>
      <c r="H368" t="n">
        <v>0</v>
      </c>
      <c r="I368" t="n">
        <v>0</v>
      </c>
      <c r="J368" t="n">
        <v>0</v>
      </c>
      <c r="K368" t="n">
        <v>0</v>
      </c>
      <c r="L368" t="n">
        <v>0</v>
      </c>
      <c r="M368" t="n">
        <v>0</v>
      </c>
      <c r="N368" t="n">
        <v>0</v>
      </c>
      <c r="O368" t="n">
        <v>0</v>
      </c>
      <c r="P368" t="n">
        <v>0</v>
      </c>
      <c r="Q368" t="n">
        <v>0</v>
      </c>
      <c r="R368" s="2" t="inlineStr"/>
    </row>
    <row r="369" ht="15" customHeight="1">
      <c r="A369" t="inlineStr">
        <is>
          <t>A 56514-2025</t>
        </is>
      </c>
      <c r="B369" s="1" t="n">
        <v>45975.45502314815</v>
      </c>
      <c r="C369" s="1" t="n">
        <v>46012</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48824-2025</t>
        </is>
      </c>
      <c r="B370" s="1" t="n">
        <v>45937.37949074074</v>
      </c>
      <c r="C370" s="1" t="n">
        <v>46012</v>
      </c>
      <c r="D370" t="inlineStr">
        <is>
          <t>DALARNAS LÄN</t>
        </is>
      </c>
      <c r="E370" t="inlineStr">
        <is>
          <t>LEKSAND</t>
        </is>
      </c>
      <c r="G370" t="n">
        <v>6.3</v>
      </c>
      <c r="H370" t="n">
        <v>0</v>
      </c>
      <c r="I370" t="n">
        <v>0</v>
      </c>
      <c r="J370" t="n">
        <v>0</v>
      </c>
      <c r="K370" t="n">
        <v>0</v>
      </c>
      <c r="L370" t="n">
        <v>0</v>
      </c>
      <c r="M370" t="n">
        <v>0</v>
      </c>
      <c r="N370" t="n">
        <v>0</v>
      </c>
      <c r="O370" t="n">
        <v>0</v>
      </c>
      <c r="P370" t="n">
        <v>0</v>
      </c>
      <c r="Q370" t="n">
        <v>0</v>
      </c>
      <c r="R370" s="2" t="inlineStr"/>
    </row>
    <row r="371" ht="15" customHeight="1">
      <c r="A371" t="inlineStr">
        <is>
          <t>A 6030-2025</t>
        </is>
      </c>
      <c r="B371" s="1" t="n">
        <v>45695</v>
      </c>
      <c r="C371" s="1" t="n">
        <v>46012</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46012</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46012</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57231-2025</t>
        </is>
      </c>
      <c r="B374" s="1" t="n">
        <v>45979.62025462963</v>
      </c>
      <c r="C374" s="1" t="n">
        <v>46012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49076-2025</t>
        </is>
      </c>
      <c r="B375" s="1" t="n">
        <v>45937.65601851852</v>
      </c>
      <c r="C375" s="1" t="n">
        <v>46012</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57223-2025</t>
        </is>
      </c>
      <c r="B376" s="1" t="n">
        <v>45979.61486111111</v>
      </c>
      <c r="C376" s="1" t="n">
        <v>46012</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46012</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53981-2024</t>
        </is>
      </c>
      <c r="B378" s="1" t="n">
        <v>45615</v>
      </c>
      <c r="C378" s="1" t="n">
        <v>46012</v>
      </c>
      <c r="D378" t="inlineStr">
        <is>
          <t>DALARNAS LÄN</t>
        </is>
      </c>
      <c r="E378" t="inlineStr">
        <is>
          <t>LEKSAND</t>
        </is>
      </c>
      <c r="G378" t="n">
        <v>5.4</v>
      </c>
      <c r="H378" t="n">
        <v>0</v>
      </c>
      <c r="I378" t="n">
        <v>0</v>
      </c>
      <c r="J378" t="n">
        <v>0</v>
      </c>
      <c r="K378" t="n">
        <v>0</v>
      </c>
      <c r="L378" t="n">
        <v>0</v>
      </c>
      <c r="M378" t="n">
        <v>0</v>
      </c>
      <c r="N378" t="n">
        <v>0</v>
      </c>
      <c r="O378" t="n">
        <v>0</v>
      </c>
      <c r="P378" t="n">
        <v>0</v>
      </c>
      <c r="Q378" t="n">
        <v>0</v>
      </c>
      <c r="R378" s="2" t="inlineStr"/>
    </row>
    <row r="379" ht="15" customHeight="1">
      <c r="A379" t="inlineStr">
        <is>
          <t>A 37508-2025</t>
        </is>
      </c>
      <c r="B379" s="1" t="n">
        <v>45877.66282407408</v>
      </c>
      <c r="C379" s="1" t="n">
        <v>46012</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17589-2025</t>
        </is>
      </c>
      <c r="B380" s="1" t="n">
        <v>45757.67844907408</v>
      </c>
      <c r="C380" s="1" t="n">
        <v>46012</v>
      </c>
      <c r="D380" t="inlineStr">
        <is>
          <t>DALARNAS LÄN</t>
        </is>
      </c>
      <c r="E380" t="inlineStr">
        <is>
          <t>LEKSAND</t>
        </is>
      </c>
      <c r="G380" t="n">
        <v>5.8</v>
      </c>
      <c r="H380" t="n">
        <v>0</v>
      </c>
      <c r="I380" t="n">
        <v>0</v>
      </c>
      <c r="J380" t="n">
        <v>0</v>
      </c>
      <c r="K380" t="n">
        <v>0</v>
      </c>
      <c r="L380" t="n">
        <v>0</v>
      </c>
      <c r="M380" t="n">
        <v>0</v>
      </c>
      <c r="N380" t="n">
        <v>0</v>
      </c>
      <c r="O380" t="n">
        <v>0</v>
      </c>
      <c r="P380" t="n">
        <v>0</v>
      </c>
      <c r="Q380" t="n">
        <v>0</v>
      </c>
      <c r="R380" s="2" t="inlineStr"/>
    </row>
    <row r="381" ht="15" customHeight="1">
      <c r="A381" t="inlineStr">
        <is>
          <t>A 11740-2025</t>
        </is>
      </c>
      <c r="B381" s="1" t="n">
        <v>45727.62582175926</v>
      </c>
      <c r="C381" s="1" t="n">
        <v>46012</v>
      </c>
      <c r="D381" t="inlineStr">
        <is>
          <t>DALARNAS LÄN</t>
        </is>
      </c>
      <c r="E381" t="inlineStr">
        <is>
          <t>LEKSAND</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57536-2025</t>
        </is>
      </c>
      <c r="B382" s="1" t="n">
        <v>45980.64287037037</v>
      </c>
      <c r="C382" s="1" t="n">
        <v>46012</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57267-2025</t>
        </is>
      </c>
      <c r="B383" s="1" t="n">
        <v>45979.67476851852</v>
      </c>
      <c r="C383" s="1" t="n">
        <v>46012</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37996-2025</t>
        </is>
      </c>
      <c r="B384" s="1" t="n">
        <v>45881.8299537037</v>
      </c>
      <c r="C384" s="1" t="n">
        <v>46012</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38090-2025</t>
        </is>
      </c>
      <c r="B385" s="1" t="n">
        <v>45882.48440972222</v>
      </c>
      <c r="C385" s="1" t="n">
        <v>46012</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57760-2025</t>
        </is>
      </c>
      <c r="B386" s="1" t="n">
        <v>45981</v>
      </c>
      <c r="C386" s="1" t="n">
        <v>46012</v>
      </c>
      <c r="D386" t="inlineStr">
        <is>
          <t>DALARNAS LÄN</t>
        </is>
      </c>
      <c r="E386" t="inlineStr">
        <is>
          <t>LEKSAND</t>
        </is>
      </c>
      <c r="G386" t="n">
        <v>3.9</v>
      </c>
      <c r="H386" t="n">
        <v>0</v>
      </c>
      <c r="I386" t="n">
        <v>0</v>
      </c>
      <c r="J386" t="n">
        <v>0</v>
      </c>
      <c r="K386" t="n">
        <v>0</v>
      </c>
      <c r="L386" t="n">
        <v>0</v>
      </c>
      <c r="M386" t="n">
        <v>0</v>
      </c>
      <c r="N386" t="n">
        <v>0</v>
      </c>
      <c r="O386" t="n">
        <v>0</v>
      </c>
      <c r="P386" t="n">
        <v>0</v>
      </c>
      <c r="Q386" t="n">
        <v>0</v>
      </c>
      <c r="R386" s="2" t="inlineStr"/>
    </row>
    <row r="387" ht="15" customHeight="1">
      <c r="A387" t="inlineStr">
        <is>
          <t>A 57962-2025</t>
        </is>
      </c>
      <c r="B387" s="1" t="n">
        <v>45982.37767361111</v>
      </c>
      <c r="C387" s="1" t="n">
        <v>46012</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57688-2025</t>
        </is>
      </c>
      <c r="B388" s="1" t="n">
        <v>45981.44429398148</v>
      </c>
      <c r="C388" s="1" t="n">
        <v>46012</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57869-2025</t>
        </is>
      </c>
      <c r="B389" s="1" t="n">
        <v>45981.65211805556</v>
      </c>
      <c r="C389" s="1" t="n">
        <v>46012</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44491-2023</t>
        </is>
      </c>
      <c r="B390" s="1" t="n">
        <v>45183</v>
      </c>
      <c r="C390" s="1" t="n">
        <v>46012</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49505-2025</t>
        </is>
      </c>
      <c r="B391" s="1" t="n">
        <v>45939.37564814815</v>
      </c>
      <c r="C391" s="1" t="n">
        <v>46012</v>
      </c>
      <c r="D391" t="inlineStr">
        <is>
          <t>DALARNAS LÄN</t>
        </is>
      </c>
      <c r="E391" t="inlineStr">
        <is>
          <t>LEKSAND</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33001-2023</t>
        </is>
      </c>
      <c r="B392" s="1" t="n">
        <v>45125</v>
      </c>
      <c r="C392" s="1" t="n">
        <v>46012</v>
      </c>
      <c r="D392" t="inlineStr">
        <is>
          <t>DALARNAS LÄN</t>
        </is>
      </c>
      <c r="E392" t="inlineStr">
        <is>
          <t>LEKSAND</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58114-2025</t>
        </is>
      </c>
      <c r="B393" s="1" t="n">
        <v>45982.60335648148</v>
      </c>
      <c r="C393" s="1" t="n">
        <v>46012</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33674-2023</t>
        </is>
      </c>
      <c r="B394" s="1" t="n">
        <v>45132</v>
      </c>
      <c r="C394" s="1" t="n">
        <v>46012</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58519-2025</t>
        </is>
      </c>
      <c r="B395" s="1" t="n">
        <v>45985.70894675926</v>
      </c>
      <c r="C395" s="1" t="n">
        <v>46012</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58626-2025</t>
        </is>
      </c>
      <c r="B396" s="1" t="n">
        <v>45986.47667824074</v>
      </c>
      <c r="C396" s="1" t="n">
        <v>46012</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50332-2025</t>
        </is>
      </c>
      <c r="B397" s="1" t="n">
        <v>45944.47092592593</v>
      </c>
      <c r="C397" s="1" t="n">
        <v>46012</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58674-2025</t>
        </is>
      </c>
      <c r="B398" s="1" t="n">
        <v>45986.55810185185</v>
      </c>
      <c r="C398" s="1" t="n">
        <v>46012</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58376-2025</t>
        </is>
      </c>
      <c r="B399" s="1" t="n">
        <v>45985.53180555555</v>
      </c>
      <c r="C399" s="1" t="n">
        <v>46012</v>
      </c>
      <c r="D399" t="inlineStr">
        <is>
          <t>DALARNAS LÄN</t>
        </is>
      </c>
      <c r="E399" t="inlineStr">
        <is>
          <t>LEKSAND</t>
        </is>
      </c>
      <c r="G399" t="n">
        <v>5.7</v>
      </c>
      <c r="H399" t="n">
        <v>0</v>
      </c>
      <c r="I399" t="n">
        <v>0</v>
      </c>
      <c r="J399" t="n">
        <v>0</v>
      </c>
      <c r="K399" t="n">
        <v>0</v>
      </c>
      <c r="L399" t="n">
        <v>0</v>
      </c>
      <c r="M399" t="n">
        <v>0</v>
      </c>
      <c r="N399" t="n">
        <v>0</v>
      </c>
      <c r="O399" t="n">
        <v>0</v>
      </c>
      <c r="P399" t="n">
        <v>0</v>
      </c>
      <c r="Q399" t="n">
        <v>0</v>
      </c>
      <c r="R399" s="2" t="inlineStr"/>
    </row>
    <row r="400" ht="15" customHeight="1">
      <c r="A400" t="inlineStr">
        <is>
          <t>A 16135-2023</t>
        </is>
      </c>
      <c r="B400" s="1" t="n">
        <v>45027.63717592593</v>
      </c>
      <c r="C400" s="1" t="n">
        <v>46012</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30198-2024</t>
        </is>
      </c>
      <c r="B401" s="1" t="n">
        <v>45490.34765046297</v>
      </c>
      <c r="C401" s="1" t="n">
        <v>46012</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46012</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58516-2025</t>
        </is>
      </c>
      <c r="B403" s="1" t="n">
        <v>45985.70596064815</v>
      </c>
      <c r="C403" s="1" t="n">
        <v>46012</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19296-2024</t>
        </is>
      </c>
      <c r="B404" s="1" t="n">
        <v>45428.69438657408</v>
      </c>
      <c r="C404" s="1" t="n">
        <v>46012</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58449-2025</t>
        </is>
      </c>
      <c r="B405" s="1" t="n">
        <v>45985.62520833333</v>
      </c>
      <c r="C405" s="1" t="n">
        <v>46012</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58921-2025</t>
        </is>
      </c>
      <c r="B406" s="1" t="n">
        <v>45986</v>
      </c>
      <c r="C406" s="1" t="n">
        <v>46012</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33566-2023</t>
        </is>
      </c>
      <c r="B407" s="1" t="n">
        <v>45131.64390046296</v>
      </c>
      <c r="C407" s="1" t="n">
        <v>46012</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16592-2023</t>
        </is>
      </c>
      <c r="B408" s="1" t="n">
        <v>45030</v>
      </c>
      <c r="C408" s="1" t="n">
        <v>46012</v>
      </c>
      <c r="D408" t="inlineStr">
        <is>
          <t>DALARNAS LÄN</t>
        </is>
      </c>
      <c r="E408" t="inlineStr">
        <is>
          <t>LEKSAND</t>
        </is>
      </c>
      <c r="G408" t="n">
        <v>11.5</v>
      </c>
      <c r="H408" t="n">
        <v>0</v>
      </c>
      <c r="I408" t="n">
        <v>0</v>
      </c>
      <c r="J408" t="n">
        <v>0</v>
      </c>
      <c r="K408" t="n">
        <v>0</v>
      </c>
      <c r="L408" t="n">
        <v>0</v>
      </c>
      <c r="M408" t="n">
        <v>0</v>
      </c>
      <c r="N408" t="n">
        <v>0</v>
      </c>
      <c r="O408" t="n">
        <v>0</v>
      </c>
      <c r="P408" t="n">
        <v>0</v>
      </c>
      <c r="Q408" t="n">
        <v>0</v>
      </c>
      <c r="R408" s="2" t="inlineStr"/>
    </row>
    <row r="409" ht="15" customHeight="1">
      <c r="A409" t="inlineStr">
        <is>
          <t>A 59106-2025</t>
        </is>
      </c>
      <c r="B409" s="1" t="n">
        <v>45988.46891203704</v>
      </c>
      <c r="C409" s="1" t="n">
        <v>46012</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46012</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59271-2025</t>
        </is>
      </c>
      <c r="B411" s="1" t="n">
        <v>45988.68571759259</v>
      </c>
      <c r="C411" s="1" t="n">
        <v>46012</v>
      </c>
      <c r="D411" t="inlineStr">
        <is>
          <t>DALARNAS LÄN</t>
        </is>
      </c>
      <c r="E411" t="inlineStr">
        <is>
          <t>LEKSAND</t>
        </is>
      </c>
      <c r="G411" t="n">
        <v>2.2</v>
      </c>
      <c r="H411" t="n">
        <v>0</v>
      </c>
      <c r="I411" t="n">
        <v>0</v>
      </c>
      <c r="J411" t="n">
        <v>0</v>
      </c>
      <c r="K411" t="n">
        <v>0</v>
      </c>
      <c r="L411" t="n">
        <v>0</v>
      </c>
      <c r="M411" t="n">
        <v>0</v>
      </c>
      <c r="N411" t="n">
        <v>0</v>
      </c>
      <c r="O411" t="n">
        <v>0</v>
      </c>
      <c r="P411" t="n">
        <v>0</v>
      </c>
      <c r="Q411" t="n">
        <v>0</v>
      </c>
      <c r="R411" s="2" t="inlineStr"/>
    </row>
    <row r="412" ht="15" customHeight="1">
      <c r="A412" t="inlineStr">
        <is>
          <t>A 7395-2025</t>
        </is>
      </c>
      <c r="B412" s="1" t="n">
        <v>45705.34516203704</v>
      </c>
      <c r="C412" s="1" t="n">
        <v>46012</v>
      </c>
      <c r="D412" t="inlineStr">
        <is>
          <t>DALARNAS LÄN</t>
        </is>
      </c>
      <c r="E412" t="inlineStr">
        <is>
          <t>LEKSAND</t>
        </is>
      </c>
      <c r="G412" t="n">
        <v>1.8</v>
      </c>
      <c r="H412" t="n">
        <v>0</v>
      </c>
      <c r="I412" t="n">
        <v>0</v>
      </c>
      <c r="J412" t="n">
        <v>0</v>
      </c>
      <c r="K412" t="n">
        <v>0</v>
      </c>
      <c r="L412" t="n">
        <v>0</v>
      </c>
      <c r="M412" t="n">
        <v>0</v>
      </c>
      <c r="N412" t="n">
        <v>0</v>
      </c>
      <c r="O412" t="n">
        <v>0</v>
      </c>
      <c r="P412" t="n">
        <v>0</v>
      </c>
      <c r="Q412" t="n">
        <v>0</v>
      </c>
      <c r="R412" s="2" t="inlineStr"/>
    </row>
    <row r="413" ht="15" customHeight="1">
      <c r="A413" t="inlineStr">
        <is>
          <t>A 6028-2025</t>
        </is>
      </c>
      <c r="B413" s="1" t="n">
        <v>45695</v>
      </c>
      <c r="C413" s="1" t="n">
        <v>46012</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31971-2024</t>
        </is>
      </c>
      <c r="B414" s="1" t="n">
        <v>45510.55171296297</v>
      </c>
      <c r="C414" s="1" t="n">
        <v>46012</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61546-2021</t>
        </is>
      </c>
      <c r="B415" s="1" t="n">
        <v>44501</v>
      </c>
      <c r="C415" s="1" t="n">
        <v>46012</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32726-2025</t>
        </is>
      </c>
      <c r="B416" s="1" t="n">
        <v>45839.3969212963</v>
      </c>
      <c r="C416" s="1" t="n">
        <v>46012</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7653-2025</t>
        </is>
      </c>
      <c r="B417" s="1" t="n">
        <v>45705.95238425926</v>
      </c>
      <c r="C417" s="1" t="n">
        <v>46012</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41853-2023</t>
        </is>
      </c>
      <c r="B418" s="1" t="n">
        <v>45176.62483796296</v>
      </c>
      <c r="C418" s="1" t="n">
        <v>46012</v>
      </c>
      <c r="D418" t="inlineStr">
        <is>
          <t>DALARNAS LÄN</t>
        </is>
      </c>
      <c r="E418" t="inlineStr">
        <is>
          <t>LEKSAND</t>
        </is>
      </c>
      <c r="G418" t="n">
        <v>1</v>
      </c>
      <c r="H418" t="n">
        <v>0</v>
      </c>
      <c r="I418" t="n">
        <v>0</v>
      </c>
      <c r="J418" t="n">
        <v>0</v>
      </c>
      <c r="K418" t="n">
        <v>0</v>
      </c>
      <c r="L418" t="n">
        <v>0</v>
      </c>
      <c r="M418" t="n">
        <v>0</v>
      </c>
      <c r="N418" t="n">
        <v>0</v>
      </c>
      <c r="O418" t="n">
        <v>0</v>
      </c>
      <c r="P418" t="n">
        <v>0</v>
      </c>
      <c r="Q418" t="n">
        <v>0</v>
      </c>
      <c r="R418" s="2" t="inlineStr"/>
    </row>
    <row r="419" ht="15" customHeight="1">
      <c r="A419" t="inlineStr">
        <is>
          <t>A 62116-2024</t>
        </is>
      </c>
      <c r="B419" s="1" t="n">
        <v>45646</v>
      </c>
      <c r="C419" s="1" t="n">
        <v>46012</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15986-2025</t>
        </is>
      </c>
      <c r="B420" s="1" t="n">
        <v>45749.57331018519</v>
      </c>
      <c r="C420" s="1" t="n">
        <v>46012</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62295-2023</t>
        </is>
      </c>
      <c r="B421" s="1" t="n">
        <v>45267</v>
      </c>
      <c r="C421" s="1" t="n">
        <v>46012</v>
      </c>
      <c r="D421" t="inlineStr">
        <is>
          <t>DALARNAS LÄN</t>
        </is>
      </c>
      <c r="E421" t="inlineStr">
        <is>
          <t>LEKSAND</t>
        </is>
      </c>
      <c r="G421" t="n">
        <v>2.5</v>
      </c>
      <c r="H421" t="n">
        <v>0</v>
      </c>
      <c r="I421" t="n">
        <v>0</v>
      </c>
      <c r="J421" t="n">
        <v>0</v>
      </c>
      <c r="K421" t="n">
        <v>0</v>
      </c>
      <c r="L421" t="n">
        <v>0</v>
      </c>
      <c r="M421" t="n">
        <v>0</v>
      </c>
      <c r="N421" t="n">
        <v>0</v>
      </c>
      <c r="O421" t="n">
        <v>0</v>
      </c>
      <c r="P421" t="n">
        <v>0</v>
      </c>
      <c r="Q421" t="n">
        <v>0</v>
      </c>
      <c r="R421" s="2" t="inlineStr"/>
    </row>
    <row r="422" ht="15" customHeight="1">
      <c r="A422" t="inlineStr">
        <is>
          <t>A 10771-2024</t>
        </is>
      </c>
      <c r="B422" s="1" t="n">
        <v>45369.57342592593</v>
      </c>
      <c r="C422" s="1" t="n">
        <v>46012</v>
      </c>
      <c r="D422" t="inlineStr">
        <is>
          <t>DALARNAS LÄN</t>
        </is>
      </c>
      <c r="E422" t="inlineStr">
        <is>
          <t>LEKSAND</t>
        </is>
      </c>
      <c r="G422" t="n">
        <v>0.4</v>
      </c>
      <c r="H422" t="n">
        <v>0</v>
      </c>
      <c r="I422" t="n">
        <v>0</v>
      </c>
      <c r="J422" t="n">
        <v>0</v>
      </c>
      <c r="K422" t="n">
        <v>0</v>
      </c>
      <c r="L422" t="n">
        <v>0</v>
      </c>
      <c r="M422" t="n">
        <v>0</v>
      </c>
      <c r="N422" t="n">
        <v>0</v>
      </c>
      <c r="O422" t="n">
        <v>0</v>
      </c>
      <c r="P422" t="n">
        <v>0</v>
      </c>
      <c r="Q422" t="n">
        <v>0</v>
      </c>
      <c r="R422" s="2" t="inlineStr"/>
    </row>
    <row r="423" ht="15" customHeight="1">
      <c r="A423" t="inlineStr">
        <is>
          <t>A 51663-2025</t>
        </is>
      </c>
      <c r="B423" s="1" t="n">
        <v>45951</v>
      </c>
      <c r="C423" s="1" t="n">
        <v>46012</v>
      </c>
      <c r="D423" t="inlineStr">
        <is>
          <t>DALARNAS LÄN</t>
        </is>
      </c>
      <c r="E423" t="inlineStr">
        <is>
          <t>LEKSAND</t>
        </is>
      </c>
      <c r="F423" t="inlineStr">
        <is>
          <t>Bergvik skog väst AB</t>
        </is>
      </c>
      <c r="G423" t="n">
        <v>3.1</v>
      </c>
      <c r="H423" t="n">
        <v>0</v>
      </c>
      <c r="I423" t="n">
        <v>0</v>
      </c>
      <c r="J423" t="n">
        <v>0</v>
      </c>
      <c r="K423" t="n">
        <v>0</v>
      </c>
      <c r="L423" t="n">
        <v>0</v>
      </c>
      <c r="M423" t="n">
        <v>0</v>
      </c>
      <c r="N423" t="n">
        <v>0</v>
      </c>
      <c r="O423" t="n">
        <v>0</v>
      </c>
      <c r="P423" t="n">
        <v>0</v>
      </c>
      <c r="Q423" t="n">
        <v>0</v>
      </c>
      <c r="R423" s="2" t="inlineStr"/>
    </row>
    <row r="424" ht="15" customHeight="1">
      <c r="A424" t="inlineStr">
        <is>
          <t>A 46834-2023</t>
        </is>
      </c>
      <c r="B424" s="1" t="n">
        <v>45199.35668981481</v>
      </c>
      <c r="C424" s="1" t="n">
        <v>46012</v>
      </c>
      <c r="D424" t="inlineStr">
        <is>
          <t>DALARNAS LÄN</t>
        </is>
      </c>
      <c r="E424" t="inlineStr">
        <is>
          <t>LEKSAND</t>
        </is>
      </c>
      <c r="G424" t="n">
        <v>16.3</v>
      </c>
      <c r="H424" t="n">
        <v>0</v>
      </c>
      <c r="I424" t="n">
        <v>0</v>
      </c>
      <c r="J424" t="n">
        <v>0</v>
      </c>
      <c r="K424" t="n">
        <v>0</v>
      </c>
      <c r="L424" t="n">
        <v>0</v>
      </c>
      <c r="M424" t="n">
        <v>0</v>
      </c>
      <c r="N424" t="n">
        <v>0</v>
      </c>
      <c r="O424" t="n">
        <v>0</v>
      </c>
      <c r="P424" t="n">
        <v>0</v>
      </c>
      <c r="Q424" t="n">
        <v>0</v>
      </c>
      <c r="R424" s="2" t="inlineStr"/>
    </row>
    <row r="425" ht="15" customHeight="1">
      <c r="A425" t="inlineStr">
        <is>
          <t>A 60170-2025</t>
        </is>
      </c>
      <c r="B425" s="1" t="n">
        <v>45994.44629629629</v>
      </c>
      <c r="C425" s="1" t="n">
        <v>46012</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1983-2025</t>
        </is>
      </c>
      <c r="B426" s="1" t="n">
        <v>45670</v>
      </c>
      <c r="C426" s="1" t="n">
        <v>46012</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51728-2025</t>
        </is>
      </c>
      <c r="B427" s="1" t="n">
        <v>45951</v>
      </c>
      <c r="C427" s="1" t="n">
        <v>46012</v>
      </c>
      <c r="D427" t="inlineStr">
        <is>
          <t>DALARNAS LÄN</t>
        </is>
      </c>
      <c r="E427" t="inlineStr">
        <is>
          <t>LEKSAND</t>
        </is>
      </c>
      <c r="F427" t="inlineStr">
        <is>
          <t>Bergvik skog väst AB</t>
        </is>
      </c>
      <c r="G427" t="n">
        <v>14.2</v>
      </c>
      <c r="H427" t="n">
        <v>0</v>
      </c>
      <c r="I427" t="n">
        <v>0</v>
      </c>
      <c r="J427" t="n">
        <v>0</v>
      </c>
      <c r="K427" t="n">
        <v>0</v>
      </c>
      <c r="L427" t="n">
        <v>0</v>
      </c>
      <c r="M427" t="n">
        <v>0</v>
      </c>
      <c r="N427" t="n">
        <v>0</v>
      </c>
      <c r="O427" t="n">
        <v>0</v>
      </c>
      <c r="P427" t="n">
        <v>0</v>
      </c>
      <c r="Q427" t="n">
        <v>0</v>
      </c>
      <c r="R427" s="2" t="inlineStr"/>
    </row>
    <row r="428" ht="15" customHeight="1">
      <c r="A428" t="inlineStr">
        <is>
          <t>A 21402-2023</t>
        </is>
      </c>
      <c r="B428" s="1" t="n">
        <v>45061</v>
      </c>
      <c r="C428" s="1" t="n">
        <v>46012</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60067-2025</t>
        </is>
      </c>
      <c r="B429" s="1" t="n">
        <v>45993.66039351852</v>
      </c>
      <c r="C429" s="1" t="n">
        <v>46012</v>
      </c>
      <c r="D429" t="inlineStr">
        <is>
          <t>DALARNAS LÄN</t>
        </is>
      </c>
      <c r="E429" t="inlineStr">
        <is>
          <t>LEKSAND</t>
        </is>
      </c>
      <c r="G429" t="n">
        <v>3.3</v>
      </c>
      <c r="H429" t="n">
        <v>0</v>
      </c>
      <c r="I429" t="n">
        <v>0</v>
      </c>
      <c r="J429" t="n">
        <v>0</v>
      </c>
      <c r="K429" t="n">
        <v>0</v>
      </c>
      <c r="L429" t="n">
        <v>0</v>
      </c>
      <c r="M429" t="n">
        <v>0</v>
      </c>
      <c r="N429" t="n">
        <v>0</v>
      </c>
      <c r="O429" t="n">
        <v>0</v>
      </c>
      <c r="P429" t="n">
        <v>0</v>
      </c>
      <c r="Q429" t="n">
        <v>0</v>
      </c>
      <c r="R429" s="2" t="inlineStr"/>
    </row>
    <row r="430" ht="15" customHeight="1">
      <c r="A430" t="inlineStr">
        <is>
          <t>A 59083-2025</t>
        </is>
      </c>
      <c r="B430" s="1" t="n">
        <v>45988</v>
      </c>
      <c r="C430" s="1" t="n">
        <v>46012</v>
      </c>
      <c r="D430" t="inlineStr">
        <is>
          <t>DALARNAS LÄN</t>
        </is>
      </c>
      <c r="E430" t="inlineStr">
        <is>
          <t>LEKSAND</t>
        </is>
      </c>
      <c r="F430" t="inlineStr">
        <is>
          <t>Bergvik skog väst AB</t>
        </is>
      </c>
      <c r="G430" t="n">
        <v>2.7</v>
      </c>
      <c r="H430" t="n">
        <v>0</v>
      </c>
      <c r="I430" t="n">
        <v>0</v>
      </c>
      <c r="J430" t="n">
        <v>0</v>
      </c>
      <c r="K430" t="n">
        <v>0</v>
      </c>
      <c r="L430" t="n">
        <v>0</v>
      </c>
      <c r="M430" t="n">
        <v>0</v>
      </c>
      <c r="N430" t="n">
        <v>0</v>
      </c>
      <c r="O430" t="n">
        <v>0</v>
      </c>
      <c r="P430" t="n">
        <v>0</v>
      </c>
      <c r="Q430" t="n">
        <v>0</v>
      </c>
      <c r="R430" s="2" t="inlineStr"/>
      <c r="U430">
        <f>HYPERLINK("https://klasma.github.io/Logging_2029/knärot/A 59083-2025 karta knärot.png", "A 59083-2025")</f>
        <v/>
      </c>
      <c r="V430">
        <f>HYPERLINK("https://klasma.github.io/Logging_2029/klagomål/A 59083-2025 FSC-klagomål.docx", "A 59083-2025")</f>
        <v/>
      </c>
      <c r="W430">
        <f>HYPERLINK("https://klasma.github.io/Logging_2029/klagomålsmail/A 59083-2025 FSC-klagomål mail.docx", "A 59083-2025")</f>
        <v/>
      </c>
      <c r="X430">
        <f>HYPERLINK("https://klasma.github.io/Logging_2029/tillsyn/A 59083-2025 tillsynsbegäran.docx", "A 59083-2025")</f>
        <v/>
      </c>
      <c r="Y430">
        <f>HYPERLINK("https://klasma.github.io/Logging_2029/tillsynsmail/A 59083-2025 tillsynsbegäran mail.docx", "A 59083-2025")</f>
        <v/>
      </c>
    </row>
    <row r="431" ht="15" customHeight="1">
      <c r="A431" t="inlineStr">
        <is>
          <t>A 59638-2025</t>
        </is>
      </c>
      <c r="B431" s="1" t="n">
        <v>45992.41105324074</v>
      </c>
      <c r="C431" s="1" t="n">
        <v>46012</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43142-2024</t>
        </is>
      </c>
      <c r="B432" s="1" t="n">
        <v>45567.62144675926</v>
      </c>
      <c r="C432" s="1" t="n">
        <v>46012</v>
      </c>
      <c r="D432" t="inlineStr">
        <is>
          <t>DALARNAS LÄN</t>
        </is>
      </c>
      <c r="E432" t="inlineStr">
        <is>
          <t>LEKSAND</t>
        </is>
      </c>
      <c r="F432" t="inlineStr">
        <is>
          <t>Bergvik skog väst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51768-2025</t>
        </is>
      </c>
      <c r="B433" s="1" t="n">
        <v>45951.64041666667</v>
      </c>
      <c r="C433" s="1" t="n">
        <v>46012</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47673-2023</t>
        </is>
      </c>
      <c r="B434" s="1" t="n">
        <v>45203</v>
      </c>
      <c r="C434" s="1" t="n">
        <v>46012</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51926-2025</t>
        </is>
      </c>
      <c r="B435" s="1" t="n">
        <v>45952.49537037037</v>
      </c>
      <c r="C435" s="1" t="n">
        <v>46012</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60023-2025</t>
        </is>
      </c>
      <c r="B436" s="1" t="n">
        <v>45993.60201388889</v>
      </c>
      <c r="C436" s="1" t="n">
        <v>46012</v>
      </c>
      <c r="D436" t="inlineStr">
        <is>
          <t>DALARNAS LÄN</t>
        </is>
      </c>
      <c r="E436" t="inlineStr">
        <is>
          <t>LEKSAND</t>
        </is>
      </c>
      <c r="G436" t="n">
        <v>6.5</v>
      </c>
      <c r="H436" t="n">
        <v>0</v>
      </c>
      <c r="I436" t="n">
        <v>0</v>
      </c>
      <c r="J436" t="n">
        <v>0</v>
      </c>
      <c r="K436" t="n">
        <v>0</v>
      </c>
      <c r="L436" t="n">
        <v>0</v>
      </c>
      <c r="M436" t="n">
        <v>0</v>
      </c>
      <c r="N436" t="n">
        <v>0</v>
      </c>
      <c r="O436" t="n">
        <v>0</v>
      </c>
      <c r="P436" t="n">
        <v>0</v>
      </c>
      <c r="Q436" t="n">
        <v>0</v>
      </c>
      <c r="R436" s="2" t="inlineStr"/>
    </row>
    <row r="437" ht="15" customHeight="1">
      <c r="A437" t="inlineStr">
        <is>
          <t>A 59718-2023</t>
        </is>
      </c>
      <c r="B437" s="1" t="n">
        <v>45257</v>
      </c>
      <c r="C437" s="1" t="n">
        <v>46012</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60544-2025</t>
        </is>
      </c>
      <c r="B438" s="1" t="n">
        <v>45995.68694444445</v>
      </c>
      <c r="C438" s="1" t="n">
        <v>46012</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60614-2025</t>
        </is>
      </c>
      <c r="B439" s="1" t="n">
        <v>45996.36671296296</v>
      </c>
      <c r="C439" s="1" t="n">
        <v>46012</v>
      </c>
      <c r="D439" t="inlineStr">
        <is>
          <t>DALARNAS LÄN</t>
        </is>
      </c>
      <c r="E439" t="inlineStr">
        <is>
          <t>LEKSAND</t>
        </is>
      </c>
      <c r="G439" t="n">
        <v>3.4</v>
      </c>
      <c r="H439" t="n">
        <v>0</v>
      </c>
      <c r="I439" t="n">
        <v>0</v>
      </c>
      <c r="J439" t="n">
        <v>0</v>
      </c>
      <c r="K439" t="n">
        <v>0</v>
      </c>
      <c r="L439" t="n">
        <v>0</v>
      </c>
      <c r="M439" t="n">
        <v>0</v>
      </c>
      <c r="N439" t="n">
        <v>0</v>
      </c>
      <c r="O439" t="n">
        <v>0</v>
      </c>
      <c r="P439" t="n">
        <v>0</v>
      </c>
      <c r="Q439" t="n">
        <v>0</v>
      </c>
      <c r="R439" s="2" t="inlineStr"/>
    </row>
    <row r="440" ht="15" customHeight="1">
      <c r="A440" t="inlineStr">
        <is>
          <t>A 1775-2022</t>
        </is>
      </c>
      <c r="B440" s="1" t="n">
        <v>44574</v>
      </c>
      <c r="C440" s="1" t="n">
        <v>46012</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30994-2023</t>
        </is>
      </c>
      <c r="B441" s="1" t="n">
        <v>45113</v>
      </c>
      <c r="C441" s="1" t="n">
        <v>46012</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57665-2023</t>
        </is>
      </c>
      <c r="B442" s="1" t="n">
        <v>45246</v>
      </c>
      <c r="C442" s="1" t="n">
        <v>46012</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60338-2025</t>
        </is>
      </c>
      <c r="B443" s="1" t="n">
        <v>45993</v>
      </c>
      <c r="C443" s="1" t="n">
        <v>46012</v>
      </c>
      <c r="D443" t="inlineStr">
        <is>
          <t>DALARNAS LÄN</t>
        </is>
      </c>
      <c r="E443" t="inlineStr">
        <is>
          <t>LEKSAND</t>
        </is>
      </c>
      <c r="G443" t="n">
        <v>2.5</v>
      </c>
      <c r="H443" t="n">
        <v>0</v>
      </c>
      <c r="I443" t="n">
        <v>0</v>
      </c>
      <c r="J443" t="n">
        <v>0</v>
      </c>
      <c r="K443" t="n">
        <v>0</v>
      </c>
      <c r="L443" t="n">
        <v>0</v>
      </c>
      <c r="M443" t="n">
        <v>0</v>
      </c>
      <c r="N443" t="n">
        <v>0</v>
      </c>
      <c r="O443" t="n">
        <v>0</v>
      </c>
      <c r="P443" t="n">
        <v>0</v>
      </c>
      <c r="Q443" t="n">
        <v>0</v>
      </c>
      <c r="R443" s="2" t="inlineStr"/>
    </row>
    <row r="444" ht="15" customHeight="1">
      <c r="A444" t="inlineStr">
        <is>
          <t>A 60358-2025</t>
        </is>
      </c>
      <c r="B444" s="1" t="n">
        <v>45995.31949074074</v>
      </c>
      <c r="C444" s="1" t="n">
        <v>46012</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51480-2022</t>
        </is>
      </c>
      <c r="B445" s="1" t="n">
        <v>44869.57961805556</v>
      </c>
      <c r="C445" s="1" t="n">
        <v>46012</v>
      </c>
      <c r="D445" t="inlineStr">
        <is>
          <t>DALARNAS LÄN</t>
        </is>
      </c>
      <c r="E445" t="inlineStr">
        <is>
          <t>LEKSAND</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43237-2024</t>
        </is>
      </c>
      <c r="B446" s="1" t="n">
        <v>45567</v>
      </c>
      <c r="C446" s="1" t="n">
        <v>46012</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52671-2025</t>
        </is>
      </c>
      <c r="B447" s="1" t="n">
        <v>45955.98113425926</v>
      </c>
      <c r="C447" s="1" t="n">
        <v>46012</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34482-2022</t>
        </is>
      </c>
      <c r="B448" s="1" t="n">
        <v>44792</v>
      </c>
      <c r="C448" s="1" t="n">
        <v>46012</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17485-2025</t>
        </is>
      </c>
      <c r="B449" s="1" t="n">
        <v>45757.49976851852</v>
      </c>
      <c r="C449" s="1" t="n">
        <v>46012</v>
      </c>
      <c r="D449" t="inlineStr">
        <is>
          <t>DALARNAS LÄN</t>
        </is>
      </c>
      <c r="E449" t="inlineStr">
        <is>
          <t>LEKSAND</t>
        </is>
      </c>
      <c r="G449" t="n">
        <v>3.7</v>
      </c>
      <c r="H449" t="n">
        <v>0</v>
      </c>
      <c r="I449" t="n">
        <v>0</v>
      </c>
      <c r="J449" t="n">
        <v>0</v>
      </c>
      <c r="K449" t="n">
        <v>0</v>
      </c>
      <c r="L449" t="n">
        <v>0</v>
      </c>
      <c r="M449" t="n">
        <v>0</v>
      </c>
      <c r="N449" t="n">
        <v>0</v>
      </c>
      <c r="O449" t="n">
        <v>0</v>
      </c>
      <c r="P449" t="n">
        <v>0</v>
      </c>
      <c r="Q449" t="n">
        <v>0</v>
      </c>
      <c r="R449" s="2" t="inlineStr"/>
    </row>
    <row r="450" ht="15" customHeight="1">
      <c r="A450" t="inlineStr">
        <is>
          <t>A 30595-2023</t>
        </is>
      </c>
      <c r="B450" s="1" t="n">
        <v>45112</v>
      </c>
      <c r="C450" s="1" t="n">
        <v>46012</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53190-2025</t>
        </is>
      </c>
      <c r="B451" s="1" t="n">
        <v>45958.56283564815</v>
      </c>
      <c r="C451" s="1" t="n">
        <v>46012</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56943-2024</t>
        </is>
      </c>
      <c r="B452" s="1" t="n">
        <v>45625</v>
      </c>
      <c r="C452" s="1" t="n">
        <v>46012</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15257-2025</t>
        </is>
      </c>
      <c r="B453" s="1" t="n">
        <v>45744</v>
      </c>
      <c r="C453" s="1" t="n">
        <v>46012</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24142-2021</t>
        </is>
      </c>
      <c r="B454" s="1" t="n">
        <v>44336</v>
      </c>
      <c r="C454" s="1" t="n">
        <v>46012</v>
      </c>
      <c r="D454" t="inlineStr">
        <is>
          <t>DALARNAS LÄN</t>
        </is>
      </c>
      <c r="E454" t="inlineStr">
        <is>
          <t>LEKSAND</t>
        </is>
      </c>
      <c r="F454" t="inlineStr">
        <is>
          <t>Bergvik skog väst AB</t>
        </is>
      </c>
      <c r="G454" t="n">
        <v>18.9</v>
      </c>
      <c r="H454" t="n">
        <v>0</v>
      </c>
      <c r="I454" t="n">
        <v>0</v>
      </c>
      <c r="J454" t="n">
        <v>0</v>
      </c>
      <c r="K454" t="n">
        <v>0</v>
      </c>
      <c r="L454" t="n">
        <v>0</v>
      </c>
      <c r="M454" t="n">
        <v>0</v>
      </c>
      <c r="N454" t="n">
        <v>0</v>
      </c>
      <c r="O454" t="n">
        <v>0</v>
      </c>
      <c r="P454" t="n">
        <v>0</v>
      </c>
      <c r="Q454" t="n">
        <v>0</v>
      </c>
      <c r="R454" s="2" t="inlineStr"/>
    </row>
    <row r="455" ht="15" customHeight="1">
      <c r="A455" t="inlineStr">
        <is>
          <t>A 16815-2025</t>
        </is>
      </c>
      <c r="B455" s="1" t="n">
        <v>45754</v>
      </c>
      <c r="C455" s="1" t="n">
        <v>46012</v>
      </c>
      <c r="D455" t="inlineStr">
        <is>
          <t>DALARNAS LÄN</t>
        </is>
      </c>
      <c r="E455" t="inlineStr">
        <is>
          <t>LEKSAND</t>
        </is>
      </c>
      <c r="G455" t="n">
        <v>2.8</v>
      </c>
      <c r="H455" t="n">
        <v>0</v>
      </c>
      <c r="I455" t="n">
        <v>0</v>
      </c>
      <c r="J455" t="n">
        <v>0</v>
      </c>
      <c r="K455" t="n">
        <v>0</v>
      </c>
      <c r="L455" t="n">
        <v>0</v>
      </c>
      <c r="M455" t="n">
        <v>0</v>
      </c>
      <c r="N455" t="n">
        <v>0</v>
      </c>
      <c r="O455" t="n">
        <v>0</v>
      </c>
      <c r="P455" t="n">
        <v>0</v>
      </c>
      <c r="Q455" t="n">
        <v>0</v>
      </c>
      <c r="R455" s="2" t="inlineStr"/>
    </row>
    <row r="456" ht="15" customHeight="1">
      <c r="A456" t="inlineStr">
        <is>
          <t>A 61208-2023</t>
        </is>
      </c>
      <c r="B456" s="1" t="n">
        <v>45260</v>
      </c>
      <c r="C456" s="1" t="n">
        <v>46012</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52977-2022</t>
        </is>
      </c>
      <c r="B457" s="1" t="n">
        <v>44875</v>
      </c>
      <c r="C457" s="1" t="n">
        <v>46012</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25921-2024</t>
        </is>
      </c>
      <c r="B458" s="1" t="n">
        <v>45467.6053587963</v>
      </c>
      <c r="C458" s="1" t="n">
        <v>46012</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53041-2025</t>
        </is>
      </c>
      <c r="B459" s="1" t="n">
        <v>45958.35487268519</v>
      </c>
      <c r="C459" s="1" t="n">
        <v>46012</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53243-2025</t>
        </is>
      </c>
      <c r="B460" s="1" t="n">
        <v>45958.6442824074</v>
      </c>
      <c r="C460" s="1" t="n">
        <v>46012</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28892-2022</t>
        </is>
      </c>
      <c r="B461" s="1" t="n">
        <v>44749</v>
      </c>
      <c r="C461" s="1" t="n">
        <v>46012</v>
      </c>
      <c r="D461" t="inlineStr">
        <is>
          <t>DALARNAS LÄN</t>
        </is>
      </c>
      <c r="E461" t="inlineStr">
        <is>
          <t>LEKSAND</t>
        </is>
      </c>
      <c r="F461" t="inlineStr">
        <is>
          <t>Bergvik skog väst AB</t>
        </is>
      </c>
      <c r="G461" t="n">
        <v>9.1</v>
      </c>
      <c r="H461" t="n">
        <v>0</v>
      </c>
      <c r="I461" t="n">
        <v>0</v>
      </c>
      <c r="J461" t="n">
        <v>0</v>
      </c>
      <c r="K461" t="n">
        <v>0</v>
      </c>
      <c r="L461" t="n">
        <v>0</v>
      </c>
      <c r="M461" t="n">
        <v>0</v>
      </c>
      <c r="N461" t="n">
        <v>0</v>
      </c>
      <c r="O461" t="n">
        <v>0</v>
      </c>
      <c r="P461" t="n">
        <v>0</v>
      </c>
      <c r="Q461" t="n">
        <v>0</v>
      </c>
      <c r="R461" s="2" t="inlineStr"/>
    </row>
    <row r="462" ht="15" customHeight="1">
      <c r="A462" t="inlineStr">
        <is>
          <t>A 320-2023</t>
        </is>
      </c>
      <c r="B462" s="1" t="n">
        <v>44929</v>
      </c>
      <c r="C462" s="1" t="n">
        <v>46012</v>
      </c>
      <c r="D462" t="inlineStr">
        <is>
          <t>DALARNAS LÄN</t>
        </is>
      </c>
      <c r="E462" t="inlineStr">
        <is>
          <t>LEKSAND</t>
        </is>
      </c>
      <c r="F462" t="inlineStr">
        <is>
          <t>Övriga Aktiebolag</t>
        </is>
      </c>
      <c r="G462" t="n">
        <v>5.4</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46012</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46012</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46012</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53438-2025</t>
        </is>
      </c>
      <c r="B466" s="1" t="n">
        <v>45959.63711805556</v>
      </c>
      <c r="C466" s="1" t="n">
        <v>46012</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32666-2023</t>
        </is>
      </c>
      <c r="B467" s="1" t="n">
        <v>45121</v>
      </c>
      <c r="C467" s="1" t="n">
        <v>46012</v>
      </c>
      <c r="D467" t="inlineStr">
        <is>
          <t>DALARNAS LÄN</t>
        </is>
      </c>
      <c r="E467" t="inlineStr">
        <is>
          <t>LEKSAND</t>
        </is>
      </c>
      <c r="G467" t="n">
        <v>9.9</v>
      </c>
      <c r="H467" t="n">
        <v>0</v>
      </c>
      <c r="I467" t="n">
        <v>0</v>
      </c>
      <c r="J467" t="n">
        <v>0</v>
      </c>
      <c r="K467" t="n">
        <v>0</v>
      </c>
      <c r="L467" t="n">
        <v>0</v>
      </c>
      <c r="M467" t="n">
        <v>0</v>
      </c>
      <c r="N467" t="n">
        <v>0</v>
      </c>
      <c r="O467" t="n">
        <v>0</v>
      </c>
      <c r="P467" t="n">
        <v>0</v>
      </c>
      <c r="Q467" t="n">
        <v>0</v>
      </c>
      <c r="R467" s="2" t="inlineStr"/>
    </row>
    <row r="468" ht="15" customHeight="1">
      <c r="A468" t="inlineStr">
        <is>
          <t>A 5231-2024</t>
        </is>
      </c>
      <c r="B468" s="1" t="n">
        <v>45330</v>
      </c>
      <c r="C468" s="1" t="n">
        <v>46012</v>
      </c>
      <c r="D468" t="inlineStr">
        <is>
          <t>DALARNAS LÄN</t>
        </is>
      </c>
      <c r="E468" t="inlineStr">
        <is>
          <t>LEKSAND</t>
        </is>
      </c>
      <c r="F468" t="inlineStr">
        <is>
          <t>Bergvik skog väst AB</t>
        </is>
      </c>
      <c r="G468" t="n">
        <v>11.2</v>
      </c>
      <c r="H468" t="n">
        <v>0</v>
      </c>
      <c r="I468" t="n">
        <v>0</v>
      </c>
      <c r="J468" t="n">
        <v>0</v>
      </c>
      <c r="K468" t="n">
        <v>0</v>
      </c>
      <c r="L468" t="n">
        <v>0</v>
      </c>
      <c r="M468" t="n">
        <v>0</v>
      </c>
      <c r="N468" t="n">
        <v>0</v>
      </c>
      <c r="O468" t="n">
        <v>0</v>
      </c>
      <c r="P468" t="n">
        <v>0</v>
      </c>
      <c r="Q468" t="n">
        <v>0</v>
      </c>
      <c r="R468" s="2" t="inlineStr"/>
    </row>
    <row r="469" ht="15" customHeight="1">
      <c r="A469" t="inlineStr">
        <is>
          <t>A 23896-2024</t>
        </is>
      </c>
      <c r="B469" s="1" t="n">
        <v>45455.6758449074</v>
      </c>
      <c r="C469" s="1" t="n">
        <v>46012</v>
      </c>
      <c r="D469" t="inlineStr">
        <is>
          <t>DALARNAS LÄN</t>
        </is>
      </c>
      <c r="E469" t="inlineStr">
        <is>
          <t>LEKSAND</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28578-2023</t>
        </is>
      </c>
      <c r="B470" s="1" t="n">
        <v>45103</v>
      </c>
      <c r="C470" s="1" t="n">
        <v>46012</v>
      </c>
      <c r="D470" t="inlineStr">
        <is>
          <t>DALARNAS LÄN</t>
        </is>
      </c>
      <c r="E470" t="inlineStr">
        <is>
          <t>LEKSAND</t>
        </is>
      </c>
      <c r="G470" t="n">
        <v>4.4</v>
      </c>
      <c r="H470" t="n">
        <v>0</v>
      </c>
      <c r="I470" t="n">
        <v>0</v>
      </c>
      <c r="J470" t="n">
        <v>0</v>
      </c>
      <c r="K470" t="n">
        <v>0</v>
      </c>
      <c r="L470" t="n">
        <v>0</v>
      </c>
      <c r="M470" t="n">
        <v>0</v>
      </c>
      <c r="N470" t="n">
        <v>0</v>
      </c>
      <c r="O470" t="n">
        <v>0</v>
      </c>
      <c r="P470" t="n">
        <v>0</v>
      </c>
      <c r="Q470" t="n">
        <v>0</v>
      </c>
      <c r="R470" s="2" t="inlineStr"/>
    </row>
    <row r="471" ht="15" customHeight="1">
      <c r="A471" t="inlineStr">
        <is>
          <t>A 61288-2022</t>
        </is>
      </c>
      <c r="B471" s="1" t="n">
        <v>44915</v>
      </c>
      <c r="C471" s="1" t="n">
        <v>46012</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20936-2023</t>
        </is>
      </c>
      <c r="B472" s="1" t="n">
        <v>45061</v>
      </c>
      <c r="C472" s="1" t="n">
        <v>46012</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61684-2025</t>
        </is>
      </c>
      <c r="B473" s="1" t="n">
        <v>46002.49790509259</v>
      </c>
      <c r="C473" s="1" t="n">
        <v>46012</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53619-2025</t>
        </is>
      </c>
      <c r="B474" s="1" t="n">
        <v>45960</v>
      </c>
      <c r="C474" s="1" t="n">
        <v>46012</v>
      </c>
      <c r="D474" t="inlineStr">
        <is>
          <t>DALARNAS LÄN</t>
        </is>
      </c>
      <c r="E474" t="inlineStr">
        <is>
          <t>LEKSAND</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41934-2025</t>
        </is>
      </c>
      <c r="B475" s="1" t="n">
        <v>45903</v>
      </c>
      <c r="C475" s="1" t="n">
        <v>46012</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61491-2025</t>
        </is>
      </c>
      <c r="B476" s="1" t="n">
        <v>46001.63854166667</v>
      </c>
      <c r="C476" s="1" t="n">
        <v>46012</v>
      </c>
      <c r="D476" t="inlineStr">
        <is>
          <t>DALARNAS LÄN</t>
        </is>
      </c>
      <c r="E476" t="inlineStr">
        <is>
          <t>LEKSAND</t>
        </is>
      </c>
      <c r="G476" t="n">
        <v>1.8</v>
      </c>
      <c r="H476" t="n">
        <v>0</v>
      </c>
      <c r="I476" t="n">
        <v>0</v>
      </c>
      <c r="J476" t="n">
        <v>0</v>
      </c>
      <c r="K476" t="n">
        <v>0</v>
      </c>
      <c r="L476" t="n">
        <v>0</v>
      </c>
      <c r="M476" t="n">
        <v>0</v>
      </c>
      <c r="N476" t="n">
        <v>0</v>
      </c>
      <c r="O476" t="n">
        <v>0</v>
      </c>
      <c r="P476" t="n">
        <v>0</v>
      </c>
      <c r="Q476" t="n">
        <v>0</v>
      </c>
      <c r="R476" s="2" t="inlineStr"/>
    </row>
    <row r="477" ht="15" customHeight="1">
      <c r="A477" t="inlineStr">
        <is>
          <t>A 53718-2025</t>
        </is>
      </c>
      <c r="B477" s="1" t="n">
        <v>45960.61840277778</v>
      </c>
      <c r="C477" s="1" t="n">
        <v>46012</v>
      </c>
      <c r="D477" t="inlineStr">
        <is>
          <t>DALARNAS LÄN</t>
        </is>
      </c>
      <c r="E477" t="inlineStr">
        <is>
          <t>LEKSAND</t>
        </is>
      </c>
      <c r="G477" t="n">
        <v>7.5</v>
      </c>
      <c r="H477" t="n">
        <v>0</v>
      </c>
      <c r="I477" t="n">
        <v>0</v>
      </c>
      <c r="J477" t="n">
        <v>0</v>
      </c>
      <c r="K477" t="n">
        <v>0</v>
      </c>
      <c r="L477" t="n">
        <v>0</v>
      </c>
      <c r="M477" t="n">
        <v>0</v>
      </c>
      <c r="N477" t="n">
        <v>0</v>
      </c>
      <c r="O477" t="n">
        <v>0</v>
      </c>
      <c r="P477" t="n">
        <v>0</v>
      </c>
      <c r="Q477" t="n">
        <v>0</v>
      </c>
      <c r="R477" s="2" t="inlineStr"/>
    </row>
    <row r="478" ht="15" customHeight="1">
      <c r="A478" t="inlineStr">
        <is>
          <t>A 54015-2025</t>
        </is>
      </c>
      <c r="B478" s="1" t="n">
        <v>45961.64158564815</v>
      </c>
      <c r="C478" s="1" t="n">
        <v>46012</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17377-2025</t>
        </is>
      </c>
      <c r="B479" s="1" t="n">
        <v>45756.983125</v>
      </c>
      <c r="C479" s="1" t="n">
        <v>46012</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62301-2025</t>
        </is>
      </c>
      <c r="B480" s="1" t="n">
        <v>46006.65743055556</v>
      </c>
      <c r="C480" s="1" t="n">
        <v>46012</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62306-2025</t>
        </is>
      </c>
      <c r="B481" s="1" t="n">
        <v>46006.66878472222</v>
      </c>
      <c r="C481" s="1" t="n">
        <v>46012</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61269-2022</t>
        </is>
      </c>
      <c r="B482" s="1" t="n">
        <v>44909</v>
      </c>
      <c r="C482" s="1" t="n">
        <v>46012</v>
      </c>
      <c r="D482" t="inlineStr">
        <is>
          <t>DALARNAS LÄN</t>
        </is>
      </c>
      <c r="E482" t="inlineStr">
        <is>
          <t>LEKSAND</t>
        </is>
      </c>
      <c r="G482" t="n">
        <v>4.2</v>
      </c>
      <c r="H482" t="n">
        <v>0</v>
      </c>
      <c r="I482" t="n">
        <v>0</v>
      </c>
      <c r="J482" t="n">
        <v>0</v>
      </c>
      <c r="K482" t="n">
        <v>0</v>
      </c>
      <c r="L482" t="n">
        <v>0</v>
      </c>
      <c r="M482" t="n">
        <v>0</v>
      </c>
      <c r="N482" t="n">
        <v>0</v>
      </c>
      <c r="O482" t="n">
        <v>0</v>
      </c>
      <c r="P482" t="n">
        <v>0</v>
      </c>
      <c r="Q482" t="n">
        <v>0</v>
      </c>
      <c r="R482" s="2" t="inlineStr"/>
    </row>
    <row r="483" ht="15" customHeight="1">
      <c r="A483" t="inlineStr">
        <is>
          <t>A 53817-2023</t>
        </is>
      </c>
      <c r="B483" s="1" t="n">
        <v>45231.40488425926</v>
      </c>
      <c r="C483" s="1" t="n">
        <v>46012</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54120-2025</t>
        </is>
      </c>
      <c r="B484" s="1" t="n">
        <v>45964.45040509259</v>
      </c>
      <c r="C484" s="1" t="n">
        <v>46012</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28633-2023</t>
        </is>
      </c>
      <c r="B485" s="1" t="n">
        <v>45103.61575231481</v>
      </c>
      <c r="C485" s="1" t="n">
        <v>46012</v>
      </c>
      <c r="D485" t="inlineStr">
        <is>
          <t>DALARNAS LÄN</t>
        </is>
      </c>
      <c r="E485" t="inlineStr">
        <is>
          <t>LEKSAND</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53804-2025</t>
        </is>
      </c>
      <c r="B486" s="1" t="n">
        <v>45960.83247685185</v>
      </c>
      <c r="C486" s="1" t="n">
        <v>46012</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14943-2023</t>
        </is>
      </c>
      <c r="B487" s="1" t="n">
        <v>45015</v>
      </c>
      <c r="C487" s="1" t="n">
        <v>46012</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41840-2024</t>
        </is>
      </c>
      <c r="B488" s="1" t="n">
        <v>45561.42170138889</v>
      </c>
      <c r="C488" s="1" t="n">
        <v>46012</v>
      </c>
      <c r="D488" t="inlineStr">
        <is>
          <t>DALARNAS LÄN</t>
        </is>
      </c>
      <c r="E488" t="inlineStr">
        <is>
          <t>LEKSAND</t>
        </is>
      </c>
      <c r="G488" t="n">
        <v>0.4</v>
      </c>
      <c r="H488" t="n">
        <v>0</v>
      </c>
      <c r="I488" t="n">
        <v>0</v>
      </c>
      <c r="J488" t="n">
        <v>0</v>
      </c>
      <c r="K488" t="n">
        <v>0</v>
      </c>
      <c r="L488" t="n">
        <v>0</v>
      </c>
      <c r="M488" t="n">
        <v>0</v>
      </c>
      <c r="N488" t="n">
        <v>0</v>
      </c>
      <c r="O488" t="n">
        <v>0</v>
      </c>
      <c r="P488" t="n">
        <v>0</v>
      </c>
      <c r="Q488" t="n">
        <v>0</v>
      </c>
      <c r="R488" s="2" t="inlineStr"/>
    </row>
    <row r="489" ht="15" customHeight="1">
      <c r="A489" t="inlineStr">
        <is>
          <t>A 33143-2024</t>
        </is>
      </c>
      <c r="B489" s="1" t="n">
        <v>45518</v>
      </c>
      <c r="C489" s="1" t="n">
        <v>46012</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54125-2025</t>
        </is>
      </c>
      <c r="B490" s="1" t="n">
        <v>45964.45671296296</v>
      </c>
      <c r="C490" s="1" t="n">
        <v>46012</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53836-2025</t>
        </is>
      </c>
      <c r="B491" s="1" t="n">
        <v>45961.3475462963</v>
      </c>
      <c r="C491" s="1" t="n">
        <v>46012</v>
      </c>
      <c r="D491" t="inlineStr">
        <is>
          <t>DALARNAS LÄN</t>
        </is>
      </c>
      <c r="E491" t="inlineStr">
        <is>
          <t>LEKSAND</t>
        </is>
      </c>
      <c r="G491" t="n">
        <v>3.5</v>
      </c>
      <c r="H491" t="n">
        <v>0</v>
      </c>
      <c r="I491" t="n">
        <v>0</v>
      </c>
      <c r="J491" t="n">
        <v>0</v>
      </c>
      <c r="K491" t="n">
        <v>0</v>
      </c>
      <c r="L491" t="n">
        <v>0</v>
      </c>
      <c r="M491" t="n">
        <v>0</v>
      </c>
      <c r="N491" t="n">
        <v>0</v>
      </c>
      <c r="O491" t="n">
        <v>0</v>
      </c>
      <c r="P491" t="n">
        <v>0</v>
      </c>
      <c r="Q491" t="n">
        <v>0</v>
      </c>
      <c r="R491" s="2" t="inlineStr"/>
    </row>
    <row r="492" ht="15" customHeight="1">
      <c r="A492" t="inlineStr">
        <is>
          <t>A 53838-2025</t>
        </is>
      </c>
      <c r="B492" s="1" t="n">
        <v>45961.34895833334</v>
      </c>
      <c r="C492" s="1" t="n">
        <v>46012</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62337-2025</t>
        </is>
      </c>
      <c r="B493" s="1" t="n">
        <v>46006</v>
      </c>
      <c r="C493" s="1" t="n">
        <v>46012</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54779-2025</t>
        </is>
      </c>
      <c r="B494" s="1" t="n">
        <v>45966.61672453704</v>
      </c>
      <c r="C494" s="1" t="n">
        <v>46012</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54815-2025</t>
        </is>
      </c>
      <c r="B495" s="1" t="n">
        <v>45966.65237268519</v>
      </c>
      <c r="C495" s="1" t="n">
        <v>46012</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62322-2025</t>
        </is>
      </c>
      <c r="B496" s="1" t="n">
        <v>46006</v>
      </c>
      <c r="C496" s="1" t="n">
        <v>46012</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54440-2025</t>
        </is>
      </c>
      <c r="B497" s="1" t="n">
        <v>45965.50385416667</v>
      </c>
      <c r="C497" s="1" t="n">
        <v>46012</v>
      </c>
      <c r="D497" t="inlineStr">
        <is>
          <t>DALARNAS LÄN</t>
        </is>
      </c>
      <c r="E497" t="inlineStr">
        <is>
          <t>LEKSAND</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43158-2025</t>
        </is>
      </c>
      <c r="B498" s="1" t="n">
        <v>45910.35496527778</v>
      </c>
      <c r="C498" s="1" t="n">
        <v>46012</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46012</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54677-2025</t>
        </is>
      </c>
      <c r="B500" s="1" t="n">
        <v>45966</v>
      </c>
      <c r="C500" s="1" t="n">
        <v>46012</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471-2025</t>
        </is>
      </c>
      <c r="B501" s="1" t="n">
        <v>45664.43394675926</v>
      </c>
      <c r="C501" s="1" t="n">
        <v>46012</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54752-2025</t>
        </is>
      </c>
      <c r="B502" s="1" t="n">
        <v>45966.5916087963</v>
      </c>
      <c r="C502" s="1" t="n">
        <v>46012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54767-2025</t>
        </is>
      </c>
      <c r="B503" s="1" t="n">
        <v>45966.60414351852</v>
      </c>
      <c r="C503" s="1" t="n">
        <v>46012</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54785-2025</t>
        </is>
      </c>
      <c r="B504" s="1" t="n">
        <v>45966.62619212963</v>
      </c>
      <c r="C504" s="1" t="n">
        <v>46012</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46012</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54293-2025</t>
        </is>
      </c>
      <c r="B506" s="1" t="n">
        <v>45964.86651620371</v>
      </c>
      <c r="C506" s="1" t="n">
        <v>46012</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62557-2025</t>
        </is>
      </c>
      <c r="B507" s="1" t="n">
        <v>46007.68412037037</v>
      </c>
      <c r="C507" s="1" t="n">
        <v>46012</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62549-2025</t>
        </is>
      </c>
      <c r="B508" s="1" t="n">
        <v>46007.66886574074</v>
      </c>
      <c r="C508" s="1" t="n">
        <v>46012</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62525-2025</t>
        </is>
      </c>
      <c r="B509" s="1" t="n">
        <v>46007.63509259259</v>
      </c>
      <c r="C509" s="1" t="n">
        <v>46012</v>
      </c>
      <c r="D509" t="inlineStr">
        <is>
          <t>DALARNAS LÄN</t>
        </is>
      </c>
      <c r="E509" t="inlineStr">
        <is>
          <t>LEKSAND</t>
        </is>
      </c>
      <c r="G509" t="n">
        <v>5.7</v>
      </c>
      <c r="H509" t="n">
        <v>0</v>
      </c>
      <c r="I509" t="n">
        <v>0</v>
      </c>
      <c r="J509" t="n">
        <v>0</v>
      </c>
      <c r="K509" t="n">
        <v>0</v>
      </c>
      <c r="L509" t="n">
        <v>0</v>
      </c>
      <c r="M509" t="n">
        <v>0</v>
      </c>
      <c r="N509" t="n">
        <v>0</v>
      </c>
      <c r="O509" t="n">
        <v>0</v>
      </c>
      <c r="P509" t="n">
        <v>0</v>
      </c>
      <c r="Q509" t="n">
        <v>0</v>
      </c>
      <c r="R509" s="2" t="inlineStr"/>
    </row>
    <row r="510" ht="15" customHeight="1">
      <c r="A510" t="inlineStr">
        <is>
          <t>A 54789-2025</t>
        </is>
      </c>
      <c r="B510" s="1" t="n">
        <v>45966</v>
      </c>
      <c r="C510" s="1" t="n">
        <v>46012</v>
      </c>
      <c r="D510" t="inlineStr">
        <is>
          <t>DALARNAS LÄN</t>
        </is>
      </c>
      <c r="E510" t="inlineStr">
        <is>
          <t>LEKSAND</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54494-2025</t>
        </is>
      </c>
      <c r="B511" s="1" t="n">
        <v>45965.59965277778</v>
      </c>
      <c r="C511" s="1" t="n">
        <v>46012</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62556-2025</t>
        </is>
      </c>
      <c r="B512" s="1" t="n">
        <v>46007.68230324074</v>
      </c>
      <c r="C512" s="1" t="n">
        <v>46012</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62560-2025</t>
        </is>
      </c>
      <c r="B513" s="1" t="n">
        <v>46007.68733796296</v>
      </c>
      <c r="C513" s="1" t="n">
        <v>46012</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11128-2023</t>
        </is>
      </c>
      <c r="B514" s="1" t="n">
        <v>44992</v>
      </c>
      <c r="C514" s="1" t="n">
        <v>46012</v>
      </c>
      <c r="D514" t="inlineStr">
        <is>
          <t>DALARNAS LÄN</t>
        </is>
      </c>
      <c r="E514" t="inlineStr">
        <is>
          <t>LEKSAND</t>
        </is>
      </c>
      <c r="G514" t="n">
        <v>1.5</v>
      </c>
      <c r="H514" t="n">
        <v>0</v>
      </c>
      <c r="I514" t="n">
        <v>0</v>
      </c>
      <c r="J514" t="n">
        <v>0</v>
      </c>
      <c r="K514" t="n">
        <v>0</v>
      </c>
      <c r="L514" t="n">
        <v>0</v>
      </c>
      <c r="M514" t="n">
        <v>0</v>
      </c>
      <c r="N514" t="n">
        <v>0</v>
      </c>
      <c r="O514" t="n">
        <v>0</v>
      </c>
      <c r="P514" t="n">
        <v>0</v>
      </c>
      <c r="Q514" t="n">
        <v>0</v>
      </c>
      <c r="R514" s="2" t="inlineStr"/>
    </row>
    <row r="515" ht="15" customHeight="1">
      <c r="A515" t="inlineStr">
        <is>
          <t>A 60024-2023</t>
        </is>
      </c>
      <c r="B515" s="1" t="n">
        <v>45258</v>
      </c>
      <c r="C515" s="1" t="n">
        <v>46012</v>
      </c>
      <c r="D515" t="inlineStr">
        <is>
          <t>DALARNAS LÄN</t>
        </is>
      </c>
      <c r="E515" t="inlineStr">
        <is>
          <t>LEKSAND</t>
        </is>
      </c>
      <c r="G515" t="n">
        <v>4.2</v>
      </c>
      <c r="H515" t="n">
        <v>0</v>
      </c>
      <c r="I515" t="n">
        <v>0</v>
      </c>
      <c r="J515" t="n">
        <v>0</v>
      </c>
      <c r="K515" t="n">
        <v>0</v>
      </c>
      <c r="L515" t="n">
        <v>0</v>
      </c>
      <c r="M515" t="n">
        <v>0</v>
      </c>
      <c r="N515" t="n">
        <v>0</v>
      </c>
      <c r="O515" t="n">
        <v>0</v>
      </c>
      <c r="P515" t="n">
        <v>0</v>
      </c>
      <c r="Q515" t="n">
        <v>0</v>
      </c>
      <c r="R515" s="2" t="inlineStr"/>
    </row>
    <row r="516" ht="15" customHeight="1">
      <c r="A516" t="inlineStr">
        <is>
          <t>A 11859-2024</t>
        </is>
      </c>
      <c r="B516" s="1" t="n">
        <v>45376.44569444445</v>
      </c>
      <c r="C516" s="1" t="n">
        <v>46012</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62863-2025</t>
        </is>
      </c>
      <c r="B517" s="1" t="n">
        <v>46008.78130787037</v>
      </c>
      <c r="C517" s="1" t="n">
        <v>46012</v>
      </c>
      <c r="D517" t="inlineStr">
        <is>
          <t>DALARNAS LÄN</t>
        </is>
      </c>
      <c r="E517" t="inlineStr">
        <is>
          <t>LEKSAND</t>
        </is>
      </c>
      <c r="F517" t="inlineStr">
        <is>
          <t>Bergvik skog väst AB</t>
        </is>
      </c>
      <c r="G517" t="n">
        <v>5.2</v>
      </c>
      <c r="H517" t="n">
        <v>0</v>
      </c>
      <c r="I517" t="n">
        <v>0</v>
      </c>
      <c r="J517" t="n">
        <v>0</v>
      </c>
      <c r="K517" t="n">
        <v>0</v>
      </c>
      <c r="L517" t="n">
        <v>0</v>
      </c>
      <c r="M517" t="n">
        <v>0</v>
      </c>
      <c r="N517" t="n">
        <v>0</v>
      </c>
      <c r="O517" t="n">
        <v>0</v>
      </c>
      <c r="P517" t="n">
        <v>0</v>
      </c>
      <c r="Q517" t="n">
        <v>0</v>
      </c>
      <c r="R517" s="2" t="inlineStr"/>
    </row>
    <row r="518" ht="15" customHeight="1">
      <c r="A518" t="inlineStr">
        <is>
          <t>A 62133-2023</t>
        </is>
      </c>
      <c r="B518" s="1" t="n">
        <v>45267.35582175926</v>
      </c>
      <c r="C518" s="1" t="n">
        <v>46012</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62574-2025</t>
        </is>
      </c>
      <c r="B519" s="1" t="n">
        <v>46007.73261574074</v>
      </c>
      <c r="C519" s="1" t="n">
        <v>46012</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58495-2023</t>
        </is>
      </c>
      <c r="B520" s="1" t="n">
        <v>45251</v>
      </c>
      <c r="C520" s="1" t="n">
        <v>46012</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6039-2023</t>
        </is>
      </c>
      <c r="B521" s="1" t="n">
        <v>44959</v>
      </c>
      <c r="C521" s="1" t="n">
        <v>46012</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22517-2024</t>
        </is>
      </c>
      <c r="B522" s="1" t="n">
        <v>45447.40143518519</v>
      </c>
      <c r="C522" s="1" t="n">
        <v>46012</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52801-2023</t>
        </is>
      </c>
      <c r="B523" s="1" t="n">
        <v>45219</v>
      </c>
      <c r="C523" s="1" t="n">
        <v>46012</v>
      </c>
      <c r="D523" t="inlineStr">
        <is>
          <t>DALARNAS LÄN</t>
        </is>
      </c>
      <c r="E523" t="inlineStr">
        <is>
          <t>LEKSAND</t>
        </is>
      </c>
      <c r="G523" t="n">
        <v>4.9</v>
      </c>
      <c r="H523" t="n">
        <v>0</v>
      </c>
      <c r="I523" t="n">
        <v>0</v>
      </c>
      <c r="J523" t="n">
        <v>0</v>
      </c>
      <c r="K523" t="n">
        <v>0</v>
      </c>
      <c r="L523" t="n">
        <v>0</v>
      </c>
      <c r="M523" t="n">
        <v>0</v>
      </c>
      <c r="N523" t="n">
        <v>0</v>
      </c>
      <c r="O523" t="n">
        <v>0</v>
      </c>
      <c r="P523" t="n">
        <v>0</v>
      </c>
      <c r="Q523" t="n">
        <v>0</v>
      </c>
      <c r="R523" s="2" t="inlineStr"/>
    </row>
    <row r="524" ht="15" customHeight="1">
      <c r="A524" t="inlineStr">
        <is>
          <t>A 45768-2023</t>
        </is>
      </c>
      <c r="B524" s="1" t="n">
        <v>45195</v>
      </c>
      <c r="C524" s="1" t="n">
        <v>46012</v>
      </c>
      <c r="D524" t="inlineStr">
        <is>
          <t>DALARNAS LÄN</t>
        </is>
      </c>
      <c r="E524" t="inlineStr">
        <is>
          <t>LEKSAND</t>
        </is>
      </c>
      <c r="G524" t="n">
        <v>0.4</v>
      </c>
      <c r="H524" t="n">
        <v>0</v>
      </c>
      <c r="I524" t="n">
        <v>0</v>
      </c>
      <c r="J524" t="n">
        <v>0</v>
      </c>
      <c r="K524" t="n">
        <v>0</v>
      </c>
      <c r="L524" t="n">
        <v>0</v>
      </c>
      <c r="M524" t="n">
        <v>0</v>
      </c>
      <c r="N524" t="n">
        <v>0</v>
      </c>
      <c r="O524" t="n">
        <v>0</v>
      </c>
      <c r="P524" t="n">
        <v>0</v>
      </c>
      <c r="Q524" t="n">
        <v>0</v>
      </c>
      <c r="R524" s="2" t="inlineStr"/>
    </row>
    <row r="525" ht="15" customHeight="1">
      <c r="A525" t="inlineStr">
        <is>
          <t>A 63360-2025</t>
        </is>
      </c>
      <c r="B525" s="1" t="n">
        <v>46010.67482638889</v>
      </c>
      <c r="C525" s="1" t="n">
        <v>46012</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63260-2025</t>
        </is>
      </c>
      <c r="B526" s="1" t="n">
        <v>46010.55725694444</v>
      </c>
      <c r="C526" s="1" t="n">
        <v>46012</v>
      </c>
      <c r="D526" t="inlineStr">
        <is>
          <t>DALARNAS LÄN</t>
        </is>
      </c>
      <c r="E526" t="inlineStr">
        <is>
          <t>LEKSAND</t>
        </is>
      </c>
      <c r="G526" t="n">
        <v>11.7</v>
      </c>
      <c r="H526" t="n">
        <v>0</v>
      </c>
      <c r="I526" t="n">
        <v>0</v>
      </c>
      <c r="J526" t="n">
        <v>0</v>
      </c>
      <c r="K526" t="n">
        <v>0</v>
      </c>
      <c r="L526" t="n">
        <v>0</v>
      </c>
      <c r="M526" t="n">
        <v>0</v>
      </c>
      <c r="N526" t="n">
        <v>0</v>
      </c>
      <c r="O526" t="n">
        <v>0</v>
      </c>
      <c r="P526" t="n">
        <v>0</v>
      </c>
      <c r="Q526" t="n">
        <v>0</v>
      </c>
      <c r="R526" s="2" t="inlineStr"/>
    </row>
    <row r="527" ht="15" customHeight="1">
      <c r="A527" t="inlineStr">
        <is>
          <t>A 41306-2024</t>
        </is>
      </c>
      <c r="B527" s="1" t="n">
        <v>45559.62550925926</v>
      </c>
      <c r="C527" s="1" t="n">
        <v>46012</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36450-2023</t>
        </is>
      </c>
      <c r="B528" s="1" t="n">
        <v>45152.64842592592</v>
      </c>
      <c r="C528" s="1" t="n">
        <v>46012</v>
      </c>
      <c r="D528" t="inlineStr">
        <is>
          <t>DALARNAS LÄN</t>
        </is>
      </c>
      <c r="E528" t="inlineStr">
        <is>
          <t>LEKSAND</t>
        </is>
      </c>
      <c r="G528" t="n">
        <v>2.4</v>
      </c>
      <c r="H528" t="n">
        <v>0</v>
      </c>
      <c r="I528" t="n">
        <v>0</v>
      </c>
      <c r="J528" t="n">
        <v>0</v>
      </c>
      <c r="K528" t="n">
        <v>0</v>
      </c>
      <c r="L528" t="n">
        <v>0</v>
      </c>
      <c r="M528" t="n">
        <v>0</v>
      </c>
      <c r="N528" t="n">
        <v>0</v>
      </c>
      <c r="O528" t="n">
        <v>0</v>
      </c>
      <c r="P528" t="n">
        <v>0</v>
      </c>
      <c r="Q528" t="n">
        <v>0</v>
      </c>
      <c r="R528" s="2" t="inlineStr"/>
    </row>
    <row r="529" ht="15" customHeight="1">
      <c r="A529" t="inlineStr">
        <is>
          <t>A 1458-2024</t>
        </is>
      </c>
      <c r="B529" s="1" t="n">
        <v>45303</v>
      </c>
      <c r="C529" s="1" t="n">
        <v>46012</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1461-2024</t>
        </is>
      </c>
      <c r="B530" s="1" t="n">
        <v>45303</v>
      </c>
      <c r="C530" s="1" t="n">
        <v>46012</v>
      </c>
      <c r="D530" t="inlineStr">
        <is>
          <t>DALARNAS LÄN</t>
        </is>
      </c>
      <c r="E530" t="inlineStr">
        <is>
          <t>LEKSAND</t>
        </is>
      </c>
      <c r="G530" t="n">
        <v>2.4</v>
      </c>
      <c r="H530" t="n">
        <v>0</v>
      </c>
      <c r="I530" t="n">
        <v>0</v>
      </c>
      <c r="J530" t="n">
        <v>0</v>
      </c>
      <c r="K530" t="n">
        <v>0</v>
      </c>
      <c r="L530" t="n">
        <v>0</v>
      </c>
      <c r="M530" t="n">
        <v>0</v>
      </c>
      <c r="N530" t="n">
        <v>0</v>
      </c>
      <c r="O530" t="n">
        <v>0</v>
      </c>
      <c r="P530" t="n">
        <v>0</v>
      </c>
      <c r="Q530" t="n">
        <v>0</v>
      </c>
      <c r="R530" s="2" t="inlineStr"/>
    </row>
    <row r="531" ht="15" customHeight="1">
      <c r="A531" t="inlineStr">
        <is>
          <t>A 3737-2023</t>
        </is>
      </c>
      <c r="B531" s="1" t="n">
        <v>44951.42983796296</v>
      </c>
      <c r="C531" s="1" t="n">
        <v>46012</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46012</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46012</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11869-2024</t>
        </is>
      </c>
      <c r="B534" s="1" t="n">
        <v>45376.45800925926</v>
      </c>
      <c r="C534" s="1" t="n">
        <v>46012</v>
      </c>
      <c r="D534" t="inlineStr">
        <is>
          <t>DALARNAS LÄN</t>
        </is>
      </c>
      <c r="E534" t="inlineStr">
        <is>
          <t>LEKSAND</t>
        </is>
      </c>
      <c r="G534" t="n">
        <v>0.5</v>
      </c>
      <c r="H534" t="n">
        <v>0</v>
      </c>
      <c r="I534" t="n">
        <v>0</v>
      </c>
      <c r="J534" t="n">
        <v>0</v>
      </c>
      <c r="K534" t="n">
        <v>0</v>
      </c>
      <c r="L534" t="n">
        <v>0</v>
      </c>
      <c r="M534" t="n">
        <v>0</v>
      </c>
      <c r="N534" t="n">
        <v>0</v>
      </c>
      <c r="O534" t="n">
        <v>0</v>
      </c>
      <c r="P534" t="n">
        <v>0</v>
      </c>
      <c r="Q534" t="n">
        <v>0</v>
      </c>
      <c r="R534" s="2" t="inlineStr"/>
    </row>
    <row r="535" ht="15" customHeight="1">
      <c r="A535" t="inlineStr">
        <is>
          <t>A 27520-2023</t>
        </is>
      </c>
      <c r="B535" s="1" t="n">
        <v>45097</v>
      </c>
      <c r="C535" s="1" t="n">
        <v>46012</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30169-2023</t>
        </is>
      </c>
      <c r="B536" s="1" t="n">
        <v>45110</v>
      </c>
      <c r="C536" s="1" t="n">
        <v>46012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37952-2024</t>
        </is>
      </c>
      <c r="B537" s="1" t="n">
        <v>45544.5200462963</v>
      </c>
      <c r="C537" s="1" t="n">
        <v>46012</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3352-2024</t>
        </is>
      </c>
      <c r="B538" s="1" t="n">
        <v>45317</v>
      </c>
      <c r="C538" s="1" t="n">
        <v>46012</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31391-2024</t>
        </is>
      </c>
      <c r="B539" s="1" t="n">
        <v>45505.46616898148</v>
      </c>
      <c r="C539" s="1" t="n">
        <v>46012</v>
      </c>
      <c r="D539" t="inlineStr">
        <is>
          <t>DALARNAS LÄN</t>
        </is>
      </c>
      <c r="E539" t="inlineStr">
        <is>
          <t>LEKSAND</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11004-2023</t>
        </is>
      </c>
      <c r="B540" s="1" t="n">
        <v>44986</v>
      </c>
      <c r="C540" s="1" t="n">
        <v>46012</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27244-2023</t>
        </is>
      </c>
      <c r="B541" s="1" t="n">
        <v>45096</v>
      </c>
      <c r="C541" s="1" t="n">
        <v>46012</v>
      </c>
      <c r="D541" t="inlineStr">
        <is>
          <t>DALARNAS LÄN</t>
        </is>
      </c>
      <c r="E541" t="inlineStr">
        <is>
          <t>LEKSAND</t>
        </is>
      </c>
      <c r="G541" t="n">
        <v>5</v>
      </c>
      <c r="H541" t="n">
        <v>0</v>
      </c>
      <c r="I541" t="n">
        <v>0</v>
      </c>
      <c r="J541" t="n">
        <v>0</v>
      </c>
      <c r="K541" t="n">
        <v>0</v>
      </c>
      <c r="L541" t="n">
        <v>0</v>
      </c>
      <c r="M541" t="n">
        <v>0</v>
      </c>
      <c r="N541" t="n">
        <v>0</v>
      </c>
      <c r="O541" t="n">
        <v>0</v>
      </c>
      <c r="P541" t="n">
        <v>0</v>
      </c>
      <c r="Q541" t="n">
        <v>0</v>
      </c>
      <c r="R541" s="2" t="inlineStr"/>
    </row>
    <row r="542" ht="15" customHeight="1">
      <c r="A542" t="inlineStr">
        <is>
          <t>A 18107-2025</t>
        </is>
      </c>
      <c r="B542" s="1" t="n">
        <v>45761.55939814815</v>
      </c>
      <c r="C542" s="1" t="n">
        <v>46012</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16051-2023</t>
        </is>
      </c>
      <c r="B543" s="1" t="n">
        <v>45027</v>
      </c>
      <c r="C543" s="1" t="n">
        <v>46012</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56059-2024</t>
        </is>
      </c>
      <c r="B544" s="1" t="n">
        <v>45624.36729166667</v>
      </c>
      <c r="C544" s="1" t="n">
        <v>46012</v>
      </c>
      <c r="D544" t="inlineStr">
        <is>
          <t>DALARNAS LÄN</t>
        </is>
      </c>
      <c r="E544" t="inlineStr">
        <is>
          <t>LEKSAND</t>
        </is>
      </c>
      <c r="G544" t="n">
        <v>3.1</v>
      </c>
      <c r="H544" t="n">
        <v>0</v>
      </c>
      <c r="I544" t="n">
        <v>0</v>
      </c>
      <c r="J544" t="n">
        <v>0</v>
      </c>
      <c r="K544" t="n">
        <v>0</v>
      </c>
      <c r="L544" t="n">
        <v>0</v>
      </c>
      <c r="M544" t="n">
        <v>0</v>
      </c>
      <c r="N544" t="n">
        <v>0</v>
      </c>
      <c r="O544" t="n">
        <v>0</v>
      </c>
      <c r="P544" t="n">
        <v>0</v>
      </c>
      <c r="Q544" t="n">
        <v>0</v>
      </c>
      <c r="R544" s="2" t="inlineStr"/>
    </row>
    <row r="545" ht="15" customHeight="1">
      <c r="A545" t="inlineStr">
        <is>
          <t>A 2579-2022</t>
        </is>
      </c>
      <c r="B545" s="1" t="n">
        <v>44580</v>
      </c>
      <c r="C545" s="1" t="n">
        <v>46012</v>
      </c>
      <c r="D545" t="inlineStr">
        <is>
          <t>DALARNAS LÄN</t>
        </is>
      </c>
      <c r="E545" t="inlineStr">
        <is>
          <t>LEKSAND</t>
        </is>
      </c>
      <c r="G545" t="n">
        <v>0.3</v>
      </c>
      <c r="H545" t="n">
        <v>0</v>
      </c>
      <c r="I545" t="n">
        <v>0</v>
      </c>
      <c r="J545" t="n">
        <v>0</v>
      </c>
      <c r="K545" t="n">
        <v>0</v>
      </c>
      <c r="L545" t="n">
        <v>0</v>
      </c>
      <c r="M545" t="n">
        <v>0</v>
      </c>
      <c r="N545" t="n">
        <v>0</v>
      </c>
      <c r="O545" t="n">
        <v>0</v>
      </c>
      <c r="P545" t="n">
        <v>0</v>
      </c>
      <c r="Q545" t="n">
        <v>0</v>
      </c>
      <c r="R545" s="2" t="inlineStr"/>
    </row>
    <row r="546" ht="15" customHeight="1">
      <c r="A546" t="inlineStr">
        <is>
          <t>A 49395-2024</t>
        </is>
      </c>
      <c r="B546" s="1" t="n">
        <v>45595</v>
      </c>
      <c r="C546" s="1" t="n">
        <v>46012</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33317-2023</t>
        </is>
      </c>
      <c r="B547" s="1" t="n">
        <v>45127.84586805556</v>
      </c>
      <c r="C547" s="1" t="n">
        <v>46012</v>
      </c>
      <c r="D547" t="inlineStr">
        <is>
          <t>DALARNAS LÄN</t>
        </is>
      </c>
      <c r="E547" t="inlineStr">
        <is>
          <t>LEKSAND</t>
        </is>
      </c>
      <c r="G547" t="n">
        <v>2.7</v>
      </c>
      <c r="H547" t="n">
        <v>0</v>
      </c>
      <c r="I547" t="n">
        <v>0</v>
      </c>
      <c r="J547" t="n">
        <v>0</v>
      </c>
      <c r="K547" t="n">
        <v>0</v>
      </c>
      <c r="L547" t="n">
        <v>0</v>
      </c>
      <c r="M547" t="n">
        <v>0</v>
      </c>
      <c r="N547" t="n">
        <v>0</v>
      </c>
      <c r="O547" t="n">
        <v>0</v>
      </c>
      <c r="P547" t="n">
        <v>0</v>
      </c>
      <c r="Q547" t="n">
        <v>0</v>
      </c>
      <c r="R547" s="2" t="inlineStr"/>
    </row>
    <row r="548" ht="15" customHeight="1">
      <c r="A548" t="inlineStr">
        <is>
          <t>A 33318-2023</t>
        </is>
      </c>
      <c r="B548" s="1" t="n">
        <v>45127</v>
      </c>
      <c r="C548" s="1" t="n">
        <v>46012</v>
      </c>
      <c r="D548" t="inlineStr">
        <is>
          <t>DALARNAS LÄN</t>
        </is>
      </c>
      <c r="E548" t="inlineStr">
        <is>
          <t>LEKSAND</t>
        </is>
      </c>
      <c r="G548" t="n">
        <v>5.5</v>
      </c>
      <c r="H548" t="n">
        <v>0</v>
      </c>
      <c r="I548" t="n">
        <v>0</v>
      </c>
      <c r="J548" t="n">
        <v>0</v>
      </c>
      <c r="K548" t="n">
        <v>0</v>
      </c>
      <c r="L548" t="n">
        <v>0</v>
      </c>
      <c r="M548" t="n">
        <v>0</v>
      </c>
      <c r="N548" t="n">
        <v>0</v>
      </c>
      <c r="O548" t="n">
        <v>0</v>
      </c>
      <c r="P548" t="n">
        <v>0</v>
      </c>
      <c r="Q548" t="n">
        <v>0</v>
      </c>
      <c r="R548" s="2" t="inlineStr"/>
    </row>
    <row r="549" ht="15" customHeight="1">
      <c r="A549" t="inlineStr">
        <is>
          <t>A 40009-2024</t>
        </is>
      </c>
      <c r="B549" s="1" t="n">
        <v>45553.65361111111</v>
      </c>
      <c r="C549" s="1" t="n">
        <v>46012</v>
      </c>
      <c r="D549" t="inlineStr">
        <is>
          <t>DALARNAS LÄN</t>
        </is>
      </c>
      <c r="E549" t="inlineStr">
        <is>
          <t>LEKSAND</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52572-2024</t>
        </is>
      </c>
      <c r="B550" s="1" t="n">
        <v>45609.66488425926</v>
      </c>
      <c r="C550" s="1" t="n">
        <v>46012</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12851-2023</t>
        </is>
      </c>
      <c r="B551" s="1" t="n">
        <v>45001.49347222222</v>
      </c>
      <c r="C551" s="1" t="n">
        <v>46012</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19295-2024</t>
        </is>
      </c>
      <c r="B552" s="1" t="n">
        <v>45428.69106481481</v>
      </c>
      <c r="C552" s="1" t="n">
        <v>46012</v>
      </c>
      <c r="D552" t="inlineStr">
        <is>
          <t>DALARNAS LÄN</t>
        </is>
      </c>
      <c r="E552" t="inlineStr">
        <is>
          <t>LEKSAND</t>
        </is>
      </c>
      <c r="G552" t="n">
        <v>1.6</v>
      </c>
      <c r="H552" t="n">
        <v>0</v>
      </c>
      <c r="I552" t="n">
        <v>0</v>
      </c>
      <c r="J552" t="n">
        <v>0</v>
      </c>
      <c r="K552" t="n">
        <v>0</v>
      </c>
      <c r="L552" t="n">
        <v>0</v>
      </c>
      <c r="M552" t="n">
        <v>0</v>
      </c>
      <c r="N552" t="n">
        <v>0</v>
      </c>
      <c r="O552" t="n">
        <v>0</v>
      </c>
      <c r="P552" t="n">
        <v>0</v>
      </c>
      <c r="Q552" t="n">
        <v>0</v>
      </c>
      <c r="R552" s="2" t="inlineStr"/>
    </row>
    <row r="553" ht="15" customHeight="1">
      <c r="A553" t="inlineStr">
        <is>
          <t>A 9781-2024</t>
        </is>
      </c>
      <c r="B553" s="1" t="n">
        <v>45362.66299768518</v>
      </c>
      <c r="C553" s="1" t="n">
        <v>46012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63513-2023</t>
        </is>
      </c>
      <c r="B554" s="1" t="n">
        <v>45274</v>
      </c>
      <c r="C554" s="1" t="n">
        <v>46012</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40230-2023</t>
        </is>
      </c>
      <c r="B555" s="1" t="n">
        <v>45169.46887731482</v>
      </c>
      <c r="C555" s="1" t="n">
        <v>46012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39819-2024</t>
        </is>
      </c>
      <c r="B556" s="1" t="n">
        <v>45553.38774305556</v>
      </c>
      <c r="C556" s="1" t="n">
        <v>46012</v>
      </c>
      <c r="D556" t="inlineStr">
        <is>
          <t>DALARNAS LÄN</t>
        </is>
      </c>
      <c r="E556" t="inlineStr">
        <is>
          <t>LEKSAND</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52100-2024</t>
        </is>
      </c>
      <c r="B557" s="1" t="n">
        <v>45608.41634259259</v>
      </c>
      <c r="C557" s="1" t="n">
        <v>46012</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4257-2022</t>
        </is>
      </c>
      <c r="B558" s="1" t="n">
        <v>44588</v>
      </c>
      <c r="C558" s="1" t="n">
        <v>46012</v>
      </c>
      <c r="D558" t="inlineStr">
        <is>
          <t>DALARNAS LÄN</t>
        </is>
      </c>
      <c r="E558" t="inlineStr">
        <is>
          <t>LEKSAND</t>
        </is>
      </c>
      <c r="G558" t="n">
        <v>6.8</v>
      </c>
      <c r="H558" t="n">
        <v>0</v>
      </c>
      <c r="I558" t="n">
        <v>0</v>
      </c>
      <c r="J558" t="n">
        <v>0</v>
      </c>
      <c r="K558" t="n">
        <v>0</v>
      </c>
      <c r="L558" t="n">
        <v>0</v>
      </c>
      <c r="M558" t="n">
        <v>0</v>
      </c>
      <c r="N558" t="n">
        <v>0</v>
      </c>
      <c r="O558" t="n">
        <v>0</v>
      </c>
      <c r="P558" t="n">
        <v>0</v>
      </c>
      <c r="Q558" t="n">
        <v>0</v>
      </c>
      <c r="R558" s="2" t="inlineStr"/>
    </row>
    <row r="559" ht="15" customHeight="1">
      <c r="A559" t="inlineStr">
        <is>
          <t>A 31726-2024</t>
        </is>
      </c>
      <c r="B559" s="1" t="n">
        <v>45509.33908564815</v>
      </c>
      <c r="C559" s="1" t="n">
        <v>46012</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55512-2024</t>
        </is>
      </c>
      <c r="B560" s="1" t="n">
        <v>45621</v>
      </c>
      <c r="C560" s="1" t="n">
        <v>46012</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52059-2024</t>
        </is>
      </c>
      <c r="B561" s="1" t="n">
        <v>45608.35609953704</v>
      </c>
      <c r="C561" s="1" t="n">
        <v>46012</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12992-2022</t>
        </is>
      </c>
      <c r="B562" s="1" t="n">
        <v>44643</v>
      </c>
      <c r="C562" s="1" t="n">
        <v>46012</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11712-2025</t>
        </is>
      </c>
      <c r="B563" s="1" t="n">
        <v>45727</v>
      </c>
      <c r="C563" s="1" t="n">
        <v>46012</v>
      </c>
      <c r="D563" t="inlineStr">
        <is>
          <t>DALARNAS LÄN</t>
        </is>
      </c>
      <c r="E563" t="inlineStr">
        <is>
          <t>LEKSAND</t>
        </is>
      </c>
      <c r="G563" t="n">
        <v>6</v>
      </c>
      <c r="H563" t="n">
        <v>0</v>
      </c>
      <c r="I563" t="n">
        <v>0</v>
      </c>
      <c r="J563" t="n">
        <v>0</v>
      </c>
      <c r="K563" t="n">
        <v>0</v>
      </c>
      <c r="L563" t="n">
        <v>0</v>
      </c>
      <c r="M563" t="n">
        <v>0</v>
      </c>
      <c r="N563" t="n">
        <v>0</v>
      </c>
      <c r="O563" t="n">
        <v>0</v>
      </c>
      <c r="P563" t="n">
        <v>0</v>
      </c>
      <c r="Q563" t="n">
        <v>0</v>
      </c>
      <c r="R563" s="2" t="inlineStr"/>
    </row>
    <row r="564" ht="15" customHeight="1">
      <c r="A564" t="inlineStr">
        <is>
          <t>A 24003-2024</t>
        </is>
      </c>
      <c r="B564" s="1" t="n">
        <v>45456.39003472222</v>
      </c>
      <c r="C564" s="1" t="n">
        <v>46012</v>
      </c>
      <c r="D564" t="inlineStr">
        <is>
          <t>DALARNAS LÄN</t>
        </is>
      </c>
      <c r="E564" t="inlineStr">
        <is>
          <t>LEKSAND</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40642-2023</t>
        </is>
      </c>
      <c r="B565" s="1" t="n">
        <v>45169</v>
      </c>
      <c r="C565" s="1" t="n">
        <v>46012</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47854-2023</t>
        </is>
      </c>
      <c r="B566" s="1" t="n">
        <v>45198</v>
      </c>
      <c r="C566" s="1" t="n">
        <v>46012</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39136-2023</t>
        </is>
      </c>
      <c r="B567" s="1" t="n">
        <v>45165</v>
      </c>
      <c r="C567" s="1" t="n">
        <v>46012</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44469-2024</t>
        </is>
      </c>
      <c r="B568" s="1" t="n">
        <v>45574</v>
      </c>
      <c r="C568" s="1" t="n">
        <v>46012</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52293-2024</t>
        </is>
      </c>
      <c r="B569" s="1" t="n">
        <v>45608.71297453704</v>
      </c>
      <c r="C569" s="1" t="n">
        <v>46012</v>
      </c>
      <c r="D569" t="inlineStr">
        <is>
          <t>DALARNAS LÄN</t>
        </is>
      </c>
      <c r="E569" t="inlineStr">
        <is>
          <t>LEKSAND</t>
        </is>
      </c>
      <c r="G569" t="n">
        <v>1.6</v>
      </c>
      <c r="H569" t="n">
        <v>0</v>
      </c>
      <c r="I569" t="n">
        <v>0</v>
      </c>
      <c r="J569" t="n">
        <v>0</v>
      </c>
      <c r="K569" t="n">
        <v>0</v>
      </c>
      <c r="L569" t="n">
        <v>0</v>
      </c>
      <c r="M569" t="n">
        <v>0</v>
      </c>
      <c r="N569" t="n">
        <v>0</v>
      </c>
      <c r="O569" t="n">
        <v>0</v>
      </c>
      <c r="P569" t="n">
        <v>0</v>
      </c>
      <c r="Q569" t="n">
        <v>0</v>
      </c>
      <c r="R569" s="2" t="inlineStr"/>
    </row>
    <row r="570" ht="15" customHeight="1">
      <c r="A570" t="inlineStr">
        <is>
          <t>A 46876-2023</t>
        </is>
      </c>
      <c r="B570" s="1" t="n">
        <v>45200</v>
      </c>
      <c r="C570" s="1" t="n">
        <v>46012</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9857-2025</t>
        </is>
      </c>
      <c r="B571" s="1" t="n">
        <v>45716.62609953704</v>
      </c>
      <c r="C571" s="1" t="n">
        <v>46012</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40181-2023</t>
        </is>
      </c>
      <c r="B572" s="1" t="n">
        <v>45169</v>
      </c>
      <c r="C572" s="1" t="n">
        <v>46012</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1267-2025</t>
        </is>
      </c>
      <c r="B573" s="1" t="n">
        <v>45667</v>
      </c>
      <c r="C573" s="1" t="n">
        <v>46012</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42230-2023</t>
        </is>
      </c>
      <c r="B574" s="1" t="n">
        <v>45180</v>
      </c>
      <c r="C574" s="1" t="n">
        <v>46012</v>
      </c>
      <c r="D574" t="inlineStr">
        <is>
          <t>DALARNAS LÄN</t>
        </is>
      </c>
      <c r="E574" t="inlineStr">
        <is>
          <t>LEKSAND</t>
        </is>
      </c>
      <c r="G574" t="n">
        <v>0.6</v>
      </c>
      <c r="H574" t="n">
        <v>0</v>
      </c>
      <c r="I574" t="n">
        <v>0</v>
      </c>
      <c r="J574" t="n">
        <v>0</v>
      </c>
      <c r="K574" t="n">
        <v>0</v>
      </c>
      <c r="L574" t="n">
        <v>0</v>
      </c>
      <c r="M574" t="n">
        <v>0</v>
      </c>
      <c r="N574" t="n">
        <v>0</v>
      </c>
      <c r="O574" t="n">
        <v>0</v>
      </c>
      <c r="P574" t="n">
        <v>0</v>
      </c>
      <c r="Q574" t="n">
        <v>0</v>
      </c>
      <c r="R574" s="2" t="inlineStr"/>
    </row>
    <row r="575" ht="15" customHeight="1">
      <c r="A575" t="inlineStr">
        <is>
          <t>A 3183-2025</t>
        </is>
      </c>
      <c r="B575" s="1" t="n">
        <v>45679.40298611111</v>
      </c>
      <c r="C575" s="1" t="n">
        <v>46012</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59751-2024</t>
        </is>
      </c>
      <c r="B576" s="1" t="n">
        <v>45638</v>
      </c>
      <c r="C576" s="1" t="n">
        <v>46012</v>
      </c>
      <c r="D576" t="inlineStr">
        <is>
          <t>DALARNAS LÄN</t>
        </is>
      </c>
      <c r="E576" t="inlineStr">
        <is>
          <t>LEKSAND</t>
        </is>
      </c>
      <c r="G576" t="n">
        <v>5.2</v>
      </c>
      <c r="H576" t="n">
        <v>0</v>
      </c>
      <c r="I576" t="n">
        <v>0</v>
      </c>
      <c r="J576" t="n">
        <v>0</v>
      </c>
      <c r="K576" t="n">
        <v>0</v>
      </c>
      <c r="L576" t="n">
        <v>0</v>
      </c>
      <c r="M576" t="n">
        <v>0</v>
      </c>
      <c r="N576" t="n">
        <v>0</v>
      </c>
      <c r="O576" t="n">
        <v>0</v>
      </c>
      <c r="P576" t="n">
        <v>0</v>
      </c>
      <c r="Q576" t="n">
        <v>0</v>
      </c>
      <c r="R576" s="2" t="inlineStr"/>
    </row>
    <row r="577" ht="15" customHeight="1">
      <c r="A577" t="inlineStr">
        <is>
          <t>A 54917-2024</t>
        </is>
      </c>
      <c r="B577" s="1" t="n">
        <v>45618.69581018519</v>
      </c>
      <c r="C577" s="1" t="n">
        <v>46012</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19700-2025</t>
        </is>
      </c>
      <c r="B578" s="1" t="n">
        <v>45771.32445601852</v>
      </c>
      <c r="C578" s="1" t="n">
        <v>46012</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8045-2024</t>
        </is>
      </c>
      <c r="B579" s="1" t="n">
        <v>45351.31371527778</v>
      </c>
      <c r="C579" s="1" t="n">
        <v>46012</v>
      </c>
      <c r="D579" t="inlineStr">
        <is>
          <t>DALARNAS LÄN</t>
        </is>
      </c>
      <c r="E579" t="inlineStr">
        <is>
          <t>LEKSAND</t>
        </is>
      </c>
      <c r="G579" t="n">
        <v>6.7</v>
      </c>
      <c r="H579" t="n">
        <v>0</v>
      </c>
      <c r="I579" t="n">
        <v>0</v>
      </c>
      <c r="J579" t="n">
        <v>0</v>
      </c>
      <c r="K579" t="n">
        <v>0</v>
      </c>
      <c r="L579" t="n">
        <v>0</v>
      </c>
      <c r="M579" t="n">
        <v>0</v>
      </c>
      <c r="N579" t="n">
        <v>0</v>
      </c>
      <c r="O579" t="n">
        <v>0</v>
      </c>
      <c r="P579" t="n">
        <v>0</v>
      </c>
      <c r="Q579" t="n">
        <v>0</v>
      </c>
      <c r="R579" s="2" t="inlineStr"/>
    </row>
    <row r="580" ht="15" customHeight="1">
      <c r="A580" t="inlineStr">
        <is>
          <t>A 776-2021</t>
        </is>
      </c>
      <c r="B580" s="1" t="n">
        <v>44203</v>
      </c>
      <c r="C580" s="1" t="n">
        <v>46012</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57013-2023</t>
        </is>
      </c>
      <c r="B581" s="1" t="n">
        <v>45244</v>
      </c>
      <c r="C581" s="1" t="n">
        <v>46012</v>
      </c>
      <c r="D581" t="inlineStr">
        <is>
          <t>DALARNAS LÄN</t>
        </is>
      </c>
      <c r="E581" t="inlineStr">
        <is>
          <t>LEKSAND</t>
        </is>
      </c>
      <c r="G581" t="n">
        <v>1</v>
      </c>
      <c r="H581" t="n">
        <v>0</v>
      </c>
      <c r="I581" t="n">
        <v>0</v>
      </c>
      <c r="J581" t="n">
        <v>0</v>
      </c>
      <c r="K581" t="n">
        <v>0</v>
      </c>
      <c r="L581" t="n">
        <v>0</v>
      </c>
      <c r="M581" t="n">
        <v>0</v>
      </c>
      <c r="N581" t="n">
        <v>0</v>
      </c>
      <c r="O581" t="n">
        <v>0</v>
      </c>
      <c r="P581" t="n">
        <v>0</v>
      </c>
      <c r="Q581" t="n">
        <v>0</v>
      </c>
      <c r="R581" s="2" t="inlineStr"/>
    </row>
    <row r="582" ht="15" customHeight="1">
      <c r="A582" t="inlineStr">
        <is>
          <t>A 37832-2023</t>
        </is>
      </c>
      <c r="B582" s="1" t="n">
        <v>45160.3479050926</v>
      </c>
      <c r="C582" s="1" t="n">
        <v>46012</v>
      </c>
      <c r="D582" t="inlineStr">
        <is>
          <t>DALARNAS LÄN</t>
        </is>
      </c>
      <c r="E582" t="inlineStr">
        <is>
          <t>LEKSAND</t>
        </is>
      </c>
      <c r="G582" t="n">
        <v>2</v>
      </c>
      <c r="H582" t="n">
        <v>0</v>
      </c>
      <c r="I582" t="n">
        <v>0</v>
      </c>
      <c r="J582" t="n">
        <v>0</v>
      </c>
      <c r="K582" t="n">
        <v>0</v>
      </c>
      <c r="L582" t="n">
        <v>0</v>
      </c>
      <c r="M582" t="n">
        <v>0</v>
      </c>
      <c r="N582" t="n">
        <v>0</v>
      </c>
      <c r="O582" t="n">
        <v>0</v>
      </c>
      <c r="P582" t="n">
        <v>0</v>
      </c>
      <c r="Q582" t="n">
        <v>0</v>
      </c>
      <c r="R582" s="2" t="inlineStr"/>
    </row>
    <row r="583" ht="15" customHeight="1">
      <c r="A583" t="inlineStr">
        <is>
          <t>A 18040-2024</t>
        </is>
      </c>
      <c r="B583" s="1" t="n">
        <v>45420.36664351852</v>
      </c>
      <c r="C583" s="1" t="n">
        <v>46012</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6778-2025</t>
        </is>
      </c>
      <c r="B584" s="1" t="n">
        <v>45700.64615740741</v>
      </c>
      <c r="C584" s="1" t="n">
        <v>46012</v>
      </c>
      <c r="D584" t="inlineStr">
        <is>
          <t>DALARNAS LÄN</t>
        </is>
      </c>
      <c r="E584" t="inlineStr">
        <is>
          <t>LEKSAND</t>
        </is>
      </c>
      <c r="G584" t="n">
        <v>2.4</v>
      </c>
      <c r="H584" t="n">
        <v>0</v>
      </c>
      <c r="I584" t="n">
        <v>0</v>
      </c>
      <c r="J584" t="n">
        <v>0</v>
      </c>
      <c r="K584" t="n">
        <v>0</v>
      </c>
      <c r="L584" t="n">
        <v>0</v>
      </c>
      <c r="M584" t="n">
        <v>0</v>
      </c>
      <c r="N584" t="n">
        <v>0</v>
      </c>
      <c r="O584" t="n">
        <v>0</v>
      </c>
      <c r="P584" t="n">
        <v>0</v>
      </c>
      <c r="Q584" t="n">
        <v>0</v>
      </c>
      <c r="R584" s="2" t="inlineStr"/>
    </row>
    <row r="585" ht="15" customHeight="1">
      <c r="A585" t="inlineStr">
        <is>
          <t>A 43419-2024</t>
        </is>
      </c>
      <c r="B585" s="1" t="n">
        <v>45568</v>
      </c>
      <c r="C585" s="1" t="n">
        <v>46012</v>
      </c>
      <c r="D585" t="inlineStr">
        <is>
          <t>DALARNAS LÄN</t>
        </is>
      </c>
      <c r="E585" t="inlineStr">
        <is>
          <t>LEKSAND</t>
        </is>
      </c>
      <c r="G585" t="n">
        <v>0.4</v>
      </c>
      <c r="H585" t="n">
        <v>0</v>
      </c>
      <c r="I585" t="n">
        <v>0</v>
      </c>
      <c r="J585" t="n">
        <v>0</v>
      </c>
      <c r="K585" t="n">
        <v>0</v>
      </c>
      <c r="L585" t="n">
        <v>0</v>
      </c>
      <c r="M585" t="n">
        <v>0</v>
      </c>
      <c r="N585" t="n">
        <v>0</v>
      </c>
      <c r="O585" t="n">
        <v>0</v>
      </c>
      <c r="P585" t="n">
        <v>0</v>
      </c>
      <c r="Q585" t="n">
        <v>0</v>
      </c>
      <c r="R585" s="2" t="inlineStr"/>
    </row>
    <row r="586" ht="15" customHeight="1">
      <c r="A586" t="inlineStr">
        <is>
          <t>A 39595-2023</t>
        </is>
      </c>
      <c r="B586" s="1" t="n">
        <v>45167</v>
      </c>
      <c r="C586" s="1" t="n">
        <v>46012</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24481-2024</t>
        </is>
      </c>
      <c r="B587" s="1" t="n">
        <v>45459.36460648148</v>
      </c>
      <c r="C587" s="1" t="n">
        <v>46012</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17606-2024</t>
        </is>
      </c>
      <c r="B588" s="1" t="n">
        <v>45415</v>
      </c>
      <c r="C588" s="1" t="n">
        <v>46012</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34033-2024</t>
        </is>
      </c>
      <c r="B589" s="1" t="n">
        <v>45523.59265046296</v>
      </c>
      <c r="C589" s="1" t="n">
        <v>46012</v>
      </c>
      <c r="D589" t="inlineStr">
        <is>
          <t>DALARNAS LÄN</t>
        </is>
      </c>
      <c r="E589" t="inlineStr">
        <is>
          <t>LEKSAND</t>
        </is>
      </c>
      <c r="G589" t="n">
        <v>2.6</v>
      </c>
      <c r="H589" t="n">
        <v>0</v>
      </c>
      <c r="I589" t="n">
        <v>0</v>
      </c>
      <c r="J589" t="n">
        <v>0</v>
      </c>
      <c r="K589" t="n">
        <v>0</v>
      </c>
      <c r="L589" t="n">
        <v>0</v>
      </c>
      <c r="M589" t="n">
        <v>0</v>
      </c>
      <c r="N589" t="n">
        <v>0</v>
      </c>
      <c r="O589" t="n">
        <v>0</v>
      </c>
      <c r="P589" t="n">
        <v>0</v>
      </c>
      <c r="Q589" t="n">
        <v>0</v>
      </c>
      <c r="R589" s="2" t="inlineStr"/>
    </row>
    <row r="590" ht="15" customHeight="1">
      <c r="A590" t="inlineStr">
        <is>
          <t>A 61054-2023</t>
        </is>
      </c>
      <c r="B590" s="1" t="n">
        <v>45261</v>
      </c>
      <c r="C590" s="1" t="n">
        <v>46012</v>
      </c>
      <c r="D590" t="inlineStr">
        <is>
          <t>DALARNAS LÄN</t>
        </is>
      </c>
      <c r="E590" t="inlineStr">
        <is>
          <t>LEKSAND</t>
        </is>
      </c>
      <c r="G590" t="n">
        <v>0.4</v>
      </c>
      <c r="H590" t="n">
        <v>0</v>
      </c>
      <c r="I590" t="n">
        <v>0</v>
      </c>
      <c r="J590" t="n">
        <v>0</v>
      </c>
      <c r="K590" t="n">
        <v>0</v>
      </c>
      <c r="L590" t="n">
        <v>0</v>
      </c>
      <c r="M590" t="n">
        <v>0</v>
      </c>
      <c r="N590" t="n">
        <v>0</v>
      </c>
      <c r="O590" t="n">
        <v>0</v>
      </c>
      <c r="P590" t="n">
        <v>0</v>
      </c>
      <c r="Q590" t="n">
        <v>0</v>
      </c>
      <c r="R590" s="2" t="inlineStr"/>
    </row>
    <row r="591" ht="15" customHeight="1">
      <c r="A591" t="inlineStr">
        <is>
          <t>A 61056-2023</t>
        </is>
      </c>
      <c r="B591" s="1" t="n">
        <v>45261</v>
      </c>
      <c r="C591" s="1" t="n">
        <v>46012</v>
      </c>
      <c r="D591" t="inlineStr">
        <is>
          <t>DALARNAS LÄN</t>
        </is>
      </c>
      <c r="E591" t="inlineStr">
        <is>
          <t>LEKSAND</t>
        </is>
      </c>
      <c r="G591" t="n">
        <v>0.3</v>
      </c>
      <c r="H591" t="n">
        <v>0</v>
      </c>
      <c r="I591" t="n">
        <v>0</v>
      </c>
      <c r="J591" t="n">
        <v>0</v>
      </c>
      <c r="K591" t="n">
        <v>0</v>
      </c>
      <c r="L591" t="n">
        <v>0</v>
      </c>
      <c r="M591" t="n">
        <v>0</v>
      </c>
      <c r="N591" t="n">
        <v>0</v>
      </c>
      <c r="O591" t="n">
        <v>0</v>
      </c>
      <c r="P591" t="n">
        <v>0</v>
      </c>
      <c r="Q591" t="n">
        <v>0</v>
      </c>
      <c r="R591" s="2" t="inlineStr"/>
    </row>
    <row r="592" ht="15" customHeight="1">
      <c r="A592" t="inlineStr">
        <is>
          <t>A 7894-2025</t>
        </is>
      </c>
      <c r="B592" s="1" t="n">
        <v>45707.30268518518</v>
      </c>
      <c r="C592" s="1" t="n">
        <v>46012</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58877-2023</t>
        </is>
      </c>
      <c r="B593" s="1" t="n">
        <v>45252</v>
      </c>
      <c r="C593" s="1" t="n">
        <v>46012</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17455-2022</t>
        </is>
      </c>
      <c r="B594" s="1" t="n">
        <v>44679.3775</v>
      </c>
      <c r="C594" s="1" t="n">
        <v>46012</v>
      </c>
      <c r="D594" t="inlineStr">
        <is>
          <t>DALARNAS LÄN</t>
        </is>
      </c>
      <c r="E594" t="inlineStr">
        <is>
          <t>LEKSAND</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60040-2023</t>
        </is>
      </c>
      <c r="B595" s="1" t="n">
        <v>45256</v>
      </c>
      <c r="C595" s="1" t="n">
        <v>46012</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33306-2023</t>
        </is>
      </c>
      <c r="B596" s="1" t="n">
        <v>45127</v>
      </c>
      <c r="C596" s="1" t="n">
        <v>46012</v>
      </c>
      <c r="D596" t="inlineStr">
        <is>
          <t>DALARNAS LÄN</t>
        </is>
      </c>
      <c r="E596" t="inlineStr">
        <is>
          <t>LEKSAND</t>
        </is>
      </c>
      <c r="G596" t="n">
        <v>2.2</v>
      </c>
      <c r="H596" t="n">
        <v>0</v>
      </c>
      <c r="I596" t="n">
        <v>0</v>
      </c>
      <c r="J596" t="n">
        <v>0</v>
      </c>
      <c r="K596" t="n">
        <v>0</v>
      </c>
      <c r="L596" t="n">
        <v>0</v>
      </c>
      <c r="M596" t="n">
        <v>0</v>
      </c>
      <c r="N596" t="n">
        <v>0</v>
      </c>
      <c r="O596" t="n">
        <v>0</v>
      </c>
      <c r="P596" t="n">
        <v>0</v>
      </c>
      <c r="Q596" t="n">
        <v>0</v>
      </c>
      <c r="R596" s="2" t="inlineStr"/>
    </row>
    <row r="597" ht="15" customHeight="1">
      <c r="A597" t="inlineStr">
        <is>
          <t>A 33316-2023</t>
        </is>
      </c>
      <c r="B597" s="1" t="n">
        <v>45127</v>
      </c>
      <c r="C597" s="1" t="n">
        <v>46012</v>
      </c>
      <c r="D597" t="inlineStr">
        <is>
          <t>DALARNAS LÄN</t>
        </is>
      </c>
      <c r="E597" t="inlineStr">
        <is>
          <t>LEKSAND</t>
        </is>
      </c>
      <c r="G597" t="n">
        <v>8.9</v>
      </c>
      <c r="H597" t="n">
        <v>0</v>
      </c>
      <c r="I597" t="n">
        <v>0</v>
      </c>
      <c r="J597" t="n">
        <v>0</v>
      </c>
      <c r="K597" t="n">
        <v>0</v>
      </c>
      <c r="L597" t="n">
        <v>0</v>
      </c>
      <c r="M597" t="n">
        <v>0</v>
      </c>
      <c r="N597" t="n">
        <v>0</v>
      </c>
      <c r="O597" t="n">
        <v>0</v>
      </c>
      <c r="P597" t="n">
        <v>0</v>
      </c>
      <c r="Q597" t="n">
        <v>0</v>
      </c>
      <c r="R597" s="2" t="inlineStr"/>
    </row>
    <row r="598" ht="15" customHeight="1">
      <c r="A598" t="inlineStr">
        <is>
          <t>A 22681-2022</t>
        </is>
      </c>
      <c r="B598" s="1" t="n">
        <v>44714.50961805556</v>
      </c>
      <c r="C598" s="1" t="n">
        <v>46012</v>
      </c>
      <c r="D598" t="inlineStr">
        <is>
          <t>DALARNAS LÄN</t>
        </is>
      </c>
      <c r="E598" t="inlineStr">
        <is>
          <t>LEKSAND</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30196-2023</t>
        </is>
      </c>
      <c r="B599" s="1" t="n">
        <v>45110</v>
      </c>
      <c r="C599" s="1" t="n">
        <v>46012</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46446-2023</t>
        </is>
      </c>
      <c r="B600" s="1" t="n">
        <v>45197.59344907408</v>
      </c>
      <c r="C600" s="1" t="n">
        <v>46012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54682-2023</t>
        </is>
      </c>
      <c r="B601" s="1" t="n">
        <v>45235.90439814814</v>
      </c>
      <c r="C601" s="1" t="n">
        <v>46012</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1463-2024</t>
        </is>
      </c>
      <c r="B602" s="1" t="n">
        <v>45303</v>
      </c>
      <c r="C602" s="1" t="n">
        <v>46012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30000-2023</t>
        </is>
      </c>
      <c r="B603" s="1" t="n">
        <v>45109.71128472222</v>
      </c>
      <c r="C603" s="1" t="n">
        <v>46012</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17282-2025</t>
        </is>
      </c>
      <c r="B604" s="1" t="n">
        <v>45756.57114583333</v>
      </c>
      <c r="C604" s="1" t="n">
        <v>46012</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12923-2025</t>
        </is>
      </c>
      <c r="B605" s="1" t="n">
        <v>45734.29193287037</v>
      </c>
      <c r="C605" s="1" t="n">
        <v>46012</v>
      </c>
      <c r="D605" t="inlineStr">
        <is>
          <t>DALARNAS LÄN</t>
        </is>
      </c>
      <c r="E605" t="inlineStr">
        <is>
          <t>LEKSAND</t>
        </is>
      </c>
      <c r="G605" t="n">
        <v>7.2</v>
      </c>
      <c r="H605" t="n">
        <v>0</v>
      </c>
      <c r="I605" t="n">
        <v>0</v>
      </c>
      <c r="J605" t="n">
        <v>0</v>
      </c>
      <c r="K605" t="n">
        <v>0</v>
      </c>
      <c r="L605" t="n">
        <v>0</v>
      </c>
      <c r="M605" t="n">
        <v>0</v>
      </c>
      <c r="N605" t="n">
        <v>0</v>
      </c>
      <c r="O605" t="n">
        <v>0</v>
      </c>
      <c r="P605" t="n">
        <v>0</v>
      </c>
      <c r="Q605" t="n">
        <v>0</v>
      </c>
      <c r="R605" s="2" t="inlineStr"/>
    </row>
    <row r="606" ht="15" customHeight="1">
      <c r="A606" t="inlineStr">
        <is>
          <t>A 2820-2024</t>
        </is>
      </c>
      <c r="B606" s="1" t="n">
        <v>45314.76287037037</v>
      </c>
      <c r="C606" s="1" t="n">
        <v>46012</v>
      </c>
      <c r="D606" t="inlineStr">
        <is>
          <t>DALARNAS LÄN</t>
        </is>
      </c>
      <c r="E606" t="inlineStr">
        <is>
          <t>LEKSAND</t>
        </is>
      </c>
      <c r="G606" t="n">
        <v>1.7</v>
      </c>
      <c r="H606" t="n">
        <v>0</v>
      </c>
      <c r="I606" t="n">
        <v>0</v>
      </c>
      <c r="J606" t="n">
        <v>0</v>
      </c>
      <c r="K606" t="n">
        <v>0</v>
      </c>
      <c r="L606" t="n">
        <v>0</v>
      </c>
      <c r="M606" t="n">
        <v>0</v>
      </c>
      <c r="N606" t="n">
        <v>0</v>
      </c>
      <c r="O606" t="n">
        <v>0</v>
      </c>
      <c r="P606" t="n">
        <v>0</v>
      </c>
      <c r="Q606" t="n">
        <v>0</v>
      </c>
      <c r="R606" s="2" t="inlineStr"/>
    </row>
    <row r="607" ht="15" customHeight="1">
      <c r="A607" t="inlineStr">
        <is>
          <t>A 2822-2024</t>
        </is>
      </c>
      <c r="B607" s="1" t="n">
        <v>45314.76622685185</v>
      </c>
      <c r="C607" s="1" t="n">
        <v>46012</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51320-2023</t>
        </is>
      </c>
      <c r="B608" s="1" t="n">
        <v>45219.57456018519</v>
      </c>
      <c r="C608" s="1" t="n">
        <v>46012</v>
      </c>
      <c r="D608" t="inlineStr">
        <is>
          <t>DALARNAS LÄN</t>
        </is>
      </c>
      <c r="E608" t="inlineStr">
        <is>
          <t>LEKSAND</t>
        </is>
      </c>
      <c r="G608" t="n">
        <v>2.1</v>
      </c>
      <c r="H608" t="n">
        <v>0</v>
      </c>
      <c r="I608" t="n">
        <v>0</v>
      </c>
      <c r="J608" t="n">
        <v>0</v>
      </c>
      <c r="K608" t="n">
        <v>0</v>
      </c>
      <c r="L608" t="n">
        <v>0</v>
      </c>
      <c r="M608" t="n">
        <v>0</v>
      </c>
      <c r="N608" t="n">
        <v>0</v>
      </c>
      <c r="O608" t="n">
        <v>0</v>
      </c>
      <c r="P608" t="n">
        <v>0</v>
      </c>
      <c r="Q608" t="n">
        <v>0</v>
      </c>
      <c r="R608" s="2" t="inlineStr"/>
    </row>
    <row r="609" ht="15" customHeight="1">
      <c r="A609" t="inlineStr">
        <is>
          <t>A 12621-2025</t>
        </is>
      </c>
      <c r="B609" s="1" t="n">
        <v>45733.3575</v>
      </c>
      <c r="C609" s="1" t="n">
        <v>46012</v>
      </c>
      <c r="D609" t="inlineStr">
        <is>
          <t>DALARNAS LÄN</t>
        </is>
      </c>
      <c r="E609" t="inlineStr">
        <is>
          <t>LEKSAND</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51377-2023</t>
        </is>
      </c>
      <c r="B610" s="1" t="n">
        <v>45219</v>
      </c>
      <c r="C610" s="1" t="n">
        <v>46012</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59859-2023</t>
        </is>
      </c>
      <c r="B611" s="1" t="n">
        <v>45257</v>
      </c>
      <c r="C611" s="1" t="n">
        <v>46012</v>
      </c>
      <c r="D611" t="inlineStr">
        <is>
          <t>DALARNAS LÄN</t>
        </is>
      </c>
      <c r="E611" t="inlineStr">
        <is>
          <t>LEKSAND</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19330-2025</t>
        </is>
      </c>
      <c r="B612" s="1" t="n">
        <v>45769</v>
      </c>
      <c r="C612" s="1" t="n">
        <v>46012</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46012</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60878-2023</t>
        </is>
      </c>
      <c r="B614" s="1" t="n">
        <v>45259</v>
      </c>
      <c r="C614" s="1" t="n">
        <v>46012</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61502-2023</t>
        </is>
      </c>
      <c r="B615" s="1" t="n">
        <v>45264</v>
      </c>
      <c r="C615" s="1" t="n">
        <v>46012</v>
      </c>
      <c r="D615" t="inlineStr">
        <is>
          <t>DALARNAS LÄN</t>
        </is>
      </c>
      <c r="E615" t="inlineStr">
        <is>
          <t>LEKSAND</t>
        </is>
      </c>
      <c r="G615" t="n">
        <v>5.2</v>
      </c>
      <c r="H615" t="n">
        <v>0</v>
      </c>
      <c r="I615" t="n">
        <v>0</v>
      </c>
      <c r="J615" t="n">
        <v>0</v>
      </c>
      <c r="K615" t="n">
        <v>0</v>
      </c>
      <c r="L615" t="n">
        <v>0</v>
      </c>
      <c r="M615" t="n">
        <v>0</v>
      </c>
      <c r="N615" t="n">
        <v>0</v>
      </c>
      <c r="O615" t="n">
        <v>0</v>
      </c>
      <c r="P615" t="n">
        <v>0</v>
      </c>
      <c r="Q615" t="n">
        <v>0</v>
      </c>
      <c r="R615" s="2" t="inlineStr"/>
    </row>
    <row r="616" ht="15" customHeight="1">
      <c r="A616" t="inlineStr">
        <is>
          <t>A 28965-2023</t>
        </is>
      </c>
      <c r="B616" s="1" t="n">
        <v>45104</v>
      </c>
      <c r="C616" s="1" t="n">
        <v>46012</v>
      </c>
      <c r="D616" t="inlineStr">
        <is>
          <t>DALARNAS LÄN</t>
        </is>
      </c>
      <c r="E616" t="inlineStr">
        <is>
          <t>LEKSAND</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1719-2024</t>
        </is>
      </c>
      <c r="B617" s="1" t="n">
        <v>45307</v>
      </c>
      <c r="C617" s="1" t="n">
        <v>46012</v>
      </c>
      <c r="D617" t="inlineStr">
        <is>
          <t>DALARNAS LÄN</t>
        </is>
      </c>
      <c r="E617" t="inlineStr">
        <is>
          <t>LEKSAND</t>
        </is>
      </c>
      <c r="G617" t="n">
        <v>2.8</v>
      </c>
      <c r="H617" t="n">
        <v>0</v>
      </c>
      <c r="I617" t="n">
        <v>0</v>
      </c>
      <c r="J617" t="n">
        <v>0</v>
      </c>
      <c r="K617" t="n">
        <v>0</v>
      </c>
      <c r="L617" t="n">
        <v>0</v>
      </c>
      <c r="M617" t="n">
        <v>0</v>
      </c>
      <c r="N617" t="n">
        <v>0</v>
      </c>
      <c r="O617" t="n">
        <v>0</v>
      </c>
      <c r="P617" t="n">
        <v>0</v>
      </c>
      <c r="Q617" t="n">
        <v>0</v>
      </c>
      <c r="R617" s="2" t="inlineStr"/>
    </row>
    <row r="618" ht="15" customHeight="1">
      <c r="A618" t="inlineStr">
        <is>
          <t>A 16744-2025</t>
        </is>
      </c>
      <c r="B618" s="1" t="n">
        <v>45754</v>
      </c>
      <c r="C618" s="1" t="n">
        <v>46012</v>
      </c>
      <c r="D618" t="inlineStr">
        <is>
          <t>DALARNAS LÄN</t>
        </is>
      </c>
      <c r="E618" t="inlineStr">
        <is>
          <t>LEKSAND</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22349-2024</t>
        </is>
      </c>
      <c r="B619" s="1" t="n">
        <v>45446</v>
      </c>
      <c r="C619" s="1" t="n">
        <v>46012</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11617-2024</t>
        </is>
      </c>
      <c r="B620" s="1" t="n">
        <v>45373.42898148148</v>
      </c>
      <c r="C620" s="1" t="n">
        <v>46012</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61953-2023</t>
        </is>
      </c>
      <c r="B621" s="1" t="n">
        <v>45266</v>
      </c>
      <c r="C621" s="1" t="n">
        <v>46012</v>
      </c>
      <c r="D621" t="inlineStr">
        <is>
          <t>DALARNAS LÄN</t>
        </is>
      </c>
      <c r="E621" t="inlineStr">
        <is>
          <t>LEKSAND</t>
        </is>
      </c>
      <c r="G621" t="n">
        <v>0.1</v>
      </c>
      <c r="H621" t="n">
        <v>0</v>
      </c>
      <c r="I621" t="n">
        <v>0</v>
      </c>
      <c r="J621" t="n">
        <v>0</v>
      </c>
      <c r="K621" t="n">
        <v>0</v>
      </c>
      <c r="L621" t="n">
        <v>0</v>
      </c>
      <c r="M621" t="n">
        <v>0</v>
      </c>
      <c r="N621" t="n">
        <v>0</v>
      </c>
      <c r="O621" t="n">
        <v>0</v>
      </c>
      <c r="P621" t="n">
        <v>0</v>
      </c>
      <c r="Q621" t="n">
        <v>0</v>
      </c>
      <c r="R621" s="2" t="inlineStr"/>
    </row>
    <row r="622" ht="15" customHeight="1">
      <c r="A622" t="inlineStr">
        <is>
          <t>A 58619-2022</t>
        </is>
      </c>
      <c r="B622" s="1" t="n">
        <v>44902.59579861111</v>
      </c>
      <c r="C622" s="1" t="n">
        <v>46012</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20946-2023</t>
        </is>
      </c>
      <c r="B623" s="1" t="n">
        <v>45061</v>
      </c>
      <c r="C623" s="1" t="n">
        <v>46012</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46012</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61252-2023</t>
        </is>
      </c>
      <c r="B625" s="1" t="n">
        <v>45261</v>
      </c>
      <c r="C625" s="1" t="n">
        <v>46012</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14617-2024</t>
        </is>
      </c>
      <c r="B626" s="1" t="n">
        <v>45397</v>
      </c>
      <c r="C626" s="1" t="n">
        <v>46012</v>
      </c>
      <c r="D626" t="inlineStr">
        <is>
          <t>DALARNAS LÄN</t>
        </is>
      </c>
      <c r="E626" t="inlineStr">
        <is>
          <t>LEKSAND</t>
        </is>
      </c>
      <c r="G626" t="n">
        <v>0.2</v>
      </c>
      <c r="H626" t="n">
        <v>0</v>
      </c>
      <c r="I626" t="n">
        <v>0</v>
      </c>
      <c r="J626" t="n">
        <v>0</v>
      </c>
      <c r="K626" t="n">
        <v>0</v>
      </c>
      <c r="L626" t="n">
        <v>0</v>
      </c>
      <c r="M626" t="n">
        <v>0</v>
      </c>
      <c r="N626" t="n">
        <v>0</v>
      </c>
      <c r="O626" t="n">
        <v>0</v>
      </c>
      <c r="P626" t="n">
        <v>0</v>
      </c>
      <c r="Q626" t="n">
        <v>0</v>
      </c>
      <c r="R626" s="2" t="inlineStr"/>
    </row>
    <row r="627" ht="15" customHeight="1">
      <c r="A627" t="inlineStr">
        <is>
          <t>A 46141-2022</t>
        </is>
      </c>
      <c r="B627" s="1" t="n">
        <v>44846</v>
      </c>
      <c r="C627" s="1" t="n">
        <v>46012</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62993-2023</t>
        </is>
      </c>
      <c r="B628" s="1" t="n">
        <v>45272</v>
      </c>
      <c r="C628" s="1" t="n">
        <v>46012</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61933-2023</t>
        </is>
      </c>
      <c r="B629" s="1" t="n">
        <v>45266</v>
      </c>
      <c r="C629" s="1" t="n">
        <v>46012</v>
      </c>
      <c r="D629" t="inlineStr">
        <is>
          <t>DALARNAS LÄN</t>
        </is>
      </c>
      <c r="E629" t="inlineStr">
        <is>
          <t>LEKSAND</t>
        </is>
      </c>
      <c r="G629" t="n">
        <v>0.2</v>
      </c>
      <c r="H629" t="n">
        <v>0</v>
      </c>
      <c r="I629" t="n">
        <v>0</v>
      </c>
      <c r="J629" t="n">
        <v>0</v>
      </c>
      <c r="K629" t="n">
        <v>0</v>
      </c>
      <c r="L629" t="n">
        <v>0</v>
      </c>
      <c r="M629" t="n">
        <v>0</v>
      </c>
      <c r="N629" t="n">
        <v>0</v>
      </c>
      <c r="O629" t="n">
        <v>0</v>
      </c>
      <c r="P629" t="n">
        <v>0</v>
      </c>
      <c r="Q629" t="n">
        <v>0</v>
      </c>
      <c r="R629" s="2" t="inlineStr"/>
    </row>
    <row r="630" ht="15" customHeight="1">
      <c r="A630" t="inlineStr">
        <is>
          <t>A 33198-2022</t>
        </is>
      </c>
      <c r="B630" s="1" t="n">
        <v>44785.68597222222</v>
      </c>
      <c r="C630" s="1" t="n">
        <v>46012</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15619-2025</t>
        </is>
      </c>
      <c r="B631" s="1" t="n">
        <v>45747</v>
      </c>
      <c r="C631" s="1" t="n">
        <v>46012</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46931-2023</t>
        </is>
      </c>
      <c r="B632" s="1" t="n">
        <v>45201</v>
      </c>
      <c r="C632" s="1" t="n">
        <v>46012</v>
      </c>
      <c r="D632" t="inlineStr">
        <is>
          <t>DALARNAS LÄN</t>
        </is>
      </c>
      <c r="E632" t="inlineStr">
        <is>
          <t>LEKSAND</t>
        </is>
      </c>
      <c r="G632" t="n">
        <v>1.4</v>
      </c>
      <c r="H632" t="n">
        <v>0</v>
      </c>
      <c r="I632" t="n">
        <v>0</v>
      </c>
      <c r="J632" t="n">
        <v>0</v>
      </c>
      <c r="K632" t="n">
        <v>0</v>
      </c>
      <c r="L632" t="n">
        <v>0</v>
      </c>
      <c r="M632" t="n">
        <v>0</v>
      </c>
      <c r="N632" t="n">
        <v>0</v>
      </c>
      <c r="O632" t="n">
        <v>0</v>
      </c>
      <c r="P632" t="n">
        <v>0</v>
      </c>
      <c r="Q632" t="n">
        <v>0</v>
      </c>
      <c r="R632" s="2" t="inlineStr"/>
    </row>
    <row r="633" ht="15" customHeight="1">
      <c r="A633" t="inlineStr">
        <is>
          <t>A 17483-2025</t>
        </is>
      </c>
      <c r="B633" s="1" t="n">
        <v>45757.49408564815</v>
      </c>
      <c r="C633" s="1" t="n">
        <v>46012</v>
      </c>
      <c r="D633" t="inlineStr">
        <is>
          <t>DALARNAS LÄN</t>
        </is>
      </c>
      <c r="E633" t="inlineStr">
        <is>
          <t>LEKSAND</t>
        </is>
      </c>
      <c r="G633" t="n">
        <v>4.1</v>
      </c>
      <c r="H633" t="n">
        <v>0</v>
      </c>
      <c r="I633" t="n">
        <v>0</v>
      </c>
      <c r="J633" t="n">
        <v>0</v>
      </c>
      <c r="K633" t="n">
        <v>0</v>
      </c>
      <c r="L633" t="n">
        <v>0</v>
      </c>
      <c r="M633" t="n">
        <v>0</v>
      </c>
      <c r="N633" t="n">
        <v>0</v>
      </c>
      <c r="O633" t="n">
        <v>0</v>
      </c>
      <c r="P633" t="n">
        <v>0</v>
      </c>
      <c r="Q633" t="n">
        <v>0</v>
      </c>
      <c r="R633" s="2" t="inlineStr"/>
    </row>
    <row r="634" ht="15" customHeight="1">
      <c r="A634" t="inlineStr">
        <is>
          <t>A 17759-2023</t>
        </is>
      </c>
      <c r="B634" s="1" t="n">
        <v>45037.48765046296</v>
      </c>
      <c r="C634" s="1" t="n">
        <v>46012</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43220-2024</t>
        </is>
      </c>
      <c r="B635" s="1" t="n">
        <v>45567.86112268519</v>
      </c>
      <c r="C635" s="1" t="n">
        <v>46012</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55015-2024</t>
        </is>
      </c>
      <c r="B636" s="1" t="n">
        <v>45621.35554398148</v>
      </c>
      <c r="C636" s="1" t="n">
        <v>46012</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34039-2024</t>
        </is>
      </c>
      <c r="B637" s="1" t="n">
        <v>45523.5974537037</v>
      </c>
      <c r="C637" s="1" t="n">
        <v>46012</v>
      </c>
      <c r="D637" t="inlineStr">
        <is>
          <t>DALARNAS LÄN</t>
        </is>
      </c>
      <c r="E637" t="inlineStr">
        <is>
          <t>LEKSAND</t>
        </is>
      </c>
      <c r="G637" t="n">
        <v>7.1</v>
      </c>
      <c r="H637" t="n">
        <v>0</v>
      </c>
      <c r="I637" t="n">
        <v>0</v>
      </c>
      <c r="J637" t="n">
        <v>0</v>
      </c>
      <c r="K637" t="n">
        <v>0</v>
      </c>
      <c r="L637" t="n">
        <v>0</v>
      </c>
      <c r="M637" t="n">
        <v>0</v>
      </c>
      <c r="N637" t="n">
        <v>0</v>
      </c>
      <c r="O637" t="n">
        <v>0</v>
      </c>
      <c r="P637" t="n">
        <v>0</v>
      </c>
      <c r="Q637" t="n">
        <v>0</v>
      </c>
      <c r="R637" s="2" t="inlineStr"/>
    </row>
    <row r="638" ht="15" customHeight="1">
      <c r="A638" t="inlineStr">
        <is>
          <t>A 46505-2023</t>
        </is>
      </c>
      <c r="B638" s="1" t="n">
        <v>45197</v>
      </c>
      <c r="C638" s="1" t="n">
        <v>46012</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481-2024</t>
        </is>
      </c>
      <c r="B639" s="1" t="n">
        <v>45298</v>
      </c>
      <c r="C639" s="1" t="n">
        <v>46012</v>
      </c>
      <c r="D639" t="inlineStr">
        <is>
          <t>DALARNAS LÄN</t>
        </is>
      </c>
      <c r="E639" t="inlineStr">
        <is>
          <t>LEKSAND</t>
        </is>
      </c>
      <c r="G639" t="n">
        <v>7</v>
      </c>
      <c r="H639" t="n">
        <v>0</v>
      </c>
      <c r="I639" t="n">
        <v>0</v>
      </c>
      <c r="J639" t="n">
        <v>0</v>
      </c>
      <c r="K639" t="n">
        <v>0</v>
      </c>
      <c r="L639" t="n">
        <v>0</v>
      </c>
      <c r="M639" t="n">
        <v>0</v>
      </c>
      <c r="N639" t="n">
        <v>0</v>
      </c>
      <c r="O639" t="n">
        <v>0</v>
      </c>
      <c r="P639" t="n">
        <v>0</v>
      </c>
      <c r="Q639" t="n">
        <v>0</v>
      </c>
      <c r="R639" s="2" t="inlineStr"/>
    </row>
    <row r="640" ht="15" customHeight="1">
      <c r="A640" t="inlineStr">
        <is>
          <t>A 50278-2023</t>
        </is>
      </c>
      <c r="B640" s="1" t="n">
        <v>45216.43444444444</v>
      </c>
      <c r="C640" s="1" t="n">
        <v>46012</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16197-2024</t>
        </is>
      </c>
      <c r="B641" s="1" t="n">
        <v>45406.70356481482</v>
      </c>
      <c r="C641" s="1" t="n">
        <v>46012</v>
      </c>
      <c r="D641" t="inlineStr">
        <is>
          <t>DALARNAS LÄN</t>
        </is>
      </c>
      <c r="E641" t="inlineStr">
        <is>
          <t>LEKSAND</t>
        </is>
      </c>
      <c r="G641" t="n">
        <v>2.4</v>
      </c>
      <c r="H641" t="n">
        <v>0</v>
      </c>
      <c r="I641" t="n">
        <v>0</v>
      </c>
      <c r="J641" t="n">
        <v>0</v>
      </c>
      <c r="K641" t="n">
        <v>0</v>
      </c>
      <c r="L641" t="n">
        <v>0</v>
      </c>
      <c r="M641" t="n">
        <v>0</v>
      </c>
      <c r="N641" t="n">
        <v>0</v>
      </c>
      <c r="O641" t="n">
        <v>0</v>
      </c>
      <c r="P641" t="n">
        <v>0</v>
      </c>
      <c r="Q641" t="n">
        <v>0</v>
      </c>
      <c r="R641" s="2" t="inlineStr"/>
    </row>
    <row r="642" ht="15" customHeight="1">
      <c r="A642" t="inlineStr">
        <is>
          <t>A 5453-2025</t>
        </is>
      </c>
      <c r="B642" s="1" t="n">
        <v>45692.95231481481</v>
      </c>
      <c r="C642" s="1" t="n">
        <v>46012</v>
      </c>
      <c r="D642" t="inlineStr">
        <is>
          <t>DALARNAS LÄN</t>
        </is>
      </c>
      <c r="E642" t="inlineStr">
        <is>
          <t>LEKSAND</t>
        </is>
      </c>
      <c r="G642" t="n">
        <v>2.2</v>
      </c>
      <c r="H642" t="n">
        <v>0</v>
      </c>
      <c r="I642" t="n">
        <v>0</v>
      </c>
      <c r="J642" t="n">
        <v>0</v>
      </c>
      <c r="K642" t="n">
        <v>0</v>
      </c>
      <c r="L642" t="n">
        <v>0</v>
      </c>
      <c r="M642" t="n">
        <v>0</v>
      </c>
      <c r="N642" t="n">
        <v>0</v>
      </c>
      <c r="O642" t="n">
        <v>0</v>
      </c>
      <c r="P642" t="n">
        <v>0</v>
      </c>
      <c r="Q642" t="n">
        <v>0</v>
      </c>
      <c r="R642" s="2" t="inlineStr"/>
    </row>
    <row r="643" ht="15" customHeight="1">
      <c r="A643" t="inlineStr">
        <is>
          <t>A 57925-2024</t>
        </is>
      </c>
      <c r="B643" s="1" t="n">
        <v>45630</v>
      </c>
      <c r="C643" s="1" t="n">
        <v>46012</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27445-2024</t>
        </is>
      </c>
      <c r="B644" s="1" t="n">
        <v>45474.42474537037</v>
      </c>
      <c r="C644" s="1" t="n">
        <v>46012</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27446-2024</t>
        </is>
      </c>
      <c r="B645" s="1" t="n">
        <v>45474.42671296297</v>
      </c>
      <c r="C645" s="1" t="n">
        <v>46012</v>
      </c>
      <c r="D645" t="inlineStr">
        <is>
          <t>DALARNAS LÄN</t>
        </is>
      </c>
      <c r="E645" t="inlineStr">
        <is>
          <t>LEKSAND</t>
        </is>
      </c>
      <c r="G645" t="n">
        <v>2.9</v>
      </c>
      <c r="H645" t="n">
        <v>0</v>
      </c>
      <c r="I645" t="n">
        <v>0</v>
      </c>
      <c r="J645" t="n">
        <v>0</v>
      </c>
      <c r="K645" t="n">
        <v>0</v>
      </c>
      <c r="L645" t="n">
        <v>0</v>
      </c>
      <c r="M645" t="n">
        <v>0</v>
      </c>
      <c r="N645" t="n">
        <v>0</v>
      </c>
      <c r="O645" t="n">
        <v>0</v>
      </c>
      <c r="P645" t="n">
        <v>0</v>
      </c>
      <c r="Q645" t="n">
        <v>0</v>
      </c>
      <c r="R645" s="2" t="inlineStr"/>
    </row>
    <row r="646" ht="15" customHeight="1">
      <c r="A646" t="inlineStr">
        <is>
          <t>A 18837-2023</t>
        </is>
      </c>
      <c r="B646" s="1" t="n">
        <v>45044.42940972222</v>
      </c>
      <c r="C646" s="1" t="n">
        <v>46012</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17730-2024</t>
        </is>
      </c>
      <c r="B647" s="1" t="n">
        <v>45418</v>
      </c>
      <c r="C647" s="1" t="n">
        <v>46012</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64933-2023</t>
        </is>
      </c>
      <c r="B648" s="1" t="n">
        <v>45282</v>
      </c>
      <c r="C648" s="1" t="n">
        <v>46012</v>
      </c>
      <c r="D648" t="inlineStr">
        <is>
          <t>DALARNAS LÄN</t>
        </is>
      </c>
      <c r="E648" t="inlineStr">
        <is>
          <t>LEKSAND</t>
        </is>
      </c>
      <c r="G648" t="n">
        <v>2.3</v>
      </c>
      <c r="H648" t="n">
        <v>0</v>
      </c>
      <c r="I648" t="n">
        <v>0</v>
      </c>
      <c r="J648" t="n">
        <v>0</v>
      </c>
      <c r="K648" t="n">
        <v>0</v>
      </c>
      <c r="L648" t="n">
        <v>0</v>
      </c>
      <c r="M648" t="n">
        <v>0</v>
      </c>
      <c r="N648" t="n">
        <v>0</v>
      </c>
      <c r="O648" t="n">
        <v>0</v>
      </c>
      <c r="P648" t="n">
        <v>0</v>
      </c>
      <c r="Q648" t="n">
        <v>0</v>
      </c>
      <c r="R648" s="2" t="inlineStr"/>
    </row>
    <row r="649" ht="15" customHeight="1">
      <c r="A649" t="inlineStr">
        <is>
          <t>A 39620-2024</t>
        </is>
      </c>
      <c r="B649" s="1" t="n">
        <v>45552.43163194445</v>
      </c>
      <c r="C649" s="1" t="n">
        <v>46012</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57907-2024</t>
        </is>
      </c>
      <c r="B650" s="1" t="n">
        <v>45630</v>
      </c>
      <c r="C650" s="1" t="n">
        <v>46012</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59236-2024</t>
        </is>
      </c>
      <c r="B651" s="1" t="n">
        <v>45637.58795138889</v>
      </c>
      <c r="C651" s="1" t="n">
        <v>46012</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34038-2024</t>
        </is>
      </c>
      <c r="B652" s="1" t="n">
        <v>45523.59578703704</v>
      </c>
      <c r="C652" s="1" t="n">
        <v>46012</v>
      </c>
      <c r="D652" t="inlineStr">
        <is>
          <t>DALARNAS LÄN</t>
        </is>
      </c>
      <c r="E652" t="inlineStr">
        <is>
          <t>LEKSAND</t>
        </is>
      </c>
      <c r="G652" t="n">
        <v>0.3</v>
      </c>
      <c r="H652" t="n">
        <v>0</v>
      </c>
      <c r="I652" t="n">
        <v>0</v>
      </c>
      <c r="J652" t="n">
        <v>0</v>
      </c>
      <c r="K652" t="n">
        <v>0</v>
      </c>
      <c r="L652" t="n">
        <v>0</v>
      </c>
      <c r="M652" t="n">
        <v>0</v>
      </c>
      <c r="N652" t="n">
        <v>0</v>
      </c>
      <c r="O652" t="n">
        <v>0</v>
      </c>
      <c r="P652" t="n">
        <v>0</v>
      </c>
      <c r="Q652" t="n">
        <v>0</v>
      </c>
      <c r="R652" s="2" t="inlineStr"/>
    </row>
    <row r="653" ht="15" customHeight="1">
      <c r="A653" t="inlineStr">
        <is>
          <t>A 34041-2024</t>
        </is>
      </c>
      <c r="B653" s="1" t="n">
        <v>45523.59895833334</v>
      </c>
      <c r="C653" s="1" t="n">
        <v>46012</v>
      </c>
      <c r="D653" t="inlineStr">
        <is>
          <t>DALARNAS LÄN</t>
        </is>
      </c>
      <c r="E653" t="inlineStr">
        <is>
          <t>LEKSAND</t>
        </is>
      </c>
      <c r="G653" t="n">
        <v>4</v>
      </c>
      <c r="H653" t="n">
        <v>0</v>
      </c>
      <c r="I653" t="n">
        <v>0</v>
      </c>
      <c r="J653" t="n">
        <v>0</v>
      </c>
      <c r="K653" t="n">
        <v>0</v>
      </c>
      <c r="L653" t="n">
        <v>0</v>
      </c>
      <c r="M653" t="n">
        <v>0</v>
      </c>
      <c r="N653" t="n">
        <v>0</v>
      </c>
      <c r="O653" t="n">
        <v>0</v>
      </c>
      <c r="P653" t="n">
        <v>0</v>
      </c>
      <c r="Q653" t="n">
        <v>0</v>
      </c>
      <c r="R653" s="2" t="inlineStr"/>
    </row>
    <row r="654" ht="15" customHeight="1">
      <c r="A654" t="inlineStr">
        <is>
          <t>A 10833-2023</t>
        </is>
      </c>
      <c r="B654" s="1" t="n">
        <v>44990</v>
      </c>
      <c r="C654" s="1" t="n">
        <v>46012</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17233-2023</t>
        </is>
      </c>
      <c r="B655" s="1" t="n">
        <v>45035</v>
      </c>
      <c r="C655" s="1" t="n">
        <v>46012</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16231-2021</t>
        </is>
      </c>
      <c r="B656" s="1" t="n">
        <v>44292</v>
      </c>
      <c r="C656" s="1" t="n">
        <v>46012</v>
      </c>
      <c r="D656" t="inlineStr">
        <is>
          <t>DALARNAS LÄN</t>
        </is>
      </c>
      <c r="E656" t="inlineStr">
        <is>
          <t>LEKSAND</t>
        </is>
      </c>
      <c r="G656" t="n">
        <v>1.1</v>
      </c>
      <c r="H656" t="n">
        <v>0</v>
      </c>
      <c r="I656" t="n">
        <v>0</v>
      </c>
      <c r="J656" t="n">
        <v>0</v>
      </c>
      <c r="K656" t="n">
        <v>0</v>
      </c>
      <c r="L656" t="n">
        <v>0</v>
      </c>
      <c r="M656" t="n">
        <v>0</v>
      </c>
      <c r="N656" t="n">
        <v>0</v>
      </c>
      <c r="O656" t="n">
        <v>0</v>
      </c>
      <c r="P656" t="n">
        <v>0</v>
      </c>
      <c r="Q656" t="n">
        <v>0</v>
      </c>
      <c r="R656" s="2" t="inlineStr"/>
    </row>
    <row r="657" ht="15" customHeight="1">
      <c r="A657" t="inlineStr">
        <is>
          <t>A 12857-2023</t>
        </is>
      </c>
      <c r="B657" s="1" t="n">
        <v>45001.5000462963</v>
      </c>
      <c r="C657" s="1" t="n">
        <v>46012</v>
      </c>
      <c r="D657" t="inlineStr">
        <is>
          <t>DALARNAS LÄN</t>
        </is>
      </c>
      <c r="E657" t="inlineStr">
        <is>
          <t>LEKSAND</t>
        </is>
      </c>
      <c r="G657" t="n">
        <v>0.2</v>
      </c>
      <c r="H657" t="n">
        <v>0</v>
      </c>
      <c r="I657" t="n">
        <v>0</v>
      </c>
      <c r="J657" t="n">
        <v>0</v>
      </c>
      <c r="K657" t="n">
        <v>0</v>
      </c>
      <c r="L657" t="n">
        <v>0</v>
      </c>
      <c r="M657" t="n">
        <v>0</v>
      </c>
      <c r="N657" t="n">
        <v>0</v>
      </c>
      <c r="O657" t="n">
        <v>0</v>
      </c>
      <c r="P657" t="n">
        <v>0</v>
      </c>
      <c r="Q657" t="n">
        <v>0</v>
      </c>
      <c r="R657" s="2" t="inlineStr"/>
    </row>
    <row r="658" ht="15" customHeight="1">
      <c r="A658" t="inlineStr">
        <is>
          <t>A 28674-2024</t>
        </is>
      </c>
      <c r="B658" s="1" t="n">
        <v>45478.47863425926</v>
      </c>
      <c r="C658" s="1" t="n">
        <v>46012</v>
      </c>
      <c r="D658" t="inlineStr">
        <is>
          <t>DALARNAS LÄN</t>
        </is>
      </c>
      <c r="E658" t="inlineStr">
        <is>
          <t>LEKSAND</t>
        </is>
      </c>
      <c r="G658" t="n">
        <v>4.9</v>
      </c>
      <c r="H658" t="n">
        <v>0</v>
      </c>
      <c r="I658" t="n">
        <v>0</v>
      </c>
      <c r="J658" t="n">
        <v>0</v>
      </c>
      <c r="K658" t="n">
        <v>0</v>
      </c>
      <c r="L658" t="n">
        <v>0</v>
      </c>
      <c r="M658" t="n">
        <v>0</v>
      </c>
      <c r="N658" t="n">
        <v>0</v>
      </c>
      <c r="O658" t="n">
        <v>0</v>
      </c>
      <c r="P658" t="n">
        <v>0</v>
      </c>
      <c r="Q658" t="n">
        <v>0</v>
      </c>
      <c r="R658" s="2" t="inlineStr"/>
    </row>
    <row r="659" ht="15" customHeight="1">
      <c r="A659" t="inlineStr">
        <is>
          <t>A 19622-2024</t>
        </is>
      </c>
      <c r="B659" s="1" t="n">
        <v>45432.33592592592</v>
      </c>
      <c r="C659" s="1" t="n">
        <v>46012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27317-2021</t>
        </is>
      </c>
      <c r="B660" s="1" t="n">
        <v>44351</v>
      </c>
      <c r="C660" s="1" t="n">
        <v>46012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61055-2023</t>
        </is>
      </c>
      <c r="B661" s="1" t="n">
        <v>45261</v>
      </c>
      <c r="C661" s="1" t="n">
        <v>46012</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10743-2024</t>
        </is>
      </c>
      <c r="B662" s="1" t="n">
        <v>45369.52167824074</v>
      </c>
      <c r="C662" s="1" t="n">
        <v>46012</v>
      </c>
      <c r="D662" t="inlineStr">
        <is>
          <t>DALARNAS LÄN</t>
        </is>
      </c>
      <c r="E662" t="inlineStr">
        <is>
          <t>LEKSAND</t>
        </is>
      </c>
      <c r="G662" t="n">
        <v>2.7</v>
      </c>
      <c r="H662" t="n">
        <v>0</v>
      </c>
      <c r="I662" t="n">
        <v>0</v>
      </c>
      <c r="J662" t="n">
        <v>0</v>
      </c>
      <c r="K662" t="n">
        <v>0</v>
      </c>
      <c r="L662" t="n">
        <v>0</v>
      </c>
      <c r="M662" t="n">
        <v>0</v>
      </c>
      <c r="N662" t="n">
        <v>0</v>
      </c>
      <c r="O662" t="n">
        <v>0</v>
      </c>
      <c r="P662" t="n">
        <v>0</v>
      </c>
      <c r="Q662" t="n">
        <v>0</v>
      </c>
      <c r="R662" s="2" t="inlineStr"/>
    </row>
    <row r="663" ht="15" customHeight="1">
      <c r="A663" t="inlineStr">
        <is>
          <t>A 10367-2023</t>
        </is>
      </c>
      <c r="B663" s="1" t="n">
        <v>44987</v>
      </c>
      <c r="C663" s="1" t="n">
        <v>46012</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1946-2024</t>
        </is>
      </c>
      <c r="B664" s="1" t="n">
        <v>45308</v>
      </c>
      <c r="C664" s="1" t="n">
        <v>46012</v>
      </c>
      <c r="D664" t="inlineStr">
        <is>
          <t>DALARNAS LÄN</t>
        </is>
      </c>
      <c r="E664" t="inlineStr">
        <is>
          <t>LEKSAND</t>
        </is>
      </c>
      <c r="G664" t="n">
        <v>2.3</v>
      </c>
      <c r="H664" t="n">
        <v>0</v>
      </c>
      <c r="I664" t="n">
        <v>0</v>
      </c>
      <c r="J664" t="n">
        <v>0</v>
      </c>
      <c r="K664" t="n">
        <v>0</v>
      </c>
      <c r="L664" t="n">
        <v>0</v>
      </c>
      <c r="M664" t="n">
        <v>0</v>
      </c>
      <c r="N664" t="n">
        <v>0</v>
      </c>
      <c r="O664" t="n">
        <v>0</v>
      </c>
      <c r="P664" t="n">
        <v>0</v>
      </c>
      <c r="Q664" t="n">
        <v>0</v>
      </c>
      <c r="R664" s="2" t="inlineStr"/>
    </row>
    <row r="665" ht="15" customHeight="1">
      <c r="A665" t="inlineStr">
        <is>
          <t>A 59763-2023</t>
        </is>
      </c>
      <c r="B665" s="1" t="n">
        <v>45257</v>
      </c>
      <c r="C665" s="1" t="n">
        <v>46012</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17533-2023</t>
        </is>
      </c>
      <c r="B666" s="1" t="n">
        <v>45036</v>
      </c>
      <c r="C666" s="1" t="n">
        <v>46012</v>
      </c>
      <c r="D666" t="inlineStr">
        <is>
          <t>DALARNAS LÄN</t>
        </is>
      </c>
      <c r="E666" t="inlineStr">
        <is>
          <t>LEKSAND</t>
        </is>
      </c>
      <c r="G666" t="n">
        <v>3</v>
      </c>
      <c r="H666" t="n">
        <v>0</v>
      </c>
      <c r="I666" t="n">
        <v>0</v>
      </c>
      <c r="J666" t="n">
        <v>0</v>
      </c>
      <c r="K666" t="n">
        <v>0</v>
      </c>
      <c r="L666" t="n">
        <v>0</v>
      </c>
      <c r="M666" t="n">
        <v>0</v>
      </c>
      <c r="N666" t="n">
        <v>0</v>
      </c>
      <c r="O666" t="n">
        <v>0</v>
      </c>
      <c r="P666" t="n">
        <v>0</v>
      </c>
      <c r="Q666" t="n">
        <v>0</v>
      </c>
      <c r="R666" s="2" t="inlineStr"/>
    </row>
    <row r="667" ht="15" customHeight="1">
      <c r="A667" t="inlineStr">
        <is>
          <t>A 49397-2024</t>
        </is>
      </c>
      <c r="B667" s="1" t="n">
        <v>45595</v>
      </c>
      <c r="C667" s="1" t="n">
        <v>46012</v>
      </c>
      <c r="D667" t="inlineStr">
        <is>
          <t>DALARNAS LÄN</t>
        </is>
      </c>
      <c r="E667" t="inlineStr">
        <is>
          <t>LEKSAND</t>
        </is>
      </c>
      <c r="G667" t="n">
        <v>4.3</v>
      </c>
      <c r="H667" t="n">
        <v>0</v>
      </c>
      <c r="I667" t="n">
        <v>0</v>
      </c>
      <c r="J667" t="n">
        <v>0</v>
      </c>
      <c r="K667" t="n">
        <v>0</v>
      </c>
      <c r="L667" t="n">
        <v>0</v>
      </c>
      <c r="M667" t="n">
        <v>0</v>
      </c>
      <c r="N667" t="n">
        <v>0</v>
      </c>
      <c r="O667" t="n">
        <v>0</v>
      </c>
      <c r="P667" t="n">
        <v>0</v>
      </c>
      <c r="Q667" t="n">
        <v>0</v>
      </c>
      <c r="R667" s="2" t="inlineStr"/>
    </row>
    <row r="668" ht="15" customHeight="1">
      <c r="A668" t="inlineStr">
        <is>
          <t>A 6027-2025</t>
        </is>
      </c>
      <c r="B668" s="1" t="n">
        <v>45695</v>
      </c>
      <c r="C668" s="1" t="n">
        <v>46012</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53717-2023</t>
        </is>
      </c>
      <c r="B669" s="1" t="n">
        <v>45230</v>
      </c>
      <c r="C669" s="1" t="n">
        <v>46012</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43470-2024</t>
        </is>
      </c>
      <c r="B670" s="1" t="n">
        <v>45568</v>
      </c>
      <c r="C670" s="1" t="n">
        <v>46012</v>
      </c>
      <c r="D670" t="inlineStr">
        <is>
          <t>DALARNAS LÄN</t>
        </is>
      </c>
      <c r="E670" t="inlineStr">
        <is>
          <t>LEKSAND</t>
        </is>
      </c>
      <c r="G670" t="n">
        <v>3.1</v>
      </c>
      <c r="H670" t="n">
        <v>0</v>
      </c>
      <c r="I670" t="n">
        <v>0</v>
      </c>
      <c r="J670" t="n">
        <v>0</v>
      </c>
      <c r="K670" t="n">
        <v>0</v>
      </c>
      <c r="L670" t="n">
        <v>0</v>
      </c>
      <c r="M670" t="n">
        <v>0</v>
      </c>
      <c r="N670" t="n">
        <v>0</v>
      </c>
      <c r="O670" t="n">
        <v>0</v>
      </c>
      <c r="P670" t="n">
        <v>0</v>
      </c>
      <c r="Q670" t="n">
        <v>0</v>
      </c>
      <c r="R670" s="2" t="inlineStr"/>
    </row>
    <row r="671" ht="15" customHeight="1">
      <c r="A671" t="inlineStr">
        <is>
          <t>A 60873-2023</t>
        </is>
      </c>
      <c r="B671" s="1" t="n">
        <v>45261.03266203704</v>
      </c>
      <c r="C671" s="1" t="n">
        <v>46012</v>
      </c>
      <c r="D671" t="inlineStr">
        <is>
          <t>DALARNAS LÄN</t>
        </is>
      </c>
      <c r="E671" t="inlineStr">
        <is>
          <t>LEKSAND</t>
        </is>
      </c>
      <c r="G671" t="n">
        <v>5.2</v>
      </c>
      <c r="H671" t="n">
        <v>0</v>
      </c>
      <c r="I671" t="n">
        <v>0</v>
      </c>
      <c r="J671" t="n">
        <v>0</v>
      </c>
      <c r="K671" t="n">
        <v>0</v>
      </c>
      <c r="L671" t="n">
        <v>0</v>
      </c>
      <c r="M671" t="n">
        <v>0</v>
      </c>
      <c r="N671" t="n">
        <v>0</v>
      </c>
      <c r="O671" t="n">
        <v>0</v>
      </c>
      <c r="P671" t="n">
        <v>0</v>
      </c>
      <c r="Q671" t="n">
        <v>0</v>
      </c>
      <c r="R671" s="2" t="inlineStr"/>
    </row>
    <row r="672" ht="15" customHeight="1">
      <c r="A672" t="inlineStr">
        <is>
          <t>A 54914-2024</t>
        </is>
      </c>
      <c r="B672" s="1" t="n">
        <v>45618.69380787037</v>
      </c>
      <c r="C672" s="1" t="n">
        <v>46012</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167-2023</t>
        </is>
      </c>
      <c r="B673" s="1" t="n">
        <v>44918</v>
      </c>
      <c r="C673" s="1" t="n">
        <v>46012</v>
      </c>
      <c r="D673" t="inlineStr">
        <is>
          <t>DALARNAS LÄN</t>
        </is>
      </c>
      <c r="E673" t="inlineStr">
        <is>
          <t>LEKSAND</t>
        </is>
      </c>
      <c r="G673" t="n">
        <v>0.5</v>
      </c>
      <c r="H673" t="n">
        <v>0</v>
      </c>
      <c r="I673" t="n">
        <v>0</v>
      </c>
      <c r="J673" t="n">
        <v>0</v>
      </c>
      <c r="K673" t="n">
        <v>0</v>
      </c>
      <c r="L673" t="n">
        <v>0</v>
      </c>
      <c r="M673" t="n">
        <v>0</v>
      </c>
      <c r="N673" t="n">
        <v>0</v>
      </c>
      <c r="O673" t="n">
        <v>0</v>
      </c>
      <c r="P673" t="n">
        <v>0</v>
      </c>
      <c r="Q673" t="n">
        <v>0</v>
      </c>
      <c r="R673" s="2" t="inlineStr"/>
    </row>
    <row r="674" ht="15" customHeight="1">
      <c r="A674" t="inlineStr">
        <is>
          <t>A 56950-2024</t>
        </is>
      </c>
      <c r="B674" s="1" t="n">
        <v>45625</v>
      </c>
      <c r="C674" s="1" t="n">
        <v>46012</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9938-2023</t>
        </is>
      </c>
      <c r="B675" s="1" t="n">
        <v>44985</v>
      </c>
      <c r="C675" s="1" t="n">
        <v>46012</v>
      </c>
      <c r="D675" t="inlineStr">
        <is>
          <t>DALARNAS LÄN</t>
        </is>
      </c>
      <c r="E675" t="inlineStr">
        <is>
          <t>LEKSAND</t>
        </is>
      </c>
      <c r="G675" t="n">
        <v>3.1</v>
      </c>
      <c r="H675" t="n">
        <v>0</v>
      </c>
      <c r="I675" t="n">
        <v>0</v>
      </c>
      <c r="J675" t="n">
        <v>0</v>
      </c>
      <c r="K675" t="n">
        <v>0</v>
      </c>
      <c r="L675" t="n">
        <v>0</v>
      </c>
      <c r="M675" t="n">
        <v>0</v>
      </c>
      <c r="N675" t="n">
        <v>0</v>
      </c>
      <c r="O675" t="n">
        <v>0</v>
      </c>
      <c r="P675" t="n">
        <v>0</v>
      </c>
      <c r="Q675" t="n">
        <v>0</v>
      </c>
      <c r="R675" s="2" t="inlineStr"/>
    </row>
    <row r="676" ht="15" customHeight="1">
      <c r="A676" t="inlineStr">
        <is>
          <t>A 59103-2024</t>
        </is>
      </c>
      <c r="B676" s="1" t="n">
        <v>45637.34184027778</v>
      </c>
      <c r="C676" s="1" t="n">
        <v>46012</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70099-2021</t>
        </is>
      </c>
      <c r="B677" s="1" t="n">
        <v>44533</v>
      </c>
      <c r="C677" s="1" t="n">
        <v>46012</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13401-2023</t>
        </is>
      </c>
      <c r="B678" s="1" t="n">
        <v>45005</v>
      </c>
      <c r="C678" s="1" t="n">
        <v>46012</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60113-2022</t>
        </is>
      </c>
      <c r="B679" s="1" t="n">
        <v>44909</v>
      </c>
      <c r="C679" s="1" t="n">
        <v>46012</v>
      </c>
      <c r="D679" t="inlineStr">
        <is>
          <t>DALARNAS LÄN</t>
        </is>
      </c>
      <c r="E679" t="inlineStr">
        <is>
          <t>LEKSAND</t>
        </is>
      </c>
      <c r="G679" t="n">
        <v>3.7</v>
      </c>
      <c r="H679" t="n">
        <v>0</v>
      </c>
      <c r="I679" t="n">
        <v>0</v>
      </c>
      <c r="J679" t="n">
        <v>0</v>
      </c>
      <c r="K679" t="n">
        <v>0</v>
      </c>
      <c r="L679" t="n">
        <v>0</v>
      </c>
      <c r="M679" t="n">
        <v>0</v>
      </c>
      <c r="N679" t="n">
        <v>0</v>
      </c>
      <c r="O679" t="n">
        <v>0</v>
      </c>
      <c r="P679" t="n">
        <v>0</v>
      </c>
      <c r="Q679" t="n">
        <v>0</v>
      </c>
      <c r="R679" s="2" t="inlineStr"/>
    </row>
    <row r="680" ht="15" customHeight="1">
      <c r="A680" t="inlineStr">
        <is>
          <t>A 15173-2025</t>
        </is>
      </c>
      <c r="B680" s="1" t="n">
        <v>45744.50858796296</v>
      </c>
      <c r="C680" s="1" t="n">
        <v>46012</v>
      </c>
      <c r="D680" t="inlineStr">
        <is>
          <t>DALARNAS LÄN</t>
        </is>
      </c>
      <c r="E680" t="inlineStr">
        <is>
          <t>LEKSAND</t>
        </is>
      </c>
      <c r="G680" t="n">
        <v>0.3</v>
      </c>
      <c r="H680" t="n">
        <v>0</v>
      </c>
      <c r="I680" t="n">
        <v>0</v>
      </c>
      <c r="J680" t="n">
        <v>0</v>
      </c>
      <c r="K680" t="n">
        <v>0</v>
      </c>
      <c r="L680" t="n">
        <v>0</v>
      </c>
      <c r="M680" t="n">
        <v>0</v>
      </c>
      <c r="N680" t="n">
        <v>0</v>
      </c>
      <c r="O680" t="n">
        <v>0</v>
      </c>
      <c r="P680" t="n">
        <v>0</v>
      </c>
      <c r="Q680" t="n">
        <v>0</v>
      </c>
      <c r="R680" s="2" t="inlineStr"/>
    </row>
    <row r="681" ht="15" customHeight="1">
      <c r="A681" t="inlineStr">
        <is>
          <t>A 30611-2023</t>
        </is>
      </c>
      <c r="B681" s="1" t="n">
        <v>45112</v>
      </c>
      <c r="C681" s="1" t="n">
        <v>46012</v>
      </c>
      <c r="D681" t="inlineStr">
        <is>
          <t>DALARNAS LÄN</t>
        </is>
      </c>
      <c r="E681" t="inlineStr">
        <is>
          <t>LEKSAND</t>
        </is>
      </c>
      <c r="G681" t="n">
        <v>3.1</v>
      </c>
      <c r="H681" t="n">
        <v>0</v>
      </c>
      <c r="I681" t="n">
        <v>0</v>
      </c>
      <c r="J681" t="n">
        <v>0</v>
      </c>
      <c r="K681" t="n">
        <v>0</v>
      </c>
      <c r="L681" t="n">
        <v>0</v>
      </c>
      <c r="M681" t="n">
        <v>0</v>
      </c>
      <c r="N681" t="n">
        <v>0</v>
      </c>
      <c r="O681" t="n">
        <v>0</v>
      </c>
      <c r="P681" t="n">
        <v>0</v>
      </c>
      <c r="Q681" t="n">
        <v>0</v>
      </c>
      <c r="R681" s="2" t="inlineStr"/>
    </row>
    <row r="682" ht="15" customHeight="1">
      <c r="A682" t="inlineStr">
        <is>
          <t>A 31254-2023</t>
        </is>
      </c>
      <c r="B682" s="1" t="n">
        <v>45114</v>
      </c>
      <c r="C682" s="1" t="n">
        <v>46012</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62306-2023</t>
        </is>
      </c>
      <c r="B683" s="1" t="n">
        <v>45266</v>
      </c>
      <c r="C683" s="1" t="n">
        <v>46012</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30175-2023</t>
        </is>
      </c>
      <c r="B684" s="1" t="n">
        <v>45110</v>
      </c>
      <c r="C684" s="1" t="n">
        <v>46012</v>
      </c>
      <c r="D684" t="inlineStr">
        <is>
          <t>DALARNAS LÄN</t>
        </is>
      </c>
      <c r="E684" t="inlineStr">
        <is>
          <t>LEKSAND</t>
        </is>
      </c>
      <c r="G684" t="n">
        <v>0.5</v>
      </c>
      <c r="H684" t="n">
        <v>0</v>
      </c>
      <c r="I684" t="n">
        <v>0</v>
      </c>
      <c r="J684" t="n">
        <v>0</v>
      </c>
      <c r="K684" t="n">
        <v>0</v>
      </c>
      <c r="L684" t="n">
        <v>0</v>
      </c>
      <c r="M684" t="n">
        <v>0</v>
      </c>
      <c r="N684" t="n">
        <v>0</v>
      </c>
      <c r="O684" t="n">
        <v>0</v>
      </c>
      <c r="P684" t="n">
        <v>0</v>
      </c>
      <c r="Q684" t="n">
        <v>0</v>
      </c>
      <c r="R684" s="2" t="inlineStr"/>
    </row>
    <row r="685" ht="15" customHeight="1">
      <c r="A685" t="inlineStr">
        <is>
          <t>A 28921-2023</t>
        </is>
      </c>
      <c r="B685" s="1" t="n">
        <v>45104</v>
      </c>
      <c r="C685" s="1" t="n">
        <v>46012</v>
      </c>
      <c r="D685" t="inlineStr">
        <is>
          <t>DALARNAS LÄN</t>
        </is>
      </c>
      <c r="E685" t="inlineStr">
        <is>
          <t>LEKSAND</t>
        </is>
      </c>
      <c r="G685" t="n">
        <v>4.4</v>
      </c>
      <c r="H685" t="n">
        <v>0</v>
      </c>
      <c r="I685" t="n">
        <v>0</v>
      </c>
      <c r="J685" t="n">
        <v>0</v>
      </c>
      <c r="K685" t="n">
        <v>0</v>
      </c>
      <c r="L685" t="n">
        <v>0</v>
      </c>
      <c r="M685" t="n">
        <v>0</v>
      </c>
      <c r="N685" t="n">
        <v>0</v>
      </c>
      <c r="O685" t="n">
        <v>0</v>
      </c>
      <c r="P685" t="n">
        <v>0</v>
      </c>
      <c r="Q685" t="n">
        <v>0</v>
      </c>
      <c r="R685" s="2" t="inlineStr"/>
    </row>
    <row r="686" ht="15" customHeight="1">
      <c r="A686" t="inlineStr">
        <is>
          <t>A 8940-2023</t>
        </is>
      </c>
      <c r="B686" s="1" t="n">
        <v>44974</v>
      </c>
      <c r="C686" s="1" t="n">
        <v>46012</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9459-2023</t>
        </is>
      </c>
      <c r="B687" s="1" t="n">
        <v>44977</v>
      </c>
      <c r="C687" s="1" t="n">
        <v>46012</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56941-2024</t>
        </is>
      </c>
      <c r="B688" s="1" t="n">
        <v>45625</v>
      </c>
      <c r="C688" s="1" t="n">
        <v>46012</v>
      </c>
      <c r="D688" t="inlineStr">
        <is>
          <t>DALARNAS LÄN</t>
        </is>
      </c>
      <c r="E688" t="inlineStr">
        <is>
          <t>LEKSAND</t>
        </is>
      </c>
      <c r="G688" t="n">
        <v>1.8</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46012</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33463-2023</t>
        </is>
      </c>
      <c r="B690" s="1" t="n">
        <v>45131</v>
      </c>
      <c r="C690" s="1" t="n">
        <v>46012</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8755-2023</t>
        </is>
      </c>
      <c r="B691" s="1" t="n">
        <v>44978</v>
      </c>
      <c r="C691" s="1" t="n">
        <v>46012</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59840-2024</t>
        </is>
      </c>
      <c r="B692" s="1" t="n">
        <v>45638</v>
      </c>
      <c r="C692" s="1" t="n">
        <v>46012</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10967-2023</t>
        </is>
      </c>
      <c r="B693" s="1" t="n">
        <v>44991.58001157407</v>
      </c>
      <c r="C693" s="1" t="n">
        <v>46012</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10974-2023</t>
        </is>
      </c>
      <c r="B694" s="1" t="n">
        <v>44991.59049768518</v>
      </c>
      <c r="C694" s="1" t="n">
        <v>46012</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55516-2024</t>
        </is>
      </c>
      <c r="B695" s="1" t="n">
        <v>45621</v>
      </c>
      <c r="C695" s="1" t="n">
        <v>46012</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30858-2024</t>
        </is>
      </c>
      <c r="B696" s="1" t="n">
        <v>45497.67601851852</v>
      </c>
      <c r="C696" s="1" t="n">
        <v>46012</v>
      </c>
      <c r="D696" t="inlineStr">
        <is>
          <t>DALARNAS LÄN</t>
        </is>
      </c>
      <c r="E696" t="inlineStr">
        <is>
          <t>LEKSAND</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11015-2022</t>
        </is>
      </c>
      <c r="B697" s="1" t="n">
        <v>44628.52340277778</v>
      </c>
      <c r="C697" s="1" t="n">
        <v>46012</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12582-2025</t>
        </is>
      </c>
      <c r="B698" s="1" t="n">
        <v>45732.62988425926</v>
      </c>
      <c r="C698" s="1" t="n">
        <v>46012</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1182-2025</t>
        </is>
      </c>
      <c r="B699" s="1" t="n">
        <v>45667.35712962963</v>
      </c>
      <c r="C699" s="1" t="n">
        <v>46012</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1519-2024</t>
        </is>
      </c>
      <c r="B700" s="1" t="n">
        <v>45306</v>
      </c>
      <c r="C700" s="1" t="n">
        <v>46012</v>
      </c>
      <c r="D700" t="inlineStr">
        <is>
          <t>DALARNAS LÄN</t>
        </is>
      </c>
      <c r="E700" t="inlineStr">
        <is>
          <t>LEKSAND</t>
        </is>
      </c>
      <c r="G700" t="n">
        <v>3.3</v>
      </c>
      <c r="H700" t="n">
        <v>0</v>
      </c>
      <c r="I700" t="n">
        <v>0</v>
      </c>
      <c r="J700" t="n">
        <v>0</v>
      </c>
      <c r="K700" t="n">
        <v>0</v>
      </c>
      <c r="L700" t="n">
        <v>0</v>
      </c>
      <c r="M700" t="n">
        <v>0</v>
      </c>
      <c r="N700" t="n">
        <v>0</v>
      </c>
      <c r="O700" t="n">
        <v>0</v>
      </c>
      <c r="P700" t="n">
        <v>0</v>
      </c>
      <c r="Q700" t="n">
        <v>0</v>
      </c>
      <c r="R700" s="2" t="inlineStr"/>
    </row>
    <row r="701" ht="15" customHeight="1">
      <c r="A701" t="inlineStr">
        <is>
          <t>A 71817-2021</t>
        </is>
      </c>
      <c r="B701" s="1" t="n">
        <v>44543.59780092593</v>
      </c>
      <c r="C701" s="1" t="n">
        <v>46012</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32-2024</t>
        </is>
      </c>
      <c r="B702" s="1" t="n">
        <v>45293</v>
      </c>
      <c r="C702" s="1" t="n">
        <v>46012</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36932-2023</t>
        </is>
      </c>
      <c r="B703" s="1" t="n">
        <v>45154</v>
      </c>
      <c r="C703" s="1" t="n">
        <v>46012</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23663-2024</t>
        </is>
      </c>
      <c r="B704" s="1" t="n">
        <v>45454.57049768518</v>
      </c>
      <c r="C704" s="1" t="n">
        <v>46012</v>
      </c>
      <c r="D704" t="inlineStr">
        <is>
          <t>DALARNAS LÄN</t>
        </is>
      </c>
      <c r="E704" t="inlineStr">
        <is>
          <t>LEKSAND</t>
        </is>
      </c>
      <c r="G704" t="n">
        <v>2.5</v>
      </c>
      <c r="H704" t="n">
        <v>0</v>
      </c>
      <c r="I704" t="n">
        <v>0</v>
      </c>
      <c r="J704" t="n">
        <v>0</v>
      </c>
      <c r="K704" t="n">
        <v>0</v>
      </c>
      <c r="L704" t="n">
        <v>0</v>
      </c>
      <c r="M704" t="n">
        <v>0</v>
      </c>
      <c r="N704" t="n">
        <v>0</v>
      </c>
      <c r="O704" t="n">
        <v>0</v>
      </c>
      <c r="P704" t="n">
        <v>0</v>
      </c>
      <c r="Q704" t="n">
        <v>0</v>
      </c>
      <c r="R704" s="2" t="inlineStr"/>
    </row>
    <row r="705" ht="15" customHeight="1">
      <c r="A705" t="inlineStr">
        <is>
          <t>A 33180-2024</t>
        </is>
      </c>
      <c r="B705" s="1" t="n">
        <v>45518.44481481481</v>
      </c>
      <c r="C705" s="1" t="n">
        <v>46012</v>
      </c>
      <c r="D705" t="inlineStr">
        <is>
          <t>DALARNAS LÄN</t>
        </is>
      </c>
      <c r="E705" t="inlineStr">
        <is>
          <t>LEKSAND</t>
        </is>
      </c>
      <c r="G705" t="n">
        <v>7.6</v>
      </c>
      <c r="H705" t="n">
        <v>0</v>
      </c>
      <c r="I705" t="n">
        <v>0</v>
      </c>
      <c r="J705" t="n">
        <v>0</v>
      </c>
      <c r="K705" t="n">
        <v>0</v>
      </c>
      <c r="L705" t="n">
        <v>0</v>
      </c>
      <c r="M705" t="n">
        <v>0</v>
      </c>
      <c r="N705" t="n">
        <v>0</v>
      </c>
      <c r="O705" t="n">
        <v>0</v>
      </c>
      <c r="P705" t="n">
        <v>0</v>
      </c>
      <c r="Q705" t="n">
        <v>0</v>
      </c>
      <c r="R705" s="2" t="inlineStr"/>
    </row>
    <row r="706" ht="15" customHeight="1">
      <c r="A706" t="inlineStr">
        <is>
          <t>A 60715-2022</t>
        </is>
      </c>
      <c r="B706" s="1" t="n">
        <v>44912</v>
      </c>
      <c r="C706" s="1" t="n">
        <v>46012</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11092-2023</t>
        </is>
      </c>
      <c r="B707" s="1" t="n">
        <v>44992</v>
      </c>
      <c r="C707" s="1" t="n">
        <v>46012</v>
      </c>
      <c r="D707" t="inlineStr">
        <is>
          <t>DALARNAS LÄN</t>
        </is>
      </c>
      <c r="E707" t="inlineStr">
        <is>
          <t>LEKSAND</t>
        </is>
      </c>
      <c r="G707" t="n">
        <v>0.5</v>
      </c>
      <c r="H707" t="n">
        <v>0</v>
      </c>
      <c r="I707" t="n">
        <v>0</v>
      </c>
      <c r="J707" t="n">
        <v>0</v>
      </c>
      <c r="K707" t="n">
        <v>0</v>
      </c>
      <c r="L707" t="n">
        <v>0</v>
      </c>
      <c r="M707" t="n">
        <v>0</v>
      </c>
      <c r="N707" t="n">
        <v>0</v>
      </c>
      <c r="O707" t="n">
        <v>0</v>
      </c>
      <c r="P707" t="n">
        <v>0</v>
      </c>
      <c r="Q707" t="n">
        <v>0</v>
      </c>
      <c r="R707" s="2" t="inlineStr"/>
    </row>
    <row r="708" ht="15" customHeight="1">
      <c r="A708" t="inlineStr">
        <is>
          <t>A 15882-2023</t>
        </is>
      </c>
      <c r="B708" s="1" t="n">
        <v>45022</v>
      </c>
      <c r="C708" s="1" t="n">
        <v>46012</v>
      </c>
      <c r="D708" t="inlineStr">
        <is>
          <t>DALARNAS LÄN</t>
        </is>
      </c>
      <c r="E708" t="inlineStr">
        <is>
          <t>LEKSAND</t>
        </is>
      </c>
      <c r="G708" t="n">
        <v>0.1</v>
      </c>
      <c r="H708" t="n">
        <v>0</v>
      </c>
      <c r="I708" t="n">
        <v>0</v>
      </c>
      <c r="J708" t="n">
        <v>0</v>
      </c>
      <c r="K708" t="n">
        <v>0</v>
      </c>
      <c r="L708" t="n">
        <v>0</v>
      </c>
      <c r="M708" t="n">
        <v>0</v>
      </c>
      <c r="N708" t="n">
        <v>0</v>
      </c>
      <c r="O708" t="n">
        <v>0</v>
      </c>
      <c r="P708" t="n">
        <v>0</v>
      </c>
      <c r="Q708" t="n">
        <v>0</v>
      </c>
      <c r="R708" s="2" t="inlineStr"/>
    </row>
    <row r="709" ht="15" customHeight="1">
      <c r="A709" t="inlineStr">
        <is>
          <t>A 1443-2024</t>
        </is>
      </c>
      <c r="B709" s="1" t="n">
        <v>45303</v>
      </c>
      <c r="C709" s="1" t="n">
        <v>46012</v>
      </c>
      <c r="D709" t="inlineStr">
        <is>
          <t>DALARNAS LÄN</t>
        </is>
      </c>
      <c r="E709" t="inlineStr">
        <is>
          <t>LEKSAND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1457-2024</t>
        </is>
      </c>
      <c r="B710" s="1" t="n">
        <v>45303</v>
      </c>
      <c r="C710" s="1" t="n">
        <v>46012</v>
      </c>
      <c r="D710" t="inlineStr">
        <is>
          <t>DALARNAS LÄN</t>
        </is>
      </c>
      <c r="E710" t="inlineStr">
        <is>
          <t>LEKSAND</t>
        </is>
      </c>
      <c r="G710" t="n">
        <v>4.4</v>
      </c>
      <c r="H710" t="n">
        <v>0</v>
      </c>
      <c r="I710" t="n">
        <v>0</v>
      </c>
      <c r="J710" t="n">
        <v>0</v>
      </c>
      <c r="K710" t="n">
        <v>0</v>
      </c>
      <c r="L710" t="n">
        <v>0</v>
      </c>
      <c r="M710" t="n">
        <v>0</v>
      </c>
      <c r="N710" t="n">
        <v>0</v>
      </c>
      <c r="O710" t="n">
        <v>0</v>
      </c>
      <c r="P710" t="n">
        <v>0</v>
      </c>
      <c r="Q710" t="n">
        <v>0</v>
      </c>
      <c r="R710" s="2" t="inlineStr"/>
    </row>
    <row r="711" ht="15" customHeight="1">
      <c r="A711" t="inlineStr">
        <is>
          <t>A 1215-2024</t>
        </is>
      </c>
      <c r="B711" s="1" t="n">
        <v>45302</v>
      </c>
      <c r="C711" s="1" t="n">
        <v>46012</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53464-2024</t>
        </is>
      </c>
      <c r="B712" s="1" t="n">
        <v>45611</v>
      </c>
      <c r="C712" s="1" t="n">
        <v>46012</v>
      </c>
      <c r="D712" t="inlineStr">
        <is>
          <t>DALARNAS LÄN</t>
        </is>
      </c>
      <c r="E712" t="inlineStr">
        <is>
          <t>LEKSAND</t>
        </is>
      </c>
      <c r="G712" t="n">
        <v>1.7</v>
      </c>
      <c r="H712" t="n">
        <v>0</v>
      </c>
      <c r="I712" t="n">
        <v>0</v>
      </c>
      <c r="J712" t="n">
        <v>0</v>
      </c>
      <c r="K712" t="n">
        <v>0</v>
      </c>
      <c r="L712" t="n">
        <v>0</v>
      </c>
      <c r="M712" t="n">
        <v>0</v>
      </c>
      <c r="N712" t="n">
        <v>0</v>
      </c>
      <c r="O712" t="n">
        <v>0</v>
      </c>
      <c r="P712" t="n">
        <v>0</v>
      </c>
      <c r="Q712" t="n">
        <v>0</v>
      </c>
      <c r="R712" s="2" t="inlineStr"/>
    </row>
    <row r="713" ht="15" customHeight="1">
      <c r="A713" t="inlineStr">
        <is>
          <t>A 56330-2022</t>
        </is>
      </c>
      <c r="B713" s="1" t="n">
        <v>44890.62630787037</v>
      </c>
      <c r="C713" s="1" t="n">
        <v>46012</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2140-2024</t>
        </is>
      </c>
      <c r="B714" s="1" t="n">
        <v>45309</v>
      </c>
      <c r="C714" s="1" t="n">
        <v>46012</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2694-2025</t>
        </is>
      </c>
      <c r="B715" s="1" t="n">
        <v>45677.38246527778</v>
      </c>
      <c r="C715" s="1" t="n">
        <v>46012</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18176-2024</t>
        </is>
      </c>
      <c r="B716" s="1" t="n">
        <v>45420.63901620371</v>
      </c>
      <c r="C716" s="1" t="n">
        <v>46012</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55268-2024</t>
        </is>
      </c>
      <c r="B717" s="1" t="n">
        <v>45621.61266203703</v>
      </c>
      <c r="C717" s="1" t="n">
        <v>46012</v>
      </c>
      <c r="D717" t="inlineStr">
        <is>
          <t>DALARNAS LÄN</t>
        </is>
      </c>
      <c r="E717" t="inlineStr">
        <is>
          <t>LEKSAND</t>
        </is>
      </c>
      <c r="G717" t="n">
        <v>4.2</v>
      </c>
      <c r="H717" t="n">
        <v>0</v>
      </c>
      <c r="I717" t="n">
        <v>0</v>
      </c>
      <c r="J717" t="n">
        <v>0</v>
      </c>
      <c r="K717" t="n">
        <v>0</v>
      </c>
      <c r="L717" t="n">
        <v>0</v>
      </c>
      <c r="M717" t="n">
        <v>0</v>
      </c>
      <c r="N717" t="n">
        <v>0</v>
      </c>
      <c r="O717" t="n">
        <v>0</v>
      </c>
      <c r="P717" t="n">
        <v>0</v>
      </c>
      <c r="Q717" t="n">
        <v>0</v>
      </c>
      <c r="R717" s="2" t="inlineStr"/>
    </row>
    <row r="718" ht="15" customHeight="1">
      <c r="A718" t="inlineStr">
        <is>
          <t>A 62130-2024</t>
        </is>
      </c>
      <c r="B718" s="1" t="n">
        <v>45656.61827546296</v>
      </c>
      <c r="C718" s="1" t="n">
        <v>46012</v>
      </c>
      <c r="D718" t="inlineStr">
        <is>
          <t>DALARNAS LÄN</t>
        </is>
      </c>
      <c r="E718" t="inlineStr">
        <is>
          <t>LEKSAND</t>
        </is>
      </c>
      <c r="G718" t="n">
        <v>11.4</v>
      </c>
      <c r="H718" t="n">
        <v>0</v>
      </c>
      <c r="I718" t="n">
        <v>0</v>
      </c>
      <c r="J718" t="n">
        <v>0</v>
      </c>
      <c r="K718" t="n">
        <v>0</v>
      </c>
      <c r="L718" t="n">
        <v>0</v>
      </c>
      <c r="M718" t="n">
        <v>0</v>
      </c>
      <c r="N718" t="n">
        <v>0</v>
      </c>
      <c r="O718" t="n">
        <v>0</v>
      </c>
      <c r="P718" t="n">
        <v>0</v>
      </c>
      <c r="Q718" t="n">
        <v>0</v>
      </c>
      <c r="R718" s="2" t="inlineStr"/>
    </row>
    <row r="719" ht="15" customHeight="1">
      <c r="A719" t="inlineStr">
        <is>
          <t>A 30998-2023</t>
        </is>
      </c>
      <c r="B719" s="1" t="n">
        <v>45113.54193287037</v>
      </c>
      <c r="C719" s="1" t="n">
        <v>46012</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6519-2025</t>
        </is>
      </c>
      <c r="B720" s="1" t="n">
        <v>45699</v>
      </c>
      <c r="C720" s="1" t="n">
        <v>46012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9143-2023</t>
        </is>
      </c>
      <c r="B721" s="1" t="n">
        <v>44974</v>
      </c>
      <c r="C721" s="1" t="n">
        <v>46012</v>
      </c>
      <c r="D721" t="inlineStr">
        <is>
          <t>DALARNAS LÄN</t>
        </is>
      </c>
      <c r="E721" t="inlineStr">
        <is>
          <t>LEKSAND</t>
        </is>
      </c>
      <c r="G721" t="n">
        <v>4.3</v>
      </c>
      <c r="H721" t="n">
        <v>0</v>
      </c>
      <c r="I721" t="n">
        <v>0</v>
      </c>
      <c r="J721" t="n">
        <v>0</v>
      </c>
      <c r="K721" t="n">
        <v>0</v>
      </c>
      <c r="L721" t="n">
        <v>0</v>
      </c>
      <c r="M721" t="n">
        <v>0</v>
      </c>
      <c r="N721" t="n">
        <v>0</v>
      </c>
      <c r="O721" t="n">
        <v>0</v>
      </c>
      <c r="P721" t="n">
        <v>0</v>
      </c>
      <c r="Q721" t="n">
        <v>0</v>
      </c>
      <c r="R721" s="2" t="inlineStr"/>
    </row>
    <row r="722" ht="15" customHeight="1">
      <c r="A722" t="inlineStr">
        <is>
          <t>A 36262-2023</t>
        </is>
      </c>
      <c r="B722" s="1" t="n">
        <v>45151.9096875</v>
      </c>
      <c r="C722" s="1" t="n">
        <v>46012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60095-2022</t>
        </is>
      </c>
      <c r="B723" s="1" t="n">
        <v>44909</v>
      </c>
      <c r="C723" s="1" t="n">
        <v>46012</v>
      </c>
      <c r="D723" t="inlineStr">
        <is>
          <t>DALARNAS LÄN</t>
        </is>
      </c>
      <c r="E723" t="inlineStr">
        <is>
          <t>LEKSAND</t>
        </is>
      </c>
      <c r="G723" t="n">
        <v>2.4</v>
      </c>
      <c r="H723" t="n">
        <v>0</v>
      </c>
      <c r="I723" t="n">
        <v>0</v>
      </c>
      <c r="J723" t="n">
        <v>0</v>
      </c>
      <c r="K723" t="n">
        <v>0</v>
      </c>
      <c r="L723" t="n">
        <v>0</v>
      </c>
      <c r="M723" t="n">
        <v>0</v>
      </c>
      <c r="N723" t="n">
        <v>0</v>
      </c>
      <c r="O723" t="n">
        <v>0</v>
      </c>
      <c r="P723" t="n">
        <v>0</v>
      </c>
      <c r="Q723" t="n">
        <v>0</v>
      </c>
      <c r="R723" s="2" t="inlineStr"/>
    </row>
    <row r="724" ht="15" customHeight="1">
      <c r="A724" t="inlineStr">
        <is>
          <t>A 38117-2023</t>
        </is>
      </c>
      <c r="B724" s="1" t="n">
        <v>45161</v>
      </c>
      <c r="C724" s="1" t="n">
        <v>46012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11418-2023</t>
        </is>
      </c>
      <c r="B725" s="1" t="n">
        <v>44993</v>
      </c>
      <c r="C725" s="1" t="n">
        <v>46012</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39558-2023</t>
        </is>
      </c>
      <c r="B726" s="1" t="n">
        <v>45167.38664351852</v>
      </c>
      <c r="C726" s="1" t="n">
        <v>46012</v>
      </c>
      <c r="D726" t="inlineStr">
        <is>
          <t>DALARNAS LÄN</t>
        </is>
      </c>
      <c r="E726" t="inlineStr">
        <is>
          <t>LEKSAND</t>
        </is>
      </c>
      <c r="G726" t="n">
        <v>39.9</v>
      </c>
      <c r="H726" t="n">
        <v>0</v>
      </c>
      <c r="I726" t="n">
        <v>0</v>
      </c>
      <c r="J726" t="n">
        <v>0</v>
      </c>
      <c r="K726" t="n">
        <v>0</v>
      </c>
      <c r="L726" t="n">
        <v>0</v>
      </c>
      <c r="M726" t="n">
        <v>0</v>
      </c>
      <c r="N726" t="n">
        <v>0</v>
      </c>
      <c r="O726" t="n">
        <v>0</v>
      </c>
      <c r="P726" t="n">
        <v>0</v>
      </c>
      <c r="Q726" t="n">
        <v>0</v>
      </c>
      <c r="R726" s="2" t="inlineStr"/>
    </row>
    <row r="727" ht="15" customHeight="1">
      <c r="A727" t="inlineStr">
        <is>
          <t>A 43222-2024</t>
        </is>
      </c>
      <c r="B727" s="1" t="n">
        <v>45567.87177083334</v>
      </c>
      <c r="C727" s="1" t="n">
        <v>46012</v>
      </c>
      <c r="D727" t="inlineStr">
        <is>
          <t>DALARNAS LÄN</t>
        </is>
      </c>
      <c r="E727" t="inlineStr">
        <is>
          <t>LEKSAND</t>
        </is>
      </c>
      <c r="F727" t="inlineStr">
        <is>
          <t>Bergvik skog väst AB</t>
        </is>
      </c>
      <c r="G727" t="n">
        <v>8.6</v>
      </c>
      <c r="H727" t="n">
        <v>0</v>
      </c>
      <c r="I727" t="n">
        <v>0</v>
      </c>
      <c r="J727" t="n">
        <v>0</v>
      </c>
      <c r="K727" t="n">
        <v>0</v>
      </c>
      <c r="L727" t="n">
        <v>0</v>
      </c>
      <c r="M727" t="n">
        <v>0</v>
      </c>
      <c r="N727" t="n">
        <v>0</v>
      </c>
      <c r="O727" t="n">
        <v>0</v>
      </c>
      <c r="P727" t="n">
        <v>0</v>
      </c>
      <c r="Q727" t="n">
        <v>0</v>
      </c>
      <c r="R727" s="2" t="inlineStr"/>
    </row>
    <row r="728" ht="15" customHeight="1">
      <c r="A728" t="inlineStr">
        <is>
          <t>A 43231-2024</t>
        </is>
      </c>
      <c r="B728" s="1" t="n">
        <v>45567.89709490741</v>
      </c>
      <c r="C728" s="1" t="n">
        <v>46012</v>
      </c>
      <c r="D728" t="inlineStr">
        <is>
          <t>DALARNAS LÄN</t>
        </is>
      </c>
      <c r="E728" t="inlineStr">
        <is>
          <t>LEKSAND</t>
        </is>
      </c>
      <c r="G728" t="n">
        <v>1.9</v>
      </c>
      <c r="H728" t="n">
        <v>0</v>
      </c>
      <c r="I728" t="n">
        <v>0</v>
      </c>
      <c r="J728" t="n">
        <v>0</v>
      </c>
      <c r="K728" t="n">
        <v>0</v>
      </c>
      <c r="L728" t="n">
        <v>0</v>
      </c>
      <c r="M728" t="n">
        <v>0</v>
      </c>
      <c r="N728" t="n">
        <v>0</v>
      </c>
      <c r="O728" t="n">
        <v>0</v>
      </c>
      <c r="P728" t="n">
        <v>0</v>
      </c>
      <c r="Q728" t="n">
        <v>0</v>
      </c>
      <c r="R728" s="2" t="inlineStr"/>
    </row>
    <row r="729" ht="15" customHeight="1">
      <c r="A729" t="inlineStr">
        <is>
          <t>A 53122-2023</t>
        </is>
      </c>
      <c r="B729" s="1" t="n">
        <v>45228</v>
      </c>
      <c r="C729" s="1" t="n">
        <v>46012</v>
      </c>
      <c r="D729" t="inlineStr">
        <is>
          <t>DALARNAS LÄN</t>
        </is>
      </c>
      <c r="E729" t="inlineStr">
        <is>
          <t>LEKSAND</t>
        </is>
      </c>
      <c r="G729" t="n">
        <v>1.9</v>
      </c>
      <c r="H729" t="n">
        <v>0</v>
      </c>
      <c r="I729" t="n">
        <v>0</v>
      </c>
      <c r="J729" t="n">
        <v>0</v>
      </c>
      <c r="K729" t="n">
        <v>0</v>
      </c>
      <c r="L729" t="n">
        <v>0</v>
      </c>
      <c r="M729" t="n">
        <v>0</v>
      </c>
      <c r="N729" t="n">
        <v>0</v>
      </c>
      <c r="O729" t="n">
        <v>0</v>
      </c>
      <c r="P729" t="n">
        <v>0</v>
      </c>
      <c r="Q729" t="n">
        <v>0</v>
      </c>
      <c r="R729" s="2" t="inlineStr"/>
    </row>
    <row r="730" ht="15" customHeight="1">
      <c r="A730" t="inlineStr">
        <is>
          <t>A 64516-2023</t>
        </is>
      </c>
      <c r="B730" s="1" t="n">
        <v>45280</v>
      </c>
      <c r="C730" s="1" t="n">
        <v>46012</v>
      </c>
      <c r="D730" t="inlineStr">
        <is>
          <t>DALARNAS LÄN</t>
        </is>
      </c>
      <c r="E730" t="inlineStr">
        <is>
          <t>LEKSAND</t>
        </is>
      </c>
      <c r="G730" t="n">
        <v>4.4</v>
      </c>
      <c r="H730" t="n">
        <v>0</v>
      </c>
      <c r="I730" t="n">
        <v>0</v>
      </c>
      <c r="J730" t="n">
        <v>0</v>
      </c>
      <c r="K730" t="n">
        <v>0</v>
      </c>
      <c r="L730" t="n">
        <v>0</v>
      </c>
      <c r="M730" t="n">
        <v>0</v>
      </c>
      <c r="N730" t="n">
        <v>0</v>
      </c>
      <c r="O730" t="n">
        <v>0</v>
      </c>
      <c r="P730" t="n">
        <v>0</v>
      </c>
      <c r="Q730" t="n">
        <v>0</v>
      </c>
      <c r="R730" s="2" t="inlineStr"/>
    </row>
    <row r="731" ht="15" customHeight="1">
      <c r="A731" t="inlineStr">
        <is>
          <t>A 53799-2023</t>
        </is>
      </c>
      <c r="B731" s="1" t="n">
        <v>45231.35564814815</v>
      </c>
      <c r="C731" s="1" t="n">
        <v>46012</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40193-2024</t>
        </is>
      </c>
      <c r="B732" s="1" t="n">
        <v>45554.5734375</v>
      </c>
      <c r="C732" s="1" t="n">
        <v>46012</v>
      </c>
      <c r="D732" t="inlineStr">
        <is>
          <t>DALARNAS LÄN</t>
        </is>
      </c>
      <c r="E732" t="inlineStr">
        <is>
          <t>LEKSAND</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31728-2024</t>
        </is>
      </c>
      <c r="B733" s="1" t="n">
        <v>45509.34517361111</v>
      </c>
      <c r="C733" s="1" t="n">
        <v>46012</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32394-2024</t>
        </is>
      </c>
      <c r="B734" s="1" t="n">
        <v>45512.64349537037</v>
      </c>
      <c r="C734" s="1" t="n">
        <v>46012</v>
      </c>
      <c r="D734" t="inlineStr">
        <is>
          <t>DALARNAS LÄN</t>
        </is>
      </c>
      <c r="E734" t="inlineStr">
        <is>
          <t>LEKSAND</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43221-2024</t>
        </is>
      </c>
      <c r="B735" s="1" t="n">
        <v>45567.86695601852</v>
      </c>
      <c r="C735" s="1" t="n">
        <v>46012</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21839-2022</t>
        </is>
      </c>
      <c r="B736" s="1" t="n">
        <v>44711</v>
      </c>
      <c r="C736" s="1" t="n">
        <v>46012</v>
      </c>
      <c r="D736" t="inlineStr">
        <is>
          <t>DALARNAS LÄN</t>
        </is>
      </c>
      <c r="E736" t="inlineStr">
        <is>
          <t>LEKSAND</t>
        </is>
      </c>
      <c r="F736" t="inlineStr">
        <is>
          <t>Bergvik skog väst AB</t>
        </is>
      </c>
      <c r="G736" t="n">
        <v>3</v>
      </c>
      <c r="H736" t="n">
        <v>0</v>
      </c>
      <c r="I736" t="n">
        <v>0</v>
      </c>
      <c r="J736" t="n">
        <v>0</v>
      </c>
      <c r="K736" t="n">
        <v>0</v>
      </c>
      <c r="L736" t="n">
        <v>0</v>
      </c>
      <c r="M736" t="n">
        <v>0</v>
      </c>
      <c r="N736" t="n">
        <v>0</v>
      </c>
      <c r="O736" t="n">
        <v>0</v>
      </c>
      <c r="P736" t="n">
        <v>0</v>
      </c>
      <c r="Q736" t="n">
        <v>0</v>
      </c>
      <c r="R736" s="2" t="inlineStr"/>
    </row>
    <row r="737" ht="15" customHeight="1">
      <c r="A737" t="inlineStr">
        <is>
          <t>A 22388-2024</t>
        </is>
      </c>
      <c r="B737" s="1" t="n">
        <v>45446</v>
      </c>
      <c r="C737" s="1" t="n">
        <v>46012</v>
      </c>
      <c r="D737" t="inlineStr">
        <is>
          <t>DALARNAS LÄN</t>
        </is>
      </c>
      <c r="E737" t="inlineStr">
        <is>
          <t>LEKSAND</t>
        </is>
      </c>
      <c r="F737" t="inlineStr">
        <is>
          <t>Bergvik skog väst AB</t>
        </is>
      </c>
      <c r="G737" t="n">
        <v>5.3</v>
      </c>
      <c r="H737" t="n">
        <v>0</v>
      </c>
      <c r="I737" t="n">
        <v>0</v>
      </c>
      <c r="J737" t="n">
        <v>0</v>
      </c>
      <c r="K737" t="n">
        <v>0</v>
      </c>
      <c r="L737" t="n">
        <v>0</v>
      </c>
      <c r="M737" t="n">
        <v>0</v>
      </c>
      <c r="N737" t="n">
        <v>0</v>
      </c>
      <c r="O737" t="n">
        <v>0</v>
      </c>
      <c r="P737" t="n">
        <v>0</v>
      </c>
      <c r="Q737" t="n">
        <v>0</v>
      </c>
      <c r="R737" s="2" t="inlineStr"/>
    </row>
    <row r="738" ht="15" customHeight="1">
      <c r="A738" t="inlineStr">
        <is>
          <t>A 15120-2023</t>
        </is>
      </c>
      <c r="B738" s="1" t="n">
        <v>45016.46484953703</v>
      </c>
      <c r="C738" s="1" t="n">
        <v>46012</v>
      </c>
      <c r="D738" t="inlineStr">
        <is>
          <t>DALARNAS LÄN</t>
        </is>
      </c>
      <c r="E738" t="inlineStr">
        <is>
          <t>LEKSAND</t>
        </is>
      </c>
      <c r="G738" t="n">
        <v>2.7</v>
      </c>
      <c r="H738" t="n">
        <v>0</v>
      </c>
      <c r="I738" t="n">
        <v>0</v>
      </c>
      <c r="J738" t="n">
        <v>0</v>
      </c>
      <c r="K738" t="n">
        <v>0</v>
      </c>
      <c r="L738" t="n">
        <v>0</v>
      </c>
      <c r="M738" t="n">
        <v>0</v>
      </c>
      <c r="N738" t="n">
        <v>0</v>
      </c>
      <c r="O738" t="n">
        <v>0</v>
      </c>
      <c r="P738" t="n">
        <v>0</v>
      </c>
      <c r="Q738" t="n">
        <v>0</v>
      </c>
      <c r="R738" s="2" t="inlineStr"/>
    </row>
    <row r="739" ht="15" customHeight="1">
      <c r="A739" t="inlineStr">
        <is>
          <t>A 17413-2023</t>
        </is>
      </c>
      <c r="B739" s="1" t="n">
        <v>45035</v>
      </c>
      <c r="C739" s="1" t="n">
        <v>46012</v>
      </c>
      <c r="D739" t="inlineStr">
        <is>
          <t>DALARNAS LÄN</t>
        </is>
      </c>
      <c r="E739" t="inlineStr">
        <is>
          <t>LEKSAND</t>
        </is>
      </c>
      <c r="G739" t="n">
        <v>1.7</v>
      </c>
      <c r="H739" t="n">
        <v>0</v>
      </c>
      <c r="I739" t="n">
        <v>0</v>
      </c>
      <c r="J739" t="n">
        <v>0</v>
      </c>
      <c r="K739" t="n">
        <v>0</v>
      </c>
      <c r="L739" t="n">
        <v>0</v>
      </c>
      <c r="M739" t="n">
        <v>0</v>
      </c>
      <c r="N739" t="n">
        <v>0</v>
      </c>
      <c r="O739" t="n">
        <v>0</v>
      </c>
      <c r="P739" t="n">
        <v>0</v>
      </c>
      <c r="Q739" t="n">
        <v>0</v>
      </c>
      <c r="R739" s="2" t="inlineStr"/>
    </row>
    <row r="740" ht="15" customHeight="1">
      <c r="A740" t="inlineStr">
        <is>
          <t>A 9138-2023</t>
        </is>
      </c>
      <c r="B740" s="1" t="n">
        <v>44974</v>
      </c>
      <c r="C740" s="1" t="n">
        <v>46012</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61680-2024</t>
        </is>
      </c>
      <c r="B741" s="1" t="n">
        <v>45647.42890046296</v>
      </c>
      <c r="C741" s="1" t="n">
        <v>46012</v>
      </c>
      <c r="D741" t="inlineStr">
        <is>
          <t>DALARNAS LÄN</t>
        </is>
      </c>
      <c r="E741" t="inlineStr">
        <is>
          <t>LEKSAND</t>
        </is>
      </c>
      <c r="G741" t="n">
        <v>3.6</v>
      </c>
      <c r="H741" t="n">
        <v>0</v>
      </c>
      <c r="I741" t="n">
        <v>0</v>
      </c>
      <c r="J741" t="n">
        <v>0</v>
      </c>
      <c r="K741" t="n">
        <v>0</v>
      </c>
      <c r="L741" t="n">
        <v>0</v>
      </c>
      <c r="M741" t="n">
        <v>0</v>
      </c>
      <c r="N741" t="n">
        <v>0</v>
      </c>
      <c r="O741" t="n">
        <v>0</v>
      </c>
      <c r="P741" t="n">
        <v>0</v>
      </c>
      <c r="Q741" t="n">
        <v>0</v>
      </c>
      <c r="R741" s="2" t="inlineStr"/>
    </row>
    <row r="742" ht="15" customHeight="1">
      <c r="A742" t="inlineStr">
        <is>
          <t>A 54911-2024</t>
        </is>
      </c>
      <c r="B742" s="1" t="n">
        <v>45618.68929398148</v>
      </c>
      <c r="C742" s="1" t="n">
        <v>46012</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16611-2024</t>
        </is>
      </c>
      <c r="B743" s="1" t="n">
        <v>45408.55504629629</v>
      </c>
      <c r="C743" s="1" t="n">
        <v>46012</v>
      </c>
      <c r="D743" t="inlineStr">
        <is>
          <t>DALARNAS LÄN</t>
        </is>
      </c>
      <c r="E743" t="inlineStr">
        <is>
          <t>LEKSAND</t>
        </is>
      </c>
      <c r="G743" t="n">
        <v>5.9</v>
      </c>
      <c r="H743" t="n">
        <v>0</v>
      </c>
      <c r="I743" t="n">
        <v>0</v>
      </c>
      <c r="J743" t="n">
        <v>0</v>
      </c>
      <c r="K743" t="n">
        <v>0</v>
      </c>
      <c r="L743" t="n">
        <v>0</v>
      </c>
      <c r="M743" t="n">
        <v>0</v>
      </c>
      <c r="N743" t="n">
        <v>0</v>
      </c>
      <c r="O743" t="n">
        <v>0</v>
      </c>
      <c r="P743" t="n">
        <v>0</v>
      </c>
      <c r="Q743" t="n">
        <v>0</v>
      </c>
      <c r="R743" s="2" t="inlineStr"/>
    </row>
    <row r="744" ht="15" customHeight="1">
      <c r="A744" t="inlineStr">
        <is>
          <t>A 5574-2024</t>
        </is>
      </c>
      <c r="B744" s="1" t="n">
        <v>45334</v>
      </c>
      <c r="C744" s="1" t="n">
        <v>46012</v>
      </c>
      <c r="D744" t="inlineStr">
        <is>
          <t>DALARNAS LÄN</t>
        </is>
      </c>
      <c r="E744" t="inlineStr">
        <is>
          <t>LEKSAND</t>
        </is>
      </c>
      <c r="G744" t="n">
        <v>0.4</v>
      </c>
      <c r="H744" t="n">
        <v>0</v>
      </c>
      <c r="I744" t="n">
        <v>0</v>
      </c>
      <c r="J744" t="n">
        <v>0</v>
      </c>
      <c r="K744" t="n">
        <v>0</v>
      </c>
      <c r="L744" t="n">
        <v>0</v>
      </c>
      <c r="M744" t="n">
        <v>0</v>
      </c>
      <c r="N744" t="n">
        <v>0</v>
      </c>
      <c r="O744" t="n">
        <v>0</v>
      </c>
      <c r="P744" t="n">
        <v>0</v>
      </c>
      <c r="Q744" t="n">
        <v>0</v>
      </c>
      <c r="R744" s="2" t="inlineStr"/>
    </row>
    <row r="745" ht="15" customHeight="1">
      <c r="A745" t="inlineStr">
        <is>
          <t>A 45512-2023</t>
        </is>
      </c>
      <c r="B745" s="1" t="n">
        <v>45194.49178240741</v>
      </c>
      <c r="C745" s="1" t="n">
        <v>46012</v>
      </c>
      <c r="D745" t="inlineStr">
        <is>
          <t>DALARNAS LÄN</t>
        </is>
      </c>
      <c r="E745" t="inlineStr">
        <is>
          <t>LEKSAND</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402-2024</t>
        </is>
      </c>
      <c r="B746" s="1" t="n">
        <v>45296.45545138889</v>
      </c>
      <c r="C746" s="1" t="n">
        <v>46012</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7778-2025</t>
        </is>
      </c>
      <c r="B747" s="1" t="n">
        <v>45706</v>
      </c>
      <c r="C747" s="1" t="n">
        <v>46012</v>
      </c>
      <c r="D747" t="inlineStr">
        <is>
          <t>DALARNAS LÄN</t>
        </is>
      </c>
      <c r="E747" t="inlineStr">
        <is>
          <t>LEKSAND</t>
        </is>
      </c>
      <c r="G747" t="n">
        <v>2.2</v>
      </c>
      <c r="H747" t="n">
        <v>0</v>
      </c>
      <c r="I747" t="n">
        <v>0</v>
      </c>
      <c r="J747" t="n">
        <v>0</v>
      </c>
      <c r="K747" t="n">
        <v>0</v>
      </c>
      <c r="L747" t="n">
        <v>0</v>
      </c>
      <c r="M747" t="n">
        <v>0</v>
      </c>
      <c r="N747" t="n">
        <v>0</v>
      </c>
      <c r="O747" t="n">
        <v>0</v>
      </c>
      <c r="P747" t="n">
        <v>0</v>
      </c>
      <c r="Q747" t="n">
        <v>0</v>
      </c>
      <c r="R747" s="2" t="inlineStr"/>
    </row>
    <row r="748" ht="15" customHeight="1">
      <c r="A748" t="inlineStr">
        <is>
          <t>A 19590-2023</t>
        </is>
      </c>
      <c r="B748" s="1" t="n">
        <v>45049</v>
      </c>
      <c r="C748" s="1" t="n">
        <v>46012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39807-2024</t>
        </is>
      </c>
      <c r="B749" s="1" t="n">
        <v>45553.35763888889</v>
      </c>
      <c r="C749" s="1" t="n">
        <v>46012</v>
      </c>
      <c r="D749" t="inlineStr">
        <is>
          <t>DALARNAS LÄN</t>
        </is>
      </c>
      <c r="E749" t="inlineStr">
        <is>
          <t>LEKSAND</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31850-2024</t>
        </is>
      </c>
      <c r="B750" s="1" t="n">
        <v>45509.67334490741</v>
      </c>
      <c r="C750" s="1" t="n">
        <v>46012</v>
      </c>
      <c r="D750" t="inlineStr">
        <is>
          <t>DALARNAS LÄN</t>
        </is>
      </c>
      <c r="E750" t="inlineStr">
        <is>
          <t>LEKSAND</t>
        </is>
      </c>
      <c r="G750" t="n">
        <v>0.5</v>
      </c>
      <c r="H750" t="n">
        <v>0</v>
      </c>
      <c r="I750" t="n">
        <v>0</v>
      </c>
      <c r="J750" t="n">
        <v>0</v>
      </c>
      <c r="K750" t="n">
        <v>0</v>
      </c>
      <c r="L750" t="n">
        <v>0</v>
      </c>
      <c r="M750" t="n">
        <v>0</v>
      </c>
      <c r="N750" t="n">
        <v>0</v>
      </c>
      <c r="O750" t="n">
        <v>0</v>
      </c>
      <c r="P750" t="n">
        <v>0</v>
      </c>
      <c r="Q750" t="n">
        <v>0</v>
      </c>
      <c r="R750" s="2" t="inlineStr"/>
    </row>
    <row r="751" ht="15" customHeight="1">
      <c r="A751" t="inlineStr">
        <is>
          <t>A 11277-2025</t>
        </is>
      </c>
      <c r="B751" s="1" t="n">
        <v>45726.41565972222</v>
      </c>
      <c r="C751" s="1" t="n">
        <v>46012</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325-2023</t>
        </is>
      </c>
      <c r="B752" s="1" t="n">
        <v>44929</v>
      </c>
      <c r="C752" s="1" t="n">
        <v>46012</v>
      </c>
      <c r="D752" t="inlineStr">
        <is>
          <t>DALARNAS LÄN</t>
        </is>
      </c>
      <c r="E752" t="inlineStr">
        <is>
          <t>LEKSAND</t>
        </is>
      </c>
      <c r="F752" t="inlineStr">
        <is>
          <t>Övriga Aktiebolag</t>
        </is>
      </c>
      <c r="G752" t="n">
        <v>7.1</v>
      </c>
      <c r="H752" t="n">
        <v>0</v>
      </c>
      <c r="I752" t="n">
        <v>0</v>
      </c>
      <c r="J752" t="n">
        <v>0</v>
      </c>
      <c r="K752" t="n">
        <v>0</v>
      </c>
      <c r="L752" t="n">
        <v>0</v>
      </c>
      <c r="M752" t="n">
        <v>0</v>
      </c>
      <c r="N752" t="n">
        <v>0</v>
      </c>
      <c r="O752" t="n">
        <v>0</v>
      </c>
      <c r="P752" t="n">
        <v>0</v>
      </c>
      <c r="Q752" t="n">
        <v>0</v>
      </c>
      <c r="R752" s="2" t="inlineStr"/>
    </row>
    <row r="753" ht="15" customHeight="1">
      <c r="A753" t="inlineStr">
        <is>
          <t>A 11678-2025</t>
        </is>
      </c>
      <c r="B753" s="1" t="n">
        <v>45726</v>
      </c>
      <c r="C753" s="1" t="n">
        <v>46012</v>
      </c>
      <c r="D753" t="inlineStr">
        <is>
          <t>DALARNAS LÄN</t>
        </is>
      </c>
      <c r="E753" t="inlineStr">
        <is>
          <t>LEKSAND</t>
        </is>
      </c>
      <c r="G753" t="n">
        <v>9.4</v>
      </c>
      <c r="H753" t="n">
        <v>0</v>
      </c>
      <c r="I753" t="n">
        <v>0</v>
      </c>
      <c r="J753" t="n">
        <v>0</v>
      </c>
      <c r="K753" t="n">
        <v>0</v>
      </c>
      <c r="L753" t="n">
        <v>0</v>
      </c>
      <c r="M753" t="n">
        <v>0</v>
      </c>
      <c r="N753" t="n">
        <v>0</v>
      </c>
      <c r="O753" t="n">
        <v>0</v>
      </c>
      <c r="P753" t="n">
        <v>0</v>
      </c>
      <c r="Q753" t="n">
        <v>0</v>
      </c>
      <c r="R753" s="2" t="inlineStr"/>
    </row>
    <row r="754" ht="15" customHeight="1">
      <c r="A754" t="inlineStr">
        <is>
          <t>A 28630-2023</t>
        </is>
      </c>
      <c r="B754" s="1" t="n">
        <v>45103.61003472222</v>
      </c>
      <c r="C754" s="1" t="n">
        <v>46012</v>
      </c>
      <c r="D754" t="inlineStr">
        <is>
          <t>DALARNAS LÄN</t>
        </is>
      </c>
      <c r="E754" t="inlineStr">
        <is>
          <t>LEKSAND</t>
        </is>
      </c>
      <c r="F754" t="inlineStr">
        <is>
          <t>Bergvik skog väst AB</t>
        </is>
      </c>
      <c r="G754" t="n">
        <v>0.3</v>
      </c>
      <c r="H754" t="n">
        <v>0</v>
      </c>
      <c r="I754" t="n">
        <v>0</v>
      </c>
      <c r="J754" t="n">
        <v>0</v>
      </c>
      <c r="K754" t="n">
        <v>0</v>
      </c>
      <c r="L754" t="n">
        <v>0</v>
      </c>
      <c r="M754" t="n">
        <v>0</v>
      </c>
      <c r="N754" t="n">
        <v>0</v>
      </c>
      <c r="O754" t="n">
        <v>0</v>
      </c>
      <c r="P754" t="n">
        <v>0</v>
      </c>
      <c r="Q754" t="n">
        <v>0</v>
      </c>
      <c r="R754" s="2" t="inlineStr"/>
    </row>
    <row r="755" ht="15" customHeight="1">
      <c r="A755" t="inlineStr">
        <is>
          <t>A 7759-2025</t>
        </is>
      </c>
      <c r="B755" s="1" t="n">
        <v>45706.53827546296</v>
      </c>
      <c r="C755" s="1" t="n">
        <v>46012</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17078-2023</t>
        </is>
      </c>
      <c r="B756" s="1" t="n">
        <v>45034</v>
      </c>
      <c r="C756" s="1" t="n">
        <v>46012</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14865-2025</t>
        </is>
      </c>
      <c r="B757" s="1" t="n">
        <v>45743.43929398148</v>
      </c>
      <c r="C757" s="1" t="n">
        <v>46012</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16854-2025</t>
        </is>
      </c>
      <c r="B758" s="1" t="n">
        <v>45754.72883101852</v>
      </c>
      <c r="C758" s="1" t="n">
        <v>46012</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5847-2025</t>
        </is>
      </c>
      <c r="B759" s="1" t="n">
        <v>45695.30824074074</v>
      </c>
      <c r="C759" s="1" t="n">
        <v>46012</v>
      </c>
      <c r="D759" t="inlineStr">
        <is>
          <t>DALARNAS LÄN</t>
        </is>
      </c>
      <c r="E759" t="inlineStr">
        <is>
          <t>LEKSAND</t>
        </is>
      </c>
      <c r="G759" t="n">
        <v>2.6</v>
      </c>
      <c r="H759" t="n">
        <v>0</v>
      </c>
      <c r="I759" t="n">
        <v>0</v>
      </c>
      <c r="J759" t="n">
        <v>0</v>
      </c>
      <c r="K759" t="n">
        <v>0</v>
      </c>
      <c r="L759" t="n">
        <v>0</v>
      </c>
      <c r="M759" t="n">
        <v>0</v>
      </c>
      <c r="N759" t="n">
        <v>0</v>
      </c>
      <c r="O759" t="n">
        <v>0</v>
      </c>
      <c r="P759" t="n">
        <v>0</v>
      </c>
      <c r="Q759" t="n">
        <v>0</v>
      </c>
      <c r="R759" s="2" t="inlineStr"/>
    </row>
    <row r="760" ht="15" customHeight="1">
      <c r="A760" t="inlineStr">
        <is>
          <t>A 5873-2025</t>
        </is>
      </c>
      <c r="B760" s="1" t="n">
        <v>45695.36715277778</v>
      </c>
      <c r="C760" s="1" t="n">
        <v>46012</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18481-2024</t>
        </is>
      </c>
      <c r="B761" s="1" t="n">
        <v>45425.52193287037</v>
      </c>
      <c r="C761" s="1" t="n">
        <v>46012</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18484-2024</t>
        </is>
      </c>
      <c r="B762" s="1" t="n">
        <v>45425.52559027778</v>
      </c>
      <c r="C762" s="1" t="n">
        <v>46012</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53193-2024</t>
        </is>
      </c>
      <c r="B763" s="1" t="n">
        <v>45610</v>
      </c>
      <c r="C763" s="1" t="n">
        <v>46012</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11080-2023</t>
        </is>
      </c>
      <c r="B764" s="1" t="n">
        <v>44992</v>
      </c>
      <c r="C764" s="1" t="n">
        <v>46012</v>
      </c>
      <c r="D764" t="inlineStr">
        <is>
          <t>DALARNAS LÄN</t>
        </is>
      </c>
      <c r="E764" t="inlineStr">
        <is>
          <t>LEKSAND</t>
        </is>
      </c>
      <c r="G764" t="n">
        <v>6.9</v>
      </c>
      <c r="H764" t="n">
        <v>0</v>
      </c>
      <c r="I764" t="n">
        <v>0</v>
      </c>
      <c r="J764" t="n">
        <v>0</v>
      </c>
      <c r="K764" t="n">
        <v>0</v>
      </c>
      <c r="L764" t="n">
        <v>0</v>
      </c>
      <c r="M764" t="n">
        <v>0</v>
      </c>
      <c r="N764" t="n">
        <v>0</v>
      </c>
      <c r="O764" t="n">
        <v>0</v>
      </c>
      <c r="P764" t="n">
        <v>0</v>
      </c>
      <c r="Q764" t="n">
        <v>0</v>
      </c>
      <c r="R764" s="2" t="inlineStr"/>
    </row>
    <row r="765" ht="15" customHeight="1">
      <c r="A765" t="inlineStr">
        <is>
          <t>A 26957-2023</t>
        </is>
      </c>
      <c r="B765" s="1" t="n">
        <v>45093</v>
      </c>
      <c r="C765" s="1" t="n">
        <v>46012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19371-2024</t>
        </is>
      </c>
      <c r="B766" s="1" t="n">
        <v>45429.34969907408</v>
      </c>
      <c r="C766" s="1" t="n">
        <v>46012</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7827-2024</t>
        </is>
      </c>
      <c r="B767" s="1" t="n">
        <v>45349.7467824074</v>
      </c>
      <c r="C767" s="1" t="n">
        <v>46012</v>
      </c>
      <c r="D767" t="inlineStr">
        <is>
          <t>DALARNAS LÄN</t>
        </is>
      </c>
      <c r="E767" t="inlineStr">
        <is>
          <t>LEKSAND</t>
        </is>
      </c>
      <c r="G767" t="n">
        <v>2.2</v>
      </c>
      <c r="H767" t="n">
        <v>0</v>
      </c>
      <c r="I767" t="n">
        <v>0</v>
      </c>
      <c r="J767" t="n">
        <v>0</v>
      </c>
      <c r="K767" t="n">
        <v>0</v>
      </c>
      <c r="L767" t="n">
        <v>0</v>
      </c>
      <c r="M767" t="n">
        <v>0</v>
      </c>
      <c r="N767" t="n">
        <v>0</v>
      </c>
      <c r="O767" t="n">
        <v>0</v>
      </c>
      <c r="P767" t="n">
        <v>0</v>
      </c>
      <c r="Q767" t="n">
        <v>0</v>
      </c>
      <c r="R767" s="2" t="inlineStr"/>
    </row>
    <row r="768" ht="15" customHeight="1">
      <c r="A768" t="inlineStr">
        <is>
          <t>A 49405-2024</t>
        </is>
      </c>
      <c r="B768" s="1" t="n">
        <v>45595</v>
      </c>
      <c r="C768" s="1" t="n">
        <v>46012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20683-2025</t>
        </is>
      </c>
      <c r="B769" s="1" t="n">
        <v>45776</v>
      </c>
      <c r="C769" s="1" t="n">
        <v>46012</v>
      </c>
      <c r="D769" t="inlineStr">
        <is>
          <t>DALARNAS LÄN</t>
        </is>
      </c>
      <c r="E769" t="inlineStr">
        <is>
          <t>LEKSAND</t>
        </is>
      </c>
      <c r="F769" t="inlineStr">
        <is>
          <t>Bergvik skog väst AB</t>
        </is>
      </c>
      <c r="G769" t="n">
        <v>4.1</v>
      </c>
      <c r="H769" t="n">
        <v>0</v>
      </c>
      <c r="I769" t="n">
        <v>0</v>
      </c>
      <c r="J769" t="n">
        <v>0</v>
      </c>
      <c r="K769" t="n">
        <v>0</v>
      </c>
      <c r="L769" t="n">
        <v>0</v>
      </c>
      <c r="M769" t="n">
        <v>0</v>
      </c>
      <c r="N769" t="n">
        <v>0</v>
      </c>
      <c r="O769" t="n">
        <v>0</v>
      </c>
      <c r="P769" t="n">
        <v>0</v>
      </c>
      <c r="Q769" t="n">
        <v>0</v>
      </c>
      <c r="R769" s="2" t="inlineStr"/>
    </row>
    <row r="770" ht="15" customHeight="1">
      <c r="A770" t="inlineStr">
        <is>
          <t>A 20937-2025</t>
        </is>
      </c>
      <c r="B770" s="1" t="n">
        <v>45777.42769675926</v>
      </c>
      <c r="C770" s="1" t="n">
        <v>46012</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21457-2025</t>
        </is>
      </c>
      <c r="B771" s="1" t="n">
        <v>45782.55451388889</v>
      </c>
      <c r="C771" s="1" t="n">
        <v>46012</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21230-2025</t>
        </is>
      </c>
      <c r="B772" s="1" t="n">
        <v>45779.54589120371</v>
      </c>
      <c r="C772" s="1" t="n">
        <v>46012</v>
      </c>
      <c r="D772" t="inlineStr">
        <is>
          <t>DALARNAS LÄN</t>
        </is>
      </c>
      <c r="E772" t="inlineStr">
        <is>
          <t>LEKSAND</t>
        </is>
      </c>
      <c r="G772" t="n">
        <v>0.5</v>
      </c>
      <c r="H772" t="n">
        <v>0</v>
      </c>
      <c r="I772" t="n">
        <v>0</v>
      </c>
      <c r="J772" t="n">
        <v>0</v>
      </c>
      <c r="K772" t="n">
        <v>0</v>
      </c>
      <c r="L772" t="n">
        <v>0</v>
      </c>
      <c r="M772" t="n">
        <v>0</v>
      </c>
      <c r="N772" t="n">
        <v>0</v>
      </c>
      <c r="O772" t="n">
        <v>0</v>
      </c>
      <c r="P772" t="n">
        <v>0</v>
      </c>
      <c r="Q772" t="n">
        <v>0</v>
      </c>
      <c r="R772" s="2" t="inlineStr"/>
    </row>
    <row r="773" ht="15" customHeight="1">
      <c r="A773" t="inlineStr">
        <is>
          <t>A 21193-2025</t>
        </is>
      </c>
      <c r="B773" s="1" t="n">
        <v>45779.46675925926</v>
      </c>
      <c r="C773" s="1" t="n">
        <v>46012</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11872-2024</t>
        </is>
      </c>
      <c r="B774" s="1" t="n">
        <v>45376.46833333333</v>
      </c>
      <c r="C774" s="1" t="n">
        <v>46012</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21600-2025</t>
        </is>
      </c>
      <c r="B775" s="1" t="n">
        <v>45783.3521875</v>
      </c>
      <c r="C775" s="1" t="n">
        <v>46012</v>
      </c>
      <c r="D775" t="inlineStr">
        <is>
          <t>DALARNAS LÄN</t>
        </is>
      </c>
      <c r="E775" t="inlineStr">
        <is>
          <t>LEKSAND</t>
        </is>
      </c>
      <c r="G775" t="n">
        <v>7.7</v>
      </c>
      <c r="H775" t="n">
        <v>0</v>
      </c>
      <c r="I775" t="n">
        <v>0</v>
      </c>
      <c r="J775" t="n">
        <v>0</v>
      </c>
      <c r="K775" t="n">
        <v>0</v>
      </c>
      <c r="L775" t="n">
        <v>0</v>
      </c>
      <c r="M775" t="n">
        <v>0</v>
      </c>
      <c r="N775" t="n">
        <v>0</v>
      </c>
      <c r="O775" t="n">
        <v>0</v>
      </c>
      <c r="P775" t="n">
        <v>0</v>
      </c>
      <c r="Q775" t="n">
        <v>0</v>
      </c>
      <c r="R775" s="2" t="inlineStr"/>
    </row>
    <row r="776" ht="15" customHeight="1">
      <c r="A776" t="inlineStr">
        <is>
          <t>A 40627-2023</t>
        </is>
      </c>
      <c r="B776" s="1" t="n">
        <v>45170</v>
      </c>
      <c r="C776" s="1" t="n">
        <v>46012</v>
      </c>
      <c r="D776" t="inlineStr">
        <is>
          <t>DALARNAS LÄN</t>
        </is>
      </c>
      <c r="E776" t="inlineStr">
        <is>
          <t>LEKSAND</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21916-2025</t>
        </is>
      </c>
      <c r="B777" s="1" t="n">
        <v>45784.50115740741</v>
      </c>
      <c r="C777" s="1" t="n">
        <v>46012</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14967-2023</t>
        </is>
      </c>
      <c r="B778" s="1" t="n">
        <v>45015</v>
      </c>
      <c r="C778" s="1" t="n">
        <v>46012</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62307-2023</t>
        </is>
      </c>
      <c r="B779" s="1" t="n">
        <v>45266</v>
      </c>
      <c r="C779" s="1" t="n">
        <v>46012</v>
      </c>
      <c r="D779" t="inlineStr">
        <is>
          <t>DALARNAS LÄN</t>
        </is>
      </c>
      <c r="E779" t="inlineStr">
        <is>
          <t>LEKSAND</t>
        </is>
      </c>
      <c r="G779" t="n">
        <v>3.9</v>
      </c>
      <c r="H779" t="n">
        <v>0</v>
      </c>
      <c r="I779" t="n">
        <v>0</v>
      </c>
      <c r="J779" t="n">
        <v>0</v>
      </c>
      <c r="K779" t="n">
        <v>0</v>
      </c>
      <c r="L779" t="n">
        <v>0</v>
      </c>
      <c r="M779" t="n">
        <v>0</v>
      </c>
      <c r="N779" t="n">
        <v>0</v>
      </c>
      <c r="O779" t="n">
        <v>0</v>
      </c>
      <c r="P779" t="n">
        <v>0</v>
      </c>
      <c r="Q779" t="n">
        <v>0</v>
      </c>
      <c r="R779" s="2" t="inlineStr"/>
    </row>
    <row r="780" ht="15" customHeight="1">
      <c r="A780" t="inlineStr">
        <is>
          <t>A 61554-2024</t>
        </is>
      </c>
      <c r="B780" s="1" t="n">
        <v>45646.60748842593</v>
      </c>
      <c r="C780" s="1" t="n">
        <v>46012</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36534-2024</t>
        </is>
      </c>
      <c r="B781" s="1" t="n">
        <v>45537.45143518518</v>
      </c>
      <c r="C781" s="1" t="n">
        <v>46012</v>
      </c>
      <c r="D781" t="inlineStr">
        <is>
          <t>DALARNAS LÄN</t>
        </is>
      </c>
      <c r="E781" t="inlineStr">
        <is>
          <t>LEKSAND</t>
        </is>
      </c>
      <c r="G781" t="n">
        <v>4</v>
      </c>
      <c r="H781" t="n">
        <v>0</v>
      </c>
      <c r="I781" t="n">
        <v>0</v>
      </c>
      <c r="J781" t="n">
        <v>0</v>
      </c>
      <c r="K781" t="n">
        <v>0</v>
      </c>
      <c r="L781" t="n">
        <v>0</v>
      </c>
      <c r="M781" t="n">
        <v>0</v>
      </c>
      <c r="N781" t="n">
        <v>0</v>
      </c>
      <c r="O781" t="n">
        <v>0</v>
      </c>
      <c r="P781" t="n">
        <v>0</v>
      </c>
      <c r="Q781" t="n">
        <v>0</v>
      </c>
      <c r="R781" s="2" t="inlineStr"/>
    </row>
    <row r="782" ht="15" customHeight="1">
      <c r="A782" t="inlineStr">
        <is>
          <t>A 34244-2024</t>
        </is>
      </c>
      <c r="B782" s="1" t="n">
        <v>45524.58349537037</v>
      </c>
      <c r="C782" s="1" t="n">
        <v>46012</v>
      </c>
      <c r="D782" t="inlineStr">
        <is>
          <t>DALARNAS LÄN</t>
        </is>
      </c>
      <c r="E782" t="inlineStr">
        <is>
          <t>LEKSAND</t>
        </is>
      </c>
      <c r="G782" t="n">
        <v>1.5</v>
      </c>
      <c r="H782" t="n">
        <v>0</v>
      </c>
      <c r="I782" t="n">
        <v>0</v>
      </c>
      <c r="J782" t="n">
        <v>0</v>
      </c>
      <c r="K782" t="n">
        <v>0</v>
      </c>
      <c r="L782" t="n">
        <v>0</v>
      </c>
      <c r="M782" t="n">
        <v>0</v>
      </c>
      <c r="N782" t="n">
        <v>0</v>
      </c>
      <c r="O782" t="n">
        <v>0</v>
      </c>
      <c r="P782" t="n">
        <v>0</v>
      </c>
      <c r="Q782" t="n">
        <v>0</v>
      </c>
      <c r="R782" s="2" t="inlineStr"/>
    </row>
    <row r="783" ht="15" customHeight="1">
      <c r="A783" t="inlineStr">
        <is>
          <t>A 7861-2024</t>
        </is>
      </c>
      <c r="B783" s="1" t="n">
        <v>45350.30831018519</v>
      </c>
      <c r="C783" s="1" t="n">
        <v>46012</v>
      </c>
      <c r="D783" t="inlineStr">
        <is>
          <t>DALARNAS LÄN</t>
        </is>
      </c>
      <c r="E783" t="inlineStr">
        <is>
          <t>LEKSAND</t>
        </is>
      </c>
      <c r="G783" t="n">
        <v>1.8</v>
      </c>
      <c r="H783" t="n">
        <v>0</v>
      </c>
      <c r="I783" t="n">
        <v>0</v>
      </c>
      <c r="J783" t="n">
        <v>0</v>
      </c>
      <c r="K783" t="n">
        <v>0</v>
      </c>
      <c r="L783" t="n">
        <v>0</v>
      </c>
      <c r="M783" t="n">
        <v>0</v>
      </c>
      <c r="N783" t="n">
        <v>0</v>
      </c>
      <c r="O783" t="n">
        <v>0</v>
      </c>
      <c r="P783" t="n">
        <v>0</v>
      </c>
      <c r="Q783" t="n">
        <v>0</v>
      </c>
      <c r="R783" s="2" t="inlineStr"/>
    </row>
    <row r="784" ht="15" customHeight="1">
      <c r="A784" t="inlineStr">
        <is>
          <t>A 22080-2025</t>
        </is>
      </c>
      <c r="B784" s="1" t="n">
        <v>45785</v>
      </c>
      <c r="C784" s="1" t="n">
        <v>46012</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22536-2025</t>
        </is>
      </c>
      <c r="B785" s="1" t="n">
        <v>45787.33037037037</v>
      </c>
      <c r="C785" s="1" t="n">
        <v>46012</v>
      </c>
      <c r="D785" t="inlineStr">
        <is>
          <t>DALARNAS LÄN</t>
        </is>
      </c>
      <c r="E785" t="inlineStr">
        <is>
          <t>LEKSAND</t>
        </is>
      </c>
      <c r="G785" t="n">
        <v>1.8</v>
      </c>
      <c r="H785" t="n">
        <v>0</v>
      </c>
      <c r="I785" t="n">
        <v>0</v>
      </c>
      <c r="J785" t="n">
        <v>0</v>
      </c>
      <c r="K785" t="n">
        <v>0</v>
      </c>
      <c r="L785" t="n">
        <v>0</v>
      </c>
      <c r="M785" t="n">
        <v>0</v>
      </c>
      <c r="N785" t="n">
        <v>0</v>
      </c>
      <c r="O785" t="n">
        <v>0</v>
      </c>
      <c r="P785" t="n">
        <v>0</v>
      </c>
      <c r="Q785" t="n">
        <v>0</v>
      </c>
      <c r="R785" s="2" t="inlineStr"/>
    </row>
    <row r="786" ht="15" customHeight="1">
      <c r="A786" t="inlineStr">
        <is>
          <t>A 60042-2023</t>
        </is>
      </c>
      <c r="B786" s="1" t="n">
        <v>45256</v>
      </c>
      <c r="C786" s="1" t="n">
        <v>46012</v>
      </c>
      <c r="D786" t="inlineStr">
        <is>
          <t>DALARNAS LÄN</t>
        </is>
      </c>
      <c r="E786" t="inlineStr">
        <is>
          <t>LEKSAND</t>
        </is>
      </c>
      <c r="G786" t="n">
        <v>2</v>
      </c>
      <c r="H786" t="n">
        <v>0</v>
      </c>
      <c r="I786" t="n">
        <v>0</v>
      </c>
      <c r="J786" t="n">
        <v>0</v>
      </c>
      <c r="K786" t="n">
        <v>0</v>
      </c>
      <c r="L786" t="n">
        <v>0</v>
      </c>
      <c r="M786" t="n">
        <v>0</v>
      </c>
      <c r="N786" t="n">
        <v>0</v>
      </c>
      <c r="O786" t="n">
        <v>0</v>
      </c>
      <c r="P786" t="n">
        <v>0</v>
      </c>
      <c r="Q786" t="n">
        <v>0</v>
      </c>
      <c r="R786" s="2" t="inlineStr"/>
    </row>
    <row r="787" ht="15" customHeight="1">
      <c r="A787" t="inlineStr">
        <is>
          <t>A 22876-2025</t>
        </is>
      </c>
      <c r="B787" s="1" t="n">
        <v>45790.3728587963</v>
      </c>
      <c r="C787" s="1" t="n">
        <v>46012</v>
      </c>
      <c r="D787" t="inlineStr">
        <is>
          <t>DALARNAS LÄN</t>
        </is>
      </c>
      <c r="E787" t="inlineStr">
        <is>
          <t>LEKSAND</t>
        </is>
      </c>
      <c r="G787" t="n">
        <v>5.9</v>
      </c>
      <c r="H787" t="n">
        <v>0</v>
      </c>
      <c r="I787" t="n">
        <v>0</v>
      </c>
      <c r="J787" t="n">
        <v>0</v>
      </c>
      <c r="K787" t="n">
        <v>0</v>
      </c>
      <c r="L787" t="n">
        <v>0</v>
      </c>
      <c r="M787" t="n">
        <v>0</v>
      </c>
      <c r="N787" t="n">
        <v>0</v>
      </c>
      <c r="O787" t="n">
        <v>0</v>
      </c>
      <c r="P787" t="n">
        <v>0</v>
      </c>
      <c r="Q787" t="n">
        <v>0</v>
      </c>
      <c r="R787" s="2" t="inlineStr"/>
    </row>
    <row r="788" ht="15" customHeight="1">
      <c r="A788" t="inlineStr">
        <is>
          <t>A 23517-2025</t>
        </is>
      </c>
      <c r="B788" s="1" t="n">
        <v>45792</v>
      </c>
      <c r="C788" s="1" t="n">
        <v>46012</v>
      </c>
      <c r="D788" t="inlineStr">
        <is>
          <t>DALARNAS LÄN</t>
        </is>
      </c>
      <c r="E788" t="inlineStr">
        <is>
          <t>LEKSAND</t>
        </is>
      </c>
      <c r="G788" t="n">
        <v>2.2</v>
      </c>
      <c r="H788" t="n">
        <v>0</v>
      </c>
      <c r="I788" t="n">
        <v>0</v>
      </c>
      <c r="J788" t="n">
        <v>0</v>
      </c>
      <c r="K788" t="n">
        <v>0</v>
      </c>
      <c r="L788" t="n">
        <v>0</v>
      </c>
      <c r="M788" t="n">
        <v>0</v>
      </c>
      <c r="N788" t="n">
        <v>0</v>
      </c>
      <c r="O788" t="n">
        <v>0</v>
      </c>
      <c r="P788" t="n">
        <v>0</v>
      </c>
      <c r="Q788" t="n">
        <v>0</v>
      </c>
      <c r="R788" s="2" t="inlineStr"/>
    </row>
    <row r="789" ht="15" customHeight="1">
      <c r="A789" t="inlineStr">
        <is>
          <t>A 23058-2025</t>
        </is>
      </c>
      <c r="B789" s="1" t="n">
        <v>45790.78076388889</v>
      </c>
      <c r="C789" s="1" t="n">
        <v>46012</v>
      </c>
      <c r="D789" t="inlineStr">
        <is>
          <t>DALARNAS LÄN</t>
        </is>
      </c>
      <c r="E789" t="inlineStr">
        <is>
          <t>LEKSAND</t>
        </is>
      </c>
      <c r="G789" t="n">
        <v>6.7</v>
      </c>
      <c r="H789" t="n">
        <v>0</v>
      </c>
      <c r="I789" t="n">
        <v>0</v>
      </c>
      <c r="J789" t="n">
        <v>0</v>
      </c>
      <c r="K789" t="n">
        <v>0</v>
      </c>
      <c r="L789" t="n">
        <v>0</v>
      </c>
      <c r="M789" t="n">
        <v>0</v>
      </c>
      <c r="N789" t="n">
        <v>0</v>
      </c>
      <c r="O789" t="n">
        <v>0</v>
      </c>
      <c r="P789" t="n">
        <v>0</v>
      </c>
      <c r="Q789" t="n">
        <v>0</v>
      </c>
      <c r="R789" s="2" t="inlineStr"/>
    </row>
    <row r="790" ht="15" customHeight="1">
      <c r="A790" t="inlineStr">
        <is>
          <t>A 23076-2025</t>
        </is>
      </c>
      <c r="B790" s="1" t="n">
        <v>45790.90960648148</v>
      </c>
      <c r="C790" s="1" t="n">
        <v>46012</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57468-2023</t>
        </is>
      </c>
      <c r="B791" s="1" t="n">
        <v>45246</v>
      </c>
      <c r="C791" s="1" t="n">
        <v>46012</v>
      </c>
      <c r="D791" t="inlineStr">
        <is>
          <t>DALARNAS LÄN</t>
        </is>
      </c>
      <c r="E791" t="inlineStr">
        <is>
          <t>LEKSAND</t>
        </is>
      </c>
      <c r="G791" t="n">
        <v>4.6</v>
      </c>
      <c r="H791" t="n">
        <v>0</v>
      </c>
      <c r="I791" t="n">
        <v>0</v>
      </c>
      <c r="J791" t="n">
        <v>0</v>
      </c>
      <c r="K791" t="n">
        <v>0</v>
      </c>
      <c r="L791" t="n">
        <v>0</v>
      </c>
      <c r="M791" t="n">
        <v>0</v>
      </c>
      <c r="N791" t="n">
        <v>0</v>
      </c>
      <c r="O791" t="n">
        <v>0</v>
      </c>
      <c r="P791" t="n">
        <v>0</v>
      </c>
      <c r="Q791" t="n">
        <v>0</v>
      </c>
      <c r="R791" s="2" t="inlineStr"/>
    </row>
    <row r="792" ht="15" customHeight="1">
      <c r="A792" t="inlineStr">
        <is>
          <t>A 44822-2024</t>
        </is>
      </c>
      <c r="B792" s="1" t="n">
        <v>45574.6646412037</v>
      </c>
      <c r="C792" s="1" t="n">
        <v>46012</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49499-2024</t>
        </is>
      </c>
      <c r="B793" s="1" t="n">
        <v>45596</v>
      </c>
      <c r="C793" s="1" t="n">
        <v>46012</v>
      </c>
      <c r="D793" t="inlineStr">
        <is>
          <t>DALARNAS LÄN</t>
        </is>
      </c>
      <c r="E793" t="inlineStr">
        <is>
          <t>LEKSAND</t>
        </is>
      </c>
      <c r="G793" t="n">
        <v>1</v>
      </c>
      <c r="H793" t="n">
        <v>0</v>
      </c>
      <c r="I793" t="n">
        <v>0</v>
      </c>
      <c r="J793" t="n">
        <v>0</v>
      </c>
      <c r="K793" t="n">
        <v>0</v>
      </c>
      <c r="L793" t="n">
        <v>0</v>
      </c>
      <c r="M793" t="n">
        <v>0</v>
      </c>
      <c r="N793" t="n">
        <v>0</v>
      </c>
      <c r="O793" t="n">
        <v>0</v>
      </c>
      <c r="P793" t="n">
        <v>0</v>
      </c>
      <c r="Q793" t="n">
        <v>0</v>
      </c>
      <c r="R793" s="2" t="inlineStr"/>
    </row>
    <row r="794" ht="15" customHeight="1">
      <c r="A794" t="inlineStr">
        <is>
          <t>A 23855-2025</t>
        </is>
      </c>
      <c r="B794" s="1" t="n">
        <v>45793.65900462963</v>
      </c>
      <c r="C794" s="1" t="n">
        <v>46012</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c r="A795" t="inlineStr">
        <is>
          <t>A 24919-2024</t>
        </is>
      </c>
      <c r="B795" s="1" t="n">
        <v>45461.60636574074</v>
      </c>
      <c r="C795" s="1" t="n">
        <v>46012</v>
      </c>
      <c r="D795" t="inlineStr">
        <is>
          <t>DALARNAS LÄN</t>
        </is>
      </c>
      <c r="E795" t="inlineStr">
        <is>
          <t>LEKSAND</t>
        </is>
      </c>
      <c r="G795" t="n">
        <v>9.800000000000001</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2025-12-21T10:41:22Z</dcterms:created>
  <dcterms:modified xmlns:dcterms="http://purl.org/dc/terms/" xmlns:xsi="http://www.w3.org/2001/XMLSchema-instance" xsi:type="dcterms:W3CDTF">2025-12-21T10:41:23Z</dcterms:modified>
</cp:coreProperties>
</file>