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45572</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45572</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45572</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45572</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45572</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45572</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45572</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45572</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45572</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45572</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45572</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45572</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45572</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45572</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45572</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45572</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45572</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45572</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45572</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45572</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45572</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45572</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45572</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45572</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45572</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45572</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45572</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45572</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45572</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45572</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45572</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45572</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45572</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45572</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45572</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45572</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45572</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45572</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45572</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45572</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45572</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45572</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45572</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45572</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45572</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45572</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45572</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45572</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45572</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45572</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17822-2019</t>
        </is>
      </c>
      <c r="B53" s="1" t="n">
        <v>43556</v>
      </c>
      <c r="C53" s="1" t="n">
        <v>45572</v>
      </c>
      <c r="D53" t="inlineStr">
        <is>
          <t>DALARNAS LÄN</t>
        </is>
      </c>
      <c r="E53" t="inlineStr">
        <is>
          <t>LEKSAND</t>
        </is>
      </c>
      <c r="G53" t="n">
        <v>0.8</v>
      </c>
      <c r="H53" t="n">
        <v>0</v>
      </c>
      <c r="I53" t="n">
        <v>0</v>
      </c>
      <c r="J53" t="n">
        <v>0</v>
      </c>
      <c r="K53" t="n">
        <v>0</v>
      </c>
      <c r="L53" t="n">
        <v>0</v>
      </c>
      <c r="M53" t="n">
        <v>0</v>
      </c>
      <c r="N53" t="n">
        <v>0</v>
      </c>
      <c r="O53" t="n">
        <v>0</v>
      </c>
      <c r="P53" t="n">
        <v>0</v>
      </c>
      <c r="Q53" t="n">
        <v>0</v>
      </c>
      <c r="R53" s="2" t="inlineStr"/>
    </row>
    <row r="54" ht="15" customHeight="1">
      <c r="A54" t="inlineStr">
        <is>
          <t>A 17967-2019</t>
        </is>
      </c>
      <c r="B54" s="1" t="n">
        <v>43557</v>
      </c>
      <c r="C54" s="1" t="n">
        <v>45572</v>
      </c>
      <c r="D54" t="inlineStr">
        <is>
          <t>DALARNAS LÄN</t>
        </is>
      </c>
      <c r="E54" t="inlineStr">
        <is>
          <t>LEKSAND</t>
        </is>
      </c>
      <c r="G54" t="n">
        <v>0.6</v>
      </c>
      <c r="H54" t="n">
        <v>0</v>
      </c>
      <c r="I54" t="n">
        <v>0</v>
      </c>
      <c r="J54" t="n">
        <v>0</v>
      </c>
      <c r="K54" t="n">
        <v>0</v>
      </c>
      <c r="L54" t="n">
        <v>0</v>
      </c>
      <c r="M54" t="n">
        <v>0</v>
      </c>
      <c r="N54" t="n">
        <v>0</v>
      </c>
      <c r="O54" t="n">
        <v>0</v>
      </c>
      <c r="P54" t="n">
        <v>0</v>
      </c>
      <c r="Q54" t="n">
        <v>0</v>
      </c>
      <c r="R54" s="2" t="inlineStr"/>
    </row>
    <row r="55" ht="15" customHeight="1">
      <c r="A55" t="inlineStr">
        <is>
          <t>A 17970-2019</t>
        </is>
      </c>
      <c r="B55" s="1" t="n">
        <v>43557</v>
      </c>
      <c r="C55" s="1" t="n">
        <v>45572</v>
      </c>
      <c r="D55" t="inlineStr">
        <is>
          <t>DALARNAS LÄN</t>
        </is>
      </c>
      <c r="E55" t="inlineStr">
        <is>
          <t>LEKSAND</t>
        </is>
      </c>
      <c r="G55" t="n">
        <v>2.5</v>
      </c>
      <c r="H55" t="n">
        <v>0</v>
      </c>
      <c r="I55" t="n">
        <v>0</v>
      </c>
      <c r="J55" t="n">
        <v>0</v>
      </c>
      <c r="K55" t="n">
        <v>0</v>
      </c>
      <c r="L55" t="n">
        <v>0</v>
      </c>
      <c r="M55" t="n">
        <v>0</v>
      </c>
      <c r="N55" t="n">
        <v>0</v>
      </c>
      <c r="O55" t="n">
        <v>0</v>
      </c>
      <c r="P55" t="n">
        <v>0</v>
      </c>
      <c r="Q55" t="n">
        <v>0</v>
      </c>
      <c r="R55" s="2" t="inlineStr"/>
    </row>
    <row r="56" ht="15" customHeight="1">
      <c r="A56" t="inlineStr">
        <is>
          <t>A 18238-2019</t>
        </is>
      </c>
      <c r="B56" s="1" t="n">
        <v>43558</v>
      </c>
      <c r="C56" s="1" t="n">
        <v>45572</v>
      </c>
      <c r="D56" t="inlineStr">
        <is>
          <t>DALARNAS LÄN</t>
        </is>
      </c>
      <c r="E56" t="inlineStr">
        <is>
          <t>LEKSAND</t>
        </is>
      </c>
      <c r="G56" t="n">
        <v>3.3</v>
      </c>
      <c r="H56" t="n">
        <v>0</v>
      </c>
      <c r="I56" t="n">
        <v>0</v>
      </c>
      <c r="J56" t="n">
        <v>0</v>
      </c>
      <c r="K56" t="n">
        <v>0</v>
      </c>
      <c r="L56" t="n">
        <v>0</v>
      </c>
      <c r="M56" t="n">
        <v>0</v>
      </c>
      <c r="N56" t="n">
        <v>0</v>
      </c>
      <c r="O56" t="n">
        <v>0</v>
      </c>
      <c r="P56" t="n">
        <v>0</v>
      </c>
      <c r="Q56" t="n">
        <v>0</v>
      </c>
      <c r="R56" s="2" t="inlineStr"/>
    </row>
    <row r="57" ht="15" customHeight="1">
      <c r="A57" t="inlineStr">
        <is>
          <t>A 19703-2019</t>
        </is>
      </c>
      <c r="B57" s="1" t="n">
        <v>43566</v>
      </c>
      <c r="C57" s="1" t="n">
        <v>45572</v>
      </c>
      <c r="D57" t="inlineStr">
        <is>
          <t>DALARNAS LÄN</t>
        </is>
      </c>
      <c r="E57" t="inlineStr">
        <is>
          <t>LEKSAND</t>
        </is>
      </c>
      <c r="G57" t="n">
        <v>0.4</v>
      </c>
      <c r="H57" t="n">
        <v>0</v>
      </c>
      <c r="I57" t="n">
        <v>0</v>
      </c>
      <c r="J57" t="n">
        <v>0</v>
      </c>
      <c r="K57" t="n">
        <v>0</v>
      </c>
      <c r="L57" t="n">
        <v>0</v>
      </c>
      <c r="M57" t="n">
        <v>0</v>
      </c>
      <c r="N57" t="n">
        <v>0</v>
      </c>
      <c r="O57" t="n">
        <v>0</v>
      </c>
      <c r="P57" t="n">
        <v>0</v>
      </c>
      <c r="Q57" t="n">
        <v>0</v>
      </c>
      <c r="R57" s="2" t="inlineStr"/>
    </row>
    <row r="58" ht="15" customHeight="1">
      <c r="A58" t="inlineStr">
        <is>
          <t>A 19790-2019</t>
        </is>
      </c>
      <c r="B58" s="1" t="n">
        <v>43566</v>
      </c>
      <c r="C58" s="1" t="n">
        <v>45572</v>
      </c>
      <c r="D58" t="inlineStr">
        <is>
          <t>DALARNAS LÄN</t>
        </is>
      </c>
      <c r="E58" t="inlineStr">
        <is>
          <t>LEKSAND</t>
        </is>
      </c>
      <c r="G58" t="n">
        <v>11.4</v>
      </c>
      <c r="H58" t="n">
        <v>0</v>
      </c>
      <c r="I58" t="n">
        <v>0</v>
      </c>
      <c r="J58" t="n">
        <v>0</v>
      </c>
      <c r="K58" t="n">
        <v>0</v>
      </c>
      <c r="L58" t="n">
        <v>0</v>
      </c>
      <c r="M58" t="n">
        <v>0</v>
      </c>
      <c r="N58" t="n">
        <v>0</v>
      </c>
      <c r="O58" t="n">
        <v>0</v>
      </c>
      <c r="P58" t="n">
        <v>0</v>
      </c>
      <c r="Q58" t="n">
        <v>0</v>
      </c>
      <c r="R58" s="2" t="inlineStr"/>
    </row>
    <row r="59" ht="15" customHeight="1">
      <c r="A59" t="inlineStr">
        <is>
          <t>A 22975-2019</t>
        </is>
      </c>
      <c r="B59" s="1" t="n">
        <v>43591</v>
      </c>
      <c r="C59" s="1" t="n">
        <v>45572</v>
      </c>
      <c r="D59" t="inlineStr">
        <is>
          <t>DALARNAS LÄN</t>
        </is>
      </c>
      <c r="E59" t="inlineStr">
        <is>
          <t>LEKSAND</t>
        </is>
      </c>
      <c r="G59" t="n">
        <v>1.1</v>
      </c>
      <c r="H59" t="n">
        <v>0</v>
      </c>
      <c r="I59" t="n">
        <v>0</v>
      </c>
      <c r="J59" t="n">
        <v>0</v>
      </c>
      <c r="K59" t="n">
        <v>0</v>
      </c>
      <c r="L59" t="n">
        <v>0</v>
      </c>
      <c r="M59" t="n">
        <v>0</v>
      </c>
      <c r="N59" t="n">
        <v>0</v>
      </c>
      <c r="O59" t="n">
        <v>0</v>
      </c>
      <c r="P59" t="n">
        <v>0</v>
      </c>
      <c r="Q59" t="n">
        <v>0</v>
      </c>
      <c r="R59" s="2" t="inlineStr"/>
    </row>
    <row r="60" ht="15" customHeight="1">
      <c r="A60" t="inlineStr">
        <is>
          <t>A 24300-2019</t>
        </is>
      </c>
      <c r="B60" s="1" t="n">
        <v>43598</v>
      </c>
      <c r="C60" s="1" t="n">
        <v>45572</v>
      </c>
      <c r="D60" t="inlineStr">
        <is>
          <t>DALARNAS LÄN</t>
        </is>
      </c>
      <c r="E60" t="inlineStr">
        <is>
          <t>LEKSAND</t>
        </is>
      </c>
      <c r="G60" t="n">
        <v>0.5</v>
      </c>
      <c r="H60" t="n">
        <v>0</v>
      </c>
      <c r="I60" t="n">
        <v>0</v>
      </c>
      <c r="J60" t="n">
        <v>0</v>
      </c>
      <c r="K60" t="n">
        <v>0</v>
      </c>
      <c r="L60" t="n">
        <v>0</v>
      </c>
      <c r="M60" t="n">
        <v>0</v>
      </c>
      <c r="N60" t="n">
        <v>0</v>
      </c>
      <c r="O60" t="n">
        <v>0</v>
      </c>
      <c r="P60" t="n">
        <v>0</v>
      </c>
      <c r="Q60" t="n">
        <v>0</v>
      </c>
      <c r="R60" s="2" t="inlineStr"/>
    </row>
    <row r="61" ht="15" customHeight="1">
      <c r="A61" t="inlineStr">
        <is>
          <t>A 24051-2019</t>
        </is>
      </c>
      <c r="B61" s="1" t="n">
        <v>43598</v>
      </c>
      <c r="C61" s="1" t="n">
        <v>45572</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24542-2019</t>
        </is>
      </c>
      <c r="B62" s="1" t="n">
        <v>43600</v>
      </c>
      <c r="C62" s="1" t="n">
        <v>45572</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32532-2019</t>
        </is>
      </c>
      <c r="B63" s="1" t="n">
        <v>43646</v>
      </c>
      <c r="C63" s="1" t="n">
        <v>45572</v>
      </c>
      <c r="D63" t="inlineStr">
        <is>
          <t>DALARNAS LÄN</t>
        </is>
      </c>
      <c r="E63" t="inlineStr">
        <is>
          <t>LEKSAND</t>
        </is>
      </c>
      <c r="G63" t="n">
        <v>3.1</v>
      </c>
      <c r="H63" t="n">
        <v>0</v>
      </c>
      <c r="I63" t="n">
        <v>0</v>
      </c>
      <c r="J63" t="n">
        <v>0</v>
      </c>
      <c r="K63" t="n">
        <v>0</v>
      </c>
      <c r="L63" t="n">
        <v>0</v>
      </c>
      <c r="M63" t="n">
        <v>0</v>
      </c>
      <c r="N63" t="n">
        <v>0</v>
      </c>
      <c r="O63" t="n">
        <v>0</v>
      </c>
      <c r="P63" t="n">
        <v>0</v>
      </c>
      <c r="Q63" t="n">
        <v>0</v>
      </c>
      <c r="R63" s="2" t="inlineStr"/>
    </row>
    <row r="64" ht="15" customHeight="1">
      <c r="A64" t="inlineStr">
        <is>
          <t>A 33903-2019</t>
        </is>
      </c>
      <c r="B64" s="1" t="n">
        <v>43654</v>
      </c>
      <c r="C64" s="1" t="n">
        <v>45572</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36014-2019</t>
        </is>
      </c>
      <c r="B65" s="1" t="n">
        <v>43657</v>
      </c>
      <c r="C65" s="1" t="n">
        <v>45572</v>
      </c>
      <c r="D65" t="inlineStr">
        <is>
          <t>DALARNAS LÄN</t>
        </is>
      </c>
      <c r="E65" t="inlineStr">
        <is>
          <t>LEKSAND</t>
        </is>
      </c>
      <c r="G65" t="n">
        <v>1.8</v>
      </c>
      <c r="H65" t="n">
        <v>0</v>
      </c>
      <c r="I65" t="n">
        <v>0</v>
      </c>
      <c r="J65" t="n">
        <v>0</v>
      </c>
      <c r="K65" t="n">
        <v>0</v>
      </c>
      <c r="L65" t="n">
        <v>0</v>
      </c>
      <c r="M65" t="n">
        <v>0</v>
      </c>
      <c r="N65" t="n">
        <v>0</v>
      </c>
      <c r="O65" t="n">
        <v>0</v>
      </c>
      <c r="P65" t="n">
        <v>0</v>
      </c>
      <c r="Q65" t="n">
        <v>0</v>
      </c>
      <c r="R65" s="2" t="inlineStr"/>
    </row>
    <row r="66" ht="15" customHeight="1">
      <c r="A66" t="inlineStr">
        <is>
          <t>A 36023-2019</t>
        </is>
      </c>
      <c r="B66" s="1" t="n">
        <v>43657</v>
      </c>
      <c r="C66" s="1" t="n">
        <v>45572</v>
      </c>
      <c r="D66" t="inlineStr">
        <is>
          <t>DALARNAS LÄN</t>
        </is>
      </c>
      <c r="E66" t="inlineStr">
        <is>
          <t>LEKSAND</t>
        </is>
      </c>
      <c r="G66" t="n">
        <v>1.5</v>
      </c>
      <c r="H66" t="n">
        <v>0</v>
      </c>
      <c r="I66" t="n">
        <v>0</v>
      </c>
      <c r="J66" t="n">
        <v>0</v>
      </c>
      <c r="K66" t="n">
        <v>0</v>
      </c>
      <c r="L66" t="n">
        <v>0</v>
      </c>
      <c r="M66" t="n">
        <v>0</v>
      </c>
      <c r="N66" t="n">
        <v>0</v>
      </c>
      <c r="O66" t="n">
        <v>0</v>
      </c>
      <c r="P66" t="n">
        <v>0</v>
      </c>
      <c r="Q66" t="n">
        <v>0</v>
      </c>
      <c r="R66" s="2" t="inlineStr"/>
    </row>
    <row r="67" ht="15" customHeight="1">
      <c r="A67" t="inlineStr">
        <is>
          <t>A 36287-2019</t>
        </is>
      </c>
      <c r="B67" s="1" t="n">
        <v>43669</v>
      </c>
      <c r="C67" s="1" t="n">
        <v>45572</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37733-2019</t>
        </is>
      </c>
      <c r="B68" s="1" t="n">
        <v>43682</v>
      </c>
      <c r="C68" s="1" t="n">
        <v>45572</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37822-2019</t>
        </is>
      </c>
      <c r="B69" s="1" t="n">
        <v>43682</v>
      </c>
      <c r="C69" s="1" t="n">
        <v>45572</v>
      </c>
      <c r="D69" t="inlineStr">
        <is>
          <t>DALARNAS LÄN</t>
        </is>
      </c>
      <c r="E69" t="inlineStr">
        <is>
          <t>LEKSAND</t>
        </is>
      </c>
      <c r="G69" t="n">
        <v>8.9</v>
      </c>
      <c r="H69" t="n">
        <v>0</v>
      </c>
      <c r="I69" t="n">
        <v>0</v>
      </c>
      <c r="J69" t="n">
        <v>0</v>
      </c>
      <c r="K69" t="n">
        <v>0</v>
      </c>
      <c r="L69" t="n">
        <v>0</v>
      </c>
      <c r="M69" t="n">
        <v>0</v>
      </c>
      <c r="N69" t="n">
        <v>0</v>
      </c>
      <c r="O69" t="n">
        <v>0</v>
      </c>
      <c r="P69" t="n">
        <v>0</v>
      </c>
      <c r="Q69" t="n">
        <v>0</v>
      </c>
      <c r="R69" s="2" t="inlineStr"/>
    </row>
    <row r="70" ht="15" customHeight="1">
      <c r="A70" t="inlineStr">
        <is>
          <t>A 38350-2019</t>
        </is>
      </c>
      <c r="B70" s="1" t="n">
        <v>43685</v>
      </c>
      <c r="C70" s="1" t="n">
        <v>45572</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39025-2019</t>
        </is>
      </c>
      <c r="B71" s="1" t="n">
        <v>43689</v>
      </c>
      <c r="C71" s="1" t="n">
        <v>45572</v>
      </c>
      <c r="D71" t="inlineStr">
        <is>
          <t>DALARNAS LÄN</t>
        </is>
      </c>
      <c r="E71" t="inlineStr">
        <is>
          <t>LEKSAND</t>
        </is>
      </c>
      <c r="F71" t="inlineStr">
        <is>
          <t>Bergvik skog väst AB</t>
        </is>
      </c>
      <c r="G71" t="n">
        <v>10.1</v>
      </c>
      <c r="H71" t="n">
        <v>0</v>
      </c>
      <c r="I71" t="n">
        <v>0</v>
      </c>
      <c r="J71" t="n">
        <v>0</v>
      </c>
      <c r="K71" t="n">
        <v>0</v>
      </c>
      <c r="L71" t="n">
        <v>0</v>
      </c>
      <c r="M71" t="n">
        <v>0</v>
      </c>
      <c r="N71" t="n">
        <v>0</v>
      </c>
      <c r="O71" t="n">
        <v>0</v>
      </c>
      <c r="P71" t="n">
        <v>0</v>
      </c>
      <c r="Q71" t="n">
        <v>0</v>
      </c>
      <c r="R71" s="2" t="inlineStr"/>
    </row>
    <row r="72" ht="15" customHeight="1">
      <c r="A72" t="inlineStr">
        <is>
          <t>A 41329-2019</t>
        </is>
      </c>
      <c r="B72" s="1" t="n">
        <v>43698</v>
      </c>
      <c r="C72" s="1" t="n">
        <v>45572</v>
      </c>
      <c r="D72" t="inlineStr">
        <is>
          <t>DALARNAS LÄN</t>
        </is>
      </c>
      <c r="E72" t="inlineStr">
        <is>
          <t>LEKSAND</t>
        </is>
      </c>
      <c r="G72" t="n">
        <v>2</v>
      </c>
      <c r="H72" t="n">
        <v>0</v>
      </c>
      <c r="I72" t="n">
        <v>0</v>
      </c>
      <c r="J72" t="n">
        <v>0</v>
      </c>
      <c r="K72" t="n">
        <v>0</v>
      </c>
      <c r="L72" t="n">
        <v>0</v>
      </c>
      <c r="M72" t="n">
        <v>0</v>
      </c>
      <c r="N72" t="n">
        <v>0</v>
      </c>
      <c r="O72" t="n">
        <v>0</v>
      </c>
      <c r="P72" t="n">
        <v>0</v>
      </c>
      <c r="Q72" t="n">
        <v>0</v>
      </c>
      <c r="R72" s="2" t="inlineStr"/>
    </row>
    <row r="73" ht="15" customHeight="1">
      <c r="A73" t="inlineStr">
        <is>
          <t>A 43082-2019</t>
        </is>
      </c>
      <c r="B73" s="1" t="n">
        <v>43705</v>
      </c>
      <c r="C73" s="1" t="n">
        <v>45572</v>
      </c>
      <c r="D73" t="inlineStr">
        <is>
          <t>DALARNAS LÄN</t>
        </is>
      </c>
      <c r="E73" t="inlineStr">
        <is>
          <t>LEKSAND</t>
        </is>
      </c>
      <c r="F73" t="inlineStr">
        <is>
          <t>Bergvik skog väst AB</t>
        </is>
      </c>
      <c r="G73" t="n">
        <v>2.4</v>
      </c>
      <c r="H73" t="n">
        <v>0</v>
      </c>
      <c r="I73" t="n">
        <v>0</v>
      </c>
      <c r="J73" t="n">
        <v>0</v>
      </c>
      <c r="K73" t="n">
        <v>0</v>
      </c>
      <c r="L73" t="n">
        <v>0</v>
      </c>
      <c r="M73" t="n">
        <v>0</v>
      </c>
      <c r="N73" t="n">
        <v>0</v>
      </c>
      <c r="O73" t="n">
        <v>0</v>
      </c>
      <c r="P73" t="n">
        <v>0</v>
      </c>
      <c r="Q73" t="n">
        <v>0</v>
      </c>
      <c r="R73" s="2" t="inlineStr"/>
    </row>
    <row r="74" ht="15" customHeight="1">
      <c r="A74" t="inlineStr">
        <is>
          <t>A 43887-2019</t>
        </is>
      </c>
      <c r="B74" s="1" t="n">
        <v>43707</v>
      </c>
      <c r="C74" s="1" t="n">
        <v>45572</v>
      </c>
      <c r="D74" t="inlineStr">
        <is>
          <t>DALARNAS LÄN</t>
        </is>
      </c>
      <c r="E74" t="inlineStr">
        <is>
          <t>LEKSAND</t>
        </is>
      </c>
      <c r="F74" t="inlineStr">
        <is>
          <t>Övriga Aktiebolag</t>
        </is>
      </c>
      <c r="G74" t="n">
        <v>1.4</v>
      </c>
      <c r="H74" t="n">
        <v>0</v>
      </c>
      <c r="I74" t="n">
        <v>0</v>
      </c>
      <c r="J74" t="n">
        <v>0</v>
      </c>
      <c r="K74" t="n">
        <v>0</v>
      </c>
      <c r="L74" t="n">
        <v>0</v>
      </c>
      <c r="M74" t="n">
        <v>0</v>
      </c>
      <c r="N74" t="n">
        <v>0</v>
      </c>
      <c r="O74" t="n">
        <v>0</v>
      </c>
      <c r="P74" t="n">
        <v>0</v>
      </c>
      <c r="Q74" t="n">
        <v>0</v>
      </c>
      <c r="R74" s="2" t="inlineStr"/>
    </row>
    <row r="75" ht="15" customHeight="1">
      <c r="A75" t="inlineStr">
        <is>
          <t>A 43884-2019</t>
        </is>
      </c>
      <c r="B75" s="1" t="n">
        <v>43707</v>
      </c>
      <c r="C75" s="1" t="n">
        <v>45572</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44058-2019</t>
        </is>
      </c>
      <c r="B76" s="1" t="n">
        <v>43710</v>
      </c>
      <c r="C76" s="1" t="n">
        <v>45572</v>
      </c>
      <c r="D76" t="inlineStr">
        <is>
          <t>DALARNAS LÄN</t>
        </is>
      </c>
      <c r="E76" t="inlineStr">
        <is>
          <t>LEKSAND</t>
        </is>
      </c>
      <c r="F76" t="inlineStr">
        <is>
          <t>Kyrkan</t>
        </is>
      </c>
      <c r="G76" t="n">
        <v>1.3</v>
      </c>
      <c r="H76" t="n">
        <v>0</v>
      </c>
      <c r="I76" t="n">
        <v>0</v>
      </c>
      <c r="J76" t="n">
        <v>0</v>
      </c>
      <c r="K76" t="n">
        <v>0</v>
      </c>
      <c r="L76" t="n">
        <v>0</v>
      </c>
      <c r="M76" t="n">
        <v>0</v>
      </c>
      <c r="N76" t="n">
        <v>0</v>
      </c>
      <c r="O76" t="n">
        <v>0</v>
      </c>
      <c r="P76" t="n">
        <v>0</v>
      </c>
      <c r="Q76" t="n">
        <v>0</v>
      </c>
      <c r="R76" s="2" t="inlineStr"/>
    </row>
    <row r="77" ht="15" customHeight="1">
      <c r="A77" t="inlineStr">
        <is>
          <t>A 45526-2019</t>
        </is>
      </c>
      <c r="B77" s="1" t="n">
        <v>43714</v>
      </c>
      <c r="C77" s="1" t="n">
        <v>45572</v>
      </c>
      <c r="D77" t="inlineStr">
        <is>
          <t>DALARNAS LÄN</t>
        </is>
      </c>
      <c r="E77" t="inlineStr">
        <is>
          <t>LEKSAND</t>
        </is>
      </c>
      <c r="F77" t="inlineStr">
        <is>
          <t>Bergvik skog väst AB</t>
        </is>
      </c>
      <c r="G77" t="n">
        <v>5.9</v>
      </c>
      <c r="H77" t="n">
        <v>0</v>
      </c>
      <c r="I77" t="n">
        <v>0</v>
      </c>
      <c r="J77" t="n">
        <v>0</v>
      </c>
      <c r="K77" t="n">
        <v>0</v>
      </c>
      <c r="L77" t="n">
        <v>0</v>
      </c>
      <c r="M77" t="n">
        <v>0</v>
      </c>
      <c r="N77" t="n">
        <v>0</v>
      </c>
      <c r="O77" t="n">
        <v>0</v>
      </c>
      <c r="P77" t="n">
        <v>0</v>
      </c>
      <c r="Q77" t="n">
        <v>0</v>
      </c>
      <c r="R77" s="2" t="inlineStr"/>
    </row>
    <row r="78" ht="15" customHeight="1">
      <c r="A78" t="inlineStr">
        <is>
          <t>A 45572-2019</t>
        </is>
      </c>
      <c r="B78" s="1" t="n">
        <v>43716</v>
      </c>
      <c r="C78" s="1" t="n">
        <v>45572</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46739-2019</t>
        </is>
      </c>
      <c r="B79" s="1" t="n">
        <v>43719</v>
      </c>
      <c r="C79" s="1" t="n">
        <v>45572</v>
      </c>
      <c r="D79" t="inlineStr">
        <is>
          <t>DALARNAS LÄN</t>
        </is>
      </c>
      <c r="E79" t="inlineStr">
        <is>
          <t>LEKSAND</t>
        </is>
      </c>
      <c r="G79" t="n">
        <v>0.6</v>
      </c>
      <c r="H79" t="n">
        <v>0</v>
      </c>
      <c r="I79" t="n">
        <v>0</v>
      </c>
      <c r="J79" t="n">
        <v>0</v>
      </c>
      <c r="K79" t="n">
        <v>0</v>
      </c>
      <c r="L79" t="n">
        <v>0</v>
      </c>
      <c r="M79" t="n">
        <v>0</v>
      </c>
      <c r="N79" t="n">
        <v>0</v>
      </c>
      <c r="O79" t="n">
        <v>0</v>
      </c>
      <c r="P79" t="n">
        <v>0</v>
      </c>
      <c r="Q79" t="n">
        <v>0</v>
      </c>
      <c r="R79" s="2" t="inlineStr"/>
    </row>
    <row r="80" ht="15" customHeight="1">
      <c r="A80" t="inlineStr">
        <is>
          <t>A 46740-2019</t>
        </is>
      </c>
      <c r="B80" s="1" t="n">
        <v>43719</v>
      </c>
      <c r="C80" s="1" t="n">
        <v>45572</v>
      </c>
      <c r="D80" t="inlineStr">
        <is>
          <t>DALARNAS LÄN</t>
        </is>
      </c>
      <c r="E80" t="inlineStr">
        <is>
          <t>LEKSAND</t>
        </is>
      </c>
      <c r="G80" t="n">
        <v>0.3</v>
      </c>
      <c r="H80" t="n">
        <v>0</v>
      </c>
      <c r="I80" t="n">
        <v>0</v>
      </c>
      <c r="J80" t="n">
        <v>0</v>
      </c>
      <c r="K80" t="n">
        <v>0</v>
      </c>
      <c r="L80" t="n">
        <v>0</v>
      </c>
      <c r="M80" t="n">
        <v>0</v>
      </c>
      <c r="N80" t="n">
        <v>0</v>
      </c>
      <c r="O80" t="n">
        <v>0</v>
      </c>
      <c r="P80" t="n">
        <v>0</v>
      </c>
      <c r="Q80" t="n">
        <v>0</v>
      </c>
      <c r="R80" s="2" t="inlineStr"/>
    </row>
    <row r="81" ht="15" customHeight="1">
      <c r="A81" t="inlineStr">
        <is>
          <t>A 47532-2019</t>
        </is>
      </c>
      <c r="B81" s="1" t="n">
        <v>43724</v>
      </c>
      <c r="C81" s="1" t="n">
        <v>45572</v>
      </c>
      <c r="D81" t="inlineStr">
        <is>
          <t>DALARNAS LÄN</t>
        </is>
      </c>
      <c r="E81" t="inlineStr">
        <is>
          <t>LEKSAND</t>
        </is>
      </c>
      <c r="G81" t="n">
        <v>2.3</v>
      </c>
      <c r="H81" t="n">
        <v>0</v>
      </c>
      <c r="I81" t="n">
        <v>0</v>
      </c>
      <c r="J81" t="n">
        <v>0</v>
      </c>
      <c r="K81" t="n">
        <v>0</v>
      </c>
      <c r="L81" t="n">
        <v>0</v>
      </c>
      <c r="M81" t="n">
        <v>0</v>
      </c>
      <c r="N81" t="n">
        <v>0</v>
      </c>
      <c r="O81" t="n">
        <v>0</v>
      </c>
      <c r="P81" t="n">
        <v>0</v>
      </c>
      <c r="Q81" t="n">
        <v>0</v>
      </c>
      <c r="R81" s="2" t="inlineStr"/>
    </row>
    <row r="82" ht="15" customHeight="1">
      <c r="A82" t="inlineStr">
        <is>
          <t>A 49132-2019</t>
        </is>
      </c>
      <c r="B82" s="1" t="n">
        <v>43728</v>
      </c>
      <c r="C82" s="1" t="n">
        <v>45572</v>
      </c>
      <c r="D82" t="inlineStr">
        <is>
          <t>DALARNAS LÄN</t>
        </is>
      </c>
      <c r="E82" t="inlineStr">
        <is>
          <t>LEKSAND</t>
        </is>
      </c>
      <c r="G82" t="n">
        <v>1.9</v>
      </c>
      <c r="H82" t="n">
        <v>0</v>
      </c>
      <c r="I82" t="n">
        <v>0</v>
      </c>
      <c r="J82" t="n">
        <v>0</v>
      </c>
      <c r="K82" t="n">
        <v>0</v>
      </c>
      <c r="L82" t="n">
        <v>0</v>
      </c>
      <c r="M82" t="n">
        <v>0</v>
      </c>
      <c r="N82" t="n">
        <v>0</v>
      </c>
      <c r="O82" t="n">
        <v>0</v>
      </c>
      <c r="P82" t="n">
        <v>0</v>
      </c>
      <c r="Q82" t="n">
        <v>0</v>
      </c>
      <c r="R82" s="2" t="inlineStr"/>
    </row>
    <row r="83" ht="15" customHeight="1">
      <c r="A83" t="inlineStr">
        <is>
          <t>A 51390-2019</t>
        </is>
      </c>
      <c r="B83" s="1" t="n">
        <v>43733</v>
      </c>
      <c r="C83" s="1" t="n">
        <v>45572</v>
      </c>
      <c r="D83" t="inlineStr">
        <is>
          <t>DALARNAS LÄN</t>
        </is>
      </c>
      <c r="E83" t="inlineStr">
        <is>
          <t>LEKSAND</t>
        </is>
      </c>
      <c r="G83" t="n">
        <v>4.7</v>
      </c>
      <c r="H83" t="n">
        <v>0</v>
      </c>
      <c r="I83" t="n">
        <v>0</v>
      </c>
      <c r="J83" t="n">
        <v>0</v>
      </c>
      <c r="K83" t="n">
        <v>0</v>
      </c>
      <c r="L83" t="n">
        <v>0</v>
      </c>
      <c r="M83" t="n">
        <v>0</v>
      </c>
      <c r="N83" t="n">
        <v>0</v>
      </c>
      <c r="O83" t="n">
        <v>0</v>
      </c>
      <c r="P83" t="n">
        <v>0</v>
      </c>
      <c r="Q83" t="n">
        <v>0</v>
      </c>
      <c r="R83" s="2" t="inlineStr"/>
    </row>
    <row r="84" ht="15" customHeight="1">
      <c r="A84" t="inlineStr">
        <is>
          <t>A 50532-2019</t>
        </is>
      </c>
      <c r="B84" s="1" t="n">
        <v>43735</v>
      </c>
      <c r="C84" s="1" t="n">
        <v>45572</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52130-2019</t>
        </is>
      </c>
      <c r="B85" s="1" t="n">
        <v>43735</v>
      </c>
      <c r="C85" s="1" t="n">
        <v>45572</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52827-2019</t>
        </is>
      </c>
      <c r="B86" s="1" t="n">
        <v>43746</v>
      </c>
      <c r="C86" s="1" t="n">
        <v>45572</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52957-2019</t>
        </is>
      </c>
      <c r="B87" s="1" t="n">
        <v>43747</v>
      </c>
      <c r="C87" s="1" t="n">
        <v>45572</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53553-2019</t>
        </is>
      </c>
      <c r="B88" s="1" t="n">
        <v>43749</v>
      </c>
      <c r="C88" s="1" t="n">
        <v>45572</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56844-2019</t>
        </is>
      </c>
      <c r="B89" s="1" t="n">
        <v>43765</v>
      </c>
      <c r="C89" s="1" t="n">
        <v>45572</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57221-2019</t>
        </is>
      </c>
      <c r="B90" s="1" t="n">
        <v>43767</v>
      </c>
      <c r="C90" s="1" t="n">
        <v>45572</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58237-2019</t>
        </is>
      </c>
      <c r="B91" s="1" t="n">
        <v>43770</v>
      </c>
      <c r="C91" s="1" t="n">
        <v>45572</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59714-2019</t>
        </is>
      </c>
      <c r="B92" s="1" t="n">
        <v>43776</v>
      </c>
      <c r="C92" s="1" t="n">
        <v>45572</v>
      </c>
      <c r="D92" t="inlineStr">
        <is>
          <t>DALARNAS LÄN</t>
        </is>
      </c>
      <c r="E92" t="inlineStr">
        <is>
          <t>LEKSAND</t>
        </is>
      </c>
      <c r="F92" t="inlineStr">
        <is>
          <t>Bergvik skog väst AB</t>
        </is>
      </c>
      <c r="G92" t="n">
        <v>4.8</v>
      </c>
      <c r="H92" t="n">
        <v>0</v>
      </c>
      <c r="I92" t="n">
        <v>0</v>
      </c>
      <c r="J92" t="n">
        <v>0</v>
      </c>
      <c r="K92" t="n">
        <v>0</v>
      </c>
      <c r="L92" t="n">
        <v>0</v>
      </c>
      <c r="M92" t="n">
        <v>0</v>
      </c>
      <c r="N92" t="n">
        <v>0</v>
      </c>
      <c r="O92" t="n">
        <v>0</v>
      </c>
      <c r="P92" t="n">
        <v>0</v>
      </c>
      <c r="Q92" t="n">
        <v>0</v>
      </c>
      <c r="R92" s="2" t="inlineStr"/>
    </row>
    <row r="93" ht="15" customHeight="1">
      <c r="A93" t="inlineStr">
        <is>
          <t>A 59721-2019</t>
        </is>
      </c>
      <c r="B93" s="1" t="n">
        <v>43776</v>
      </c>
      <c r="C93" s="1" t="n">
        <v>45572</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60809-2019</t>
        </is>
      </c>
      <c r="B94" s="1" t="n">
        <v>43780</v>
      </c>
      <c r="C94" s="1" t="n">
        <v>45572</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61111-2019</t>
        </is>
      </c>
      <c r="B95" s="1" t="n">
        <v>43782</v>
      </c>
      <c r="C95" s="1" t="n">
        <v>45572</v>
      </c>
      <c r="D95" t="inlineStr">
        <is>
          <t>DALARNAS LÄN</t>
        </is>
      </c>
      <c r="E95" t="inlineStr">
        <is>
          <t>LEKSAND</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61113-2019</t>
        </is>
      </c>
      <c r="B96" s="1" t="n">
        <v>43782</v>
      </c>
      <c r="C96" s="1" t="n">
        <v>45572</v>
      </c>
      <c r="D96" t="inlineStr">
        <is>
          <t>DALARNAS LÄN</t>
        </is>
      </c>
      <c r="E96" t="inlineStr">
        <is>
          <t>LEKSAND</t>
        </is>
      </c>
      <c r="F96" t="inlineStr">
        <is>
          <t>Bergvik skog väst AB</t>
        </is>
      </c>
      <c r="G96" t="n">
        <v>0.2</v>
      </c>
      <c r="H96" t="n">
        <v>0</v>
      </c>
      <c r="I96" t="n">
        <v>0</v>
      </c>
      <c r="J96" t="n">
        <v>0</v>
      </c>
      <c r="K96" t="n">
        <v>0</v>
      </c>
      <c r="L96" t="n">
        <v>0</v>
      </c>
      <c r="M96" t="n">
        <v>0</v>
      </c>
      <c r="N96" t="n">
        <v>0</v>
      </c>
      <c r="O96" t="n">
        <v>0</v>
      </c>
      <c r="P96" t="n">
        <v>0</v>
      </c>
      <c r="Q96" t="n">
        <v>0</v>
      </c>
      <c r="R96" s="2" t="inlineStr"/>
    </row>
    <row r="97" ht="15" customHeight="1">
      <c r="A97" t="inlineStr">
        <is>
          <t>A 64635-2019</t>
        </is>
      </c>
      <c r="B97" s="1" t="n">
        <v>43794</v>
      </c>
      <c r="C97" s="1" t="n">
        <v>45572</v>
      </c>
      <c r="D97" t="inlineStr">
        <is>
          <t>DALARNAS LÄN</t>
        </is>
      </c>
      <c r="E97" t="inlineStr">
        <is>
          <t>LEKSAND</t>
        </is>
      </c>
      <c r="G97" t="n">
        <v>5.4</v>
      </c>
      <c r="H97" t="n">
        <v>0</v>
      </c>
      <c r="I97" t="n">
        <v>0</v>
      </c>
      <c r="J97" t="n">
        <v>0</v>
      </c>
      <c r="K97" t="n">
        <v>0</v>
      </c>
      <c r="L97" t="n">
        <v>0</v>
      </c>
      <c r="M97" t="n">
        <v>0</v>
      </c>
      <c r="N97" t="n">
        <v>0</v>
      </c>
      <c r="O97" t="n">
        <v>0</v>
      </c>
      <c r="P97" t="n">
        <v>0</v>
      </c>
      <c r="Q97" t="n">
        <v>0</v>
      </c>
      <c r="R97" s="2" t="inlineStr"/>
    </row>
    <row r="98" ht="15" customHeight="1">
      <c r="A98" t="inlineStr">
        <is>
          <t>A 66288-2019</t>
        </is>
      </c>
      <c r="B98" s="1" t="n">
        <v>43808</v>
      </c>
      <c r="C98" s="1" t="n">
        <v>45572</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66822-2019</t>
        </is>
      </c>
      <c r="B99" s="1" t="n">
        <v>43810</v>
      </c>
      <c r="C99" s="1" t="n">
        <v>45572</v>
      </c>
      <c r="D99" t="inlineStr">
        <is>
          <t>DALARNAS LÄN</t>
        </is>
      </c>
      <c r="E99" t="inlineStr">
        <is>
          <t>LEKSAND</t>
        </is>
      </c>
      <c r="G99" t="n">
        <v>5.2</v>
      </c>
      <c r="H99" t="n">
        <v>0</v>
      </c>
      <c r="I99" t="n">
        <v>0</v>
      </c>
      <c r="J99" t="n">
        <v>0</v>
      </c>
      <c r="K99" t="n">
        <v>0</v>
      </c>
      <c r="L99" t="n">
        <v>0</v>
      </c>
      <c r="M99" t="n">
        <v>0</v>
      </c>
      <c r="N99" t="n">
        <v>0</v>
      </c>
      <c r="O99" t="n">
        <v>0</v>
      </c>
      <c r="P99" t="n">
        <v>0</v>
      </c>
      <c r="Q99" t="n">
        <v>0</v>
      </c>
      <c r="R99" s="2" t="inlineStr"/>
    </row>
    <row r="100" ht="15" customHeight="1">
      <c r="A100" t="inlineStr">
        <is>
          <t>A 67123-2019</t>
        </is>
      </c>
      <c r="B100" s="1" t="n">
        <v>43811</v>
      </c>
      <c r="C100" s="1" t="n">
        <v>45572</v>
      </c>
      <c r="D100" t="inlineStr">
        <is>
          <t>DALARNAS LÄN</t>
        </is>
      </c>
      <c r="E100" t="inlineStr">
        <is>
          <t>LEKSAND</t>
        </is>
      </c>
      <c r="G100" t="n">
        <v>2.1</v>
      </c>
      <c r="H100" t="n">
        <v>0</v>
      </c>
      <c r="I100" t="n">
        <v>0</v>
      </c>
      <c r="J100" t="n">
        <v>0</v>
      </c>
      <c r="K100" t="n">
        <v>0</v>
      </c>
      <c r="L100" t="n">
        <v>0</v>
      </c>
      <c r="M100" t="n">
        <v>0</v>
      </c>
      <c r="N100" t="n">
        <v>0</v>
      </c>
      <c r="O100" t="n">
        <v>0</v>
      </c>
      <c r="P100" t="n">
        <v>0</v>
      </c>
      <c r="Q100" t="n">
        <v>0</v>
      </c>
      <c r="R100" s="2" t="inlineStr"/>
    </row>
    <row r="101" ht="15" customHeight="1">
      <c r="A101" t="inlineStr">
        <is>
          <t>A 68808-2019</t>
        </is>
      </c>
      <c r="B101" s="1" t="n">
        <v>43815</v>
      </c>
      <c r="C101" s="1" t="n">
        <v>45572</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1604-2020</t>
        </is>
      </c>
      <c r="B102" s="1" t="n">
        <v>43829</v>
      </c>
      <c r="C102" s="1" t="n">
        <v>45572</v>
      </c>
      <c r="D102" t="inlineStr">
        <is>
          <t>DALARNAS LÄN</t>
        </is>
      </c>
      <c r="E102" t="inlineStr">
        <is>
          <t>LEKSAND</t>
        </is>
      </c>
      <c r="G102" t="n">
        <v>1.3</v>
      </c>
      <c r="H102" t="n">
        <v>0</v>
      </c>
      <c r="I102" t="n">
        <v>0</v>
      </c>
      <c r="J102" t="n">
        <v>0</v>
      </c>
      <c r="K102" t="n">
        <v>0</v>
      </c>
      <c r="L102" t="n">
        <v>0</v>
      </c>
      <c r="M102" t="n">
        <v>0</v>
      </c>
      <c r="N102" t="n">
        <v>0</v>
      </c>
      <c r="O102" t="n">
        <v>0</v>
      </c>
      <c r="P102" t="n">
        <v>0</v>
      </c>
      <c r="Q102" t="n">
        <v>0</v>
      </c>
      <c r="R102" s="2" t="inlineStr"/>
    </row>
    <row r="103" ht="15" customHeight="1">
      <c r="A103" t="inlineStr">
        <is>
          <t>A 1915-2020</t>
        </is>
      </c>
      <c r="B103" s="1" t="n">
        <v>43837</v>
      </c>
      <c r="C103" s="1" t="n">
        <v>45572</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1778-2020</t>
        </is>
      </c>
      <c r="B104" s="1" t="n">
        <v>43844</v>
      </c>
      <c r="C104" s="1" t="n">
        <v>45572</v>
      </c>
      <c r="D104" t="inlineStr">
        <is>
          <t>DALARNAS LÄN</t>
        </is>
      </c>
      <c r="E104" t="inlineStr">
        <is>
          <t>LEKSAND</t>
        </is>
      </c>
      <c r="G104" t="n">
        <v>1.3</v>
      </c>
      <c r="H104" t="n">
        <v>0</v>
      </c>
      <c r="I104" t="n">
        <v>0</v>
      </c>
      <c r="J104" t="n">
        <v>0</v>
      </c>
      <c r="K104" t="n">
        <v>0</v>
      </c>
      <c r="L104" t="n">
        <v>0</v>
      </c>
      <c r="M104" t="n">
        <v>0</v>
      </c>
      <c r="N104" t="n">
        <v>0</v>
      </c>
      <c r="O104" t="n">
        <v>0</v>
      </c>
      <c r="P104" t="n">
        <v>0</v>
      </c>
      <c r="Q104" t="n">
        <v>0</v>
      </c>
      <c r="R104" s="2" t="inlineStr"/>
    </row>
    <row r="105" ht="15" customHeight="1">
      <c r="A105" t="inlineStr">
        <is>
          <t>A 2670-2020</t>
        </is>
      </c>
      <c r="B105" s="1" t="n">
        <v>43849</v>
      </c>
      <c r="C105" s="1" t="n">
        <v>45572</v>
      </c>
      <c r="D105" t="inlineStr">
        <is>
          <t>DALARNAS LÄN</t>
        </is>
      </c>
      <c r="E105" t="inlineStr">
        <is>
          <t>LEKSAND</t>
        </is>
      </c>
      <c r="G105" t="n">
        <v>2.4</v>
      </c>
      <c r="H105" t="n">
        <v>0</v>
      </c>
      <c r="I105" t="n">
        <v>0</v>
      </c>
      <c r="J105" t="n">
        <v>0</v>
      </c>
      <c r="K105" t="n">
        <v>0</v>
      </c>
      <c r="L105" t="n">
        <v>0</v>
      </c>
      <c r="M105" t="n">
        <v>0</v>
      </c>
      <c r="N105" t="n">
        <v>0</v>
      </c>
      <c r="O105" t="n">
        <v>0</v>
      </c>
      <c r="P105" t="n">
        <v>0</v>
      </c>
      <c r="Q105" t="n">
        <v>0</v>
      </c>
      <c r="R105" s="2" t="inlineStr"/>
    </row>
    <row r="106" ht="15" customHeight="1">
      <c r="A106" t="inlineStr">
        <is>
          <t>A 4479-2020</t>
        </is>
      </c>
      <c r="B106" s="1" t="n">
        <v>43850</v>
      </c>
      <c r="C106" s="1" t="n">
        <v>45572</v>
      </c>
      <c r="D106" t="inlineStr">
        <is>
          <t>DALARNAS LÄN</t>
        </is>
      </c>
      <c r="E106" t="inlineStr">
        <is>
          <t>LEKSAND</t>
        </is>
      </c>
      <c r="G106" t="n">
        <v>1.5</v>
      </c>
      <c r="H106" t="n">
        <v>0</v>
      </c>
      <c r="I106" t="n">
        <v>0</v>
      </c>
      <c r="J106" t="n">
        <v>0</v>
      </c>
      <c r="K106" t="n">
        <v>0</v>
      </c>
      <c r="L106" t="n">
        <v>0</v>
      </c>
      <c r="M106" t="n">
        <v>0</v>
      </c>
      <c r="N106" t="n">
        <v>0</v>
      </c>
      <c r="O106" t="n">
        <v>0</v>
      </c>
      <c r="P106" t="n">
        <v>0</v>
      </c>
      <c r="Q106" t="n">
        <v>0</v>
      </c>
      <c r="R106" s="2" t="inlineStr"/>
    </row>
    <row r="107" ht="15" customHeight="1">
      <c r="A107" t="inlineStr">
        <is>
          <t>A 4004-2020</t>
        </is>
      </c>
      <c r="B107" s="1" t="n">
        <v>43856</v>
      </c>
      <c r="C107" s="1" t="n">
        <v>45572</v>
      </c>
      <c r="D107" t="inlineStr">
        <is>
          <t>DALARNAS LÄN</t>
        </is>
      </c>
      <c r="E107" t="inlineStr">
        <is>
          <t>LEKSAND</t>
        </is>
      </c>
      <c r="G107" t="n">
        <v>6</v>
      </c>
      <c r="H107" t="n">
        <v>0</v>
      </c>
      <c r="I107" t="n">
        <v>0</v>
      </c>
      <c r="J107" t="n">
        <v>0</v>
      </c>
      <c r="K107" t="n">
        <v>0</v>
      </c>
      <c r="L107" t="n">
        <v>0</v>
      </c>
      <c r="M107" t="n">
        <v>0</v>
      </c>
      <c r="N107" t="n">
        <v>0</v>
      </c>
      <c r="O107" t="n">
        <v>0</v>
      </c>
      <c r="P107" t="n">
        <v>0</v>
      </c>
      <c r="Q107" t="n">
        <v>0</v>
      </c>
      <c r="R107" s="2" t="inlineStr"/>
    </row>
    <row r="108" ht="15" customHeight="1">
      <c r="A108" t="inlineStr">
        <is>
          <t>A 6002-2020</t>
        </is>
      </c>
      <c r="B108" s="1" t="n">
        <v>43864</v>
      </c>
      <c r="C108" s="1" t="n">
        <v>45572</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6017-2020</t>
        </is>
      </c>
      <c r="B109" s="1" t="n">
        <v>43864</v>
      </c>
      <c r="C109" s="1" t="n">
        <v>45572</v>
      </c>
      <c r="D109" t="inlineStr">
        <is>
          <t>DALARNAS LÄN</t>
        </is>
      </c>
      <c r="E109" t="inlineStr">
        <is>
          <t>LEKSAND</t>
        </is>
      </c>
      <c r="G109" t="n">
        <v>2.6</v>
      </c>
      <c r="H109" t="n">
        <v>0</v>
      </c>
      <c r="I109" t="n">
        <v>0</v>
      </c>
      <c r="J109" t="n">
        <v>0</v>
      </c>
      <c r="K109" t="n">
        <v>0</v>
      </c>
      <c r="L109" t="n">
        <v>0</v>
      </c>
      <c r="M109" t="n">
        <v>0</v>
      </c>
      <c r="N109" t="n">
        <v>0</v>
      </c>
      <c r="O109" t="n">
        <v>0</v>
      </c>
      <c r="P109" t="n">
        <v>0</v>
      </c>
      <c r="Q109" t="n">
        <v>0</v>
      </c>
      <c r="R109" s="2" t="inlineStr"/>
    </row>
    <row r="110" ht="15" customHeight="1">
      <c r="A110" t="inlineStr">
        <is>
          <t>A 6751-2020</t>
        </is>
      </c>
      <c r="B110" s="1" t="n">
        <v>43866</v>
      </c>
      <c r="C110" s="1" t="n">
        <v>45572</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7351-2020</t>
        </is>
      </c>
      <c r="B111" s="1" t="n">
        <v>43871</v>
      </c>
      <c r="C111" s="1" t="n">
        <v>45572</v>
      </c>
      <c r="D111" t="inlineStr">
        <is>
          <t>DALARNAS LÄN</t>
        </is>
      </c>
      <c r="E111" t="inlineStr">
        <is>
          <t>LEKSAND</t>
        </is>
      </c>
      <c r="F111" t="inlineStr">
        <is>
          <t>Bergvik skog väst AB</t>
        </is>
      </c>
      <c r="G111" t="n">
        <v>5.4</v>
      </c>
      <c r="H111" t="n">
        <v>0</v>
      </c>
      <c r="I111" t="n">
        <v>0</v>
      </c>
      <c r="J111" t="n">
        <v>0</v>
      </c>
      <c r="K111" t="n">
        <v>0</v>
      </c>
      <c r="L111" t="n">
        <v>0</v>
      </c>
      <c r="M111" t="n">
        <v>0</v>
      </c>
      <c r="N111" t="n">
        <v>0</v>
      </c>
      <c r="O111" t="n">
        <v>0</v>
      </c>
      <c r="P111" t="n">
        <v>0</v>
      </c>
      <c r="Q111" t="n">
        <v>0</v>
      </c>
      <c r="R111" s="2" t="inlineStr"/>
    </row>
    <row r="112" ht="15" customHeight="1">
      <c r="A112" t="inlineStr">
        <is>
          <t>A 7868-2020</t>
        </is>
      </c>
      <c r="B112" s="1" t="n">
        <v>43873</v>
      </c>
      <c r="C112" s="1" t="n">
        <v>45572</v>
      </c>
      <c r="D112" t="inlineStr">
        <is>
          <t>DALARNAS LÄN</t>
        </is>
      </c>
      <c r="E112" t="inlineStr">
        <is>
          <t>LEKSAND</t>
        </is>
      </c>
      <c r="G112" t="n">
        <v>1.7</v>
      </c>
      <c r="H112" t="n">
        <v>0</v>
      </c>
      <c r="I112" t="n">
        <v>0</v>
      </c>
      <c r="J112" t="n">
        <v>0</v>
      </c>
      <c r="K112" t="n">
        <v>0</v>
      </c>
      <c r="L112" t="n">
        <v>0</v>
      </c>
      <c r="M112" t="n">
        <v>0</v>
      </c>
      <c r="N112" t="n">
        <v>0</v>
      </c>
      <c r="O112" t="n">
        <v>0</v>
      </c>
      <c r="P112" t="n">
        <v>0</v>
      </c>
      <c r="Q112" t="n">
        <v>0</v>
      </c>
      <c r="R112" s="2" t="inlineStr"/>
    </row>
    <row r="113" ht="15" customHeight="1">
      <c r="A113" t="inlineStr">
        <is>
          <t>A 9710-2020</t>
        </is>
      </c>
      <c r="B113" s="1" t="n">
        <v>43881</v>
      </c>
      <c r="C113" s="1" t="n">
        <v>45572</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11372-2020</t>
        </is>
      </c>
      <c r="B114" s="1" t="n">
        <v>43892</v>
      </c>
      <c r="C114" s="1" t="n">
        <v>45572</v>
      </c>
      <c r="D114" t="inlineStr">
        <is>
          <t>DALARNAS LÄN</t>
        </is>
      </c>
      <c r="E114" t="inlineStr">
        <is>
          <t>LEKSAND</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12176-2020</t>
        </is>
      </c>
      <c r="B115" s="1" t="n">
        <v>43895</v>
      </c>
      <c r="C115" s="1" t="n">
        <v>45572</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12247-2020</t>
        </is>
      </c>
      <c r="B116" s="1" t="n">
        <v>43895</v>
      </c>
      <c r="C116" s="1" t="n">
        <v>45572</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13340-2020</t>
        </is>
      </c>
      <c r="B117" s="1" t="n">
        <v>43902</v>
      </c>
      <c r="C117" s="1" t="n">
        <v>45572</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13356-2020</t>
        </is>
      </c>
      <c r="B118" s="1" t="n">
        <v>43902</v>
      </c>
      <c r="C118" s="1" t="n">
        <v>45572</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13352-2020</t>
        </is>
      </c>
      <c r="B119" s="1" t="n">
        <v>43902</v>
      </c>
      <c r="C119" s="1" t="n">
        <v>45572</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15165-2020</t>
        </is>
      </c>
      <c r="B120" s="1" t="n">
        <v>43912</v>
      </c>
      <c r="C120" s="1" t="n">
        <v>45572</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16288-2020</t>
        </is>
      </c>
      <c r="B121" s="1" t="n">
        <v>43917</v>
      </c>
      <c r="C121" s="1" t="n">
        <v>45572</v>
      </c>
      <c r="D121" t="inlineStr">
        <is>
          <t>DALARNAS LÄN</t>
        </is>
      </c>
      <c r="E121" t="inlineStr">
        <is>
          <t>LEKSAND</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18803-2020</t>
        </is>
      </c>
      <c r="B122" s="1" t="n">
        <v>43933</v>
      </c>
      <c r="C122" s="1" t="n">
        <v>45572</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19361-2020</t>
        </is>
      </c>
      <c r="B123" s="1" t="n">
        <v>43938</v>
      </c>
      <c r="C123" s="1" t="n">
        <v>45572</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21141-2020</t>
        </is>
      </c>
      <c r="B124" s="1" t="n">
        <v>43951</v>
      </c>
      <c r="C124" s="1" t="n">
        <v>45572</v>
      </c>
      <c r="D124" t="inlineStr">
        <is>
          <t>DALARNAS LÄN</t>
        </is>
      </c>
      <c r="E124" t="inlineStr">
        <is>
          <t>LEKSAND</t>
        </is>
      </c>
      <c r="F124" t="inlineStr">
        <is>
          <t>Bergvik skog väst AB</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22718-2020</t>
        </is>
      </c>
      <c r="B125" s="1" t="n">
        <v>43964</v>
      </c>
      <c r="C125" s="1" t="n">
        <v>45572</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24207-2020</t>
        </is>
      </c>
      <c r="B126" s="1" t="n">
        <v>43973</v>
      </c>
      <c r="C126" s="1" t="n">
        <v>45572</v>
      </c>
      <c r="D126" t="inlineStr">
        <is>
          <t>DALARNAS LÄN</t>
        </is>
      </c>
      <c r="E126" t="inlineStr">
        <is>
          <t>LEKSAND</t>
        </is>
      </c>
      <c r="G126" t="n">
        <v>2.2</v>
      </c>
      <c r="H126" t="n">
        <v>0</v>
      </c>
      <c r="I126" t="n">
        <v>0</v>
      </c>
      <c r="J126" t="n">
        <v>0</v>
      </c>
      <c r="K126" t="n">
        <v>0</v>
      </c>
      <c r="L126" t="n">
        <v>0</v>
      </c>
      <c r="M126" t="n">
        <v>0</v>
      </c>
      <c r="N126" t="n">
        <v>0</v>
      </c>
      <c r="O126" t="n">
        <v>0</v>
      </c>
      <c r="P126" t="n">
        <v>0</v>
      </c>
      <c r="Q126" t="n">
        <v>0</v>
      </c>
      <c r="R126" s="2" t="inlineStr"/>
    </row>
    <row r="127" ht="15" customHeight="1">
      <c r="A127" t="inlineStr">
        <is>
          <t>A 25156-2020</t>
        </is>
      </c>
      <c r="B127" s="1" t="n">
        <v>43978</v>
      </c>
      <c r="C127" s="1" t="n">
        <v>45572</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25720-2020</t>
        </is>
      </c>
      <c r="B128" s="1" t="n">
        <v>43984</v>
      </c>
      <c r="C128" s="1" t="n">
        <v>45572</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25989-2020</t>
        </is>
      </c>
      <c r="B129" s="1" t="n">
        <v>43985</v>
      </c>
      <c r="C129" s="1" t="n">
        <v>45572</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26456-2020</t>
        </is>
      </c>
      <c r="B130" s="1" t="n">
        <v>43986</v>
      </c>
      <c r="C130" s="1" t="n">
        <v>45572</v>
      </c>
      <c r="D130" t="inlineStr">
        <is>
          <t>DALARNAS LÄN</t>
        </is>
      </c>
      <c r="E130" t="inlineStr">
        <is>
          <t>LEKSAND</t>
        </is>
      </c>
      <c r="G130" t="n">
        <v>2.9</v>
      </c>
      <c r="H130" t="n">
        <v>0</v>
      </c>
      <c r="I130" t="n">
        <v>0</v>
      </c>
      <c r="J130" t="n">
        <v>0</v>
      </c>
      <c r="K130" t="n">
        <v>0</v>
      </c>
      <c r="L130" t="n">
        <v>0</v>
      </c>
      <c r="M130" t="n">
        <v>0</v>
      </c>
      <c r="N130" t="n">
        <v>0</v>
      </c>
      <c r="O130" t="n">
        <v>0</v>
      </c>
      <c r="P130" t="n">
        <v>0</v>
      </c>
      <c r="Q130" t="n">
        <v>0</v>
      </c>
      <c r="R130" s="2" t="inlineStr"/>
    </row>
    <row r="131" ht="15" customHeight="1">
      <c r="A131" t="inlineStr">
        <is>
          <t>A 26560-2020</t>
        </is>
      </c>
      <c r="B131" s="1" t="n">
        <v>43987</v>
      </c>
      <c r="C131" s="1" t="n">
        <v>45572</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28161-2020</t>
        </is>
      </c>
      <c r="B132" s="1" t="n">
        <v>43997</v>
      </c>
      <c r="C132" s="1" t="n">
        <v>45572</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28796-2020</t>
        </is>
      </c>
      <c r="B133" s="1" t="n">
        <v>44000</v>
      </c>
      <c r="C133" s="1" t="n">
        <v>45572</v>
      </c>
      <c r="D133" t="inlineStr">
        <is>
          <t>DALARNAS LÄN</t>
        </is>
      </c>
      <c r="E133" t="inlineStr">
        <is>
          <t>LEKSAND</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29089-2020</t>
        </is>
      </c>
      <c r="B134" s="1" t="n">
        <v>44002</v>
      </c>
      <c r="C134" s="1" t="n">
        <v>45572</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29088-2020</t>
        </is>
      </c>
      <c r="B135" s="1" t="n">
        <v>44002</v>
      </c>
      <c r="C135" s="1" t="n">
        <v>45572</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29672-2020</t>
        </is>
      </c>
      <c r="B136" s="1" t="n">
        <v>44005</v>
      </c>
      <c r="C136" s="1" t="n">
        <v>45572</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31629-2020</t>
        </is>
      </c>
      <c r="B137" s="1" t="n">
        <v>44013</v>
      </c>
      <c r="C137" s="1" t="n">
        <v>45572</v>
      </c>
      <c r="D137" t="inlineStr">
        <is>
          <t>DALARNAS LÄN</t>
        </is>
      </c>
      <c r="E137" t="inlineStr">
        <is>
          <t>LEKSAND</t>
        </is>
      </c>
      <c r="G137" t="n">
        <v>5.4</v>
      </c>
      <c r="H137" t="n">
        <v>0</v>
      </c>
      <c r="I137" t="n">
        <v>0</v>
      </c>
      <c r="J137" t="n">
        <v>0</v>
      </c>
      <c r="K137" t="n">
        <v>0</v>
      </c>
      <c r="L137" t="n">
        <v>0</v>
      </c>
      <c r="M137" t="n">
        <v>0</v>
      </c>
      <c r="N137" t="n">
        <v>0</v>
      </c>
      <c r="O137" t="n">
        <v>0</v>
      </c>
      <c r="P137" t="n">
        <v>0</v>
      </c>
      <c r="Q137" t="n">
        <v>0</v>
      </c>
      <c r="R137" s="2" t="inlineStr"/>
    </row>
    <row r="138" ht="15" customHeight="1">
      <c r="A138" t="inlineStr">
        <is>
          <t>A 37568-2020</t>
        </is>
      </c>
      <c r="B138" s="1" t="n">
        <v>44056</v>
      </c>
      <c r="C138" s="1" t="n">
        <v>45572</v>
      </c>
      <c r="D138" t="inlineStr">
        <is>
          <t>DALARNAS LÄN</t>
        </is>
      </c>
      <c r="E138" t="inlineStr">
        <is>
          <t>LEKSAND</t>
        </is>
      </c>
      <c r="G138" t="n">
        <v>3.4</v>
      </c>
      <c r="H138" t="n">
        <v>0</v>
      </c>
      <c r="I138" t="n">
        <v>0</v>
      </c>
      <c r="J138" t="n">
        <v>0</v>
      </c>
      <c r="K138" t="n">
        <v>0</v>
      </c>
      <c r="L138" t="n">
        <v>0</v>
      </c>
      <c r="M138" t="n">
        <v>0</v>
      </c>
      <c r="N138" t="n">
        <v>0</v>
      </c>
      <c r="O138" t="n">
        <v>0</v>
      </c>
      <c r="P138" t="n">
        <v>0</v>
      </c>
      <c r="Q138" t="n">
        <v>0</v>
      </c>
      <c r="R138" s="2" t="inlineStr"/>
    </row>
    <row r="139" ht="15" customHeight="1">
      <c r="A139" t="inlineStr">
        <is>
          <t>A 41093-2020</t>
        </is>
      </c>
      <c r="B139" s="1" t="n">
        <v>44071</v>
      </c>
      <c r="C139" s="1" t="n">
        <v>45572</v>
      </c>
      <c r="D139" t="inlineStr">
        <is>
          <t>DALARNAS LÄN</t>
        </is>
      </c>
      <c r="E139" t="inlineStr">
        <is>
          <t>LEKSAND</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41200-2020</t>
        </is>
      </c>
      <c r="B140" s="1" t="n">
        <v>44071</v>
      </c>
      <c r="C140" s="1" t="n">
        <v>45572</v>
      </c>
      <c r="D140" t="inlineStr">
        <is>
          <t>DALARNAS LÄN</t>
        </is>
      </c>
      <c r="E140" t="inlineStr">
        <is>
          <t>LEKSAND</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41432-2020</t>
        </is>
      </c>
      <c r="B141" s="1" t="n">
        <v>44073</v>
      </c>
      <c r="C141" s="1" t="n">
        <v>45572</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42890-2020</t>
        </is>
      </c>
      <c r="B142" s="1" t="n">
        <v>44078</v>
      </c>
      <c r="C142" s="1" t="n">
        <v>45572</v>
      </c>
      <c r="D142" t="inlineStr">
        <is>
          <t>DALARNAS LÄN</t>
        </is>
      </c>
      <c r="E142" t="inlineStr">
        <is>
          <t>LEKSAND</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44665-2020</t>
        </is>
      </c>
      <c r="B143" s="1" t="n">
        <v>44085</v>
      </c>
      <c r="C143" s="1" t="n">
        <v>45572</v>
      </c>
      <c r="D143" t="inlineStr">
        <is>
          <t>DALARNAS LÄN</t>
        </is>
      </c>
      <c r="E143" t="inlineStr">
        <is>
          <t>LEKSAND</t>
        </is>
      </c>
      <c r="F143" t="inlineStr">
        <is>
          <t>Bergvik skog väst AB</t>
        </is>
      </c>
      <c r="G143" t="n">
        <v>5.1</v>
      </c>
      <c r="H143" t="n">
        <v>0</v>
      </c>
      <c r="I143" t="n">
        <v>0</v>
      </c>
      <c r="J143" t="n">
        <v>0</v>
      </c>
      <c r="K143" t="n">
        <v>0</v>
      </c>
      <c r="L143" t="n">
        <v>0</v>
      </c>
      <c r="M143" t="n">
        <v>0</v>
      </c>
      <c r="N143" t="n">
        <v>0</v>
      </c>
      <c r="O143" t="n">
        <v>0</v>
      </c>
      <c r="P143" t="n">
        <v>0</v>
      </c>
      <c r="Q143" t="n">
        <v>0</v>
      </c>
      <c r="R143" s="2" t="inlineStr"/>
    </row>
    <row r="144" ht="15" customHeight="1">
      <c r="A144" t="inlineStr">
        <is>
          <t>A 45995-2020</t>
        </is>
      </c>
      <c r="B144" s="1" t="n">
        <v>44088</v>
      </c>
      <c r="C144" s="1" t="n">
        <v>45572</v>
      </c>
      <c r="D144" t="inlineStr">
        <is>
          <t>DALARNAS LÄN</t>
        </is>
      </c>
      <c r="E144" t="inlineStr">
        <is>
          <t>LEKSAND</t>
        </is>
      </c>
      <c r="G144" t="n">
        <v>7.8</v>
      </c>
      <c r="H144" t="n">
        <v>0</v>
      </c>
      <c r="I144" t="n">
        <v>0</v>
      </c>
      <c r="J144" t="n">
        <v>0</v>
      </c>
      <c r="K144" t="n">
        <v>0</v>
      </c>
      <c r="L144" t="n">
        <v>0</v>
      </c>
      <c r="M144" t="n">
        <v>0</v>
      </c>
      <c r="N144" t="n">
        <v>0</v>
      </c>
      <c r="O144" t="n">
        <v>0</v>
      </c>
      <c r="P144" t="n">
        <v>0</v>
      </c>
      <c r="Q144" t="n">
        <v>0</v>
      </c>
      <c r="R144" s="2" t="inlineStr"/>
    </row>
    <row r="145" ht="15" customHeight="1">
      <c r="A145" t="inlineStr">
        <is>
          <t>A 45950-2020</t>
        </is>
      </c>
      <c r="B145" s="1" t="n">
        <v>44088</v>
      </c>
      <c r="C145" s="1" t="n">
        <v>45572</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45991-2020</t>
        </is>
      </c>
      <c r="B146" s="1" t="n">
        <v>44088</v>
      </c>
      <c r="C146" s="1" t="n">
        <v>45572</v>
      </c>
      <c r="D146" t="inlineStr">
        <is>
          <t>DALARNAS LÄN</t>
        </is>
      </c>
      <c r="E146" t="inlineStr">
        <is>
          <t>LEKSAND</t>
        </is>
      </c>
      <c r="G146" t="n">
        <v>9.9</v>
      </c>
      <c r="H146" t="n">
        <v>0</v>
      </c>
      <c r="I146" t="n">
        <v>0</v>
      </c>
      <c r="J146" t="n">
        <v>0</v>
      </c>
      <c r="K146" t="n">
        <v>0</v>
      </c>
      <c r="L146" t="n">
        <v>0</v>
      </c>
      <c r="M146" t="n">
        <v>0</v>
      </c>
      <c r="N146" t="n">
        <v>0</v>
      </c>
      <c r="O146" t="n">
        <v>0</v>
      </c>
      <c r="P146" t="n">
        <v>0</v>
      </c>
      <c r="Q146" t="n">
        <v>0</v>
      </c>
      <c r="R146" s="2" t="inlineStr"/>
    </row>
    <row r="147" ht="15" customHeight="1">
      <c r="A147" t="inlineStr">
        <is>
          <t>A 46854-2020</t>
        </is>
      </c>
      <c r="B147" s="1" t="n">
        <v>44090</v>
      </c>
      <c r="C147" s="1" t="n">
        <v>45572</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47004-2020</t>
        </is>
      </c>
      <c r="B148" s="1" t="n">
        <v>44091</v>
      </c>
      <c r="C148" s="1" t="n">
        <v>45572</v>
      </c>
      <c r="D148" t="inlineStr">
        <is>
          <t>DALARNAS LÄN</t>
        </is>
      </c>
      <c r="E148" t="inlineStr">
        <is>
          <t>LEKSAND</t>
        </is>
      </c>
      <c r="G148" t="n">
        <v>3.2</v>
      </c>
      <c r="H148" t="n">
        <v>0</v>
      </c>
      <c r="I148" t="n">
        <v>0</v>
      </c>
      <c r="J148" t="n">
        <v>0</v>
      </c>
      <c r="K148" t="n">
        <v>0</v>
      </c>
      <c r="L148" t="n">
        <v>0</v>
      </c>
      <c r="M148" t="n">
        <v>0</v>
      </c>
      <c r="N148" t="n">
        <v>0</v>
      </c>
      <c r="O148" t="n">
        <v>0</v>
      </c>
      <c r="P148" t="n">
        <v>0</v>
      </c>
      <c r="Q148" t="n">
        <v>0</v>
      </c>
      <c r="R148" s="2" t="inlineStr"/>
    </row>
    <row r="149" ht="15" customHeight="1">
      <c r="A149" t="inlineStr">
        <is>
          <t>A 47069-2020</t>
        </is>
      </c>
      <c r="B149" s="1" t="n">
        <v>44096</v>
      </c>
      <c r="C149" s="1" t="n">
        <v>45572</v>
      </c>
      <c r="D149" t="inlineStr">
        <is>
          <t>DALARNAS LÄN</t>
        </is>
      </c>
      <c r="E149" t="inlineStr">
        <is>
          <t>LEKSAND</t>
        </is>
      </c>
      <c r="G149" t="n">
        <v>5.5</v>
      </c>
      <c r="H149" t="n">
        <v>0</v>
      </c>
      <c r="I149" t="n">
        <v>0</v>
      </c>
      <c r="J149" t="n">
        <v>0</v>
      </c>
      <c r="K149" t="n">
        <v>0</v>
      </c>
      <c r="L149" t="n">
        <v>0</v>
      </c>
      <c r="M149" t="n">
        <v>0</v>
      </c>
      <c r="N149" t="n">
        <v>0</v>
      </c>
      <c r="O149" t="n">
        <v>0</v>
      </c>
      <c r="P149" t="n">
        <v>0</v>
      </c>
      <c r="Q149" t="n">
        <v>0</v>
      </c>
      <c r="R149" s="2" t="inlineStr"/>
    </row>
    <row r="150" ht="15" customHeight="1">
      <c r="A150" t="inlineStr">
        <is>
          <t>A 50123-2020</t>
        </is>
      </c>
      <c r="B150" s="1" t="n">
        <v>44104</v>
      </c>
      <c r="C150" s="1" t="n">
        <v>45572</v>
      </c>
      <c r="D150" t="inlineStr">
        <is>
          <t>DALARNAS LÄN</t>
        </is>
      </c>
      <c r="E150" t="inlineStr">
        <is>
          <t>LEKSAND</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50102-2020</t>
        </is>
      </c>
      <c r="B151" s="1" t="n">
        <v>44104</v>
      </c>
      <c r="C151" s="1" t="n">
        <v>45572</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60920-2020</t>
        </is>
      </c>
      <c r="B152" s="1" t="n">
        <v>44153</v>
      </c>
      <c r="C152" s="1" t="n">
        <v>45572</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60963-2020</t>
        </is>
      </c>
      <c r="B153" s="1" t="n">
        <v>44154</v>
      </c>
      <c r="C153" s="1" t="n">
        <v>45572</v>
      </c>
      <c r="D153" t="inlineStr">
        <is>
          <t>DALARNAS LÄN</t>
        </is>
      </c>
      <c r="E153" t="inlineStr">
        <is>
          <t>LEKSAND</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62118-2020</t>
        </is>
      </c>
      <c r="B154" s="1" t="n">
        <v>44159</v>
      </c>
      <c r="C154" s="1" t="n">
        <v>45572</v>
      </c>
      <c r="D154" t="inlineStr">
        <is>
          <t>DALARNAS LÄN</t>
        </is>
      </c>
      <c r="E154" t="inlineStr">
        <is>
          <t>LEKSAND</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63481-2020</t>
        </is>
      </c>
      <c r="B155" s="1" t="n">
        <v>44161</v>
      </c>
      <c r="C155" s="1" t="n">
        <v>45572</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64109-2020</t>
        </is>
      </c>
      <c r="B156" s="1" t="n">
        <v>44167</v>
      </c>
      <c r="C156" s="1" t="n">
        <v>45572</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64449-2020</t>
        </is>
      </c>
      <c r="B157" s="1" t="n">
        <v>44168</v>
      </c>
      <c r="C157" s="1" t="n">
        <v>45572</v>
      </c>
      <c r="D157" t="inlineStr">
        <is>
          <t>DALARNAS LÄN</t>
        </is>
      </c>
      <c r="E157" t="inlineStr">
        <is>
          <t>LEKSAND</t>
        </is>
      </c>
      <c r="G157" t="n">
        <v>1.1</v>
      </c>
      <c r="H157" t="n">
        <v>0</v>
      </c>
      <c r="I157" t="n">
        <v>0</v>
      </c>
      <c r="J157" t="n">
        <v>0</v>
      </c>
      <c r="K157" t="n">
        <v>0</v>
      </c>
      <c r="L157" t="n">
        <v>0</v>
      </c>
      <c r="M157" t="n">
        <v>0</v>
      </c>
      <c r="N157" t="n">
        <v>0</v>
      </c>
      <c r="O157" t="n">
        <v>0</v>
      </c>
      <c r="P157" t="n">
        <v>0</v>
      </c>
      <c r="Q157" t="n">
        <v>0</v>
      </c>
      <c r="R157" s="2" t="inlineStr"/>
    </row>
    <row r="158" ht="15" customHeight="1">
      <c r="A158" t="inlineStr">
        <is>
          <t>A 64876-2020</t>
        </is>
      </c>
      <c r="B158" s="1" t="n">
        <v>44171</v>
      </c>
      <c r="C158" s="1" t="n">
        <v>45572</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65058-2020</t>
        </is>
      </c>
      <c r="B159" s="1" t="n">
        <v>44172</v>
      </c>
      <c r="C159" s="1" t="n">
        <v>45572</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66169-2020</t>
        </is>
      </c>
      <c r="B160" s="1" t="n">
        <v>44174</v>
      </c>
      <c r="C160" s="1" t="n">
        <v>45572</v>
      </c>
      <c r="D160" t="inlineStr">
        <is>
          <t>DALARNAS LÄN</t>
        </is>
      </c>
      <c r="E160" t="inlineStr">
        <is>
          <t>LEKSAND</t>
        </is>
      </c>
      <c r="G160" t="n">
        <v>5.3</v>
      </c>
      <c r="H160" t="n">
        <v>0</v>
      </c>
      <c r="I160" t="n">
        <v>0</v>
      </c>
      <c r="J160" t="n">
        <v>0</v>
      </c>
      <c r="K160" t="n">
        <v>0</v>
      </c>
      <c r="L160" t="n">
        <v>0</v>
      </c>
      <c r="M160" t="n">
        <v>0</v>
      </c>
      <c r="N160" t="n">
        <v>0</v>
      </c>
      <c r="O160" t="n">
        <v>0</v>
      </c>
      <c r="P160" t="n">
        <v>0</v>
      </c>
      <c r="Q160" t="n">
        <v>0</v>
      </c>
      <c r="R160" s="2" t="inlineStr"/>
    </row>
    <row r="161" ht="15" customHeight="1">
      <c r="A161" t="inlineStr">
        <is>
          <t>A 67100-2020</t>
        </is>
      </c>
      <c r="B161" s="1" t="n">
        <v>44179</v>
      </c>
      <c r="C161" s="1" t="n">
        <v>45572</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67307-2020</t>
        </is>
      </c>
      <c r="B162" s="1" t="n">
        <v>44181</v>
      </c>
      <c r="C162" s="1" t="n">
        <v>45572</v>
      </c>
      <c r="D162" t="inlineStr">
        <is>
          <t>DALARNAS LÄN</t>
        </is>
      </c>
      <c r="E162" t="inlineStr">
        <is>
          <t>LEKSAND</t>
        </is>
      </c>
      <c r="G162" t="n">
        <v>5.9</v>
      </c>
      <c r="H162" t="n">
        <v>0</v>
      </c>
      <c r="I162" t="n">
        <v>0</v>
      </c>
      <c r="J162" t="n">
        <v>0</v>
      </c>
      <c r="K162" t="n">
        <v>0</v>
      </c>
      <c r="L162" t="n">
        <v>0</v>
      </c>
      <c r="M162" t="n">
        <v>0</v>
      </c>
      <c r="N162" t="n">
        <v>0</v>
      </c>
      <c r="O162" t="n">
        <v>0</v>
      </c>
      <c r="P162" t="n">
        <v>0</v>
      </c>
      <c r="Q162" t="n">
        <v>0</v>
      </c>
      <c r="R162" s="2" t="inlineStr"/>
    </row>
    <row r="163" ht="15" customHeight="1">
      <c r="A163" t="inlineStr">
        <is>
          <t>A 68058-2020</t>
        </is>
      </c>
      <c r="B163" s="1" t="n">
        <v>44183</v>
      </c>
      <c r="C163" s="1" t="n">
        <v>45572</v>
      </c>
      <c r="D163" t="inlineStr">
        <is>
          <t>DALARNAS LÄN</t>
        </is>
      </c>
      <c r="E163" t="inlineStr">
        <is>
          <t>LEKSAND</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776-2021</t>
        </is>
      </c>
      <c r="B164" s="1" t="n">
        <v>44203</v>
      </c>
      <c r="C164" s="1" t="n">
        <v>45572</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1078-2021</t>
        </is>
      </c>
      <c r="B165" s="1" t="n">
        <v>44207</v>
      </c>
      <c r="C165" s="1" t="n">
        <v>45572</v>
      </c>
      <c r="D165" t="inlineStr">
        <is>
          <t>DALARNAS LÄN</t>
        </is>
      </c>
      <c r="E165" t="inlineStr">
        <is>
          <t>LEKSAND</t>
        </is>
      </c>
      <c r="G165" t="n">
        <v>4.9</v>
      </c>
      <c r="H165" t="n">
        <v>0</v>
      </c>
      <c r="I165" t="n">
        <v>0</v>
      </c>
      <c r="J165" t="n">
        <v>0</v>
      </c>
      <c r="K165" t="n">
        <v>0</v>
      </c>
      <c r="L165" t="n">
        <v>0</v>
      </c>
      <c r="M165" t="n">
        <v>0</v>
      </c>
      <c r="N165" t="n">
        <v>0</v>
      </c>
      <c r="O165" t="n">
        <v>0</v>
      </c>
      <c r="P165" t="n">
        <v>0</v>
      </c>
      <c r="Q165" t="n">
        <v>0</v>
      </c>
      <c r="R165" s="2" t="inlineStr"/>
    </row>
    <row r="166" ht="15" customHeight="1">
      <c r="A166" t="inlineStr">
        <is>
          <t>A 2311-2021</t>
        </is>
      </c>
      <c r="B166" s="1" t="n">
        <v>44213</v>
      </c>
      <c r="C166" s="1" t="n">
        <v>45572</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9131-2021</t>
        </is>
      </c>
      <c r="B167" s="1" t="n">
        <v>44249</v>
      </c>
      <c r="C167" s="1" t="n">
        <v>45572</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9133-2021</t>
        </is>
      </c>
      <c r="B168" s="1" t="n">
        <v>44249</v>
      </c>
      <c r="C168" s="1" t="n">
        <v>45572</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13705-2021</t>
        </is>
      </c>
      <c r="B169" s="1" t="n">
        <v>44274</v>
      </c>
      <c r="C169" s="1" t="n">
        <v>45572</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16231-2021</t>
        </is>
      </c>
      <c r="B170" s="1" t="n">
        <v>44292</v>
      </c>
      <c r="C170" s="1" t="n">
        <v>45572</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17615-2021</t>
        </is>
      </c>
      <c r="B171" s="1" t="n">
        <v>44299</v>
      </c>
      <c r="C171" s="1" t="n">
        <v>45572</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18267-2021</t>
        </is>
      </c>
      <c r="B172" s="1" t="n">
        <v>44305</v>
      </c>
      <c r="C172" s="1" t="n">
        <v>45572</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18706-2021</t>
        </is>
      </c>
      <c r="B173" s="1" t="n">
        <v>44307</v>
      </c>
      <c r="C173" s="1" t="n">
        <v>45572</v>
      </c>
      <c r="D173" t="inlineStr">
        <is>
          <t>DALARNAS LÄN</t>
        </is>
      </c>
      <c r="E173" t="inlineStr">
        <is>
          <t>LEKSAND</t>
        </is>
      </c>
      <c r="G173" t="n">
        <v>3.4</v>
      </c>
      <c r="H173" t="n">
        <v>0</v>
      </c>
      <c r="I173" t="n">
        <v>0</v>
      </c>
      <c r="J173" t="n">
        <v>0</v>
      </c>
      <c r="K173" t="n">
        <v>0</v>
      </c>
      <c r="L173" t="n">
        <v>0</v>
      </c>
      <c r="M173" t="n">
        <v>0</v>
      </c>
      <c r="N173" t="n">
        <v>0</v>
      </c>
      <c r="O173" t="n">
        <v>0</v>
      </c>
      <c r="P173" t="n">
        <v>0</v>
      </c>
      <c r="Q173" t="n">
        <v>0</v>
      </c>
      <c r="R173" s="2" t="inlineStr"/>
    </row>
    <row r="174" ht="15" customHeight="1">
      <c r="A174" t="inlineStr">
        <is>
          <t>A 19677-2021</t>
        </is>
      </c>
      <c r="B174" s="1" t="n">
        <v>44312</v>
      </c>
      <c r="C174" s="1" t="n">
        <v>45572</v>
      </c>
      <c r="D174" t="inlineStr">
        <is>
          <t>DALARNAS LÄN</t>
        </is>
      </c>
      <c r="E174" t="inlineStr">
        <is>
          <t>LEKSAND</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21132-2021</t>
        </is>
      </c>
      <c r="B175" s="1" t="n">
        <v>44319</v>
      </c>
      <c r="C175" s="1" t="n">
        <v>45572</v>
      </c>
      <c r="D175" t="inlineStr">
        <is>
          <t>DALARNAS LÄN</t>
        </is>
      </c>
      <c r="E175" t="inlineStr">
        <is>
          <t>LEKSAND</t>
        </is>
      </c>
      <c r="G175" t="n">
        <v>6.8</v>
      </c>
      <c r="H175" t="n">
        <v>0</v>
      </c>
      <c r="I175" t="n">
        <v>0</v>
      </c>
      <c r="J175" t="n">
        <v>0</v>
      </c>
      <c r="K175" t="n">
        <v>0</v>
      </c>
      <c r="L175" t="n">
        <v>0</v>
      </c>
      <c r="M175" t="n">
        <v>0</v>
      </c>
      <c r="N175" t="n">
        <v>0</v>
      </c>
      <c r="O175" t="n">
        <v>0</v>
      </c>
      <c r="P175" t="n">
        <v>0</v>
      </c>
      <c r="Q175" t="n">
        <v>0</v>
      </c>
      <c r="R175" s="2" t="inlineStr"/>
    </row>
    <row r="176" ht="15" customHeight="1">
      <c r="A176" t="inlineStr">
        <is>
          <t>A 21968-2021</t>
        </is>
      </c>
      <c r="B176" s="1" t="n">
        <v>44323</v>
      </c>
      <c r="C176" s="1" t="n">
        <v>45572</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21969-2021</t>
        </is>
      </c>
      <c r="B177" s="1" t="n">
        <v>44323</v>
      </c>
      <c r="C177" s="1" t="n">
        <v>45572</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21965-2021</t>
        </is>
      </c>
      <c r="B178" s="1" t="n">
        <v>44323</v>
      </c>
      <c r="C178" s="1" t="n">
        <v>45572</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22431-2021</t>
        </is>
      </c>
      <c r="B179" s="1" t="n">
        <v>44326</v>
      </c>
      <c r="C179" s="1" t="n">
        <v>45572</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22703-2021</t>
        </is>
      </c>
      <c r="B180" s="1" t="n">
        <v>44327</v>
      </c>
      <c r="C180" s="1" t="n">
        <v>45572</v>
      </c>
      <c r="D180" t="inlineStr">
        <is>
          <t>DALARNAS LÄN</t>
        </is>
      </c>
      <c r="E180" t="inlineStr">
        <is>
          <t>LEKSAND</t>
        </is>
      </c>
      <c r="F180" t="inlineStr">
        <is>
          <t>Bergvik skog väst AB</t>
        </is>
      </c>
      <c r="G180" t="n">
        <v>3.4</v>
      </c>
      <c r="H180" t="n">
        <v>0</v>
      </c>
      <c r="I180" t="n">
        <v>0</v>
      </c>
      <c r="J180" t="n">
        <v>0</v>
      </c>
      <c r="K180" t="n">
        <v>0</v>
      </c>
      <c r="L180" t="n">
        <v>0</v>
      </c>
      <c r="M180" t="n">
        <v>0</v>
      </c>
      <c r="N180" t="n">
        <v>0</v>
      </c>
      <c r="O180" t="n">
        <v>0</v>
      </c>
      <c r="P180" t="n">
        <v>0</v>
      </c>
      <c r="Q180" t="n">
        <v>0</v>
      </c>
      <c r="R180" s="2" t="inlineStr"/>
      <c r="U180">
        <f>HYPERLINK("https://klasma.github.io/Logging_2029/knärot/A 22703-2021 karta knärot.png", "A 22703-2021")</f>
        <v/>
      </c>
      <c r="V180">
        <f>HYPERLINK("https://klasma.github.io/Logging_2029/klagomål/A 22703-2021 FSC-klagomål.docx", "A 22703-2021")</f>
        <v/>
      </c>
      <c r="W180">
        <f>HYPERLINK("https://klasma.github.io/Logging_2029/klagomålsmail/A 22703-2021 FSC-klagomål mail.docx", "A 22703-2021")</f>
        <v/>
      </c>
      <c r="X180">
        <f>HYPERLINK("https://klasma.github.io/Logging_2029/tillsyn/A 22703-2021 tillsynsbegäran.docx", "A 22703-2021")</f>
        <v/>
      </c>
      <c r="Y180">
        <f>HYPERLINK("https://klasma.github.io/Logging_2029/tillsynsmail/A 22703-2021 tillsynsbegäran mail.docx", "A 22703-2021")</f>
        <v/>
      </c>
    </row>
    <row r="181" ht="15" customHeight="1">
      <c r="A181" t="inlineStr">
        <is>
          <t>A 22684-2021</t>
        </is>
      </c>
      <c r="B181" s="1" t="n">
        <v>44327</v>
      </c>
      <c r="C181" s="1" t="n">
        <v>45572</v>
      </c>
      <c r="D181" t="inlineStr">
        <is>
          <t>DALARNAS LÄN</t>
        </is>
      </c>
      <c r="E181" t="inlineStr">
        <is>
          <t>LEKSAND</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22999-2021</t>
        </is>
      </c>
      <c r="B182" s="1" t="n">
        <v>44328</v>
      </c>
      <c r="C182" s="1" t="n">
        <v>45572</v>
      </c>
      <c r="D182" t="inlineStr">
        <is>
          <t>DALARNAS LÄN</t>
        </is>
      </c>
      <c r="E182" t="inlineStr">
        <is>
          <t>LEKSAND</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23824-2021</t>
        </is>
      </c>
      <c r="B183" s="1" t="n">
        <v>44335</v>
      </c>
      <c r="C183" s="1" t="n">
        <v>45572</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24142-2021</t>
        </is>
      </c>
      <c r="B184" s="1" t="n">
        <v>44336</v>
      </c>
      <c r="C184" s="1" t="n">
        <v>45572</v>
      </c>
      <c r="D184" t="inlineStr">
        <is>
          <t>DALARNAS LÄN</t>
        </is>
      </c>
      <c r="E184" t="inlineStr">
        <is>
          <t>LEKSAND</t>
        </is>
      </c>
      <c r="F184" t="inlineStr">
        <is>
          <t>Bergvik skog väst AB</t>
        </is>
      </c>
      <c r="G184" t="n">
        <v>18.9</v>
      </c>
      <c r="H184" t="n">
        <v>0</v>
      </c>
      <c r="I184" t="n">
        <v>0</v>
      </c>
      <c r="J184" t="n">
        <v>0</v>
      </c>
      <c r="K184" t="n">
        <v>0</v>
      </c>
      <c r="L184" t="n">
        <v>0</v>
      </c>
      <c r="M184" t="n">
        <v>0</v>
      </c>
      <c r="N184" t="n">
        <v>0</v>
      </c>
      <c r="O184" t="n">
        <v>0</v>
      </c>
      <c r="P184" t="n">
        <v>0</v>
      </c>
      <c r="Q184" t="n">
        <v>0</v>
      </c>
      <c r="R184" s="2" t="inlineStr"/>
    </row>
    <row r="185" ht="15" customHeight="1">
      <c r="A185" t="inlineStr">
        <is>
          <t>A 24479-2021</t>
        </is>
      </c>
      <c r="B185" s="1" t="n">
        <v>44337</v>
      </c>
      <c r="C185" s="1" t="n">
        <v>45572</v>
      </c>
      <c r="D185" t="inlineStr">
        <is>
          <t>DALARNAS LÄN</t>
        </is>
      </c>
      <c r="E185" t="inlineStr">
        <is>
          <t>LEKSAND</t>
        </is>
      </c>
      <c r="F185" t="inlineStr">
        <is>
          <t>Bergvik skog väst AB</t>
        </is>
      </c>
      <c r="G185" t="n">
        <v>6.6</v>
      </c>
      <c r="H185" t="n">
        <v>0</v>
      </c>
      <c r="I185" t="n">
        <v>0</v>
      </c>
      <c r="J185" t="n">
        <v>0</v>
      </c>
      <c r="K185" t="n">
        <v>0</v>
      </c>
      <c r="L185" t="n">
        <v>0</v>
      </c>
      <c r="M185" t="n">
        <v>0</v>
      </c>
      <c r="N185" t="n">
        <v>0</v>
      </c>
      <c r="O185" t="n">
        <v>0</v>
      </c>
      <c r="P185" t="n">
        <v>0</v>
      </c>
      <c r="Q185" t="n">
        <v>0</v>
      </c>
      <c r="R185" s="2" t="inlineStr"/>
    </row>
    <row r="186" ht="15" customHeight="1">
      <c r="A186" t="inlineStr">
        <is>
          <t>A 26738-2021</t>
        </is>
      </c>
      <c r="B186" s="1" t="n">
        <v>44349</v>
      </c>
      <c r="C186" s="1" t="n">
        <v>45572</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27154-2021</t>
        </is>
      </c>
      <c r="B187" s="1" t="n">
        <v>44350</v>
      </c>
      <c r="C187" s="1" t="n">
        <v>45572</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27317-2021</t>
        </is>
      </c>
      <c r="B188" s="1" t="n">
        <v>44351</v>
      </c>
      <c r="C188" s="1" t="n">
        <v>45572</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32152-2021</t>
        </is>
      </c>
      <c r="B189" s="1" t="n">
        <v>44371</v>
      </c>
      <c r="C189" s="1" t="n">
        <v>45572</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32635-2021</t>
        </is>
      </c>
      <c r="B190" s="1" t="n">
        <v>44374</v>
      </c>
      <c r="C190" s="1" t="n">
        <v>45572</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33072-2021</t>
        </is>
      </c>
      <c r="B191" s="1" t="n">
        <v>44375</v>
      </c>
      <c r="C191" s="1" t="n">
        <v>45572</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33170-2021</t>
        </is>
      </c>
      <c r="B192" s="1" t="n">
        <v>44376</v>
      </c>
      <c r="C192" s="1" t="n">
        <v>45572</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34869-2021</t>
        </is>
      </c>
      <c r="B193" s="1" t="n">
        <v>44383</v>
      </c>
      <c r="C193" s="1" t="n">
        <v>45572</v>
      </c>
      <c r="D193" t="inlineStr">
        <is>
          <t>DALARNAS LÄN</t>
        </is>
      </c>
      <c r="E193" t="inlineStr">
        <is>
          <t>LEKSAND</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34867-2021</t>
        </is>
      </c>
      <c r="B194" s="1" t="n">
        <v>44383</v>
      </c>
      <c r="C194" s="1" t="n">
        <v>45572</v>
      </c>
      <c r="D194" t="inlineStr">
        <is>
          <t>DALARNAS LÄN</t>
        </is>
      </c>
      <c r="E194" t="inlineStr">
        <is>
          <t>LEKSAND</t>
        </is>
      </c>
      <c r="F194" t="inlineStr">
        <is>
          <t>Bergvik skog väst AB</t>
        </is>
      </c>
      <c r="G194" t="n">
        <v>2.5</v>
      </c>
      <c r="H194" t="n">
        <v>0</v>
      </c>
      <c r="I194" t="n">
        <v>0</v>
      </c>
      <c r="J194" t="n">
        <v>0</v>
      </c>
      <c r="K194" t="n">
        <v>0</v>
      </c>
      <c r="L194" t="n">
        <v>0</v>
      </c>
      <c r="M194" t="n">
        <v>0</v>
      </c>
      <c r="N194" t="n">
        <v>0</v>
      </c>
      <c r="O194" t="n">
        <v>0</v>
      </c>
      <c r="P194" t="n">
        <v>0</v>
      </c>
      <c r="Q194" t="n">
        <v>0</v>
      </c>
      <c r="R194" s="2" t="inlineStr"/>
    </row>
    <row r="195" ht="15" customHeight="1">
      <c r="A195" t="inlineStr">
        <is>
          <t>A 34911-2021</t>
        </is>
      </c>
      <c r="B195" s="1" t="n">
        <v>44383</v>
      </c>
      <c r="C195" s="1" t="n">
        <v>45572</v>
      </c>
      <c r="D195" t="inlineStr">
        <is>
          <t>DALARNAS LÄN</t>
        </is>
      </c>
      <c r="E195" t="inlineStr">
        <is>
          <t>LEKSAND</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36438-2021</t>
        </is>
      </c>
      <c r="B196" s="1" t="n">
        <v>44390</v>
      </c>
      <c r="C196" s="1" t="n">
        <v>45572</v>
      </c>
      <c r="D196" t="inlineStr">
        <is>
          <t>DALARNAS LÄN</t>
        </is>
      </c>
      <c r="E196" t="inlineStr">
        <is>
          <t>LEKSAND</t>
        </is>
      </c>
      <c r="G196" t="n">
        <v>5</v>
      </c>
      <c r="H196" t="n">
        <v>0</v>
      </c>
      <c r="I196" t="n">
        <v>0</v>
      </c>
      <c r="J196" t="n">
        <v>0</v>
      </c>
      <c r="K196" t="n">
        <v>0</v>
      </c>
      <c r="L196" t="n">
        <v>0</v>
      </c>
      <c r="M196" t="n">
        <v>0</v>
      </c>
      <c r="N196" t="n">
        <v>0</v>
      </c>
      <c r="O196" t="n">
        <v>0</v>
      </c>
      <c r="P196" t="n">
        <v>0</v>
      </c>
      <c r="Q196" t="n">
        <v>0</v>
      </c>
      <c r="R196" s="2" t="inlineStr"/>
    </row>
    <row r="197" ht="15" customHeight="1">
      <c r="A197" t="inlineStr">
        <is>
          <t>A 36956-2021</t>
        </is>
      </c>
      <c r="B197" s="1" t="n">
        <v>44393</v>
      </c>
      <c r="C197" s="1" t="n">
        <v>45572</v>
      </c>
      <c r="D197" t="inlineStr">
        <is>
          <t>DALARNAS LÄN</t>
        </is>
      </c>
      <c r="E197" t="inlineStr">
        <is>
          <t>LEKSAND</t>
        </is>
      </c>
      <c r="G197" t="n">
        <v>4.1</v>
      </c>
      <c r="H197" t="n">
        <v>0</v>
      </c>
      <c r="I197" t="n">
        <v>0</v>
      </c>
      <c r="J197" t="n">
        <v>0</v>
      </c>
      <c r="K197" t="n">
        <v>0</v>
      </c>
      <c r="L197" t="n">
        <v>0</v>
      </c>
      <c r="M197" t="n">
        <v>0</v>
      </c>
      <c r="N197" t="n">
        <v>0</v>
      </c>
      <c r="O197" t="n">
        <v>0</v>
      </c>
      <c r="P197" t="n">
        <v>0</v>
      </c>
      <c r="Q197" t="n">
        <v>0</v>
      </c>
      <c r="R197" s="2" t="inlineStr"/>
    </row>
    <row r="198" ht="15" customHeight="1">
      <c r="A198" t="inlineStr">
        <is>
          <t>A 37073-2021</t>
        </is>
      </c>
      <c r="B198" s="1" t="n">
        <v>44394</v>
      </c>
      <c r="C198" s="1" t="n">
        <v>45572</v>
      </c>
      <c r="D198" t="inlineStr">
        <is>
          <t>DALARNAS LÄN</t>
        </is>
      </c>
      <c r="E198" t="inlineStr">
        <is>
          <t>LEKSAND</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37283-2021</t>
        </is>
      </c>
      <c r="B199" s="1" t="n">
        <v>44397</v>
      </c>
      <c r="C199" s="1" t="n">
        <v>45572</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37531-2021</t>
        </is>
      </c>
      <c r="B200" s="1" t="n">
        <v>44399</v>
      </c>
      <c r="C200" s="1" t="n">
        <v>45572</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38192-2021</t>
        </is>
      </c>
      <c r="B201" s="1" t="n">
        <v>44405</v>
      </c>
      <c r="C201" s="1" t="n">
        <v>45572</v>
      </c>
      <c r="D201" t="inlineStr">
        <is>
          <t>DALARNAS LÄN</t>
        </is>
      </c>
      <c r="E201" t="inlineStr">
        <is>
          <t>LEKSAND</t>
        </is>
      </c>
      <c r="G201" t="n">
        <v>2</v>
      </c>
      <c r="H201" t="n">
        <v>0</v>
      </c>
      <c r="I201" t="n">
        <v>0</v>
      </c>
      <c r="J201" t="n">
        <v>0</v>
      </c>
      <c r="K201" t="n">
        <v>0</v>
      </c>
      <c r="L201" t="n">
        <v>0</v>
      </c>
      <c r="M201" t="n">
        <v>0</v>
      </c>
      <c r="N201" t="n">
        <v>0</v>
      </c>
      <c r="O201" t="n">
        <v>0</v>
      </c>
      <c r="P201" t="n">
        <v>0</v>
      </c>
      <c r="Q201" t="n">
        <v>0</v>
      </c>
      <c r="R201" s="2" t="inlineStr"/>
    </row>
    <row r="202" ht="15" customHeight="1">
      <c r="A202" t="inlineStr">
        <is>
          <t>A 38619-2021</t>
        </is>
      </c>
      <c r="B202" s="1" t="n">
        <v>44409</v>
      </c>
      <c r="C202" s="1" t="n">
        <v>45572</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39203-2021</t>
        </is>
      </c>
      <c r="B203" s="1" t="n">
        <v>44413</v>
      </c>
      <c r="C203" s="1" t="n">
        <v>45572</v>
      </c>
      <c r="D203" t="inlineStr">
        <is>
          <t>DALARNAS LÄN</t>
        </is>
      </c>
      <c r="E203" t="inlineStr">
        <is>
          <t>LEKSAND</t>
        </is>
      </c>
      <c r="G203" t="n">
        <v>5</v>
      </c>
      <c r="H203" t="n">
        <v>0</v>
      </c>
      <c r="I203" t="n">
        <v>0</v>
      </c>
      <c r="J203" t="n">
        <v>0</v>
      </c>
      <c r="K203" t="n">
        <v>0</v>
      </c>
      <c r="L203" t="n">
        <v>0</v>
      </c>
      <c r="M203" t="n">
        <v>0</v>
      </c>
      <c r="N203" t="n">
        <v>0</v>
      </c>
      <c r="O203" t="n">
        <v>0</v>
      </c>
      <c r="P203" t="n">
        <v>0</v>
      </c>
      <c r="Q203" t="n">
        <v>0</v>
      </c>
      <c r="R203" s="2" t="inlineStr"/>
    </row>
    <row r="204" ht="15" customHeight="1">
      <c r="A204" t="inlineStr">
        <is>
          <t>A 40584-2021</t>
        </is>
      </c>
      <c r="B204" s="1" t="n">
        <v>44420</v>
      </c>
      <c r="C204" s="1" t="n">
        <v>45572</v>
      </c>
      <c r="D204" t="inlineStr">
        <is>
          <t>DALARNAS LÄN</t>
        </is>
      </c>
      <c r="E204" t="inlineStr">
        <is>
          <t>LEKSAND</t>
        </is>
      </c>
      <c r="G204" t="n">
        <v>6</v>
      </c>
      <c r="H204" t="n">
        <v>0</v>
      </c>
      <c r="I204" t="n">
        <v>0</v>
      </c>
      <c r="J204" t="n">
        <v>0</v>
      </c>
      <c r="K204" t="n">
        <v>0</v>
      </c>
      <c r="L204" t="n">
        <v>0</v>
      </c>
      <c r="M204" t="n">
        <v>0</v>
      </c>
      <c r="N204" t="n">
        <v>0</v>
      </c>
      <c r="O204" t="n">
        <v>0</v>
      </c>
      <c r="P204" t="n">
        <v>0</v>
      </c>
      <c r="Q204" t="n">
        <v>0</v>
      </c>
      <c r="R204" s="2" t="inlineStr"/>
    </row>
    <row r="205" ht="15" customHeight="1">
      <c r="A205" t="inlineStr">
        <is>
          <t>A 42952-2021</t>
        </is>
      </c>
      <c r="B205" s="1" t="n">
        <v>44431</v>
      </c>
      <c r="C205" s="1" t="n">
        <v>45572</v>
      </c>
      <c r="D205" t="inlineStr">
        <is>
          <t>DALARNAS LÄN</t>
        </is>
      </c>
      <c r="E205" t="inlineStr">
        <is>
          <t>LEKSAND</t>
        </is>
      </c>
      <c r="G205" t="n">
        <v>5.4</v>
      </c>
      <c r="H205" t="n">
        <v>0</v>
      </c>
      <c r="I205" t="n">
        <v>0</v>
      </c>
      <c r="J205" t="n">
        <v>0</v>
      </c>
      <c r="K205" t="n">
        <v>0</v>
      </c>
      <c r="L205" t="n">
        <v>0</v>
      </c>
      <c r="M205" t="n">
        <v>0</v>
      </c>
      <c r="N205" t="n">
        <v>0</v>
      </c>
      <c r="O205" t="n">
        <v>0</v>
      </c>
      <c r="P205" t="n">
        <v>0</v>
      </c>
      <c r="Q205" t="n">
        <v>0</v>
      </c>
      <c r="R205" s="2" t="inlineStr"/>
    </row>
    <row r="206" ht="15" customHeight="1">
      <c r="A206" t="inlineStr">
        <is>
          <t>A 43410-2021</t>
        </is>
      </c>
      <c r="B206" s="1" t="n">
        <v>44432</v>
      </c>
      <c r="C206" s="1" t="n">
        <v>45572</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44922-2021</t>
        </is>
      </c>
      <c r="B207" s="1" t="n">
        <v>44438</v>
      </c>
      <c r="C207" s="1" t="n">
        <v>45572</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45155-2021</t>
        </is>
      </c>
      <c r="B208" s="1" t="n">
        <v>44439</v>
      </c>
      <c r="C208" s="1" t="n">
        <v>45572</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45788-2021</t>
        </is>
      </c>
      <c r="B209" s="1" t="n">
        <v>44441</v>
      </c>
      <c r="C209" s="1" t="n">
        <v>45572</v>
      </c>
      <c r="D209" t="inlineStr">
        <is>
          <t>DALARNAS LÄN</t>
        </is>
      </c>
      <c r="E209" t="inlineStr">
        <is>
          <t>LEKSAND</t>
        </is>
      </c>
      <c r="G209" t="n">
        <v>3</v>
      </c>
      <c r="H209" t="n">
        <v>0</v>
      </c>
      <c r="I209" t="n">
        <v>0</v>
      </c>
      <c r="J209" t="n">
        <v>0</v>
      </c>
      <c r="K209" t="n">
        <v>0</v>
      </c>
      <c r="L209" t="n">
        <v>0</v>
      </c>
      <c r="M209" t="n">
        <v>0</v>
      </c>
      <c r="N209" t="n">
        <v>0</v>
      </c>
      <c r="O209" t="n">
        <v>0</v>
      </c>
      <c r="P209" t="n">
        <v>0</v>
      </c>
      <c r="Q209" t="n">
        <v>0</v>
      </c>
      <c r="R209" s="2" t="inlineStr"/>
    </row>
    <row r="210" ht="15" customHeight="1">
      <c r="A210" t="inlineStr">
        <is>
          <t>A 47121-2021</t>
        </is>
      </c>
      <c r="B210" s="1" t="n">
        <v>44446</v>
      </c>
      <c r="C210" s="1" t="n">
        <v>45572</v>
      </c>
      <c r="D210" t="inlineStr">
        <is>
          <t>DALARNAS LÄN</t>
        </is>
      </c>
      <c r="E210" t="inlineStr">
        <is>
          <t>LEKSAND</t>
        </is>
      </c>
      <c r="G210" t="n">
        <v>3.5</v>
      </c>
      <c r="H210" t="n">
        <v>0</v>
      </c>
      <c r="I210" t="n">
        <v>0</v>
      </c>
      <c r="J210" t="n">
        <v>0</v>
      </c>
      <c r="K210" t="n">
        <v>0</v>
      </c>
      <c r="L210" t="n">
        <v>0</v>
      </c>
      <c r="M210" t="n">
        <v>0</v>
      </c>
      <c r="N210" t="n">
        <v>0</v>
      </c>
      <c r="O210" t="n">
        <v>0</v>
      </c>
      <c r="P210" t="n">
        <v>0</v>
      </c>
      <c r="Q210" t="n">
        <v>0</v>
      </c>
      <c r="R210" s="2" t="inlineStr"/>
    </row>
    <row r="211" ht="15" customHeight="1">
      <c r="A211" t="inlineStr">
        <is>
          <t>A 48949-2021</t>
        </is>
      </c>
      <c r="B211" s="1" t="n">
        <v>44453</v>
      </c>
      <c r="C211" s="1" t="n">
        <v>45572</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53625-2021</t>
        </is>
      </c>
      <c r="B212" s="1" t="n">
        <v>44469</v>
      </c>
      <c r="C212" s="1" t="n">
        <v>45572</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56153-2021</t>
        </is>
      </c>
      <c r="B213" s="1" t="n">
        <v>44477</v>
      </c>
      <c r="C213" s="1" t="n">
        <v>45572</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58569-2021</t>
        </is>
      </c>
      <c r="B214" s="1" t="n">
        <v>44488</v>
      </c>
      <c r="C214" s="1" t="n">
        <v>45572</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59422-2021</t>
        </is>
      </c>
      <c r="B215" s="1" t="n">
        <v>44491</v>
      </c>
      <c r="C215" s="1" t="n">
        <v>45572</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61546-2021</t>
        </is>
      </c>
      <c r="B216" s="1" t="n">
        <v>44501</v>
      </c>
      <c r="C216" s="1" t="n">
        <v>45572</v>
      </c>
      <c r="D216" t="inlineStr">
        <is>
          <t>DALARNAS LÄN</t>
        </is>
      </c>
      <c r="E216" t="inlineStr">
        <is>
          <t>LEKSAND</t>
        </is>
      </c>
      <c r="G216" t="n">
        <v>3</v>
      </c>
      <c r="H216" t="n">
        <v>0</v>
      </c>
      <c r="I216" t="n">
        <v>0</v>
      </c>
      <c r="J216" t="n">
        <v>0</v>
      </c>
      <c r="K216" t="n">
        <v>0</v>
      </c>
      <c r="L216" t="n">
        <v>0</v>
      </c>
      <c r="M216" t="n">
        <v>0</v>
      </c>
      <c r="N216" t="n">
        <v>0</v>
      </c>
      <c r="O216" t="n">
        <v>0</v>
      </c>
      <c r="P216" t="n">
        <v>0</v>
      </c>
      <c r="Q216" t="n">
        <v>0</v>
      </c>
      <c r="R216" s="2" t="inlineStr"/>
    </row>
    <row r="217" ht="15" customHeight="1">
      <c r="A217" t="inlineStr">
        <is>
          <t>A 61669-2021</t>
        </is>
      </c>
      <c r="B217" s="1" t="n">
        <v>44501</v>
      </c>
      <c r="C217" s="1" t="n">
        <v>45572</v>
      </c>
      <c r="D217" t="inlineStr">
        <is>
          <t>DALARNAS LÄN</t>
        </is>
      </c>
      <c r="E217" t="inlineStr">
        <is>
          <t>LEKSAND</t>
        </is>
      </c>
      <c r="G217" t="n">
        <v>3.6</v>
      </c>
      <c r="H217" t="n">
        <v>0</v>
      </c>
      <c r="I217" t="n">
        <v>0</v>
      </c>
      <c r="J217" t="n">
        <v>0</v>
      </c>
      <c r="K217" t="n">
        <v>0</v>
      </c>
      <c r="L217" t="n">
        <v>0</v>
      </c>
      <c r="M217" t="n">
        <v>0</v>
      </c>
      <c r="N217" t="n">
        <v>0</v>
      </c>
      <c r="O217" t="n">
        <v>0</v>
      </c>
      <c r="P217" t="n">
        <v>0</v>
      </c>
      <c r="Q217" t="n">
        <v>0</v>
      </c>
      <c r="R217" s="2" t="inlineStr"/>
    </row>
    <row r="218" ht="15" customHeight="1">
      <c r="A218" t="inlineStr">
        <is>
          <t>A 61676-2021</t>
        </is>
      </c>
      <c r="B218" s="1" t="n">
        <v>44501</v>
      </c>
      <c r="C218" s="1" t="n">
        <v>45572</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62279-2021</t>
        </is>
      </c>
      <c r="B219" s="1" t="n">
        <v>44503</v>
      </c>
      <c r="C219" s="1" t="n">
        <v>45572</v>
      </c>
      <c r="D219" t="inlineStr">
        <is>
          <t>DALARNAS LÄN</t>
        </is>
      </c>
      <c r="E219" t="inlineStr">
        <is>
          <t>LEKSAND</t>
        </is>
      </c>
      <c r="G219" t="n">
        <v>1.8</v>
      </c>
      <c r="H219" t="n">
        <v>0</v>
      </c>
      <c r="I219" t="n">
        <v>0</v>
      </c>
      <c r="J219" t="n">
        <v>0</v>
      </c>
      <c r="K219" t="n">
        <v>0</v>
      </c>
      <c r="L219" t="n">
        <v>0</v>
      </c>
      <c r="M219" t="n">
        <v>0</v>
      </c>
      <c r="N219" t="n">
        <v>0</v>
      </c>
      <c r="O219" t="n">
        <v>0</v>
      </c>
      <c r="P219" t="n">
        <v>0</v>
      </c>
      <c r="Q219" t="n">
        <v>0</v>
      </c>
      <c r="R219" s="2" t="inlineStr"/>
    </row>
    <row r="220" ht="15" customHeight="1">
      <c r="A220" t="inlineStr">
        <is>
          <t>A 64718-2021</t>
        </is>
      </c>
      <c r="B220" s="1" t="n">
        <v>44512</v>
      </c>
      <c r="C220" s="1" t="n">
        <v>45572</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68573-2021</t>
        </is>
      </c>
      <c r="B221" s="1" t="n">
        <v>44529</v>
      </c>
      <c r="C221" s="1" t="n">
        <v>45572</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68617-2021</t>
        </is>
      </c>
      <c r="B222" s="1" t="n">
        <v>44529</v>
      </c>
      <c r="C222" s="1" t="n">
        <v>45572</v>
      </c>
      <c r="D222" t="inlineStr">
        <is>
          <t>DALARNAS LÄN</t>
        </is>
      </c>
      <c r="E222" t="inlineStr">
        <is>
          <t>LEKSAND</t>
        </is>
      </c>
      <c r="G222" t="n">
        <v>0.4</v>
      </c>
      <c r="H222" t="n">
        <v>0</v>
      </c>
      <c r="I222" t="n">
        <v>0</v>
      </c>
      <c r="J222" t="n">
        <v>0</v>
      </c>
      <c r="K222" t="n">
        <v>0</v>
      </c>
      <c r="L222" t="n">
        <v>0</v>
      </c>
      <c r="M222" t="n">
        <v>0</v>
      </c>
      <c r="N222" t="n">
        <v>0</v>
      </c>
      <c r="O222" t="n">
        <v>0</v>
      </c>
      <c r="P222" t="n">
        <v>0</v>
      </c>
      <c r="Q222" t="n">
        <v>0</v>
      </c>
      <c r="R222" s="2" t="inlineStr"/>
    </row>
    <row r="223" ht="15" customHeight="1">
      <c r="A223" t="inlineStr">
        <is>
          <t>A 69525-2021</t>
        </is>
      </c>
      <c r="B223" s="1" t="n">
        <v>44531</v>
      </c>
      <c r="C223" s="1" t="n">
        <v>45572</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70098-2021</t>
        </is>
      </c>
      <c r="B224" s="1" t="n">
        <v>44533</v>
      </c>
      <c r="C224" s="1" t="n">
        <v>45572</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70099-2021</t>
        </is>
      </c>
      <c r="B225" s="1" t="n">
        <v>44533</v>
      </c>
      <c r="C225" s="1" t="n">
        <v>45572</v>
      </c>
      <c r="D225" t="inlineStr">
        <is>
          <t>DALARNAS LÄN</t>
        </is>
      </c>
      <c r="E225" t="inlineStr">
        <is>
          <t>LEKSAND</t>
        </is>
      </c>
      <c r="G225" t="n">
        <v>2.8</v>
      </c>
      <c r="H225" t="n">
        <v>0</v>
      </c>
      <c r="I225" t="n">
        <v>0</v>
      </c>
      <c r="J225" t="n">
        <v>0</v>
      </c>
      <c r="K225" t="n">
        <v>0</v>
      </c>
      <c r="L225" t="n">
        <v>0</v>
      </c>
      <c r="M225" t="n">
        <v>0</v>
      </c>
      <c r="N225" t="n">
        <v>0</v>
      </c>
      <c r="O225" t="n">
        <v>0</v>
      </c>
      <c r="P225" t="n">
        <v>0</v>
      </c>
      <c r="Q225" t="n">
        <v>0</v>
      </c>
      <c r="R225" s="2" t="inlineStr"/>
    </row>
    <row r="226" ht="15" customHeight="1">
      <c r="A226" t="inlineStr">
        <is>
          <t>A 70026-2021</t>
        </is>
      </c>
      <c r="B226" s="1" t="n">
        <v>44533</v>
      </c>
      <c r="C226" s="1" t="n">
        <v>45572</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70296-2021</t>
        </is>
      </c>
      <c r="B227" s="1" t="n">
        <v>44536</v>
      </c>
      <c r="C227" s="1" t="n">
        <v>45572</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70451-2021</t>
        </is>
      </c>
      <c r="B228" s="1" t="n">
        <v>44536</v>
      </c>
      <c r="C228" s="1" t="n">
        <v>45572</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71311-2021</t>
        </is>
      </c>
      <c r="B229" s="1" t="n">
        <v>44539</v>
      </c>
      <c r="C229" s="1" t="n">
        <v>45572</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71754-2021</t>
        </is>
      </c>
      <c r="B230" s="1" t="n">
        <v>44543</v>
      </c>
      <c r="C230" s="1" t="n">
        <v>45572</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71817-2021</t>
        </is>
      </c>
      <c r="B231" s="1" t="n">
        <v>44543</v>
      </c>
      <c r="C231" s="1" t="n">
        <v>45572</v>
      </c>
      <c r="D231" t="inlineStr">
        <is>
          <t>DALARNAS LÄN</t>
        </is>
      </c>
      <c r="E231" t="inlineStr">
        <is>
          <t>LEKSAND</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72155-2021</t>
        </is>
      </c>
      <c r="B232" s="1" t="n">
        <v>44543</v>
      </c>
      <c r="C232" s="1" t="n">
        <v>45572</v>
      </c>
      <c r="D232" t="inlineStr">
        <is>
          <t>DALARNAS LÄN</t>
        </is>
      </c>
      <c r="E232" t="inlineStr">
        <is>
          <t>LEKSAND</t>
        </is>
      </c>
      <c r="G232" t="n">
        <v>2.5</v>
      </c>
      <c r="H232" t="n">
        <v>0</v>
      </c>
      <c r="I232" t="n">
        <v>0</v>
      </c>
      <c r="J232" t="n">
        <v>0</v>
      </c>
      <c r="K232" t="n">
        <v>0</v>
      </c>
      <c r="L232" t="n">
        <v>0</v>
      </c>
      <c r="M232" t="n">
        <v>0</v>
      </c>
      <c r="N232" t="n">
        <v>0</v>
      </c>
      <c r="O232" t="n">
        <v>0</v>
      </c>
      <c r="P232" t="n">
        <v>0</v>
      </c>
      <c r="Q232" t="n">
        <v>0</v>
      </c>
      <c r="R232" s="2" t="inlineStr"/>
    </row>
    <row r="233" ht="15" customHeight="1">
      <c r="A233" t="inlineStr">
        <is>
          <t>A 72000-2021</t>
        </is>
      </c>
      <c r="B233" s="1" t="n">
        <v>44544</v>
      </c>
      <c r="C233" s="1" t="n">
        <v>45572</v>
      </c>
      <c r="D233" t="inlineStr">
        <is>
          <t>DALARNAS LÄN</t>
        </is>
      </c>
      <c r="E233" t="inlineStr">
        <is>
          <t>LEKSAND</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72001-2021</t>
        </is>
      </c>
      <c r="B234" s="1" t="n">
        <v>44544</v>
      </c>
      <c r="C234" s="1" t="n">
        <v>45572</v>
      </c>
      <c r="D234" t="inlineStr">
        <is>
          <t>DALARNAS LÄN</t>
        </is>
      </c>
      <c r="E234" t="inlineStr">
        <is>
          <t>LEKSAND</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72581-2021</t>
        </is>
      </c>
      <c r="B235" s="1" t="n">
        <v>44546</v>
      </c>
      <c r="C235" s="1" t="n">
        <v>45572</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72531-2021</t>
        </is>
      </c>
      <c r="B236" s="1" t="n">
        <v>44546</v>
      </c>
      <c r="C236" s="1" t="n">
        <v>45572</v>
      </c>
      <c r="D236" t="inlineStr">
        <is>
          <t>DALARNAS LÄN</t>
        </is>
      </c>
      <c r="E236" t="inlineStr">
        <is>
          <t>LEKSAND</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72575-2021</t>
        </is>
      </c>
      <c r="B237" s="1" t="n">
        <v>44546</v>
      </c>
      <c r="C237" s="1" t="n">
        <v>45572</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74067-2021</t>
        </is>
      </c>
      <c r="B238" s="1" t="n">
        <v>44553</v>
      </c>
      <c r="C238" s="1" t="n">
        <v>45572</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791-2022</t>
        </is>
      </c>
      <c r="B239" s="1" t="n">
        <v>44570</v>
      </c>
      <c r="C239" s="1" t="n">
        <v>45572</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1775-2022</t>
        </is>
      </c>
      <c r="B240" s="1" t="n">
        <v>44574</v>
      </c>
      <c r="C240" s="1" t="n">
        <v>45572</v>
      </c>
      <c r="D240" t="inlineStr">
        <is>
          <t>DALARNAS LÄN</t>
        </is>
      </c>
      <c r="E240" t="inlineStr">
        <is>
          <t>LEKSAND</t>
        </is>
      </c>
      <c r="G240" t="n">
        <v>2</v>
      </c>
      <c r="H240" t="n">
        <v>0</v>
      </c>
      <c r="I240" t="n">
        <v>0</v>
      </c>
      <c r="J240" t="n">
        <v>0</v>
      </c>
      <c r="K240" t="n">
        <v>0</v>
      </c>
      <c r="L240" t="n">
        <v>0</v>
      </c>
      <c r="M240" t="n">
        <v>0</v>
      </c>
      <c r="N240" t="n">
        <v>0</v>
      </c>
      <c r="O240" t="n">
        <v>0</v>
      </c>
      <c r="P240" t="n">
        <v>0</v>
      </c>
      <c r="Q240" t="n">
        <v>0</v>
      </c>
      <c r="R240" s="2" t="inlineStr"/>
    </row>
    <row r="241" ht="15" customHeight="1">
      <c r="A241" t="inlineStr">
        <is>
          <t>A 2579-2022</t>
        </is>
      </c>
      <c r="B241" s="1" t="n">
        <v>44580</v>
      </c>
      <c r="C241" s="1" t="n">
        <v>45572</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4257-2022</t>
        </is>
      </c>
      <c r="B242" s="1" t="n">
        <v>44588</v>
      </c>
      <c r="C242" s="1" t="n">
        <v>45572</v>
      </c>
      <c r="D242" t="inlineStr">
        <is>
          <t>DALARNAS LÄN</t>
        </is>
      </c>
      <c r="E242" t="inlineStr">
        <is>
          <t>LEKSAND</t>
        </is>
      </c>
      <c r="G242" t="n">
        <v>6.8</v>
      </c>
      <c r="H242" t="n">
        <v>0</v>
      </c>
      <c r="I242" t="n">
        <v>0</v>
      </c>
      <c r="J242" t="n">
        <v>0</v>
      </c>
      <c r="K242" t="n">
        <v>0</v>
      </c>
      <c r="L242" t="n">
        <v>0</v>
      </c>
      <c r="M242" t="n">
        <v>0</v>
      </c>
      <c r="N242" t="n">
        <v>0</v>
      </c>
      <c r="O242" t="n">
        <v>0</v>
      </c>
      <c r="P242" t="n">
        <v>0</v>
      </c>
      <c r="Q242" t="n">
        <v>0</v>
      </c>
      <c r="R242" s="2" t="inlineStr"/>
    </row>
    <row r="243" ht="15" customHeight="1">
      <c r="A243" t="inlineStr">
        <is>
          <t>A 4609-2022</t>
        </is>
      </c>
      <c r="B243" s="1" t="n">
        <v>44592</v>
      </c>
      <c r="C243" s="1" t="n">
        <v>45572</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8501-2022</t>
        </is>
      </c>
      <c r="B244" s="1" t="n">
        <v>44613</v>
      </c>
      <c r="C244" s="1" t="n">
        <v>45572</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v>
      </c>
      <c r="C245" s="1" t="n">
        <v>45572</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11412-2022</t>
        </is>
      </c>
      <c r="B246" s="1" t="n">
        <v>44630</v>
      </c>
      <c r="C246" s="1" t="n">
        <v>45572</v>
      </c>
      <c r="D246" t="inlineStr">
        <is>
          <t>DALARNAS LÄN</t>
        </is>
      </c>
      <c r="E246" t="inlineStr">
        <is>
          <t>LEKSAND</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12992-2022</t>
        </is>
      </c>
      <c r="B247" s="1" t="n">
        <v>44643</v>
      </c>
      <c r="C247" s="1" t="n">
        <v>45572</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14140-2022</t>
        </is>
      </c>
      <c r="B248" s="1" t="n">
        <v>44651</v>
      </c>
      <c r="C248" s="1" t="n">
        <v>45572</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14806-2022</t>
        </is>
      </c>
      <c r="B249" s="1" t="n">
        <v>44656</v>
      </c>
      <c r="C249" s="1" t="n">
        <v>45572</v>
      </c>
      <c r="D249" t="inlineStr">
        <is>
          <t>DALARNAS LÄN</t>
        </is>
      </c>
      <c r="E249" t="inlineStr">
        <is>
          <t>LEKSAND</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16353-2022</t>
        </is>
      </c>
      <c r="B250" s="1" t="n">
        <v>44670</v>
      </c>
      <c r="C250" s="1" t="n">
        <v>45572</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16375-2022</t>
        </is>
      </c>
      <c r="B251" s="1" t="n">
        <v>44671</v>
      </c>
      <c r="C251" s="1" t="n">
        <v>45572</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16976-2022</t>
        </is>
      </c>
      <c r="B252" s="1" t="n">
        <v>44676</v>
      </c>
      <c r="C252" s="1" t="n">
        <v>45572</v>
      </c>
      <c r="D252" t="inlineStr">
        <is>
          <t>DALARNAS LÄN</t>
        </is>
      </c>
      <c r="E252" t="inlineStr">
        <is>
          <t>LEKSAND</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17455-2022</t>
        </is>
      </c>
      <c r="B253" s="1" t="n">
        <v>44679</v>
      </c>
      <c r="C253" s="1" t="n">
        <v>45572</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18140-2022</t>
        </is>
      </c>
      <c r="B254" s="1" t="n">
        <v>44684</v>
      </c>
      <c r="C254" s="1" t="n">
        <v>45572</v>
      </c>
      <c r="D254" t="inlineStr">
        <is>
          <t>DALARNAS LÄN</t>
        </is>
      </c>
      <c r="E254" t="inlineStr">
        <is>
          <t>LEKSAND</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18866-2022</t>
        </is>
      </c>
      <c r="B255" s="1" t="n">
        <v>44690</v>
      </c>
      <c r="C255" s="1" t="n">
        <v>45572</v>
      </c>
      <c r="D255" t="inlineStr">
        <is>
          <t>DALARNAS LÄN</t>
        </is>
      </c>
      <c r="E255" t="inlineStr">
        <is>
          <t>LEKSAND</t>
        </is>
      </c>
      <c r="F255" t="inlineStr">
        <is>
          <t>Övriga Aktiebolag</t>
        </is>
      </c>
      <c r="G255" t="n">
        <v>5.1</v>
      </c>
      <c r="H255" t="n">
        <v>0</v>
      </c>
      <c r="I255" t="n">
        <v>0</v>
      </c>
      <c r="J255" t="n">
        <v>0</v>
      </c>
      <c r="K255" t="n">
        <v>0</v>
      </c>
      <c r="L255" t="n">
        <v>0</v>
      </c>
      <c r="M255" t="n">
        <v>0</v>
      </c>
      <c r="N255" t="n">
        <v>0</v>
      </c>
      <c r="O255" t="n">
        <v>0</v>
      </c>
      <c r="P255" t="n">
        <v>0</v>
      </c>
      <c r="Q255" t="n">
        <v>0</v>
      </c>
      <c r="R255" s="2" t="inlineStr"/>
    </row>
    <row r="256" ht="15" customHeight="1">
      <c r="A256" t="inlineStr">
        <is>
          <t>A 18870-2022</t>
        </is>
      </c>
      <c r="B256" s="1" t="n">
        <v>44690</v>
      </c>
      <c r="C256" s="1" t="n">
        <v>45572</v>
      </c>
      <c r="D256" t="inlineStr">
        <is>
          <t>DALARNAS LÄN</t>
        </is>
      </c>
      <c r="E256" t="inlineStr">
        <is>
          <t>LEKSAND</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19467-2022</t>
        </is>
      </c>
      <c r="B257" s="1" t="n">
        <v>44693</v>
      </c>
      <c r="C257" s="1" t="n">
        <v>45572</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19480-2022</t>
        </is>
      </c>
      <c r="B258" s="1" t="n">
        <v>44693</v>
      </c>
      <c r="C258" s="1" t="n">
        <v>45572</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19993-2022</t>
        </is>
      </c>
      <c r="B259" s="1" t="n">
        <v>44697</v>
      </c>
      <c r="C259" s="1" t="n">
        <v>45572</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20274-2022</t>
        </is>
      </c>
      <c r="B260" s="1" t="n">
        <v>44698</v>
      </c>
      <c r="C260" s="1" t="n">
        <v>45572</v>
      </c>
      <c r="D260" t="inlineStr">
        <is>
          <t>DALARNAS LÄN</t>
        </is>
      </c>
      <c r="E260" t="inlineStr">
        <is>
          <t>LEKSAND</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21565-2022</t>
        </is>
      </c>
      <c r="B261" s="1" t="n">
        <v>44704</v>
      </c>
      <c r="C261" s="1" t="n">
        <v>45572</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21841-2022</t>
        </is>
      </c>
      <c r="B262" s="1" t="n">
        <v>44711</v>
      </c>
      <c r="C262" s="1" t="n">
        <v>45572</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21839-2022</t>
        </is>
      </c>
      <c r="B263" s="1" t="n">
        <v>44711</v>
      </c>
      <c r="C263" s="1" t="n">
        <v>45572</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21840-2022</t>
        </is>
      </c>
      <c r="B264" s="1" t="n">
        <v>44711</v>
      </c>
      <c r="C264" s="1" t="n">
        <v>45572</v>
      </c>
      <c r="D264" t="inlineStr">
        <is>
          <t>DALARNAS LÄN</t>
        </is>
      </c>
      <c r="E264" t="inlineStr">
        <is>
          <t>LEKSAND</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22683-2022</t>
        </is>
      </c>
      <c r="B265" s="1" t="n">
        <v>44714</v>
      </c>
      <c r="C265" s="1" t="n">
        <v>45572</v>
      </c>
      <c r="D265" t="inlineStr">
        <is>
          <t>DALARNAS LÄN</t>
        </is>
      </c>
      <c r="E265" t="inlineStr">
        <is>
          <t>LEKSAND</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22681-2022</t>
        </is>
      </c>
      <c r="B266" s="1" t="n">
        <v>44714</v>
      </c>
      <c r="C266" s="1" t="n">
        <v>45572</v>
      </c>
      <c r="D266" t="inlineStr">
        <is>
          <t>DALARNAS LÄN</t>
        </is>
      </c>
      <c r="E266" t="inlineStr">
        <is>
          <t>LEKSAND</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22684-2022</t>
        </is>
      </c>
      <c r="B267" s="1" t="n">
        <v>44714</v>
      </c>
      <c r="C267" s="1" t="n">
        <v>45572</v>
      </c>
      <c r="D267" t="inlineStr">
        <is>
          <t>DALARNAS LÄN</t>
        </is>
      </c>
      <c r="E267" t="inlineStr">
        <is>
          <t>LEKSAND</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25329-2022</t>
        </is>
      </c>
      <c r="B268" s="1" t="n">
        <v>44731</v>
      </c>
      <c r="C268" s="1" t="n">
        <v>45572</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26289-2022</t>
        </is>
      </c>
      <c r="B269" s="1" t="n">
        <v>44735</v>
      </c>
      <c r="C269" s="1" t="n">
        <v>45572</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26882-2022</t>
        </is>
      </c>
      <c r="B270" s="1" t="n">
        <v>44740</v>
      </c>
      <c r="C270" s="1" t="n">
        <v>45572</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28128-2022</t>
        </is>
      </c>
      <c r="B271" s="1" t="n">
        <v>44746</v>
      </c>
      <c r="C271" s="1" t="n">
        <v>45572</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28911-2022</t>
        </is>
      </c>
      <c r="B272" s="1" t="n">
        <v>44749</v>
      </c>
      <c r="C272" s="1" t="n">
        <v>45572</v>
      </c>
      <c r="D272" t="inlineStr">
        <is>
          <t>DALARNAS LÄN</t>
        </is>
      </c>
      <c r="E272" t="inlineStr">
        <is>
          <t>LEKSAND</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45572</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28912-2022</t>
        </is>
      </c>
      <c r="B274" s="1" t="n">
        <v>44749</v>
      </c>
      <c r="C274" s="1" t="n">
        <v>45572</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29205-2022</t>
        </is>
      </c>
      <c r="B275" s="1" t="n">
        <v>44750</v>
      </c>
      <c r="C275" s="1" t="n">
        <v>45572</v>
      </c>
      <c r="D275" t="inlineStr">
        <is>
          <t>DALARNAS LÄN</t>
        </is>
      </c>
      <c r="E275" t="inlineStr">
        <is>
          <t>LEKSAND</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29157-2022</t>
        </is>
      </c>
      <c r="B276" s="1" t="n">
        <v>44750</v>
      </c>
      <c r="C276" s="1" t="n">
        <v>45572</v>
      </c>
      <c r="D276" t="inlineStr">
        <is>
          <t>DALARNAS LÄN</t>
        </is>
      </c>
      <c r="E276" t="inlineStr">
        <is>
          <t>LEKSAND</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30449-2022</t>
        </is>
      </c>
      <c r="B277" s="1" t="n">
        <v>44761</v>
      </c>
      <c r="C277" s="1" t="n">
        <v>45572</v>
      </c>
      <c r="D277" t="inlineStr">
        <is>
          <t>DALARNAS LÄN</t>
        </is>
      </c>
      <c r="E277" t="inlineStr">
        <is>
          <t>LEKSAND</t>
        </is>
      </c>
      <c r="G277" t="n">
        <v>5.7</v>
      </c>
      <c r="H277" t="n">
        <v>0</v>
      </c>
      <c r="I277" t="n">
        <v>0</v>
      </c>
      <c r="J277" t="n">
        <v>0</v>
      </c>
      <c r="K277" t="n">
        <v>0</v>
      </c>
      <c r="L277" t="n">
        <v>0</v>
      </c>
      <c r="M277" t="n">
        <v>0</v>
      </c>
      <c r="N277" t="n">
        <v>0</v>
      </c>
      <c r="O277" t="n">
        <v>0</v>
      </c>
      <c r="P277" t="n">
        <v>0</v>
      </c>
      <c r="Q277" t="n">
        <v>0</v>
      </c>
      <c r="R277" s="2" t="inlineStr"/>
    </row>
    <row r="278" ht="15" customHeight="1">
      <c r="A278" t="inlineStr">
        <is>
          <t>A 31746-2022</t>
        </is>
      </c>
      <c r="B278" s="1" t="n">
        <v>44776</v>
      </c>
      <c r="C278" s="1" t="n">
        <v>45572</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31871-2022</t>
        </is>
      </c>
      <c r="B279" s="1" t="n">
        <v>44777</v>
      </c>
      <c r="C279" s="1" t="n">
        <v>45572</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32225-2022</t>
        </is>
      </c>
      <c r="B280" s="1" t="n">
        <v>44781</v>
      </c>
      <c r="C280" s="1" t="n">
        <v>45572</v>
      </c>
      <c r="D280" t="inlineStr">
        <is>
          <t>DALARNAS LÄN</t>
        </is>
      </c>
      <c r="E280" t="inlineStr">
        <is>
          <t>LEKSAND</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32476-2022</t>
        </is>
      </c>
      <c r="B281" s="1" t="n">
        <v>44782</v>
      </c>
      <c r="C281" s="1" t="n">
        <v>45572</v>
      </c>
      <c r="D281" t="inlineStr">
        <is>
          <t>DALARNAS LÄN</t>
        </is>
      </c>
      <c r="E281" t="inlineStr">
        <is>
          <t>LEKSAND</t>
        </is>
      </c>
      <c r="G281" t="n">
        <v>5.6</v>
      </c>
      <c r="H281" t="n">
        <v>0</v>
      </c>
      <c r="I281" t="n">
        <v>0</v>
      </c>
      <c r="J281" t="n">
        <v>0</v>
      </c>
      <c r="K281" t="n">
        <v>0</v>
      </c>
      <c r="L281" t="n">
        <v>0</v>
      </c>
      <c r="M281" t="n">
        <v>0</v>
      </c>
      <c r="N281" t="n">
        <v>0</v>
      </c>
      <c r="O281" t="n">
        <v>0</v>
      </c>
      <c r="P281" t="n">
        <v>0</v>
      </c>
      <c r="Q281" t="n">
        <v>0</v>
      </c>
      <c r="R281" s="2" t="inlineStr"/>
    </row>
    <row r="282" ht="15" customHeight="1">
      <c r="A282" t="inlineStr">
        <is>
          <t>A 32791-2022</t>
        </is>
      </c>
      <c r="B282" s="1" t="n">
        <v>44784</v>
      </c>
      <c r="C282" s="1" t="n">
        <v>45572</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33198-2022</t>
        </is>
      </c>
      <c r="B283" s="1" t="n">
        <v>44785</v>
      </c>
      <c r="C283" s="1" t="n">
        <v>45572</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34317-2022</t>
        </is>
      </c>
      <c r="B284" s="1" t="n">
        <v>44792</v>
      </c>
      <c r="C284" s="1" t="n">
        <v>45572</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34482-2022</t>
        </is>
      </c>
      <c r="B285" s="1" t="n">
        <v>44792</v>
      </c>
      <c r="C285" s="1" t="n">
        <v>45572</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35080-2022</t>
        </is>
      </c>
      <c r="B286" s="1" t="n">
        <v>44797</v>
      </c>
      <c r="C286" s="1" t="n">
        <v>45572</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35087-2022</t>
        </is>
      </c>
      <c r="B287" s="1" t="n">
        <v>44797</v>
      </c>
      <c r="C287" s="1" t="n">
        <v>45572</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35801-2022</t>
        </is>
      </c>
      <c r="B288" s="1" t="n">
        <v>44802</v>
      </c>
      <c r="C288" s="1" t="n">
        <v>45572</v>
      </c>
      <c r="D288" t="inlineStr">
        <is>
          <t>DALARNAS LÄN</t>
        </is>
      </c>
      <c r="E288" t="inlineStr">
        <is>
          <t>LEKSAND</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35952-2022</t>
        </is>
      </c>
      <c r="B289" s="1" t="n">
        <v>44802</v>
      </c>
      <c r="C289" s="1" t="n">
        <v>45572</v>
      </c>
      <c r="D289" t="inlineStr">
        <is>
          <t>DALARNAS LÄN</t>
        </is>
      </c>
      <c r="E289" t="inlineStr">
        <is>
          <t>LEKSAND</t>
        </is>
      </c>
      <c r="G289" t="n">
        <v>4.6</v>
      </c>
      <c r="H289" t="n">
        <v>0</v>
      </c>
      <c r="I289" t="n">
        <v>0</v>
      </c>
      <c r="J289" t="n">
        <v>0</v>
      </c>
      <c r="K289" t="n">
        <v>0</v>
      </c>
      <c r="L289" t="n">
        <v>0</v>
      </c>
      <c r="M289" t="n">
        <v>0</v>
      </c>
      <c r="N289" t="n">
        <v>0</v>
      </c>
      <c r="O289" t="n">
        <v>0</v>
      </c>
      <c r="P289" t="n">
        <v>0</v>
      </c>
      <c r="Q289" t="n">
        <v>0</v>
      </c>
      <c r="R289" s="2" t="inlineStr"/>
    </row>
    <row r="290" ht="15" customHeight="1">
      <c r="A290" t="inlineStr">
        <is>
          <t>A 37300-2022</t>
        </is>
      </c>
      <c r="B290" s="1" t="n">
        <v>44808</v>
      </c>
      <c r="C290" s="1" t="n">
        <v>45572</v>
      </c>
      <c r="D290" t="inlineStr">
        <is>
          <t>DALARNAS LÄN</t>
        </is>
      </c>
      <c r="E290" t="inlineStr">
        <is>
          <t>LEKSAND</t>
        </is>
      </c>
      <c r="G290" t="n">
        <v>6.3</v>
      </c>
      <c r="H290" t="n">
        <v>0</v>
      </c>
      <c r="I290" t="n">
        <v>0</v>
      </c>
      <c r="J290" t="n">
        <v>0</v>
      </c>
      <c r="K290" t="n">
        <v>0</v>
      </c>
      <c r="L290" t="n">
        <v>0</v>
      </c>
      <c r="M290" t="n">
        <v>0</v>
      </c>
      <c r="N290" t="n">
        <v>0</v>
      </c>
      <c r="O290" t="n">
        <v>0</v>
      </c>
      <c r="P290" t="n">
        <v>0</v>
      </c>
      <c r="Q290" t="n">
        <v>0</v>
      </c>
      <c r="R290" s="2" t="inlineStr"/>
    </row>
    <row r="291" ht="15" customHeight="1">
      <c r="A291" t="inlineStr">
        <is>
          <t>A 37928-2022</t>
        </is>
      </c>
      <c r="B291" s="1" t="n">
        <v>44811</v>
      </c>
      <c r="C291" s="1" t="n">
        <v>45572</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38236-2022</t>
        </is>
      </c>
      <c r="B292" s="1" t="n">
        <v>44812</v>
      </c>
      <c r="C292" s="1" t="n">
        <v>45572</v>
      </c>
      <c r="D292" t="inlineStr">
        <is>
          <t>DALARNAS LÄN</t>
        </is>
      </c>
      <c r="E292" t="inlineStr">
        <is>
          <t>LEKSAND</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38258-2022</t>
        </is>
      </c>
      <c r="B293" s="1" t="n">
        <v>44812</v>
      </c>
      <c r="C293" s="1" t="n">
        <v>45572</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38764-2022</t>
        </is>
      </c>
      <c r="B294" s="1" t="n">
        <v>44816</v>
      </c>
      <c r="C294" s="1" t="n">
        <v>45572</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39658-2022</t>
        </is>
      </c>
      <c r="B295" s="1" t="n">
        <v>44818</v>
      </c>
      <c r="C295" s="1" t="n">
        <v>45572</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40165-2022</t>
        </is>
      </c>
      <c r="B296" s="1" t="n">
        <v>44820</v>
      </c>
      <c r="C296" s="1" t="n">
        <v>45572</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41351-2022</t>
        </is>
      </c>
      <c r="B297" s="1" t="n">
        <v>44824</v>
      </c>
      <c r="C297" s="1" t="n">
        <v>45572</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43275-2022</t>
        </is>
      </c>
      <c r="B298" s="1" t="n">
        <v>44824</v>
      </c>
      <c r="C298" s="1" t="n">
        <v>45572</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41869-2022</t>
        </is>
      </c>
      <c r="B299" s="1" t="n">
        <v>44829</v>
      </c>
      <c r="C299" s="1" t="n">
        <v>45572</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43300-2022</t>
        </is>
      </c>
      <c r="B300" s="1" t="n">
        <v>44834</v>
      </c>
      <c r="C300" s="1" t="n">
        <v>45572</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43304-2022</t>
        </is>
      </c>
      <c r="B301" s="1" t="n">
        <v>44834</v>
      </c>
      <c r="C301" s="1" t="n">
        <v>45572</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43604-2022</t>
        </is>
      </c>
      <c r="B302" s="1" t="n">
        <v>44837</v>
      </c>
      <c r="C302" s="1" t="n">
        <v>45572</v>
      </c>
      <c r="D302" t="inlineStr">
        <is>
          <t>DALARNAS LÄN</t>
        </is>
      </c>
      <c r="E302" t="inlineStr">
        <is>
          <t>LEKSAND</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43693-2022</t>
        </is>
      </c>
      <c r="B303" s="1" t="n">
        <v>44837</v>
      </c>
      <c r="C303" s="1" t="n">
        <v>45572</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43735-2022</t>
        </is>
      </c>
      <c r="B304" s="1" t="n">
        <v>44837</v>
      </c>
      <c r="C304" s="1" t="n">
        <v>45572</v>
      </c>
      <c r="D304" t="inlineStr">
        <is>
          <t>DALARNAS LÄN</t>
        </is>
      </c>
      <c r="E304" t="inlineStr">
        <is>
          <t>LEKSAND</t>
        </is>
      </c>
      <c r="G304" t="n">
        <v>2.9</v>
      </c>
      <c r="H304" t="n">
        <v>0</v>
      </c>
      <c r="I304" t="n">
        <v>0</v>
      </c>
      <c r="J304" t="n">
        <v>0</v>
      </c>
      <c r="K304" t="n">
        <v>0</v>
      </c>
      <c r="L304" t="n">
        <v>0</v>
      </c>
      <c r="M304" t="n">
        <v>0</v>
      </c>
      <c r="N304" t="n">
        <v>0</v>
      </c>
      <c r="O304" t="n">
        <v>0</v>
      </c>
      <c r="P304" t="n">
        <v>0</v>
      </c>
      <c r="Q304" t="n">
        <v>0</v>
      </c>
      <c r="R304" s="2" t="inlineStr"/>
    </row>
    <row r="305" ht="15" customHeight="1">
      <c r="A305" t="inlineStr">
        <is>
          <t>A 44124-2022</t>
        </is>
      </c>
      <c r="B305" s="1" t="n">
        <v>44839</v>
      </c>
      <c r="C305" s="1" t="n">
        <v>45572</v>
      </c>
      <c r="D305" t="inlineStr">
        <is>
          <t>DALARNAS LÄN</t>
        </is>
      </c>
      <c r="E305" t="inlineStr">
        <is>
          <t>LEKSAND</t>
        </is>
      </c>
      <c r="G305" t="n">
        <v>8</v>
      </c>
      <c r="H305" t="n">
        <v>0</v>
      </c>
      <c r="I305" t="n">
        <v>0</v>
      </c>
      <c r="J305" t="n">
        <v>0</v>
      </c>
      <c r="K305" t="n">
        <v>0</v>
      </c>
      <c r="L305" t="n">
        <v>0</v>
      </c>
      <c r="M305" t="n">
        <v>0</v>
      </c>
      <c r="N305" t="n">
        <v>0</v>
      </c>
      <c r="O305" t="n">
        <v>0</v>
      </c>
      <c r="P305" t="n">
        <v>0</v>
      </c>
      <c r="Q305" t="n">
        <v>0</v>
      </c>
      <c r="R305" s="2" t="inlineStr"/>
    </row>
    <row r="306" ht="15" customHeight="1">
      <c r="A306" t="inlineStr">
        <is>
          <t>A 44700-2022</t>
        </is>
      </c>
      <c r="B306" s="1" t="n">
        <v>44840</v>
      </c>
      <c r="C306" s="1" t="n">
        <v>45572</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45943-2022</t>
        </is>
      </c>
      <c r="B307" s="1" t="n">
        <v>44846</v>
      </c>
      <c r="C307" s="1" t="n">
        <v>45572</v>
      </c>
      <c r="D307" t="inlineStr">
        <is>
          <t>DALARNAS LÄN</t>
        </is>
      </c>
      <c r="E307" t="inlineStr">
        <is>
          <t>LEKSAND</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46141-2022</t>
        </is>
      </c>
      <c r="B308" s="1" t="n">
        <v>44846</v>
      </c>
      <c r="C308" s="1" t="n">
        <v>45572</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46672-2022</t>
        </is>
      </c>
      <c r="B309" s="1" t="n">
        <v>44851</v>
      </c>
      <c r="C309" s="1" t="n">
        <v>45572</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46916-2022</t>
        </is>
      </c>
      <c r="B310" s="1" t="n">
        <v>44851</v>
      </c>
      <c r="C310" s="1" t="n">
        <v>45572</v>
      </c>
      <c r="D310" t="inlineStr">
        <is>
          <t>DALARNAS LÄN</t>
        </is>
      </c>
      <c r="E310" t="inlineStr">
        <is>
          <t>LEKSAND</t>
        </is>
      </c>
      <c r="F310" t="inlineStr">
        <is>
          <t>Bergvik skog väst AB</t>
        </is>
      </c>
      <c r="G310" t="n">
        <v>9.5</v>
      </c>
      <c r="H310" t="n">
        <v>0</v>
      </c>
      <c r="I310" t="n">
        <v>0</v>
      </c>
      <c r="J310" t="n">
        <v>0</v>
      </c>
      <c r="K310" t="n">
        <v>0</v>
      </c>
      <c r="L310" t="n">
        <v>0</v>
      </c>
      <c r="M310" t="n">
        <v>0</v>
      </c>
      <c r="N310" t="n">
        <v>0</v>
      </c>
      <c r="O310" t="n">
        <v>0</v>
      </c>
      <c r="P310" t="n">
        <v>0</v>
      </c>
      <c r="Q310" t="n">
        <v>0</v>
      </c>
      <c r="R310" s="2" t="inlineStr"/>
    </row>
    <row r="311" ht="15" customHeight="1">
      <c r="A311" t="inlineStr">
        <is>
          <t>A 47441-2022</t>
        </is>
      </c>
      <c r="B311" s="1" t="n">
        <v>44853</v>
      </c>
      <c r="C311" s="1" t="n">
        <v>45572</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49342-2022</t>
        </is>
      </c>
      <c r="B312" s="1" t="n">
        <v>44861</v>
      </c>
      <c r="C312" s="1" t="n">
        <v>45572</v>
      </c>
      <c r="D312" t="inlineStr">
        <is>
          <t>DALARNAS LÄN</t>
        </is>
      </c>
      <c r="E312" t="inlineStr">
        <is>
          <t>LEKSAND</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49345-2022</t>
        </is>
      </c>
      <c r="B313" s="1" t="n">
        <v>44861</v>
      </c>
      <c r="C313" s="1" t="n">
        <v>45572</v>
      </c>
      <c r="D313" t="inlineStr">
        <is>
          <t>DALARNAS LÄN</t>
        </is>
      </c>
      <c r="E313" t="inlineStr">
        <is>
          <t>LEKSAND</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49581-2022</t>
        </is>
      </c>
      <c r="B314" s="1" t="n">
        <v>44862</v>
      </c>
      <c r="C314" s="1" t="n">
        <v>45572</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50219-2022</t>
        </is>
      </c>
      <c r="B315" s="1" t="n">
        <v>44865</v>
      </c>
      <c r="C315" s="1" t="n">
        <v>45572</v>
      </c>
      <c r="D315" t="inlineStr">
        <is>
          <t>DALARNAS LÄN</t>
        </is>
      </c>
      <c r="E315" t="inlineStr">
        <is>
          <t>LEKSAND</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50353-2022</t>
        </is>
      </c>
      <c r="B316" s="1" t="n">
        <v>44866</v>
      </c>
      <c r="C316" s="1" t="n">
        <v>45572</v>
      </c>
      <c r="D316" t="inlineStr">
        <is>
          <t>DALARNAS LÄN</t>
        </is>
      </c>
      <c r="E316" t="inlineStr">
        <is>
          <t>LEKSAND</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50352-2022</t>
        </is>
      </c>
      <c r="B317" s="1" t="n">
        <v>44866</v>
      </c>
      <c r="C317" s="1" t="n">
        <v>45572</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50354-2022</t>
        </is>
      </c>
      <c r="B318" s="1" t="n">
        <v>44866</v>
      </c>
      <c r="C318" s="1" t="n">
        <v>45572</v>
      </c>
      <c r="D318" t="inlineStr">
        <is>
          <t>DALARNAS LÄN</t>
        </is>
      </c>
      <c r="E318" t="inlineStr">
        <is>
          <t>LEKSAND</t>
        </is>
      </c>
      <c r="F318" t="inlineStr">
        <is>
          <t>Bergvik skog väst AB</t>
        </is>
      </c>
      <c r="G318" t="n">
        <v>7.4</v>
      </c>
      <c r="H318" t="n">
        <v>0</v>
      </c>
      <c r="I318" t="n">
        <v>0</v>
      </c>
      <c r="J318" t="n">
        <v>0</v>
      </c>
      <c r="K318" t="n">
        <v>0</v>
      </c>
      <c r="L318" t="n">
        <v>0</v>
      </c>
      <c r="M318" t="n">
        <v>0</v>
      </c>
      <c r="N318" t="n">
        <v>0</v>
      </c>
      <c r="O318" t="n">
        <v>0</v>
      </c>
      <c r="P318" t="n">
        <v>0</v>
      </c>
      <c r="Q318" t="n">
        <v>0</v>
      </c>
      <c r="R318" s="2" t="inlineStr"/>
    </row>
    <row r="319" ht="15" customHeight="1">
      <c r="A319" t="inlineStr">
        <is>
          <t>A 51857-2022</t>
        </is>
      </c>
      <c r="B319" s="1" t="n">
        <v>44867</v>
      </c>
      <c r="C319" s="1" t="n">
        <v>45572</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51449-2022</t>
        </is>
      </c>
      <c r="B320" s="1" t="n">
        <v>44869</v>
      </c>
      <c r="C320" s="1" t="n">
        <v>45572</v>
      </c>
      <c r="D320" t="inlineStr">
        <is>
          <t>DALARNAS LÄN</t>
        </is>
      </c>
      <c r="E320" t="inlineStr">
        <is>
          <t>LEKSAND</t>
        </is>
      </c>
      <c r="F320" t="inlineStr">
        <is>
          <t>Bergvik skog väst AB</t>
        </is>
      </c>
      <c r="G320" t="n">
        <v>5</v>
      </c>
      <c r="H320" t="n">
        <v>0</v>
      </c>
      <c r="I320" t="n">
        <v>0</v>
      </c>
      <c r="J320" t="n">
        <v>0</v>
      </c>
      <c r="K320" t="n">
        <v>0</v>
      </c>
      <c r="L320" t="n">
        <v>0</v>
      </c>
      <c r="M320" t="n">
        <v>0</v>
      </c>
      <c r="N320" t="n">
        <v>0</v>
      </c>
      <c r="O320" t="n">
        <v>0</v>
      </c>
      <c r="P320" t="n">
        <v>0</v>
      </c>
      <c r="Q320" t="n">
        <v>0</v>
      </c>
      <c r="R320" s="2" t="inlineStr"/>
    </row>
    <row r="321" ht="15" customHeight="1">
      <c r="A321" t="inlineStr">
        <is>
          <t>A 51480-2022</t>
        </is>
      </c>
      <c r="B321" s="1" t="n">
        <v>44869</v>
      </c>
      <c r="C321" s="1" t="n">
        <v>45572</v>
      </c>
      <c r="D321" t="inlineStr">
        <is>
          <t>DALARNAS LÄN</t>
        </is>
      </c>
      <c r="E321" t="inlineStr">
        <is>
          <t>LEKSAND</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51502-2022</t>
        </is>
      </c>
      <c r="B322" s="1" t="n">
        <v>44869</v>
      </c>
      <c r="C322" s="1" t="n">
        <v>45572</v>
      </c>
      <c r="D322" t="inlineStr">
        <is>
          <t>DALARNAS LÄN</t>
        </is>
      </c>
      <c r="E322" t="inlineStr">
        <is>
          <t>LEKSAND</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51498-2022</t>
        </is>
      </c>
      <c r="B323" s="1" t="n">
        <v>44869</v>
      </c>
      <c r="C323" s="1" t="n">
        <v>45572</v>
      </c>
      <c r="D323" t="inlineStr">
        <is>
          <t>DALARNAS LÄN</t>
        </is>
      </c>
      <c r="E323" t="inlineStr">
        <is>
          <t>LEKSAND</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51842-2022</t>
        </is>
      </c>
      <c r="B324" s="1" t="n">
        <v>44872</v>
      </c>
      <c r="C324" s="1" t="n">
        <v>45572</v>
      </c>
      <c r="D324" t="inlineStr">
        <is>
          <t>DALARNAS LÄN</t>
        </is>
      </c>
      <c r="E324" t="inlineStr">
        <is>
          <t>LEKSAND</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52977-2022</t>
        </is>
      </c>
      <c r="B325" s="1" t="n">
        <v>44875</v>
      </c>
      <c r="C325" s="1" t="n">
        <v>45572</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53293-2022</t>
        </is>
      </c>
      <c r="B326" s="1" t="n">
        <v>44877</v>
      </c>
      <c r="C326" s="1" t="n">
        <v>45572</v>
      </c>
      <c r="D326" t="inlineStr">
        <is>
          <t>DALARNAS LÄN</t>
        </is>
      </c>
      <c r="E326" t="inlineStr">
        <is>
          <t>LEKSAND</t>
        </is>
      </c>
      <c r="G326" t="n">
        <v>0.4</v>
      </c>
      <c r="H326" t="n">
        <v>0</v>
      </c>
      <c r="I326" t="n">
        <v>0</v>
      </c>
      <c r="J326" t="n">
        <v>0</v>
      </c>
      <c r="K326" t="n">
        <v>0</v>
      </c>
      <c r="L326" t="n">
        <v>0</v>
      </c>
      <c r="M326" t="n">
        <v>0</v>
      </c>
      <c r="N326" t="n">
        <v>0</v>
      </c>
      <c r="O326" t="n">
        <v>0</v>
      </c>
      <c r="P326" t="n">
        <v>0</v>
      </c>
      <c r="Q326" t="n">
        <v>0</v>
      </c>
      <c r="R326" s="2" t="inlineStr"/>
    </row>
    <row r="327" ht="15" customHeight="1">
      <c r="A327" t="inlineStr">
        <is>
          <t>A 53787-2022</t>
        </is>
      </c>
      <c r="B327" s="1" t="n">
        <v>44880</v>
      </c>
      <c r="C327" s="1" t="n">
        <v>45572</v>
      </c>
      <c r="D327" t="inlineStr">
        <is>
          <t>DALARNAS LÄN</t>
        </is>
      </c>
      <c r="E327" t="inlineStr">
        <is>
          <t>LEKSAND</t>
        </is>
      </c>
      <c r="G327" t="n">
        <v>7.6</v>
      </c>
      <c r="H327" t="n">
        <v>0</v>
      </c>
      <c r="I327" t="n">
        <v>0</v>
      </c>
      <c r="J327" t="n">
        <v>0</v>
      </c>
      <c r="K327" t="n">
        <v>0</v>
      </c>
      <c r="L327" t="n">
        <v>0</v>
      </c>
      <c r="M327" t="n">
        <v>0</v>
      </c>
      <c r="N327" t="n">
        <v>0</v>
      </c>
      <c r="O327" t="n">
        <v>0</v>
      </c>
      <c r="P327" t="n">
        <v>0</v>
      </c>
      <c r="Q327" t="n">
        <v>0</v>
      </c>
      <c r="R327" s="2" t="inlineStr"/>
    </row>
    <row r="328" ht="15" customHeight="1">
      <c r="A328" t="inlineStr">
        <is>
          <t>A 54070-2022</t>
        </is>
      </c>
      <c r="B328" s="1" t="n">
        <v>44881</v>
      </c>
      <c r="C328" s="1" t="n">
        <v>45572</v>
      </c>
      <c r="D328" t="inlineStr">
        <is>
          <t>DALARNAS LÄN</t>
        </is>
      </c>
      <c r="E328" t="inlineStr">
        <is>
          <t>LEKSAND</t>
        </is>
      </c>
      <c r="G328" t="n">
        <v>4.7</v>
      </c>
      <c r="H328" t="n">
        <v>0</v>
      </c>
      <c r="I328" t="n">
        <v>0</v>
      </c>
      <c r="J328" t="n">
        <v>0</v>
      </c>
      <c r="K328" t="n">
        <v>0</v>
      </c>
      <c r="L328" t="n">
        <v>0</v>
      </c>
      <c r="M328" t="n">
        <v>0</v>
      </c>
      <c r="N328" t="n">
        <v>0</v>
      </c>
      <c r="O328" t="n">
        <v>0</v>
      </c>
      <c r="P328" t="n">
        <v>0</v>
      </c>
      <c r="Q328" t="n">
        <v>0</v>
      </c>
      <c r="R328" s="2" t="inlineStr"/>
    </row>
    <row r="329" ht="15" customHeight="1">
      <c r="A329" t="inlineStr">
        <is>
          <t>A 56330-2022</t>
        </is>
      </c>
      <c r="B329" s="1" t="n">
        <v>44890</v>
      </c>
      <c r="C329" s="1" t="n">
        <v>45572</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56702-2022</t>
        </is>
      </c>
      <c r="B330" s="1" t="n">
        <v>44893</v>
      </c>
      <c r="C330" s="1" t="n">
        <v>45572</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57415-2022</t>
        </is>
      </c>
      <c r="B331" s="1" t="n">
        <v>44896</v>
      </c>
      <c r="C331" s="1" t="n">
        <v>45572</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57438-2022</t>
        </is>
      </c>
      <c r="B332" s="1" t="n">
        <v>44896</v>
      </c>
      <c r="C332" s="1" t="n">
        <v>45572</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58619-2022</t>
        </is>
      </c>
      <c r="B333" s="1" t="n">
        <v>44902</v>
      </c>
      <c r="C333" s="1" t="n">
        <v>45572</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60300-2022</t>
        </is>
      </c>
      <c r="B334" s="1" t="n">
        <v>44903</v>
      </c>
      <c r="C334" s="1" t="n">
        <v>45572</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60095-2022</t>
        </is>
      </c>
      <c r="B335" s="1" t="n">
        <v>44909</v>
      </c>
      <c r="C335" s="1" t="n">
        <v>45572</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60113-2022</t>
        </is>
      </c>
      <c r="B336" s="1" t="n">
        <v>44909</v>
      </c>
      <c r="C336" s="1" t="n">
        <v>45572</v>
      </c>
      <c r="D336" t="inlineStr">
        <is>
          <t>DALARNAS LÄN</t>
        </is>
      </c>
      <c r="E336" t="inlineStr">
        <is>
          <t>LEKSAND</t>
        </is>
      </c>
      <c r="G336" t="n">
        <v>3.7</v>
      </c>
      <c r="H336" t="n">
        <v>0</v>
      </c>
      <c r="I336" t="n">
        <v>0</v>
      </c>
      <c r="J336" t="n">
        <v>0</v>
      </c>
      <c r="K336" t="n">
        <v>0</v>
      </c>
      <c r="L336" t="n">
        <v>0</v>
      </c>
      <c r="M336" t="n">
        <v>0</v>
      </c>
      <c r="N336" t="n">
        <v>0</v>
      </c>
      <c r="O336" t="n">
        <v>0</v>
      </c>
      <c r="P336" t="n">
        <v>0</v>
      </c>
      <c r="Q336" t="n">
        <v>0</v>
      </c>
      <c r="R336" s="2" t="inlineStr"/>
    </row>
    <row r="337" ht="15" customHeight="1">
      <c r="A337" t="inlineStr">
        <is>
          <t>A 61269-2022</t>
        </is>
      </c>
      <c r="B337" s="1" t="n">
        <v>44909</v>
      </c>
      <c r="C337" s="1" t="n">
        <v>45572</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60550-2022</t>
        </is>
      </c>
      <c r="B338" s="1" t="n">
        <v>44911</v>
      </c>
      <c r="C338" s="1" t="n">
        <v>45572</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60715-2022</t>
        </is>
      </c>
      <c r="B339" s="1" t="n">
        <v>44912</v>
      </c>
      <c r="C339" s="1" t="n">
        <v>45572</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60913-2022</t>
        </is>
      </c>
      <c r="B340" s="1" t="n">
        <v>44914</v>
      </c>
      <c r="C340" s="1" t="n">
        <v>45572</v>
      </c>
      <c r="D340" t="inlineStr">
        <is>
          <t>DALARNAS LÄN</t>
        </is>
      </c>
      <c r="E340" t="inlineStr">
        <is>
          <t>LEKSAND</t>
        </is>
      </c>
      <c r="G340" t="n">
        <v>4.2</v>
      </c>
      <c r="H340" t="n">
        <v>0</v>
      </c>
      <c r="I340" t="n">
        <v>0</v>
      </c>
      <c r="J340" t="n">
        <v>0</v>
      </c>
      <c r="K340" t="n">
        <v>0</v>
      </c>
      <c r="L340" t="n">
        <v>0</v>
      </c>
      <c r="M340" t="n">
        <v>0</v>
      </c>
      <c r="N340" t="n">
        <v>0</v>
      </c>
      <c r="O340" t="n">
        <v>0</v>
      </c>
      <c r="P340" t="n">
        <v>0</v>
      </c>
      <c r="Q340" t="n">
        <v>0</v>
      </c>
      <c r="R340" s="2" t="inlineStr"/>
    </row>
    <row r="341" ht="15" customHeight="1">
      <c r="A341" t="inlineStr">
        <is>
          <t>A 61288-2022</t>
        </is>
      </c>
      <c r="B341" s="1" t="n">
        <v>44915</v>
      </c>
      <c r="C341" s="1" t="n">
        <v>45572</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61786-2022</t>
        </is>
      </c>
      <c r="B342" s="1" t="n">
        <v>44917</v>
      </c>
      <c r="C342" s="1" t="n">
        <v>45572</v>
      </c>
      <c r="D342" t="inlineStr">
        <is>
          <t>DALARNAS LÄN</t>
        </is>
      </c>
      <c r="E342" t="inlineStr">
        <is>
          <t>LEKSAND</t>
        </is>
      </c>
      <c r="G342" t="n">
        <v>4.3</v>
      </c>
      <c r="H342" t="n">
        <v>0</v>
      </c>
      <c r="I342" t="n">
        <v>0</v>
      </c>
      <c r="J342" t="n">
        <v>0</v>
      </c>
      <c r="K342" t="n">
        <v>0</v>
      </c>
      <c r="L342" t="n">
        <v>0</v>
      </c>
      <c r="M342" t="n">
        <v>0</v>
      </c>
      <c r="N342" t="n">
        <v>0</v>
      </c>
      <c r="O342" t="n">
        <v>0</v>
      </c>
      <c r="P342" t="n">
        <v>0</v>
      </c>
      <c r="Q342" t="n">
        <v>0</v>
      </c>
      <c r="R342" s="2" t="inlineStr"/>
    </row>
    <row r="343" ht="15" customHeight="1">
      <c r="A343" t="inlineStr">
        <is>
          <t>A 61787-2022</t>
        </is>
      </c>
      <c r="B343" s="1" t="n">
        <v>44917</v>
      </c>
      <c r="C343" s="1" t="n">
        <v>45572</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164-2023</t>
        </is>
      </c>
      <c r="B344" s="1" t="n">
        <v>44918</v>
      </c>
      <c r="C344" s="1" t="n">
        <v>45572</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151-2023</t>
        </is>
      </c>
      <c r="B345" s="1" t="n">
        <v>44918</v>
      </c>
      <c r="C345" s="1" t="n">
        <v>45572</v>
      </c>
      <c r="D345" t="inlineStr">
        <is>
          <t>DALARNAS LÄN</t>
        </is>
      </c>
      <c r="E345" t="inlineStr">
        <is>
          <t>LEKSAND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45572</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325-2023</t>
        </is>
      </c>
      <c r="B347" s="1" t="n">
        <v>44929</v>
      </c>
      <c r="C347" s="1" t="n">
        <v>45572</v>
      </c>
      <c r="D347" t="inlineStr">
        <is>
          <t>DALARNAS LÄN</t>
        </is>
      </c>
      <c r="E347" t="inlineStr">
        <is>
          <t>LEKSAND</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315-2023</t>
        </is>
      </c>
      <c r="B348" s="1" t="n">
        <v>44929</v>
      </c>
      <c r="C348" s="1" t="n">
        <v>45572</v>
      </c>
      <c r="D348" t="inlineStr">
        <is>
          <t>DALARNAS LÄN</t>
        </is>
      </c>
      <c r="E348" t="inlineStr">
        <is>
          <t>LEKSAND</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320-2023</t>
        </is>
      </c>
      <c r="B349" s="1" t="n">
        <v>44929</v>
      </c>
      <c r="C349" s="1" t="n">
        <v>45572</v>
      </c>
      <c r="D349" t="inlineStr">
        <is>
          <t>DALARNAS LÄN</t>
        </is>
      </c>
      <c r="E349" t="inlineStr">
        <is>
          <t>LEKSAND</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391-2023</t>
        </is>
      </c>
      <c r="B350" s="1" t="n">
        <v>44929</v>
      </c>
      <c r="C350" s="1" t="n">
        <v>45572</v>
      </c>
      <c r="D350" t="inlineStr">
        <is>
          <t>DALARNAS LÄN</t>
        </is>
      </c>
      <c r="E350" t="inlineStr">
        <is>
          <t>LEKSAND</t>
        </is>
      </c>
      <c r="F350" t="inlineStr">
        <is>
          <t>Övriga Aktiebolag</t>
        </is>
      </c>
      <c r="G350" t="n">
        <v>10</v>
      </c>
      <c r="H350" t="n">
        <v>0</v>
      </c>
      <c r="I350" t="n">
        <v>0</v>
      </c>
      <c r="J350" t="n">
        <v>0</v>
      </c>
      <c r="K350" t="n">
        <v>0</v>
      </c>
      <c r="L350" t="n">
        <v>0</v>
      </c>
      <c r="M350" t="n">
        <v>0</v>
      </c>
      <c r="N350" t="n">
        <v>0</v>
      </c>
      <c r="O350" t="n">
        <v>0</v>
      </c>
      <c r="P350" t="n">
        <v>0</v>
      </c>
      <c r="Q350" t="n">
        <v>0</v>
      </c>
      <c r="R350" s="2" t="inlineStr"/>
    </row>
    <row r="351" ht="15" customHeight="1">
      <c r="A351" t="inlineStr">
        <is>
          <t>A 784-2023</t>
        </is>
      </c>
      <c r="B351" s="1" t="n">
        <v>44931</v>
      </c>
      <c r="C351" s="1" t="n">
        <v>45572</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1510-2023</t>
        </is>
      </c>
      <c r="B352" s="1" t="n">
        <v>44937</v>
      </c>
      <c r="C352" s="1" t="n">
        <v>45572</v>
      </c>
      <c r="D352" t="inlineStr">
        <is>
          <t>DALARNAS LÄN</t>
        </is>
      </c>
      <c r="E352" t="inlineStr">
        <is>
          <t>LEKSAND</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3262-2023</t>
        </is>
      </c>
      <c r="B353" s="1" t="n">
        <v>44948</v>
      </c>
      <c r="C353" s="1" t="n">
        <v>45572</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3445-2023</t>
        </is>
      </c>
      <c r="B354" s="1" t="n">
        <v>44949</v>
      </c>
      <c r="C354" s="1" t="n">
        <v>45572</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v>
      </c>
      <c r="C355" s="1" t="n">
        <v>45572</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4182-2023</t>
        </is>
      </c>
      <c r="B356" s="1" t="n">
        <v>44951</v>
      </c>
      <c r="C356" s="1" t="n">
        <v>45572</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4217-2023</t>
        </is>
      </c>
      <c r="B357" s="1" t="n">
        <v>44953</v>
      </c>
      <c r="C357" s="1" t="n">
        <v>45572</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6057-2023</t>
        </is>
      </c>
      <c r="B358" s="1" t="n">
        <v>44959</v>
      </c>
      <c r="C358" s="1" t="n">
        <v>45572</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45572</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6079-2023</t>
        </is>
      </c>
      <c r="B360" s="1" t="n">
        <v>44959</v>
      </c>
      <c r="C360" s="1" t="n">
        <v>45572</v>
      </c>
      <c r="D360" t="inlineStr">
        <is>
          <t>DALARNAS LÄN</t>
        </is>
      </c>
      <c r="E360" t="inlineStr">
        <is>
          <t>LEKSAND</t>
        </is>
      </c>
      <c r="G360" t="n">
        <v>4.1</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45572</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5738-2023</t>
        </is>
      </c>
      <c r="B362" s="1" t="n">
        <v>44962</v>
      </c>
      <c r="C362" s="1" t="n">
        <v>45572</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6074-2023</t>
        </is>
      </c>
      <c r="B363" s="1" t="n">
        <v>44964</v>
      </c>
      <c r="C363" s="1" t="n">
        <v>45572</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7441-2023</t>
        </is>
      </c>
      <c r="B364" s="1" t="n">
        <v>44966</v>
      </c>
      <c r="C364" s="1" t="n">
        <v>45572</v>
      </c>
      <c r="D364" t="inlineStr">
        <is>
          <t>DALARNAS LÄN</t>
        </is>
      </c>
      <c r="E364" t="inlineStr">
        <is>
          <t>LEKSAND</t>
        </is>
      </c>
      <c r="G364" t="n">
        <v>18</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45572</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6846-2023</t>
        </is>
      </c>
      <c r="B366" s="1" t="n">
        <v>44967</v>
      </c>
      <c r="C366" s="1" t="n">
        <v>45572</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8170-2023</t>
        </is>
      </c>
      <c r="B367" s="1" t="n">
        <v>44971</v>
      </c>
      <c r="C367" s="1" t="n">
        <v>45572</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7450-2023</t>
        </is>
      </c>
      <c r="B368" s="1" t="n">
        <v>44971</v>
      </c>
      <c r="C368" s="1" t="n">
        <v>45572</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7928-2023</t>
        </is>
      </c>
      <c r="B369" s="1" t="n">
        <v>44973</v>
      </c>
      <c r="C369" s="1" t="n">
        <v>45572</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45572</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8936-2023</t>
        </is>
      </c>
      <c r="B371" s="1" t="n">
        <v>44974</v>
      </c>
      <c r="C371" s="1" t="n">
        <v>45572</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9143-2023</t>
        </is>
      </c>
      <c r="B372" s="1" t="n">
        <v>44974</v>
      </c>
      <c r="C372" s="1" t="n">
        <v>45572</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45572</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9138-2023</t>
        </is>
      </c>
      <c r="B374" s="1" t="n">
        <v>44974</v>
      </c>
      <c r="C374" s="1" t="n">
        <v>45572</v>
      </c>
      <c r="D374" t="inlineStr">
        <is>
          <t>DALARNAS LÄN</t>
        </is>
      </c>
      <c r="E374" t="inlineStr">
        <is>
          <t>LEKSAND</t>
        </is>
      </c>
      <c r="G374" t="n">
        <v>4.6</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45572</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9459-2023</t>
        </is>
      </c>
      <c r="B376" s="1" t="n">
        <v>44977</v>
      </c>
      <c r="C376" s="1" t="n">
        <v>45572</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8773-2023</t>
        </is>
      </c>
      <c r="B377" s="1" t="n">
        <v>44978</v>
      </c>
      <c r="C377" s="1" t="n">
        <v>45572</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8695-2023</t>
        </is>
      </c>
      <c r="B378" s="1" t="n">
        <v>44978</v>
      </c>
      <c r="C378" s="1" t="n">
        <v>45572</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8743-2023</t>
        </is>
      </c>
      <c r="B379" s="1" t="n">
        <v>44978</v>
      </c>
      <c r="C379" s="1" t="n">
        <v>45572</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8755-2023</t>
        </is>
      </c>
      <c r="B380" s="1" t="n">
        <v>44978</v>
      </c>
      <c r="C380" s="1" t="n">
        <v>45572</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9324-2023</t>
        </is>
      </c>
      <c r="B381" s="1" t="n">
        <v>44980</v>
      </c>
      <c r="C381" s="1" t="n">
        <v>45572</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9336-2023</t>
        </is>
      </c>
      <c r="B382" s="1" t="n">
        <v>44980</v>
      </c>
      <c r="C382" s="1" t="n">
        <v>45572</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9938-2023</t>
        </is>
      </c>
      <c r="B383" s="1" t="n">
        <v>44985</v>
      </c>
      <c r="C383" s="1" t="n">
        <v>45572</v>
      </c>
      <c r="D383" t="inlineStr">
        <is>
          <t>DALARNAS LÄN</t>
        </is>
      </c>
      <c r="E383" t="inlineStr">
        <is>
          <t>LEKSAND</t>
        </is>
      </c>
      <c r="G383" t="n">
        <v>3.1</v>
      </c>
      <c r="H383" t="n">
        <v>0</v>
      </c>
      <c r="I383" t="n">
        <v>0</v>
      </c>
      <c r="J383" t="n">
        <v>0</v>
      </c>
      <c r="K383" t="n">
        <v>0</v>
      </c>
      <c r="L383" t="n">
        <v>0</v>
      </c>
      <c r="M383" t="n">
        <v>0</v>
      </c>
      <c r="N383" t="n">
        <v>0</v>
      </c>
      <c r="O383" t="n">
        <v>0</v>
      </c>
      <c r="P383" t="n">
        <v>0</v>
      </c>
      <c r="Q383" t="n">
        <v>0</v>
      </c>
      <c r="R383" s="2" t="inlineStr"/>
    </row>
    <row r="384" ht="15" customHeight="1">
      <c r="A384" t="inlineStr">
        <is>
          <t>A 9947-2023</t>
        </is>
      </c>
      <c r="B384" s="1" t="n">
        <v>44985</v>
      </c>
      <c r="C384" s="1" t="n">
        <v>45572</v>
      </c>
      <c r="D384" t="inlineStr">
        <is>
          <t>DALARNAS LÄN</t>
        </is>
      </c>
      <c r="E384" t="inlineStr">
        <is>
          <t>LEKSAND</t>
        </is>
      </c>
      <c r="G384" t="n">
        <v>2.3</v>
      </c>
      <c r="H384" t="n">
        <v>0</v>
      </c>
      <c r="I384" t="n">
        <v>0</v>
      </c>
      <c r="J384" t="n">
        <v>0</v>
      </c>
      <c r="K384" t="n">
        <v>0</v>
      </c>
      <c r="L384" t="n">
        <v>0</v>
      </c>
      <c r="M384" t="n">
        <v>0</v>
      </c>
      <c r="N384" t="n">
        <v>0</v>
      </c>
      <c r="O384" t="n">
        <v>0</v>
      </c>
      <c r="P384" t="n">
        <v>0</v>
      </c>
      <c r="Q384" t="n">
        <v>0</v>
      </c>
      <c r="R384" s="2" t="inlineStr"/>
    </row>
    <row r="385" ht="15" customHeight="1">
      <c r="A385" t="inlineStr">
        <is>
          <t>A 11010-2023</t>
        </is>
      </c>
      <c r="B385" s="1" t="n">
        <v>44986</v>
      </c>
      <c r="C385" s="1" t="n">
        <v>45572</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11004-2023</t>
        </is>
      </c>
      <c r="B386" s="1" t="n">
        <v>44986</v>
      </c>
      <c r="C386" s="1" t="n">
        <v>45572</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10367-2023</t>
        </is>
      </c>
      <c r="B387" s="1" t="n">
        <v>44987</v>
      </c>
      <c r="C387" s="1" t="n">
        <v>45572</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10373-2023</t>
        </is>
      </c>
      <c r="B388" s="1" t="n">
        <v>44987</v>
      </c>
      <c r="C388" s="1" t="n">
        <v>45572</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10368-2023</t>
        </is>
      </c>
      <c r="B389" s="1" t="n">
        <v>44987</v>
      </c>
      <c r="C389" s="1" t="n">
        <v>45572</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11398-2023</t>
        </is>
      </c>
      <c r="B390" s="1" t="n">
        <v>44988</v>
      </c>
      <c r="C390" s="1" t="n">
        <v>45572</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11423-2023</t>
        </is>
      </c>
      <c r="B391" s="1" t="n">
        <v>44988</v>
      </c>
      <c r="C391" s="1" t="n">
        <v>45572</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11420-2023</t>
        </is>
      </c>
      <c r="B392" s="1" t="n">
        <v>44988</v>
      </c>
      <c r="C392" s="1" t="n">
        <v>45572</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10828-2023</t>
        </is>
      </c>
      <c r="B393" s="1" t="n">
        <v>44990</v>
      </c>
      <c r="C393" s="1" t="n">
        <v>45572</v>
      </c>
      <c r="D393" t="inlineStr">
        <is>
          <t>DALARNAS LÄN</t>
        </is>
      </c>
      <c r="E393" t="inlineStr">
        <is>
          <t>LEKSAND</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10833-2023</t>
        </is>
      </c>
      <c r="B394" s="1" t="n">
        <v>44990</v>
      </c>
      <c r="C394" s="1" t="n">
        <v>45572</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10967-2023</t>
        </is>
      </c>
      <c r="B395" s="1" t="n">
        <v>44991</v>
      </c>
      <c r="C395" s="1" t="n">
        <v>45572</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10987-2023</t>
        </is>
      </c>
      <c r="B396" s="1" t="n">
        <v>44991</v>
      </c>
      <c r="C396" s="1" t="n">
        <v>45572</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10869-2023</t>
        </is>
      </c>
      <c r="B397" s="1" t="n">
        <v>44991</v>
      </c>
      <c r="C397" s="1" t="n">
        <v>45572</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10974-2023</t>
        </is>
      </c>
      <c r="B398" s="1" t="n">
        <v>44991</v>
      </c>
      <c r="C398" s="1" t="n">
        <v>45572</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10896-2023</t>
        </is>
      </c>
      <c r="B399" s="1" t="n">
        <v>44991</v>
      </c>
      <c r="C399" s="1" t="n">
        <v>45572</v>
      </c>
      <c r="D399" t="inlineStr">
        <is>
          <t>DALARNAS LÄN</t>
        </is>
      </c>
      <c r="E399" t="inlineStr">
        <is>
          <t>LEKSAND</t>
        </is>
      </c>
      <c r="G399" t="n">
        <v>4.1</v>
      </c>
      <c r="H399" t="n">
        <v>0</v>
      </c>
      <c r="I399" t="n">
        <v>0</v>
      </c>
      <c r="J399" t="n">
        <v>0</v>
      </c>
      <c r="K399" t="n">
        <v>0</v>
      </c>
      <c r="L399" t="n">
        <v>0</v>
      </c>
      <c r="M399" t="n">
        <v>0</v>
      </c>
      <c r="N399" t="n">
        <v>0</v>
      </c>
      <c r="O399" t="n">
        <v>0</v>
      </c>
      <c r="P399" t="n">
        <v>0</v>
      </c>
      <c r="Q399" t="n">
        <v>0</v>
      </c>
      <c r="R399" s="2" t="inlineStr"/>
    </row>
    <row r="400" ht="15" customHeight="1">
      <c r="A400" t="inlineStr">
        <is>
          <t>A 11233-2023</t>
        </is>
      </c>
      <c r="B400" s="1" t="n">
        <v>44992</v>
      </c>
      <c r="C400" s="1" t="n">
        <v>45572</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11238-2023</t>
        </is>
      </c>
      <c r="B401" s="1" t="n">
        <v>44992</v>
      </c>
      <c r="C401" s="1" t="n">
        <v>45572</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11092-2023</t>
        </is>
      </c>
      <c r="B402" s="1" t="n">
        <v>44992</v>
      </c>
      <c r="C402" s="1" t="n">
        <v>45572</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11248-2023</t>
        </is>
      </c>
      <c r="B403" s="1" t="n">
        <v>44992</v>
      </c>
      <c r="C403" s="1" t="n">
        <v>45572</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11128-2023</t>
        </is>
      </c>
      <c r="B404" s="1" t="n">
        <v>44992</v>
      </c>
      <c r="C404" s="1" t="n">
        <v>45572</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11080-2023</t>
        </is>
      </c>
      <c r="B405" s="1" t="n">
        <v>44992</v>
      </c>
      <c r="C405" s="1" t="n">
        <v>45572</v>
      </c>
      <c r="D405" t="inlineStr">
        <is>
          <t>DALARNAS LÄN</t>
        </is>
      </c>
      <c r="E405" t="inlineStr">
        <is>
          <t>LEKSAND</t>
        </is>
      </c>
      <c r="G405" t="n">
        <v>6.9</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45572</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11218-2023</t>
        </is>
      </c>
      <c r="B407" s="1" t="n">
        <v>44992</v>
      </c>
      <c r="C407" s="1" t="n">
        <v>45572</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11225-2023</t>
        </is>
      </c>
      <c r="B408" s="1" t="n">
        <v>44992</v>
      </c>
      <c r="C408" s="1" t="n">
        <v>45572</v>
      </c>
      <c r="D408" t="inlineStr">
        <is>
          <t>DALARNAS LÄN</t>
        </is>
      </c>
      <c r="E408" t="inlineStr">
        <is>
          <t>LEKSAND</t>
        </is>
      </c>
      <c r="G408" t="n">
        <v>6.1</v>
      </c>
      <c r="H408" t="n">
        <v>0</v>
      </c>
      <c r="I408" t="n">
        <v>0</v>
      </c>
      <c r="J408" t="n">
        <v>0</v>
      </c>
      <c r="K408" t="n">
        <v>0</v>
      </c>
      <c r="L408" t="n">
        <v>0</v>
      </c>
      <c r="M408" t="n">
        <v>0</v>
      </c>
      <c r="N408" t="n">
        <v>0</v>
      </c>
      <c r="O408" t="n">
        <v>0</v>
      </c>
      <c r="P408" t="n">
        <v>0</v>
      </c>
      <c r="Q408" t="n">
        <v>0</v>
      </c>
      <c r="R408" s="2" t="inlineStr"/>
    </row>
    <row r="409" ht="15" customHeight="1">
      <c r="A409" t="inlineStr">
        <is>
          <t>A 11347-2023</t>
        </is>
      </c>
      <c r="B409" s="1" t="n">
        <v>44993</v>
      </c>
      <c r="C409" s="1" t="n">
        <v>45572</v>
      </c>
      <c r="D409" t="inlineStr">
        <is>
          <t>DALARNAS LÄN</t>
        </is>
      </c>
      <c r="E409" t="inlineStr">
        <is>
          <t>LEKSAND</t>
        </is>
      </c>
      <c r="G409" t="n">
        <v>6.7</v>
      </c>
      <c r="H409" t="n">
        <v>0</v>
      </c>
      <c r="I409" t="n">
        <v>0</v>
      </c>
      <c r="J409" t="n">
        <v>0</v>
      </c>
      <c r="K409" t="n">
        <v>0</v>
      </c>
      <c r="L409" t="n">
        <v>0</v>
      </c>
      <c r="M409" t="n">
        <v>0</v>
      </c>
      <c r="N409" t="n">
        <v>0</v>
      </c>
      <c r="O409" t="n">
        <v>0</v>
      </c>
      <c r="P409" t="n">
        <v>0</v>
      </c>
      <c r="Q409" t="n">
        <v>0</v>
      </c>
      <c r="R409" s="2" t="inlineStr"/>
    </row>
    <row r="410" ht="15" customHeight="1">
      <c r="A410" t="inlineStr">
        <is>
          <t>A 11392-2023</t>
        </is>
      </c>
      <c r="B410" s="1" t="n">
        <v>44993</v>
      </c>
      <c r="C410" s="1" t="n">
        <v>45572</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45572</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11418-2023</t>
        </is>
      </c>
      <c r="B412" s="1" t="n">
        <v>44993</v>
      </c>
      <c r="C412" s="1" t="n">
        <v>45572</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11747-2023</t>
        </is>
      </c>
      <c r="B413" s="1" t="n">
        <v>44993</v>
      </c>
      <c r="C413" s="1" t="n">
        <v>45572</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11913-2023</t>
        </is>
      </c>
      <c r="B414" s="1" t="n">
        <v>44993</v>
      </c>
      <c r="C414" s="1" t="n">
        <v>45572</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11582-2023</t>
        </is>
      </c>
      <c r="B415" s="1" t="n">
        <v>44994</v>
      </c>
      <c r="C415" s="1" t="n">
        <v>45572</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11592-2023</t>
        </is>
      </c>
      <c r="B416" s="1" t="n">
        <v>44994</v>
      </c>
      <c r="C416" s="1" t="n">
        <v>45572</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11678-2023</t>
        </is>
      </c>
      <c r="B417" s="1" t="n">
        <v>44994</v>
      </c>
      <c r="C417" s="1" t="n">
        <v>45572</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12144-2023</t>
        </is>
      </c>
      <c r="B418" s="1" t="n">
        <v>44998</v>
      </c>
      <c r="C418" s="1" t="n">
        <v>45572</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12117-2023</t>
        </is>
      </c>
      <c r="B419" s="1" t="n">
        <v>44998</v>
      </c>
      <c r="C419" s="1" t="n">
        <v>45572</v>
      </c>
      <c r="D419" t="inlineStr">
        <is>
          <t>DALARNAS LÄN</t>
        </is>
      </c>
      <c r="E419" t="inlineStr">
        <is>
          <t>LEKSAND</t>
        </is>
      </c>
      <c r="G419" t="n">
        <v>2.5</v>
      </c>
      <c r="H419" t="n">
        <v>0</v>
      </c>
      <c r="I419" t="n">
        <v>0</v>
      </c>
      <c r="J419" t="n">
        <v>0</v>
      </c>
      <c r="K419" t="n">
        <v>0</v>
      </c>
      <c r="L419" t="n">
        <v>0</v>
      </c>
      <c r="M419" t="n">
        <v>0</v>
      </c>
      <c r="N419" t="n">
        <v>0</v>
      </c>
      <c r="O419" t="n">
        <v>0</v>
      </c>
      <c r="P419" t="n">
        <v>0</v>
      </c>
      <c r="Q419" t="n">
        <v>0</v>
      </c>
      <c r="R419" s="2" t="inlineStr"/>
    </row>
    <row r="420" ht="15" customHeight="1">
      <c r="A420" t="inlineStr">
        <is>
          <t>A 12120-2023</t>
        </is>
      </c>
      <c r="B420" s="1" t="n">
        <v>44998</v>
      </c>
      <c r="C420" s="1" t="n">
        <v>45572</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12356-2023</t>
        </is>
      </c>
      <c r="B421" s="1" t="n">
        <v>44998</v>
      </c>
      <c r="C421" s="1" t="n">
        <v>45572</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12363-2023</t>
        </is>
      </c>
      <c r="B422" s="1" t="n">
        <v>44998</v>
      </c>
      <c r="C422" s="1" t="n">
        <v>45572</v>
      </c>
      <c r="D422" t="inlineStr">
        <is>
          <t>DALARNAS LÄN</t>
        </is>
      </c>
      <c r="E422" t="inlineStr">
        <is>
          <t>LEKSAND</t>
        </is>
      </c>
      <c r="G422" t="n">
        <v>10</v>
      </c>
      <c r="H422" t="n">
        <v>0</v>
      </c>
      <c r="I422" t="n">
        <v>0</v>
      </c>
      <c r="J422" t="n">
        <v>0</v>
      </c>
      <c r="K422" t="n">
        <v>0</v>
      </c>
      <c r="L422" t="n">
        <v>0</v>
      </c>
      <c r="M422" t="n">
        <v>0</v>
      </c>
      <c r="N422" t="n">
        <v>0</v>
      </c>
      <c r="O422" t="n">
        <v>0</v>
      </c>
      <c r="P422" t="n">
        <v>0</v>
      </c>
      <c r="Q422" t="n">
        <v>0</v>
      </c>
      <c r="R422" s="2" t="inlineStr"/>
    </row>
    <row r="423" ht="15" customHeight="1">
      <c r="A423" t="inlineStr">
        <is>
          <t>A 12414-2023</t>
        </is>
      </c>
      <c r="B423" s="1" t="n">
        <v>44999</v>
      </c>
      <c r="C423" s="1" t="n">
        <v>45572</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v>
      </c>
      <c r="C424" s="1" t="n">
        <v>45572</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12851-2023</t>
        </is>
      </c>
      <c r="B425" s="1" t="n">
        <v>45001</v>
      </c>
      <c r="C425" s="1" t="n">
        <v>45572</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13024-2023</t>
        </is>
      </c>
      <c r="B426" s="1" t="n">
        <v>45001</v>
      </c>
      <c r="C426" s="1" t="n">
        <v>45572</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13063-2023</t>
        </is>
      </c>
      <c r="B427" s="1" t="n">
        <v>45001</v>
      </c>
      <c r="C427" s="1" t="n">
        <v>45572</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13027-2023</t>
        </is>
      </c>
      <c r="B428" s="1" t="n">
        <v>45001</v>
      </c>
      <c r="C428" s="1" t="n">
        <v>45572</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13079-2023</t>
        </is>
      </c>
      <c r="B429" s="1" t="n">
        <v>45001</v>
      </c>
      <c r="C429" s="1" t="n">
        <v>45572</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13165-2023</t>
        </is>
      </c>
      <c r="B430" s="1" t="n">
        <v>45002</v>
      </c>
      <c r="C430" s="1" t="n">
        <v>45572</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13288-2023</t>
        </is>
      </c>
      <c r="B431" s="1" t="n">
        <v>45004</v>
      </c>
      <c r="C431" s="1" t="n">
        <v>45572</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13397-2023</t>
        </is>
      </c>
      <c r="B432" s="1" t="n">
        <v>45005</v>
      </c>
      <c r="C432" s="1" t="n">
        <v>45572</v>
      </c>
      <c r="D432" t="inlineStr">
        <is>
          <t>DALARNAS LÄN</t>
        </is>
      </c>
      <c r="E432" t="inlineStr">
        <is>
          <t>LEKSAND</t>
        </is>
      </c>
      <c r="G432" t="n">
        <v>2.6</v>
      </c>
      <c r="H432" t="n">
        <v>0</v>
      </c>
      <c r="I432" t="n">
        <v>0</v>
      </c>
      <c r="J432" t="n">
        <v>0</v>
      </c>
      <c r="K432" t="n">
        <v>0</v>
      </c>
      <c r="L432" t="n">
        <v>0</v>
      </c>
      <c r="M432" t="n">
        <v>0</v>
      </c>
      <c r="N432" t="n">
        <v>0</v>
      </c>
      <c r="O432" t="n">
        <v>0</v>
      </c>
      <c r="P432" t="n">
        <v>0</v>
      </c>
      <c r="Q432" t="n">
        <v>0</v>
      </c>
      <c r="R432" s="2" t="inlineStr"/>
    </row>
    <row r="433" ht="15" customHeight="1">
      <c r="A433" t="inlineStr">
        <is>
          <t>A 13401-2023</t>
        </is>
      </c>
      <c r="B433" s="1" t="n">
        <v>45005</v>
      </c>
      <c r="C433" s="1" t="n">
        <v>45572</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13376-2023</t>
        </is>
      </c>
      <c r="B434" s="1" t="n">
        <v>45005</v>
      </c>
      <c r="C434" s="1" t="n">
        <v>45572</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13760-2023</t>
        </is>
      </c>
      <c r="B435" s="1" t="n">
        <v>45007</v>
      </c>
      <c r="C435" s="1" t="n">
        <v>45572</v>
      </c>
      <c r="D435" t="inlineStr">
        <is>
          <t>DALARNAS LÄN</t>
        </is>
      </c>
      <c r="E435" t="inlineStr">
        <is>
          <t>LEKSAND</t>
        </is>
      </c>
      <c r="G435" t="n">
        <v>7.9</v>
      </c>
      <c r="H435" t="n">
        <v>0</v>
      </c>
      <c r="I435" t="n">
        <v>0</v>
      </c>
      <c r="J435" t="n">
        <v>0</v>
      </c>
      <c r="K435" t="n">
        <v>0</v>
      </c>
      <c r="L435" t="n">
        <v>0</v>
      </c>
      <c r="M435" t="n">
        <v>0</v>
      </c>
      <c r="N435" t="n">
        <v>0</v>
      </c>
      <c r="O435" t="n">
        <v>0</v>
      </c>
      <c r="P435" t="n">
        <v>0</v>
      </c>
      <c r="Q435" t="n">
        <v>0</v>
      </c>
      <c r="R435" s="2" t="inlineStr"/>
    </row>
    <row r="436" ht="15" customHeight="1">
      <c r="A436" t="inlineStr">
        <is>
          <t>A 14339-2023</t>
        </is>
      </c>
      <c r="B436" s="1" t="n">
        <v>45012</v>
      </c>
      <c r="C436" s="1" t="n">
        <v>45572</v>
      </c>
      <c r="D436" t="inlineStr">
        <is>
          <t>DALARNAS LÄN</t>
        </is>
      </c>
      <c r="E436" t="inlineStr">
        <is>
          <t>LEKSAND</t>
        </is>
      </c>
      <c r="G436" t="n">
        <v>5.3</v>
      </c>
      <c r="H436" t="n">
        <v>0</v>
      </c>
      <c r="I436" t="n">
        <v>0</v>
      </c>
      <c r="J436" t="n">
        <v>0</v>
      </c>
      <c r="K436" t="n">
        <v>0</v>
      </c>
      <c r="L436" t="n">
        <v>0</v>
      </c>
      <c r="M436" t="n">
        <v>0</v>
      </c>
      <c r="N436" t="n">
        <v>0</v>
      </c>
      <c r="O436" t="n">
        <v>0</v>
      </c>
      <c r="P436" t="n">
        <v>0</v>
      </c>
      <c r="Q436" t="n">
        <v>0</v>
      </c>
      <c r="R436" s="2" t="inlineStr"/>
    </row>
    <row r="437" ht="15" customHeight="1">
      <c r="A437" t="inlineStr">
        <is>
          <t>A 14558-2023</t>
        </is>
      </c>
      <c r="B437" s="1" t="n">
        <v>45013</v>
      </c>
      <c r="C437" s="1" t="n">
        <v>45572</v>
      </c>
      <c r="D437" t="inlineStr">
        <is>
          <t>DALARNAS LÄN</t>
        </is>
      </c>
      <c r="E437" t="inlineStr">
        <is>
          <t>LEKSAND</t>
        </is>
      </c>
      <c r="G437" t="n">
        <v>3.9</v>
      </c>
      <c r="H437" t="n">
        <v>0</v>
      </c>
      <c r="I437" t="n">
        <v>0</v>
      </c>
      <c r="J437" t="n">
        <v>0</v>
      </c>
      <c r="K437" t="n">
        <v>0</v>
      </c>
      <c r="L437" t="n">
        <v>0</v>
      </c>
      <c r="M437" t="n">
        <v>0</v>
      </c>
      <c r="N437" t="n">
        <v>0</v>
      </c>
      <c r="O437" t="n">
        <v>0</v>
      </c>
      <c r="P437" t="n">
        <v>0</v>
      </c>
      <c r="Q437" t="n">
        <v>0</v>
      </c>
      <c r="R437" s="2" t="inlineStr"/>
    </row>
    <row r="438" ht="15" customHeight="1">
      <c r="A438" t="inlineStr">
        <is>
          <t>A 14809-2023</t>
        </is>
      </c>
      <c r="B438" s="1" t="n">
        <v>45014</v>
      </c>
      <c r="C438" s="1" t="n">
        <v>45572</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14943-2023</t>
        </is>
      </c>
      <c r="B439" s="1" t="n">
        <v>45015</v>
      </c>
      <c r="C439" s="1" t="n">
        <v>45572</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14967-2023</t>
        </is>
      </c>
      <c r="B440" s="1" t="n">
        <v>45015</v>
      </c>
      <c r="C440" s="1" t="n">
        <v>45572</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15020-2023</t>
        </is>
      </c>
      <c r="B441" s="1" t="n">
        <v>45015</v>
      </c>
      <c r="C441" s="1" t="n">
        <v>45572</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15025-2023</t>
        </is>
      </c>
      <c r="B442" s="1" t="n">
        <v>45015</v>
      </c>
      <c r="C442" s="1" t="n">
        <v>45572</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15120-2023</t>
        </is>
      </c>
      <c r="B443" s="1" t="n">
        <v>45016</v>
      </c>
      <c r="C443" s="1" t="n">
        <v>45572</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15261-2023</t>
        </is>
      </c>
      <c r="B444" s="1" t="n">
        <v>45019</v>
      </c>
      <c r="C444" s="1" t="n">
        <v>45572</v>
      </c>
      <c r="D444" t="inlineStr">
        <is>
          <t>DALARNAS LÄN</t>
        </is>
      </c>
      <c r="E444" t="inlineStr">
        <is>
          <t>LEKSAND</t>
        </is>
      </c>
      <c r="G444" t="n">
        <v>1.8</v>
      </c>
      <c r="H444" t="n">
        <v>0</v>
      </c>
      <c r="I444" t="n">
        <v>0</v>
      </c>
      <c r="J444" t="n">
        <v>0</v>
      </c>
      <c r="K444" t="n">
        <v>0</v>
      </c>
      <c r="L444" t="n">
        <v>0</v>
      </c>
      <c r="M444" t="n">
        <v>0</v>
      </c>
      <c r="N444" t="n">
        <v>0</v>
      </c>
      <c r="O444" t="n">
        <v>0</v>
      </c>
      <c r="P444" t="n">
        <v>0</v>
      </c>
      <c r="Q444" t="n">
        <v>0</v>
      </c>
      <c r="R444" s="2" t="inlineStr"/>
    </row>
    <row r="445" ht="15" customHeight="1">
      <c r="A445" t="inlineStr">
        <is>
          <t>A 15271-2023</t>
        </is>
      </c>
      <c r="B445" s="1" t="n">
        <v>45019</v>
      </c>
      <c r="C445" s="1" t="n">
        <v>45572</v>
      </c>
      <c r="D445" t="inlineStr">
        <is>
          <t>DALARNAS LÄN</t>
        </is>
      </c>
      <c r="E445" t="inlineStr">
        <is>
          <t>LEKSAND</t>
        </is>
      </c>
      <c r="G445" t="n">
        <v>5.5</v>
      </c>
      <c r="H445" t="n">
        <v>0</v>
      </c>
      <c r="I445" t="n">
        <v>0</v>
      </c>
      <c r="J445" t="n">
        <v>0</v>
      </c>
      <c r="K445" t="n">
        <v>0</v>
      </c>
      <c r="L445" t="n">
        <v>0</v>
      </c>
      <c r="M445" t="n">
        <v>0</v>
      </c>
      <c r="N445" t="n">
        <v>0</v>
      </c>
      <c r="O445" t="n">
        <v>0</v>
      </c>
      <c r="P445" t="n">
        <v>0</v>
      </c>
      <c r="Q445" t="n">
        <v>0</v>
      </c>
      <c r="R445" s="2" t="inlineStr"/>
    </row>
    <row r="446" ht="15" customHeight="1">
      <c r="A446" t="inlineStr">
        <is>
          <t>A 15435-2023</t>
        </is>
      </c>
      <c r="B446" s="1" t="n">
        <v>45020</v>
      </c>
      <c r="C446" s="1" t="n">
        <v>45572</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15436-2023</t>
        </is>
      </c>
      <c r="B447" s="1" t="n">
        <v>45020</v>
      </c>
      <c r="C447" s="1" t="n">
        <v>45572</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15433-2023</t>
        </is>
      </c>
      <c r="B448" s="1" t="n">
        <v>45020</v>
      </c>
      <c r="C448" s="1" t="n">
        <v>45572</v>
      </c>
      <c r="D448" t="inlineStr">
        <is>
          <t>DALARNAS LÄN</t>
        </is>
      </c>
      <c r="E448" t="inlineStr">
        <is>
          <t>LEKSAND</t>
        </is>
      </c>
      <c r="G448" t="n">
        <v>3</v>
      </c>
      <c r="H448" t="n">
        <v>0</v>
      </c>
      <c r="I448" t="n">
        <v>0</v>
      </c>
      <c r="J448" t="n">
        <v>0</v>
      </c>
      <c r="K448" t="n">
        <v>0</v>
      </c>
      <c r="L448" t="n">
        <v>0</v>
      </c>
      <c r="M448" t="n">
        <v>0</v>
      </c>
      <c r="N448" t="n">
        <v>0</v>
      </c>
      <c r="O448" t="n">
        <v>0</v>
      </c>
      <c r="P448" t="n">
        <v>0</v>
      </c>
      <c r="Q448" t="n">
        <v>0</v>
      </c>
      <c r="R448" s="2" t="inlineStr"/>
    </row>
    <row r="449" ht="15" customHeight="1">
      <c r="A449" t="inlineStr">
        <is>
          <t>A 15882-2023</t>
        </is>
      </c>
      <c r="B449" s="1" t="n">
        <v>45022</v>
      </c>
      <c r="C449" s="1" t="n">
        <v>45572</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16051-2023</t>
        </is>
      </c>
      <c r="B450" s="1" t="n">
        <v>45027</v>
      </c>
      <c r="C450" s="1" t="n">
        <v>45572</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16139-2023</t>
        </is>
      </c>
      <c r="B451" s="1" t="n">
        <v>45027</v>
      </c>
      <c r="C451" s="1" t="n">
        <v>45572</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16143-2023</t>
        </is>
      </c>
      <c r="B452" s="1" t="n">
        <v>45027</v>
      </c>
      <c r="C452" s="1" t="n">
        <v>45572</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45572</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v>
      </c>
      <c r="C454" s="1" t="n">
        <v>45572</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16333-2023</t>
        </is>
      </c>
      <c r="B455" s="1" t="n">
        <v>45028</v>
      </c>
      <c r="C455" s="1" t="n">
        <v>45572</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16332-2023</t>
        </is>
      </c>
      <c r="B456" s="1" t="n">
        <v>45028</v>
      </c>
      <c r="C456" s="1" t="n">
        <v>45572</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16592-2023</t>
        </is>
      </c>
      <c r="B457" s="1" t="n">
        <v>45030</v>
      </c>
      <c r="C457" s="1" t="n">
        <v>45572</v>
      </c>
      <c r="D457" t="inlineStr">
        <is>
          <t>DALARNAS LÄN</t>
        </is>
      </c>
      <c r="E457" t="inlineStr">
        <is>
          <t>LEKSAND</t>
        </is>
      </c>
      <c r="G457" t="n">
        <v>11.5</v>
      </c>
      <c r="H457" t="n">
        <v>0</v>
      </c>
      <c r="I457" t="n">
        <v>0</v>
      </c>
      <c r="J457" t="n">
        <v>0</v>
      </c>
      <c r="K457" t="n">
        <v>0</v>
      </c>
      <c r="L457" t="n">
        <v>0</v>
      </c>
      <c r="M457" t="n">
        <v>0</v>
      </c>
      <c r="N457" t="n">
        <v>0</v>
      </c>
      <c r="O457" t="n">
        <v>0</v>
      </c>
      <c r="P457" t="n">
        <v>0</v>
      </c>
      <c r="Q457" t="n">
        <v>0</v>
      </c>
      <c r="R457" s="2" t="inlineStr"/>
    </row>
    <row r="458" ht="15" customHeight="1">
      <c r="A458" t="inlineStr">
        <is>
          <t>A 16818-2023</t>
        </is>
      </c>
      <c r="B458" s="1" t="n">
        <v>45033</v>
      </c>
      <c r="C458" s="1" t="n">
        <v>45572</v>
      </c>
      <c r="D458" t="inlineStr">
        <is>
          <t>DALARNAS LÄN</t>
        </is>
      </c>
      <c r="E458" t="inlineStr">
        <is>
          <t>LEKSAND</t>
        </is>
      </c>
      <c r="F458" t="inlineStr">
        <is>
          <t>Övriga statliga verk och myndigheter</t>
        </is>
      </c>
      <c r="G458" t="n">
        <v>1.3</v>
      </c>
      <c r="H458" t="n">
        <v>0</v>
      </c>
      <c r="I458" t="n">
        <v>0</v>
      </c>
      <c r="J458" t="n">
        <v>0</v>
      </c>
      <c r="K458" t="n">
        <v>0</v>
      </c>
      <c r="L458" t="n">
        <v>0</v>
      </c>
      <c r="M458" t="n">
        <v>0</v>
      </c>
      <c r="N458" t="n">
        <v>0</v>
      </c>
      <c r="O458" t="n">
        <v>0</v>
      </c>
      <c r="P458" t="n">
        <v>0</v>
      </c>
      <c r="Q458" t="n">
        <v>0</v>
      </c>
      <c r="R458" s="2" t="inlineStr"/>
    </row>
    <row r="459" ht="15" customHeight="1">
      <c r="A459" t="inlineStr">
        <is>
          <t>A 16882-2023</t>
        </is>
      </c>
      <c r="B459" s="1" t="n">
        <v>45033</v>
      </c>
      <c r="C459" s="1" t="n">
        <v>45572</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16926-2023</t>
        </is>
      </c>
      <c r="B460" s="1" t="n">
        <v>45033</v>
      </c>
      <c r="C460" s="1" t="n">
        <v>45572</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17078-2023</t>
        </is>
      </c>
      <c r="B461" s="1" t="n">
        <v>45034</v>
      </c>
      <c r="C461" s="1" t="n">
        <v>45572</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17070-2023</t>
        </is>
      </c>
      <c r="B462" s="1" t="n">
        <v>45034</v>
      </c>
      <c r="C462" s="1" t="n">
        <v>45572</v>
      </c>
      <c r="D462" t="inlineStr">
        <is>
          <t>DALARNAS LÄN</t>
        </is>
      </c>
      <c r="E462" t="inlineStr">
        <is>
          <t>LEKSAND</t>
        </is>
      </c>
      <c r="G462" t="n">
        <v>5.9</v>
      </c>
      <c r="H462" t="n">
        <v>0</v>
      </c>
      <c r="I462" t="n">
        <v>0</v>
      </c>
      <c r="J462" t="n">
        <v>0</v>
      </c>
      <c r="K462" t="n">
        <v>0</v>
      </c>
      <c r="L462" t="n">
        <v>0</v>
      </c>
      <c r="M462" t="n">
        <v>0</v>
      </c>
      <c r="N462" t="n">
        <v>0</v>
      </c>
      <c r="O462" t="n">
        <v>0</v>
      </c>
      <c r="P462" t="n">
        <v>0</v>
      </c>
      <c r="Q462" t="n">
        <v>0</v>
      </c>
      <c r="R462" s="2" t="inlineStr"/>
    </row>
    <row r="463" ht="15" customHeight="1">
      <c r="A463" t="inlineStr">
        <is>
          <t>A 17076-2023</t>
        </is>
      </c>
      <c r="B463" s="1" t="n">
        <v>45034</v>
      </c>
      <c r="C463" s="1" t="n">
        <v>45572</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17072-2023</t>
        </is>
      </c>
      <c r="B464" s="1" t="n">
        <v>45034</v>
      </c>
      <c r="C464" s="1" t="n">
        <v>45572</v>
      </c>
      <c r="D464" t="inlineStr">
        <is>
          <t>DALARNAS LÄN</t>
        </is>
      </c>
      <c r="E464" t="inlineStr">
        <is>
          <t>LEKSAND</t>
        </is>
      </c>
      <c r="G464" t="n">
        <v>5.3</v>
      </c>
      <c r="H464" t="n">
        <v>0</v>
      </c>
      <c r="I464" t="n">
        <v>0</v>
      </c>
      <c r="J464" t="n">
        <v>0</v>
      </c>
      <c r="K464" t="n">
        <v>0</v>
      </c>
      <c r="L464" t="n">
        <v>0</v>
      </c>
      <c r="M464" t="n">
        <v>0</v>
      </c>
      <c r="N464" t="n">
        <v>0</v>
      </c>
      <c r="O464" t="n">
        <v>0</v>
      </c>
      <c r="P464" t="n">
        <v>0</v>
      </c>
      <c r="Q464" t="n">
        <v>0</v>
      </c>
      <c r="R464" s="2" t="inlineStr"/>
    </row>
    <row r="465" ht="15" customHeight="1">
      <c r="A465" t="inlineStr">
        <is>
          <t>A 17084-2023</t>
        </is>
      </c>
      <c r="B465" s="1" t="n">
        <v>45034</v>
      </c>
      <c r="C465" s="1" t="n">
        <v>45572</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17089-2023</t>
        </is>
      </c>
      <c r="B466" s="1" t="n">
        <v>45034</v>
      </c>
      <c r="C466" s="1" t="n">
        <v>45572</v>
      </c>
      <c r="D466" t="inlineStr">
        <is>
          <t>DALARNAS LÄN</t>
        </is>
      </c>
      <c r="E466" t="inlineStr">
        <is>
          <t>LEKSAND</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45572</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17231-2023</t>
        </is>
      </c>
      <c r="B468" s="1" t="n">
        <v>45035</v>
      </c>
      <c r="C468" s="1" t="n">
        <v>45572</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17331-2023</t>
        </is>
      </c>
      <c r="B469" s="1" t="n">
        <v>45035</v>
      </c>
      <c r="C469" s="1" t="n">
        <v>45572</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17413-2023</t>
        </is>
      </c>
      <c r="B470" s="1" t="n">
        <v>45035</v>
      </c>
      <c r="C470" s="1" t="n">
        <v>45572</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17533-2023</t>
        </is>
      </c>
      <c r="B471" s="1" t="n">
        <v>45036</v>
      </c>
      <c r="C471" s="1" t="n">
        <v>45572</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17759-2023</t>
        </is>
      </c>
      <c r="B472" s="1" t="n">
        <v>45037</v>
      </c>
      <c r="C472" s="1" t="n">
        <v>45572</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17947-2023</t>
        </is>
      </c>
      <c r="B473" s="1" t="n">
        <v>45040</v>
      </c>
      <c r="C473" s="1" t="n">
        <v>45572</v>
      </c>
      <c r="D473" t="inlineStr">
        <is>
          <t>DALARNAS LÄN</t>
        </is>
      </c>
      <c r="E473" t="inlineStr">
        <is>
          <t>LEKSAND</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18351-2023</t>
        </is>
      </c>
      <c r="B474" s="1" t="n">
        <v>45041</v>
      </c>
      <c r="C474" s="1" t="n">
        <v>45572</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18383-2023</t>
        </is>
      </c>
      <c r="B475" s="1" t="n">
        <v>45042</v>
      </c>
      <c r="C475" s="1" t="n">
        <v>45572</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18407-2023</t>
        </is>
      </c>
      <c r="B476" s="1" t="n">
        <v>45042</v>
      </c>
      <c r="C476" s="1" t="n">
        <v>45572</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18677-2023</t>
        </is>
      </c>
      <c r="B477" s="1" t="n">
        <v>45043</v>
      </c>
      <c r="C477" s="1" t="n">
        <v>45572</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18632-2023</t>
        </is>
      </c>
      <c r="B478" s="1" t="n">
        <v>45043</v>
      </c>
      <c r="C478" s="1" t="n">
        <v>45572</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18666-2023</t>
        </is>
      </c>
      <c r="B479" s="1" t="n">
        <v>45043</v>
      </c>
      <c r="C479" s="1" t="n">
        <v>45572</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18909-2023</t>
        </is>
      </c>
      <c r="B480" s="1" t="n">
        <v>45044</v>
      </c>
      <c r="C480" s="1" t="n">
        <v>45572</v>
      </c>
      <c r="D480" t="inlineStr">
        <is>
          <t>DALARNAS LÄN</t>
        </is>
      </c>
      <c r="E480" t="inlineStr">
        <is>
          <t>LEKSAND</t>
        </is>
      </c>
      <c r="G480" t="n">
        <v>10.7</v>
      </c>
      <c r="H480" t="n">
        <v>0</v>
      </c>
      <c r="I480" t="n">
        <v>0</v>
      </c>
      <c r="J480" t="n">
        <v>0</v>
      </c>
      <c r="K480" t="n">
        <v>0</v>
      </c>
      <c r="L480" t="n">
        <v>0</v>
      </c>
      <c r="M480" t="n">
        <v>0</v>
      </c>
      <c r="N480" t="n">
        <v>0</v>
      </c>
      <c r="O480" t="n">
        <v>0</v>
      </c>
      <c r="P480" t="n">
        <v>0</v>
      </c>
      <c r="Q480" t="n">
        <v>0</v>
      </c>
      <c r="R480" s="2" t="inlineStr"/>
    </row>
    <row r="481" ht="15" customHeight="1">
      <c r="A481" t="inlineStr">
        <is>
          <t>A 18837-2023</t>
        </is>
      </c>
      <c r="B481" s="1" t="n">
        <v>45044</v>
      </c>
      <c r="C481" s="1" t="n">
        <v>45572</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19103-2023</t>
        </is>
      </c>
      <c r="B482" s="1" t="n">
        <v>45048</v>
      </c>
      <c r="C482" s="1" t="n">
        <v>45572</v>
      </c>
      <c r="D482" t="inlineStr">
        <is>
          <t>DALARNAS LÄN</t>
        </is>
      </c>
      <c r="E482" t="inlineStr">
        <is>
          <t>LEKSAND</t>
        </is>
      </c>
      <c r="G482" t="n">
        <v>7.1</v>
      </c>
      <c r="H482" t="n">
        <v>0</v>
      </c>
      <c r="I482" t="n">
        <v>0</v>
      </c>
      <c r="J482" t="n">
        <v>0</v>
      </c>
      <c r="K482" t="n">
        <v>0</v>
      </c>
      <c r="L482" t="n">
        <v>0</v>
      </c>
      <c r="M482" t="n">
        <v>0</v>
      </c>
      <c r="N482" t="n">
        <v>0</v>
      </c>
      <c r="O482" t="n">
        <v>0</v>
      </c>
      <c r="P482" t="n">
        <v>0</v>
      </c>
      <c r="Q482" t="n">
        <v>0</v>
      </c>
      <c r="R482" s="2" t="inlineStr"/>
    </row>
    <row r="483" ht="15" customHeight="1">
      <c r="A483" t="inlineStr">
        <is>
          <t>A 19316-2023</t>
        </is>
      </c>
      <c r="B483" s="1" t="n">
        <v>45049</v>
      </c>
      <c r="C483" s="1" t="n">
        <v>45572</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19331-2023</t>
        </is>
      </c>
      <c r="B484" s="1" t="n">
        <v>45049</v>
      </c>
      <c r="C484" s="1" t="n">
        <v>45572</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19550-2023</t>
        </is>
      </c>
      <c r="B485" s="1" t="n">
        <v>45049</v>
      </c>
      <c r="C485" s="1" t="n">
        <v>45572</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19590-2023</t>
        </is>
      </c>
      <c r="B486" s="1" t="n">
        <v>45049</v>
      </c>
      <c r="C486" s="1" t="n">
        <v>45572</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19559-2023</t>
        </is>
      </c>
      <c r="B487" s="1" t="n">
        <v>45050</v>
      </c>
      <c r="C487" s="1" t="n">
        <v>45572</v>
      </c>
      <c r="D487" t="inlineStr">
        <is>
          <t>DALARNAS LÄN</t>
        </is>
      </c>
      <c r="E487" t="inlineStr">
        <is>
          <t>LEKSAND</t>
        </is>
      </c>
      <c r="G487" t="n">
        <v>0.1</v>
      </c>
      <c r="H487" t="n">
        <v>0</v>
      </c>
      <c r="I487" t="n">
        <v>0</v>
      </c>
      <c r="J487" t="n">
        <v>0</v>
      </c>
      <c r="K487" t="n">
        <v>0</v>
      </c>
      <c r="L487" t="n">
        <v>0</v>
      </c>
      <c r="M487" t="n">
        <v>0</v>
      </c>
      <c r="N487" t="n">
        <v>0</v>
      </c>
      <c r="O487" t="n">
        <v>0</v>
      </c>
      <c r="P487" t="n">
        <v>0</v>
      </c>
      <c r="Q487" t="n">
        <v>0</v>
      </c>
      <c r="R487" s="2" t="inlineStr"/>
    </row>
    <row r="488" ht="15" customHeight="1">
      <c r="A488" t="inlineStr">
        <is>
          <t>A 19689-2023</t>
        </is>
      </c>
      <c r="B488" s="1" t="n">
        <v>45051</v>
      </c>
      <c r="C488" s="1" t="n">
        <v>45572</v>
      </c>
      <c r="D488" t="inlineStr">
        <is>
          <t>DALARNAS LÄN</t>
        </is>
      </c>
      <c r="E488" t="inlineStr">
        <is>
          <t>LEKSAND</t>
        </is>
      </c>
      <c r="G488" t="n">
        <v>15.9</v>
      </c>
      <c r="H488" t="n">
        <v>0</v>
      </c>
      <c r="I488" t="n">
        <v>0</v>
      </c>
      <c r="J488" t="n">
        <v>0</v>
      </c>
      <c r="K488" t="n">
        <v>0</v>
      </c>
      <c r="L488" t="n">
        <v>0</v>
      </c>
      <c r="M488" t="n">
        <v>0</v>
      </c>
      <c r="N488" t="n">
        <v>0</v>
      </c>
      <c r="O488" t="n">
        <v>0</v>
      </c>
      <c r="P488" t="n">
        <v>0</v>
      </c>
      <c r="Q488" t="n">
        <v>0</v>
      </c>
      <c r="R488" s="2" t="inlineStr"/>
    </row>
    <row r="489" ht="15" customHeight="1">
      <c r="A489" t="inlineStr">
        <is>
          <t>A 20150-2023</t>
        </is>
      </c>
      <c r="B489" s="1" t="n">
        <v>45051</v>
      </c>
      <c r="C489" s="1" t="n">
        <v>45572</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20514-2023</t>
        </is>
      </c>
      <c r="B490" s="1" t="n">
        <v>45054</v>
      </c>
      <c r="C490" s="1" t="n">
        <v>45572</v>
      </c>
      <c r="D490" t="inlineStr">
        <is>
          <t>DALARNAS LÄN</t>
        </is>
      </c>
      <c r="E490" t="inlineStr">
        <is>
          <t>LEKSAND</t>
        </is>
      </c>
      <c r="G490" t="n">
        <v>3.2</v>
      </c>
      <c r="H490" t="n">
        <v>0</v>
      </c>
      <c r="I490" t="n">
        <v>0</v>
      </c>
      <c r="J490" t="n">
        <v>0</v>
      </c>
      <c r="K490" t="n">
        <v>0</v>
      </c>
      <c r="L490" t="n">
        <v>0</v>
      </c>
      <c r="M490" t="n">
        <v>0</v>
      </c>
      <c r="N490" t="n">
        <v>0</v>
      </c>
      <c r="O490" t="n">
        <v>0</v>
      </c>
      <c r="P490" t="n">
        <v>0</v>
      </c>
      <c r="Q490" t="n">
        <v>0</v>
      </c>
      <c r="R490" s="2" t="inlineStr"/>
    </row>
    <row r="491" ht="15" customHeight="1">
      <c r="A491" t="inlineStr">
        <is>
          <t>A 20222-2023</t>
        </is>
      </c>
      <c r="B491" s="1" t="n">
        <v>45055</v>
      </c>
      <c r="C491" s="1" t="n">
        <v>45572</v>
      </c>
      <c r="D491" t="inlineStr">
        <is>
          <t>DALARNAS LÄN</t>
        </is>
      </c>
      <c r="E491" t="inlineStr">
        <is>
          <t>LEKSAND</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20114-2023</t>
        </is>
      </c>
      <c r="B492" s="1" t="n">
        <v>45055</v>
      </c>
      <c r="C492" s="1" t="n">
        <v>45572</v>
      </c>
      <c r="D492" t="inlineStr">
        <is>
          <t>DALARNAS LÄN</t>
        </is>
      </c>
      <c r="E492" t="inlineStr">
        <is>
          <t>LEKSAND</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20936-2023</t>
        </is>
      </c>
      <c r="B493" s="1" t="n">
        <v>45061</v>
      </c>
      <c r="C493" s="1" t="n">
        <v>45572</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20946-2023</t>
        </is>
      </c>
      <c r="B494" s="1" t="n">
        <v>45061</v>
      </c>
      <c r="C494" s="1" t="n">
        <v>45572</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45572</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21299-2023</t>
        </is>
      </c>
      <c r="B496" s="1" t="n">
        <v>45062</v>
      </c>
      <c r="C496" s="1" t="n">
        <v>45572</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21817-2023</t>
        </is>
      </c>
      <c r="B497" s="1" t="n">
        <v>45068</v>
      </c>
      <c r="C497" s="1" t="n">
        <v>45572</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21910-2023</t>
        </is>
      </c>
      <c r="B498" s="1" t="n">
        <v>45068</v>
      </c>
      <c r="C498" s="1" t="n">
        <v>45572</v>
      </c>
      <c r="D498" t="inlineStr">
        <is>
          <t>DALARNAS LÄN</t>
        </is>
      </c>
      <c r="E498" t="inlineStr">
        <is>
          <t>LEKSAND</t>
        </is>
      </c>
      <c r="F498" t="inlineStr">
        <is>
          <t>Bergvik skog väst AB</t>
        </is>
      </c>
      <c r="G498" t="n">
        <v>9.4</v>
      </c>
      <c r="H498" t="n">
        <v>0</v>
      </c>
      <c r="I498" t="n">
        <v>0</v>
      </c>
      <c r="J498" t="n">
        <v>0</v>
      </c>
      <c r="K498" t="n">
        <v>0</v>
      </c>
      <c r="L498" t="n">
        <v>0</v>
      </c>
      <c r="M498" t="n">
        <v>0</v>
      </c>
      <c r="N498" t="n">
        <v>0</v>
      </c>
      <c r="O498" t="n">
        <v>0</v>
      </c>
      <c r="P498" t="n">
        <v>0</v>
      </c>
      <c r="Q498" t="n">
        <v>0</v>
      </c>
      <c r="R498" s="2" t="inlineStr"/>
    </row>
    <row r="499" ht="15" customHeight="1">
      <c r="A499" t="inlineStr">
        <is>
          <t>A 21849-2023</t>
        </is>
      </c>
      <c r="B499" s="1" t="n">
        <v>45068</v>
      </c>
      <c r="C499" s="1" t="n">
        <v>45572</v>
      </c>
      <c r="D499" t="inlineStr">
        <is>
          <t>DALARNAS LÄN</t>
        </is>
      </c>
      <c r="E499" t="inlineStr">
        <is>
          <t>LEKSAND</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45572</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22196-2023</t>
        </is>
      </c>
      <c r="B501" s="1" t="n">
        <v>45069</v>
      </c>
      <c r="C501" s="1" t="n">
        <v>45572</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22197-2023</t>
        </is>
      </c>
      <c r="B502" s="1" t="n">
        <v>45069</v>
      </c>
      <c r="C502" s="1" t="n">
        <v>45572</v>
      </c>
      <c r="D502" t="inlineStr">
        <is>
          <t>DALARNAS LÄN</t>
        </is>
      </c>
      <c r="E502" t="inlineStr">
        <is>
          <t>LEKSAND</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22570-2023</t>
        </is>
      </c>
      <c r="B503" s="1" t="n">
        <v>45071</v>
      </c>
      <c r="C503" s="1" t="n">
        <v>45572</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22684-2023</t>
        </is>
      </c>
      <c r="B504" s="1" t="n">
        <v>45071</v>
      </c>
      <c r="C504" s="1" t="n">
        <v>45572</v>
      </c>
      <c r="D504" t="inlineStr">
        <is>
          <t>DALARNAS LÄN</t>
        </is>
      </c>
      <c r="E504" t="inlineStr">
        <is>
          <t>LEKSAND</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23226-2023</t>
        </is>
      </c>
      <c r="B505" s="1" t="n">
        <v>45075</v>
      </c>
      <c r="C505" s="1" t="n">
        <v>45572</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45572</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23348-2023</t>
        </is>
      </c>
      <c r="B507" s="1" t="n">
        <v>45076</v>
      </c>
      <c r="C507" s="1" t="n">
        <v>45572</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23509-2023</t>
        </is>
      </c>
      <c r="B508" s="1" t="n">
        <v>45076</v>
      </c>
      <c r="C508" s="1" t="n">
        <v>45572</v>
      </c>
      <c r="D508" t="inlineStr">
        <is>
          <t>DALARNAS LÄN</t>
        </is>
      </c>
      <c r="E508" t="inlineStr">
        <is>
          <t>LEKSAND</t>
        </is>
      </c>
      <c r="G508" t="n">
        <v>2.1</v>
      </c>
      <c r="H508" t="n">
        <v>0</v>
      </c>
      <c r="I508" t="n">
        <v>0</v>
      </c>
      <c r="J508" t="n">
        <v>0</v>
      </c>
      <c r="K508" t="n">
        <v>0</v>
      </c>
      <c r="L508" t="n">
        <v>0</v>
      </c>
      <c r="M508" t="n">
        <v>0</v>
      </c>
      <c r="N508" t="n">
        <v>0</v>
      </c>
      <c r="O508" t="n">
        <v>0</v>
      </c>
      <c r="P508" t="n">
        <v>0</v>
      </c>
      <c r="Q508" t="n">
        <v>0</v>
      </c>
      <c r="R508" s="2" t="inlineStr"/>
    </row>
    <row r="509" ht="15" customHeight="1">
      <c r="A509" t="inlineStr">
        <is>
          <t>A 23882-2023</t>
        </is>
      </c>
      <c r="B509" s="1" t="n">
        <v>45078</v>
      </c>
      <c r="C509" s="1" t="n">
        <v>45572</v>
      </c>
      <c r="D509" t="inlineStr">
        <is>
          <t>DALARNAS LÄN</t>
        </is>
      </c>
      <c r="E509" t="inlineStr">
        <is>
          <t>LEKSAND</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23910-2023</t>
        </is>
      </c>
      <c r="B510" s="1" t="n">
        <v>45078</v>
      </c>
      <c r="C510" s="1" t="n">
        <v>45572</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24728-2023</t>
        </is>
      </c>
      <c r="B511" s="1" t="n">
        <v>45084</v>
      </c>
      <c r="C511" s="1" t="n">
        <v>45572</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24823-2023</t>
        </is>
      </c>
      <c r="B512" s="1" t="n">
        <v>45084</v>
      </c>
      <c r="C512" s="1" t="n">
        <v>45572</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24814-2023</t>
        </is>
      </c>
      <c r="B513" s="1" t="n">
        <v>45084</v>
      </c>
      <c r="C513" s="1" t="n">
        <v>45572</v>
      </c>
      <c r="D513" t="inlineStr">
        <is>
          <t>DALARNAS LÄN</t>
        </is>
      </c>
      <c r="E513" t="inlineStr">
        <is>
          <t>LEKSAND</t>
        </is>
      </c>
      <c r="G513" t="n">
        <v>5.6</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45086</v>
      </c>
      <c r="C514" s="1" t="n">
        <v>45572</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25067-2023</t>
        </is>
      </c>
      <c r="B515" s="1" t="n">
        <v>45086</v>
      </c>
      <c r="C515" s="1" t="n">
        <v>45572</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25038-2023</t>
        </is>
      </c>
      <c r="B516" s="1" t="n">
        <v>45085</v>
      </c>
      <c r="C516" s="1" t="n">
        <v>45572</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25627-2023</t>
        </is>
      </c>
      <c r="B517" s="1" t="n">
        <v>45089</v>
      </c>
      <c r="C517" s="1" t="n">
        <v>45572</v>
      </c>
      <c r="D517" t="inlineStr">
        <is>
          <t>DALARNAS LÄN</t>
        </is>
      </c>
      <c r="E517" t="inlineStr">
        <is>
          <t>LEKSAND</t>
        </is>
      </c>
      <c r="F517" t="inlineStr">
        <is>
          <t>Bergvik skog väst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25637-2023</t>
        </is>
      </c>
      <c r="B518" s="1" t="n">
        <v>45089</v>
      </c>
      <c r="C518" s="1" t="n">
        <v>45572</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25652-2023</t>
        </is>
      </c>
      <c r="B519" s="1" t="n">
        <v>45089</v>
      </c>
      <c r="C519" s="1" t="n">
        <v>45572</v>
      </c>
      <c r="D519" t="inlineStr">
        <is>
          <t>DALARNAS LÄN</t>
        </is>
      </c>
      <c r="E519" t="inlineStr">
        <is>
          <t>LEKSAND</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25715-2023</t>
        </is>
      </c>
      <c r="B520" s="1" t="n">
        <v>45090</v>
      </c>
      <c r="C520" s="1" t="n">
        <v>45572</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25907-2023</t>
        </is>
      </c>
      <c r="B521" s="1" t="n">
        <v>45090</v>
      </c>
      <c r="C521" s="1" t="n">
        <v>45572</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26742-2023</t>
        </is>
      </c>
      <c r="B522" s="1" t="n">
        <v>45090</v>
      </c>
      <c r="C522" s="1" t="n">
        <v>45572</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26038-2023</t>
        </is>
      </c>
      <c r="B523" s="1" t="n">
        <v>45091</v>
      </c>
      <c r="C523" s="1" t="n">
        <v>45572</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26044-2023</t>
        </is>
      </c>
      <c r="B524" s="1" t="n">
        <v>45091</v>
      </c>
      <c r="C524" s="1" t="n">
        <v>45572</v>
      </c>
      <c r="D524" t="inlineStr">
        <is>
          <t>DALARNAS LÄN</t>
        </is>
      </c>
      <c r="E524" t="inlineStr">
        <is>
          <t>LEKSAND</t>
        </is>
      </c>
      <c r="G524" t="n">
        <v>5.3</v>
      </c>
      <c r="H524" t="n">
        <v>0</v>
      </c>
      <c r="I524" t="n">
        <v>0</v>
      </c>
      <c r="J524" t="n">
        <v>0</v>
      </c>
      <c r="K524" t="n">
        <v>0</v>
      </c>
      <c r="L524" t="n">
        <v>0</v>
      </c>
      <c r="M524" t="n">
        <v>0</v>
      </c>
      <c r="N524" t="n">
        <v>0</v>
      </c>
      <c r="O524" t="n">
        <v>0</v>
      </c>
      <c r="P524" t="n">
        <v>0</v>
      </c>
      <c r="Q524" t="n">
        <v>0</v>
      </c>
      <c r="R524" s="2" t="inlineStr"/>
    </row>
    <row r="525" ht="15" customHeight="1">
      <c r="A525" t="inlineStr">
        <is>
          <t>A 26107-2023</t>
        </is>
      </c>
      <c r="B525" s="1" t="n">
        <v>45091</v>
      </c>
      <c r="C525" s="1" t="n">
        <v>45572</v>
      </c>
      <c r="D525" t="inlineStr">
        <is>
          <t>DALARNAS LÄN</t>
        </is>
      </c>
      <c r="E525" t="inlineStr">
        <is>
          <t>LEKSAND</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26847-2023</t>
        </is>
      </c>
      <c r="B526" s="1" t="n">
        <v>45093</v>
      </c>
      <c r="C526" s="1" t="n">
        <v>45572</v>
      </c>
      <c r="D526" t="inlineStr">
        <is>
          <t>DALARNAS LÄN</t>
        </is>
      </c>
      <c r="E526" t="inlineStr">
        <is>
          <t>LEKSAND</t>
        </is>
      </c>
      <c r="G526" t="n">
        <v>3.9</v>
      </c>
      <c r="H526" t="n">
        <v>0</v>
      </c>
      <c r="I526" t="n">
        <v>0</v>
      </c>
      <c r="J526" t="n">
        <v>0</v>
      </c>
      <c r="K526" t="n">
        <v>0</v>
      </c>
      <c r="L526" t="n">
        <v>0</v>
      </c>
      <c r="M526" t="n">
        <v>0</v>
      </c>
      <c r="N526" t="n">
        <v>0</v>
      </c>
      <c r="O526" t="n">
        <v>0</v>
      </c>
      <c r="P526" t="n">
        <v>0</v>
      </c>
      <c r="Q526" t="n">
        <v>0</v>
      </c>
      <c r="R526" s="2" t="inlineStr"/>
    </row>
    <row r="527" ht="15" customHeight="1">
      <c r="A527" t="inlineStr">
        <is>
          <t>A 26957-2023</t>
        </is>
      </c>
      <c r="B527" s="1" t="n">
        <v>45093</v>
      </c>
      <c r="C527" s="1" t="n">
        <v>45572</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26924-2023</t>
        </is>
      </c>
      <c r="B528" s="1" t="n">
        <v>45093</v>
      </c>
      <c r="C528" s="1" t="n">
        <v>45572</v>
      </c>
      <c r="D528" t="inlineStr">
        <is>
          <t>DALARNAS LÄN</t>
        </is>
      </c>
      <c r="E528" t="inlineStr">
        <is>
          <t>LEKSAND</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26959-2023</t>
        </is>
      </c>
      <c r="B529" s="1" t="n">
        <v>45093</v>
      </c>
      <c r="C529" s="1" t="n">
        <v>45572</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26931-2023</t>
        </is>
      </c>
      <c r="B530" s="1" t="n">
        <v>45093</v>
      </c>
      <c r="C530" s="1" t="n">
        <v>45572</v>
      </c>
      <c r="D530" t="inlineStr">
        <is>
          <t>DALARNAS LÄN</t>
        </is>
      </c>
      <c r="E530" t="inlineStr">
        <is>
          <t>LEKSAND</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26946-2023</t>
        </is>
      </c>
      <c r="B531" s="1" t="n">
        <v>45093</v>
      </c>
      <c r="C531" s="1" t="n">
        <v>45572</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27047-2023</t>
        </is>
      </c>
      <c r="B532" s="1" t="n">
        <v>45095</v>
      </c>
      <c r="C532" s="1" t="n">
        <v>45572</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27055-2023</t>
        </is>
      </c>
      <c r="B533" s="1" t="n">
        <v>45095</v>
      </c>
      <c r="C533" s="1" t="n">
        <v>45572</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c r="U533">
        <f>HYPERLINK("https://klasma.github.io/Logging_2029/knärot/A 27055-2023 karta knärot.png", "A 27055-2023")</f>
        <v/>
      </c>
      <c r="V533">
        <f>HYPERLINK("https://klasma.github.io/Logging_2029/klagomål/A 27055-2023 FSC-klagomål.docx", "A 27055-2023")</f>
        <v/>
      </c>
      <c r="W533">
        <f>HYPERLINK("https://klasma.github.io/Logging_2029/klagomålsmail/A 27055-2023 FSC-klagomål mail.docx", "A 27055-2023")</f>
        <v/>
      </c>
      <c r="X533">
        <f>HYPERLINK("https://klasma.github.io/Logging_2029/tillsyn/A 27055-2023 tillsynsbegäran.docx", "A 27055-2023")</f>
        <v/>
      </c>
      <c r="Y533">
        <f>HYPERLINK("https://klasma.github.io/Logging_2029/tillsynsmail/A 27055-2023 tillsynsbegäran mail.docx", "A 27055-2023")</f>
        <v/>
      </c>
    </row>
    <row r="534" ht="15" customHeight="1">
      <c r="A534" t="inlineStr">
        <is>
          <t>A 27048-2023</t>
        </is>
      </c>
      <c r="B534" s="1" t="n">
        <v>45095</v>
      </c>
      <c r="C534" s="1" t="n">
        <v>45572</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27046-2023</t>
        </is>
      </c>
      <c r="B535" s="1" t="n">
        <v>45095</v>
      </c>
      <c r="C535" s="1" t="n">
        <v>45572</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27054-2023</t>
        </is>
      </c>
      <c r="B536" s="1" t="n">
        <v>45095</v>
      </c>
      <c r="C536" s="1" t="n">
        <v>45572</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27244-2023</t>
        </is>
      </c>
      <c r="B537" s="1" t="n">
        <v>45096</v>
      </c>
      <c r="C537" s="1" t="n">
        <v>45572</v>
      </c>
      <c r="D537" t="inlineStr">
        <is>
          <t>DALARNAS LÄN</t>
        </is>
      </c>
      <c r="E537" t="inlineStr">
        <is>
          <t>LEKSAND</t>
        </is>
      </c>
      <c r="G537" t="n">
        <v>5</v>
      </c>
      <c r="H537" t="n">
        <v>0</v>
      </c>
      <c r="I537" t="n">
        <v>0</v>
      </c>
      <c r="J537" t="n">
        <v>0</v>
      </c>
      <c r="K537" t="n">
        <v>0</v>
      </c>
      <c r="L537" t="n">
        <v>0</v>
      </c>
      <c r="M537" t="n">
        <v>0</v>
      </c>
      <c r="N537" t="n">
        <v>0</v>
      </c>
      <c r="O537" t="n">
        <v>0</v>
      </c>
      <c r="P537" t="n">
        <v>0</v>
      </c>
      <c r="Q537" t="n">
        <v>0</v>
      </c>
      <c r="R537" s="2" t="inlineStr"/>
    </row>
    <row r="538" ht="15" customHeight="1">
      <c r="A538" t="inlineStr">
        <is>
          <t>A 27348-2023</t>
        </is>
      </c>
      <c r="B538" s="1" t="n">
        <v>45096</v>
      </c>
      <c r="C538" s="1" t="n">
        <v>45572</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27511-2023</t>
        </is>
      </c>
      <c r="B539" s="1" t="n">
        <v>45097</v>
      </c>
      <c r="C539" s="1" t="n">
        <v>45572</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27520-2023</t>
        </is>
      </c>
      <c r="B540" s="1" t="n">
        <v>45097</v>
      </c>
      <c r="C540" s="1" t="n">
        <v>45572</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27543-2023</t>
        </is>
      </c>
      <c r="B541" s="1" t="n">
        <v>45097</v>
      </c>
      <c r="C541" s="1" t="n">
        <v>45572</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27791-2023</t>
        </is>
      </c>
      <c r="B542" s="1" t="n">
        <v>45098</v>
      </c>
      <c r="C542" s="1" t="n">
        <v>45572</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28103-2023</t>
        </is>
      </c>
      <c r="B543" s="1" t="n">
        <v>45099</v>
      </c>
      <c r="C543" s="1" t="n">
        <v>45572</v>
      </c>
      <c r="D543" t="inlineStr">
        <is>
          <t>DALARNAS LÄN</t>
        </is>
      </c>
      <c r="E543" t="inlineStr">
        <is>
          <t>LEKSAND</t>
        </is>
      </c>
      <c r="F543" t="inlineStr">
        <is>
          <t>Bergvik skog väst AB</t>
        </is>
      </c>
      <c r="G543" t="n">
        <v>15.3</v>
      </c>
      <c r="H543" t="n">
        <v>0</v>
      </c>
      <c r="I543" t="n">
        <v>0</v>
      </c>
      <c r="J543" t="n">
        <v>0</v>
      </c>
      <c r="K543" t="n">
        <v>0</v>
      </c>
      <c r="L543" t="n">
        <v>0</v>
      </c>
      <c r="M543" t="n">
        <v>0</v>
      </c>
      <c r="N543" t="n">
        <v>0</v>
      </c>
      <c r="O543" t="n">
        <v>0</v>
      </c>
      <c r="P543" t="n">
        <v>0</v>
      </c>
      <c r="Q543" t="n">
        <v>0</v>
      </c>
      <c r="R543" s="2" t="inlineStr"/>
    </row>
    <row r="544" ht="15" customHeight="1">
      <c r="A544" t="inlineStr">
        <is>
          <t>A 28108-2023</t>
        </is>
      </c>
      <c r="B544" s="1" t="n">
        <v>45099</v>
      </c>
      <c r="C544" s="1" t="n">
        <v>45572</v>
      </c>
      <c r="D544" t="inlineStr">
        <is>
          <t>DALARNAS LÄN</t>
        </is>
      </c>
      <c r="E544" t="inlineStr">
        <is>
          <t>LEKSAND</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45572</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28592-2023</t>
        </is>
      </c>
      <c r="B546" s="1" t="n">
        <v>45103</v>
      </c>
      <c r="C546" s="1" t="n">
        <v>45572</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28633-2023</t>
        </is>
      </c>
      <c r="B547" s="1" t="n">
        <v>45103</v>
      </c>
      <c r="C547" s="1" t="n">
        <v>45572</v>
      </c>
      <c r="D547" t="inlineStr">
        <is>
          <t>DALARNAS LÄN</t>
        </is>
      </c>
      <c r="E547" t="inlineStr">
        <is>
          <t>LEKSAND</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28630-2023</t>
        </is>
      </c>
      <c r="B548" s="1" t="n">
        <v>45103</v>
      </c>
      <c r="C548" s="1" t="n">
        <v>45572</v>
      </c>
      <c r="D548" t="inlineStr">
        <is>
          <t>DALARNAS LÄN</t>
        </is>
      </c>
      <c r="E548" t="inlineStr">
        <is>
          <t>LEKSAND</t>
        </is>
      </c>
      <c r="F548" t="inlineStr">
        <is>
          <t>Bergvik skog väst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28946-2023</t>
        </is>
      </c>
      <c r="B549" s="1" t="n">
        <v>45104</v>
      </c>
      <c r="C549" s="1" t="n">
        <v>45572</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28935-2023</t>
        </is>
      </c>
      <c r="B550" s="1" t="n">
        <v>45104</v>
      </c>
      <c r="C550" s="1" t="n">
        <v>45572</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28965-2023</t>
        </is>
      </c>
      <c r="B551" s="1" t="n">
        <v>45104</v>
      </c>
      <c r="C551" s="1" t="n">
        <v>45572</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31401-2023</t>
        </is>
      </c>
      <c r="B552" s="1" t="n">
        <v>45104</v>
      </c>
      <c r="C552" s="1" t="n">
        <v>45572</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45572</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31422-2023</t>
        </is>
      </c>
      <c r="B554" s="1" t="n">
        <v>45104</v>
      </c>
      <c r="C554" s="1" t="n">
        <v>45572</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29122-2023</t>
        </is>
      </c>
      <c r="B555" s="1" t="n">
        <v>45105</v>
      </c>
      <c r="C555" s="1" t="n">
        <v>45572</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29139-2023</t>
        </is>
      </c>
      <c r="B556" s="1" t="n">
        <v>45105</v>
      </c>
      <c r="C556" s="1" t="n">
        <v>45572</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29222-2023</t>
        </is>
      </c>
      <c r="B557" s="1" t="n">
        <v>45105</v>
      </c>
      <c r="C557" s="1" t="n">
        <v>45572</v>
      </c>
      <c r="D557" t="inlineStr">
        <is>
          <t>DALARNAS LÄN</t>
        </is>
      </c>
      <c r="E557" t="inlineStr">
        <is>
          <t>LEKSAND</t>
        </is>
      </c>
      <c r="G557" t="n">
        <v>5</v>
      </c>
      <c r="H557" t="n">
        <v>0</v>
      </c>
      <c r="I557" t="n">
        <v>0</v>
      </c>
      <c r="J557" t="n">
        <v>0</v>
      </c>
      <c r="K557" t="n">
        <v>0</v>
      </c>
      <c r="L557" t="n">
        <v>0</v>
      </c>
      <c r="M557" t="n">
        <v>0</v>
      </c>
      <c r="N557" t="n">
        <v>0</v>
      </c>
      <c r="O557" t="n">
        <v>0</v>
      </c>
      <c r="P557" t="n">
        <v>0</v>
      </c>
      <c r="Q557" t="n">
        <v>0</v>
      </c>
      <c r="R557" s="2" t="inlineStr"/>
    </row>
    <row r="558" ht="15" customHeight="1">
      <c r="A558" t="inlineStr">
        <is>
          <t>A 29916-2023</t>
        </is>
      </c>
      <c r="B558" s="1" t="n">
        <v>45107</v>
      </c>
      <c r="C558" s="1" t="n">
        <v>45572</v>
      </c>
      <c r="D558" t="inlineStr">
        <is>
          <t>DALARNAS LÄN</t>
        </is>
      </c>
      <c r="E558" t="inlineStr">
        <is>
          <t>LEKSAND</t>
        </is>
      </c>
      <c r="F558" t="inlineStr">
        <is>
          <t>Bergvik skog väst AB</t>
        </is>
      </c>
      <c r="G558" t="n">
        <v>9.4</v>
      </c>
      <c r="H558" t="n">
        <v>0</v>
      </c>
      <c r="I558" t="n">
        <v>0</v>
      </c>
      <c r="J558" t="n">
        <v>0</v>
      </c>
      <c r="K558" t="n">
        <v>0</v>
      </c>
      <c r="L558" t="n">
        <v>0</v>
      </c>
      <c r="M558" t="n">
        <v>0</v>
      </c>
      <c r="N558" t="n">
        <v>0</v>
      </c>
      <c r="O558" t="n">
        <v>0</v>
      </c>
      <c r="P558" t="n">
        <v>0</v>
      </c>
      <c r="Q558" t="n">
        <v>0</v>
      </c>
      <c r="R558" s="2" t="inlineStr"/>
    </row>
    <row r="559" ht="15" customHeight="1">
      <c r="A559" t="inlineStr">
        <is>
          <t>A 29881-2023</t>
        </is>
      </c>
      <c r="B559" s="1" t="n">
        <v>45107</v>
      </c>
      <c r="C559" s="1" t="n">
        <v>45572</v>
      </c>
      <c r="D559" t="inlineStr">
        <is>
          <t>DALARNAS LÄN</t>
        </is>
      </c>
      <c r="E559" t="inlineStr">
        <is>
          <t>LEKSAND</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29694-2023</t>
        </is>
      </c>
      <c r="B560" s="1" t="n">
        <v>45107</v>
      </c>
      <c r="C560" s="1" t="n">
        <v>45572</v>
      </c>
      <c r="D560" t="inlineStr">
        <is>
          <t>DALARNAS LÄN</t>
        </is>
      </c>
      <c r="E560" t="inlineStr">
        <is>
          <t>LEKSAND</t>
        </is>
      </c>
      <c r="G560" t="n">
        <v>4.8</v>
      </c>
      <c r="H560" t="n">
        <v>0</v>
      </c>
      <c r="I560" t="n">
        <v>0</v>
      </c>
      <c r="J560" t="n">
        <v>0</v>
      </c>
      <c r="K560" t="n">
        <v>0</v>
      </c>
      <c r="L560" t="n">
        <v>0</v>
      </c>
      <c r="M560" t="n">
        <v>0</v>
      </c>
      <c r="N560" t="n">
        <v>0</v>
      </c>
      <c r="O560" t="n">
        <v>0</v>
      </c>
      <c r="P560" t="n">
        <v>0</v>
      </c>
      <c r="Q560" t="n">
        <v>0</v>
      </c>
      <c r="R560" s="2" t="inlineStr"/>
    </row>
    <row r="561" ht="15" customHeight="1">
      <c r="A561" t="inlineStr">
        <is>
          <t>A 32261-2023</t>
        </is>
      </c>
      <c r="B561" s="1" t="n">
        <v>45108</v>
      </c>
      <c r="C561" s="1" t="n">
        <v>45572</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30000-2023</t>
        </is>
      </c>
      <c r="B562" s="1" t="n">
        <v>45109</v>
      </c>
      <c r="C562" s="1" t="n">
        <v>45572</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30082-2023</t>
        </is>
      </c>
      <c r="B563" s="1" t="n">
        <v>45110</v>
      </c>
      <c r="C563" s="1" t="n">
        <v>45572</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30169-2023</t>
        </is>
      </c>
      <c r="B564" s="1" t="n">
        <v>45110</v>
      </c>
      <c r="C564" s="1" t="n">
        <v>45572</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30135-2023</t>
        </is>
      </c>
      <c r="B565" s="1" t="n">
        <v>45110</v>
      </c>
      <c r="C565" s="1" t="n">
        <v>45572</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30195-2023</t>
        </is>
      </c>
      <c r="B566" s="1" t="n">
        <v>45110</v>
      </c>
      <c r="C566" s="1" t="n">
        <v>45572</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30196-2023</t>
        </is>
      </c>
      <c r="B567" s="1" t="n">
        <v>45110</v>
      </c>
      <c r="C567" s="1" t="n">
        <v>45572</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30175-2023</t>
        </is>
      </c>
      <c r="B568" s="1" t="n">
        <v>45110</v>
      </c>
      <c r="C568" s="1" t="n">
        <v>45572</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30523-2023</t>
        </is>
      </c>
      <c r="B569" s="1" t="n">
        <v>45111</v>
      </c>
      <c r="C569" s="1" t="n">
        <v>45572</v>
      </c>
      <c r="D569" t="inlineStr">
        <is>
          <t>DALARNAS LÄN</t>
        </is>
      </c>
      <c r="E569" t="inlineStr">
        <is>
          <t>LEKSAND</t>
        </is>
      </c>
      <c r="G569" t="n">
        <v>5.6</v>
      </c>
      <c r="H569" t="n">
        <v>0</v>
      </c>
      <c r="I569" t="n">
        <v>0</v>
      </c>
      <c r="J569" t="n">
        <v>0</v>
      </c>
      <c r="K569" t="n">
        <v>0</v>
      </c>
      <c r="L569" t="n">
        <v>0</v>
      </c>
      <c r="M569" t="n">
        <v>0</v>
      </c>
      <c r="N569" t="n">
        <v>0</v>
      </c>
      <c r="O569" t="n">
        <v>0</v>
      </c>
      <c r="P569" t="n">
        <v>0</v>
      </c>
      <c r="Q569" t="n">
        <v>0</v>
      </c>
      <c r="R569" s="2" t="inlineStr"/>
    </row>
    <row r="570" ht="15" customHeight="1">
      <c r="A570" t="inlineStr">
        <is>
          <t>A 30595-2023</t>
        </is>
      </c>
      <c r="B570" s="1" t="n">
        <v>45112</v>
      </c>
      <c r="C570" s="1" t="n">
        <v>45572</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30611-2023</t>
        </is>
      </c>
      <c r="B571" s="1" t="n">
        <v>45112</v>
      </c>
      <c r="C571" s="1" t="n">
        <v>45572</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30700-2023</t>
        </is>
      </c>
      <c r="B572" s="1" t="n">
        <v>45112</v>
      </c>
      <c r="C572" s="1" t="n">
        <v>45572</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30654-2023</t>
        </is>
      </c>
      <c r="B573" s="1" t="n">
        <v>45112</v>
      </c>
      <c r="C573" s="1" t="n">
        <v>45572</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30880-2023</t>
        </is>
      </c>
      <c r="B574" s="1" t="n">
        <v>45113</v>
      </c>
      <c r="C574" s="1" t="n">
        <v>45572</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30992-2023</t>
        </is>
      </c>
      <c r="B575" s="1" t="n">
        <v>45113</v>
      </c>
      <c r="C575" s="1" t="n">
        <v>45572</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30994-2023</t>
        </is>
      </c>
      <c r="B576" s="1" t="n">
        <v>45113</v>
      </c>
      <c r="C576" s="1" t="n">
        <v>45572</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30998-2023</t>
        </is>
      </c>
      <c r="B577" s="1" t="n">
        <v>45113</v>
      </c>
      <c r="C577" s="1" t="n">
        <v>45572</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32989-2023</t>
        </is>
      </c>
      <c r="B578" s="1" t="n">
        <v>45113</v>
      </c>
      <c r="C578" s="1" t="n">
        <v>45572</v>
      </c>
      <c r="D578" t="inlineStr">
        <is>
          <t>DALARNAS LÄN</t>
        </is>
      </c>
      <c r="E578" t="inlineStr">
        <is>
          <t>LEKSAND</t>
        </is>
      </c>
      <c r="G578" t="n">
        <v>4.4</v>
      </c>
      <c r="H578" t="n">
        <v>0</v>
      </c>
      <c r="I578" t="n">
        <v>0</v>
      </c>
      <c r="J578" t="n">
        <v>0</v>
      </c>
      <c r="K578" t="n">
        <v>0</v>
      </c>
      <c r="L578" t="n">
        <v>0</v>
      </c>
      <c r="M578" t="n">
        <v>0</v>
      </c>
      <c r="N578" t="n">
        <v>0</v>
      </c>
      <c r="O578" t="n">
        <v>0</v>
      </c>
      <c r="P578" t="n">
        <v>0</v>
      </c>
      <c r="Q578" t="n">
        <v>0</v>
      </c>
      <c r="R578" s="2" t="inlineStr"/>
    </row>
    <row r="579" ht="15" customHeight="1">
      <c r="A579" t="inlineStr">
        <is>
          <t>A 31255-2023</t>
        </is>
      </c>
      <c r="B579" s="1" t="n">
        <v>45114</v>
      </c>
      <c r="C579" s="1" t="n">
        <v>45572</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31250-2023</t>
        </is>
      </c>
      <c r="B580" s="1" t="n">
        <v>45114</v>
      </c>
      <c r="C580" s="1" t="n">
        <v>45572</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45572</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31761-2023</t>
        </is>
      </c>
      <c r="B582" s="1" t="n">
        <v>45118</v>
      </c>
      <c r="C582" s="1" t="n">
        <v>45572</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32307-2023</t>
        </is>
      </c>
      <c r="B583" s="1" t="n">
        <v>45120</v>
      </c>
      <c r="C583" s="1" t="n">
        <v>45572</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32311-2023</t>
        </is>
      </c>
      <c r="B584" s="1" t="n">
        <v>45120</v>
      </c>
      <c r="C584" s="1" t="n">
        <v>45572</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32544-2023</t>
        </is>
      </c>
      <c r="B585" s="1" t="n">
        <v>45121</v>
      </c>
      <c r="C585" s="1" t="n">
        <v>45572</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32666-2023</t>
        </is>
      </c>
      <c r="B586" s="1" t="n">
        <v>45121</v>
      </c>
      <c r="C586" s="1" t="n">
        <v>45572</v>
      </c>
      <c r="D586" t="inlineStr">
        <is>
          <t>DALARNAS LÄN</t>
        </is>
      </c>
      <c r="E586" t="inlineStr">
        <is>
          <t>LEKSAND</t>
        </is>
      </c>
      <c r="G586" t="n">
        <v>9.9</v>
      </c>
      <c r="H586" t="n">
        <v>0</v>
      </c>
      <c r="I586" t="n">
        <v>0</v>
      </c>
      <c r="J586" t="n">
        <v>0</v>
      </c>
      <c r="K586" t="n">
        <v>0</v>
      </c>
      <c r="L586" t="n">
        <v>0</v>
      </c>
      <c r="M586" t="n">
        <v>0</v>
      </c>
      <c r="N586" t="n">
        <v>0</v>
      </c>
      <c r="O586" t="n">
        <v>0</v>
      </c>
      <c r="P586" t="n">
        <v>0</v>
      </c>
      <c r="Q586" t="n">
        <v>0</v>
      </c>
      <c r="R586" s="2" t="inlineStr"/>
    </row>
    <row r="587" ht="15" customHeight="1">
      <c r="A587" t="inlineStr">
        <is>
          <t>A 33788-2023</t>
        </is>
      </c>
      <c r="B587" s="1" t="n">
        <v>45121</v>
      </c>
      <c r="C587" s="1" t="n">
        <v>45572</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33001-2023</t>
        </is>
      </c>
      <c r="B588" s="1" t="n">
        <v>45125</v>
      </c>
      <c r="C588" s="1" t="n">
        <v>45572</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33308-2023</t>
        </is>
      </c>
      <c r="B589" s="1" t="n">
        <v>45127</v>
      </c>
      <c r="C589" s="1" t="n">
        <v>45572</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33318-2023</t>
        </is>
      </c>
      <c r="B590" s="1" t="n">
        <v>45127</v>
      </c>
      <c r="C590" s="1" t="n">
        <v>45572</v>
      </c>
      <c r="D590" t="inlineStr">
        <is>
          <t>DALARNAS LÄN</t>
        </is>
      </c>
      <c r="E590" t="inlineStr">
        <is>
          <t>LEKSAND</t>
        </is>
      </c>
      <c r="G590" t="n">
        <v>5.5</v>
      </c>
      <c r="H590" t="n">
        <v>0</v>
      </c>
      <c r="I590" t="n">
        <v>0</v>
      </c>
      <c r="J590" t="n">
        <v>0</v>
      </c>
      <c r="K590" t="n">
        <v>0</v>
      </c>
      <c r="L590" t="n">
        <v>0</v>
      </c>
      <c r="M590" t="n">
        <v>0</v>
      </c>
      <c r="N590" t="n">
        <v>0</v>
      </c>
      <c r="O590" t="n">
        <v>0</v>
      </c>
      <c r="P590" t="n">
        <v>0</v>
      </c>
      <c r="Q590" t="n">
        <v>0</v>
      </c>
      <c r="R590" s="2" t="inlineStr"/>
    </row>
    <row r="591" ht="15" customHeight="1">
      <c r="A591" t="inlineStr">
        <is>
          <t>A 33306-2023</t>
        </is>
      </c>
      <c r="B591" s="1" t="n">
        <v>45127</v>
      </c>
      <c r="C591" s="1" t="n">
        <v>45572</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33312-2023</t>
        </is>
      </c>
      <c r="B592" s="1" t="n">
        <v>45127</v>
      </c>
      <c r="C592" s="1" t="n">
        <v>45572</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45572</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v>
      </c>
      <c r="C594" s="1" t="n">
        <v>45572</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33317-2023</t>
        </is>
      </c>
      <c r="B595" s="1" t="n">
        <v>45127</v>
      </c>
      <c r="C595" s="1" t="n">
        <v>45572</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33480-2023</t>
        </is>
      </c>
      <c r="B596" s="1" t="n">
        <v>45131</v>
      </c>
      <c r="C596" s="1" t="n">
        <v>45572</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33462-2023</t>
        </is>
      </c>
      <c r="B597" s="1" t="n">
        <v>45131</v>
      </c>
      <c r="C597" s="1" t="n">
        <v>45572</v>
      </c>
      <c r="D597" t="inlineStr">
        <is>
          <t>DALARNAS LÄN</t>
        </is>
      </c>
      <c r="E597" t="inlineStr">
        <is>
          <t>LEKSAND</t>
        </is>
      </c>
      <c r="G597" t="n">
        <v>2.7</v>
      </c>
      <c r="H597" t="n">
        <v>0</v>
      </c>
      <c r="I597" t="n">
        <v>0</v>
      </c>
      <c r="J597" t="n">
        <v>0</v>
      </c>
      <c r="K597" t="n">
        <v>0</v>
      </c>
      <c r="L597" t="n">
        <v>0</v>
      </c>
      <c r="M597" t="n">
        <v>0</v>
      </c>
      <c r="N597" t="n">
        <v>0</v>
      </c>
      <c r="O597" t="n">
        <v>0</v>
      </c>
      <c r="P597" t="n">
        <v>0</v>
      </c>
      <c r="Q597" t="n">
        <v>0</v>
      </c>
      <c r="R597" s="2" t="inlineStr"/>
    </row>
    <row r="598" ht="15" customHeight="1">
      <c r="A598" t="inlineStr">
        <is>
          <t>A 33463-2023</t>
        </is>
      </c>
      <c r="B598" s="1" t="n">
        <v>45131</v>
      </c>
      <c r="C598" s="1" t="n">
        <v>45572</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v>
      </c>
      <c r="C599" s="1" t="n">
        <v>45572</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33674-2023</t>
        </is>
      </c>
      <c r="B600" s="1" t="n">
        <v>45132</v>
      </c>
      <c r="C600" s="1" t="n">
        <v>45572</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34294-2023</t>
        </is>
      </c>
      <c r="B601" s="1" t="n">
        <v>45138</v>
      </c>
      <c r="C601" s="1" t="n">
        <v>45572</v>
      </c>
      <c r="D601" t="inlineStr">
        <is>
          <t>DALARNAS LÄN</t>
        </is>
      </c>
      <c r="E601" t="inlineStr">
        <is>
          <t>LEKSAND</t>
        </is>
      </c>
      <c r="G601" t="n">
        <v>6.1</v>
      </c>
      <c r="H601" t="n">
        <v>0</v>
      </c>
      <c r="I601" t="n">
        <v>0</v>
      </c>
      <c r="J601" t="n">
        <v>0</v>
      </c>
      <c r="K601" t="n">
        <v>0</v>
      </c>
      <c r="L601" t="n">
        <v>0</v>
      </c>
      <c r="M601" t="n">
        <v>0</v>
      </c>
      <c r="N601" t="n">
        <v>0</v>
      </c>
      <c r="O601" t="n">
        <v>0</v>
      </c>
      <c r="P601" t="n">
        <v>0</v>
      </c>
      <c r="Q601" t="n">
        <v>0</v>
      </c>
      <c r="R601" s="2" t="inlineStr"/>
    </row>
    <row r="602" ht="15" customHeight="1">
      <c r="A602" t="inlineStr">
        <is>
          <t>A 35228-2023</t>
        </is>
      </c>
      <c r="B602" s="1" t="n">
        <v>45145</v>
      </c>
      <c r="C602" s="1" t="n">
        <v>45572</v>
      </c>
      <c r="D602" t="inlineStr">
        <is>
          <t>DALARNAS LÄN</t>
        </is>
      </c>
      <c r="E602" t="inlineStr">
        <is>
          <t>LEKSAND</t>
        </is>
      </c>
      <c r="G602" t="n">
        <v>3.7</v>
      </c>
      <c r="H602" t="n">
        <v>0</v>
      </c>
      <c r="I602" t="n">
        <v>0</v>
      </c>
      <c r="J602" t="n">
        <v>0</v>
      </c>
      <c r="K602" t="n">
        <v>0</v>
      </c>
      <c r="L602" t="n">
        <v>0</v>
      </c>
      <c r="M602" t="n">
        <v>0</v>
      </c>
      <c r="N602" t="n">
        <v>0</v>
      </c>
      <c r="O602" t="n">
        <v>0</v>
      </c>
      <c r="P602" t="n">
        <v>0</v>
      </c>
      <c r="Q602" t="n">
        <v>0</v>
      </c>
      <c r="R602" s="2" t="inlineStr"/>
    </row>
    <row r="603" ht="15" customHeight="1">
      <c r="A603" t="inlineStr">
        <is>
          <t>A 35173-2023</t>
        </is>
      </c>
      <c r="B603" s="1" t="n">
        <v>45145</v>
      </c>
      <c r="C603" s="1" t="n">
        <v>45572</v>
      </c>
      <c r="D603" t="inlineStr">
        <is>
          <t>DALARNAS LÄN</t>
        </is>
      </c>
      <c r="E603" t="inlineStr">
        <is>
          <t>LEKSAND</t>
        </is>
      </c>
      <c r="F603" t="inlineStr">
        <is>
          <t>Bergvik skog väst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35189-2023</t>
        </is>
      </c>
      <c r="B604" s="1" t="n">
        <v>45145</v>
      </c>
      <c r="C604" s="1" t="n">
        <v>45572</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36261-2023</t>
        </is>
      </c>
      <c r="B605" s="1" t="n">
        <v>45151</v>
      </c>
      <c r="C605" s="1" t="n">
        <v>45572</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36262-2023</t>
        </is>
      </c>
      <c r="B606" s="1" t="n">
        <v>45151</v>
      </c>
      <c r="C606" s="1" t="n">
        <v>45572</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36444-2023</t>
        </is>
      </c>
      <c r="B607" s="1" t="n">
        <v>45152</v>
      </c>
      <c r="C607" s="1" t="n">
        <v>45572</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36450-2023</t>
        </is>
      </c>
      <c r="B608" s="1" t="n">
        <v>45152</v>
      </c>
      <c r="C608" s="1" t="n">
        <v>45572</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36515-2023</t>
        </is>
      </c>
      <c r="B609" s="1" t="n">
        <v>45153</v>
      </c>
      <c r="C609" s="1" t="n">
        <v>45572</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36932-2023</t>
        </is>
      </c>
      <c r="B610" s="1" t="n">
        <v>45154</v>
      </c>
      <c r="C610" s="1" t="n">
        <v>45572</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37397-2023</t>
        </is>
      </c>
      <c r="B611" s="1" t="n">
        <v>45156</v>
      </c>
      <c r="C611" s="1" t="n">
        <v>45572</v>
      </c>
      <c r="D611" t="inlineStr">
        <is>
          <t>DALARNAS LÄN</t>
        </is>
      </c>
      <c r="E611" t="inlineStr">
        <is>
          <t>LEKSAND</t>
        </is>
      </c>
      <c r="F611" t="inlineStr">
        <is>
          <t>Kommuner</t>
        </is>
      </c>
      <c r="G611" t="n">
        <v>2.9</v>
      </c>
      <c r="H611" t="n">
        <v>0</v>
      </c>
      <c r="I611" t="n">
        <v>0</v>
      </c>
      <c r="J611" t="n">
        <v>0</v>
      </c>
      <c r="K611" t="n">
        <v>0</v>
      </c>
      <c r="L611" t="n">
        <v>0</v>
      </c>
      <c r="M611" t="n">
        <v>0</v>
      </c>
      <c r="N611" t="n">
        <v>0</v>
      </c>
      <c r="O611" t="n">
        <v>0</v>
      </c>
      <c r="P611" t="n">
        <v>0</v>
      </c>
      <c r="Q611" t="n">
        <v>0</v>
      </c>
      <c r="R611" s="2" t="inlineStr"/>
    </row>
    <row r="612" ht="15" customHeight="1">
      <c r="A612" t="inlineStr">
        <is>
          <t>A 37516-2023</t>
        </is>
      </c>
      <c r="B612" s="1" t="n">
        <v>45158</v>
      </c>
      <c r="C612" s="1" t="n">
        <v>45572</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37832-2023</t>
        </is>
      </c>
      <c r="B613" s="1" t="n">
        <v>45160</v>
      </c>
      <c r="C613" s="1" t="n">
        <v>45572</v>
      </c>
      <c r="D613" t="inlineStr">
        <is>
          <t>DALARNAS LÄN</t>
        </is>
      </c>
      <c r="E613" t="inlineStr">
        <is>
          <t>LEKSAND</t>
        </is>
      </c>
      <c r="G613" t="n">
        <v>2</v>
      </c>
      <c r="H613" t="n">
        <v>0</v>
      </c>
      <c r="I613" t="n">
        <v>0</v>
      </c>
      <c r="J613" t="n">
        <v>0</v>
      </c>
      <c r="K613" t="n">
        <v>0</v>
      </c>
      <c r="L613" t="n">
        <v>0</v>
      </c>
      <c r="M613" t="n">
        <v>0</v>
      </c>
      <c r="N613" t="n">
        <v>0</v>
      </c>
      <c r="O613" t="n">
        <v>0</v>
      </c>
      <c r="P613" t="n">
        <v>0</v>
      </c>
      <c r="Q613" t="n">
        <v>0</v>
      </c>
      <c r="R613" s="2" t="inlineStr"/>
    </row>
    <row r="614" ht="15" customHeight="1">
      <c r="A614" t="inlineStr">
        <is>
          <t>A 37919-2023</t>
        </is>
      </c>
      <c r="B614" s="1" t="n">
        <v>45160</v>
      </c>
      <c r="C614" s="1" t="n">
        <v>45572</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38058-2023</t>
        </is>
      </c>
      <c r="B615" s="1" t="n">
        <v>45160</v>
      </c>
      <c r="C615" s="1" t="n">
        <v>45572</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38001-2023</t>
        </is>
      </c>
      <c r="B616" s="1" t="n">
        <v>45160</v>
      </c>
      <c r="C616" s="1" t="n">
        <v>45572</v>
      </c>
      <c r="D616" t="inlineStr">
        <is>
          <t>DALARNAS LÄN</t>
        </is>
      </c>
      <c r="E616" t="inlineStr">
        <is>
          <t>LEKSAND</t>
        </is>
      </c>
      <c r="G616" t="n">
        <v>3.6</v>
      </c>
      <c r="H616" t="n">
        <v>0</v>
      </c>
      <c r="I616" t="n">
        <v>0</v>
      </c>
      <c r="J616" t="n">
        <v>0</v>
      </c>
      <c r="K616" t="n">
        <v>0</v>
      </c>
      <c r="L616" t="n">
        <v>0</v>
      </c>
      <c r="M616" t="n">
        <v>0</v>
      </c>
      <c r="N616" t="n">
        <v>0</v>
      </c>
      <c r="O616" t="n">
        <v>0</v>
      </c>
      <c r="P616" t="n">
        <v>0</v>
      </c>
      <c r="Q616" t="n">
        <v>0</v>
      </c>
      <c r="R616" s="2" t="inlineStr"/>
    </row>
    <row r="617" ht="15" customHeight="1">
      <c r="A617" t="inlineStr">
        <is>
          <t>A 38145-2023</t>
        </is>
      </c>
      <c r="B617" s="1" t="n">
        <v>45160</v>
      </c>
      <c r="C617" s="1" t="n">
        <v>45572</v>
      </c>
      <c r="D617" t="inlineStr">
        <is>
          <t>DALARNAS LÄN</t>
        </is>
      </c>
      <c r="E617" t="inlineStr">
        <is>
          <t>LEKSAND</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38273-2023</t>
        </is>
      </c>
      <c r="B618" s="1" t="n">
        <v>45161</v>
      </c>
      <c r="C618" s="1" t="n">
        <v>45572</v>
      </c>
      <c r="D618" t="inlineStr">
        <is>
          <t>DALARNAS LÄN</t>
        </is>
      </c>
      <c r="E618" t="inlineStr">
        <is>
          <t>LEKSAND</t>
        </is>
      </c>
      <c r="F618" t="inlineStr">
        <is>
          <t>Bergvik skog väst AB</t>
        </is>
      </c>
      <c r="G618" t="n">
        <v>4.1</v>
      </c>
      <c r="H618" t="n">
        <v>0</v>
      </c>
      <c r="I618" t="n">
        <v>0</v>
      </c>
      <c r="J618" t="n">
        <v>0</v>
      </c>
      <c r="K618" t="n">
        <v>0</v>
      </c>
      <c r="L618" t="n">
        <v>0</v>
      </c>
      <c r="M618" t="n">
        <v>0</v>
      </c>
      <c r="N618" t="n">
        <v>0</v>
      </c>
      <c r="O618" t="n">
        <v>0</v>
      </c>
      <c r="P618" t="n">
        <v>0</v>
      </c>
      <c r="Q618" t="n">
        <v>0</v>
      </c>
      <c r="R618" s="2" t="inlineStr"/>
    </row>
    <row r="619" ht="15" customHeight="1">
      <c r="A619" t="inlineStr">
        <is>
          <t>A 38277-2023</t>
        </is>
      </c>
      <c r="B619" s="1" t="n">
        <v>45161</v>
      </c>
      <c r="C619" s="1" t="n">
        <v>45572</v>
      </c>
      <c r="D619" t="inlineStr">
        <is>
          <t>DALARNAS LÄN</t>
        </is>
      </c>
      <c r="E619" t="inlineStr">
        <is>
          <t>LEKSAND</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38117-2023</t>
        </is>
      </c>
      <c r="B620" s="1" t="n">
        <v>45161</v>
      </c>
      <c r="C620" s="1" t="n">
        <v>45572</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45572</v>
      </c>
      <c r="D621" t="inlineStr">
        <is>
          <t>DALARNAS LÄN</t>
        </is>
      </c>
      <c r="E621" t="inlineStr">
        <is>
          <t>LEKSAND</t>
        </is>
      </c>
      <c r="G621" t="n">
        <v>0.4</v>
      </c>
      <c r="H621" t="n">
        <v>0</v>
      </c>
      <c r="I621" t="n">
        <v>0</v>
      </c>
      <c r="J621" t="n">
        <v>0</v>
      </c>
      <c r="K621" t="n">
        <v>0</v>
      </c>
      <c r="L621" t="n">
        <v>0</v>
      </c>
      <c r="M621" t="n">
        <v>0</v>
      </c>
      <c r="N621" t="n">
        <v>0</v>
      </c>
      <c r="O621" t="n">
        <v>0</v>
      </c>
      <c r="P621" t="n">
        <v>0</v>
      </c>
      <c r="Q621" t="n">
        <v>0</v>
      </c>
      <c r="R621" s="2" t="inlineStr"/>
    </row>
    <row r="622" ht="15" customHeight="1">
      <c r="A622" t="inlineStr">
        <is>
          <t>A 39387-2023</t>
        </is>
      </c>
      <c r="B622" s="1" t="n">
        <v>45166</v>
      </c>
      <c r="C622" s="1" t="n">
        <v>45572</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39332-2023</t>
        </is>
      </c>
      <c r="B623" s="1" t="n">
        <v>45166</v>
      </c>
      <c r="C623" s="1" t="n">
        <v>45572</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39354-2023</t>
        </is>
      </c>
      <c r="B624" s="1" t="n">
        <v>45166</v>
      </c>
      <c r="C624" s="1" t="n">
        <v>45572</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39595-2023</t>
        </is>
      </c>
      <c r="B625" s="1" t="n">
        <v>45167</v>
      </c>
      <c r="C625" s="1" t="n">
        <v>45572</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v>
      </c>
      <c r="C626" s="1" t="n">
        <v>45572</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39577-2023</t>
        </is>
      </c>
      <c r="B627" s="1" t="n">
        <v>45167</v>
      </c>
      <c r="C627" s="1" t="n">
        <v>45572</v>
      </c>
      <c r="D627" t="inlineStr">
        <is>
          <t>DALARNAS LÄN</t>
        </is>
      </c>
      <c r="E627" t="inlineStr">
        <is>
          <t>LEKSAND</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39665-2023</t>
        </is>
      </c>
      <c r="B628" s="1" t="n">
        <v>45167</v>
      </c>
      <c r="C628" s="1" t="n">
        <v>45572</v>
      </c>
      <c r="D628" t="inlineStr">
        <is>
          <t>DALARNAS LÄN</t>
        </is>
      </c>
      <c r="E628" t="inlineStr">
        <is>
          <t>LEKSAND</t>
        </is>
      </c>
      <c r="F628" t="inlineStr">
        <is>
          <t>Bergvik skog väst AB</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40201-2023</t>
        </is>
      </c>
      <c r="B629" s="1" t="n">
        <v>45169</v>
      </c>
      <c r="C629" s="1" t="n">
        <v>45572</v>
      </c>
      <c r="D629" t="inlineStr">
        <is>
          <t>DALARNAS LÄN</t>
        </is>
      </c>
      <c r="E629" t="inlineStr">
        <is>
          <t>LEKSAND</t>
        </is>
      </c>
      <c r="G629" t="n">
        <v>3.2</v>
      </c>
      <c r="H629" t="n">
        <v>0</v>
      </c>
      <c r="I629" t="n">
        <v>0</v>
      </c>
      <c r="J629" t="n">
        <v>0</v>
      </c>
      <c r="K629" t="n">
        <v>0</v>
      </c>
      <c r="L629" t="n">
        <v>0</v>
      </c>
      <c r="M629" t="n">
        <v>0</v>
      </c>
      <c r="N629" t="n">
        <v>0</v>
      </c>
      <c r="O629" t="n">
        <v>0</v>
      </c>
      <c r="P629" t="n">
        <v>0</v>
      </c>
      <c r="Q629" t="n">
        <v>0</v>
      </c>
      <c r="R629" s="2" t="inlineStr"/>
    </row>
    <row r="630" ht="15" customHeight="1">
      <c r="A630" t="inlineStr">
        <is>
          <t>A 40181-2023</t>
        </is>
      </c>
      <c r="B630" s="1" t="n">
        <v>45169</v>
      </c>
      <c r="C630" s="1" t="n">
        <v>45572</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40230-2023</t>
        </is>
      </c>
      <c r="B631" s="1" t="n">
        <v>45169</v>
      </c>
      <c r="C631" s="1" t="n">
        <v>45572</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45572</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40183-2023</t>
        </is>
      </c>
      <c r="B633" s="1" t="n">
        <v>45169</v>
      </c>
      <c r="C633" s="1" t="n">
        <v>45572</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40580-2023</t>
        </is>
      </c>
      <c r="B634" s="1" t="n">
        <v>45170</v>
      </c>
      <c r="C634" s="1" t="n">
        <v>45572</v>
      </c>
      <c r="D634" t="inlineStr">
        <is>
          <t>DALARNAS LÄN</t>
        </is>
      </c>
      <c r="E634" t="inlineStr">
        <is>
          <t>LEKSAND</t>
        </is>
      </c>
      <c r="F634" t="inlineStr">
        <is>
          <t>Bergvik skog väst AB</t>
        </is>
      </c>
      <c r="G634" t="n">
        <v>5.8</v>
      </c>
      <c r="H634" t="n">
        <v>0</v>
      </c>
      <c r="I634" t="n">
        <v>0</v>
      </c>
      <c r="J634" t="n">
        <v>0</v>
      </c>
      <c r="K634" t="n">
        <v>0</v>
      </c>
      <c r="L634" t="n">
        <v>0</v>
      </c>
      <c r="M634" t="n">
        <v>0</v>
      </c>
      <c r="N634" t="n">
        <v>0</v>
      </c>
      <c r="O634" t="n">
        <v>0</v>
      </c>
      <c r="P634" t="n">
        <v>0</v>
      </c>
      <c r="Q634" t="n">
        <v>0</v>
      </c>
      <c r="R634" s="2" t="inlineStr"/>
    </row>
    <row r="635" ht="15" customHeight="1">
      <c r="A635" t="inlineStr">
        <is>
          <t>A 40634-2023</t>
        </is>
      </c>
      <c r="B635" s="1" t="n">
        <v>45170</v>
      </c>
      <c r="C635" s="1" t="n">
        <v>45572</v>
      </c>
      <c r="D635" t="inlineStr">
        <is>
          <t>DALARNAS LÄN</t>
        </is>
      </c>
      <c r="E635" t="inlineStr">
        <is>
          <t>LEKSAND</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40640-2023</t>
        </is>
      </c>
      <c r="B636" s="1" t="n">
        <v>45170</v>
      </c>
      <c r="C636" s="1" t="n">
        <v>45572</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40577-2023</t>
        </is>
      </c>
      <c r="B637" s="1" t="n">
        <v>45170</v>
      </c>
      <c r="C637" s="1" t="n">
        <v>45572</v>
      </c>
      <c r="D637" t="inlineStr">
        <is>
          <t>DALARNAS LÄN</t>
        </is>
      </c>
      <c r="E637" t="inlineStr">
        <is>
          <t>LEKSAND</t>
        </is>
      </c>
      <c r="F637" t="inlineStr">
        <is>
          <t>Bergvik skog väst AB</t>
        </is>
      </c>
      <c r="G637" t="n">
        <v>20.6</v>
      </c>
      <c r="H637" t="n">
        <v>0</v>
      </c>
      <c r="I637" t="n">
        <v>0</v>
      </c>
      <c r="J637" t="n">
        <v>0</v>
      </c>
      <c r="K637" t="n">
        <v>0</v>
      </c>
      <c r="L637" t="n">
        <v>0</v>
      </c>
      <c r="M637" t="n">
        <v>0</v>
      </c>
      <c r="N637" t="n">
        <v>0</v>
      </c>
      <c r="O637" t="n">
        <v>0</v>
      </c>
      <c r="P637" t="n">
        <v>0</v>
      </c>
      <c r="Q637" t="n">
        <v>0</v>
      </c>
      <c r="R637" s="2" t="inlineStr"/>
    </row>
    <row r="638" ht="15" customHeight="1">
      <c r="A638" t="inlineStr">
        <is>
          <t>A 40627-2023</t>
        </is>
      </c>
      <c r="B638" s="1" t="n">
        <v>45170</v>
      </c>
      <c r="C638" s="1" t="n">
        <v>45572</v>
      </c>
      <c r="D638" t="inlineStr">
        <is>
          <t>DALARNAS LÄN</t>
        </is>
      </c>
      <c r="E638" t="inlineStr">
        <is>
          <t>LEKSAND</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41853-2023</t>
        </is>
      </c>
      <c r="B639" s="1" t="n">
        <v>45176</v>
      </c>
      <c r="C639" s="1" t="n">
        <v>45572</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45572</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42305-2023</t>
        </is>
      </c>
      <c r="B641" s="1" t="n">
        <v>45180</v>
      </c>
      <c r="C641" s="1" t="n">
        <v>45572</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42290-2023</t>
        </is>
      </c>
      <c r="B642" s="1" t="n">
        <v>45180</v>
      </c>
      <c r="C642" s="1" t="n">
        <v>45572</v>
      </c>
      <c r="D642" t="inlineStr">
        <is>
          <t>DALARNAS LÄN</t>
        </is>
      </c>
      <c r="E642" t="inlineStr">
        <is>
          <t>LEKSAND</t>
        </is>
      </c>
      <c r="G642" t="n">
        <v>6.8</v>
      </c>
      <c r="H642" t="n">
        <v>0</v>
      </c>
      <c r="I642" t="n">
        <v>0</v>
      </c>
      <c r="J642" t="n">
        <v>0</v>
      </c>
      <c r="K642" t="n">
        <v>0</v>
      </c>
      <c r="L642" t="n">
        <v>0</v>
      </c>
      <c r="M642" t="n">
        <v>0</v>
      </c>
      <c r="N642" t="n">
        <v>0</v>
      </c>
      <c r="O642" t="n">
        <v>0</v>
      </c>
      <c r="P642" t="n">
        <v>0</v>
      </c>
      <c r="Q642" t="n">
        <v>0</v>
      </c>
      <c r="R642" s="2" t="inlineStr"/>
    </row>
    <row r="643" ht="15" customHeight="1">
      <c r="A643" t="inlineStr">
        <is>
          <t>A 42739-2023</t>
        </is>
      </c>
      <c r="B643" s="1" t="n">
        <v>45181</v>
      </c>
      <c r="C643" s="1" t="n">
        <v>45572</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42774-2023</t>
        </is>
      </c>
      <c r="B644" s="1" t="n">
        <v>45181</v>
      </c>
      <c r="C644" s="1" t="n">
        <v>45572</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42771-2023</t>
        </is>
      </c>
      <c r="B645" s="1" t="n">
        <v>45181</v>
      </c>
      <c r="C645" s="1" t="n">
        <v>45572</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44491-2023</t>
        </is>
      </c>
      <c r="B646" s="1" t="n">
        <v>45183</v>
      </c>
      <c r="C646" s="1" t="n">
        <v>45572</v>
      </c>
      <c r="D646" t="inlineStr">
        <is>
          <t>DALARNAS LÄN</t>
        </is>
      </c>
      <c r="E646" t="inlineStr">
        <is>
          <t>LEKSAND</t>
        </is>
      </c>
      <c r="G646" t="n">
        <v>2.6</v>
      </c>
      <c r="H646" t="n">
        <v>0</v>
      </c>
      <c r="I646" t="n">
        <v>0</v>
      </c>
      <c r="J646" t="n">
        <v>0</v>
      </c>
      <c r="K646" t="n">
        <v>0</v>
      </c>
      <c r="L646" t="n">
        <v>0</v>
      </c>
      <c r="M646" t="n">
        <v>0</v>
      </c>
      <c r="N646" t="n">
        <v>0</v>
      </c>
      <c r="O646" t="n">
        <v>0</v>
      </c>
      <c r="P646" t="n">
        <v>0</v>
      </c>
      <c r="Q646" t="n">
        <v>0</v>
      </c>
      <c r="R646" s="2" t="inlineStr"/>
    </row>
    <row r="647" ht="15" customHeight="1">
      <c r="A647" t="inlineStr">
        <is>
          <t>A 43436-2023</t>
        </is>
      </c>
      <c r="B647" s="1" t="n">
        <v>45184</v>
      </c>
      <c r="C647" s="1" t="n">
        <v>45572</v>
      </c>
      <c r="D647" t="inlineStr">
        <is>
          <t>DALARNAS LÄN</t>
        </is>
      </c>
      <c r="E647" t="inlineStr">
        <is>
          <t>LEKSAND</t>
        </is>
      </c>
      <c r="G647" t="n">
        <v>6</v>
      </c>
      <c r="H647" t="n">
        <v>0</v>
      </c>
      <c r="I647" t="n">
        <v>0</v>
      </c>
      <c r="J647" t="n">
        <v>0</v>
      </c>
      <c r="K647" t="n">
        <v>0</v>
      </c>
      <c r="L647" t="n">
        <v>0</v>
      </c>
      <c r="M647" t="n">
        <v>0</v>
      </c>
      <c r="N647" t="n">
        <v>0</v>
      </c>
      <c r="O647" t="n">
        <v>0</v>
      </c>
      <c r="P647" t="n">
        <v>0</v>
      </c>
      <c r="Q647" t="n">
        <v>0</v>
      </c>
      <c r="R647" s="2" t="inlineStr"/>
    </row>
    <row r="648" ht="15" customHeight="1">
      <c r="A648" t="inlineStr">
        <is>
          <t>A 43440-2023</t>
        </is>
      </c>
      <c r="B648" s="1" t="n">
        <v>45184</v>
      </c>
      <c r="C648" s="1" t="n">
        <v>45572</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43508-2023</t>
        </is>
      </c>
      <c r="B649" s="1" t="n">
        <v>45184</v>
      </c>
      <c r="C649" s="1" t="n">
        <v>45572</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43642-2023</t>
        </is>
      </c>
      <c r="B650" s="1" t="n">
        <v>45186</v>
      </c>
      <c r="C650" s="1" t="n">
        <v>45572</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43650-2023</t>
        </is>
      </c>
      <c r="B651" s="1" t="n">
        <v>45187</v>
      </c>
      <c r="C651" s="1" t="n">
        <v>45572</v>
      </c>
      <c r="D651" t="inlineStr">
        <is>
          <t>DALARNAS LÄN</t>
        </is>
      </c>
      <c r="E651" t="inlineStr">
        <is>
          <t>LEKSAND</t>
        </is>
      </c>
      <c r="G651" t="n">
        <v>4.5</v>
      </c>
      <c r="H651" t="n">
        <v>0</v>
      </c>
      <c r="I651" t="n">
        <v>0</v>
      </c>
      <c r="J651" t="n">
        <v>0</v>
      </c>
      <c r="K651" t="n">
        <v>0</v>
      </c>
      <c r="L651" t="n">
        <v>0</v>
      </c>
      <c r="M651" t="n">
        <v>0</v>
      </c>
      <c r="N651" t="n">
        <v>0</v>
      </c>
      <c r="O651" t="n">
        <v>0</v>
      </c>
      <c r="P651" t="n">
        <v>0</v>
      </c>
      <c r="Q651" t="n">
        <v>0</v>
      </c>
      <c r="R651" s="2" t="inlineStr"/>
    </row>
    <row r="652" ht="15" customHeight="1">
      <c r="A652" t="inlineStr">
        <is>
          <t>A 44712-2023</t>
        </is>
      </c>
      <c r="B652" s="1" t="n">
        <v>45190</v>
      </c>
      <c r="C652" s="1" t="n">
        <v>45572</v>
      </c>
      <c r="D652" t="inlineStr">
        <is>
          <t>DALARNAS LÄN</t>
        </is>
      </c>
      <c r="E652" t="inlineStr">
        <is>
          <t>LEKSAND</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45254-2023</t>
        </is>
      </c>
      <c r="B653" s="1" t="n">
        <v>45191</v>
      </c>
      <c r="C653" s="1" t="n">
        <v>45572</v>
      </c>
      <c r="D653" t="inlineStr">
        <is>
          <t>DALARNAS LÄN</t>
        </is>
      </c>
      <c r="E653" t="inlineStr">
        <is>
          <t>LEKSAND</t>
        </is>
      </c>
      <c r="G653" t="n">
        <v>16.9</v>
      </c>
      <c r="H653" t="n">
        <v>0</v>
      </c>
      <c r="I653" t="n">
        <v>0</v>
      </c>
      <c r="J653" t="n">
        <v>0</v>
      </c>
      <c r="K653" t="n">
        <v>0</v>
      </c>
      <c r="L653" t="n">
        <v>0</v>
      </c>
      <c r="M653" t="n">
        <v>0</v>
      </c>
      <c r="N653" t="n">
        <v>0</v>
      </c>
      <c r="O653" t="n">
        <v>0</v>
      </c>
      <c r="P653" t="n">
        <v>0</v>
      </c>
      <c r="Q653" t="n">
        <v>0</v>
      </c>
      <c r="R653" s="2" t="inlineStr"/>
    </row>
    <row r="654" ht="15" customHeight="1">
      <c r="A654" t="inlineStr">
        <is>
          <t>A 45633-2023</t>
        </is>
      </c>
      <c r="B654" s="1" t="n">
        <v>45194</v>
      </c>
      <c r="C654" s="1" t="n">
        <v>45572</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v>
      </c>
      <c r="C655" s="1" t="n">
        <v>45572</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45572</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45679-2023</t>
        </is>
      </c>
      <c r="B657" s="1" t="n">
        <v>45195</v>
      </c>
      <c r="C657" s="1" t="n">
        <v>45572</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45813-2023</t>
        </is>
      </c>
      <c r="B658" s="1" t="n">
        <v>45195</v>
      </c>
      <c r="C658" s="1" t="n">
        <v>45572</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46163-2023</t>
        </is>
      </c>
      <c r="B659" s="1" t="n">
        <v>45196</v>
      </c>
      <c r="C659" s="1" t="n">
        <v>45572</v>
      </c>
      <c r="D659" t="inlineStr">
        <is>
          <t>DALARNAS LÄN</t>
        </is>
      </c>
      <c r="E659" t="inlineStr">
        <is>
          <t>LEKSAND</t>
        </is>
      </c>
      <c r="G659" t="n">
        <v>7.3</v>
      </c>
      <c r="H659" t="n">
        <v>0</v>
      </c>
      <c r="I659" t="n">
        <v>0</v>
      </c>
      <c r="J659" t="n">
        <v>0</v>
      </c>
      <c r="K659" t="n">
        <v>0</v>
      </c>
      <c r="L659" t="n">
        <v>0</v>
      </c>
      <c r="M659" t="n">
        <v>0</v>
      </c>
      <c r="N659" t="n">
        <v>0</v>
      </c>
      <c r="O659" t="n">
        <v>0</v>
      </c>
      <c r="P659" t="n">
        <v>0</v>
      </c>
      <c r="Q659" t="n">
        <v>0</v>
      </c>
      <c r="R659" s="2" t="inlineStr"/>
    </row>
    <row r="660" ht="15" customHeight="1">
      <c r="A660" t="inlineStr">
        <is>
          <t>A 46446-2023</t>
        </is>
      </c>
      <c r="B660" s="1" t="n">
        <v>45197</v>
      </c>
      <c r="C660" s="1" t="n">
        <v>45572</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45572</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46593-2023</t>
        </is>
      </c>
      <c r="B662" s="1" t="n">
        <v>45198</v>
      </c>
      <c r="C662" s="1" t="n">
        <v>45572</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46669-2023</t>
        </is>
      </c>
      <c r="B663" s="1" t="n">
        <v>45198</v>
      </c>
      <c r="C663" s="1" t="n">
        <v>45572</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46594-2023</t>
        </is>
      </c>
      <c r="B664" s="1" t="n">
        <v>45198</v>
      </c>
      <c r="C664" s="1" t="n">
        <v>45572</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46600-2023</t>
        </is>
      </c>
      <c r="B665" s="1" t="n">
        <v>45198</v>
      </c>
      <c r="C665" s="1" t="n">
        <v>45572</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46665-2023</t>
        </is>
      </c>
      <c r="B666" s="1" t="n">
        <v>45198</v>
      </c>
      <c r="C666" s="1" t="n">
        <v>45572</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46635-2023</t>
        </is>
      </c>
      <c r="B667" s="1" t="n">
        <v>45198</v>
      </c>
      <c r="C667" s="1" t="n">
        <v>45572</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46834-2023</t>
        </is>
      </c>
      <c r="B668" s="1" t="n">
        <v>45199</v>
      </c>
      <c r="C668" s="1" t="n">
        <v>45572</v>
      </c>
      <c r="D668" t="inlineStr">
        <is>
          <t>DALARNAS LÄN</t>
        </is>
      </c>
      <c r="E668" t="inlineStr">
        <is>
          <t>LEKSAND</t>
        </is>
      </c>
      <c r="G668" t="n">
        <v>16.3</v>
      </c>
      <c r="H668" t="n">
        <v>0</v>
      </c>
      <c r="I668" t="n">
        <v>0</v>
      </c>
      <c r="J668" t="n">
        <v>0</v>
      </c>
      <c r="K668" t="n">
        <v>0</v>
      </c>
      <c r="L668" t="n">
        <v>0</v>
      </c>
      <c r="M668" t="n">
        <v>0</v>
      </c>
      <c r="N668" t="n">
        <v>0</v>
      </c>
      <c r="O668" t="n">
        <v>0</v>
      </c>
      <c r="P668" t="n">
        <v>0</v>
      </c>
      <c r="Q668" t="n">
        <v>0</v>
      </c>
      <c r="R668" s="2" t="inlineStr"/>
    </row>
    <row r="669" ht="15" customHeight="1">
      <c r="A669" t="inlineStr">
        <is>
          <t>A 46876-2023</t>
        </is>
      </c>
      <c r="B669" s="1" t="n">
        <v>45200</v>
      </c>
      <c r="C669" s="1" t="n">
        <v>45572</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47039-2023</t>
        </is>
      </c>
      <c r="B670" s="1" t="n">
        <v>45201</v>
      </c>
      <c r="C670" s="1" t="n">
        <v>45572</v>
      </c>
      <c r="D670" t="inlineStr">
        <is>
          <t>DALARNAS LÄN</t>
        </is>
      </c>
      <c r="E670" t="inlineStr">
        <is>
          <t>LEKSAND</t>
        </is>
      </c>
      <c r="G670" t="n">
        <v>3.2</v>
      </c>
      <c r="H670" t="n">
        <v>0</v>
      </c>
      <c r="I670" t="n">
        <v>0</v>
      </c>
      <c r="J670" t="n">
        <v>0</v>
      </c>
      <c r="K670" t="n">
        <v>0</v>
      </c>
      <c r="L670" t="n">
        <v>0</v>
      </c>
      <c r="M670" t="n">
        <v>0</v>
      </c>
      <c r="N670" t="n">
        <v>0</v>
      </c>
      <c r="O670" t="n">
        <v>0</v>
      </c>
      <c r="P670" t="n">
        <v>0</v>
      </c>
      <c r="Q670" t="n">
        <v>0</v>
      </c>
      <c r="R670" s="2" t="inlineStr"/>
    </row>
    <row r="671" ht="15" customHeight="1">
      <c r="A671" t="inlineStr">
        <is>
          <t>A 46931-2023</t>
        </is>
      </c>
      <c r="B671" s="1" t="n">
        <v>45201</v>
      </c>
      <c r="C671" s="1" t="n">
        <v>45572</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47011-2023</t>
        </is>
      </c>
      <c r="B672" s="1" t="n">
        <v>45201</v>
      </c>
      <c r="C672" s="1" t="n">
        <v>45572</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47203-2023</t>
        </is>
      </c>
      <c r="B673" s="1" t="n">
        <v>45202</v>
      </c>
      <c r="C673" s="1" t="n">
        <v>45572</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47673-2023</t>
        </is>
      </c>
      <c r="B674" s="1" t="n">
        <v>45203</v>
      </c>
      <c r="C674" s="1" t="n">
        <v>45572</v>
      </c>
      <c r="D674" t="inlineStr">
        <is>
          <t>DALARNAS LÄN</t>
        </is>
      </c>
      <c r="E674" t="inlineStr">
        <is>
          <t>LEKSAND</t>
        </is>
      </c>
      <c r="G674" t="n">
        <v>2</v>
      </c>
      <c r="H674" t="n">
        <v>0</v>
      </c>
      <c r="I674" t="n">
        <v>0</v>
      </c>
      <c r="J674" t="n">
        <v>0</v>
      </c>
      <c r="K674" t="n">
        <v>0</v>
      </c>
      <c r="L674" t="n">
        <v>0</v>
      </c>
      <c r="M674" t="n">
        <v>0</v>
      </c>
      <c r="N674" t="n">
        <v>0</v>
      </c>
      <c r="O674" t="n">
        <v>0</v>
      </c>
      <c r="P674" t="n">
        <v>0</v>
      </c>
      <c r="Q674" t="n">
        <v>0</v>
      </c>
      <c r="R674" s="2" t="inlineStr"/>
    </row>
    <row r="675" ht="15" customHeight="1">
      <c r="A675" t="inlineStr">
        <is>
          <t>A 47655-2023</t>
        </is>
      </c>
      <c r="B675" s="1" t="n">
        <v>45203</v>
      </c>
      <c r="C675" s="1" t="n">
        <v>45572</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48714-2023</t>
        </is>
      </c>
      <c r="B676" s="1" t="n">
        <v>45203</v>
      </c>
      <c r="C676" s="1" t="n">
        <v>45572</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48721-2023</t>
        </is>
      </c>
      <c r="B677" s="1" t="n">
        <v>45203</v>
      </c>
      <c r="C677" s="1" t="n">
        <v>45572</v>
      </c>
      <c r="D677" t="inlineStr">
        <is>
          <t>DALARNAS LÄN</t>
        </is>
      </c>
      <c r="E677" t="inlineStr">
        <is>
          <t>LEKSAND</t>
        </is>
      </c>
      <c r="G677" t="n">
        <v>2.9</v>
      </c>
      <c r="H677" t="n">
        <v>0</v>
      </c>
      <c r="I677" t="n">
        <v>0</v>
      </c>
      <c r="J677" t="n">
        <v>0</v>
      </c>
      <c r="K677" t="n">
        <v>0</v>
      </c>
      <c r="L677" t="n">
        <v>0</v>
      </c>
      <c r="M677" t="n">
        <v>0</v>
      </c>
      <c r="N677" t="n">
        <v>0</v>
      </c>
      <c r="O677" t="n">
        <v>0</v>
      </c>
      <c r="P677" t="n">
        <v>0</v>
      </c>
      <c r="Q677" t="n">
        <v>0</v>
      </c>
      <c r="R677" s="2" t="inlineStr"/>
    </row>
    <row r="678" ht="15" customHeight="1">
      <c r="A678" t="inlineStr">
        <is>
          <t>A 48029-2023</t>
        </is>
      </c>
      <c r="B678" s="1" t="n">
        <v>45204</v>
      </c>
      <c r="C678" s="1" t="n">
        <v>45572</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48644-2023</t>
        </is>
      </c>
      <c r="B679" s="1" t="n">
        <v>45208</v>
      </c>
      <c r="C679" s="1" t="n">
        <v>45572</v>
      </c>
      <c r="D679" t="inlineStr">
        <is>
          <t>DALARNAS LÄN</t>
        </is>
      </c>
      <c r="E679" t="inlineStr">
        <is>
          <t>LEKSAND</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50374-2023</t>
        </is>
      </c>
      <c r="B680" s="1" t="n">
        <v>45209</v>
      </c>
      <c r="C680" s="1" t="n">
        <v>45572</v>
      </c>
      <c r="D680" t="inlineStr">
        <is>
          <t>DALARNAS LÄN</t>
        </is>
      </c>
      <c r="E680" t="inlineStr">
        <is>
          <t>LEKSAND</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50082-2023</t>
        </is>
      </c>
      <c r="B681" s="1" t="n">
        <v>45215</v>
      </c>
      <c r="C681" s="1" t="n">
        <v>45572</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50447-2023</t>
        </is>
      </c>
      <c r="B682" s="1" t="n">
        <v>45216</v>
      </c>
      <c r="C682" s="1" t="n">
        <v>45572</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50278-2023</t>
        </is>
      </c>
      <c r="B683" s="1" t="n">
        <v>45216</v>
      </c>
      <c r="C683" s="1" t="n">
        <v>45572</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50553-2023</t>
        </is>
      </c>
      <c r="B684" s="1" t="n">
        <v>45217</v>
      </c>
      <c r="C684" s="1" t="n">
        <v>45572</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51090-2023</t>
        </is>
      </c>
      <c r="B685" s="1" t="n">
        <v>45218</v>
      </c>
      <c r="C685" s="1" t="n">
        <v>45572</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51377-2023</t>
        </is>
      </c>
      <c r="B686" s="1" t="n">
        <v>45219</v>
      </c>
      <c r="C686" s="1" t="n">
        <v>45572</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52801-2023</t>
        </is>
      </c>
      <c r="B687" s="1" t="n">
        <v>45219</v>
      </c>
      <c r="C687" s="1" t="n">
        <v>45572</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52216-2023</t>
        </is>
      </c>
      <c r="B688" s="1" t="n">
        <v>45219</v>
      </c>
      <c r="C688" s="1" t="n">
        <v>45572</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51320-2023</t>
        </is>
      </c>
      <c r="B689" s="1" t="n">
        <v>45219</v>
      </c>
      <c r="C689" s="1" t="n">
        <v>45572</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51736-2023</t>
        </is>
      </c>
      <c r="B690" s="1" t="n">
        <v>45222</v>
      </c>
      <c r="C690" s="1" t="n">
        <v>45572</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52959-2023</t>
        </is>
      </c>
      <c r="B691" s="1" t="n">
        <v>45222</v>
      </c>
      <c r="C691" s="1" t="n">
        <v>45572</v>
      </c>
      <c r="D691" t="inlineStr">
        <is>
          <t>DALARNAS LÄN</t>
        </is>
      </c>
      <c r="E691" t="inlineStr">
        <is>
          <t>LEKSAND</t>
        </is>
      </c>
      <c r="G691" t="n">
        <v>6.5</v>
      </c>
      <c r="H691" t="n">
        <v>0</v>
      </c>
      <c r="I691" t="n">
        <v>0</v>
      </c>
      <c r="J691" t="n">
        <v>0</v>
      </c>
      <c r="K691" t="n">
        <v>0</v>
      </c>
      <c r="L691" t="n">
        <v>0</v>
      </c>
      <c r="M691" t="n">
        <v>0</v>
      </c>
      <c r="N691" t="n">
        <v>0</v>
      </c>
      <c r="O691" t="n">
        <v>0</v>
      </c>
      <c r="P691" t="n">
        <v>0</v>
      </c>
      <c r="Q691" t="n">
        <v>0</v>
      </c>
      <c r="R691" s="2" t="inlineStr"/>
    </row>
    <row r="692" ht="15" customHeight="1">
      <c r="A692" t="inlineStr">
        <is>
          <t>A 52016-2023</t>
        </is>
      </c>
      <c r="B692" s="1" t="n">
        <v>45223</v>
      </c>
      <c r="C692" s="1" t="n">
        <v>45572</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52732-2023</t>
        </is>
      </c>
      <c r="B693" s="1" t="n">
        <v>45226</v>
      </c>
      <c r="C693" s="1" t="n">
        <v>45572</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53120-2023</t>
        </is>
      </c>
      <c r="B694" s="1" t="n">
        <v>45228</v>
      </c>
      <c r="C694" s="1" t="n">
        <v>45572</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53122-2023</t>
        </is>
      </c>
      <c r="B695" s="1" t="n">
        <v>45228</v>
      </c>
      <c r="C695" s="1" t="n">
        <v>45572</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53248-2023</t>
        </is>
      </c>
      <c r="B696" s="1" t="n">
        <v>45229</v>
      </c>
      <c r="C696" s="1" t="n">
        <v>45572</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53128-2023</t>
        </is>
      </c>
      <c r="B697" s="1" t="n">
        <v>45229</v>
      </c>
      <c r="C697" s="1" t="n">
        <v>45572</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53291-2023</t>
        </is>
      </c>
      <c r="B698" s="1" t="n">
        <v>45229</v>
      </c>
      <c r="C698" s="1" t="n">
        <v>45572</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53621-2023</t>
        </is>
      </c>
      <c r="B699" s="1" t="n">
        <v>45230</v>
      </c>
      <c r="C699" s="1" t="n">
        <v>45572</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53636-2023</t>
        </is>
      </c>
      <c r="B700" s="1" t="n">
        <v>45230</v>
      </c>
      <c r="C700" s="1" t="n">
        <v>45572</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53717-2023</t>
        </is>
      </c>
      <c r="B701" s="1" t="n">
        <v>45230</v>
      </c>
      <c r="C701" s="1" t="n">
        <v>45572</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55196-2023</t>
        </is>
      </c>
      <c r="B702" s="1" t="n">
        <v>45230</v>
      </c>
      <c r="C702" s="1" t="n">
        <v>45572</v>
      </c>
      <c r="D702" t="inlineStr">
        <is>
          <t>DALARNAS LÄN</t>
        </is>
      </c>
      <c r="E702" t="inlineStr">
        <is>
          <t>LEKSAND</t>
        </is>
      </c>
      <c r="G702" t="n">
        <v>5.7</v>
      </c>
      <c r="H702" t="n">
        <v>0</v>
      </c>
      <c r="I702" t="n">
        <v>0</v>
      </c>
      <c r="J702" t="n">
        <v>0</v>
      </c>
      <c r="K702" t="n">
        <v>0</v>
      </c>
      <c r="L702" t="n">
        <v>0</v>
      </c>
      <c r="M702" t="n">
        <v>0</v>
      </c>
      <c r="N702" t="n">
        <v>0</v>
      </c>
      <c r="O702" t="n">
        <v>0</v>
      </c>
      <c r="P702" t="n">
        <v>0</v>
      </c>
      <c r="Q702" t="n">
        <v>0</v>
      </c>
      <c r="R702" s="2" t="inlineStr"/>
    </row>
    <row r="703" ht="15" customHeight="1">
      <c r="A703" t="inlineStr">
        <is>
          <t>A 53799-2023</t>
        </is>
      </c>
      <c r="B703" s="1" t="n">
        <v>45231</v>
      </c>
      <c r="C703" s="1" t="n">
        <v>45572</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53823-2023</t>
        </is>
      </c>
      <c r="B704" s="1" t="n">
        <v>45231</v>
      </c>
      <c r="C704" s="1" t="n">
        <v>45572</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53817-2023</t>
        </is>
      </c>
      <c r="B705" s="1" t="n">
        <v>45231</v>
      </c>
      <c r="C705" s="1" t="n">
        <v>45572</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54251-2023</t>
        </is>
      </c>
      <c r="B706" s="1" t="n">
        <v>45232</v>
      </c>
      <c r="C706" s="1" t="n">
        <v>45572</v>
      </c>
      <c r="D706" t="inlineStr">
        <is>
          <t>DALARNAS LÄN</t>
        </is>
      </c>
      <c r="E706" t="inlineStr">
        <is>
          <t>LEKSAND</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54289-2023</t>
        </is>
      </c>
      <c r="B707" s="1" t="n">
        <v>45232</v>
      </c>
      <c r="C707" s="1" t="n">
        <v>45572</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54682-2023</t>
        </is>
      </c>
      <c r="B708" s="1" t="n">
        <v>45235</v>
      </c>
      <c r="C708" s="1" t="n">
        <v>45572</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54690-2023</t>
        </is>
      </c>
      <c r="B709" s="1" t="n">
        <v>45236</v>
      </c>
      <c r="C709" s="1" t="n">
        <v>45572</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55418-2023</t>
        </is>
      </c>
      <c r="B710" s="1" t="n">
        <v>45238</v>
      </c>
      <c r="C710" s="1" t="n">
        <v>45572</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55438-2023</t>
        </is>
      </c>
      <c r="B711" s="1" t="n">
        <v>45238</v>
      </c>
      <c r="C711" s="1" t="n">
        <v>45572</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55464-2023</t>
        </is>
      </c>
      <c r="B712" s="1" t="n">
        <v>45238</v>
      </c>
      <c r="C712" s="1" t="n">
        <v>45572</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55430-2023</t>
        </is>
      </c>
      <c r="B713" s="1" t="n">
        <v>45238</v>
      </c>
      <c r="C713" s="1" t="n">
        <v>45572</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56221-2023</t>
        </is>
      </c>
      <c r="B714" s="1" t="n">
        <v>45240</v>
      </c>
      <c r="C714" s="1" t="n">
        <v>45572</v>
      </c>
      <c r="D714" t="inlineStr">
        <is>
          <t>DALARNAS LÄN</t>
        </is>
      </c>
      <c r="E714" t="inlineStr">
        <is>
          <t>LEKSAND</t>
        </is>
      </c>
      <c r="G714" t="n">
        <v>1.8</v>
      </c>
      <c r="H714" t="n">
        <v>0</v>
      </c>
      <c r="I714" t="n">
        <v>0</v>
      </c>
      <c r="J714" t="n">
        <v>0</v>
      </c>
      <c r="K714" t="n">
        <v>0</v>
      </c>
      <c r="L714" t="n">
        <v>0</v>
      </c>
      <c r="M714" t="n">
        <v>0</v>
      </c>
      <c r="N714" t="n">
        <v>0</v>
      </c>
      <c r="O714" t="n">
        <v>0</v>
      </c>
      <c r="P714" t="n">
        <v>0</v>
      </c>
      <c r="Q714" t="n">
        <v>0</v>
      </c>
      <c r="R714" s="2" t="inlineStr"/>
    </row>
    <row r="715" ht="15" customHeight="1">
      <c r="A715" t="inlineStr">
        <is>
          <t>A 56211-2023</t>
        </is>
      </c>
      <c r="B715" s="1" t="n">
        <v>45240</v>
      </c>
      <c r="C715" s="1" t="n">
        <v>45572</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56099-2023</t>
        </is>
      </c>
      <c r="B716" s="1" t="n">
        <v>45240</v>
      </c>
      <c r="C716" s="1" t="n">
        <v>45572</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56067-2023</t>
        </is>
      </c>
      <c r="B717" s="1" t="n">
        <v>45240</v>
      </c>
      <c r="C717" s="1" t="n">
        <v>45572</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56065-2023</t>
        </is>
      </c>
      <c r="B718" s="1" t="n">
        <v>45240</v>
      </c>
      <c r="C718" s="1" t="n">
        <v>45572</v>
      </c>
      <c r="D718" t="inlineStr">
        <is>
          <t>DALARNAS LÄN</t>
        </is>
      </c>
      <c r="E718" t="inlineStr">
        <is>
          <t>LEKSAND</t>
        </is>
      </c>
      <c r="G718" t="n">
        <v>4</v>
      </c>
      <c r="H718" t="n">
        <v>0</v>
      </c>
      <c r="I718" t="n">
        <v>0</v>
      </c>
      <c r="J718" t="n">
        <v>0</v>
      </c>
      <c r="K718" t="n">
        <v>0</v>
      </c>
      <c r="L718" t="n">
        <v>0</v>
      </c>
      <c r="M718" t="n">
        <v>0</v>
      </c>
      <c r="N718" t="n">
        <v>0</v>
      </c>
      <c r="O718" t="n">
        <v>0</v>
      </c>
      <c r="P718" t="n">
        <v>0</v>
      </c>
      <c r="Q718" t="n">
        <v>0</v>
      </c>
      <c r="R718" s="2" t="inlineStr"/>
    </row>
    <row r="719" ht="15" customHeight="1">
      <c r="A719" t="inlineStr">
        <is>
          <t>A 56350-2023</t>
        </is>
      </c>
      <c r="B719" s="1" t="n">
        <v>45243</v>
      </c>
      <c r="C719" s="1" t="n">
        <v>45572</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56632-2023</t>
        </is>
      </c>
      <c r="B720" s="1" t="n">
        <v>45243</v>
      </c>
      <c r="C720" s="1" t="n">
        <v>45572</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56753-2023</t>
        </is>
      </c>
      <c r="B721" s="1" t="n">
        <v>45244</v>
      </c>
      <c r="C721" s="1" t="n">
        <v>45572</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56810-2023</t>
        </is>
      </c>
      <c r="B722" s="1" t="n">
        <v>45244</v>
      </c>
      <c r="C722" s="1" t="n">
        <v>45572</v>
      </c>
      <c r="D722" t="inlineStr">
        <is>
          <t>DALARNAS LÄN</t>
        </is>
      </c>
      <c r="E722" t="inlineStr">
        <is>
          <t>LEKSAND</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56812-2023</t>
        </is>
      </c>
      <c r="B723" s="1" t="n">
        <v>45244</v>
      </c>
      <c r="C723" s="1" t="n">
        <v>45572</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57013-2023</t>
        </is>
      </c>
      <c r="B724" s="1" t="n">
        <v>45244</v>
      </c>
      <c r="C724" s="1" t="n">
        <v>45572</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57323-2023</t>
        </is>
      </c>
      <c r="B725" s="1" t="n">
        <v>45245</v>
      </c>
      <c r="C725" s="1" t="n">
        <v>45572</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57106-2023</t>
        </is>
      </c>
      <c r="B726" s="1" t="n">
        <v>45245</v>
      </c>
      <c r="C726" s="1" t="n">
        <v>45572</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57093-2023</t>
        </is>
      </c>
      <c r="B727" s="1" t="n">
        <v>45245</v>
      </c>
      <c r="C727" s="1" t="n">
        <v>45572</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57468-2023</t>
        </is>
      </c>
      <c r="B728" s="1" t="n">
        <v>45246</v>
      </c>
      <c r="C728" s="1" t="n">
        <v>45572</v>
      </c>
      <c r="D728" t="inlineStr">
        <is>
          <t>DALARNAS LÄN</t>
        </is>
      </c>
      <c r="E728" t="inlineStr">
        <is>
          <t>LEKSAND</t>
        </is>
      </c>
      <c r="G728" t="n">
        <v>4.6</v>
      </c>
      <c r="H728" t="n">
        <v>0</v>
      </c>
      <c r="I728" t="n">
        <v>0</v>
      </c>
      <c r="J728" t="n">
        <v>0</v>
      </c>
      <c r="K728" t="n">
        <v>0</v>
      </c>
      <c r="L728" t="n">
        <v>0</v>
      </c>
      <c r="M728" t="n">
        <v>0</v>
      </c>
      <c r="N728" t="n">
        <v>0</v>
      </c>
      <c r="O728" t="n">
        <v>0</v>
      </c>
      <c r="P728" t="n">
        <v>0</v>
      </c>
      <c r="Q728" t="n">
        <v>0</v>
      </c>
      <c r="R728" s="2" t="inlineStr"/>
    </row>
    <row r="729" ht="15" customHeight="1">
      <c r="A729" t="inlineStr">
        <is>
          <t>A 57635-2023</t>
        </is>
      </c>
      <c r="B729" s="1" t="n">
        <v>45246</v>
      </c>
      <c r="C729" s="1" t="n">
        <v>45572</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57681-2023</t>
        </is>
      </c>
      <c r="B730" s="1" t="n">
        <v>45246</v>
      </c>
      <c r="C730" s="1" t="n">
        <v>45572</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57665-2023</t>
        </is>
      </c>
      <c r="B731" s="1" t="n">
        <v>45246</v>
      </c>
      <c r="C731" s="1" t="n">
        <v>45572</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57852-2023</t>
        </is>
      </c>
      <c r="B732" s="1" t="n">
        <v>45247</v>
      </c>
      <c r="C732" s="1" t="n">
        <v>45572</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58405-2023</t>
        </is>
      </c>
      <c r="B733" s="1" t="n">
        <v>45250</v>
      </c>
      <c r="C733" s="1" t="n">
        <v>45572</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58402-2023</t>
        </is>
      </c>
      <c r="B734" s="1" t="n">
        <v>45250</v>
      </c>
      <c r="C734" s="1" t="n">
        <v>45572</v>
      </c>
      <c r="D734" t="inlineStr">
        <is>
          <t>DALARNAS LÄN</t>
        </is>
      </c>
      <c r="E734" t="inlineStr">
        <is>
          <t>LEKSAND</t>
        </is>
      </c>
      <c r="G734" t="n">
        <v>4.5</v>
      </c>
      <c r="H734" t="n">
        <v>0</v>
      </c>
      <c r="I734" t="n">
        <v>0</v>
      </c>
      <c r="J734" t="n">
        <v>0</v>
      </c>
      <c r="K734" t="n">
        <v>0</v>
      </c>
      <c r="L734" t="n">
        <v>0</v>
      </c>
      <c r="M734" t="n">
        <v>0</v>
      </c>
      <c r="N734" t="n">
        <v>0</v>
      </c>
      <c r="O734" t="n">
        <v>0</v>
      </c>
      <c r="P734" t="n">
        <v>0</v>
      </c>
      <c r="Q734" t="n">
        <v>0</v>
      </c>
      <c r="R734" s="2" t="inlineStr"/>
    </row>
    <row r="735" ht="15" customHeight="1">
      <c r="A735" t="inlineStr">
        <is>
          <t>A 58495-2023</t>
        </is>
      </c>
      <c r="B735" s="1" t="n">
        <v>45251</v>
      </c>
      <c r="C735" s="1" t="n">
        <v>45572</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58730-2023</t>
        </is>
      </c>
      <c r="B736" s="1" t="n">
        <v>45251</v>
      </c>
      <c r="C736" s="1" t="n">
        <v>45572</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45572</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58950-2023</t>
        </is>
      </c>
      <c r="B738" s="1" t="n">
        <v>45252</v>
      </c>
      <c r="C738" s="1" t="n">
        <v>45572</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58949-2023</t>
        </is>
      </c>
      <c r="B739" s="1" t="n">
        <v>45252</v>
      </c>
      <c r="C739" s="1" t="n">
        <v>45572</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59011-2023</t>
        </is>
      </c>
      <c r="B740" s="1" t="n">
        <v>45252</v>
      </c>
      <c r="C740" s="1" t="n">
        <v>45572</v>
      </c>
      <c r="D740" t="inlineStr">
        <is>
          <t>DALARNAS LÄN</t>
        </is>
      </c>
      <c r="E740" t="inlineStr">
        <is>
          <t>LEKSAND</t>
        </is>
      </c>
      <c r="G740" t="n">
        <v>3.7</v>
      </c>
      <c r="H740" t="n">
        <v>0</v>
      </c>
      <c r="I740" t="n">
        <v>0</v>
      </c>
      <c r="J740" t="n">
        <v>0</v>
      </c>
      <c r="K740" t="n">
        <v>0</v>
      </c>
      <c r="L740" t="n">
        <v>0</v>
      </c>
      <c r="M740" t="n">
        <v>0</v>
      </c>
      <c r="N740" t="n">
        <v>0</v>
      </c>
      <c r="O740" t="n">
        <v>0</v>
      </c>
      <c r="P740" t="n">
        <v>0</v>
      </c>
      <c r="Q740" t="n">
        <v>0</v>
      </c>
      <c r="R740" s="2" t="inlineStr"/>
    </row>
    <row r="741" ht="15" customHeight="1">
      <c r="A741" t="inlineStr">
        <is>
          <t>A 58853-2023</t>
        </is>
      </c>
      <c r="B741" s="1" t="n">
        <v>45252</v>
      </c>
      <c r="C741" s="1" t="n">
        <v>45572</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58880-2023</t>
        </is>
      </c>
      <c r="B742" s="1" t="n">
        <v>45252</v>
      </c>
      <c r="C742" s="1" t="n">
        <v>45572</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59222-2023</t>
        </is>
      </c>
      <c r="B743" s="1" t="n">
        <v>45252</v>
      </c>
      <c r="C743" s="1" t="n">
        <v>45572</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59392-2023</t>
        </is>
      </c>
      <c r="B744" s="1" t="n">
        <v>45253</v>
      </c>
      <c r="C744" s="1" t="n">
        <v>45572</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59562-2023</t>
        </is>
      </c>
      <c r="B745" s="1" t="n">
        <v>45253</v>
      </c>
      <c r="C745" s="1" t="n">
        <v>45572</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59809-2023</t>
        </is>
      </c>
      <c r="B746" s="1" t="n">
        <v>45254</v>
      </c>
      <c r="C746" s="1" t="n">
        <v>45572</v>
      </c>
      <c r="D746" t="inlineStr">
        <is>
          <t>DALARNAS LÄN</t>
        </is>
      </c>
      <c r="E746" t="inlineStr">
        <is>
          <t>LEKSAND</t>
        </is>
      </c>
      <c r="G746" t="n">
        <v>3.9</v>
      </c>
      <c r="H746" t="n">
        <v>0</v>
      </c>
      <c r="I746" t="n">
        <v>0</v>
      </c>
      <c r="J746" t="n">
        <v>0</v>
      </c>
      <c r="K746" t="n">
        <v>0</v>
      </c>
      <c r="L746" t="n">
        <v>0</v>
      </c>
      <c r="M746" t="n">
        <v>0</v>
      </c>
      <c r="N746" t="n">
        <v>0</v>
      </c>
      <c r="O746" t="n">
        <v>0</v>
      </c>
      <c r="P746" t="n">
        <v>0</v>
      </c>
      <c r="Q746" t="n">
        <v>0</v>
      </c>
      <c r="R746" s="2" t="inlineStr"/>
    </row>
    <row r="747" ht="15" customHeight="1">
      <c r="A747" t="inlineStr">
        <is>
          <t>A 59803-2023</t>
        </is>
      </c>
      <c r="B747" s="1" t="n">
        <v>45254</v>
      </c>
      <c r="C747" s="1" t="n">
        <v>45572</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59826-2023</t>
        </is>
      </c>
      <c r="B748" s="1" t="n">
        <v>45254</v>
      </c>
      <c r="C748" s="1" t="n">
        <v>45572</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v>
      </c>
      <c r="C749" s="1" t="n">
        <v>45572</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45572</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60040-2023</t>
        </is>
      </c>
      <c r="B751" s="1" t="n">
        <v>45256</v>
      </c>
      <c r="C751" s="1" t="n">
        <v>45572</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59718-2023</t>
        </is>
      </c>
      <c r="B752" s="1" t="n">
        <v>45257</v>
      </c>
      <c r="C752" s="1" t="n">
        <v>45572</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59763-2023</t>
        </is>
      </c>
      <c r="B753" s="1" t="n">
        <v>45257</v>
      </c>
      <c r="C753" s="1" t="n">
        <v>45572</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59859-2023</t>
        </is>
      </c>
      <c r="B754" s="1" t="n">
        <v>45257</v>
      </c>
      <c r="C754" s="1" t="n">
        <v>45572</v>
      </c>
      <c r="D754" t="inlineStr">
        <is>
          <t>DALARNAS LÄN</t>
        </is>
      </c>
      <c r="E754" t="inlineStr">
        <is>
          <t>LEKSAND</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60132-2023</t>
        </is>
      </c>
      <c r="B755" s="1" t="n">
        <v>45258</v>
      </c>
      <c r="C755" s="1" t="n">
        <v>45572</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60024-2023</t>
        </is>
      </c>
      <c r="B756" s="1" t="n">
        <v>45258</v>
      </c>
      <c r="C756" s="1" t="n">
        <v>45572</v>
      </c>
      <c r="D756" t="inlineStr">
        <is>
          <t>DALARNAS LÄN</t>
        </is>
      </c>
      <c r="E756" t="inlineStr">
        <is>
          <t>LEKSAND</t>
        </is>
      </c>
      <c r="G756" t="n">
        <v>4.2</v>
      </c>
      <c r="H756" t="n">
        <v>0</v>
      </c>
      <c r="I756" t="n">
        <v>0</v>
      </c>
      <c r="J756" t="n">
        <v>0</v>
      </c>
      <c r="K756" t="n">
        <v>0</v>
      </c>
      <c r="L756" t="n">
        <v>0</v>
      </c>
      <c r="M756" t="n">
        <v>0</v>
      </c>
      <c r="N756" t="n">
        <v>0</v>
      </c>
      <c r="O756" t="n">
        <v>0</v>
      </c>
      <c r="P756" t="n">
        <v>0</v>
      </c>
      <c r="Q756" t="n">
        <v>0</v>
      </c>
      <c r="R756" s="2" t="inlineStr"/>
    </row>
    <row r="757" ht="15" customHeight="1">
      <c r="A757" t="inlineStr">
        <is>
          <t>A 60028-2023</t>
        </is>
      </c>
      <c r="B757" s="1" t="n">
        <v>45258</v>
      </c>
      <c r="C757" s="1" t="n">
        <v>45572</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60044-2023</t>
        </is>
      </c>
      <c r="B758" s="1" t="n">
        <v>45258</v>
      </c>
      <c r="C758" s="1" t="n">
        <v>45572</v>
      </c>
      <c r="D758" t="inlineStr">
        <is>
          <t>DALARNAS LÄN</t>
        </is>
      </c>
      <c r="E758" t="inlineStr">
        <is>
          <t>LEKSAND</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60080-2023</t>
        </is>
      </c>
      <c r="B759" s="1" t="n">
        <v>45258</v>
      </c>
      <c r="C759" s="1" t="n">
        <v>45572</v>
      </c>
      <c r="D759" t="inlineStr">
        <is>
          <t>DALARNAS LÄN</t>
        </is>
      </c>
      <c r="E759" t="inlineStr">
        <is>
          <t>LEKSAND</t>
        </is>
      </c>
      <c r="G759" t="n">
        <v>2.7</v>
      </c>
      <c r="H759" t="n">
        <v>0</v>
      </c>
      <c r="I759" t="n">
        <v>0</v>
      </c>
      <c r="J759" t="n">
        <v>0</v>
      </c>
      <c r="K759" t="n">
        <v>0</v>
      </c>
      <c r="L759" t="n">
        <v>0</v>
      </c>
      <c r="M759" t="n">
        <v>0</v>
      </c>
      <c r="N759" t="n">
        <v>0</v>
      </c>
      <c r="O759" t="n">
        <v>0</v>
      </c>
      <c r="P759" t="n">
        <v>0</v>
      </c>
      <c r="Q759" t="n">
        <v>0</v>
      </c>
      <c r="R759" s="2" t="inlineStr"/>
    </row>
    <row r="760" ht="15" customHeight="1">
      <c r="A760" t="inlineStr">
        <is>
          <t>A 60045-2023</t>
        </is>
      </c>
      <c r="B760" s="1" t="n">
        <v>45258</v>
      </c>
      <c r="C760" s="1" t="n">
        <v>45572</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60120-2023</t>
        </is>
      </c>
      <c r="B761" s="1" t="n">
        <v>45258</v>
      </c>
      <c r="C761" s="1" t="n">
        <v>45572</v>
      </c>
      <c r="D761" t="inlineStr">
        <is>
          <t>DALARNAS LÄN</t>
        </is>
      </c>
      <c r="E761" t="inlineStr">
        <is>
          <t>LEKSAND</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60129-2023</t>
        </is>
      </c>
      <c r="B762" s="1" t="n">
        <v>45258</v>
      </c>
      <c r="C762" s="1" t="n">
        <v>45572</v>
      </c>
      <c r="D762" t="inlineStr">
        <is>
          <t>DALARNAS LÄN</t>
        </is>
      </c>
      <c r="E762" t="inlineStr">
        <is>
          <t>LEKSAND</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60189-2023</t>
        </is>
      </c>
      <c r="B763" s="1" t="n">
        <v>45258</v>
      </c>
      <c r="C763" s="1" t="n">
        <v>45572</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60310-2023</t>
        </is>
      </c>
      <c r="B764" s="1" t="n">
        <v>45258</v>
      </c>
      <c r="C764" s="1" t="n">
        <v>45572</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60309-2023</t>
        </is>
      </c>
      <c r="B765" s="1" t="n">
        <v>45258</v>
      </c>
      <c r="C765" s="1" t="n">
        <v>45572</v>
      </c>
      <c r="D765" t="inlineStr">
        <is>
          <t>DALARNAS LÄN</t>
        </is>
      </c>
      <c r="E765" t="inlineStr">
        <is>
          <t>LEKSAND</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60315-2023</t>
        </is>
      </c>
      <c r="B766" s="1" t="n">
        <v>45258</v>
      </c>
      <c r="C766" s="1" t="n">
        <v>45572</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60546-2023</t>
        </is>
      </c>
      <c r="B767" s="1" t="n">
        <v>45259</v>
      </c>
      <c r="C767" s="1" t="n">
        <v>45572</v>
      </c>
      <c r="D767" t="inlineStr">
        <is>
          <t>DALARNAS LÄN</t>
        </is>
      </c>
      <c r="E767" t="inlineStr">
        <is>
          <t>LEKSAND</t>
        </is>
      </c>
      <c r="G767" t="n">
        <v>6.6</v>
      </c>
      <c r="H767" t="n">
        <v>0</v>
      </c>
      <c r="I767" t="n">
        <v>0</v>
      </c>
      <c r="J767" t="n">
        <v>0</v>
      </c>
      <c r="K767" t="n">
        <v>0</v>
      </c>
      <c r="L767" t="n">
        <v>0</v>
      </c>
      <c r="M767" t="n">
        <v>0</v>
      </c>
      <c r="N767" t="n">
        <v>0</v>
      </c>
      <c r="O767" t="n">
        <v>0</v>
      </c>
      <c r="P767" t="n">
        <v>0</v>
      </c>
      <c r="Q767" t="n">
        <v>0</v>
      </c>
      <c r="R767" s="2" t="inlineStr"/>
    </row>
    <row r="768" ht="15" customHeight="1">
      <c r="A768" t="inlineStr">
        <is>
          <t>A 60878-2023</t>
        </is>
      </c>
      <c r="B768" s="1" t="n">
        <v>45259</v>
      </c>
      <c r="C768" s="1" t="n">
        <v>45572</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60692-2023</t>
        </is>
      </c>
      <c r="B769" s="1" t="n">
        <v>45260</v>
      </c>
      <c r="C769" s="1" t="n">
        <v>45572</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60755-2023</t>
        </is>
      </c>
      <c r="B770" s="1" t="n">
        <v>45260</v>
      </c>
      <c r="C770" s="1" t="n">
        <v>45572</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61208-2023</t>
        </is>
      </c>
      <c r="B771" s="1" t="n">
        <v>45260</v>
      </c>
      <c r="C771" s="1" t="n">
        <v>45572</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61244-2023</t>
        </is>
      </c>
      <c r="B772" s="1" t="n">
        <v>45260</v>
      </c>
      <c r="C772" s="1" t="n">
        <v>45572</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60873-2023</t>
        </is>
      </c>
      <c r="B773" s="1" t="n">
        <v>45261</v>
      </c>
      <c r="C773" s="1" t="n">
        <v>45572</v>
      </c>
      <c r="D773" t="inlineStr">
        <is>
          <t>DALARNAS LÄN</t>
        </is>
      </c>
      <c r="E773" t="inlineStr">
        <is>
          <t>LEKSAND</t>
        </is>
      </c>
      <c r="G773" t="n">
        <v>5.2</v>
      </c>
      <c r="H773" t="n">
        <v>0</v>
      </c>
      <c r="I773" t="n">
        <v>0</v>
      </c>
      <c r="J773" t="n">
        <v>0</v>
      </c>
      <c r="K773" t="n">
        <v>0</v>
      </c>
      <c r="L773" t="n">
        <v>0</v>
      </c>
      <c r="M773" t="n">
        <v>0</v>
      </c>
      <c r="N773" t="n">
        <v>0</v>
      </c>
      <c r="O773" t="n">
        <v>0</v>
      </c>
      <c r="P773" t="n">
        <v>0</v>
      </c>
      <c r="Q773" t="n">
        <v>0</v>
      </c>
      <c r="R773" s="2" t="inlineStr"/>
    </row>
    <row r="774" ht="15" customHeight="1">
      <c r="A774" t="inlineStr">
        <is>
          <t>A 61052-2023</t>
        </is>
      </c>
      <c r="B774" s="1" t="n">
        <v>45261</v>
      </c>
      <c r="C774" s="1" t="n">
        <v>45572</v>
      </c>
      <c r="D774" t="inlineStr">
        <is>
          <t>DALARNAS LÄN</t>
        </is>
      </c>
      <c r="E774" t="inlineStr">
        <is>
          <t>LEKSAND</t>
        </is>
      </c>
      <c r="G774" t="n">
        <v>8.6</v>
      </c>
      <c r="H774" t="n">
        <v>0</v>
      </c>
      <c r="I774" t="n">
        <v>0</v>
      </c>
      <c r="J774" t="n">
        <v>0</v>
      </c>
      <c r="K774" t="n">
        <v>0</v>
      </c>
      <c r="L774" t="n">
        <v>0</v>
      </c>
      <c r="M774" t="n">
        <v>0</v>
      </c>
      <c r="N774" t="n">
        <v>0</v>
      </c>
      <c r="O774" t="n">
        <v>0</v>
      </c>
      <c r="P774" t="n">
        <v>0</v>
      </c>
      <c r="Q774" t="n">
        <v>0</v>
      </c>
      <c r="R774" s="2" t="inlineStr"/>
    </row>
    <row r="775" ht="15" customHeight="1">
      <c r="A775" t="inlineStr">
        <is>
          <t>A 61056-2023</t>
        </is>
      </c>
      <c r="B775" s="1" t="n">
        <v>45261</v>
      </c>
      <c r="C775" s="1" t="n">
        <v>45572</v>
      </c>
      <c r="D775" t="inlineStr">
        <is>
          <t>DALARNAS LÄN</t>
        </is>
      </c>
      <c r="E775" t="inlineStr">
        <is>
          <t>LEKSAND</t>
        </is>
      </c>
      <c r="G775" t="n">
        <v>0.3</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45572</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61055-2023</t>
        </is>
      </c>
      <c r="B777" s="1" t="n">
        <v>45261</v>
      </c>
      <c r="C777" s="1" t="n">
        <v>45572</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61252-2023</t>
        </is>
      </c>
      <c r="B778" s="1" t="n">
        <v>45261</v>
      </c>
      <c r="C778" s="1" t="n">
        <v>45572</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61617-2023</t>
        </is>
      </c>
      <c r="B779" s="1" t="n">
        <v>45261</v>
      </c>
      <c r="C779" s="1" t="n">
        <v>45572</v>
      </c>
      <c r="D779" t="inlineStr">
        <is>
          <t>DALARNAS LÄN</t>
        </is>
      </c>
      <c r="E779" t="inlineStr">
        <is>
          <t>LEKSAND</t>
        </is>
      </c>
      <c r="G779" t="n">
        <v>0.8</v>
      </c>
      <c r="H779" t="n">
        <v>0</v>
      </c>
      <c r="I779" t="n">
        <v>0</v>
      </c>
      <c r="J779" t="n">
        <v>0</v>
      </c>
      <c r="K779" t="n">
        <v>0</v>
      </c>
      <c r="L779" t="n">
        <v>0</v>
      </c>
      <c r="M779" t="n">
        <v>0</v>
      </c>
      <c r="N779" t="n">
        <v>0</v>
      </c>
      <c r="O779" t="n">
        <v>0</v>
      </c>
      <c r="P779" t="n">
        <v>0</v>
      </c>
      <c r="Q779" t="n">
        <v>0</v>
      </c>
      <c r="R779" s="2" t="inlineStr"/>
    </row>
    <row r="780" ht="15" customHeight="1">
      <c r="A780" t="inlineStr">
        <is>
          <t>A 61637-2023</t>
        </is>
      </c>
      <c r="B780" s="1" t="n">
        <v>45261</v>
      </c>
      <c r="C780" s="1" t="n">
        <v>45572</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61614-2023</t>
        </is>
      </c>
      <c r="B781" s="1" t="n">
        <v>45261</v>
      </c>
      <c r="C781" s="1" t="n">
        <v>45572</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61627-2023</t>
        </is>
      </c>
      <c r="B782" s="1" t="n">
        <v>45261</v>
      </c>
      <c r="C782" s="1" t="n">
        <v>45572</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61225-2023</t>
        </is>
      </c>
      <c r="B783" s="1" t="n">
        <v>45264</v>
      </c>
      <c r="C783" s="1" t="n">
        <v>45572</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61502-2023</t>
        </is>
      </c>
      <c r="B784" s="1" t="n">
        <v>45264</v>
      </c>
      <c r="C784" s="1" t="n">
        <v>45572</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61652-2023</t>
        </is>
      </c>
      <c r="B785" s="1" t="n">
        <v>45265</v>
      </c>
      <c r="C785" s="1" t="n">
        <v>45572</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61598-2023</t>
        </is>
      </c>
      <c r="B786" s="1" t="n">
        <v>45265</v>
      </c>
      <c r="C786" s="1" t="n">
        <v>45572</v>
      </c>
      <c r="D786" t="inlineStr">
        <is>
          <t>DALARNAS LÄN</t>
        </is>
      </c>
      <c r="E786" t="inlineStr">
        <is>
          <t>LEKSAND</t>
        </is>
      </c>
      <c r="F786" t="inlineStr">
        <is>
          <t>Bergvik skog väst AB</t>
        </is>
      </c>
      <c r="G786" t="n">
        <v>5.8</v>
      </c>
      <c r="H786" t="n">
        <v>0</v>
      </c>
      <c r="I786" t="n">
        <v>0</v>
      </c>
      <c r="J786" t="n">
        <v>0</v>
      </c>
      <c r="K786" t="n">
        <v>0</v>
      </c>
      <c r="L786" t="n">
        <v>0</v>
      </c>
      <c r="M786" t="n">
        <v>0</v>
      </c>
      <c r="N786" t="n">
        <v>0</v>
      </c>
      <c r="O786" t="n">
        <v>0</v>
      </c>
      <c r="P786" t="n">
        <v>0</v>
      </c>
      <c r="Q786" t="n">
        <v>0</v>
      </c>
      <c r="R786" s="2" t="inlineStr"/>
    </row>
    <row r="787" ht="15" customHeight="1">
      <c r="A787" t="inlineStr">
        <is>
          <t>A 61633-2023</t>
        </is>
      </c>
      <c r="B787" s="1" t="n">
        <v>45265</v>
      </c>
      <c r="C787" s="1" t="n">
        <v>45572</v>
      </c>
      <c r="D787" t="inlineStr">
        <is>
          <t>DALARNAS LÄN</t>
        </is>
      </c>
      <c r="E787" t="inlineStr">
        <is>
          <t>LEKSAND</t>
        </is>
      </c>
      <c r="G787" t="n">
        <v>5.3</v>
      </c>
      <c r="H787" t="n">
        <v>0</v>
      </c>
      <c r="I787" t="n">
        <v>0</v>
      </c>
      <c r="J787" t="n">
        <v>0</v>
      </c>
      <c r="K787" t="n">
        <v>0</v>
      </c>
      <c r="L787" t="n">
        <v>0</v>
      </c>
      <c r="M787" t="n">
        <v>0</v>
      </c>
      <c r="N787" t="n">
        <v>0</v>
      </c>
      <c r="O787" t="n">
        <v>0</v>
      </c>
      <c r="P787" t="n">
        <v>0</v>
      </c>
      <c r="Q787" t="n">
        <v>0</v>
      </c>
      <c r="R787" s="2" t="inlineStr"/>
    </row>
    <row r="788" ht="15" customHeight="1">
      <c r="A788" t="inlineStr">
        <is>
          <t>A 61910-2023</t>
        </is>
      </c>
      <c r="B788" s="1" t="n">
        <v>45266</v>
      </c>
      <c r="C788" s="1" t="n">
        <v>45572</v>
      </c>
      <c r="D788" t="inlineStr">
        <is>
          <t>DALARNAS LÄN</t>
        </is>
      </c>
      <c r="E788" t="inlineStr">
        <is>
          <t>LEKSAND</t>
        </is>
      </c>
      <c r="G788" t="n">
        <v>7.3</v>
      </c>
      <c r="H788" t="n">
        <v>0</v>
      </c>
      <c r="I788" t="n">
        <v>0</v>
      </c>
      <c r="J788" t="n">
        <v>0</v>
      </c>
      <c r="K788" t="n">
        <v>0</v>
      </c>
      <c r="L788" t="n">
        <v>0</v>
      </c>
      <c r="M788" t="n">
        <v>0</v>
      </c>
      <c r="N788" t="n">
        <v>0</v>
      </c>
      <c r="O788" t="n">
        <v>0</v>
      </c>
      <c r="P788" t="n">
        <v>0</v>
      </c>
      <c r="Q788" t="n">
        <v>0</v>
      </c>
      <c r="R788" s="2" t="inlineStr"/>
    </row>
    <row r="789" ht="15" customHeight="1">
      <c r="A789" t="inlineStr">
        <is>
          <t>A 61933-2023</t>
        </is>
      </c>
      <c r="B789" s="1" t="n">
        <v>45266</v>
      </c>
      <c r="C789" s="1" t="n">
        <v>45572</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61953-2023</t>
        </is>
      </c>
      <c r="B790" s="1" t="n">
        <v>45266</v>
      </c>
      <c r="C790" s="1" t="n">
        <v>45572</v>
      </c>
      <c r="D790" t="inlineStr">
        <is>
          <t>DALARNAS LÄN</t>
        </is>
      </c>
      <c r="E790" t="inlineStr">
        <is>
          <t>LEKSAND</t>
        </is>
      </c>
      <c r="G790" t="n">
        <v>0.1</v>
      </c>
      <c r="H790" t="n">
        <v>0</v>
      </c>
      <c r="I790" t="n">
        <v>0</v>
      </c>
      <c r="J790" t="n">
        <v>0</v>
      </c>
      <c r="K790" t="n">
        <v>0</v>
      </c>
      <c r="L790" t="n">
        <v>0</v>
      </c>
      <c r="M790" t="n">
        <v>0</v>
      </c>
      <c r="N790" t="n">
        <v>0</v>
      </c>
      <c r="O790" t="n">
        <v>0</v>
      </c>
      <c r="P790" t="n">
        <v>0</v>
      </c>
      <c r="Q790" t="n">
        <v>0</v>
      </c>
      <c r="R790" s="2" t="inlineStr"/>
    </row>
    <row r="791" ht="15" customHeight="1">
      <c r="A791" t="inlineStr">
        <is>
          <t>A 61957-2023</t>
        </is>
      </c>
      <c r="B791" s="1" t="n">
        <v>45266</v>
      </c>
      <c r="C791" s="1" t="n">
        <v>45572</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61938-2023</t>
        </is>
      </c>
      <c r="B792" s="1" t="n">
        <v>45266</v>
      </c>
      <c r="C792" s="1" t="n">
        <v>45572</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61950-2023</t>
        </is>
      </c>
      <c r="B793" s="1" t="n">
        <v>45266</v>
      </c>
      <c r="C793" s="1" t="n">
        <v>45572</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61884-2023</t>
        </is>
      </c>
      <c r="B794" s="1" t="n">
        <v>45266</v>
      </c>
      <c r="C794" s="1" t="n">
        <v>45572</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62306-2023</t>
        </is>
      </c>
      <c r="B795" s="1" t="n">
        <v>45266</v>
      </c>
      <c r="C795" s="1" t="n">
        <v>45572</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62307-2023</t>
        </is>
      </c>
      <c r="B796" s="1" t="n">
        <v>45266</v>
      </c>
      <c r="C796" s="1" t="n">
        <v>45572</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62133-2023</t>
        </is>
      </c>
      <c r="B797" s="1" t="n">
        <v>45267</v>
      </c>
      <c r="C797" s="1" t="n">
        <v>45572</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45572</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62305-2023</t>
        </is>
      </c>
      <c r="B799" s="1" t="n">
        <v>45267</v>
      </c>
      <c r="C799" s="1" t="n">
        <v>45572</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62587-2023</t>
        </is>
      </c>
      <c r="B800" s="1" t="n">
        <v>45270</v>
      </c>
      <c r="C800" s="1" t="n">
        <v>45572</v>
      </c>
      <c r="D800" t="inlineStr">
        <is>
          <t>DALARNAS LÄN</t>
        </is>
      </c>
      <c r="E800" t="inlineStr">
        <is>
          <t>LEKSAND</t>
        </is>
      </c>
      <c r="G800" t="n">
        <v>4.8</v>
      </c>
      <c r="H800" t="n">
        <v>0</v>
      </c>
      <c r="I800" t="n">
        <v>0</v>
      </c>
      <c r="J800" t="n">
        <v>0</v>
      </c>
      <c r="K800" t="n">
        <v>0</v>
      </c>
      <c r="L800" t="n">
        <v>0</v>
      </c>
      <c r="M800" t="n">
        <v>0</v>
      </c>
      <c r="N800" t="n">
        <v>0</v>
      </c>
      <c r="O800" t="n">
        <v>0</v>
      </c>
      <c r="P800" t="n">
        <v>0</v>
      </c>
      <c r="Q800" t="n">
        <v>0</v>
      </c>
      <c r="R800" s="2" t="inlineStr"/>
    </row>
    <row r="801" ht="15" customHeight="1">
      <c r="A801" t="inlineStr">
        <is>
          <t>A 62863-2023</t>
        </is>
      </c>
      <c r="B801" s="1" t="n">
        <v>45272</v>
      </c>
      <c r="C801" s="1" t="n">
        <v>45572</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62993-2023</t>
        </is>
      </c>
      <c r="B802" s="1" t="n">
        <v>45272</v>
      </c>
      <c r="C802" s="1" t="n">
        <v>45572</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63105-2023</t>
        </is>
      </c>
      <c r="B803" s="1" t="n">
        <v>45273</v>
      </c>
      <c r="C803" s="1" t="n">
        <v>45572</v>
      </c>
      <c r="D803" t="inlineStr">
        <is>
          <t>DALARNAS LÄN</t>
        </is>
      </c>
      <c r="E803" t="inlineStr">
        <is>
          <t>LEKSAND</t>
        </is>
      </c>
      <c r="G803" t="n">
        <v>3.7</v>
      </c>
      <c r="H803" t="n">
        <v>0</v>
      </c>
      <c r="I803" t="n">
        <v>0</v>
      </c>
      <c r="J803" t="n">
        <v>0</v>
      </c>
      <c r="K803" t="n">
        <v>0</v>
      </c>
      <c r="L803" t="n">
        <v>0</v>
      </c>
      <c r="M803" t="n">
        <v>0</v>
      </c>
      <c r="N803" t="n">
        <v>0</v>
      </c>
      <c r="O803" t="n">
        <v>0</v>
      </c>
      <c r="P803" t="n">
        <v>0</v>
      </c>
      <c r="Q803" t="n">
        <v>0</v>
      </c>
      <c r="R803" s="2" t="inlineStr"/>
    </row>
    <row r="804" ht="15" customHeight="1">
      <c r="A804" t="inlineStr">
        <is>
          <t>A 63107-2023</t>
        </is>
      </c>
      <c r="B804" s="1" t="n">
        <v>45273</v>
      </c>
      <c r="C804" s="1" t="n">
        <v>45572</v>
      </c>
      <c r="D804" t="inlineStr">
        <is>
          <t>DALARNAS LÄN</t>
        </is>
      </c>
      <c r="E804" t="inlineStr">
        <is>
          <t>LEKSAND</t>
        </is>
      </c>
      <c r="G804" t="n">
        <v>1.2</v>
      </c>
      <c r="H804" t="n">
        <v>0</v>
      </c>
      <c r="I804" t="n">
        <v>0</v>
      </c>
      <c r="J804" t="n">
        <v>0</v>
      </c>
      <c r="K804" t="n">
        <v>0</v>
      </c>
      <c r="L804" t="n">
        <v>0</v>
      </c>
      <c r="M804" t="n">
        <v>0</v>
      </c>
      <c r="N804" t="n">
        <v>0</v>
      </c>
      <c r="O804" t="n">
        <v>0</v>
      </c>
      <c r="P804" t="n">
        <v>0</v>
      </c>
      <c r="Q804" t="n">
        <v>0</v>
      </c>
      <c r="R804" s="2" t="inlineStr"/>
    </row>
    <row r="805" ht="15" customHeight="1">
      <c r="A805" t="inlineStr">
        <is>
          <t>A 63514-2023</t>
        </is>
      </c>
      <c r="B805" s="1" t="n">
        <v>45274</v>
      </c>
      <c r="C805" s="1" t="n">
        <v>45572</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45572</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63544-2023</t>
        </is>
      </c>
      <c r="B807" s="1" t="n">
        <v>45275</v>
      </c>
      <c r="C807" s="1" t="n">
        <v>45572</v>
      </c>
      <c r="D807" t="inlineStr">
        <is>
          <t>DALARNAS LÄN</t>
        </is>
      </c>
      <c r="E807" t="inlineStr">
        <is>
          <t>LEKSAND</t>
        </is>
      </c>
      <c r="G807" t="n">
        <v>0.3</v>
      </c>
      <c r="H807" t="n">
        <v>0</v>
      </c>
      <c r="I807" t="n">
        <v>0</v>
      </c>
      <c r="J807" t="n">
        <v>0</v>
      </c>
      <c r="K807" t="n">
        <v>0</v>
      </c>
      <c r="L807" t="n">
        <v>0</v>
      </c>
      <c r="M807" t="n">
        <v>0</v>
      </c>
      <c r="N807" t="n">
        <v>0</v>
      </c>
      <c r="O807" t="n">
        <v>0</v>
      </c>
      <c r="P807" t="n">
        <v>0</v>
      </c>
      <c r="Q807" t="n">
        <v>0</v>
      </c>
      <c r="R807" s="2" t="inlineStr"/>
    </row>
    <row r="808" ht="15" customHeight="1">
      <c r="A808" t="inlineStr">
        <is>
          <t>A 63548-2023</t>
        </is>
      </c>
      <c r="B808" s="1" t="n">
        <v>45275</v>
      </c>
      <c r="C808" s="1" t="n">
        <v>45572</v>
      </c>
      <c r="D808" t="inlineStr">
        <is>
          <t>DALARNAS LÄN</t>
        </is>
      </c>
      <c r="E808" t="inlineStr">
        <is>
          <t>LEKSAND</t>
        </is>
      </c>
      <c r="G808" t="n">
        <v>1.7</v>
      </c>
      <c r="H808" t="n">
        <v>0</v>
      </c>
      <c r="I808" t="n">
        <v>0</v>
      </c>
      <c r="J808" t="n">
        <v>0</v>
      </c>
      <c r="K808" t="n">
        <v>0</v>
      </c>
      <c r="L808" t="n">
        <v>0</v>
      </c>
      <c r="M808" t="n">
        <v>0</v>
      </c>
      <c r="N808" t="n">
        <v>0</v>
      </c>
      <c r="O808" t="n">
        <v>0</v>
      </c>
      <c r="P808" t="n">
        <v>0</v>
      </c>
      <c r="Q808" t="n">
        <v>0</v>
      </c>
      <c r="R808" s="2" t="inlineStr"/>
    </row>
    <row r="809" ht="15" customHeight="1">
      <c r="A809" t="inlineStr">
        <is>
          <t>A 64146-2023</t>
        </is>
      </c>
      <c r="B809" s="1" t="n">
        <v>45279</v>
      </c>
      <c r="C809" s="1" t="n">
        <v>45572</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64418-2023</t>
        </is>
      </c>
      <c r="B810" s="1" t="n">
        <v>45280</v>
      </c>
      <c r="C810" s="1" t="n">
        <v>45572</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64516-2023</t>
        </is>
      </c>
      <c r="B811" s="1" t="n">
        <v>45280</v>
      </c>
      <c r="C811" s="1" t="n">
        <v>45572</v>
      </c>
      <c r="D811" t="inlineStr">
        <is>
          <t>DALARNAS LÄN</t>
        </is>
      </c>
      <c r="E811" t="inlineStr">
        <is>
          <t>LEKSAND</t>
        </is>
      </c>
      <c r="G811" t="n">
        <v>4.4</v>
      </c>
      <c r="H811" t="n">
        <v>0</v>
      </c>
      <c r="I811" t="n">
        <v>0</v>
      </c>
      <c r="J811" t="n">
        <v>0</v>
      </c>
      <c r="K811" t="n">
        <v>0</v>
      </c>
      <c r="L811" t="n">
        <v>0</v>
      </c>
      <c r="M811" t="n">
        <v>0</v>
      </c>
      <c r="N811" t="n">
        <v>0</v>
      </c>
      <c r="O811" t="n">
        <v>0</v>
      </c>
      <c r="P811" t="n">
        <v>0</v>
      </c>
      <c r="Q811" t="n">
        <v>0</v>
      </c>
      <c r="R811" s="2" t="inlineStr"/>
    </row>
    <row r="812" ht="15" customHeight="1">
      <c r="A812" t="inlineStr">
        <is>
          <t>A 64515-2023</t>
        </is>
      </c>
      <c r="B812" s="1" t="n">
        <v>45280</v>
      </c>
      <c r="C812" s="1" t="n">
        <v>45572</v>
      </c>
      <c r="D812" t="inlineStr">
        <is>
          <t>DALARNAS LÄN</t>
        </is>
      </c>
      <c r="E812" t="inlineStr">
        <is>
          <t>LEKSAND</t>
        </is>
      </c>
      <c r="G812" t="n">
        <v>9.1</v>
      </c>
      <c r="H812" t="n">
        <v>0</v>
      </c>
      <c r="I812" t="n">
        <v>0</v>
      </c>
      <c r="J812" t="n">
        <v>0</v>
      </c>
      <c r="K812" t="n">
        <v>0</v>
      </c>
      <c r="L812" t="n">
        <v>0</v>
      </c>
      <c r="M812" t="n">
        <v>0</v>
      </c>
      <c r="N812" t="n">
        <v>0</v>
      </c>
      <c r="O812" t="n">
        <v>0</v>
      </c>
      <c r="P812" t="n">
        <v>0</v>
      </c>
      <c r="Q812" t="n">
        <v>0</v>
      </c>
      <c r="R812" s="2" t="inlineStr"/>
    </row>
    <row r="813" ht="15" customHeight="1">
      <c r="A813" t="inlineStr">
        <is>
          <t>A 64677-2023</t>
        </is>
      </c>
      <c r="B813" s="1" t="n">
        <v>45281</v>
      </c>
      <c r="C813" s="1" t="n">
        <v>45572</v>
      </c>
      <c r="D813" t="inlineStr">
        <is>
          <t>DALARNAS LÄN</t>
        </is>
      </c>
      <c r="E813" t="inlineStr">
        <is>
          <t>LEKSAND</t>
        </is>
      </c>
      <c r="G813" t="n">
        <v>2.7</v>
      </c>
      <c r="H813" t="n">
        <v>0</v>
      </c>
      <c r="I813" t="n">
        <v>0</v>
      </c>
      <c r="J813" t="n">
        <v>0</v>
      </c>
      <c r="K813" t="n">
        <v>0</v>
      </c>
      <c r="L813" t="n">
        <v>0</v>
      </c>
      <c r="M813" t="n">
        <v>0</v>
      </c>
      <c r="N813" t="n">
        <v>0</v>
      </c>
      <c r="O813" t="n">
        <v>0</v>
      </c>
      <c r="P813" t="n">
        <v>0</v>
      </c>
      <c r="Q813" t="n">
        <v>0</v>
      </c>
      <c r="R813" s="2" t="inlineStr"/>
    </row>
    <row r="814" ht="15" customHeight="1">
      <c r="A814" t="inlineStr">
        <is>
          <t>A 64612-2023</t>
        </is>
      </c>
      <c r="B814" s="1" t="n">
        <v>45281</v>
      </c>
      <c r="C814" s="1" t="n">
        <v>45572</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64867-2023</t>
        </is>
      </c>
      <c r="B815" s="1" t="n">
        <v>45282</v>
      </c>
      <c r="C815" s="1" t="n">
        <v>45572</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64931-2023</t>
        </is>
      </c>
      <c r="B816" s="1" t="n">
        <v>45282</v>
      </c>
      <c r="C816" s="1" t="n">
        <v>45572</v>
      </c>
      <c r="D816" t="inlineStr">
        <is>
          <t>DALARNAS LÄN</t>
        </is>
      </c>
      <c r="E816" t="inlineStr">
        <is>
          <t>LEKSAND</t>
        </is>
      </c>
      <c r="G816" t="n">
        <v>6.3</v>
      </c>
      <c r="H816" t="n">
        <v>0</v>
      </c>
      <c r="I816" t="n">
        <v>0</v>
      </c>
      <c r="J816" t="n">
        <v>0</v>
      </c>
      <c r="K816" t="n">
        <v>0</v>
      </c>
      <c r="L816" t="n">
        <v>0</v>
      </c>
      <c r="M816" t="n">
        <v>0</v>
      </c>
      <c r="N816" t="n">
        <v>0</v>
      </c>
      <c r="O816" t="n">
        <v>0</v>
      </c>
      <c r="P816" t="n">
        <v>0</v>
      </c>
      <c r="Q816" t="n">
        <v>0</v>
      </c>
      <c r="R816" s="2" t="inlineStr"/>
    </row>
    <row r="817" ht="15" customHeight="1">
      <c r="A817" t="inlineStr">
        <is>
          <t>A 64933-2023</t>
        </is>
      </c>
      <c r="B817" s="1" t="n">
        <v>45282</v>
      </c>
      <c r="C817" s="1" t="n">
        <v>45572</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65047-2023</t>
        </is>
      </c>
      <c r="B818" s="1" t="n">
        <v>45283</v>
      </c>
      <c r="C818" s="1" t="n">
        <v>45572</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23-2024</t>
        </is>
      </c>
      <c r="B819" s="1" t="n">
        <v>45293</v>
      </c>
      <c r="C819" s="1" t="n">
        <v>45572</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32-2024</t>
        </is>
      </c>
      <c r="B820" s="1" t="n">
        <v>45293</v>
      </c>
      <c r="C820" s="1" t="n">
        <v>45572</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121-2024</t>
        </is>
      </c>
      <c r="B821" s="1" t="n">
        <v>45294</v>
      </c>
      <c r="C821" s="1" t="n">
        <v>45572</v>
      </c>
      <c r="D821" t="inlineStr">
        <is>
          <t>DALARNAS LÄN</t>
        </is>
      </c>
      <c r="E821" t="inlineStr">
        <is>
          <t>LEKSAND</t>
        </is>
      </c>
      <c r="G821" t="n">
        <v>8.6</v>
      </c>
      <c r="H821" t="n">
        <v>0</v>
      </c>
      <c r="I821" t="n">
        <v>0</v>
      </c>
      <c r="J821" t="n">
        <v>0</v>
      </c>
      <c r="K821" t="n">
        <v>0</v>
      </c>
      <c r="L821" t="n">
        <v>0</v>
      </c>
      <c r="M821" t="n">
        <v>0</v>
      </c>
      <c r="N821" t="n">
        <v>0</v>
      </c>
      <c r="O821" t="n">
        <v>0</v>
      </c>
      <c r="P821" t="n">
        <v>0</v>
      </c>
      <c r="Q821" t="n">
        <v>0</v>
      </c>
      <c r="R821" s="2" t="inlineStr"/>
    </row>
    <row r="822" ht="15" customHeight="1">
      <c r="A822" t="inlineStr">
        <is>
          <t>A 402-2024</t>
        </is>
      </c>
      <c r="B822" s="1" t="n">
        <v>45296</v>
      </c>
      <c r="C822" s="1" t="n">
        <v>45572</v>
      </c>
      <c r="D822" t="inlineStr">
        <is>
          <t>DALARNAS LÄN</t>
        </is>
      </c>
      <c r="E822" t="inlineStr">
        <is>
          <t>LEKSAND</t>
        </is>
      </c>
      <c r="G822" t="n">
        <v>1.5</v>
      </c>
      <c r="H822" t="n">
        <v>0</v>
      </c>
      <c r="I822" t="n">
        <v>0</v>
      </c>
      <c r="J822" t="n">
        <v>0</v>
      </c>
      <c r="K822" t="n">
        <v>0</v>
      </c>
      <c r="L822" t="n">
        <v>0</v>
      </c>
      <c r="M822" t="n">
        <v>0</v>
      </c>
      <c r="N822" t="n">
        <v>0</v>
      </c>
      <c r="O822" t="n">
        <v>0</v>
      </c>
      <c r="P822" t="n">
        <v>0</v>
      </c>
      <c r="Q822" t="n">
        <v>0</v>
      </c>
      <c r="R822" s="2" t="inlineStr"/>
    </row>
    <row r="823" ht="15" customHeight="1">
      <c r="A823" t="inlineStr">
        <is>
          <t>A 412-2024</t>
        </is>
      </c>
      <c r="B823" s="1" t="n">
        <v>45296</v>
      </c>
      <c r="C823" s="1" t="n">
        <v>45572</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481-2024</t>
        </is>
      </c>
      <c r="B824" s="1" t="n">
        <v>45298</v>
      </c>
      <c r="C824" s="1" t="n">
        <v>45572</v>
      </c>
      <c r="D824" t="inlineStr">
        <is>
          <t>DALARNAS LÄN</t>
        </is>
      </c>
      <c r="E824" t="inlineStr">
        <is>
          <t>LEKSAND</t>
        </is>
      </c>
      <c r="G824" t="n">
        <v>7</v>
      </c>
      <c r="H824" t="n">
        <v>0</v>
      </c>
      <c r="I824" t="n">
        <v>0</v>
      </c>
      <c r="J824" t="n">
        <v>0</v>
      </c>
      <c r="K824" t="n">
        <v>0</v>
      </c>
      <c r="L824" t="n">
        <v>0</v>
      </c>
      <c r="M824" t="n">
        <v>0</v>
      </c>
      <c r="N824" t="n">
        <v>0</v>
      </c>
      <c r="O824" t="n">
        <v>0</v>
      </c>
      <c r="P824" t="n">
        <v>0</v>
      </c>
      <c r="Q824" t="n">
        <v>0</v>
      </c>
      <c r="R824" s="2" t="inlineStr"/>
    </row>
    <row r="825" ht="15" customHeight="1">
      <c r="A825" t="inlineStr">
        <is>
          <t>A 511-2024</t>
        </is>
      </c>
      <c r="B825" s="1" t="n">
        <v>45299</v>
      </c>
      <c r="C825" s="1" t="n">
        <v>45572</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613-2024</t>
        </is>
      </c>
      <c r="B826" s="1" t="n">
        <v>45299</v>
      </c>
      <c r="C826" s="1" t="n">
        <v>45572</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962-2024</t>
        </is>
      </c>
      <c r="B827" s="1" t="n">
        <v>45301</v>
      </c>
      <c r="C827" s="1" t="n">
        <v>45572</v>
      </c>
      <c r="D827" t="inlineStr">
        <is>
          <t>DALARNAS LÄN</t>
        </is>
      </c>
      <c r="E827" t="inlineStr">
        <is>
          <t>LEKSAND</t>
        </is>
      </c>
      <c r="G827" t="n">
        <v>3.8</v>
      </c>
      <c r="H827" t="n">
        <v>0</v>
      </c>
      <c r="I827" t="n">
        <v>0</v>
      </c>
      <c r="J827" t="n">
        <v>0</v>
      </c>
      <c r="K827" t="n">
        <v>0</v>
      </c>
      <c r="L827" t="n">
        <v>0</v>
      </c>
      <c r="M827" t="n">
        <v>0</v>
      </c>
      <c r="N827" t="n">
        <v>0</v>
      </c>
      <c r="O827" t="n">
        <v>0</v>
      </c>
      <c r="P827" t="n">
        <v>0</v>
      </c>
      <c r="Q827" t="n">
        <v>0</v>
      </c>
      <c r="R827" s="2" t="inlineStr"/>
    </row>
    <row r="828" ht="15" customHeight="1">
      <c r="A828" t="inlineStr">
        <is>
          <t>A 1179-2024</t>
        </is>
      </c>
      <c r="B828" s="1" t="n">
        <v>45302</v>
      </c>
      <c r="C828" s="1" t="n">
        <v>45572</v>
      </c>
      <c r="D828" t="inlineStr">
        <is>
          <t>DALARNAS LÄN</t>
        </is>
      </c>
      <c r="E828" t="inlineStr">
        <is>
          <t>LEKSAND</t>
        </is>
      </c>
      <c r="G828" t="n">
        <v>2.8</v>
      </c>
      <c r="H828" t="n">
        <v>0</v>
      </c>
      <c r="I828" t="n">
        <v>0</v>
      </c>
      <c r="J828" t="n">
        <v>0</v>
      </c>
      <c r="K828" t="n">
        <v>0</v>
      </c>
      <c r="L828" t="n">
        <v>0</v>
      </c>
      <c r="M828" t="n">
        <v>0</v>
      </c>
      <c r="N828" t="n">
        <v>0</v>
      </c>
      <c r="O828" t="n">
        <v>0</v>
      </c>
      <c r="P828" t="n">
        <v>0</v>
      </c>
      <c r="Q828" t="n">
        <v>0</v>
      </c>
      <c r="R828" s="2" t="inlineStr"/>
    </row>
    <row r="829" ht="15" customHeight="1">
      <c r="A829" t="inlineStr">
        <is>
          <t>A 1215-2024</t>
        </is>
      </c>
      <c r="B829" s="1" t="n">
        <v>45302</v>
      </c>
      <c r="C829" s="1" t="n">
        <v>45572</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1458-2024</t>
        </is>
      </c>
      <c r="B830" s="1" t="n">
        <v>45303</v>
      </c>
      <c r="C830" s="1" t="n">
        <v>45572</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1443-2024</t>
        </is>
      </c>
      <c r="B831" s="1" t="n">
        <v>45303</v>
      </c>
      <c r="C831" s="1" t="n">
        <v>45572</v>
      </c>
      <c r="D831" t="inlineStr">
        <is>
          <t>DALARNAS LÄN</t>
        </is>
      </c>
      <c r="E831" t="inlineStr">
        <is>
          <t>LEKSAND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1457-2024</t>
        </is>
      </c>
      <c r="B832" s="1" t="n">
        <v>45303</v>
      </c>
      <c r="C832" s="1" t="n">
        <v>45572</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1461-2024</t>
        </is>
      </c>
      <c r="B833" s="1" t="n">
        <v>45303</v>
      </c>
      <c r="C833" s="1" t="n">
        <v>45572</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1463-2024</t>
        </is>
      </c>
      <c r="B834" s="1" t="n">
        <v>45303</v>
      </c>
      <c r="C834" s="1" t="n">
        <v>45572</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1476-2024</t>
        </is>
      </c>
      <c r="B835" s="1" t="n">
        <v>45304</v>
      </c>
      <c r="C835" s="1" t="n">
        <v>45572</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1519-2024</t>
        </is>
      </c>
      <c r="B836" s="1" t="n">
        <v>45306</v>
      </c>
      <c r="C836" s="1" t="n">
        <v>45572</v>
      </c>
      <c r="D836" t="inlineStr">
        <is>
          <t>DALARNAS LÄN</t>
        </is>
      </c>
      <c r="E836" t="inlineStr">
        <is>
          <t>LEKSAND</t>
        </is>
      </c>
      <c r="G836" t="n">
        <v>3.3</v>
      </c>
      <c r="H836" t="n">
        <v>0</v>
      </c>
      <c r="I836" t="n">
        <v>0</v>
      </c>
      <c r="J836" t="n">
        <v>0</v>
      </c>
      <c r="K836" t="n">
        <v>0</v>
      </c>
      <c r="L836" t="n">
        <v>0</v>
      </c>
      <c r="M836" t="n">
        <v>0</v>
      </c>
      <c r="N836" t="n">
        <v>0</v>
      </c>
      <c r="O836" t="n">
        <v>0</v>
      </c>
      <c r="P836" t="n">
        <v>0</v>
      </c>
      <c r="Q836" t="n">
        <v>0</v>
      </c>
      <c r="R836" s="2" t="inlineStr"/>
    </row>
    <row r="837" ht="15" customHeight="1">
      <c r="A837" t="inlineStr">
        <is>
          <t>A 1616-2024</t>
        </is>
      </c>
      <c r="B837" s="1" t="n">
        <v>45306</v>
      </c>
      <c r="C837" s="1" t="n">
        <v>45572</v>
      </c>
      <c r="D837" t="inlineStr">
        <is>
          <t>DALARNAS LÄN</t>
        </is>
      </c>
      <c r="E837" t="inlineStr">
        <is>
          <t>LEKSAND</t>
        </is>
      </c>
      <c r="G837" t="n">
        <v>2.1</v>
      </c>
      <c r="H837" t="n">
        <v>0</v>
      </c>
      <c r="I837" t="n">
        <v>0</v>
      </c>
      <c r="J837" t="n">
        <v>0</v>
      </c>
      <c r="K837" t="n">
        <v>0</v>
      </c>
      <c r="L837" t="n">
        <v>0</v>
      </c>
      <c r="M837" t="n">
        <v>0</v>
      </c>
      <c r="N837" t="n">
        <v>0</v>
      </c>
      <c r="O837" t="n">
        <v>0</v>
      </c>
      <c r="P837" t="n">
        <v>0</v>
      </c>
      <c r="Q837" t="n">
        <v>0</v>
      </c>
      <c r="R837" s="2" t="inlineStr"/>
    </row>
    <row r="838" ht="15" customHeight="1">
      <c r="A838" t="inlineStr">
        <is>
          <t>A 1849-2024</t>
        </is>
      </c>
      <c r="B838" s="1" t="n">
        <v>45307</v>
      </c>
      <c r="C838" s="1" t="n">
        <v>45572</v>
      </c>
      <c r="D838" t="inlineStr">
        <is>
          <t>DALARNAS LÄN</t>
        </is>
      </c>
      <c r="E838" t="inlineStr">
        <is>
          <t>LEKSAND</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1706-2024</t>
        </is>
      </c>
      <c r="B839" s="1" t="n">
        <v>45307</v>
      </c>
      <c r="C839" s="1" t="n">
        <v>45572</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1719-2024</t>
        </is>
      </c>
      <c r="B840" s="1" t="n">
        <v>45307</v>
      </c>
      <c r="C840" s="1" t="n">
        <v>45572</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1946-2024</t>
        </is>
      </c>
      <c r="B841" s="1" t="n">
        <v>45308</v>
      </c>
      <c r="C841" s="1" t="n">
        <v>45572</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2158-2024</t>
        </is>
      </c>
      <c r="B842" s="1" t="n">
        <v>45309</v>
      </c>
      <c r="C842" s="1" t="n">
        <v>45572</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2140-2024</t>
        </is>
      </c>
      <c r="B843" s="1" t="n">
        <v>45309</v>
      </c>
      <c r="C843" s="1" t="n">
        <v>45572</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2517-2024</t>
        </is>
      </c>
      <c r="B844" s="1" t="n">
        <v>45313</v>
      </c>
      <c r="C844" s="1" t="n">
        <v>45572</v>
      </c>
      <c r="D844" t="inlineStr">
        <is>
          <t>DALARNAS LÄN</t>
        </is>
      </c>
      <c r="E844" t="inlineStr">
        <is>
          <t>LEKSAND</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2536-2024</t>
        </is>
      </c>
      <c r="B845" s="1" t="n">
        <v>45313</v>
      </c>
      <c r="C845" s="1" t="n">
        <v>45572</v>
      </c>
      <c r="D845" t="inlineStr">
        <is>
          <t>DALARNAS LÄN</t>
        </is>
      </c>
      <c r="E845" t="inlineStr">
        <is>
          <t>LEKSAND</t>
        </is>
      </c>
      <c r="G845" t="n">
        <v>2.2</v>
      </c>
      <c r="H845" t="n">
        <v>0</v>
      </c>
      <c r="I845" t="n">
        <v>0</v>
      </c>
      <c r="J845" t="n">
        <v>0</v>
      </c>
      <c r="K845" t="n">
        <v>0</v>
      </c>
      <c r="L845" t="n">
        <v>0</v>
      </c>
      <c r="M845" t="n">
        <v>0</v>
      </c>
      <c r="N845" t="n">
        <v>0</v>
      </c>
      <c r="O845" t="n">
        <v>0</v>
      </c>
      <c r="P845" t="n">
        <v>0</v>
      </c>
      <c r="Q845" t="n">
        <v>0</v>
      </c>
      <c r="R845" s="2" t="inlineStr"/>
    </row>
    <row r="846" ht="15" customHeight="1">
      <c r="A846" t="inlineStr">
        <is>
          <t>A 2820-2024</t>
        </is>
      </c>
      <c r="B846" s="1" t="n">
        <v>45314</v>
      </c>
      <c r="C846" s="1" t="n">
        <v>45572</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2822-2024</t>
        </is>
      </c>
      <c r="B847" s="1" t="n">
        <v>45314</v>
      </c>
      <c r="C847" s="1" t="n">
        <v>45572</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3138-2024</t>
        </is>
      </c>
      <c r="B848" s="1" t="n">
        <v>45316</v>
      </c>
      <c r="C848" s="1" t="n">
        <v>45572</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3048-2024</t>
        </is>
      </c>
      <c r="B849" s="1" t="n">
        <v>45316</v>
      </c>
      <c r="C849" s="1" t="n">
        <v>45572</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3205-2024</t>
        </is>
      </c>
      <c r="B850" s="1" t="n">
        <v>45316</v>
      </c>
      <c r="C850" s="1" t="n">
        <v>45572</v>
      </c>
      <c r="D850" t="inlineStr">
        <is>
          <t>DALARNAS LÄN</t>
        </is>
      </c>
      <c r="E850" t="inlineStr">
        <is>
          <t>LEKSAND</t>
        </is>
      </c>
      <c r="G850" t="n">
        <v>0.8</v>
      </c>
      <c r="H850" t="n">
        <v>0</v>
      </c>
      <c r="I850" t="n">
        <v>0</v>
      </c>
      <c r="J850" t="n">
        <v>0</v>
      </c>
      <c r="K850" t="n">
        <v>0</v>
      </c>
      <c r="L850" t="n">
        <v>0</v>
      </c>
      <c r="M850" t="n">
        <v>0</v>
      </c>
      <c r="N850" t="n">
        <v>0</v>
      </c>
      <c r="O850" t="n">
        <v>0</v>
      </c>
      <c r="P850" t="n">
        <v>0</v>
      </c>
      <c r="Q850" t="n">
        <v>0</v>
      </c>
      <c r="R850" s="2" t="inlineStr"/>
    </row>
    <row r="851" ht="15" customHeight="1">
      <c r="A851" t="inlineStr">
        <is>
          <t>A 3202-2024</t>
        </is>
      </c>
      <c r="B851" s="1" t="n">
        <v>45316</v>
      </c>
      <c r="C851" s="1" t="n">
        <v>45572</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3352-2024</t>
        </is>
      </c>
      <c r="B852" s="1" t="n">
        <v>45317</v>
      </c>
      <c r="C852" s="1" t="n">
        <v>45572</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3970-2024</t>
        </is>
      </c>
      <c r="B853" s="1" t="n">
        <v>45322</v>
      </c>
      <c r="C853" s="1" t="n">
        <v>45572</v>
      </c>
      <c r="D853" t="inlineStr">
        <is>
          <t>DALARNAS LÄN</t>
        </is>
      </c>
      <c r="E853" t="inlineStr">
        <is>
          <t>LEKSAND</t>
        </is>
      </c>
      <c r="G853" t="n">
        <v>2.4</v>
      </c>
      <c r="H853" t="n">
        <v>0</v>
      </c>
      <c r="I853" t="n">
        <v>0</v>
      </c>
      <c r="J853" t="n">
        <v>0</v>
      </c>
      <c r="K853" t="n">
        <v>0</v>
      </c>
      <c r="L853" t="n">
        <v>0</v>
      </c>
      <c r="M853" t="n">
        <v>0</v>
      </c>
      <c r="N853" t="n">
        <v>0</v>
      </c>
      <c r="O853" t="n">
        <v>0</v>
      </c>
      <c r="P853" t="n">
        <v>0</v>
      </c>
      <c r="Q853" t="n">
        <v>0</v>
      </c>
      <c r="R853" s="2" t="inlineStr"/>
    </row>
    <row r="854" ht="15" customHeight="1">
      <c r="A854" t="inlineStr">
        <is>
          <t>A 3974-2024</t>
        </is>
      </c>
      <c r="B854" s="1" t="n">
        <v>45322</v>
      </c>
      <c r="C854" s="1" t="n">
        <v>45572</v>
      </c>
      <c r="D854" t="inlineStr">
        <is>
          <t>DALARNAS LÄN</t>
        </is>
      </c>
      <c r="E854" t="inlineStr">
        <is>
          <t>LEKSAND</t>
        </is>
      </c>
      <c r="G854" t="n">
        <v>3.3</v>
      </c>
      <c r="H854" t="n">
        <v>0</v>
      </c>
      <c r="I854" t="n">
        <v>0</v>
      </c>
      <c r="J854" t="n">
        <v>0</v>
      </c>
      <c r="K854" t="n">
        <v>0</v>
      </c>
      <c r="L854" t="n">
        <v>0</v>
      </c>
      <c r="M854" t="n">
        <v>0</v>
      </c>
      <c r="N854" t="n">
        <v>0</v>
      </c>
      <c r="O854" t="n">
        <v>0</v>
      </c>
      <c r="P854" t="n">
        <v>0</v>
      </c>
      <c r="Q854" t="n">
        <v>0</v>
      </c>
      <c r="R854" s="2" t="inlineStr"/>
    </row>
    <row r="855" ht="15" customHeight="1">
      <c r="A855" t="inlineStr">
        <is>
          <t>A 3901-2024</t>
        </is>
      </c>
      <c r="B855" s="1" t="n">
        <v>45322</v>
      </c>
      <c r="C855" s="1" t="n">
        <v>45572</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4121-2024</t>
        </is>
      </c>
      <c r="B856" s="1" t="n">
        <v>45323</v>
      </c>
      <c r="C856" s="1" t="n">
        <v>45572</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4248-2024</t>
        </is>
      </c>
      <c r="B857" s="1" t="n">
        <v>45324</v>
      </c>
      <c r="C857" s="1" t="n">
        <v>45572</v>
      </c>
      <c r="D857" t="inlineStr">
        <is>
          <t>DALARNAS LÄN</t>
        </is>
      </c>
      <c r="E857" t="inlineStr">
        <is>
          <t>LEKSAND</t>
        </is>
      </c>
      <c r="G857" t="n">
        <v>3.6</v>
      </c>
      <c r="H857" t="n">
        <v>0</v>
      </c>
      <c r="I857" t="n">
        <v>0</v>
      </c>
      <c r="J857" t="n">
        <v>0</v>
      </c>
      <c r="K857" t="n">
        <v>0</v>
      </c>
      <c r="L857" t="n">
        <v>0</v>
      </c>
      <c r="M857" t="n">
        <v>0</v>
      </c>
      <c r="N857" t="n">
        <v>0</v>
      </c>
      <c r="O857" t="n">
        <v>0</v>
      </c>
      <c r="P857" t="n">
        <v>0</v>
      </c>
      <c r="Q857" t="n">
        <v>0</v>
      </c>
      <c r="R857" s="2" t="inlineStr"/>
    </row>
    <row r="858" ht="15" customHeight="1">
      <c r="A858" t="inlineStr">
        <is>
          <t>A 4938-2024</t>
        </is>
      </c>
      <c r="B858" s="1" t="n">
        <v>45329</v>
      </c>
      <c r="C858" s="1" t="n">
        <v>45572</v>
      </c>
      <c r="D858" t="inlineStr">
        <is>
          <t>DALARNAS LÄN</t>
        </is>
      </c>
      <c r="E858" t="inlineStr">
        <is>
          <t>LEKSAND</t>
        </is>
      </c>
      <c r="G858" t="n">
        <v>7.7</v>
      </c>
      <c r="H858" t="n">
        <v>0</v>
      </c>
      <c r="I858" t="n">
        <v>0</v>
      </c>
      <c r="J858" t="n">
        <v>0</v>
      </c>
      <c r="K858" t="n">
        <v>0</v>
      </c>
      <c r="L858" t="n">
        <v>0</v>
      </c>
      <c r="M858" t="n">
        <v>0</v>
      </c>
      <c r="N858" t="n">
        <v>0</v>
      </c>
      <c r="O858" t="n">
        <v>0</v>
      </c>
      <c r="P858" t="n">
        <v>0</v>
      </c>
      <c r="Q858" t="n">
        <v>0</v>
      </c>
      <c r="R858" s="2" t="inlineStr"/>
    </row>
    <row r="859" ht="15" customHeight="1">
      <c r="A859" t="inlineStr">
        <is>
          <t>A 4956-2024</t>
        </is>
      </c>
      <c r="B859" s="1" t="n">
        <v>45329</v>
      </c>
      <c r="C859" s="1" t="n">
        <v>45572</v>
      </c>
      <c r="D859" t="inlineStr">
        <is>
          <t>DALARNAS LÄN</t>
        </is>
      </c>
      <c r="E859" t="inlineStr">
        <is>
          <t>LEKSAND</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5231-2024</t>
        </is>
      </c>
      <c r="B860" s="1" t="n">
        <v>45330</v>
      </c>
      <c r="C860" s="1" t="n">
        <v>45572</v>
      </c>
      <c r="D860" t="inlineStr">
        <is>
          <t>DALARNAS LÄN</t>
        </is>
      </c>
      <c r="E860" t="inlineStr">
        <is>
          <t>LEKSAND</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5369-2024</t>
        </is>
      </c>
      <c r="B861" s="1" t="n">
        <v>45331</v>
      </c>
      <c r="C861" s="1" t="n">
        <v>45572</v>
      </c>
      <c r="D861" t="inlineStr">
        <is>
          <t>DALARNAS LÄN</t>
        </is>
      </c>
      <c r="E861" t="inlineStr">
        <is>
          <t>LEKSAND</t>
        </is>
      </c>
      <c r="F861" t="inlineStr">
        <is>
          <t>Kommuner</t>
        </is>
      </c>
      <c r="G861" t="n">
        <v>2.9</v>
      </c>
      <c r="H861" t="n">
        <v>0</v>
      </c>
      <c r="I861" t="n">
        <v>0</v>
      </c>
      <c r="J861" t="n">
        <v>0</v>
      </c>
      <c r="K861" t="n">
        <v>0</v>
      </c>
      <c r="L861" t="n">
        <v>0</v>
      </c>
      <c r="M861" t="n">
        <v>0</v>
      </c>
      <c r="N861" t="n">
        <v>0</v>
      </c>
      <c r="O861" t="n">
        <v>0</v>
      </c>
      <c r="P861" t="n">
        <v>0</v>
      </c>
      <c r="Q861" t="n">
        <v>0</v>
      </c>
      <c r="R861" s="2" t="inlineStr"/>
    </row>
    <row r="862" ht="15" customHeight="1">
      <c r="A862" t="inlineStr">
        <is>
          <t>A 5514-2024</t>
        </is>
      </c>
      <c r="B862" s="1" t="n">
        <v>45334</v>
      </c>
      <c r="C862" s="1" t="n">
        <v>45572</v>
      </c>
      <c r="D862" t="inlineStr">
        <is>
          <t>DALARNAS LÄN</t>
        </is>
      </c>
      <c r="E862" t="inlineStr">
        <is>
          <t>LEKSAND</t>
        </is>
      </c>
      <c r="G862" t="n">
        <v>2.9</v>
      </c>
      <c r="H862" t="n">
        <v>0</v>
      </c>
      <c r="I862" t="n">
        <v>0</v>
      </c>
      <c r="J862" t="n">
        <v>0</v>
      </c>
      <c r="K862" t="n">
        <v>0</v>
      </c>
      <c r="L862" t="n">
        <v>0</v>
      </c>
      <c r="M862" t="n">
        <v>0</v>
      </c>
      <c r="N862" t="n">
        <v>0</v>
      </c>
      <c r="O862" t="n">
        <v>0</v>
      </c>
      <c r="P862" t="n">
        <v>0</v>
      </c>
      <c r="Q862" t="n">
        <v>0</v>
      </c>
      <c r="R862" s="2" t="inlineStr"/>
    </row>
    <row r="863" ht="15" customHeight="1">
      <c r="A863" t="inlineStr">
        <is>
          <t>A 5570-2024</t>
        </is>
      </c>
      <c r="B863" s="1" t="n">
        <v>45334</v>
      </c>
      <c r="C863" s="1" t="n">
        <v>45572</v>
      </c>
      <c r="D863" t="inlineStr">
        <is>
          <t>DALARNAS LÄN</t>
        </is>
      </c>
      <c r="E863" t="inlineStr">
        <is>
          <t>LEKSAND</t>
        </is>
      </c>
      <c r="G863" t="n">
        <v>0.3</v>
      </c>
      <c r="H863" t="n">
        <v>0</v>
      </c>
      <c r="I863" t="n">
        <v>0</v>
      </c>
      <c r="J863" t="n">
        <v>0</v>
      </c>
      <c r="K863" t="n">
        <v>0</v>
      </c>
      <c r="L863" t="n">
        <v>0</v>
      </c>
      <c r="M863" t="n">
        <v>0</v>
      </c>
      <c r="N863" t="n">
        <v>0</v>
      </c>
      <c r="O863" t="n">
        <v>0</v>
      </c>
      <c r="P863" t="n">
        <v>0</v>
      </c>
      <c r="Q863" t="n">
        <v>0</v>
      </c>
      <c r="R863" s="2" t="inlineStr"/>
    </row>
    <row r="864" ht="15" customHeight="1">
      <c r="A864" t="inlineStr">
        <is>
          <t>A 5574-2024</t>
        </is>
      </c>
      <c r="B864" s="1" t="n">
        <v>45334</v>
      </c>
      <c r="C864" s="1" t="n">
        <v>45572</v>
      </c>
      <c r="D864" t="inlineStr">
        <is>
          <t>DALARNAS LÄN</t>
        </is>
      </c>
      <c r="E864" t="inlineStr">
        <is>
          <t>LEKSAND</t>
        </is>
      </c>
      <c r="G864" t="n">
        <v>0.4</v>
      </c>
      <c r="H864" t="n">
        <v>0</v>
      </c>
      <c r="I864" t="n">
        <v>0</v>
      </c>
      <c r="J864" t="n">
        <v>0</v>
      </c>
      <c r="K864" t="n">
        <v>0</v>
      </c>
      <c r="L864" t="n">
        <v>0</v>
      </c>
      <c r="M864" t="n">
        <v>0</v>
      </c>
      <c r="N864" t="n">
        <v>0</v>
      </c>
      <c r="O864" t="n">
        <v>0</v>
      </c>
      <c r="P864" t="n">
        <v>0</v>
      </c>
      <c r="Q864" t="n">
        <v>0</v>
      </c>
      <c r="R864" s="2" t="inlineStr"/>
    </row>
    <row r="865" ht="15" customHeight="1">
      <c r="A865" t="inlineStr">
        <is>
          <t>A 5583-2024</t>
        </is>
      </c>
      <c r="B865" s="1" t="n">
        <v>45334</v>
      </c>
      <c r="C865" s="1" t="n">
        <v>45572</v>
      </c>
      <c r="D865" t="inlineStr">
        <is>
          <t>DALARNAS LÄN</t>
        </is>
      </c>
      <c r="E865" t="inlineStr">
        <is>
          <t>LEKSAND</t>
        </is>
      </c>
      <c r="F865" t="inlineStr">
        <is>
          <t>Kyrkan</t>
        </is>
      </c>
      <c r="G865" t="n">
        <v>0.4</v>
      </c>
      <c r="H865" t="n">
        <v>0</v>
      </c>
      <c r="I865" t="n">
        <v>0</v>
      </c>
      <c r="J865" t="n">
        <v>0</v>
      </c>
      <c r="K865" t="n">
        <v>0</v>
      </c>
      <c r="L865" t="n">
        <v>0</v>
      </c>
      <c r="M865" t="n">
        <v>0</v>
      </c>
      <c r="N865" t="n">
        <v>0</v>
      </c>
      <c r="O865" t="n">
        <v>0</v>
      </c>
      <c r="P865" t="n">
        <v>0</v>
      </c>
      <c r="Q865" t="n">
        <v>0</v>
      </c>
      <c r="R865" s="2" t="inlineStr"/>
    </row>
    <row r="866" ht="15" customHeight="1">
      <c r="A866" t="inlineStr">
        <is>
          <t>A 5584-2024</t>
        </is>
      </c>
      <c r="B866" s="1" t="n">
        <v>45334</v>
      </c>
      <c r="C866" s="1" t="n">
        <v>45572</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5582-2024</t>
        </is>
      </c>
      <c r="B867" s="1" t="n">
        <v>45334</v>
      </c>
      <c r="C867" s="1" t="n">
        <v>45572</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5900-2024</t>
        </is>
      </c>
      <c r="B868" s="1" t="n">
        <v>45335</v>
      </c>
      <c r="C868" s="1" t="n">
        <v>45572</v>
      </c>
      <c r="D868" t="inlineStr">
        <is>
          <t>DALARNAS LÄN</t>
        </is>
      </c>
      <c r="E868" t="inlineStr">
        <is>
          <t>LEKSAND</t>
        </is>
      </c>
      <c r="G868" t="n">
        <v>0.8</v>
      </c>
      <c r="H868" t="n">
        <v>0</v>
      </c>
      <c r="I868" t="n">
        <v>0</v>
      </c>
      <c r="J868" t="n">
        <v>0</v>
      </c>
      <c r="K868" t="n">
        <v>0</v>
      </c>
      <c r="L868" t="n">
        <v>0</v>
      </c>
      <c r="M868" t="n">
        <v>0</v>
      </c>
      <c r="N868" t="n">
        <v>0</v>
      </c>
      <c r="O868" t="n">
        <v>0</v>
      </c>
      <c r="P868" t="n">
        <v>0</v>
      </c>
      <c r="Q868" t="n">
        <v>0</v>
      </c>
      <c r="R868" s="2" t="inlineStr"/>
    </row>
    <row r="869" ht="15" customHeight="1">
      <c r="A869" t="inlineStr">
        <is>
          <t>A 6758-2024</t>
        </is>
      </c>
      <c r="B869" s="1" t="n">
        <v>45342</v>
      </c>
      <c r="C869" s="1" t="n">
        <v>45572</v>
      </c>
      <c r="D869" t="inlineStr">
        <is>
          <t>DALARNAS LÄN</t>
        </is>
      </c>
      <c r="E869" t="inlineStr">
        <is>
          <t>LEKSAND</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7417-2024</t>
        </is>
      </c>
      <c r="B870" s="1" t="n">
        <v>45345</v>
      </c>
      <c r="C870" s="1" t="n">
        <v>45572</v>
      </c>
      <c r="D870" t="inlineStr">
        <is>
          <t>DALARNAS LÄN</t>
        </is>
      </c>
      <c r="E870" t="inlineStr">
        <is>
          <t>LEKSAND</t>
        </is>
      </c>
      <c r="G870" t="n">
        <v>2.8</v>
      </c>
      <c r="H870" t="n">
        <v>0</v>
      </c>
      <c r="I870" t="n">
        <v>0</v>
      </c>
      <c r="J870" t="n">
        <v>0</v>
      </c>
      <c r="K870" t="n">
        <v>0</v>
      </c>
      <c r="L870" t="n">
        <v>0</v>
      </c>
      <c r="M870" t="n">
        <v>0</v>
      </c>
      <c r="N870" t="n">
        <v>0</v>
      </c>
      <c r="O870" t="n">
        <v>0</v>
      </c>
      <c r="P870" t="n">
        <v>0</v>
      </c>
      <c r="Q870" t="n">
        <v>0</v>
      </c>
      <c r="R870" s="2" t="inlineStr"/>
    </row>
    <row r="871" ht="15" customHeight="1">
      <c r="A871" t="inlineStr">
        <is>
          <t>A 7775-2024</t>
        </is>
      </c>
      <c r="B871" s="1" t="n">
        <v>45349</v>
      </c>
      <c r="C871" s="1" t="n">
        <v>45572</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7768-2024</t>
        </is>
      </c>
      <c r="B872" s="1" t="n">
        <v>45349</v>
      </c>
      <c r="C872" s="1" t="n">
        <v>45572</v>
      </c>
      <c r="D872" t="inlineStr">
        <is>
          <t>DALARNAS LÄN</t>
        </is>
      </c>
      <c r="E872" t="inlineStr">
        <is>
          <t>LEKSAND</t>
        </is>
      </c>
      <c r="G872" t="n">
        <v>5.4</v>
      </c>
      <c r="H872" t="n">
        <v>0</v>
      </c>
      <c r="I872" t="n">
        <v>0</v>
      </c>
      <c r="J872" t="n">
        <v>0</v>
      </c>
      <c r="K872" t="n">
        <v>0</v>
      </c>
      <c r="L872" t="n">
        <v>0</v>
      </c>
      <c r="M872" t="n">
        <v>0</v>
      </c>
      <c r="N872" t="n">
        <v>0</v>
      </c>
      <c r="O872" t="n">
        <v>0</v>
      </c>
      <c r="P872" t="n">
        <v>0</v>
      </c>
      <c r="Q872" t="n">
        <v>0</v>
      </c>
      <c r="R872" s="2" t="inlineStr"/>
    </row>
    <row r="873" ht="15" customHeight="1">
      <c r="A873" t="inlineStr">
        <is>
          <t>A 7773-2024</t>
        </is>
      </c>
      <c r="B873" s="1" t="n">
        <v>45349</v>
      </c>
      <c r="C873" s="1" t="n">
        <v>45572</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7827-2024</t>
        </is>
      </c>
      <c r="B874" s="1" t="n">
        <v>45349</v>
      </c>
      <c r="C874" s="1" t="n">
        <v>45572</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v>
      </c>
      <c r="C875" s="1" t="n">
        <v>45572</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8046-2024</t>
        </is>
      </c>
      <c r="B876" s="1" t="n">
        <v>45351</v>
      </c>
      <c r="C876" s="1" t="n">
        <v>45572</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8045-2024</t>
        </is>
      </c>
      <c r="B877" s="1" t="n">
        <v>45351</v>
      </c>
      <c r="C877" s="1" t="n">
        <v>45572</v>
      </c>
      <c r="D877" t="inlineStr">
        <is>
          <t>DALARNAS LÄN</t>
        </is>
      </c>
      <c r="E877" t="inlineStr">
        <is>
          <t>LEKSAND</t>
        </is>
      </c>
      <c r="G877" t="n">
        <v>6.7</v>
      </c>
      <c r="H877" t="n">
        <v>0</v>
      </c>
      <c r="I877" t="n">
        <v>0</v>
      </c>
      <c r="J877" t="n">
        <v>0</v>
      </c>
      <c r="K877" t="n">
        <v>0</v>
      </c>
      <c r="L877" t="n">
        <v>0</v>
      </c>
      <c r="M877" t="n">
        <v>0</v>
      </c>
      <c r="N877" t="n">
        <v>0</v>
      </c>
      <c r="O877" t="n">
        <v>0</v>
      </c>
      <c r="P877" t="n">
        <v>0</v>
      </c>
      <c r="Q877" t="n">
        <v>0</v>
      </c>
      <c r="R877" s="2" t="inlineStr"/>
    </row>
    <row r="878" ht="15" customHeight="1">
      <c r="A878" t="inlineStr">
        <is>
          <t>A 9781-2024</t>
        </is>
      </c>
      <c r="B878" s="1" t="n">
        <v>45362</v>
      </c>
      <c r="C878" s="1" t="n">
        <v>45572</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10299-2024</t>
        </is>
      </c>
      <c r="B879" s="1" t="n">
        <v>45365</v>
      </c>
      <c r="C879" s="1" t="n">
        <v>45572</v>
      </c>
      <c r="D879" t="inlineStr">
        <is>
          <t>DALARNAS LÄN</t>
        </is>
      </c>
      <c r="E879" t="inlineStr">
        <is>
          <t>LEKSAND</t>
        </is>
      </c>
      <c r="G879" t="n">
        <v>3.6</v>
      </c>
      <c r="H879" t="n">
        <v>0</v>
      </c>
      <c r="I879" t="n">
        <v>0</v>
      </c>
      <c r="J879" t="n">
        <v>0</v>
      </c>
      <c r="K879" t="n">
        <v>0</v>
      </c>
      <c r="L879" t="n">
        <v>0</v>
      </c>
      <c r="M879" t="n">
        <v>0</v>
      </c>
      <c r="N879" t="n">
        <v>0</v>
      </c>
      <c r="O879" t="n">
        <v>0</v>
      </c>
      <c r="P879" t="n">
        <v>0</v>
      </c>
      <c r="Q879" t="n">
        <v>0</v>
      </c>
      <c r="R879" s="2" t="inlineStr"/>
    </row>
    <row r="880" ht="15" customHeight="1">
      <c r="A880" t="inlineStr">
        <is>
          <t>A 10462-2024</t>
        </is>
      </c>
      <c r="B880" s="1" t="n">
        <v>45366</v>
      </c>
      <c r="C880" s="1" t="n">
        <v>45572</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10743-2024</t>
        </is>
      </c>
      <c r="B881" s="1" t="n">
        <v>45369</v>
      </c>
      <c r="C881" s="1" t="n">
        <v>45572</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10771-2024</t>
        </is>
      </c>
      <c r="B882" s="1" t="n">
        <v>45369</v>
      </c>
      <c r="C882" s="1" t="n">
        <v>45572</v>
      </c>
      <c r="D882" t="inlineStr">
        <is>
          <t>DALARNAS LÄN</t>
        </is>
      </c>
      <c r="E882" t="inlineStr">
        <is>
          <t>LEKSAND</t>
        </is>
      </c>
      <c r="G882" t="n">
        <v>0.4</v>
      </c>
      <c r="H882" t="n">
        <v>0</v>
      </c>
      <c r="I882" t="n">
        <v>0</v>
      </c>
      <c r="J882" t="n">
        <v>0</v>
      </c>
      <c r="K882" t="n">
        <v>0</v>
      </c>
      <c r="L882" t="n">
        <v>0</v>
      </c>
      <c r="M882" t="n">
        <v>0</v>
      </c>
      <c r="N882" t="n">
        <v>0</v>
      </c>
      <c r="O882" t="n">
        <v>0</v>
      </c>
      <c r="P882" t="n">
        <v>0</v>
      </c>
      <c r="Q882" t="n">
        <v>0</v>
      </c>
      <c r="R882" s="2" t="inlineStr"/>
    </row>
    <row r="883" ht="15" customHeight="1">
      <c r="A883" t="inlineStr">
        <is>
          <t>A 11617-2024</t>
        </is>
      </c>
      <c r="B883" s="1" t="n">
        <v>45373</v>
      </c>
      <c r="C883" s="1" t="n">
        <v>45572</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11869-2024</t>
        </is>
      </c>
      <c r="B884" s="1" t="n">
        <v>45376</v>
      </c>
      <c r="C884" s="1" t="n">
        <v>45572</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11855-2024</t>
        </is>
      </c>
      <c r="B885" s="1" t="n">
        <v>45376</v>
      </c>
      <c r="C885" s="1" t="n">
        <v>45572</v>
      </c>
      <c r="D885" t="inlineStr">
        <is>
          <t>DALARNAS LÄN</t>
        </is>
      </c>
      <c r="E885" t="inlineStr">
        <is>
          <t>LEKSAND</t>
        </is>
      </c>
      <c r="G885" t="n">
        <v>4</v>
      </c>
      <c r="H885" t="n">
        <v>0</v>
      </c>
      <c r="I885" t="n">
        <v>0</v>
      </c>
      <c r="J885" t="n">
        <v>0</v>
      </c>
      <c r="K885" t="n">
        <v>0</v>
      </c>
      <c r="L885" t="n">
        <v>0</v>
      </c>
      <c r="M885" t="n">
        <v>0</v>
      </c>
      <c r="N885" t="n">
        <v>0</v>
      </c>
      <c r="O885" t="n">
        <v>0</v>
      </c>
      <c r="P885" t="n">
        <v>0</v>
      </c>
      <c r="Q885" t="n">
        <v>0</v>
      </c>
      <c r="R885" s="2" t="inlineStr"/>
      <c r="U885">
        <f>HYPERLINK("https://klasma.github.io/Logging_2029/knärot/A 11855-2024 karta knärot.png", "A 11855-2024")</f>
        <v/>
      </c>
      <c r="V885">
        <f>HYPERLINK("https://klasma.github.io/Logging_2029/klagomål/A 11855-2024 FSC-klagomål.docx", "A 11855-2024")</f>
        <v/>
      </c>
      <c r="W885">
        <f>HYPERLINK("https://klasma.github.io/Logging_2029/klagomålsmail/A 11855-2024 FSC-klagomål mail.docx", "A 11855-2024")</f>
        <v/>
      </c>
      <c r="X885">
        <f>HYPERLINK("https://klasma.github.io/Logging_2029/tillsyn/A 11855-2024 tillsynsbegäran.docx", "A 11855-2024")</f>
        <v/>
      </c>
      <c r="Y885">
        <f>HYPERLINK("https://klasma.github.io/Logging_2029/tillsynsmail/A 11855-2024 tillsynsbegäran mail.docx", "A 11855-2024")</f>
        <v/>
      </c>
    </row>
    <row r="886" ht="15" customHeight="1">
      <c r="A886" t="inlineStr">
        <is>
          <t>A 11859-2024</t>
        </is>
      </c>
      <c r="B886" s="1" t="n">
        <v>45376</v>
      </c>
      <c r="C886" s="1" t="n">
        <v>45572</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11872-2024</t>
        </is>
      </c>
      <c r="B887" s="1" t="n">
        <v>45376</v>
      </c>
      <c r="C887" s="1" t="n">
        <v>45572</v>
      </c>
      <c r="D887" t="inlineStr">
        <is>
          <t>DALARNAS LÄN</t>
        </is>
      </c>
      <c r="E887" t="inlineStr">
        <is>
          <t>LEKSAND</t>
        </is>
      </c>
      <c r="G887" t="n">
        <v>3.1</v>
      </c>
      <c r="H887" t="n">
        <v>0</v>
      </c>
      <c r="I887" t="n">
        <v>0</v>
      </c>
      <c r="J887" t="n">
        <v>0</v>
      </c>
      <c r="K887" t="n">
        <v>0</v>
      </c>
      <c r="L887" t="n">
        <v>0</v>
      </c>
      <c r="M887" t="n">
        <v>0</v>
      </c>
      <c r="N887" t="n">
        <v>0</v>
      </c>
      <c r="O887" t="n">
        <v>0</v>
      </c>
      <c r="P887" t="n">
        <v>0</v>
      </c>
      <c r="Q887" t="n">
        <v>0</v>
      </c>
      <c r="R887" s="2" t="inlineStr"/>
    </row>
    <row r="888" ht="15" customHeight="1">
      <c r="A888" t="inlineStr">
        <is>
          <t>A 11870-2024</t>
        </is>
      </c>
      <c r="B888" s="1" t="n">
        <v>45376</v>
      </c>
      <c r="C888" s="1" t="n">
        <v>45572</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12290-2024</t>
        </is>
      </c>
      <c r="B889" s="1" t="n">
        <v>45378</v>
      </c>
      <c r="C889" s="1" t="n">
        <v>45572</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12481-2024</t>
        </is>
      </c>
      <c r="B890" s="1" t="n">
        <v>45379</v>
      </c>
      <c r="C890" s="1" t="n">
        <v>45572</v>
      </c>
      <c r="D890" t="inlineStr">
        <is>
          <t>DALARNAS LÄN</t>
        </is>
      </c>
      <c r="E890" t="inlineStr">
        <is>
          <t>LEKSAND</t>
        </is>
      </c>
      <c r="G890" t="n">
        <v>4.6</v>
      </c>
      <c r="H890" t="n">
        <v>0</v>
      </c>
      <c r="I890" t="n">
        <v>0</v>
      </c>
      <c r="J890" t="n">
        <v>0</v>
      </c>
      <c r="K890" t="n">
        <v>0</v>
      </c>
      <c r="L890" t="n">
        <v>0</v>
      </c>
      <c r="M890" t="n">
        <v>0</v>
      </c>
      <c r="N890" t="n">
        <v>0</v>
      </c>
      <c r="O890" t="n">
        <v>0</v>
      </c>
      <c r="P890" t="n">
        <v>0</v>
      </c>
      <c r="Q890" t="n">
        <v>0</v>
      </c>
      <c r="R890" s="2" t="inlineStr"/>
    </row>
    <row r="891" ht="15" customHeight="1">
      <c r="A891" t="inlineStr">
        <is>
          <t>A 13161-2024</t>
        </is>
      </c>
      <c r="B891" s="1" t="n">
        <v>45386</v>
      </c>
      <c r="C891" s="1" t="n">
        <v>45572</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13165-2024</t>
        </is>
      </c>
      <c r="B892" s="1" t="n">
        <v>45386</v>
      </c>
      <c r="C892" s="1" t="n">
        <v>45572</v>
      </c>
      <c r="D892" t="inlineStr">
        <is>
          <t>DALARNAS LÄN</t>
        </is>
      </c>
      <c r="E892" t="inlineStr">
        <is>
          <t>LEKSAND</t>
        </is>
      </c>
      <c r="G892" t="n">
        <v>3.4</v>
      </c>
      <c r="H892" t="n">
        <v>0</v>
      </c>
      <c r="I892" t="n">
        <v>0</v>
      </c>
      <c r="J892" t="n">
        <v>0</v>
      </c>
      <c r="K892" t="n">
        <v>0</v>
      </c>
      <c r="L892" t="n">
        <v>0</v>
      </c>
      <c r="M892" t="n">
        <v>0</v>
      </c>
      <c r="N892" t="n">
        <v>0</v>
      </c>
      <c r="O892" t="n">
        <v>0</v>
      </c>
      <c r="P892" t="n">
        <v>0</v>
      </c>
      <c r="Q892" t="n">
        <v>0</v>
      </c>
      <c r="R892" s="2" t="inlineStr"/>
    </row>
    <row r="893" ht="15" customHeight="1">
      <c r="A893" t="inlineStr">
        <is>
          <t>A 13741-2024</t>
        </is>
      </c>
      <c r="B893" s="1" t="n">
        <v>45390</v>
      </c>
      <c r="C893" s="1" t="n">
        <v>45572</v>
      </c>
      <c r="D893" t="inlineStr">
        <is>
          <t>DALARNAS LÄN</t>
        </is>
      </c>
      <c r="E893" t="inlineStr">
        <is>
          <t>LEKSAND</t>
        </is>
      </c>
      <c r="G893" t="n">
        <v>5.9</v>
      </c>
      <c r="H893" t="n">
        <v>0</v>
      </c>
      <c r="I893" t="n">
        <v>0</v>
      </c>
      <c r="J893" t="n">
        <v>0</v>
      </c>
      <c r="K893" t="n">
        <v>0</v>
      </c>
      <c r="L893" t="n">
        <v>0</v>
      </c>
      <c r="M893" t="n">
        <v>0</v>
      </c>
      <c r="N893" t="n">
        <v>0</v>
      </c>
      <c r="O893" t="n">
        <v>0</v>
      </c>
      <c r="P893" t="n">
        <v>0</v>
      </c>
      <c r="Q893" t="n">
        <v>0</v>
      </c>
      <c r="R893" s="2" t="inlineStr"/>
    </row>
    <row r="894" ht="15" customHeight="1">
      <c r="A894" t="inlineStr">
        <is>
          <t>A 13783-2024</t>
        </is>
      </c>
      <c r="B894" s="1" t="n">
        <v>45391</v>
      </c>
      <c r="C894" s="1" t="n">
        <v>45572</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13811-2024</t>
        </is>
      </c>
      <c r="B895" s="1" t="n">
        <v>45391</v>
      </c>
      <c r="C895" s="1" t="n">
        <v>45572</v>
      </c>
      <c r="D895" t="inlineStr">
        <is>
          <t>DALARNAS LÄN</t>
        </is>
      </c>
      <c r="E895" t="inlineStr">
        <is>
          <t>LEKSAND</t>
        </is>
      </c>
      <c r="G895" t="n">
        <v>0.8</v>
      </c>
      <c r="H895" t="n">
        <v>0</v>
      </c>
      <c r="I895" t="n">
        <v>0</v>
      </c>
      <c r="J895" t="n">
        <v>0</v>
      </c>
      <c r="K895" t="n">
        <v>0</v>
      </c>
      <c r="L895" t="n">
        <v>0</v>
      </c>
      <c r="M895" t="n">
        <v>0</v>
      </c>
      <c r="N895" t="n">
        <v>0</v>
      </c>
      <c r="O895" t="n">
        <v>0</v>
      </c>
      <c r="P895" t="n">
        <v>0</v>
      </c>
      <c r="Q895" t="n">
        <v>0</v>
      </c>
      <c r="R895" s="2" t="inlineStr"/>
    </row>
    <row r="896" ht="15" customHeight="1">
      <c r="A896" t="inlineStr">
        <is>
          <t>A 13990-2024</t>
        </is>
      </c>
      <c r="B896" s="1" t="n">
        <v>45392</v>
      </c>
      <c r="C896" s="1" t="n">
        <v>45572</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14276-2024</t>
        </is>
      </c>
      <c r="B897" s="1" t="n">
        <v>45393</v>
      </c>
      <c r="C897" s="1" t="n">
        <v>45572</v>
      </c>
      <c r="D897" t="inlineStr">
        <is>
          <t>DALARNAS LÄN</t>
        </is>
      </c>
      <c r="E897" t="inlineStr">
        <is>
          <t>LEKSAND</t>
        </is>
      </c>
      <c r="F897" t="inlineStr">
        <is>
          <t>Bergvik skog väst AB</t>
        </is>
      </c>
      <c r="G897" t="n">
        <v>14.2</v>
      </c>
      <c r="H897" t="n">
        <v>0</v>
      </c>
      <c r="I897" t="n">
        <v>0</v>
      </c>
      <c r="J897" t="n">
        <v>0</v>
      </c>
      <c r="K897" t="n">
        <v>0</v>
      </c>
      <c r="L897" t="n">
        <v>0</v>
      </c>
      <c r="M897" t="n">
        <v>0</v>
      </c>
      <c r="N897" t="n">
        <v>0</v>
      </c>
      <c r="O897" t="n">
        <v>0</v>
      </c>
      <c r="P897" t="n">
        <v>0</v>
      </c>
      <c r="Q897" t="n">
        <v>0</v>
      </c>
      <c r="R897" s="2" t="inlineStr"/>
    </row>
    <row r="898" ht="15" customHeight="1">
      <c r="A898" t="inlineStr">
        <is>
          <t>A 14616-2024</t>
        </is>
      </c>
      <c r="B898" s="1" t="n">
        <v>45397</v>
      </c>
      <c r="C898" s="1" t="n">
        <v>45572</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14615-2024</t>
        </is>
      </c>
      <c r="B899" s="1" t="n">
        <v>45397</v>
      </c>
      <c r="C899" s="1" t="n">
        <v>45572</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14614-2024</t>
        </is>
      </c>
      <c r="B900" s="1" t="n">
        <v>45397</v>
      </c>
      <c r="C900" s="1" t="n">
        <v>45572</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14661-2024</t>
        </is>
      </c>
      <c r="B901" s="1" t="n">
        <v>45397</v>
      </c>
      <c r="C901" s="1" t="n">
        <v>45572</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14688-2024</t>
        </is>
      </c>
      <c r="B902" s="1" t="n">
        <v>45397</v>
      </c>
      <c r="C902" s="1" t="n">
        <v>45572</v>
      </c>
      <c r="D902" t="inlineStr">
        <is>
          <t>DALARNAS LÄN</t>
        </is>
      </c>
      <c r="E902" t="inlineStr">
        <is>
          <t>LEKSAND</t>
        </is>
      </c>
      <c r="G902" t="n">
        <v>3.2</v>
      </c>
      <c r="H902" t="n">
        <v>0</v>
      </c>
      <c r="I902" t="n">
        <v>0</v>
      </c>
      <c r="J902" t="n">
        <v>0</v>
      </c>
      <c r="K902" t="n">
        <v>0</v>
      </c>
      <c r="L902" t="n">
        <v>0</v>
      </c>
      <c r="M902" t="n">
        <v>0</v>
      </c>
      <c r="N902" t="n">
        <v>0</v>
      </c>
      <c r="O902" t="n">
        <v>0</v>
      </c>
      <c r="P902" t="n">
        <v>0</v>
      </c>
      <c r="Q902" t="n">
        <v>0</v>
      </c>
      <c r="R902" s="2" t="inlineStr"/>
    </row>
    <row r="903" ht="15" customHeight="1">
      <c r="A903" t="inlineStr">
        <is>
          <t>A 14792-2024</t>
        </is>
      </c>
      <c r="B903" s="1" t="n">
        <v>45397</v>
      </c>
      <c r="C903" s="1" t="n">
        <v>45572</v>
      </c>
      <c r="D903" t="inlineStr">
        <is>
          <t>DALARNAS LÄN</t>
        </is>
      </c>
      <c r="E903" t="inlineStr">
        <is>
          <t>LEKSAND</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14617-2024</t>
        </is>
      </c>
      <c r="B904" s="1" t="n">
        <v>45397</v>
      </c>
      <c r="C904" s="1" t="n">
        <v>45572</v>
      </c>
      <c r="D904" t="inlineStr">
        <is>
          <t>DALARNAS LÄN</t>
        </is>
      </c>
      <c r="E904" t="inlineStr">
        <is>
          <t>LEKSAND</t>
        </is>
      </c>
      <c r="G904" t="n">
        <v>0.2</v>
      </c>
      <c r="H904" t="n">
        <v>0</v>
      </c>
      <c r="I904" t="n">
        <v>0</v>
      </c>
      <c r="J904" t="n">
        <v>0</v>
      </c>
      <c r="K904" t="n">
        <v>0</v>
      </c>
      <c r="L904" t="n">
        <v>0</v>
      </c>
      <c r="M904" t="n">
        <v>0</v>
      </c>
      <c r="N904" t="n">
        <v>0</v>
      </c>
      <c r="O904" t="n">
        <v>0</v>
      </c>
      <c r="P904" t="n">
        <v>0</v>
      </c>
      <c r="Q904" t="n">
        <v>0</v>
      </c>
      <c r="R904" s="2" t="inlineStr"/>
    </row>
    <row r="905" ht="15" customHeight="1">
      <c r="A905" t="inlineStr">
        <is>
          <t>A 14659-2024</t>
        </is>
      </c>
      <c r="B905" s="1" t="n">
        <v>45397</v>
      </c>
      <c r="C905" s="1" t="n">
        <v>45572</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14908-2024</t>
        </is>
      </c>
      <c r="B906" s="1" t="n">
        <v>45398</v>
      </c>
      <c r="C906" s="1" t="n">
        <v>45572</v>
      </c>
      <c r="D906" t="inlineStr">
        <is>
          <t>DALARNAS LÄN</t>
        </is>
      </c>
      <c r="E906" t="inlineStr">
        <is>
          <t>LEKSAND</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14957-2024</t>
        </is>
      </c>
      <c r="B907" s="1" t="n">
        <v>45398</v>
      </c>
      <c r="C907" s="1" t="n">
        <v>45572</v>
      </c>
      <c r="D907" t="inlineStr">
        <is>
          <t>DALARNAS LÄN</t>
        </is>
      </c>
      <c r="E907" t="inlineStr">
        <is>
          <t>LEKSAND</t>
        </is>
      </c>
      <c r="G907" t="n">
        <v>11.5</v>
      </c>
      <c r="H907" t="n">
        <v>0</v>
      </c>
      <c r="I907" t="n">
        <v>0</v>
      </c>
      <c r="J907" t="n">
        <v>0</v>
      </c>
      <c r="K907" t="n">
        <v>0</v>
      </c>
      <c r="L907" t="n">
        <v>0</v>
      </c>
      <c r="M907" t="n">
        <v>0</v>
      </c>
      <c r="N907" t="n">
        <v>0</v>
      </c>
      <c r="O907" t="n">
        <v>0</v>
      </c>
      <c r="P907" t="n">
        <v>0</v>
      </c>
      <c r="Q907" t="n">
        <v>0</v>
      </c>
      <c r="R907" s="2" t="inlineStr"/>
    </row>
    <row r="908" ht="15" customHeight="1">
      <c r="A908" t="inlineStr">
        <is>
          <t>A 14903-2024</t>
        </is>
      </c>
      <c r="B908" s="1" t="n">
        <v>45398</v>
      </c>
      <c r="C908" s="1" t="n">
        <v>45572</v>
      </c>
      <c r="D908" t="inlineStr">
        <is>
          <t>DALARNAS LÄN</t>
        </is>
      </c>
      <c r="E908" t="inlineStr">
        <is>
          <t>LEKSAND</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15621-2024</t>
        </is>
      </c>
      <c r="B909" s="1" t="n">
        <v>45402</v>
      </c>
      <c r="C909" s="1" t="n">
        <v>45572</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15680-2024</t>
        </is>
      </c>
      <c r="B910" s="1" t="n">
        <v>45404</v>
      </c>
      <c r="C910" s="1" t="n">
        <v>45572</v>
      </c>
      <c r="D910" t="inlineStr">
        <is>
          <t>DALARNAS LÄN</t>
        </is>
      </c>
      <c r="E910" t="inlineStr">
        <is>
          <t>LEKSAND</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15681-2024</t>
        </is>
      </c>
      <c r="B911" s="1" t="n">
        <v>45404</v>
      </c>
      <c r="C911" s="1" t="n">
        <v>45572</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15808-2024</t>
        </is>
      </c>
      <c r="B912" s="1" t="n">
        <v>45404</v>
      </c>
      <c r="C912" s="1" t="n">
        <v>45572</v>
      </c>
      <c r="D912" t="inlineStr">
        <is>
          <t>DALARNAS LÄN</t>
        </is>
      </c>
      <c r="E912" t="inlineStr">
        <is>
          <t>LEKSAND</t>
        </is>
      </c>
      <c r="G912" t="n">
        <v>2.8</v>
      </c>
      <c r="H912" t="n">
        <v>0</v>
      </c>
      <c r="I912" t="n">
        <v>0</v>
      </c>
      <c r="J912" t="n">
        <v>0</v>
      </c>
      <c r="K912" t="n">
        <v>0</v>
      </c>
      <c r="L912" t="n">
        <v>0</v>
      </c>
      <c r="M912" t="n">
        <v>0</v>
      </c>
      <c r="N912" t="n">
        <v>0</v>
      </c>
      <c r="O912" t="n">
        <v>0</v>
      </c>
      <c r="P912" t="n">
        <v>0</v>
      </c>
      <c r="Q912" t="n">
        <v>0</v>
      </c>
      <c r="R912" s="2" t="inlineStr"/>
    </row>
    <row r="913" ht="15" customHeight="1">
      <c r="A913" t="inlineStr">
        <is>
          <t>A 16197-2024</t>
        </is>
      </c>
      <c r="B913" s="1" t="n">
        <v>45406</v>
      </c>
      <c r="C913" s="1" t="n">
        <v>45572</v>
      </c>
      <c r="D913" t="inlineStr">
        <is>
          <t>DALARNAS LÄN</t>
        </is>
      </c>
      <c r="E913" t="inlineStr">
        <is>
          <t>LEKSAND</t>
        </is>
      </c>
      <c r="G913" t="n">
        <v>2.4</v>
      </c>
      <c r="H913" t="n">
        <v>0</v>
      </c>
      <c r="I913" t="n">
        <v>0</v>
      </c>
      <c r="J913" t="n">
        <v>0</v>
      </c>
      <c r="K913" t="n">
        <v>0</v>
      </c>
      <c r="L913" t="n">
        <v>0</v>
      </c>
      <c r="M913" t="n">
        <v>0</v>
      </c>
      <c r="N913" t="n">
        <v>0</v>
      </c>
      <c r="O913" t="n">
        <v>0</v>
      </c>
      <c r="P913" t="n">
        <v>0</v>
      </c>
      <c r="Q913" t="n">
        <v>0</v>
      </c>
      <c r="R913" s="2" t="inlineStr"/>
    </row>
    <row r="914" ht="15" customHeight="1">
      <c r="A914" t="inlineStr">
        <is>
          <t>A 16265-2024</t>
        </is>
      </c>
      <c r="B914" s="1" t="n">
        <v>45407</v>
      </c>
      <c r="C914" s="1" t="n">
        <v>45572</v>
      </c>
      <c r="D914" t="inlineStr">
        <is>
          <t>DALARNAS LÄN</t>
        </is>
      </c>
      <c r="E914" t="inlineStr">
        <is>
          <t>LEKSAND</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16417-2024</t>
        </is>
      </c>
      <c r="B915" s="1" t="n">
        <v>45407</v>
      </c>
      <c r="C915" s="1" t="n">
        <v>45572</v>
      </c>
      <c r="D915" t="inlineStr">
        <is>
          <t>DALARNAS LÄN</t>
        </is>
      </c>
      <c r="E915" t="inlineStr">
        <is>
          <t>LEKSAND</t>
        </is>
      </c>
      <c r="F915" t="inlineStr">
        <is>
          <t>Bergvik skog väst AB</t>
        </is>
      </c>
      <c r="G915" t="n">
        <v>17.4</v>
      </c>
      <c r="H915" t="n">
        <v>0</v>
      </c>
      <c r="I915" t="n">
        <v>0</v>
      </c>
      <c r="J915" t="n">
        <v>0</v>
      </c>
      <c r="K915" t="n">
        <v>0</v>
      </c>
      <c r="L915" t="n">
        <v>0</v>
      </c>
      <c r="M915" t="n">
        <v>0</v>
      </c>
      <c r="N915" t="n">
        <v>0</v>
      </c>
      <c r="O915" t="n">
        <v>0</v>
      </c>
      <c r="P915" t="n">
        <v>0</v>
      </c>
      <c r="Q915" t="n">
        <v>0</v>
      </c>
      <c r="R915" s="2" t="inlineStr"/>
    </row>
    <row r="916" ht="15" customHeight="1">
      <c r="A916" t="inlineStr">
        <is>
          <t>A 16264-2024</t>
        </is>
      </c>
      <c r="B916" s="1" t="n">
        <v>45407</v>
      </c>
      <c r="C916" s="1" t="n">
        <v>45572</v>
      </c>
      <c r="D916" t="inlineStr">
        <is>
          <t>DALARNAS LÄN</t>
        </is>
      </c>
      <c r="E916" t="inlineStr">
        <is>
          <t>LEKSAND</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16420-2024</t>
        </is>
      </c>
      <c r="B917" s="1" t="n">
        <v>45407</v>
      </c>
      <c r="C917" s="1" t="n">
        <v>45572</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16581-2024</t>
        </is>
      </c>
      <c r="B918" s="1" t="n">
        <v>45408</v>
      </c>
      <c r="C918" s="1" t="n">
        <v>45572</v>
      </c>
      <c r="D918" t="inlineStr">
        <is>
          <t>DALARNAS LÄN</t>
        </is>
      </c>
      <c r="E918" t="inlineStr">
        <is>
          <t>LEKSAND</t>
        </is>
      </c>
      <c r="G918" t="n">
        <v>2.6</v>
      </c>
      <c r="H918" t="n">
        <v>0</v>
      </c>
      <c r="I918" t="n">
        <v>0</v>
      </c>
      <c r="J918" t="n">
        <v>0</v>
      </c>
      <c r="K918" t="n">
        <v>0</v>
      </c>
      <c r="L918" t="n">
        <v>0</v>
      </c>
      <c r="M918" t="n">
        <v>0</v>
      </c>
      <c r="N918" t="n">
        <v>0</v>
      </c>
      <c r="O918" t="n">
        <v>0</v>
      </c>
      <c r="P918" t="n">
        <v>0</v>
      </c>
      <c r="Q918" t="n">
        <v>0</v>
      </c>
      <c r="R918" s="2" t="inlineStr"/>
    </row>
    <row r="919" ht="15" customHeight="1">
      <c r="A919" t="inlineStr">
        <is>
          <t>A 16611-2024</t>
        </is>
      </c>
      <c r="B919" s="1" t="n">
        <v>45408</v>
      </c>
      <c r="C919" s="1" t="n">
        <v>45572</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16894-2024</t>
        </is>
      </c>
      <c r="B920" s="1" t="n">
        <v>45411</v>
      </c>
      <c r="C920" s="1" t="n">
        <v>45572</v>
      </c>
      <c r="D920" t="inlineStr">
        <is>
          <t>DALARNAS LÄN</t>
        </is>
      </c>
      <c r="E920" t="inlineStr">
        <is>
          <t>LEKSAND</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17198-2024</t>
        </is>
      </c>
      <c r="B921" s="1" t="n">
        <v>45413</v>
      </c>
      <c r="C921" s="1" t="n">
        <v>45572</v>
      </c>
      <c r="D921" t="inlineStr">
        <is>
          <t>DALARNAS LÄN</t>
        </is>
      </c>
      <c r="E921" t="inlineStr">
        <is>
          <t>LEKSAND</t>
        </is>
      </c>
      <c r="G921" t="n">
        <v>4.8</v>
      </c>
      <c r="H921" t="n">
        <v>0</v>
      </c>
      <c r="I921" t="n">
        <v>0</v>
      </c>
      <c r="J921" t="n">
        <v>0</v>
      </c>
      <c r="K921" t="n">
        <v>0</v>
      </c>
      <c r="L921" t="n">
        <v>0</v>
      </c>
      <c r="M921" t="n">
        <v>0</v>
      </c>
      <c r="N921" t="n">
        <v>0</v>
      </c>
      <c r="O921" t="n">
        <v>0</v>
      </c>
      <c r="P921" t="n">
        <v>0</v>
      </c>
      <c r="Q921" t="n">
        <v>0</v>
      </c>
      <c r="R921" s="2" t="inlineStr"/>
    </row>
    <row r="922" ht="15" customHeight="1">
      <c r="A922" t="inlineStr">
        <is>
          <t>A 17353-2024</t>
        </is>
      </c>
      <c r="B922" s="1" t="n">
        <v>45414</v>
      </c>
      <c r="C922" s="1" t="n">
        <v>45572</v>
      </c>
      <c r="D922" t="inlineStr">
        <is>
          <t>DALARNAS LÄN</t>
        </is>
      </c>
      <c r="E922" t="inlineStr">
        <is>
          <t>LEKSAND</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17606-2024</t>
        </is>
      </c>
      <c r="B923" s="1" t="n">
        <v>45415</v>
      </c>
      <c r="C923" s="1" t="n">
        <v>45572</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17796-2024</t>
        </is>
      </c>
      <c r="B924" s="1" t="n">
        <v>45418</v>
      </c>
      <c r="C924" s="1" t="n">
        <v>45572</v>
      </c>
      <c r="D924" t="inlineStr">
        <is>
          <t>DALARNAS LÄN</t>
        </is>
      </c>
      <c r="E924" t="inlineStr">
        <is>
          <t>LEKSAND</t>
        </is>
      </c>
      <c r="G924" t="n">
        <v>3.4</v>
      </c>
      <c r="H924" t="n">
        <v>0</v>
      </c>
      <c r="I924" t="n">
        <v>0</v>
      </c>
      <c r="J924" t="n">
        <v>0</v>
      </c>
      <c r="K924" t="n">
        <v>0</v>
      </c>
      <c r="L924" t="n">
        <v>0</v>
      </c>
      <c r="M924" t="n">
        <v>0</v>
      </c>
      <c r="N924" t="n">
        <v>0</v>
      </c>
      <c r="O924" t="n">
        <v>0</v>
      </c>
      <c r="P924" t="n">
        <v>0</v>
      </c>
      <c r="Q924" t="n">
        <v>0</v>
      </c>
      <c r="R924" s="2" t="inlineStr"/>
    </row>
    <row r="925" ht="15" customHeight="1">
      <c r="A925" t="inlineStr">
        <is>
          <t>A 17726-2024</t>
        </is>
      </c>
      <c r="B925" s="1" t="n">
        <v>45418</v>
      </c>
      <c r="C925" s="1" t="n">
        <v>45572</v>
      </c>
      <c r="D925" t="inlineStr">
        <is>
          <t>DALARNAS LÄN</t>
        </is>
      </c>
      <c r="E925" t="inlineStr">
        <is>
          <t>LEKSAND</t>
        </is>
      </c>
      <c r="G925" t="n">
        <v>5.2</v>
      </c>
      <c r="H925" t="n">
        <v>0</v>
      </c>
      <c r="I925" t="n">
        <v>0</v>
      </c>
      <c r="J925" t="n">
        <v>0</v>
      </c>
      <c r="K925" t="n">
        <v>0</v>
      </c>
      <c r="L925" t="n">
        <v>0</v>
      </c>
      <c r="M925" t="n">
        <v>0</v>
      </c>
      <c r="N925" t="n">
        <v>0</v>
      </c>
      <c r="O925" t="n">
        <v>0</v>
      </c>
      <c r="P925" t="n">
        <v>0</v>
      </c>
      <c r="Q925" t="n">
        <v>0</v>
      </c>
      <c r="R925" s="2" t="inlineStr"/>
    </row>
    <row r="926" ht="15" customHeight="1">
      <c r="A926" t="inlineStr">
        <is>
          <t>A 17730-2024</t>
        </is>
      </c>
      <c r="B926" s="1" t="n">
        <v>45418</v>
      </c>
      <c r="C926" s="1" t="n">
        <v>45572</v>
      </c>
      <c r="D926" t="inlineStr">
        <is>
          <t>DALARNAS LÄN</t>
        </is>
      </c>
      <c r="E926" t="inlineStr">
        <is>
          <t>LEKSAND</t>
        </is>
      </c>
      <c r="G926" t="n">
        <v>2.4</v>
      </c>
      <c r="H926" t="n">
        <v>0</v>
      </c>
      <c r="I926" t="n">
        <v>0</v>
      </c>
      <c r="J926" t="n">
        <v>0</v>
      </c>
      <c r="K926" t="n">
        <v>0</v>
      </c>
      <c r="L926" t="n">
        <v>0</v>
      </c>
      <c r="M926" t="n">
        <v>0</v>
      </c>
      <c r="N926" t="n">
        <v>0</v>
      </c>
      <c r="O926" t="n">
        <v>0</v>
      </c>
      <c r="P926" t="n">
        <v>0</v>
      </c>
      <c r="Q926" t="n">
        <v>0</v>
      </c>
      <c r="R926" s="2" t="inlineStr"/>
    </row>
    <row r="927" ht="15" customHeight="1">
      <c r="A927" t="inlineStr">
        <is>
          <t>A 17938-2024</t>
        </is>
      </c>
      <c r="B927" s="1" t="n">
        <v>45419</v>
      </c>
      <c r="C927" s="1" t="n">
        <v>45572</v>
      </c>
      <c r="D927" t="inlineStr">
        <is>
          <t>DALARNAS LÄN</t>
        </is>
      </c>
      <c r="E927" t="inlineStr">
        <is>
          <t>LEKSAND</t>
        </is>
      </c>
      <c r="G927" t="n">
        <v>3.8</v>
      </c>
      <c r="H927" t="n">
        <v>0</v>
      </c>
      <c r="I927" t="n">
        <v>0</v>
      </c>
      <c r="J927" t="n">
        <v>0</v>
      </c>
      <c r="K927" t="n">
        <v>0</v>
      </c>
      <c r="L927" t="n">
        <v>0</v>
      </c>
      <c r="M927" t="n">
        <v>0</v>
      </c>
      <c r="N927" t="n">
        <v>0</v>
      </c>
      <c r="O927" t="n">
        <v>0</v>
      </c>
      <c r="P927" t="n">
        <v>0</v>
      </c>
      <c r="Q927" t="n">
        <v>0</v>
      </c>
      <c r="R927" s="2" t="inlineStr"/>
    </row>
    <row r="928" ht="15" customHeight="1">
      <c r="A928" t="inlineStr">
        <is>
          <t>A 17944-2024</t>
        </is>
      </c>
      <c r="B928" s="1" t="n">
        <v>45419</v>
      </c>
      <c r="C928" s="1" t="n">
        <v>45572</v>
      </c>
      <c r="D928" t="inlineStr">
        <is>
          <t>DALARNAS LÄN</t>
        </is>
      </c>
      <c r="E928" t="inlineStr">
        <is>
          <t>LEKSAND</t>
        </is>
      </c>
      <c r="G928" t="n">
        <v>2.9</v>
      </c>
      <c r="H928" t="n">
        <v>0</v>
      </c>
      <c r="I928" t="n">
        <v>0</v>
      </c>
      <c r="J928" t="n">
        <v>0</v>
      </c>
      <c r="K928" t="n">
        <v>0</v>
      </c>
      <c r="L928" t="n">
        <v>0</v>
      </c>
      <c r="M928" t="n">
        <v>0</v>
      </c>
      <c r="N928" t="n">
        <v>0</v>
      </c>
      <c r="O928" t="n">
        <v>0</v>
      </c>
      <c r="P928" t="n">
        <v>0</v>
      </c>
      <c r="Q928" t="n">
        <v>0</v>
      </c>
      <c r="R928" s="2" t="inlineStr"/>
    </row>
    <row r="929" ht="15" customHeight="1">
      <c r="A929" t="inlineStr">
        <is>
          <t>A 18040-2024</t>
        </is>
      </c>
      <c r="B929" s="1" t="n">
        <v>45420</v>
      </c>
      <c r="C929" s="1" t="n">
        <v>45572</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18176-2024</t>
        </is>
      </c>
      <c r="B930" s="1" t="n">
        <v>45420</v>
      </c>
      <c r="C930" s="1" t="n">
        <v>45572</v>
      </c>
      <c r="D930" t="inlineStr">
        <is>
          <t>DALARNAS LÄN</t>
        </is>
      </c>
      <c r="E930" t="inlineStr">
        <is>
          <t>LEKSAND</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18484-2024</t>
        </is>
      </c>
      <c r="B931" s="1" t="n">
        <v>45425</v>
      </c>
      <c r="C931" s="1" t="n">
        <v>45572</v>
      </c>
      <c r="D931" t="inlineStr">
        <is>
          <t>DALARNAS LÄN</t>
        </is>
      </c>
      <c r="E931" t="inlineStr">
        <is>
          <t>LEKSAND</t>
        </is>
      </c>
      <c r="G931" t="n">
        <v>2</v>
      </c>
      <c r="H931" t="n">
        <v>0</v>
      </c>
      <c r="I931" t="n">
        <v>0</v>
      </c>
      <c r="J931" t="n">
        <v>0</v>
      </c>
      <c r="K931" t="n">
        <v>0</v>
      </c>
      <c r="L931" t="n">
        <v>0</v>
      </c>
      <c r="M931" t="n">
        <v>0</v>
      </c>
      <c r="N931" t="n">
        <v>0</v>
      </c>
      <c r="O931" t="n">
        <v>0</v>
      </c>
      <c r="P931" t="n">
        <v>0</v>
      </c>
      <c r="Q931" t="n">
        <v>0</v>
      </c>
      <c r="R931" s="2" t="inlineStr"/>
    </row>
    <row r="932" ht="15" customHeight="1">
      <c r="A932" t="inlineStr">
        <is>
          <t>A 18481-2024</t>
        </is>
      </c>
      <c r="B932" s="1" t="n">
        <v>45425</v>
      </c>
      <c r="C932" s="1" t="n">
        <v>45572</v>
      </c>
      <c r="D932" t="inlineStr">
        <is>
          <t>DALARNAS LÄN</t>
        </is>
      </c>
      <c r="E932" t="inlineStr">
        <is>
          <t>LEKSAND</t>
        </is>
      </c>
      <c r="G932" t="n">
        <v>0.9</v>
      </c>
      <c r="H932" t="n">
        <v>0</v>
      </c>
      <c r="I932" t="n">
        <v>0</v>
      </c>
      <c r="J932" t="n">
        <v>0</v>
      </c>
      <c r="K932" t="n">
        <v>0</v>
      </c>
      <c r="L932" t="n">
        <v>0</v>
      </c>
      <c r="M932" t="n">
        <v>0</v>
      </c>
      <c r="N932" t="n">
        <v>0</v>
      </c>
      <c r="O932" t="n">
        <v>0</v>
      </c>
      <c r="P932" t="n">
        <v>0</v>
      </c>
      <c r="Q932" t="n">
        <v>0</v>
      </c>
      <c r="R932" s="2" t="inlineStr"/>
    </row>
    <row r="933" ht="15" customHeight="1">
      <c r="A933" t="inlineStr">
        <is>
          <t>A 18483-2024</t>
        </is>
      </c>
      <c r="B933" s="1" t="n">
        <v>45425</v>
      </c>
      <c r="C933" s="1" t="n">
        <v>45572</v>
      </c>
      <c r="D933" t="inlineStr">
        <is>
          <t>DALARNAS LÄN</t>
        </is>
      </c>
      <c r="E933" t="inlineStr">
        <is>
          <t>LEKSAND</t>
        </is>
      </c>
      <c r="G933" t="n">
        <v>2</v>
      </c>
      <c r="H933" t="n">
        <v>0</v>
      </c>
      <c r="I933" t="n">
        <v>0</v>
      </c>
      <c r="J933" t="n">
        <v>0</v>
      </c>
      <c r="K933" t="n">
        <v>0</v>
      </c>
      <c r="L933" t="n">
        <v>0</v>
      </c>
      <c r="M933" t="n">
        <v>0</v>
      </c>
      <c r="N933" t="n">
        <v>0</v>
      </c>
      <c r="O933" t="n">
        <v>0</v>
      </c>
      <c r="P933" t="n">
        <v>0</v>
      </c>
      <c r="Q933" t="n">
        <v>0</v>
      </c>
      <c r="R933" s="2" t="inlineStr"/>
    </row>
    <row r="934" ht="15" customHeight="1">
      <c r="A934" t="inlineStr">
        <is>
          <t>A 18791-2024</t>
        </is>
      </c>
      <c r="B934" s="1" t="n">
        <v>45426</v>
      </c>
      <c r="C934" s="1" t="n">
        <v>45572</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19075-2024</t>
        </is>
      </c>
      <c r="B935" s="1" t="n">
        <v>45428</v>
      </c>
      <c r="C935" s="1" t="n">
        <v>45572</v>
      </c>
      <c r="D935" t="inlineStr">
        <is>
          <t>DALARNAS LÄN</t>
        </is>
      </c>
      <c r="E935" t="inlineStr">
        <is>
          <t>LEKSAND</t>
        </is>
      </c>
      <c r="G935" t="n">
        <v>4.9</v>
      </c>
      <c r="H935" t="n">
        <v>0</v>
      </c>
      <c r="I935" t="n">
        <v>0</v>
      </c>
      <c r="J935" t="n">
        <v>0</v>
      </c>
      <c r="K935" t="n">
        <v>0</v>
      </c>
      <c r="L935" t="n">
        <v>0</v>
      </c>
      <c r="M935" t="n">
        <v>0</v>
      </c>
      <c r="N935" t="n">
        <v>0</v>
      </c>
      <c r="O935" t="n">
        <v>0</v>
      </c>
      <c r="P935" t="n">
        <v>0</v>
      </c>
      <c r="Q935" t="n">
        <v>0</v>
      </c>
      <c r="R935" s="2" t="inlineStr"/>
    </row>
    <row r="936" ht="15" customHeight="1">
      <c r="A936" t="inlineStr">
        <is>
          <t>A 18991-2024</t>
        </is>
      </c>
      <c r="B936" s="1" t="n">
        <v>45427</v>
      </c>
      <c r="C936" s="1" t="n">
        <v>45572</v>
      </c>
      <c r="D936" t="inlineStr">
        <is>
          <t>DALARNAS LÄN</t>
        </is>
      </c>
      <c r="E936" t="inlineStr">
        <is>
          <t>LEKSAND</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19295-2024</t>
        </is>
      </c>
      <c r="B937" s="1" t="n">
        <v>45428</v>
      </c>
      <c r="C937" s="1" t="n">
        <v>45572</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19296-2024</t>
        </is>
      </c>
      <c r="B938" s="1" t="n">
        <v>45428</v>
      </c>
      <c r="C938" s="1" t="n">
        <v>45572</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19371-2024</t>
        </is>
      </c>
      <c r="B939" s="1" t="n">
        <v>45429</v>
      </c>
      <c r="C939" s="1" t="n">
        <v>45572</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19670-2024</t>
        </is>
      </c>
      <c r="B940" s="1" t="n">
        <v>45432</v>
      </c>
      <c r="C940" s="1" t="n">
        <v>45572</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19738-2024</t>
        </is>
      </c>
      <c r="B941" s="1" t="n">
        <v>45432</v>
      </c>
      <c r="C941" s="1" t="n">
        <v>45572</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19741-2024</t>
        </is>
      </c>
      <c r="B942" s="1" t="n">
        <v>45432</v>
      </c>
      <c r="C942" s="1" t="n">
        <v>45572</v>
      </c>
      <c r="D942" t="inlineStr">
        <is>
          <t>DALARNAS LÄN</t>
        </is>
      </c>
      <c r="E942" t="inlineStr">
        <is>
          <t>LEKSAND</t>
        </is>
      </c>
      <c r="G942" t="n">
        <v>1.1</v>
      </c>
      <c r="H942" t="n">
        <v>0</v>
      </c>
      <c r="I942" t="n">
        <v>0</v>
      </c>
      <c r="J942" t="n">
        <v>0</v>
      </c>
      <c r="K942" t="n">
        <v>0</v>
      </c>
      <c r="L942" t="n">
        <v>0</v>
      </c>
      <c r="M942" t="n">
        <v>0</v>
      </c>
      <c r="N942" t="n">
        <v>0</v>
      </c>
      <c r="O942" t="n">
        <v>0</v>
      </c>
      <c r="P942" t="n">
        <v>0</v>
      </c>
      <c r="Q942" t="n">
        <v>0</v>
      </c>
      <c r="R942" s="2" t="inlineStr"/>
    </row>
    <row r="943" ht="15" customHeight="1">
      <c r="A943" t="inlineStr">
        <is>
          <t>A 19618-2024</t>
        </is>
      </c>
      <c r="B943" s="1" t="n">
        <v>45432</v>
      </c>
      <c r="C943" s="1" t="n">
        <v>45572</v>
      </c>
      <c r="D943" t="inlineStr">
        <is>
          <t>DALARNAS LÄN</t>
        </is>
      </c>
      <c r="E943" t="inlineStr">
        <is>
          <t>LEKSAND</t>
        </is>
      </c>
      <c r="G943" t="n">
        <v>1.5</v>
      </c>
      <c r="H943" t="n">
        <v>0</v>
      </c>
      <c r="I943" t="n">
        <v>0</v>
      </c>
      <c r="J943" t="n">
        <v>0</v>
      </c>
      <c r="K943" t="n">
        <v>0</v>
      </c>
      <c r="L943" t="n">
        <v>0</v>
      </c>
      <c r="M943" t="n">
        <v>0</v>
      </c>
      <c r="N943" t="n">
        <v>0</v>
      </c>
      <c r="O943" t="n">
        <v>0</v>
      </c>
      <c r="P943" t="n">
        <v>0</v>
      </c>
      <c r="Q943" t="n">
        <v>0</v>
      </c>
      <c r="R943" s="2" t="inlineStr"/>
    </row>
    <row r="944" ht="15" customHeight="1">
      <c r="A944" t="inlineStr">
        <is>
          <t>A 19622-2024</t>
        </is>
      </c>
      <c r="B944" s="1" t="n">
        <v>45432</v>
      </c>
      <c r="C944" s="1" t="n">
        <v>45572</v>
      </c>
      <c r="D944" t="inlineStr">
        <is>
          <t>DALARNAS LÄN</t>
        </is>
      </c>
      <c r="E944" t="inlineStr">
        <is>
          <t>LEKSAND</t>
        </is>
      </c>
      <c r="G944" t="n">
        <v>1.3</v>
      </c>
      <c r="H944" t="n">
        <v>0</v>
      </c>
      <c r="I944" t="n">
        <v>0</v>
      </c>
      <c r="J944" t="n">
        <v>0</v>
      </c>
      <c r="K944" t="n">
        <v>0</v>
      </c>
      <c r="L944" t="n">
        <v>0</v>
      </c>
      <c r="M944" t="n">
        <v>0</v>
      </c>
      <c r="N944" t="n">
        <v>0</v>
      </c>
      <c r="O944" t="n">
        <v>0</v>
      </c>
      <c r="P944" t="n">
        <v>0</v>
      </c>
      <c r="Q944" t="n">
        <v>0</v>
      </c>
      <c r="R944" s="2" t="inlineStr"/>
    </row>
    <row r="945" ht="15" customHeight="1">
      <c r="A945" t="inlineStr">
        <is>
          <t>A 19820-2024</t>
        </is>
      </c>
      <c r="B945" s="1" t="n">
        <v>45433</v>
      </c>
      <c r="C945" s="1" t="n">
        <v>45572</v>
      </c>
      <c r="D945" t="inlineStr">
        <is>
          <t>DALARNAS LÄN</t>
        </is>
      </c>
      <c r="E945" t="inlineStr">
        <is>
          <t>LEKSAND</t>
        </is>
      </c>
      <c r="G945" t="n">
        <v>0.7</v>
      </c>
      <c r="H945" t="n">
        <v>0</v>
      </c>
      <c r="I945" t="n">
        <v>0</v>
      </c>
      <c r="J945" t="n">
        <v>0</v>
      </c>
      <c r="K945" t="n">
        <v>0</v>
      </c>
      <c r="L945" t="n">
        <v>0</v>
      </c>
      <c r="M945" t="n">
        <v>0</v>
      </c>
      <c r="N945" t="n">
        <v>0</v>
      </c>
      <c r="O945" t="n">
        <v>0</v>
      </c>
      <c r="P945" t="n">
        <v>0</v>
      </c>
      <c r="Q945" t="n">
        <v>0</v>
      </c>
      <c r="R945" s="2" t="inlineStr"/>
    </row>
    <row r="946" ht="15" customHeight="1">
      <c r="A946" t="inlineStr">
        <is>
          <t>A 19823-2024</t>
        </is>
      </c>
      <c r="B946" s="1" t="n">
        <v>45433</v>
      </c>
      <c r="C946" s="1" t="n">
        <v>45572</v>
      </c>
      <c r="D946" t="inlineStr">
        <is>
          <t>DALARNAS LÄN</t>
        </is>
      </c>
      <c r="E946" t="inlineStr">
        <is>
          <t>LEKSAND</t>
        </is>
      </c>
      <c r="G946" t="n">
        <v>0.3</v>
      </c>
      <c r="H946" t="n">
        <v>0</v>
      </c>
      <c r="I946" t="n">
        <v>0</v>
      </c>
      <c r="J946" t="n">
        <v>0</v>
      </c>
      <c r="K946" t="n">
        <v>0</v>
      </c>
      <c r="L946" t="n">
        <v>0</v>
      </c>
      <c r="M946" t="n">
        <v>0</v>
      </c>
      <c r="N946" t="n">
        <v>0</v>
      </c>
      <c r="O946" t="n">
        <v>0</v>
      </c>
      <c r="P946" t="n">
        <v>0</v>
      </c>
      <c r="Q946" t="n">
        <v>0</v>
      </c>
      <c r="R946" s="2" t="inlineStr"/>
    </row>
    <row r="947" ht="15" customHeight="1">
      <c r="A947" t="inlineStr">
        <is>
          <t>A 20110-2024</t>
        </is>
      </c>
      <c r="B947" s="1" t="n">
        <v>45434</v>
      </c>
      <c r="C947" s="1" t="n">
        <v>45572</v>
      </c>
      <c r="D947" t="inlineStr">
        <is>
          <t>DALARNAS LÄN</t>
        </is>
      </c>
      <c r="E947" t="inlineStr">
        <is>
          <t>LEKSAND</t>
        </is>
      </c>
      <c r="G947" t="n">
        <v>1.8</v>
      </c>
      <c r="H947" t="n">
        <v>0</v>
      </c>
      <c r="I947" t="n">
        <v>0</v>
      </c>
      <c r="J947" t="n">
        <v>0</v>
      </c>
      <c r="K947" t="n">
        <v>0</v>
      </c>
      <c r="L947" t="n">
        <v>0</v>
      </c>
      <c r="M947" t="n">
        <v>0</v>
      </c>
      <c r="N947" t="n">
        <v>0</v>
      </c>
      <c r="O947" t="n">
        <v>0</v>
      </c>
      <c r="P947" t="n">
        <v>0</v>
      </c>
      <c r="Q947" t="n">
        <v>0</v>
      </c>
      <c r="R947" s="2" t="inlineStr"/>
    </row>
    <row r="948" ht="15" customHeight="1">
      <c r="A948" t="inlineStr">
        <is>
          <t>A 20590-2024</t>
        </is>
      </c>
      <c r="B948" s="1" t="n">
        <v>45436</v>
      </c>
      <c r="C948" s="1" t="n">
        <v>45572</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20588-2024</t>
        </is>
      </c>
      <c r="B949" s="1" t="n">
        <v>45436</v>
      </c>
      <c r="C949" s="1" t="n">
        <v>45572</v>
      </c>
      <c r="D949" t="inlineStr">
        <is>
          <t>DALARNAS LÄN</t>
        </is>
      </c>
      <c r="E949" t="inlineStr">
        <is>
          <t>LEKSAND</t>
        </is>
      </c>
      <c r="F949" t="inlineStr">
        <is>
          <t>Bergvik skog väst AB</t>
        </is>
      </c>
      <c r="G949" t="n">
        <v>34.4</v>
      </c>
      <c r="H949" t="n">
        <v>0</v>
      </c>
      <c r="I949" t="n">
        <v>0</v>
      </c>
      <c r="J949" t="n">
        <v>0</v>
      </c>
      <c r="K949" t="n">
        <v>0</v>
      </c>
      <c r="L949" t="n">
        <v>0</v>
      </c>
      <c r="M949" t="n">
        <v>0</v>
      </c>
      <c r="N949" t="n">
        <v>0</v>
      </c>
      <c r="O949" t="n">
        <v>0</v>
      </c>
      <c r="P949" t="n">
        <v>0</v>
      </c>
      <c r="Q949" t="n">
        <v>0</v>
      </c>
      <c r="R949" s="2" t="inlineStr"/>
    </row>
    <row r="950" ht="15" customHeight="1">
      <c r="A950" t="inlineStr">
        <is>
          <t>A 20718-2024</t>
        </is>
      </c>
      <c r="B950" s="1" t="n">
        <v>45436</v>
      </c>
      <c r="C950" s="1" t="n">
        <v>45572</v>
      </c>
      <c r="D950" t="inlineStr">
        <is>
          <t>DALARNAS LÄN</t>
        </is>
      </c>
      <c r="E950" t="inlineStr">
        <is>
          <t>LEKSAND</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21017-2024</t>
        </is>
      </c>
      <c r="B951" s="1" t="n">
        <v>45439</v>
      </c>
      <c r="C951" s="1" t="n">
        <v>45572</v>
      </c>
      <c r="D951" t="inlineStr">
        <is>
          <t>DALARNAS LÄN</t>
        </is>
      </c>
      <c r="E951" t="inlineStr">
        <is>
          <t>LEKSAND</t>
        </is>
      </c>
      <c r="G951" t="n">
        <v>2.8</v>
      </c>
      <c r="H951" t="n">
        <v>0</v>
      </c>
      <c r="I951" t="n">
        <v>0</v>
      </c>
      <c r="J951" t="n">
        <v>0</v>
      </c>
      <c r="K951" t="n">
        <v>0</v>
      </c>
      <c r="L951" t="n">
        <v>0</v>
      </c>
      <c r="M951" t="n">
        <v>0</v>
      </c>
      <c r="N951" t="n">
        <v>0</v>
      </c>
      <c r="O951" t="n">
        <v>0</v>
      </c>
      <c r="P951" t="n">
        <v>0</v>
      </c>
      <c r="Q951" t="n">
        <v>0</v>
      </c>
      <c r="R951" s="2" t="inlineStr"/>
    </row>
    <row r="952" ht="15" customHeight="1">
      <c r="A952" t="inlineStr">
        <is>
          <t>A 21035-2024</t>
        </is>
      </c>
      <c r="B952" s="1" t="n">
        <v>45439</v>
      </c>
      <c r="C952" s="1" t="n">
        <v>45572</v>
      </c>
      <c r="D952" t="inlineStr">
        <is>
          <t>DALARNAS LÄN</t>
        </is>
      </c>
      <c r="E952" t="inlineStr">
        <is>
          <t>LEKSAND</t>
        </is>
      </c>
      <c r="G952" t="n">
        <v>11.6</v>
      </c>
      <c r="H952" t="n">
        <v>0</v>
      </c>
      <c r="I952" t="n">
        <v>0</v>
      </c>
      <c r="J952" t="n">
        <v>0</v>
      </c>
      <c r="K952" t="n">
        <v>0</v>
      </c>
      <c r="L952" t="n">
        <v>0</v>
      </c>
      <c r="M952" t="n">
        <v>0</v>
      </c>
      <c r="N952" t="n">
        <v>0</v>
      </c>
      <c r="O952" t="n">
        <v>0</v>
      </c>
      <c r="P952" t="n">
        <v>0</v>
      </c>
      <c r="Q952" t="n">
        <v>0</v>
      </c>
      <c r="R952" s="2" t="inlineStr"/>
    </row>
    <row r="953" ht="15" customHeight="1">
      <c r="A953" t="inlineStr">
        <is>
          <t>A 21556-2024</t>
        </is>
      </c>
      <c r="B953" s="1" t="n">
        <v>45441</v>
      </c>
      <c r="C953" s="1" t="n">
        <v>45572</v>
      </c>
      <c r="D953" t="inlineStr">
        <is>
          <t>DALARNAS LÄN</t>
        </is>
      </c>
      <c r="E953" t="inlineStr">
        <is>
          <t>LEKSAND</t>
        </is>
      </c>
      <c r="G953" t="n">
        <v>2.9</v>
      </c>
      <c r="H953" t="n">
        <v>0</v>
      </c>
      <c r="I953" t="n">
        <v>0</v>
      </c>
      <c r="J953" t="n">
        <v>0</v>
      </c>
      <c r="K953" t="n">
        <v>0</v>
      </c>
      <c r="L953" t="n">
        <v>0</v>
      </c>
      <c r="M953" t="n">
        <v>0</v>
      </c>
      <c r="N953" t="n">
        <v>0</v>
      </c>
      <c r="O953" t="n">
        <v>0</v>
      </c>
      <c r="P953" t="n">
        <v>0</v>
      </c>
      <c r="Q953" t="n">
        <v>0</v>
      </c>
      <c r="R953" s="2" t="inlineStr"/>
    </row>
    <row r="954" ht="15" customHeight="1">
      <c r="A954" t="inlineStr">
        <is>
          <t>A 21676-2024</t>
        </is>
      </c>
      <c r="B954" s="1" t="n">
        <v>45442</v>
      </c>
      <c r="C954" s="1" t="n">
        <v>45572</v>
      </c>
      <c r="D954" t="inlineStr">
        <is>
          <t>DALARNAS LÄN</t>
        </is>
      </c>
      <c r="E954" t="inlineStr">
        <is>
          <t>LEKSAND</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22059-2024</t>
        </is>
      </c>
      <c r="B955" s="1" t="n">
        <v>45443</v>
      </c>
      <c r="C955" s="1" t="n">
        <v>45572</v>
      </c>
      <c r="D955" t="inlineStr">
        <is>
          <t>DALARNAS LÄN</t>
        </is>
      </c>
      <c r="E955" t="inlineStr">
        <is>
          <t>LEKSAND</t>
        </is>
      </c>
      <c r="G955" t="n">
        <v>13.4</v>
      </c>
      <c r="H955" t="n">
        <v>0</v>
      </c>
      <c r="I955" t="n">
        <v>0</v>
      </c>
      <c r="J955" t="n">
        <v>0</v>
      </c>
      <c r="K955" t="n">
        <v>0</v>
      </c>
      <c r="L955" t="n">
        <v>0</v>
      </c>
      <c r="M955" t="n">
        <v>0</v>
      </c>
      <c r="N955" t="n">
        <v>0</v>
      </c>
      <c r="O955" t="n">
        <v>0</v>
      </c>
      <c r="P955" t="n">
        <v>0</v>
      </c>
      <c r="Q955" t="n">
        <v>0</v>
      </c>
      <c r="R955" s="2" t="inlineStr"/>
    </row>
    <row r="956" ht="15" customHeight="1">
      <c r="A956" t="inlineStr">
        <is>
          <t>A 22354-2024</t>
        </is>
      </c>
      <c r="B956" s="1" t="n">
        <v>45446</v>
      </c>
      <c r="C956" s="1" t="n">
        <v>45572</v>
      </c>
      <c r="D956" t="inlineStr">
        <is>
          <t>DALARNAS LÄN</t>
        </is>
      </c>
      <c r="E956" t="inlineStr">
        <is>
          <t>LEKSAND</t>
        </is>
      </c>
      <c r="G956" t="n">
        <v>1</v>
      </c>
      <c r="H956" t="n">
        <v>0</v>
      </c>
      <c r="I956" t="n">
        <v>0</v>
      </c>
      <c r="J956" t="n">
        <v>0</v>
      </c>
      <c r="K956" t="n">
        <v>0</v>
      </c>
      <c r="L956" t="n">
        <v>0</v>
      </c>
      <c r="M956" t="n">
        <v>0</v>
      </c>
      <c r="N956" t="n">
        <v>0</v>
      </c>
      <c r="O956" t="n">
        <v>0</v>
      </c>
      <c r="P956" t="n">
        <v>0</v>
      </c>
      <c r="Q956" t="n">
        <v>0</v>
      </c>
      <c r="R956" s="2" t="inlineStr"/>
    </row>
    <row r="957" ht="15" customHeight="1">
      <c r="A957" t="inlineStr">
        <is>
          <t>A 22388-2024</t>
        </is>
      </c>
      <c r="B957" s="1" t="n">
        <v>45446</v>
      </c>
      <c r="C957" s="1" t="n">
        <v>45572</v>
      </c>
      <c r="D957" t="inlineStr">
        <is>
          <t>DALARNAS LÄN</t>
        </is>
      </c>
      <c r="E957" t="inlineStr">
        <is>
          <t>LEKSAND</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22349-2024</t>
        </is>
      </c>
      <c r="B958" s="1" t="n">
        <v>45446</v>
      </c>
      <c r="C958" s="1" t="n">
        <v>45572</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22281-2024</t>
        </is>
      </c>
      <c r="B959" s="1" t="n">
        <v>45446</v>
      </c>
      <c r="C959" s="1" t="n">
        <v>45572</v>
      </c>
      <c r="D959" t="inlineStr">
        <is>
          <t>DALARNAS LÄN</t>
        </is>
      </c>
      <c r="E959" t="inlineStr">
        <is>
          <t>LEKSAND</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22612-2024</t>
        </is>
      </c>
      <c r="B960" s="1" t="n">
        <v>45447</v>
      </c>
      <c r="C960" s="1" t="n">
        <v>45572</v>
      </c>
      <c r="D960" t="inlineStr">
        <is>
          <t>DALARNAS LÄN</t>
        </is>
      </c>
      <c r="E960" t="inlineStr">
        <is>
          <t>LEKSAND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22517-2024</t>
        </is>
      </c>
      <c r="B961" s="1" t="n">
        <v>45447</v>
      </c>
      <c r="C961" s="1" t="n">
        <v>45572</v>
      </c>
      <c r="D961" t="inlineStr">
        <is>
          <t>DALARNAS LÄN</t>
        </is>
      </c>
      <c r="E961" t="inlineStr">
        <is>
          <t>LEKSAND</t>
        </is>
      </c>
      <c r="G961" t="n">
        <v>0.4</v>
      </c>
      <c r="H961" t="n">
        <v>0</v>
      </c>
      <c r="I961" t="n">
        <v>0</v>
      </c>
      <c r="J961" t="n">
        <v>0</v>
      </c>
      <c r="K961" t="n">
        <v>0</v>
      </c>
      <c r="L961" t="n">
        <v>0</v>
      </c>
      <c r="M961" t="n">
        <v>0</v>
      </c>
      <c r="N961" t="n">
        <v>0</v>
      </c>
      <c r="O961" t="n">
        <v>0</v>
      </c>
      <c r="P961" t="n">
        <v>0</v>
      </c>
      <c r="Q961" t="n">
        <v>0</v>
      </c>
      <c r="R961" s="2" t="inlineStr"/>
    </row>
    <row r="962" ht="15" customHeight="1">
      <c r="A962" t="inlineStr">
        <is>
          <t>A 22686-2024</t>
        </is>
      </c>
      <c r="B962" s="1" t="n">
        <v>45448</v>
      </c>
      <c r="C962" s="1" t="n">
        <v>45572</v>
      </c>
      <c r="D962" t="inlineStr">
        <is>
          <t>DALARNAS LÄN</t>
        </is>
      </c>
      <c r="E962" t="inlineStr">
        <is>
          <t>LEKSAND</t>
        </is>
      </c>
      <c r="G962" t="n">
        <v>2.3</v>
      </c>
      <c r="H962" t="n">
        <v>0</v>
      </c>
      <c r="I962" t="n">
        <v>0</v>
      </c>
      <c r="J962" t="n">
        <v>0</v>
      </c>
      <c r="K962" t="n">
        <v>0</v>
      </c>
      <c r="L962" t="n">
        <v>0</v>
      </c>
      <c r="M962" t="n">
        <v>0</v>
      </c>
      <c r="N962" t="n">
        <v>0</v>
      </c>
      <c r="O962" t="n">
        <v>0</v>
      </c>
      <c r="P962" t="n">
        <v>0</v>
      </c>
      <c r="Q962" t="n">
        <v>0</v>
      </c>
      <c r="R962" s="2" t="inlineStr"/>
    </row>
    <row r="963" ht="15" customHeight="1">
      <c r="A963" t="inlineStr">
        <is>
          <t>A 22708-2024</t>
        </is>
      </c>
      <c r="B963" s="1" t="n">
        <v>45448</v>
      </c>
      <c r="C963" s="1" t="n">
        <v>45572</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23068-2024</t>
        </is>
      </c>
      <c r="B964" s="1" t="n">
        <v>45450</v>
      </c>
      <c r="C964" s="1" t="n">
        <v>45572</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23283-2024</t>
        </is>
      </c>
      <c r="B965" s="1" t="n">
        <v>45453</v>
      </c>
      <c r="C965" s="1" t="n">
        <v>45572</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23320-2024</t>
        </is>
      </c>
      <c r="B966" s="1" t="n">
        <v>45453</v>
      </c>
      <c r="C966" s="1" t="n">
        <v>45572</v>
      </c>
      <c r="D966" t="inlineStr">
        <is>
          <t>DALARNAS LÄN</t>
        </is>
      </c>
      <c r="E966" t="inlineStr">
        <is>
          <t>LEKSAND</t>
        </is>
      </c>
      <c r="G966" t="n">
        <v>4.6</v>
      </c>
      <c r="H966" t="n">
        <v>0</v>
      </c>
      <c r="I966" t="n">
        <v>0</v>
      </c>
      <c r="J966" t="n">
        <v>0</v>
      </c>
      <c r="K966" t="n">
        <v>0</v>
      </c>
      <c r="L966" t="n">
        <v>0</v>
      </c>
      <c r="M966" t="n">
        <v>0</v>
      </c>
      <c r="N966" t="n">
        <v>0</v>
      </c>
      <c r="O966" t="n">
        <v>0</v>
      </c>
      <c r="P966" t="n">
        <v>0</v>
      </c>
      <c r="Q966" t="n">
        <v>0</v>
      </c>
      <c r="R966" s="2" t="inlineStr"/>
    </row>
    <row r="967" ht="15" customHeight="1">
      <c r="A967" t="inlineStr">
        <is>
          <t>A 23391-2024</t>
        </is>
      </c>
      <c r="B967" s="1" t="n">
        <v>45453</v>
      </c>
      <c r="C967" s="1" t="n">
        <v>45572</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23395-2024</t>
        </is>
      </c>
      <c r="B968" s="1" t="n">
        <v>45453</v>
      </c>
      <c r="C968" s="1" t="n">
        <v>45572</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23615-2024</t>
        </is>
      </c>
      <c r="B969" s="1" t="n">
        <v>45454</v>
      </c>
      <c r="C969" s="1" t="n">
        <v>45572</v>
      </c>
      <c r="D969" t="inlineStr">
        <is>
          <t>DALARNAS LÄN</t>
        </is>
      </c>
      <c r="E969" t="inlineStr">
        <is>
          <t>LEKSAND</t>
        </is>
      </c>
      <c r="G969" t="n">
        <v>1.7</v>
      </c>
      <c r="H969" t="n">
        <v>0</v>
      </c>
      <c r="I969" t="n">
        <v>0</v>
      </c>
      <c r="J969" t="n">
        <v>0</v>
      </c>
      <c r="K969" t="n">
        <v>0</v>
      </c>
      <c r="L969" t="n">
        <v>0</v>
      </c>
      <c r="M969" t="n">
        <v>0</v>
      </c>
      <c r="N969" t="n">
        <v>0</v>
      </c>
      <c r="O969" t="n">
        <v>0</v>
      </c>
      <c r="P969" t="n">
        <v>0</v>
      </c>
      <c r="Q969" t="n">
        <v>0</v>
      </c>
      <c r="R969" s="2" t="inlineStr"/>
    </row>
    <row r="970" ht="15" customHeight="1">
      <c r="A970" t="inlineStr">
        <is>
          <t>A 23663-2024</t>
        </is>
      </c>
      <c r="B970" s="1" t="n">
        <v>45454</v>
      </c>
      <c r="C970" s="1" t="n">
        <v>45572</v>
      </c>
      <c r="D970" t="inlineStr">
        <is>
          <t>DALARNAS LÄN</t>
        </is>
      </c>
      <c r="E970" t="inlineStr">
        <is>
          <t>LEKSAND</t>
        </is>
      </c>
      <c r="G970" t="n">
        <v>2.5</v>
      </c>
      <c r="H970" t="n">
        <v>0</v>
      </c>
      <c r="I970" t="n">
        <v>0</v>
      </c>
      <c r="J970" t="n">
        <v>0</v>
      </c>
      <c r="K970" t="n">
        <v>0</v>
      </c>
      <c r="L970" t="n">
        <v>0</v>
      </c>
      <c r="M970" t="n">
        <v>0</v>
      </c>
      <c r="N970" t="n">
        <v>0</v>
      </c>
      <c r="O970" t="n">
        <v>0</v>
      </c>
      <c r="P970" t="n">
        <v>0</v>
      </c>
      <c r="Q970" t="n">
        <v>0</v>
      </c>
      <c r="R970" s="2" t="inlineStr"/>
    </row>
    <row r="971" ht="15" customHeight="1">
      <c r="A971" t="inlineStr">
        <is>
          <t>A 23896-2024</t>
        </is>
      </c>
      <c r="B971" s="1" t="n">
        <v>45455</v>
      </c>
      <c r="C971" s="1" t="n">
        <v>45572</v>
      </c>
      <c r="D971" t="inlineStr">
        <is>
          <t>DALARNAS LÄN</t>
        </is>
      </c>
      <c r="E971" t="inlineStr">
        <is>
          <t>LEKSAND</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23743-2024</t>
        </is>
      </c>
      <c r="B972" s="1" t="n">
        <v>45455</v>
      </c>
      <c r="C972" s="1" t="n">
        <v>45572</v>
      </c>
      <c r="D972" t="inlineStr">
        <is>
          <t>DALARNAS LÄN</t>
        </is>
      </c>
      <c r="E972" t="inlineStr">
        <is>
          <t>LEKSAND</t>
        </is>
      </c>
      <c r="G972" t="n">
        <v>4.5</v>
      </c>
      <c r="H972" t="n">
        <v>0</v>
      </c>
      <c r="I972" t="n">
        <v>0</v>
      </c>
      <c r="J972" t="n">
        <v>0</v>
      </c>
      <c r="K972" t="n">
        <v>0</v>
      </c>
      <c r="L972" t="n">
        <v>0</v>
      </c>
      <c r="M972" t="n">
        <v>0</v>
      </c>
      <c r="N972" t="n">
        <v>0</v>
      </c>
      <c r="O972" t="n">
        <v>0</v>
      </c>
      <c r="P972" t="n">
        <v>0</v>
      </c>
      <c r="Q972" t="n">
        <v>0</v>
      </c>
      <c r="R972" s="2" t="inlineStr"/>
    </row>
    <row r="973" ht="15" customHeight="1">
      <c r="A973" t="inlineStr">
        <is>
          <t>A 23739-2024</t>
        </is>
      </c>
      <c r="B973" s="1" t="n">
        <v>45455</v>
      </c>
      <c r="C973" s="1" t="n">
        <v>45572</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24003-2024</t>
        </is>
      </c>
      <c r="B974" s="1" t="n">
        <v>45456</v>
      </c>
      <c r="C974" s="1" t="n">
        <v>45572</v>
      </c>
      <c r="D974" t="inlineStr">
        <is>
          <t>DALARNAS LÄN</t>
        </is>
      </c>
      <c r="E974" t="inlineStr">
        <is>
          <t>LEKSAND</t>
        </is>
      </c>
      <c r="F974" t="inlineStr">
        <is>
          <t>Bergvik skog väst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24005-2024</t>
        </is>
      </c>
      <c r="B975" s="1" t="n">
        <v>45456</v>
      </c>
      <c r="C975" s="1" t="n">
        <v>45572</v>
      </c>
      <c r="D975" t="inlineStr">
        <is>
          <t>DALARNAS LÄN</t>
        </is>
      </c>
      <c r="E975" t="inlineStr">
        <is>
          <t>LEKSAND</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24063-2024</t>
        </is>
      </c>
      <c r="B976" s="1" t="n">
        <v>45456</v>
      </c>
      <c r="C976" s="1" t="n">
        <v>45572</v>
      </c>
      <c r="D976" t="inlineStr">
        <is>
          <t>DALARNAS LÄN</t>
        </is>
      </c>
      <c r="E976" t="inlineStr">
        <is>
          <t>LEKSAND</t>
        </is>
      </c>
      <c r="F976" t="inlineStr">
        <is>
          <t>Bergvik skog väst AB</t>
        </is>
      </c>
      <c r="G976" t="n">
        <v>8.9</v>
      </c>
      <c r="H976" t="n">
        <v>0</v>
      </c>
      <c r="I976" t="n">
        <v>0</v>
      </c>
      <c r="J976" t="n">
        <v>0</v>
      </c>
      <c r="K976" t="n">
        <v>0</v>
      </c>
      <c r="L976" t="n">
        <v>0</v>
      </c>
      <c r="M976" t="n">
        <v>0</v>
      </c>
      <c r="N976" t="n">
        <v>0</v>
      </c>
      <c r="O976" t="n">
        <v>0</v>
      </c>
      <c r="P976" t="n">
        <v>0</v>
      </c>
      <c r="Q976" t="n">
        <v>0</v>
      </c>
      <c r="R976" s="2" t="inlineStr"/>
    </row>
    <row r="977" ht="15" customHeight="1">
      <c r="A977" t="inlineStr">
        <is>
          <t>A 24135-2024</t>
        </is>
      </c>
      <c r="B977" s="1" t="n">
        <v>45456</v>
      </c>
      <c r="C977" s="1" t="n">
        <v>45572</v>
      </c>
      <c r="D977" t="inlineStr">
        <is>
          <t>DALARNAS LÄN</t>
        </is>
      </c>
      <c r="E977" t="inlineStr">
        <is>
          <t>LEKSAND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24481-2024</t>
        </is>
      </c>
      <c r="B978" s="1" t="n">
        <v>45459</v>
      </c>
      <c r="C978" s="1" t="n">
        <v>45572</v>
      </c>
      <c r="D978" t="inlineStr">
        <is>
          <t>DALARNAS LÄN</t>
        </is>
      </c>
      <c r="E978" t="inlineStr">
        <is>
          <t>LEKSAND</t>
        </is>
      </c>
      <c r="G978" t="n">
        <v>1</v>
      </c>
      <c r="H978" t="n">
        <v>0</v>
      </c>
      <c r="I978" t="n">
        <v>0</v>
      </c>
      <c r="J978" t="n">
        <v>0</v>
      </c>
      <c r="K978" t="n">
        <v>0</v>
      </c>
      <c r="L978" t="n">
        <v>0</v>
      </c>
      <c r="M978" t="n">
        <v>0</v>
      </c>
      <c r="N978" t="n">
        <v>0</v>
      </c>
      <c r="O978" t="n">
        <v>0</v>
      </c>
      <c r="P978" t="n">
        <v>0</v>
      </c>
      <c r="Q978" t="n">
        <v>0</v>
      </c>
      <c r="R978" s="2" t="inlineStr"/>
    </row>
    <row r="979" ht="15" customHeight="1">
      <c r="A979" t="inlineStr">
        <is>
          <t>A 24830-2024</t>
        </is>
      </c>
      <c r="B979" s="1" t="n">
        <v>45461</v>
      </c>
      <c r="C979" s="1" t="n">
        <v>45572</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24837-2024</t>
        </is>
      </c>
      <c r="B980" s="1" t="n">
        <v>45461</v>
      </c>
      <c r="C980" s="1" t="n">
        <v>45572</v>
      </c>
      <c r="D980" t="inlineStr">
        <is>
          <t>DALARNAS LÄN</t>
        </is>
      </c>
      <c r="E980" t="inlineStr">
        <is>
          <t>LEKSAND</t>
        </is>
      </c>
      <c r="G980" t="n">
        <v>1.5</v>
      </c>
      <c r="H980" t="n">
        <v>0</v>
      </c>
      <c r="I980" t="n">
        <v>0</v>
      </c>
      <c r="J980" t="n">
        <v>0</v>
      </c>
      <c r="K980" t="n">
        <v>0</v>
      </c>
      <c r="L980" t="n">
        <v>0</v>
      </c>
      <c r="M980" t="n">
        <v>0</v>
      </c>
      <c r="N980" t="n">
        <v>0</v>
      </c>
      <c r="O980" t="n">
        <v>0</v>
      </c>
      <c r="P980" t="n">
        <v>0</v>
      </c>
      <c r="Q980" t="n">
        <v>0</v>
      </c>
      <c r="R980" s="2" t="inlineStr"/>
    </row>
    <row r="981" ht="15" customHeight="1">
      <c r="A981" t="inlineStr">
        <is>
          <t>A 24917-2024</t>
        </is>
      </c>
      <c r="B981" s="1" t="n">
        <v>45461</v>
      </c>
      <c r="C981" s="1" t="n">
        <v>45572</v>
      </c>
      <c r="D981" t="inlineStr">
        <is>
          <t>DALARNAS LÄN</t>
        </is>
      </c>
      <c r="E981" t="inlineStr">
        <is>
          <t>LEKSAND</t>
        </is>
      </c>
      <c r="G981" t="n">
        <v>3.7</v>
      </c>
      <c r="H981" t="n">
        <v>0</v>
      </c>
      <c r="I981" t="n">
        <v>0</v>
      </c>
      <c r="J981" t="n">
        <v>0</v>
      </c>
      <c r="K981" t="n">
        <v>0</v>
      </c>
      <c r="L981" t="n">
        <v>0</v>
      </c>
      <c r="M981" t="n">
        <v>0</v>
      </c>
      <c r="N981" t="n">
        <v>0</v>
      </c>
      <c r="O981" t="n">
        <v>0</v>
      </c>
      <c r="P981" t="n">
        <v>0</v>
      </c>
      <c r="Q981" t="n">
        <v>0</v>
      </c>
      <c r="R981" s="2" t="inlineStr"/>
    </row>
    <row r="982" ht="15" customHeight="1">
      <c r="A982" t="inlineStr">
        <is>
          <t>A 24919-2024</t>
        </is>
      </c>
      <c r="B982" s="1" t="n">
        <v>45461</v>
      </c>
      <c r="C982" s="1" t="n">
        <v>45572</v>
      </c>
      <c r="D982" t="inlineStr">
        <is>
          <t>DALARNAS LÄN</t>
        </is>
      </c>
      <c r="E982" t="inlineStr">
        <is>
          <t>LEKSAND</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45572</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45572</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25105-2024</t>
        </is>
      </c>
      <c r="B985" s="1" t="n">
        <v>45462</v>
      </c>
      <c r="C985" s="1" t="n">
        <v>45572</v>
      </c>
      <c r="D985" t="inlineStr">
        <is>
          <t>DALARNAS LÄN</t>
        </is>
      </c>
      <c r="E985" t="inlineStr">
        <is>
          <t>LEKSAND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25047-2024</t>
        </is>
      </c>
      <c r="B986" s="1" t="n">
        <v>45462</v>
      </c>
      <c r="C986" s="1" t="n">
        <v>45572</v>
      </c>
      <c r="D986" t="inlineStr">
        <is>
          <t>DALARNAS LÄN</t>
        </is>
      </c>
      <c r="E986" t="inlineStr">
        <is>
          <t>LEKSAND</t>
        </is>
      </c>
      <c r="G986" t="n">
        <v>0.6</v>
      </c>
      <c r="H986" t="n">
        <v>0</v>
      </c>
      <c r="I986" t="n">
        <v>0</v>
      </c>
      <c r="J986" t="n">
        <v>0</v>
      </c>
      <c r="K986" t="n">
        <v>0</v>
      </c>
      <c r="L986" t="n">
        <v>0</v>
      </c>
      <c r="M986" t="n">
        <v>0</v>
      </c>
      <c r="N986" t="n">
        <v>0</v>
      </c>
      <c r="O986" t="n">
        <v>0</v>
      </c>
      <c r="P986" t="n">
        <v>0</v>
      </c>
      <c r="Q986" t="n">
        <v>0</v>
      </c>
      <c r="R986" s="2" t="inlineStr"/>
    </row>
    <row r="987" ht="15" customHeight="1">
      <c r="A987" t="inlineStr">
        <is>
          <t>A 25048-2024</t>
        </is>
      </c>
      <c r="B987" s="1" t="n">
        <v>45462</v>
      </c>
      <c r="C987" s="1" t="n">
        <v>45572</v>
      </c>
      <c r="D987" t="inlineStr">
        <is>
          <t>DALARNAS LÄN</t>
        </is>
      </c>
      <c r="E987" t="inlineStr">
        <is>
          <t>LEKSAND</t>
        </is>
      </c>
      <c r="G987" t="n">
        <v>2.7</v>
      </c>
      <c r="H987" t="n">
        <v>0</v>
      </c>
      <c r="I987" t="n">
        <v>0</v>
      </c>
      <c r="J987" t="n">
        <v>0</v>
      </c>
      <c r="K987" t="n">
        <v>0</v>
      </c>
      <c r="L987" t="n">
        <v>0</v>
      </c>
      <c r="M987" t="n">
        <v>0</v>
      </c>
      <c r="N987" t="n">
        <v>0</v>
      </c>
      <c r="O987" t="n">
        <v>0</v>
      </c>
      <c r="P987" t="n">
        <v>0</v>
      </c>
      <c r="Q987" t="n">
        <v>0</v>
      </c>
      <c r="R987" s="2" t="inlineStr"/>
    </row>
    <row r="988" ht="15" customHeight="1">
      <c r="A988" t="inlineStr">
        <is>
          <t>A 25251-2024</t>
        </is>
      </c>
      <c r="B988" s="1" t="n">
        <v>45462</v>
      </c>
      <c r="C988" s="1" t="n">
        <v>45572</v>
      </c>
      <c r="D988" t="inlineStr">
        <is>
          <t>DALARNAS LÄN</t>
        </is>
      </c>
      <c r="E988" t="inlineStr">
        <is>
          <t>LEKSAND</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25109-2024</t>
        </is>
      </c>
      <c r="B989" s="1" t="n">
        <v>45462</v>
      </c>
      <c r="C989" s="1" t="n">
        <v>45572</v>
      </c>
      <c r="D989" t="inlineStr">
        <is>
          <t>DALARNAS LÄN</t>
        </is>
      </c>
      <c r="E989" t="inlineStr">
        <is>
          <t>LEKSAND</t>
        </is>
      </c>
      <c r="G989" t="n">
        <v>3.2</v>
      </c>
      <c r="H989" t="n">
        <v>0</v>
      </c>
      <c r="I989" t="n">
        <v>0</v>
      </c>
      <c r="J989" t="n">
        <v>0</v>
      </c>
      <c r="K989" t="n">
        <v>0</v>
      </c>
      <c r="L989" t="n">
        <v>0</v>
      </c>
      <c r="M989" t="n">
        <v>0</v>
      </c>
      <c r="N989" t="n">
        <v>0</v>
      </c>
      <c r="O989" t="n">
        <v>0</v>
      </c>
      <c r="P989" t="n">
        <v>0</v>
      </c>
      <c r="Q989" t="n">
        <v>0</v>
      </c>
      <c r="R989" s="2" t="inlineStr"/>
    </row>
    <row r="990" ht="15" customHeight="1">
      <c r="A990" t="inlineStr">
        <is>
          <t>A 25042-2024</t>
        </is>
      </c>
      <c r="B990" s="1" t="n">
        <v>45462</v>
      </c>
      <c r="C990" s="1" t="n">
        <v>45572</v>
      </c>
      <c r="D990" t="inlineStr">
        <is>
          <t>DALARNAS LÄN</t>
        </is>
      </c>
      <c r="E990" t="inlineStr">
        <is>
          <t>LEKSAND</t>
        </is>
      </c>
      <c r="G990" t="n">
        <v>3.5</v>
      </c>
      <c r="H990" t="n">
        <v>0</v>
      </c>
      <c r="I990" t="n">
        <v>0</v>
      </c>
      <c r="J990" t="n">
        <v>0</v>
      </c>
      <c r="K990" t="n">
        <v>0</v>
      </c>
      <c r="L990" t="n">
        <v>0</v>
      </c>
      <c r="M990" t="n">
        <v>0</v>
      </c>
      <c r="N990" t="n">
        <v>0</v>
      </c>
      <c r="O990" t="n">
        <v>0</v>
      </c>
      <c r="P990" t="n">
        <v>0</v>
      </c>
      <c r="Q990" t="n">
        <v>0</v>
      </c>
      <c r="R990" s="2" t="inlineStr"/>
    </row>
    <row r="991" ht="15" customHeight="1">
      <c r="A991" t="inlineStr">
        <is>
          <t>A 25921-2024</t>
        </is>
      </c>
      <c r="B991" s="1" t="n">
        <v>45467</v>
      </c>
      <c r="C991" s="1" t="n">
        <v>45572</v>
      </c>
      <c r="D991" t="inlineStr">
        <is>
          <t>DALARNAS LÄN</t>
        </is>
      </c>
      <c r="E991" t="inlineStr">
        <is>
          <t>LEKSAND</t>
        </is>
      </c>
      <c r="G991" t="n">
        <v>2.8</v>
      </c>
      <c r="H991" t="n">
        <v>0</v>
      </c>
      <c r="I991" t="n">
        <v>0</v>
      </c>
      <c r="J991" t="n">
        <v>0</v>
      </c>
      <c r="K991" t="n">
        <v>0</v>
      </c>
      <c r="L991" t="n">
        <v>0</v>
      </c>
      <c r="M991" t="n">
        <v>0</v>
      </c>
      <c r="N991" t="n">
        <v>0</v>
      </c>
      <c r="O991" t="n">
        <v>0</v>
      </c>
      <c r="P991" t="n">
        <v>0</v>
      </c>
      <c r="Q991" t="n">
        <v>0</v>
      </c>
      <c r="R991" s="2" t="inlineStr"/>
    </row>
    <row r="992" ht="15" customHeight="1">
      <c r="A992" t="inlineStr">
        <is>
          <t>A 26062-2024</t>
        </is>
      </c>
      <c r="B992" s="1" t="n">
        <v>45468</v>
      </c>
      <c r="C992" s="1" t="n">
        <v>45572</v>
      </c>
      <c r="D992" t="inlineStr">
        <is>
          <t>DALARNAS LÄN</t>
        </is>
      </c>
      <c r="E992" t="inlineStr">
        <is>
          <t>LEKSAND</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26680-2024</t>
        </is>
      </c>
      <c r="B993" s="1" t="n">
        <v>45470</v>
      </c>
      <c r="C993" s="1" t="n">
        <v>45572</v>
      </c>
      <c r="D993" t="inlineStr">
        <is>
          <t>DALARNAS LÄN</t>
        </is>
      </c>
      <c r="E993" t="inlineStr">
        <is>
          <t>LEKSAND</t>
        </is>
      </c>
      <c r="G993" t="n">
        <v>0.8</v>
      </c>
      <c r="H993" t="n">
        <v>0</v>
      </c>
      <c r="I993" t="n">
        <v>0</v>
      </c>
      <c r="J993" t="n">
        <v>0</v>
      </c>
      <c r="K993" t="n">
        <v>0</v>
      </c>
      <c r="L993" t="n">
        <v>0</v>
      </c>
      <c r="M993" t="n">
        <v>0</v>
      </c>
      <c r="N993" t="n">
        <v>0</v>
      </c>
      <c r="O993" t="n">
        <v>0</v>
      </c>
      <c r="P993" t="n">
        <v>0</v>
      </c>
      <c r="Q993" t="n">
        <v>0</v>
      </c>
      <c r="R993" s="2" t="inlineStr"/>
    </row>
    <row r="994" ht="15" customHeight="1">
      <c r="A994" t="inlineStr">
        <is>
          <t>A 27446-2024</t>
        </is>
      </c>
      <c r="B994" s="1" t="n">
        <v>45474</v>
      </c>
      <c r="C994" s="1" t="n">
        <v>45572</v>
      </c>
      <c r="D994" t="inlineStr">
        <is>
          <t>DALARNAS LÄN</t>
        </is>
      </c>
      <c r="E994" t="inlineStr">
        <is>
          <t>LEKSAND</t>
        </is>
      </c>
      <c r="G994" t="n">
        <v>2.9</v>
      </c>
      <c r="H994" t="n">
        <v>0</v>
      </c>
      <c r="I994" t="n">
        <v>0</v>
      </c>
      <c r="J994" t="n">
        <v>0</v>
      </c>
      <c r="K994" t="n">
        <v>0</v>
      </c>
      <c r="L994" t="n">
        <v>0</v>
      </c>
      <c r="M994" t="n">
        <v>0</v>
      </c>
      <c r="N994" t="n">
        <v>0</v>
      </c>
      <c r="O994" t="n">
        <v>0</v>
      </c>
      <c r="P994" t="n">
        <v>0</v>
      </c>
      <c r="Q994" t="n">
        <v>0</v>
      </c>
      <c r="R994" s="2" t="inlineStr"/>
    </row>
    <row r="995" ht="15" customHeight="1">
      <c r="A995" t="inlineStr">
        <is>
          <t>A 27445-2024</t>
        </is>
      </c>
      <c r="B995" s="1" t="n">
        <v>45474</v>
      </c>
      <c r="C995" s="1" t="n">
        <v>45572</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28032-2024</t>
        </is>
      </c>
      <c r="B996" s="1" t="n">
        <v>45476</v>
      </c>
      <c r="C996" s="1" t="n">
        <v>45572</v>
      </c>
      <c r="D996" t="inlineStr">
        <is>
          <t>DALARNAS LÄN</t>
        </is>
      </c>
      <c r="E996" t="inlineStr">
        <is>
          <t>LEKSAND</t>
        </is>
      </c>
      <c r="G996" t="n">
        <v>2</v>
      </c>
      <c r="H996" t="n">
        <v>0</v>
      </c>
      <c r="I996" t="n">
        <v>0</v>
      </c>
      <c r="J996" t="n">
        <v>0</v>
      </c>
      <c r="K996" t="n">
        <v>0</v>
      </c>
      <c r="L996" t="n">
        <v>0</v>
      </c>
      <c r="M996" t="n">
        <v>0</v>
      </c>
      <c r="N996" t="n">
        <v>0</v>
      </c>
      <c r="O996" t="n">
        <v>0</v>
      </c>
      <c r="P996" t="n">
        <v>0</v>
      </c>
      <c r="Q996" t="n">
        <v>0</v>
      </c>
      <c r="R996" s="2" t="inlineStr"/>
    </row>
    <row r="997" ht="15" customHeight="1">
      <c r="A997" t="inlineStr">
        <is>
          <t>A 28366-2024</t>
        </is>
      </c>
      <c r="B997" s="1" t="n">
        <v>45477</v>
      </c>
      <c r="C997" s="1" t="n">
        <v>45572</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28674-2024</t>
        </is>
      </c>
      <c r="B998" s="1" t="n">
        <v>45478</v>
      </c>
      <c r="C998" s="1" t="n">
        <v>45572</v>
      </c>
      <c r="D998" t="inlineStr">
        <is>
          <t>DALARNAS LÄN</t>
        </is>
      </c>
      <c r="E998" t="inlineStr">
        <is>
          <t>LEKSAND</t>
        </is>
      </c>
      <c r="G998" t="n">
        <v>4.9</v>
      </c>
      <c r="H998" t="n">
        <v>0</v>
      </c>
      <c r="I998" t="n">
        <v>0</v>
      </c>
      <c r="J998" t="n">
        <v>0</v>
      </c>
      <c r="K998" t="n">
        <v>0</v>
      </c>
      <c r="L998" t="n">
        <v>0</v>
      </c>
      <c r="M998" t="n">
        <v>0</v>
      </c>
      <c r="N998" t="n">
        <v>0</v>
      </c>
      <c r="O998" t="n">
        <v>0</v>
      </c>
      <c r="P998" t="n">
        <v>0</v>
      </c>
      <c r="Q998" t="n">
        <v>0</v>
      </c>
      <c r="R998" s="2" t="inlineStr"/>
    </row>
    <row r="999" ht="15" customHeight="1">
      <c r="A999" t="inlineStr">
        <is>
          <t>A 28920-2024</t>
        </is>
      </c>
      <c r="B999" s="1" t="n">
        <v>45480</v>
      </c>
      <c r="C999" s="1" t="n">
        <v>45572</v>
      </c>
      <c r="D999" t="inlineStr">
        <is>
          <t>DALARNAS LÄN</t>
        </is>
      </c>
      <c r="E999" t="inlineStr">
        <is>
          <t>LEKSAND</t>
        </is>
      </c>
      <c r="G999" t="n">
        <v>2.3</v>
      </c>
      <c r="H999" t="n">
        <v>0</v>
      </c>
      <c r="I999" t="n">
        <v>0</v>
      </c>
      <c r="J999" t="n">
        <v>0</v>
      </c>
      <c r="K999" t="n">
        <v>0</v>
      </c>
      <c r="L999" t="n">
        <v>0</v>
      </c>
      <c r="M999" t="n">
        <v>0</v>
      </c>
      <c r="N999" t="n">
        <v>0</v>
      </c>
      <c r="O999" t="n">
        <v>0</v>
      </c>
      <c r="P999" t="n">
        <v>0</v>
      </c>
      <c r="Q999" t="n">
        <v>0</v>
      </c>
      <c r="R999" s="2" t="inlineStr"/>
    </row>
    <row r="1000" ht="15" customHeight="1">
      <c r="A1000" t="inlineStr">
        <is>
          <t>A 28913-2024</t>
        </is>
      </c>
      <c r="B1000" s="1" t="n">
        <v>45480</v>
      </c>
      <c r="C1000" s="1" t="n">
        <v>45572</v>
      </c>
      <c r="D1000" t="inlineStr">
        <is>
          <t>DALARNAS LÄN</t>
        </is>
      </c>
      <c r="E1000" t="inlineStr">
        <is>
          <t>LEKSAND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28985-2024</t>
        </is>
      </c>
      <c r="B1001" s="1" t="n">
        <v>45481</v>
      </c>
      <c r="C1001" s="1" t="n">
        <v>45572</v>
      </c>
      <c r="D1001" t="inlineStr">
        <is>
          <t>DALARNAS LÄN</t>
        </is>
      </c>
      <c r="E1001" t="inlineStr">
        <is>
          <t>LEKSAND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29149-2024</t>
        </is>
      </c>
      <c r="B1002" s="1" t="n">
        <v>45482</v>
      </c>
      <c r="C1002" s="1" t="n">
        <v>45572</v>
      </c>
      <c r="D1002" t="inlineStr">
        <is>
          <t>DALARNAS LÄN</t>
        </is>
      </c>
      <c r="E1002" t="inlineStr">
        <is>
          <t>LEKSAND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29512-2024</t>
        </is>
      </c>
      <c r="B1003" s="1" t="n">
        <v>45484</v>
      </c>
      <c r="C1003" s="1" t="n">
        <v>45572</v>
      </c>
      <c r="D1003" t="inlineStr">
        <is>
          <t>DALARNAS LÄN</t>
        </is>
      </c>
      <c r="E1003" t="inlineStr">
        <is>
          <t>LEKSAND</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29518-2024</t>
        </is>
      </c>
      <c r="B1004" s="1" t="n">
        <v>45484</v>
      </c>
      <c r="C1004" s="1" t="n">
        <v>45572</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45572</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30201-2024</t>
        </is>
      </c>
      <c r="B1006" s="1" t="n">
        <v>45490</v>
      </c>
      <c r="C1006" s="1" t="n">
        <v>45572</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30198-2024</t>
        </is>
      </c>
      <c r="B1007" s="1" t="n">
        <v>45490</v>
      </c>
      <c r="C1007" s="1" t="n">
        <v>45572</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30670-2024</t>
        </is>
      </c>
      <c r="B1008" s="1" t="n">
        <v>45495</v>
      </c>
      <c r="C1008" s="1" t="n">
        <v>45572</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45572</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30860-2024</t>
        </is>
      </c>
      <c r="B1010" s="1" t="n">
        <v>45497</v>
      </c>
      <c r="C1010" s="1" t="n">
        <v>45572</v>
      </c>
      <c r="D1010" t="inlineStr">
        <is>
          <t>DALARNAS LÄN</t>
        </is>
      </c>
      <c r="E1010" t="inlineStr">
        <is>
          <t>LEKSAND</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30858-2024</t>
        </is>
      </c>
      <c r="B1011" s="1" t="n">
        <v>45497</v>
      </c>
      <c r="C1011" s="1" t="n">
        <v>45572</v>
      </c>
      <c r="D1011" t="inlineStr">
        <is>
          <t>DALARNAS LÄN</t>
        </is>
      </c>
      <c r="E1011" t="inlineStr">
        <is>
          <t>LEKSAND</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30863-2024</t>
        </is>
      </c>
      <c r="B1012" s="1" t="n">
        <v>45497</v>
      </c>
      <c r="C1012" s="1" t="n">
        <v>45572</v>
      </c>
      <c r="D1012" t="inlineStr">
        <is>
          <t>DALARNAS LÄN</t>
        </is>
      </c>
      <c r="E1012" t="inlineStr">
        <is>
          <t>LEKSAND</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31019-2024</t>
        </is>
      </c>
      <c r="B1013" s="1" t="n">
        <v>45499</v>
      </c>
      <c r="C1013" s="1" t="n">
        <v>45572</v>
      </c>
      <c r="D1013" t="inlineStr">
        <is>
          <t>DALARNAS LÄN</t>
        </is>
      </c>
      <c r="E1013" t="inlineStr">
        <is>
          <t>LEKSAND</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31123-2024</t>
        </is>
      </c>
      <c r="B1014" s="1" t="n">
        <v>45502</v>
      </c>
      <c r="C1014" s="1" t="n">
        <v>45572</v>
      </c>
      <c r="D1014" t="inlineStr">
        <is>
          <t>DALARNAS LÄN</t>
        </is>
      </c>
      <c r="E1014" t="inlineStr">
        <is>
          <t>LEKSAND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31292-2024</t>
        </is>
      </c>
      <c r="B1015" s="1" t="n">
        <v>45504</v>
      </c>
      <c r="C1015" s="1" t="n">
        <v>45572</v>
      </c>
      <c r="D1015" t="inlineStr">
        <is>
          <t>DALARNAS LÄN</t>
        </is>
      </c>
      <c r="E1015" t="inlineStr">
        <is>
          <t>LEKSAND</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31391-2024</t>
        </is>
      </c>
      <c r="B1016" s="1" t="n">
        <v>45505</v>
      </c>
      <c r="C1016" s="1" t="n">
        <v>45572</v>
      </c>
      <c r="D1016" t="inlineStr">
        <is>
          <t>DALARNAS LÄN</t>
        </is>
      </c>
      <c r="E1016" t="inlineStr">
        <is>
          <t>LEKSAND</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31726-2024</t>
        </is>
      </c>
      <c r="B1017" s="1" t="n">
        <v>45509</v>
      </c>
      <c r="C1017" s="1" t="n">
        <v>45572</v>
      </c>
      <c r="D1017" t="inlineStr">
        <is>
          <t>DALARNAS LÄN</t>
        </is>
      </c>
      <c r="E1017" t="inlineStr">
        <is>
          <t>LEKSAND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45572</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31728-2024</t>
        </is>
      </c>
      <c r="B1019" s="1" t="n">
        <v>45509</v>
      </c>
      <c r="C1019" s="1" t="n">
        <v>45572</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31720-2024</t>
        </is>
      </c>
      <c r="B1020" s="1" t="n">
        <v>45509</v>
      </c>
      <c r="C1020" s="1" t="n">
        <v>45572</v>
      </c>
      <c r="D1020" t="inlineStr">
        <is>
          <t>DALARNAS LÄN</t>
        </is>
      </c>
      <c r="E1020" t="inlineStr">
        <is>
          <t>LEKSAND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31850-2024</t>
        </is>
      </c>
      <c r="B1021" s="1" t="n">
        <v>45509</v>
      </c>
      <c r="C1021" s="1" t="n">
        <v>45572</v>
      </c>
      <c r="D1021" t="inlineStr">
        <is>
          <t>DALARNAS LÄN</t>
        </is>
      </c>
      <c r="E1021" t="inlineStr">
        <is>
          <t>LEKSAND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45572</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31918-2024</t>
        </is>
      </c>
      <c r="B1023" s="1" t="n">
        <v>45510</v>
      </c>
      <c r="C1023" s="1" t="n">
        <v>45572</v>
      </c>
      <c r="D1023" t="inlineStr">
        <is>
          <t>DALARNAS LÄN</t>
        </is>
      </c>
      <c r="E1023" t="inlineStr">
        <is>
          <t>LEKSAND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32073-2024</t>
        </is>
      </c>
      <c r="B1024" s="1" t="n">
        <v>45511</v>
      </c>
      <c r="C1024" s="1" t="n">
        <v>45572</v>
      </c>
      <c r="D1024" t="inlineStr">
        <is>
          <t>DALARNAS LÄN</t>
        </is>
      </c>
      <c r="E1024" t="inlineStr">
        <is>
          <t>LEKSAND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45572</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31915-2024</t>
        </is>
      </c>
      <c r="B1026" s="1" t="n">
        <v>45510</v>
      </c>
      <c r="C1026" s="1" t="n">
        <v>45572</v>
      </c>
      <c r="D1026" t="inlineStr">
        <is>
          <t>DALARNAS LÄN</t>
        </is>
      </c>
      <c r="E1026" t="inlineStr">
        <is>
          <t>LEKSAND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31971-2024</t>
        </is>
      </c>
      <c r="B1027" s="1" t="n">
        <v>45510</v>
      </c>
      <c r="C1027" s="1" t="n">
        <v>45572</v>
      </c>
      <c r="D1027" t="inlineStr">
        <is>
          <t>DALARNAS LÄN</t>
        </is>
      </c>
      <c r="E1027" t="inlineStr">
        <is>
          <t>LEKSAND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32394-2024</t>
        </is>
      </c>
      <c r="B1028" s="1" t="n">
        <v>45512</v>
      </c>
      <c r="C1028" s="1" t="n">
        <v>45572</v>
      </c>
      <c r="D1028" t="inlineStr">
        <is>
          <t>DALARNAS LÄN</t>
        </is>
      </c>
      <c r="E1028" t="inlineStr">
        <is>
          <t>LEKSAND</t>
        </is>
      </c>
      <c r="F1028" t="inlineStr">
        <is>
          <t>Bergvik skog väst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32494-2024</t>
        </is>
      </c>
      <c r="B1029" s="1" t="n">
        <v>45513</v>
      </c>
      <c r="C1029" s="1" t="n">
        <v>45572</v>
      </c>
      <c r="D1029" t="inlineStr">
        <is>
          <t>DALARNAS LÄN</t>
        </is>
      </c>
      <c r="E1029" t="inlineStr">
        <is>
          <t>LEKSAND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32689-2024</t>
        </is>
      </c>
      <c r="B1030" s="1" t="n">
        <v>45515</v>
      </c>
      <c r="C1030" s="1" t="n">
        <v>45572</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32688-2024</t>
        </is>
      </c>
      <c r="B1031" s="1" t="n">
        <v>45515</v>
      </c>
      <c r="C1031" s="1" t="n">
        <v>45572</v>
      </c>
      <c r="D1031" t="inlineStr">
        <is>
          <t>DALARNAS LÄN</t>
        </is>
      </c>
      <c r="E1031" t="inlineStr">
        <is>
          <t>LEKSAND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33182-2024</t>
        </is>
      </c>
      <c r="B1032" s="1" t="n">
        <v>45518</v>
      </c>
      <c r="C1032" s="1" t="n">
        <v>45572</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33138-2024</t>
        </is>
      </c>
      <c r="B1033" s="1" t="n">
        <v>45518</v>
      </c>
      <c r="C1033" s="1" t="n">
        <v>45572</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33180-2024</t>
        </is>
      </c>
      <c r="B1034" s="1" t="n">
        <v>45518</v>
      </c>
      <c r="C1034" s="1" t="n">
        <v>45572</v>
      </c>
      <c r="D1034" t="inlineStr">
        <is>
          <t>DALARNAS LÄN</t>
        </is>
      </c>
      <c r="E1034" t="inlineStr">
        <is>
          <t>LEKSAND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33147-2024</t>
        </is>
      </c>
      <c r="B1035" s="1" t="n">
        <v>45518</v>
      </c>
      <c r="C1035" s="1" t="n">
        <v>45572</v>
      </c>
      <c r="D1035" t="inlineStr">
        <is>
          <t>DALARNAS LÄN</t>
        </is>
      </c>
      <c r="E1035" t="inlineStr">
        <is>
          <t>LEKSAND</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33143-2024</t>
        </is>
      </c>
      <c r="B1036" s="1" t="n">
        <v>45518</v>
      </c>
      <c r="C1036" s="1" t="n">
        <v>45572</v>
      </c>
      <c r="D1036" t="inlineStr">
        <is>
          <t>DALARNAS LÄN</t>
        </is>
      </c>
      <c r="E1036" t="inlineStr">
        <is>
          <t>LEKSAND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33357-2024</t>
        </is>
      </c>
      <c r="B1037" s="1" t="n">
        <v>45519</v>
      </c>
      <c r="C1037" s="1" t="n">
        <v>45572</v>
      </c>
      <c r="D1037" t="inlineStr">
        <is>
          <t>DALARNAS LÄN</t>
        </is>
      </c>
      <c r="E1037" t="inlineStr">
        <is>
          <t>LEKSAND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33594-2024</t>
        </is>
      </c>
      <c r="B1038" s="1" t="n">
        <v>45520</v>
      </c>
      <c r="C1038" s="1" t="n">
        <v>45572</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33624-2024</t>
        </is>
      </c>
      <c r="B1039" s="1" t="n">
        <v>45520</v>
      </c>
      <c r="C1039" s="1" t="n">
        <v>45572</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33593-2024</t>
        </is>
      </c>
      <c r="B1040" s="1" t="n">
        <v>45520</v>
      </c>
      <c r="C1040" s="1" t="n">
        <v>45572</v>
      </c>
      <c r="D1040" t="inlineStr">
        <is>
          <t>DALARNAS LÄN</t>
        </is>
      </c>
      <c r="E1040" t="inlineStr">
        <is>
          <t>LEKSAND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33695-2024</t>
        </is>
      </c>
      <c r="B1041" s="1" t="n">
        <v>45520</v>
      </c>
      <c r="C1041" s="1" t="n">
        <v>45572</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33709-2024</t>
        </is>
      </c>
      <c r="B1042" s="1" t="n">
        <v>45520</v>
      </c>
      <c r="C1042" s="1" t="n">
        <v>45572</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33712-2024</t>
        </is>
      </c>
      <c r="B1043" s="1" t="n">
        <v>45520</v>
      </c>
      <c r="C1043" s="1" t="n">
        <v>45572</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33702-2024</t>
        </is>
      </c>
      <c r="B1044" s="1" t="n">
        <v>45520</v>
      </c>
      <c r="C1044" s="1" t="n">
        <v>45572</v>
      </c>
      <c r="D1044" t="inlineStr">
        <is>
          <t>DALARNAS LÄN</t>
        </is>
      </c>
      <c r="E1044" t="inlineStr">
        <is>
          <t>LEKSAND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33884-2024</t>
        </is>
      </c>
      <c r="B1045" s="1" t="n">
        <v>45522</v>
      </c>
      <c r="C1045" s="1" t="n">
        <v>45572</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33900-2024</t>
        </is>
      </c>
      <c r="B1046" s="1" t="n">
        <v>45523</v>
      </c>
      <c r="C1046" s="1" t="n">
        <v>45572</v>
      </c>
      <c r="D1046" t="inlineStr">
        <is>
          <t>DALARNAS LÄN</t>
        </is>
      </c>
      <c r="E1046" t="inlineStr">
        <is>
          <t>LEKSAND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33957-2024</t>
        </is>
      </c>
      <c r="B1047" s="1" t="n">
        <v>45523</v>
      </c>
      <c r="C1047" s="1" t="n">
        <v>45572</v>
      </c>
      <c r="D1047" t="inlineStr">
        <is>
          <t>DALARNAS LÄN</t>
        </is>
      </c>
      <c r="E1047" t="inlineStr">
        <is>
          <t>LEKSAND</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34038-2024</t>
        </is>
      </c>
      <c r="B1048" s="1" t="n">
        <v>45523</v>
      </c>
      <c r="C1048" s="1" t="n">
        <v>45572</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34039-2024</t>
        </is>
      </c>
      <c r="B1049" s="1" t="n">
        <v>45523</v>
      </c>
      <c r="C1049" s="1" t="n">
        <v>45572</v>
      </c>
      <c r="D1049" t="inlineStr">
        <is>
          <t>DALARNAS LÄN</t>
        </is>
      </c>
      <c r="E1049" t="inlineStr">
        <is>
          <t>LEKSAND</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34033-2024</t>
        </is>
      </c>
      <c r="B1050" s="1" t="n">
        <v>45523</v>
      </c>
      <c r="C1050" s="1" t="n">
        <v>45572</v>
      </c>
      <c r="D1050" t="inlineStr">
        <is>
          <t>DALARNAS LÄN</t>
        </is>
      </c>
      <c r="E1050" t="inlineStr">
        <is>
          <t>LEKSAND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34041-2024</t>
        </is>
      </c>
      <c r="B1051" s="1" t="n">
        <v>45523</v>
      </c>
      <c r="C1051" s="1" t="n">
        <v>45572</v>
      </c>
      <c r="D1051" t="inlineStr">
        <is>
          <t>DALARNAS LÄN</t>
        </is>
      </c>
      <c r="E1051" t="inlineStr">
        <is>
          <t>LEKSAND</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33977-2024</t>
        </is>
      </c>
      <c r="B1052" s="1" t="n">
        <v>45523</v>
      </c>
      <c r="C1052" s="1" t="n">
        <v>45572</v>
      </c>
      <c r="D1052" t="inlineStr">
        <is>
          <t>DALARNAS LÄN</t>
        </is>
      </c>
      <c r="E1052" t="inlineStr">
        <is>
          <t>LEKSAND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34109-2024</t>
        </is>
      </c>
      <c r="B1053" s="1" t="n">
        <v>45524</v>
      </c>
      <c r="C1053" s="1" t="n">
        <v>45572</v>
      </c>
      <c r="D1053" t="inlineStr">
        <is>
          <t>DALARNAS LÄN</t>
        </is>
      </c>
      <c r="E1053" t="inlineStr">
        <is>
          <t>LEKSAND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34244-2024</t>
        </is>
      </c>
      <c r="B1054" s="1" t="n">
        <v>45524</v>
      </c>
      <c r="C1054" s="1" t="n">
        <v>45572</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34347-2024</t>
        </is>
      </c>
      <c r="B1055" s="1" t="n">
        <v>45525</v>
      </c>
      <c r="C1055" s="1" t="n">
        <v>45572</v>
      </c>
      <c r="D1055" t="inlineStr">
        <is>
          <t>DALARNAS LÄN</t>
        </is>
      </c>
      <c r="E1055" t="inlineStr">
        <is>
          <t>LEKSAND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34585-2024</t>
        </is>
      </c>
      <c r="B1056" s="1" t="n">
        <v>45526</v>
      </c>
      <c r="C1056" s="1" t="n">
        <v>45572</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34778-2024</t>
        </is>
      </c>
      <c r="B1057" s="1" t="n">
        <v>45526</v>
      </c>
      <c r="C1057" s="1" t="n">
        <v>45572</v>
      </c>
      <c r="D1057" t="inlineStr">
        <is>
          <t>DALARNAS LÄN</t>
        </is>
      </c>
      <c r="E1057" t="inlineStr">
        <is>
          <t>LEKSAND</t>
        </is>
      </c>
      <c r="F1057" t="inlineStr">
        <is>
          <t>Bergvik skog väst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34954-2024</t>
        </is>
      </c>
      <c r="B1058" s="1" t="n">
        <v>45527</v>
      </c>
      <c r="C1058" s="1" t="n">
        <v>45572</v>
      </c>
      <c r="D1058" t="inlineStr">
        <is>
          <t>DALARNAS LÄN</t>
        </is>
      </c>
      <c r="E1058" t="inlineStr">
        <is>
          <t>LEKSAND</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35262-2024</t>
        </is>
      </c>
      <c r="B1059" s="1" t="n">
        <v>45530</v>
      </c>
      <c r="C1059" s="1" t="n">
        <v>45572</v>
      </c>
      <c r="D1059" t="inlineStr">
        <is>
          <t>DALARNAS LÄN</t>
        </is>
      </c>
      <c r="E1059" t="inlineStr">
        <is>
          <t>LEKSAND</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36534-2024</t>
        </is>
      </c>
      <c r="B1060" s="1" t="n">
        <v>45537</v>
      </c>
      <c r="C1060" s="1" t="n">
        <v>45572</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37952-2024</t>
        </is>
      </c>
      <c r="B1061" s="1" t="n">
        <v>45544</v>
      </c>
      <c r="C1061" s="1" t="n">
        <v>45572</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37850-2024</t>
        </is>
      </c>
      <c r="B1062" s="1" t="n">
        <v>45544</v>
      </c>
      <c r="C1062" s="1" t="n">
        <v>45572</v>
      </c>
      <c r="D1062" t="inlineStr">
        <is>
          <t>DALARNAS LÄN</t>
        </is>
      </c>
      <c r="E1062" t="inlineStr">
        <is>
          <t>LEKSAND</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38330-2024</t>
        </is>
      </c>
      <c r="B1063" s="1" t="n">
        <v>45545</v>
      </c>
      <c r="C1063" s="1" t="n">
        <v>45572</v>
      </c>
      <c r="D1063" t="inlineStr">
        <is>
          <t>DALARNAS LÄN</t>
        </is>
      </c>
      <c r="E1063" t="inlineStr">
        <is>
          <t>LEKSAND</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38617-2024</t>
        </is>
      </c>
      <c r="B1064" s="1" t="n">
        <v>45546</v>
      </c>
      <c r="C1064" s="1" t="n">
        <v>45572</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39126-2024</t>
        </is>
      </c>
      <c r="B1065" s="1" t="n">
        <v>45548</v>
      </c>
      <c r="C1065" s="1" t="n">
        <v>45572</v>
      </c>
      <c r="D1065" t="inlineStr">
        <is>
          <t>DALARNAS LÄN</t>
        </is>
      </c>
      <c r="E1065" t="inlineStr">
        <is>
          <t>LEKSAND</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39416-2024</t>
        </is>
      </c>
      <c r="B1066" s="1" t="n">
        <v>45551</v>
      </c>
      <c r="C1066" s="1" t="n">
        <v>45572</v>
      </c>
      <c r="D1066" t="inlineStr">
        <is>
          <t>DALARNAS LÄN</t>
        </is>
      </c>
      <c r="E1066" t="inlineStr">
        <is>
          <t>LEKSAND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45572</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39620-2024</t>
        </is>
      </c>
      <c r="B1068" s="1" t="n">
        <v>45552</v>
      </c>
      <c r="C1068" s="1" t="n">
        <v>45572</v>
      </c>
      <c r="D1068" t="inlineStr">
        <is>
          <t>DALARNAS LÄN</t>
        </is>
      </c>
      <c r="E1068" t="inlineStr">
        <is>
          <t>LEKSAND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39807-2024</t>
        </is>
      </c>
      <c r="B1069" s="1" t="n">
        <v>45553</v>
      </c>
      <c r="C1069" s="1" t="n">
        <v>45572</v>
      </c>
      <c r="D1069" t="inlineStr">
        <is>
          <t>DALARNAS LÄN</t>
        </is>
      </c>
      <c r="E1069" t="inlineStr">
        <is>
          <t>LEKSAND</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45572</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45572</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45572</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40193-2024</t>
        </is>
      </c>
      <c r="B1073" s="1" t="n">
        <v>45554</v>
      </c>
      <c r="C1073" s="1" t="n">
        <v>45572</v>
      </c>
      <c r="D1073" t="inlineStr">
        <is>
          <t>DALARNAS LÄN</t>
        </is>
      </c>
      <c r="E1073" t="inlineStr">
        <is>
          <t>LEKSAND</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40523-2024</t>
        </is>
      </c>
      <c r="B1074" s="1" t="n">
        <v>45555</v>
      </c>
      <c r="C1074" s="1" t="n">
        <v>45572</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40755-2024</t>
        </is>
      </c>
      <c r="B1075" s="1" t="n">
        <v>45558</v>
      </c>
      <c r="C1075" s="1" t="n">
        <v>45572</v>
      </c>
      <c r="D1075" t="inlineStr">
        <is>
          <t>DALARNAS LÄN</t>
        </is>
      </c>
      <c r="E1075" t="inlineStr">
        <is>
          <t>LEKSAND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40746-2024</t>
        </is>
      </c>
      <c r="B1076" s="1" t="n">
        <v>45558</v>
      </c>
      <c r="C1076" s="1" t="n">
        <v>45572</v>
      </c>
      <c r="D1076" t="inlineStr">
        <is>
          <t>DALARNAS LÄN</t>
        </is>
      </c>
      <c r="E1076" t="inlineStr">
        <is>
          <t>LEKSAND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40752-2024</t>
        </is>
      </c>
      <c r="B1077" s="1" t="n">
        <v>45558</v>
      </c>
      <c r="C1077" s="1" t="n">
        <v>45572</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45572</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45572</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41015-2024</t>
        </is>
      </c>
      <c r="B1080" s="1" t="n">
        <v>45559</v>
      </c>
      <c r="C1080" s="1" t="n">
        <v>45572</v>
      </c>
      <c r="D1080" t="inlineStr">
        <is>
          <t>DALARNAS LÄN</t>
        </is>
      </c>
      <c r="E1080" t="inlineStr">
        <is>
          <t>LEKSAND</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45572</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41306-2024</t>
        </is>
      </c>
      <c r="B1082" s="1" t="n">
        <v>45559</v>
      </c>
      <c r="C1082" s="1" t="n">
        <v>45572</v>
      </c>
      <c r="D1082" t="inlineStr">
        <is>
          <t>DALARNAS LÄN</t>
        </is>
      </c>
      <c r="E1082" t="inlineStr">
        <is>
          <t>LEKSAND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45572</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41840-2024</t>
        </is>
      </c>
      <c r="B1084" s="1" t="n">
        <v>45561</v>
      </c>
      <c r="C1084" s="1" t="n">
        <v>45572</v>
      </c>
      <c r="D1084" t="inlineStr">
        <is>
          <t>DALARNAS LÄN</t>
        </is>
      </c>
      <c r="E1084" t="inlineStr">
        <is>
          <t>LEKSAND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41896-2024</t>
        </is>
      </c>
      <c r="B1085" s="1" t="n">
        <v>45561</v>
      </c>
      <c r="C1085" s="1" t="n">
        <v>45572</v>
      </c>
      <c r="D1085" t="inlineStr">
        <is>
          <t>DALARNAS LÄN</t>
        </is>
      </c>
      <c r="E1085" t="inlineStr">
        <is>
          <t>LEKSAND</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45572</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45572</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42125-2024</t>
        </is>
      </c>
      <c r="B1088" s="1" t="n">
        <v>45562</v>
      </c>
      <c r="C1088" s="1" t="n">
        <v>45572</v>
      </c>
      <c r="D1088" t="inlineStr">
        <is>
          <t>DALARNAS LÄN</t>
        </is>
      </c>
      <c r="E1088" t="inlineStr">
        <is>
          <t>LEKSAND</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42727-2024</t>
        </is>
      </c>
      <c r="B1089" s="1" t="n">
        <v>45566</v>
      </c>
      <c r="C1089" s="1" t="n">
        <v>45572</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42808-2024</t>
        </is>
      </c>
      <c r="B1090" s="1" t="n">
        <v>45566</v>
      </c>
      <c r="C1090" s="1" t="n">
        <v>45572</v>
      </c>
      <c r="D1090" t="inlineStr">
        <is>
          <t>DALARNAS LÄN</t>
        </is>
      </c>
      <c r="E1090" t="inlineStr">
        <is>
          <t>LEKSAND</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43077-2024</t>
        </is>
      </c>
      <c r="B1091" s="1" t="n">
        <v>45567</v>
      </c>
      <c r="C1091" s="1" t="n">
        <v>45572</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43142-2024</t>
        </is>
      </c>
      <c r="B1092" s="1" t="n">
        <v>45567</v>
      </c>
      <c r="C1092" s="1" t="n">
        <v>45572</v>
      </c>
      <c r="D1092" t="inlineStr">
        <is>
          <t>DALARNAS LÄN</t>
        </is>
      </c>
      <c r="E1092" t="inlineStr">
        <is>
          <t>LEKSAND</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43220-2024</t>
        </is>
      </c>
      <c r="B1093" s="1" t="n">
        <v>45567</v>
      </c>
      <c r="C1093" s="1" t="n">
        <v>45572</v>
      </c>
      <c r="D1093" t="inlineStr">
        <is>
          <t>DALARNAS LÄN</t>
        </is>
      </c>
      <c r="E1093" t="inlineStr">
        <is>
          <t>LEKSAND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43222-2024</t>
        </is>
      </c>
      <c r="B1094" s="1" t="n">
        <v>45567</v>
      </c>
      <c r="C1094" s="1" t="n">
        <v>45572</v>
      </c>
      <c r="D1094" t="inlineStr">
        <is>
          <t>DALARNAS LÄN</t>
        </is>
      </c>
      <c r="E1094" t="inlineStr">
        <is>
          <t>LEKSAND</t>
        </is>
      </c>
      <c r="F1094" t="inlineStr">
        <is>
          <t>Bergvik skog väst AB</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43234-2024</t>
        </is>
      </c>
      <c r="B1095" s="1" t="n">
        <v>45568</v>
      </c>
      <c r="C1095" s="1" t="n">
        <v>45572</v>
      </c>
      <c r="D1095" t="inlineStr">
        <is>
          <t>DALARNAS LÄN</t>
        </is>
      </c>
      <c r="E1095" t="inlineStr">
        <is>
          <t>LEKSAND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43231-2024</t>
        </is>
      </c>
      <c r="B1096" s="1" t="n">
        <v>45567</v>
      </c>
      <c r="C1096" s="1" t="n">
        <v>45572</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43221-2024</t>
        </is>
      </c>
      <c r="B1097" s="1" t="n">
        <v>45567</v>
      </c>
      <c r="C1097" s="1" t="n">
        <v>45572</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43233-2024</t>
        </is>
      </c>
      <c r="B1098" s="1" t="n">
        <v>45567</v>
      </c>
      <c r="C1098" s="1" t="n">
        <v>45572</v>
      </c>
      <c r="D1098" t="inlineStr">
        <is>
          <t>DALARNAS LÄN</t>
        </is>
      </c>
      <c r="E1098" t="inlineStr">
        <is>
          <t>LEKSAND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43237-2024</t>
        </is>
      </c>
      <c r="B1099" s="1" t="n">
        <v>45568</v>
      </c>
      <c r="C1099" s="1" t="n">
        <v>45572</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45572</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43331-2024</t>
        </is>
      </c>
      <c r="B1101" s="1" t="n">
        <v>45568</v>
      </c>
      <c r="C1101" s="1" t="n">
        <v>45572</v>
      </c>
      <c r="D1101" t="inlineStr">
        <is>
          <t>DALARNAS LÄN</t>
        </is>
      </c>
      <c r="E1101" t="inlineStr">
        <is>
          <t>LEKSAND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43412-2024</t>
        </is>
      </c>
      <c r="B1102" s="1" t="n">
        <v>45568</v>
      </c>
      <c r="C1102" s="1" t="n">
        <v>45572</v>
      </c>
      <c r="D1102" t="inlineStr">
        <is>
          <t>DALARNAS LÄN</t>
        </is>
      </c>
      <c r="E1102" t="inlineStr">
        <is>
          <t>LEKSAND</t>
        </is>
      </c>
      <c r="G1102" t="n">
        <v>3.4</v>
      </c>
      <c r="H1102" t="n">
        <v>0</v>
      </c>
      <c r="I1102" t="n">
        <v>0</v>
      </c>
      <c r="J1102" t="n">
        <v>0</v>
      </c>
      <c r="K1102" t="n">
        <v>0</v>
      </c>
      <c r="L1102" t="n">
        <v>0</v>
      </c>
      <c r="M1102" t="n">
        <v>0</v>
      </c>
      <c r="N1102" t="n">
        <v>0</v>
      </c>
      <c r="O1102" t="n">
        <v>0</v>
      </c>
      <c r="P1102" t="n">
        <v>0</v>
      </c>
      <c r="Q1102" t="n">
        <v>0</v>
      </c>
      <c r="R1102" s="2" t="inlineStr"/>
    </row>
    <row r="1103">
      <c r="A1103" t="inlineStr">
        <is>
          <t>A 43470-2024</t>
        </is>
      </c>
      <c r="B1103" s="1" t="n">
        <v>45568</v>
      </c>
      <c r="C1103" s="1" t="n">
        <v>45572</v>
      </c>
      <c r="D1103" t="inlineStr">
        <is>
          <t>DALARNAS LÄN</t>
        </is>
      </c>
      <c r="E1103" t="inlineStr">
        <is>
          <t>LEKSAND</t>
        </is>
      </c>
      <c r="G1103" t="n">
        <v>3.1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2024-10-07T12:46:43Z</dcterms:created>
  <dcterms:modified xmlns:dcterms="http://purl.org/dc/terms/" xmlns:xsi="http://www.w3.org/2001/XMLSchema-instance" xsi:type="dcterms:W3CDTF">2024-10-07T12:46:44Z</dcterms:modified>
</cp:coreProperties>
</file>