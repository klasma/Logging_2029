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45754</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45754</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45754</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45754</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45754</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45754</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45754</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45754</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45754</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45754</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45754</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45754</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45754</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45754</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45754</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45754</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45754</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45754</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45754</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45754</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45754</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45754</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45754</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45754</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45754</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45754</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45754</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45754</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45754</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45754</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45754</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45754</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45754</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45754</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36306-2020</t>
        </is>
      </c>
      <c r="B36" s="1" t="n">
        <v>44049</v>
      </c>
      <c r="C36" s="1" t="n">
        <v>45754</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45754</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45754</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45754</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45754</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45754</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45754</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45754</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45754</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45754</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45754</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45754</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45754</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45754</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45754</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45754</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45754</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45754</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45754</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45754</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45754</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45754</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45754</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45754</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45754</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45754</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45754</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45754</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45754</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45754</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17822-2019</t>
        </is>
      </c>
      <c r="B66" s="1" t="n">
        <v>43556</v>
      </c>
      <c r="C66" s="1" t="n">
        <v>45754</v>
      </c>
      <c r="D66" t="inlineStr">
        <is>
          <t>DALARNAS LÄN</t>
        </is>
      </c>
      <c r="E66" t="inlineStr">
        <is>
          <t>LEKSAND</t>
        </is>
      </c>
      <c r="G66" t="n">
        <v>0.8</v>
      </c>
      <c r="H66" t="n">
        <v>0</v>
      </c>
      <c r="I66" t="n">
        <v>0</v>
      </c>
      <c r="J66" t="n">
        <v>0</v>
      </c>
      <c r="K66" t="n">
        <v>0</v>
      </c>
      <c r="L66" t="n">
        <v>0</v>
      </c>
      <c r="M66" t="n">
        <v>0</v>
      </c>
      <c r="N66" t="n">
        <v>0</v>
      </c>
      <c r="O66" t="n">
        <v>0</v>
      </c>
      <c r="P66" t="n">
        <v>0</v>
      </c>
      <c r="Q66" t="n">
        <v>0</v>
      </c>
      <c r="R66" s="2" t="inlineStr"/>
    </row>
    <row r="67" ht="15" customHeight="1">
      <c r="A67" t="inlineStr">
        <is>
          <t>A 17967-2019</t>
        </is>
      </c>
      <c r="B67" s="1" t="n">
        <v>43557</v>
      </c>
      <c r="C67" s="1" t="n">
        <v>45754</v>
      </c>
      <c r="D67" t="inlineStr">
        <is>
          <t>DALARNAS LÄN</t>
        </is>
      </c>
      <c r="E67" t="inlineStr">
        <is>
          <t>LEKSAND</t>
        </is>
      </c>
      <c r="G67" t="n">
        <v>0.6</v>
      </c>
      <c r="H67" t="n">
        <v>0</v>
      </c>
      <c r="I67" t="n">
        <v>0</v>
      </c>
      <c r="J67" t="n">
        <v>0</v>
      </c>
      <c r="K67" t="n">
        <v>0</v>
      </c>
      <c r="L67" t="n">
        <v>0</v>
      </c>
      <c r="M67" t="n">
        <v>0</v>
      </c>
      <c r="N67" t="n">
        <v>0</v>
      </c>
      <c r="O67" t="n">
        <v>0</v>
      </c>
      <c r="P67" t="n">
        <v>0</v>
      </c>
      <c r="Q67" t="n">
        <v>0</v>
      </c>
      <c r="R67" s="2" t="inlineStr"/>
    </row>
    <row r="68" ht="15" customHeight="1">
      <c r="A68" t="inlineStr">
        <is>
          <t>A 17970-2019</t>
        </is>
      </c>
      <c r="B68" s="1" t="n">
        <v>43557</v>
      </c>
      <c r="C68" s="1" t="n">
        <v>45754</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18238-2019</t>
        </is>
      </c>
      <c r="B69" s="1" t="n">
        <v>43558</v>
      </c>
      <c r="C69" s="1" t="n">
        <v>45754</v>
      </c>
      <c r="D69" t="inlineStr">
        <is>
          <t>DALARNAS LÄN</t>
        </is>
      </c>
      <c r="E69" t="inlineStr">
        <is>
          <t>LEKSAND</t>
        </is>
      </c>
      <c r="G69" t="n">
        <v>3.3</v>
      </c>
      <c r="H69" t="n">
        <v>0</v>
      </c>
      <c r="I69" t="n">
        <v>0</v>
      </c>
      <c r="J69" t="n">
        <v>0</v>
      </c>
      <c r="K69" t="n">
        <v>0</v>
      </c>
      <c r="L69" t="n">
        <v>0</v>
      </c>
      <c r="M69" t="n">
        <v>0</v>
      </c>
      <c r="N69" t="n">
        <v>0</v>
      </c>
      <c r="O69" t="n">
        <v>0</v>
      </c>
      <c r="P69" t="n">
        <v>0</v>
      </c>
      <c r="Q69" t="n">
        <v>0</v>
      </c>
      <c r="R69" s="2" t="inlineStr"/>
    </row>
    <row r="70" ht="15" customHeight="1">
      <c r="A70" t="inlineStr">
        <is>
          <t>A 19703-2019</t>
        </is>
      </c>
      <c r="B70" s="1" t="n">
        <v>43566</v>
      </c>
      <c r="C70" s="1" t="n">
        <v>45754</v>
      </c>
      <c r="D70" t="inlineStr">
        <is>
          <t>DALARNAS LÄN</t>
        </is>
      </c>
      <c r="E70" t="inlineStr">
        <is>
          <t>LEKSAND</t>
        </is>
      </c>
      <c r="G70" t="n">
        <v>0.4</v>
      </c>
      <c r="H70" t="n">
        <v>0</v>
      </c>
      <c r="I70" t="n">
        <v>0</v>
      </c>
      <c r="J70" t="n">
        <v>0</v>
      </c>
      <c r="K70" t="n">
        <v>0</v>
      </c>
      <c r="L70" t="n">
        <v>0</v>
      </c>
      <c r="M70" t="n">
        <v>0</v>
      </c>
      <c r="N70" t="n">
        <v>0</v>
      </c>
      <c r="O70" t="n">
        <v>0</v>
      </c>
      <c r="P70" t="n">
        <v>0</v>
      </c>
      <c r="Q70" t="n">
        <v>0</v>
      </c>
      <c r="R70" s="2" t="inlineStr"/>
    </row>
    <row r="71" ht="15" customHeight="1">
      <c r="A71" t="inlineStr">
        <is>
          <t>A 19790-2019</t>
        </is>
      </c>
      <c r="B71" s="1" t="n">
        <v>43566</v>
      </c>
      <c r="C71" s="1" t="n">
        <v>45754</v>
      </c>
      <c r="D71" t="inlineStr">
        <is>
          <t>DALARNAS LÄN</t>
        </is>
      </c>
      <c r="E71" t="inlineStr">
        <is>
          <t>LEKSAND</t>
        </is>
      </c>
      <c r="G71" t="n">
        <v>11.4</v>
      </c>
      <c r="H71" t="n">
        <v>0</v>
      </c>
      <c r="I71" t="n">
        <v>0</v>
      </c>
      <c r="J71" t="n">
        <v>0</v>
      </c>
      <c r="K71" t="n">
        <v>0</v>
      </c>
      <c r="L71" t="n">
        <v>0</v>
      </c>
      <c r="M71" t="n">
        <v>0</v>
      </c>
      <c r="N71" t="n">
        <v>0</v>
      </c>
      <c r="O71" t="n">
        <v>0</v>
      </c>
      <c r="P71" t="n">
        <v>0</v>
      </c>
      <c r="Q71" t="n">
        <v>0</v>
      </c>
      <c r="R71" s="2" t="inlineStr"/>
    </row>
    <row r="72" ht="15" customHeight="1">
      <c r="A72" t="inlineStr">
        <is>
          <t>A 22975-2019</t>
        </is>
      </c>
      <c r="B72" s="1" t="n">
        <v>43591</v>
      </c>
      <c r="C72" s="1" t="n">
        <v>45754</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24300-2019</t>
        </is>
      </c>
      <c r="B73" s="1" t="n">
        <v>43598</v>
      </c>
      <c r="C73" s="1" t="n">
        <v>45754</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24051-2019</t>
        </is>
      </c>
      <c r="B74" s="1" t="n">
        <v>43598</v>
      </c>
      <c r="C74" s="1" t="n">
        <v>45754</v>
      </c>
      <c r="D74" t="inlineStr">
        <is>
          <t>DALARNAS LÄN</t>
        </is>
      </c>
      <c r="E74" t="inlineStr">
        <is>
          <t>LEKSAND</t>
        </is>
      </c>
      <c r="G74" t="n">
        <v>5.4</v>
      </c>
      <c r="H74" t="n">
        <v>0</v>
      </c>
      <c r="I74" t="n">
        <v>0</v>
      </c>
      <c r="J74" t="n">
        <v>0</v>
      </c>
      <c r="K74" t="n">
        <v>0</v>
      </c>
      <c r="L74" t="n">
        <v>0</v>
      </c>
      <c r="M74" t="n">
        <v>0</v>
      </c>
      <c r="N74" t="n">
        <v>0</v>
      </c>
      <c r="O74" t="n">
        <v>0</v>
      </c>
      <c r="P74" t="n">
        <v>0</v>
      </c>
      <c r="Q74" t="n">
        <v>0</v>
      </c>
      <c r="R74" s="2" t="inlineStr"/>
    </row>
    <row r="75" ht="15" customHeight="1">
      <c r="A75" t="inlineStr">
        <is>
          <t>A 24542-2019</t>
        </is>
      </c>
      <c r="B75" s="1" t="n">
        <v>43600</v>
      </c>
      <c r="C75" s="1" t="n">
        <v>45754</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32532-2019</t>
        </is>
      </c>
      <c r="B76" s="1" t="n">
        <v>43646</v>
      </c>
      <c r="C76" s="1" t="n">
        <v>45754</v>
      </c>
      <c r="D76" t="inlineStr">
        <is>
          <t>DALARNAS LÄN</t>
        </is>
      </c>
      <c r="E76" t="inlineStr">
        <is>
          <t>LEKSAND</t>
        </is>
      </c>
      <c r="G76" t="n">
        <v>3.1</v>
      </c>
      <c r="H76" t="n">
        <v>0</v>
      </c>
      <c r="I76" t="n">
        <v>0</v>
      </c>
      <c r="J76" t="n">
        <v>0</v>
      </c>
      <c r="K76" t="n">
        <v>0</v>
      </c>
      <c r="L76" t="n">
        <v>0</v>
      </c>
      <c r="M76" t="n">
        <v>0</v>
      </c>
      <c r="N76" t="n">
        <v>0</v>
      </c>
      <c r="O76" t="n">
        <v>0</v>
      </c>
      <c r="P76" t="n">
        <v>0</v>
      </c>
      <c r="Q76" t="n">
        <v>0</v>
      </c>
      <c r="R76" s="2" t="inlineStr"/>
    </row>
    <row r="77" ht="15" customHeight="1">
      <c r="A77" t="inlineStr">
        <is>
          <t>A 33903-2019</t>
        </is>
      </c>
      <c r="B77" s="1" t="n">
        <v>43654</v>
      </c>
      <c r="C77" s="1" t="n">
        <v>45754</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36014-2019</t>
        </is>
      </c>
      <c r="B78" s="1" t="n">
        <v>43657</v>
      </c>
      <c r="C78" s="1" t="n">
        <v>45754</v>
      </c>
      <c r="D78" t="inlineStr">
        <is>
          <t>DALARNAS LÄN</t>
        </is>
      </c>
      <c r="E78" t="inlineStr">
        <is>
          <t>LEKSAND</t>
        </is>
      </c>
      <c r="G78" t="n">
        <v>1.8</v>
      </c>
      <c r="H78" t="n">
        <v>0</v>
      </c>
      <c r="I78" t="n">
        <v>0</v>
      </c>
      <c r="J78" t="n">
        <v>0</v>
      </c>
      <c r="K78" t="n">
        <v>0</v>
      </c>
      <c r="L78" t="n">
        <v>0</v>
      </c>
      <c r="M78" t="n">
        <v>0</v>
      </c>
      <c r="N78" t="n">
        <v>0</v>
      </c>
      <c r="O78" t="n">
        <v>0</v>
      </c>
      <c r="P78" t="n">
        <v>0</v>
      </c>
      <c r="Q78" t="n">
        <v>0</v>
      </c>
      <c r="R78" s="2" t="inlineStr"/>
    </row>
    <row r="79" ht="15" customHeight="1">
      <c r="A79" t="inlineStr">
        <is>
          <t>A 36023-2019</t>
        </is>
      </c>
      <c r="B79" s="1" t="n">
        <v>43657</v>
      </c>
      <c r="C79" s="1" t="n">
        <v>45754</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36287-2019</t>
        </is>
      </c>
      <c r="B80" s="1" t="n">
        <v>43669</v>
      </c>
      <c r="C80" s="1" t="n">
        <v>45754</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37733-2019</t>
        </is>
      </c>
      <c r="B81" s="1" t="n">
        <v>43682</v>
      </c>
      <c r="C81" s="1" t="n">
        <v>45754</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37822-2019</t>
        </is>
      </c>
      <c r="B82" s="1" t="n">
        <v>43682</v>
      </c>
      <c r="C82" s="1" t="n">
        <v>45754</v>
      </c>
      <c r="D82" t="inlineStr">
        <is>
          <t>DALARNAS LÄN</t>
        </is>
      </c>
      <c r="E82" t="inlineStr">
        <is>
          <t>LEKSAND</t>
        </is>
      </c>
      <c r="G82" t="n">
        <v>8.9</v>
      </c>
      <c r="H82" t="n">
        <v>0</v>
      </c>
      <c r="I82" t="n">
        <v>0</v>
      </c>
      <c r="J82" t="n">
        <v>0</v>
      </c>
      <c r="K82" t="n">
        <v>0</v>
      </c>
      <c r="L82" t="n">
        <v>0</v>
      </c>
      <c r="M82" t="n">
        <v>0</v>
      </c>
      <c r="N82" t="n">
        <v>0</v>
      </c>
      <c r="O82" t="n">
        <v>0</v>
      </c>
      <c r="P82" t="n">
        <v>0</v>
      </c>
      <c r="Q82" t="n">
        <v>0</v>
      </c>
      <c r="R82" s="2" t="inlineStr"/>
    </row>
    <row r="83" ht="15" customHeight="1">
      <c r="A83" t="inlineStr">
        <is>
          <t>A 38350-2019</t>
        </is>
      </c>
      <c r="B83" s="1" t="n">
        <v>43685</v>
      </c>
      <c r="C83" s="1" t="n">
        <v>45754</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39025-2019</t>
        </is>
      </c>
      <c r="B84" s="1" t="n">
        <v>43689</v>
      </c>
      <c r="C84" s="1" t="n">
        <v>45754</v>
      </c>
      <c r="D84" t="inlineStr">
        <is>
          <t>DALARNAS LÄN</t>
        </is>
      </c>
      <c r="E84" t="inlineStr">
        <is>
          <t>LEKSAND</t>
        </is>
      </c>
      <c r="F84" t="inlineStr">
        <is>
          <t>Bergvik skog väst AB</t>
        </is>
      </c>
      <c r="G84" t="n">
        <v>10.1</v>
      </c>
      <c r="H84" t="n">
        <v>0</v>
      </c>
      <c r="I84" t="n">
        <v>0</v>
      </c>
      <c r="J84" t="n">
        <v>0</v>
      </c>
      <c r="K84" t="n">
        <v>0</v>
      </c>
      <c r="L84" t="n">
        <v>0</v>
      </c>
      <c r="M84" t="n">
        <v>0</v>
      </c>
      <c r="N84" t="n">
        <v>0</v>
      </c>
      <c r="O84" t="n">
        <v>0</v>
      </c>
      <c r="P84" t="n">
        <v>0</v>
      </c>
      <c r="Q84" t="n">
        <v>0</v>
      </c>
      <c r="R84" s="2" t="inlineStr"/>
    </row>
    <row r="85" ht="15" customHeight="1">
      <c r="A85" t="inlineStr">
        <is>
          <t>A 41329-2019</t>
        </is>
      </c>
      <c r="B85" s="1" t="n">
        <v>43698</v>
      </c>
      <c r="C85" s="1" t="n">
        <v>45754</v>
      </c>
      <c r="D85" t="inlineStr">
        <is>
          <t>DALARNAS LÄN</t>
        </is>
      </c>
      <c r="E85" t="inlineStr">
        <is>
          <t>LEKSAND</t>
        </is>
      </c>
      <c r="G85" t="n">
        <v>2</v>
      </c>
      <c r="H85" t="n">
        <v>0</v>
      </c>
      <c r="I85" t="n">
        <v>0</v>
      </c>
      <c r="J85" t="n">
        <v>0</v>
      </c>
      <c r="K85" t="n">
        <v>0</v>
      </c>
      <c r="L85" t="n">
        <v>0</v>
      </c>
      <c r="M85" t="n">
        <v>0</v>
      </c>
      <c r="N85" t="n">
        <v>0</v>
      </c>
      <c r="O85" t="n">
        <v>0</v>
      </c>
      <c r="P85" t="n">
        <v>0</v>
      </c>
      <c r="Q85" t="n">
        <v>0</v>
      </c>
      <c r="R85" s="2" t="inlineStr"/>
    </row>
    <row r="86" ht="15" customHeight="1">
      <c r="A86" t="inlineStr">
        <is>
          <t>A 43082-2019</t>
        </is>
      </c>
      <c r="B86" s="1" t="n">
        <v>43705</v>
      </c>
      <c r="C86" s="1" t="n">
        <v>45754</v>
      </c>
      <c r="D86" t="inlineStr">
        <is>
          <t>DALARNAS LÄN</t>
        </is>
      </c>
      <c r="E86" t="inlineStr">
        <is>
          <t>LEKSAND</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43887-2019</t>
        </is>
      </c>
      <c r="B87" s="1" t="n">
        <v>43707</v>
      </c>
      <c r="C87" s="1" t="n">
        <v>45754</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43884-2019</t>
        </is>
      </c>
      <c r="B88" s="1" t="n">
        <v>43707</v>
      </c>
      <c r="C88" s="1" t="n">
        <v>45754</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44058-2019</t>
        </is>
      </c>
      <c r="B89" s="1" t="n">
        <v>43710</v>
      </c>
      <c r="C89" s="1" t="n">
        <v>45754</v>
      </c>
      <c r="D89" t="inlineStr">
        <is>
          <t>DALARNAS LÄN</t>
        </is>
      </c>
      <c r="E89" t="inlineStr">
        <is>
          <t>LEKSAND</t>
        </is>
      </c>
      <c r="F89" t="inlineStr">
        <is>
          <t>Kyrkan</t>
        </is>
      </c>
      <c r="G89" t="n">
        <v>1.3</v>
      </c>
      <c r="H89" t="n">
        <v>0</v>
      </c>
      <c r="I89" t="n">
        <v>0</v>
      </c>
      <c r="J89" t="n">
        <v>0</v>
      </c>
      <c r="K89" t="n">
        <v>0</v>
      </c>
      <c r="L89" t="n">
        <v>0</v>
      </c>
      <c r="M89" t="n">
        <v>0</v>
      </c>
      <c r="N89" t="n">
        <v>0</v>
      </c>
      <c r="O89" t="n">
        <v>0</v>
      </c>
      <c r="P89" t="n">
        <v>0</v>
      </c>
      <c r="Q89" t="n">
        <v>0</v>
      </c>
      <c r="R89" s="2" t="inlineStr"/>
    </row>
    <row r="90" ht="15" customHeight="1">
      <c r="A90" t="inlineStr">
        <is>
          <t>A 45526-2019</t>
        </is>
      </c>
      <c r="B90" s="1" t="n">
        <v>43714</v>
      </c>
      <c r="C90" s="1" t="n">
        <v>45754</v>
      </c>
      <c r="D90" t="inlineStr">
        <is>
          <t>DALARNAS LÄN</t>
        </is>
      </c>
      <c r="E90" t="inlineStr">
        <is>
          <t>LEKSAND</t>
        </is>
      </c>
      <c r="F90" t="inlineStr">
        <is>
          <t>Bergvik skog väst AB</t>
        </is>
      </c>
      <c r="G90" t="n">
        <v>5.9</v>
      </c>
      <c r="H90" t="n">
        <v>0</v>
      </c>
      <c r="I90" t="n">
        <v>0</v>
      </c>
      <c r="J90" t="n">
        <v>0</v>
      </c>
      <c r="K90" t="n">
        <v>0</v>
      </c>
      <c r="L90" t="n">
        <v>0</v>
      </c>
      <c r="M90" t="n">
        <v>0</v>
      </c>
      <c r="N90" t="n">
        <v>0</v>
      </c>
      <c r="O90" t="n">
        <v>0</v>
      </c>
      <c r="P90" t="n">
        <v>0</v>
      </c>
      <c r="Q90" t="n">
        <v>0</v>
      </c>
      <c r="R90" s="2" t="inlineStr"/>
    </row>
    <row r="91" ht="15" customHeight="1">
      <c r="A91" t="inlineStr">
        <is>
          <t>A 45572-2019</t>
        </is>
      </c>
      <c r="B91" s="1" t="n">
        <v>43716</v>
      </c>
      <c r="C91" s="1" t="n">
        <v>45754</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46739-2019</t>
        </is>
      </c>
      <c r="B92" s="1" t="n">
        <v>43719</v>
      </c>
      <c r="C92" s="1" t="n">
        <v>45754</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46740-2019</t>
        </is>
      </c>
      <c r="B93" s="1" t="n">
        <v>43719</v>
      </c>
      <c r="C93" s="1" t="n">
        <v>45754</v>
      </c>
      <c r="D93" t="inlineStr">
        <is>
          <t>DALARNAS LÄN</t>
        </is>
      </c>
      <c r="E93" t="inlineStr">
        <is>
          <t>LEKSAND</t>
        </is>
      </c>
      <c r="G93" t="n">
        <v>0.3</v>
      </c>
      <c r="H93" t="n">
        <v>0</v>
      </c>
      <c r="I93" t="n">
        <v>0</v>
      </c>
      <c r="J93" t="n">
        <v>0</v>
      </c>
      <c r="K93" t="n">
        <v>0</v>
      </c>
      <c r="L93" t="n">
        <v>0</v>
      </c>
      <c r="M93" t="n">
        <v>0</v>
      </c>
      <c r="N93" t="n">
        <v>0</v>
      </c>
      <c r="O93" t="n">
        <v>0</v>
      </c>
      <c r="P93" t="n">
        <v>0</v>
      </c>
      <c r="Q93" t="n">
        <v>0</v>
      </c>
      <c r="R93" s="2" t="inlineStr"/>
    </row>
    <row r="94" ht="15" customHeight="1">
      <c r="A94" t="inlineStr">
        <is>
          <t>A 47532-2019</t>
        </is>
      </c>
      <c r="B94" s="1" t="n">
        <v>43724</v>
      </c>
      <c r="C94" s="1" t="n">
        <v>45754</v>
      </c>
      <c r="D94" t="inlineStr">
        <is>
          <t>DALARNAS LÄN</t>
        </is>
      </c>
      <c r="E94" t="inlineStr">
        <is>
          <t>LEKSAND</t>
        </is>
      </c>
      <c r="G94" t="n">
        <v>2.3</v>
      </c>
      <c r="H94" t="n">
        <v>0</v>
      </c>
      <c r="I94" t="n">
        <v>0</v>
      </c>
      <c r="J94" t="n">
        <v>0</v>
      </c>
      <c r="K94" t="n">
        <v>0</v>
      </c>
      <c r="L94" t="n">
        <v>0</v>
      </c>
      <c r="M94" t="n">
        <v>0</v>
      </c>
      <c r="N94" t="n">
        <v>0</v>
      </c>
      <c r="O94" t="n">
        <v>0</v>
      </c>
      <c r="P94" t="n">
        <v>0</v>
      </c>
      <c r="Q94" t="n">
        <v>0</v>
      </c>
      <c r="R94" s="2" t="inlineStr"/>
    </row>
    <row r="95" ht="15" customHeight="1">
      <c r="A95" t="inlineStr">
        <is>
          <t>A 49132-2019</t>
        </is>
      </c>
      <c r="B95" s="1" t="n">
        <v>43728</v>
      </c>
      <c r="C95" s="1" t="n">
        <v>45754</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51390-2019</t>
        </is>
      </c>
      <c r="B96" s="1" t="n">
        <v>43733</v>
      </c>
      <c r="C96" s="1" t="n">
        <v>45754</v>
      </c>
      <c r="D96" t="inlineStr">
        <is>
          <t>DALARNAS LÄN</t>
        </is>
      </c>
      <c r="E96" t="inlineStr">
        <is>
          <t>LEKSAND</t>
        </is>
      </c>
      <c r="G96" t="n">
        <v>4.7</v>
      </c>
      <c r="H96" t="n">
        <v>0</v>
      </c>
      <c r="I96" t="n">
        <v>0</v>
      </c>
      <c r="J96" t="n">
        <v>0</v>
      </c>
      <c r="K96" t="n">
        <v>0</v>
      </c>
      <c r="L96" t="n">
        <v>0</v>
      </c>
      <c r="M96" t="n">
        <v>0</v>
      </c>
      <c r="N96" t="n">
        <v>0</v>
      </c>
      <c r="O96" t="n">
        <v>0</v>
      </c>
      <c r="P96" t="n">
        <v>0</v>
      </c>
      <c r="Q96" t="n">
        <v>0</v>
      </c>
      <c r="R96" s="2" t="inlineStr"/>
    </row>
    <row r="97" ht="15" customHeight="1">
      <c r="A97" t="inlineStr">
        <is>
          <t>A 50532-2019</t>
        </is>
      </c>
      <c r="B97" s="1" t="n">
        <v>43735</v>
      </c>
      <c r="C97" s="1" t="n">
        <v>45754</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52130-2019</t>
        </is>
      </c>
      <c r="B98" s="1" t="n">
        <v>43735</v>
      </c>
      <c r="C98" s="1" t="n">
        <v>45754</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52827-2019</t>
        </is>
      </c>
      <c r="B99" s="1" t="n">
        <v>43746</v>
      </c>
      <c r="C99" s="1" t="n">
        <v>45754</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52957-2019</t>
        </is>
      </c>
      <c r="B100" s="1" t="n">
        <v>43747</v>
      </c>
      <c r="C100" s="1" t="n">
        <v>45754</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53553-2019</t>
        </is>
      </c>
      <c r="B101" s="1" t="n">
        <v>43749</v>
      </c>
      <c r="C101" s="1" t="n">
        <v>45754</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56844-2019</t>
        </is>
      </c>
      <c r="B102" s="1" t="n">
        <v>43765</v>
      </c>
      <c r="C102" s="1" t="n">
        <v>45754</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57221-2019</t>
        </is>
      </c>
      <c r="B103" s="1" t="n">
        <v>43767</v>
      </c>
      <c r="C103" s="1" t="n">
        <v>45754</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58237-2019</t>
        </is>
      </c>
      <c r="B104" s="1" t="n">
        <v>43770</v>
      </c>
      <c r="C104" s="1" t="n">
        <v>45754</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59714-2019</t>
        </is>
      </c>
      <c r="B105" s="1" t="n">
        <v>43776</v>
      </c>
      <c r="C105" s="1" t="n">
        <v>45754</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59721-2019</t>
        </is>
      </c>
      <c r="B106" s="1" t="n">
        <v>43776</v>
      </c>
      <c r="C106" s="1" t="n">
        <v>45754</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60809-2019</t>
        </is>
      </c>
      <c r="B107" s="1" t="n">
        <v>43780</v>
      </c>
      <c r="C107" s="1" t="n">
        <v>45754</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61111-2019</t>
        </is>
      </c>
      <c r="B108" s="1" t="n">
        <v>43782</v>
      </c>
      <c r="C108" s="1" t="n">
        <v>45754</v>
      </c>
      <c r="D108" t="inlineStr">
        <is>
          <t>DALARNAS LÄN</t>
        </is>
      </c>
      <c r="E108" t="inlineStr">
        <is>
          <t>LEKSAND</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61113-2019</t>
        </is>
      </c>
      <c r="B109" s="1" t="n">
        <v>43782</v>
      </c>
      <c r="C109" s="1" t="n">
        <v>45754</v>
      </c>
      <c r="D109" t="inlineStr">
        <is>
          <t>DALARNAS LÄN</t>
        </is>
      </c>
      <c r="E109" t="inlineStr">
        <is>
          <t>LEKSAND</t>
        </is>
      </c>
      <c r="F109" t="inlineStr">
        <is>
          <t>Bergvik skog väst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64635-2019</t>
        </is>
      </c>
      <c r="B110" s="1" t="n">
        <v>43794</v>
      </c>
      <c r="C110" s="1" t="n">
        <v>45754</v>
      </c>
      <c r="D110" t="inlineStr">
        <is>
          <t>DALARNAS LÄN</t>
        </is>
      </c>
      <c r="E110" t="inlineStr">
        <is>
          <t>LEKSAND</t>
        </is>
      </c>
      <c r="G110" t="n">
        <v>5.4</v>
      </c>
      <c r="H110" t="n">
        <v>0</v>
      </c>
      <c r="I110" t="n">
        <v>0</v>
      </c>
      <c r="J110" t="n">
        <v>0</v>
      </c>
      <c r="K110" t="n">
        <v>0</v>
      </c>
      <c r="L110" t="n">
        <v>0</v>
      </c>
      <c r="M110" t="n">
        <v>0</v>
      </c>
      <c r="N110" t="n">
        <v>0</v>
      </c>
      <c r="O110" t="n">
        <v>0</v>
      </c>
      <c r="P110" t="n">
        <v>0</v>
      </c>
      <c r="Q110" t="n">
        <v>0</v>
      </c>
      <c r="R110" s="2" t="inlineStr"/>
    </row>
    <row r="111" ht="15" customHeight="1">
      <c r="A111" t="inlineStr">
        <is>
          <t>A 66288-2019</t>
        </is>
      </c>
      <c r="B111" s="1" t="n">
        <v>43808</v>
      </c>
      <c r="C111" s="1" t="n">
        <v>45754</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66822-2019</t>
        </is>
      </c>
      <c r="B112" s="1" t="n">
        <v>43810</v>
      </c>
      <c r="C112" s="1" t="n">
        <v>45754</v>
      </c>
      <c r="D112" t="inlineStr">
        <is>
          <t>DALARNAS LÄN</t>
        </is>
      </c>
      <c r="E112" t="inlineStr">
        <is>
          <t>LEKSAND</t>
        </is>
      </c>
      <c r="G112" t="n">
        <v>5.2</v>
      </c>
      <c r="H112" t="n">
        <v>0</v>
      </c>
      <c r="I112" t="n">
        <v>0</v>
      </c>
      <c r="J112" t="n">
        <v>0</v>
      </c>
      <c r="K112" t="n">
        <v>0</v>
      </c>
      <c r="L112" t="n">
        <v>0</v>
      </c>
      <c r="M112" t="n">
        <v>0</v>
      </c>
      <c r="N112" t="n">
        <v>0</v>
      </c>
      <c r="O112" t="n">
        <v>0</v>
      </c>
      <c r="P112" t="n">
        <v>0</v>
      </c>
      <c r="Q112" t="n">
        <v>0</v>
      </c>
      <c r="R112" s="2" t="inlineStr"/>
    </row>
    <row r="113" ht="15" customHeight="1">
      <c r="A113" t="inlineStr">
        <is>
          <t>A 67123-2019</t>
        </is>
      </c>
      <c r="B113" s="1" t="n">
        <v>43811</v>
      </c>
      <c r="C113" s="1" t="n">
        <v>45754</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68808-2019</t>
        </is>
      </c>
      <c r="B114" s="1" t="n">
        <v>43815</v>
      </c>
      <c r="C114" s="1" t="n">
        <v>45754</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1604-2020</t>
        </is>
      </c>
      <c r="B115" s="1" t="n">
        <v>43829</v>
      </c>
      <c r="C115" s="1" t="n">
        <v>45754</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1915-2020</t>
        </is>
      </c>
      <c r="B116" s="1" t="n">
        <v>43837</v>
      </c>
      <c r="C116" s="1" t="n">
        <v>45754</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1778-2020</t>
        </is>
      </c>
      <c r="B117" s="1" t="n">
        <v>43844</v>
      </c>
      <c r="C117" s="1" t="n">
        <v>45754</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2670-2020</t>
        </is>
      </c>
      <c r="B118" s="1" t="n">
        <v>43849</v>
      </c>
      <c r="C118" s="1" t="n">
        <v>45754</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4479-2020</t>
        </is>
      </c>
      <c r="B119" s="1" t="n">
        <v>43850</v>
      </c>
      <c r="C119" s="1" t="n">
        <v>45754</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4004-2020</t>
        </is>
      </c>
      <c r="B120" s="1" t="n">
        <v>43856</v>
      </c>
      <c r="C120" s="1" t="n">
        <v>45754</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6002-2020</t>
        </is>
      </c>
      <c r="B121" s="1" t="n">
        <v>43864</v>
      </c>
      <c r="C121" s="1" t="n">
        <v>45754</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6017-2020</t>
        </is>
      </c>
      <c r="B122" s="1" t="n">
        <v>43864</v>
      </c>
      <c r="C122" s="1" t="n">
        <v>45754</v>
      </c>
      <c r="D122" t="inlineStr">
        <is>
          <t>DALARNAS LÄN</t>
        </is>
      </c>
      <c r="E122" t="inlineStr">
        <is>
          <t>LEKSAND</t>
        </is>
      </c>
      <c r="G122" t="n">
        <v>2.6</v>
      </c>
      <c r="H122" t="n">
        <v>0</v>
      </c>
      <c r="I122" t="n">
        <v>0</v>
      </c>
      <c r="J122" t="n">
        <v>0</v>
      </c>
      <c r="K122" t="n">
        <v>0</v>
      </c>
      <c r="L122" t="n">
        <v>0</v>
      </c>
      <c r="M122" t="n">
        <v>0</v>
      </c>
      <c r="N122" t="n">
        <v>0</v>
      </c>
      <c r="O122" t="n">
        <v>0</v>
      </c>
      <c r="P122" t="n">
        <v>0</v>
      </c>
      <c r="Q122" t="n">
        <v>0</v>
      </c>
      <c r="R122" s="2" t="inlineStr"/>
    </row>
    <row r="123" ht="15" customHeight="1">
      <c r="A123" t="inlineStr">
        <is>
          <t>A 6751-2020</t>
        </is>
      </c>
      <c r="B123" s="1" t="n">
        <v>43866</v>
      </c>
      <c r="C123" s="1" t="n">
        <v>45754</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7351-2020</t>
        </is>
      </c>
      <c r="B124" s="1" t="n">
        <v>43871</v>
      </c>
      <c r="C124" s="1" t="n">
        <v>45754</v>
      </c>
      <c r="D124" t="inlineStr">
        <is>
          <t>DALARNAS LÄN</t>
        </is>
      </c>
      <c r="E124" t="inlineStr">
        <is>
          <t>LEKSAND</t>
        </is>
      </c>
      <c r="F124" t="inlineStr">
        <is>
          <t>Bergvik skog väst AB</t>
        </is>
      </c>
      <c r="G124" t="n">
        <v>5.4</v>
      </c>
      <c r="H124" t="n">
        <v>0</v>
      </c>
      <c r="I124" t="n">
        <v>0</v>
      </c>
      <c r="J124" t="n">
        <v>0</v>
      </c>
      <c r="K124" t="n">
        <v>0</v>
      </c>
      <c r="L124" t="n">
        <v>0</v>
      </c>
      <c r="M124" t="n">
        <v>0</v>
      </c>
      <c r="N124" t="n">
        <v>0</v>
      </c>
      <c r="O124" t="n">
        <v>0</v>
      </c>
      <c r="P124" t="n">
        <v>0</v>
      </c>
      <c r="Q124" t="n">
        <v>0</v>
      </c>
      <c r="R124" s="2" t="inlineStr"/>
    </row>
    <row r="125" ht="15" customHeight="1">
      <c r="A125" t="inlineStr">
        <is>
          <t>A 7868-2020</t>
        </is>
      </c>
      <c r="B125" s="1" t="n">
        <v>43873</v>
      </c>
      <c r="C125" s="1" t="n">
        <v>45754</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9710-2020</t>
        </is>
      </c>
      <c r="B126" s="1" t="n">
        <v>43881</v>
      </c>
      <c r="C126" s="1" t="n">
        <v>45754</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11372-2020</t>
        </is>
      </c>
      <c r="B127" s="1" t="n">
        <v>43892</v>
      </c>
      <c r="C127" s="1" t="n">
        <v>45754</v>
      </c>
      <c r="D127" t="inlineStr">
        <is>
          <t>DALARNAS LÄN</t>
        </is>
      </c>
      <c r="E127" t="inlineStr">
        <is>
          <t>LEKSAND</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12176-2020</t>
        </is>
      </c>
      <c r="B128" s="1" t="n">
        <v>43895</v>
      </c>
      <c r="C128" s="1" t="n">
        <v>45754</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12247-2020</t>
        </is>
      </c>
      <c r="B129" s="1" t="n">
        <v>43895</v>
      </c>
      <c r="C129" s="1" t="n">
        <v>45754</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13340-2020</t>
        </is>
      </c>
      <c r="B130" s="1" t="n">
        <v>43902</v>
      </c>
      <c r="C130" s="1" t="n">
        <v>45754</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13356-2020</t>
        </is>
      </c>
      <c r="B131" s="1" t="n">
        <v>43902</v>
      </c>
      <c r="C131" s="1" t="n">
        <v>45754</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13352-2020</t>
        </is>
      </c>
      <c r="B132" s="1" t="n">
        <v>43902</v>
      </c>
      <c r="C132" s="1" t="n">
        <v>45754</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15165-2020</t>
        </is>
      </c>
      <c r="B133" s="1" t="n">
        <v>43912</v>
      </c>
      <c r="C133" s="1" t="n">
        <v>45754</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16288-2020</t>
        </is>
      </c>
      <c r="B134" s="1" t="n">
        <v>43917</v>
      </c>
      <c r="C134" s="1" t="n">
        <v>45754</v>
      </c>
      <c r="D134" t="inlineStr">
        <is>
          <t>DALARNAS LÄN</t>
        </is>
      </c>
      <c r="E134" t="inlineStr">
        <is>
          <t>LEKSAND</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18803-2020</t>
        </is>
      </c>
      <c r="B135" s="1" t="n">
        <v>43933</v>
      </c>
      <c r="C135" s="1" t="n">
        <v>45754</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19361-2020</t>
        </is>
      </c>
      <c r="B136" s="1" t="n">
        <v>43938</v>
      </c>
      <c r="C136" s="1" t="n">
        <v>45754</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21141-2020</t>
        </is>
      </c>
      <c r="B137" s="1" t="n">
        <v>43951</v>
      </c>
      <c r="C137" s="1" t="n">
        <v>45754</v>
      </c>
      <c r="D137" t="inlineStr">
        <is>
          <t>DALARNAS LÄN</t>
        </is>
      </c>
      <c r="E137" t="inlineStr">
        <is>
          <t>LEKSAND</t>
        </is>
      </c>
      <c r="F137" t="inlineStr">
        <is>
          <t>Bergvik skog väst AB</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22718-2020</t>
        </is>
      </c>
      <c r="B138" s="1" t="n">
        <v>43964</v>
      </c>
      <c r="C138" s="1" t="n">
        <v>45754</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24207-2020</t>
        </is>
      </c>
      <c r="B139" s="1" t="n">
        <v>43973</v>
      </c>
      <c r="C139" s="1" t="n">
        <v>45754</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25156-2020</t>
        </is>
      </c>
      <c r="B140" s="1" t="n">
        <v>43978</v>
      </c>
      <c r="C140" s="1" t="n">
        <v>45754</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25720-2020</t>
        </is>
      </c>
      <c r="B141" s="1" t="n">
        <v>43984</v>
      </c>
      <c r="C141" s="1" t="n">
        <v>45754</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25989-2020</t>
        </is>
      </c>
      <c r="B142" s="1" t="n">
        <v>43985</v>
      </c>
      <c r="C142" s="1" t="n">
        <v>45754</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26456-2020</t>
        </is>
      </c>
      <c r="B143" s="1" t="n">
        <v>43986</v>
      </c>
      <c r="C143" s="1" t="n">
        <v>45754</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26560-2020</t>
        </is>
      </c>
      <c r="B144" s="1" t="n">
        <v>43987</v>
      </c>
      <c r="C144" s="1" t="n">
        <v>45754</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28161-2020</t>
        </is>
      </c>
      <c r="B145" s="1" t="n">
        <v>43997</v>
      </c>
      <c r="C145" s="1" t="n">
        <v>45754</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28796-2020</t>
        </is>
      </c>
      <c r="B146" s="1" t="n">
        <v>44000</v>
      </c>
      <c r="C146" s="1" t="n">
        <v>45754</v>
      </c>
      <c r="D146" t="inlineStr">
        <is>
          <t>DALARNAS LÄN</t>
        </is>
      </c>
      <c r="E146" t="inlineStr">
        <is>
          <t>LEKSAND</t>
        </is>
      </c>
      <c r="F146" t="inlineStr">
        <is>
          <t>Bergvik skog väst AB</t>
        </is>
      </c>
      <c r="G146" t="n">
        <v>4.7</v>
      </c>
      <c r="H146" t="n">
        <v>0</v>
      </c>
      <c r="I146" t="n">
        <v>0</v>
      </c>
      <c r="J146" t="n">
        <v>0</v>
      </c>
      <c r="K146" t="n">
        <v>0</v>
      </c>
      <c r="L146" t="n">
        <v>0</v>
      </c>
      <c r="M146" t="n">
        <v>0</v>
      </c>
      <c r="N146" t="n">
        <v>0</v>
      </c>
      <c r="O146" t="n">
        <v>0</v>
      </c>
      <c r="P146" t="n">
        <v>0</v>
      </c>
      <c r="Q146" t="n">
        <v>0</v>
      </c>
      <c r="R146" s="2" t="inlineStr"/>
    </row>
    <row r="147" ht="15" customHeight="1">
      <c r="A147" t="inlineStr">
        <is>
          <t>A 29089-2020</t>
        </is>
      </c>
      <c r="B147" s="1" t="n">
        <v>44002</v>
      </c>
      <c r="C147" s="1" t="n">
        <v>45754</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29088-2020</t>
        </is>
      </c>
      <c r="B148" s="1" t="n">
        <v>44002</v>
      </c>
      <c r="C148" s="1" t="n">
        <v>45754</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29672-2020</t>
        </is>
      </c>
      <c r="B149" s="1" t="n">
        <v>44005</v>
      </c>
      <c r="C149" s="1" t="n">
        <v>45754</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31629-2020</t>
        </is>
      </c>
      <c r="B150" s="1" t="n">
        <v>44013</v>
      </c>
      <c r="C150" s="1" t="n">
        <v>45754</v>
      </c>
      <c r="D150" t="inlineStr">
        <is>
          <t>DALARNAS LÄN</t>
        </is>
      </c>
      <c r="E150" t="inlineStr">
        <is>
          <t>LEKSAND</t>
        </is>
      </c>
      <c r="G150" t="n">
        <v>5.4</v>
      </c>
      <c r="H150" t="n">
        <v>0</v>
      </c>
      <c r="I150" t="n">
        <v>0</v>
      </c>
      <c r="J150" t="n">
        <v>0</v>
      </c>
      <c r="K150" t="n">
        <v>0</v>
      </c>
      <c r="L150" t="n">
        <v>0</v>
      </c>
      <c r="M150" t="n">
        <v>0</v>
      </c>
      <c r="N150" t="n">
        <v>0</v>
      </c>
      <c r="O150" t="n">
        <v>0</v>
      </c>
      <c r="P150" t="n">
        <v>0</v>
      </c>
      <c r="Q150" t="n">
        <v>0</v>
      </c>
      <c r="R150" s="2" t="inlineStr"/>
    </row>
    <row r="151" ht="15" customHeight="1">
      <c r="A151" t="inlineStr">
        <is>
          <t>A 37568-2020</t>
        </is>
      </c>
      <c r="B151" s="1" t="n">
        <v>44056</v>
      </c>
      <c r="C151" s="1" t="n">
        <v>45754</v>
      </c>
      <c r="D151" t="inlineStr">
        <is>
          <t>DALARNAS LÄN</t>
        </is>
      </c>
      <c r="E151" t="inlineStr">
        <is>
          <t>LEKSAND</t>
        </is>
      </c>
      <c r="G151" t="n">
        <v>3.4</v>
      </c>
      <c r="H151" t="n">
        <v>0</v>
      </c>
      <c r="I151" t="n">
        <v>0</v>
      </c>
      <c r="J151" t="n">
        <v>0</v>
      </c>
      <c r="K151" t="n">
        <v>0</v>
      </c>
      <c r="L151" t="n">
        <v>0</v>
      </c>
      <c r="M151" t="n">
        <v>0</v>
      </c>
      <c r="N151" t="n">
        <v>0</v>
      </c>
      <c r="O151" t="n">
        <v>0</v>
      </c>
      <c r="P151" t="n">
        <v>0</v>
      </c>
      <c r="Q151" t="n">
        <v>0</v>
      </c>
      <c r="R151" s="2" t="inlineStr"/>
    </row>
    <row r="152" ht="15" customHeight="1">
      <c r="A152" t="inlineStr">
        <is>
          <t>A 41093-2020</t>
        </is>
      </c>
      <c r="B152" s="1" t="n">
        <v>44071</v>
      </c>
      <c r="C152" s="1" t="n">
        <v>45754</v>
      </c>
      <c r="D152" t="inlineStr">
        <is>
          <t>DALARNAS LÄN</t>
        </is>
      </c>
      <c r="E152" t="inlineStr">
        <is>
          <t>LEKSAND</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41200-2020</t>
        </is>
      </c>
      <c r="B153" s="1" t="n">
        <v>44071</v>
      </c>
      <c r="C153" s="1" t="n">
        <v>45754</v>
      </c>
      <c r="D153" t="inlineStr">
        <is>
          <t>DALARNAS LÄN</t>
        </is>
      </c>
      <c r="E153" t="inlineStr">
        <is>
          <t>LEKSAND</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41432-2020</t>
        </is>
      </c>
      <c r="B154" s="1" t="n">
        <v>44073</v>
      </c>
      <c r="C154" s="1" t="n">
        <v>45754</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42890-2020</t>
        </is>
      </c>
      <c r="B155" s="1" t="n">
        <v>44078</v>
      </c>
      <c r="C155" s="1" t="n">
        <v>45754</v>
      </c>
      <c r="D155" t="inlineStr">
        <is>
          <t>DALARNAS LÄN</t>
        </is>
      </c>
      <c r="E155" t="inlineStr">
        <is>
          <t>LEKSAND</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44665-2020</t>
        </is>
      </c>
      <c r="B156" s="1" t="n">
        <v>44085</v>
      </c>
      <c r="C156" s="1" t="n">
        <v>45754</v>
      </c>
      <c r="D156" t="inlineStr">
        <is>
          <t>DALARNAS LÄN</t>
        </is>
      </c>
      <c r="E156" t="inlineStr">
        <is>
          <t>LEKSAND</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45995-2020</t>
        </is>
      </c>
      <c r="B157" s="1" t="n">
        <v>44088</v>
      </c>
      <c r="C157" s="1" t="n">
        <v>45754</v>
      </c>
      <c r="D157" t="inlineStr">
        <is>
          <t>DALARNAS LÄN</t>
        </is>
      </c>
      <c r="E157" t="inlineStr">
        <is>
          <t>LEKSAND</t>
        </is>
      </c>
      <c r="G157" t="n">
        <v>7.8</v>
      </c>
      <c r="H157" t="n">
        <v>0</v>
      </c>
      <c r="I157" t="n">
        <v>0</v>
      </c>
      <c r="J157" t="n">
        <v>0</v>
      </c>
      <c r="K157" t="n">
        <v>0</v>
      </c>
      <c r="L157" t="n">
        <v>0</v>
      </c>
      <c r="M157" t="n">
        <v>0</v>
      </c>
      <c r="N157" t="n">
        <v>0</v>
      </c>
      <c r="O157" t="n">
        <v>0</v>
      </c>
      <c r="P157" t="n">
        <v>0</v>
      </c>
      <c r="Q157" t="n">
        <v>0</v>
      </c>
      <c r="R157" s="2" t="inlineStr"/>
    </row>
    <row r="158" ht="15" customHeight="1">
      <c r="A158" t="inlineStr">
        <is>
          <t>A 45950-2020</t>
        </is>
      </c>
      <c r="B158" s="1" t="n">
        <v>44088</v>
      </c>
      <c r="C158" s="1" t="n">
        <v>45754</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45991-2020</t>
        </is>
      </c>
      <c r="B159" s="1" t="n">
        <v>44088</v>
      </c>
      <c r="C159" s="1" t="n">
        <v>45754</v>
      </c>
      <c r="D159" t="inlineStr">
        <is>
          <t>DALARNAS LÄN</t>
        </is>
      </c>
      <c r="E159" t="inlineStr">
        <is>
          <t>LEKSAND</t>
        </is>
      </c>
      <c r="G159" t="n">
        <v>9.9</v>
      </c>
      <c r="H159" t="n">
        <v>0</v>
      </c>
      <c r="I159" t="n">
        <v>0</v>
      </c>
      <c r="J159" t="n">
        <v>0</v>
      </c>
      <c r="K159" t="n">
        <v>0</v>
      </c>
      <c r="L159" t="n">
        <v>0</v>
      </c>
      <c r="M159" t="n">
        <v>0</v>
      </c>
      <c r="N159" t="n">
        <v>0</v>
      </c>
      <c r="O159" t="n">
        <v>0</v>
      </c>
      <c r="P159" t="n">
        <v>0</v>
      </c>
      <c r="Q159" t="n">
        <v>0</v>
      </c>
      <c r="R159" s="2" t="inlineStr"/>
    </row>
    <row r="160" ht="15" customHeight="1">
      <c r="A160" t="inlineStr">
        <is>
          <t>A 46854-2020</t>
        </is>
      </c>
      <c r="B160" s="1" t="n">
        <v>44090</v>
      </c>
      <c r="C160" s="1" t="n">
        <v>45754</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47004-2020</t>
        </is>
      </c>
      <c r="B161" s="1" t="n">
        <v>44091</v>
      </c>
      <c r="C161" s="1" t="n">
        <v>45754</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47069-2020</t>
        </is>
      </c>
      <c r="B162" s="1" t="n">
        <v>44096</v>
      </c>
      <c r="C162" s="1" t="n">
        <v>45754</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50123-2020</t>
        </is>
      </c>
      <c r="B163" s="1" t="n">
        <v>44104</v>
      </c>
      <c r="C163" s="1" t="n">
        <v>45754</v>
      </c>
      <c r="D163" t="inlineStr">
        <is>
          <t>DALARNAS LÄN</t>
        </is>
      </c>
      <c r="E163" t="inlineStr">
        <is>
          <t>LEKSAND</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50102-2020</t>
        </is>
      </c>
      <c r="B164" s="1" t="n">
        <v>44104</v>
      </c>
      <c r="C164" s="1" t="n">
        <v>45754</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45754</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60963-2020</t>
        </is>
      </c>
      <c r="B166" s="1" t="n">
        <v>44154</v>
      </c>
      <c r="C166" s="1" t="n">
        <v>45754</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62118-2020</t>
        </is>
      </c>
      <c r="B167" s="1" t="n">
        <v>44159</v>
      </c>
      <c r="C167" s="1" t="n">
        <v>45754</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63481-2020</t>
        </is>
      </c>
      <c r="B168" s="1" t="n">
        <v>44161</v>
      </c>
      <c r="C168" s="1" t="n">
        <v>45754</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64109-2020</t>
        </is>
      </c>
      <c r="B169" s="1" t="n">
        <v>44167</v>
      </c>
      <c r="C169" s="1" t="n">
        <v>45754</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64449-2020</t>
        </is>
      </c>
      <c r="B170" s="1" t="n">
        <v>44168</v>
      </c>
      <c r="C170" s="1" t="n">
        <v>45754</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64876-2020</t>
        </is>
      </c>
      <c r="B171" s="1" t="n">
        <v>44171</v>
      </c>
      <c r="C171" s="1" t="n">
        <v>45754</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65058-2020</t>
        </is>
      </c>
      <c r="B172" s="1" t="n">
        <v>44172</v>
      </c>
      <c r="C172" s="1" t="n">
        <v>45754</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66169-2020</t>
        </is>
      </c>
      <c r="B173" s="1" t="n">
        <v>44174</v>
      </c>
      <c r="C173" s="1" t="n">
        <v>45754</v>
      </c>
      <c r="D173" t="inlineStr">
        <is>
          <t>DALARNAS LÄN</t>
        </is>
      </c>
      <c r="E173" t="inlineStr">
        <is>
          <t>LEKSAND</t>
        </is>
      </c>
      <c r="G173" t="n">
        <v>5.3</v>
      </c>
      <c r="H173" t="n">
        <v>0</v>
      </c>
      <c r="I173" t="n">
        <v>0</v>
      </c>
      <c r="J173" t="n">
        <v>0</v>
      </c>
      <c r="K173" t="n">
        <v>0</v>
      </c>
      <c r="L173" t="n">
        <v>0</v>
      </c>
      <c r="M173" t="n">
        <v>0</v>
      </c>
      <c r="N173" t="n">
        <v>0</v>
      </c>
      <c r="O173" t="n">
        <v>0</v>
      </c>
      <c r="P173" t="n">
        <v>0</v>
      </c>
      <c r="Q173" t="n">
        <v>0</v>
      </c>
      <c r="R173" s="2" t="inlineStr"/>
    </row>
    <row r="174" ht="15" customHeight="1">
      <c r="A174" t="inlineStr">
        <is>
          <t>A 67100-2020</t>
        </is>
      </c>
      <c r="B174" s="1" t="n">
        <v>44179</v>
      </c>
      <c r="C174" s="1" t="n">
        <v>45754</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67307-2020</t>
        </is>
      </c>
      <c r="B175" s="1" t="n">
        <v>44181</v>
      </c>
      <c r="C175" s="1" t="n">
        <v>45754</v>
      </c>
      <c r="D175" t="inlineStr">
        <is>
          <t>DALARNAS LÄN</t>
        </is>
      </c>
      <c r="E175" t="inlineStr">
        <is>
          <t>LEKSAND</t>
        </is>
      </c>
      <c r="G175" t="n">
        <v>5.9</v>
      </c>
      <c r="H175" t="n">
        <v>0</v>
      </c>
      <c r="I175" t="n">
        <v>0</v>
      </c>
      <c r="J175" t="n">
        <v>0</v>
      </c>
      <c r="K175" t="n">
        <v>0</v>
      </c>
      <c r="L175" t="n">
        <v>0</v>
      </c>
      <c r="M175" t="n">
        <v>0</v>
      </c>
      <c r="N175" t="n">
        <v>0</v>
      </c>
      <c r="O175" t="n">
        <v>0</v>
      </c>
      <c r="P175" t="n">
        <v>0</v>
      </c>
      <c r="Q175" t="n">
        <v>0</v>
      </c>
      <c r="R175" s="2" t="inlineStr"/>
    </row>
    <row r="176" ht="15" customHeight="1">
      <c r="A176" t="inlineStr">
        <is>
          <t>A 68058-2020</t>
        </is>
      </c>
      <c r="B176" s="1" t="n">
        <v>44183</v>
      </c>
      <c r="C176" s="1" t="n">
        <v>45754</v>
      </c>
      <c r="D176" t="inlineStr">
        <is>
          <t>DALARNAS LÄN</t>
        </is>
      </c>
      <c r="E176" t="inlineStr">
        <is>
          <t>LEKSAND</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776-2021</t>
        </is>
      </c>
      <c r="B177" s="1" t="n">
        <v>44203</v>
      </c>
      <c r="C177" s="1" t="n">
        <v>45754</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1078-2021</t>
        </is>
      </c>
      <c r="B178" s="1" t="n">
        <v>44207</v>
      </c>
      <c r="C178" s="1" t="n">
        <v>45754</v>
      </c>
      <c r="D178" t="inlineStr">
        <is>
          <t>DALARNAS LÄN</t>
        </is>
      </c>
      <c r="E178" t="inlineStr">
        <is>
          <t>LEKSAND</t>
        </is>
      </c>
      <c r="G178" t="n">
        <v>4.9</v>
      </c>
      <c r="H178" t="n">
        <v>0</v>
      </c>
      <c r="I178" t="n">
        <v>0</v>
      </c>
      <c r="J178" t="n">
        <v>0</v>
      </c>
      <c r="K178" t="n">
        <v>0</v>
      </c>
      <c r="L178" t="n">
        <v>0</v>
      </c>
      <c r="M178" t="n">
        <v>0</v>
      </c>
      <c r="N178" t="n">
        <v>0</v>
      </c>
      <c r="O178" t="n">
        <v>0</v>
      </c>
      <c r="P178" t="n">
        <v>0</v>
      </c>
      <c r="Q178" t="n">
        <v>0</v>
      </c>
      <c r="R178" s="2" t="inlineStr"/>
    </row>
    <row r="179" ht="15" customHeight="1">
      <c r="A179" t="inlineStr">
        <is>
          <t>A 2311-2021</t>
        </is>
      </c>
      <c r="B179" s="1" t="n">
        <v>44213</v>
      </c>
      <c r="C179" s="1" t="n">
        <v>45754</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9131-2021</t>
        </is>
      </c>
      <c r="B180" s="1" t="n">
        <v>44249</v>
      </c>
      <c r="C180" s="1" t="n">
        <v>45754</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9133-2021</t>
        </is>
      </c>
      <c r="B181" s="1" t="n">
        <v>44249</v>
      </c>
      <c r="C181" s="1" t="n">
        <v>45754</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13705-2021</t>
        </is>
      </c>
      <c r="B182" s="1" t="n">
        <v>44274</v>
      </c>
      <c r="C182" s="1" t="n">
        <v>45754</v>
      </c>
      <c r="D182" t="inlineStr">
        <is>
          <t>DALARNAS LÄN</t>
        </is>
      </c>
      <c r="E182" t="inlineStr">
        <is>
          <t>LEKSAND</t>
        </is>
      </c>
      <c r="G182" t="n">
        <v>3.8</v>
      </c>
      <c r="H182" t="n">
        <v>0</v>
      </c>
      <c r="I182" t="n">
        <v>0</v>
      </c>
      <c r="J182" t="n">
        <v>0</v>
      </c>
      <c r="K182" t="n">
        <v>0</v>
      </c>
      <c r="L182" t="n">
        <v>0</v>
      </c>
      <c r="M182" t="n">
        <v>0</v>
      </c>
      <c r="N182" t="n">
        <v>0</v>
      </c>
      <c r="O182" t="n">
        <v>0</v>
      </c>
      <c r="P182" t="n">
        <v>0</v>
      </c>
      <c r="Q182" t="n">
        <v>0</v>
      </c>
      <c r="R182" s="2" t="inlineStr"/>
    </row>
    <row r="183" ht="15" customHeight="1">
      <c r="A183" t="inlineStr">
        <is>
          <t>A 16231-2021</t>
        </is>
      </c>
      <c r="B183" s="1" t="n">
        <v>44292</v>
      </c>
      <c r="C183" s="1" t="n">
        <v>45754</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17615-2021</t>
        </is>
      </c>
      <c r="B184" s="1" t="n">
        <v>44299</v>
      </c>
      <c r="C184" s="1" t="n">
        <v>45754</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18267-2021</t>
        </is>
      </c>
      <c r="B185" s="1" t="n">
        <v>44305</v>
      </c>
      <c r="C185" s="1" t="n">
        <v>45754</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18706-2021</t>
        </is>
      </c>
      <c r="B186" s="1" t="n">
        <v>44307</v>
      </c>
      <c r="C186" s="1" t="n">
        <v>45754</v>
      </c>
      <c r="D186" t="inlineStr">
        <is>
          <t>DALARNAS LÄN</t>
        </is>
      </c>
      <c r="E186" t="inlineStr">
        <is>
          <t>LEKSAND</t>
        </is>
      </c>
      <c r="G186" t="n">
        <v>3.4</v>
      </c>
      <c r="H186" t="n">
        <v>0</v>
      </c>
      <c r="I186" t="n">
        <v>0</v>
      </c>
      <c r="J186" t="n">
        <v>0</v>
      </c>
      <c r="K186" t="n">
        <v>0</v>
      </c>
      <c r="L186" t="n">
        <v>0</v>
      </c>
      <c r="M186" t="n">
        <v>0</v>
      </c>
      <c r="N186" t="n">
        <v>0</v>
      </c>
      <c r="O186" t="n">
        <v>0</v>
      </c>
      <c r="P186" t="n">
        <v>0</v>
      </c>
      <c r="Q186" t="n">
        <v>0</v>
      </c>
      <c r="R186" s="2" t="inlineStr"/>
    </row>
    <row r="187" ht="15" customHeight="1">
      <c r="A187" t="inlineStr">
        <is>
          <t>A 19677-2021</t>
        </is>
      </c>
      <c r="B187" s="1" t="n">
        <v>44312</v>
      </c>
      <c r="C187" s="1" t="n">
        <v>45754</v>
      </c>
      <c r="D187" t="inlineStr">
        <is>
          <t>DALARNAS LÄN</t>
        </is>
      </c>
      <c r="E187" t="inlineStr">
        <is>
          <t>LEKSAND</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21132-2021</t>
        </is>
      </c>
      <c r="B188" s="1" t="n">
        <v>44319</v>
      </c>
      <c r="C188" s="1" t="n">
        <v>45754</v>
      </c>
      <c r="D188" t="inlineStr">
        <is>
          <t>DALARNAS LÄN</t>
        </is>
      </c>
      <c r="E188" t="inlineStr">
        <is>
          <t>LEKSAND</t>
        </is>
      </c>
      <c r="G188" t="n">
        <v>6.8</v>
      </c>
      <c r="H188" t="n">
        <v>0</v>
      </c>
      <c r="I188" t="n">
        <v>0</v>
      </c>
      <c r="J188" t="n">
        <v>0</v>
      </c>
      <c r="K188" t="n">
        <v>0</v>
      </c>
      <c r="L188" t="n">
        <v>0</v>
      </c>
      <c r="M188" t="n">
        <v>0</v>
      </c>
      <c r="N188" t="n">
        <v>0</v>
      </c>
      <c r="O188" t="n">
        <v>0</v>
      </c>
      <c r="P188" t="n">
        <v>0</v>
      </c>
      <c r="Q188" t="n">
        <v>0</v>
      </c>
      <c r="R188" s="2" t="inlineStr"/>
    </row>
    <row r="189" ht="15" customHeight="1">
      <c r="A189" t="inlineStr">
        <is>
          <t>A 21968-2021</t>
        </is>
      </c>
      <c r="B189" s="1" t="n">
        <v>44323</v>
      </c>
      <c r="C189" s="1" t="n">
        <v>45754</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21969-2021</t>
        </is>
      </c>
      <c r="B190" s="1" t="n">
        <v>44323</v>
      </c>
      <c r="C190" s="1" t="n">
        <v>45754</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21965-2021</t>
        </is>
      </c>
      <c r="B191" s="1" t="n">
        <v>44323</v>
      </c>
      <c r="C191" s="1" t="n">
        <v>45754</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22431-2021</t>
        </is>
      </c>
      <c r="B192" s="1" t="n">
        <v>44326</v>
      </c>
      <c r="C192" s="1" t="n">
        <v>45754</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22703-2021</t>
        </is>
      </c>
      <c r="B193" s="1" t="n">
        <v>44327</v>
      </c>
      <c r="C193" s="1" t="n">
        <v>45754</v>
      </c>
      <c r="D193" t="inlineStr">
        <is>
          <t>DALARNAS LÄN</t>
        </is>
      </c>
      <c r="E193" t="inlineStr">
        <is>
          <t>LEKSAND</t>
        </is>
      </c>
      <c r="F193" t="inlineStr">
        <is>
          <t>Bergvik skog väst AB</t>
        </is>
      </c>
      <c r="G193" t="n">
        <v>3.4</v>
      </c>
      <c r="H193" t="n">
        <v>0</v>
      </c>
      <c r="I193" t="n">
        <v>0</v>
      </c>
      <c r="J193" t="n">
        <v>0</v>
      </c>
      <c r="K193" t="n">
        <v>0</v>
      </c>
      <c r="L193" t="n">
        <v>0</v>
      </c>
      <c r="M193" t="n">
        <v>0</v>
      </c>
      <c r="N193" t="n">
        <v>0</v>
      </c>
      <c r="O193" t="n">
        <v>0</v>
      </c>
      <c r="P193" t="n">
        <v>0</v>
      </c>
      <c r="Q193" t="n">
        <v>0</v>
      </c>
      <c r="R193" s="2" t="inlineStr"/>
      <c r="U193">
        <f>HYPERLINK("https://klasma.github.io/Logging_2029/knärot/A 22703-2021 karta knärot.png", "A 22703-2021")</f>
        <v/>
      </c>
      <c r="V193">
        <f>HYPERLINK("https://klasma.github.io/Logging_2029/klagomål/A 22703-2021 FSC-klagomål.docx", "A 22703-2021")</f>
        <v/>
      </c>
      <c r="W193">
        <f>HYPERLINK("https://klasma.github.io/Logging_2029/klagomålsmail/A 22703-2021 FSC-klagomål mail.docx", "A 22703-2021")</f>
        <v/>
      </c>
      <c r="X193">
        <f>HYPERLINK("https://klasma.github.io/Logging_2029/tillsyn/A 22703-2021 tillsynsbegäran.docx", "A 22703-2021")</f>
        <v/>
      </c>
      <c r="Y193">
        <f>HYPERLINK("https://klasma.github.io/Logging_2029/tillsynsmail/A 22703-2021 tillsynsbegäran mail.docx", "A 22703-2021")</f>
        <v/>
      </c>
    </row>
    <row r="194" ht="15" customHeight="1">
      <c r="A194" t="inlineStr">
        <is>
          <t>A 22684-2021</t>
        </is>
      </c>
      <c r="B194" s="1" t="n">
        <v>44327</v>
      </c>
      <c r="C194" s="1" t="n">
        <v>45754</v>
      </c>
      <c r="D194" t="inlineStr">
        <is>
          <t>DALARNAS LÄN</t>
        </is>
      </c>
      <c r="E194" t="inlineStr">
        <is>
          <t>LEKSAND</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22999-2021</t>
        </is>
      </c>
      <c r="B195" s="1" t="n">
        <v>44328</v>
      </c>
      <c r="C195" s="1" t="n">
        <v>45754</v>
      </c>
      <c r="D195" t="inlineStr">
        <is>
          <t>DALARNAS LÄN</t>
        </is>
      </c>
      <c r="E195" t="inlineStr">
        <is>
          <t>LEKSAND</t>
        </is>
      </c>
      <c r="F195" t="inlineStr">
        <is>
          <t>Bergvik skog väst AB</t>
        </is>
      </c>
      <c r="G195" t="n">
        <v>8.5</v>
      </c>
      <c r="H195" t="n">
        <v>0</v>
      </c>
      <c r="I195" t="n">
        <v>0</v>
      </c>
      <c r="J195" t="n">
        <v>0</v>
      </c>
      <c r="K195" t="n">
        <v>0</v>
      </c>
      <c r="L195" t="n">
        <v>0</v>
      </c>
      <c r="M195" t="n">
        <v>0</v>
      </c>
      <c r="N195" t="n">
        <v>0</v>
      </c>
      <c r="O195" t="n">
        <v>0</v>
      </c>
      <c r="P195" t="n">
        <v>0</v>
      </c>
      <c r="Q195" t="n">
        <v>0</v>
      </c>
      <c r="R195" s="2" t="inlineStr"/>
    </row>
    <row r="196" ht="15" customHeight="1">
      <c r="A196" t="inlineStr">
        <is>
          <t>A 23824-2021</t>
        </is>
      </c>
      <c r="B196" s="1" t="n">
        <v>44335</v>
      </c>
      <c r="C196" s="1" t="n">
        <v>45754</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24142-2021</t>
        </is>
      </c>
      <c r="B197" s="1" t="n">
        <v>44336</v>
      </c>
      <c r="C197" s="1" t="n">
        <v>45754</v>
      </c>
      <c r="D197" t="inlineStr">
        <is>
          <t>DALARNAS LÄN</t>
        </is>
      </c>
      <c r="E197" t="inlineStr">
        <is>
          <t>LEKSAND</t>
        </is>
      </c>
      <c r="F197" t="inlineStr">
        <is>
          <t>Bergvik skog väst AB</t>
        </is>
      </c>
      <c r="G197" t="n">
        <v>18.9</v>
      </c>
      <c r="H197" t="n">
        <v>0</v>
      </c>
      <c r="I197" t="n">
        <v>0</v>
      </c>
      <c r="J197" t="n">
        <v>0</v>
      </c>
      <c r="K197" t="n">
        <v>0</v>
      </c>
      <c r="L197" t="n">
        <v>0</v>
      </c>
      <c r="M197" t="n">
        <v>0</v>
      </c>
      <c r="N197" t="n">
        <v>0</v>
      </c>
      <c r="O197" t="n">
        <v>0</v>
      </c>
      <c r="P197" t="n">
        <v>0</v>
      </c>
      <c r="Q197" t="n">
        <v>0</v>
      </c>
      <c r="R197" s="2" t="inlineStr"/>
    </row>
    <row r="198" ht="15" customHeight="1">
      <c r="A198" t="inlineStr">
        <is>
          <t>A 24479-2021</t>
        </is>
      </c>
      <c r="B198" s="1" t="n">
        <v>44337</v>
      </c>
      <c r="C198" s="1" t="n">
        <v>45754</v>
      </c>
      <c r="D198" t="inlineStr">
        <is>
          <t>DALARNAS LÄN</t>
        </is>
      </c>
      <c r="E198" t="inlineStr">
        <is>
          <t>LEKSAND</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26738-2021</t>
        </is>
      </c>
      <c r="B199" s="1" t="n">
        <v>44349</v>
      </c>
      <c r="C199" s="1" t="n">
        <v>45754</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27154-2021</t>
        </is>
      </c>
      <c r="B200" s="1" t="n">
        <v>44350</v>
      </c>
      <c r="C200" s="1" t="n">
        <v>45754</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27317-2021</t>
        </is>
      </c>
      <c r="B201" s="1" t="n">
        <v>44351</v>
      </c>
      <c r="C201" s="1" t="n">
        <v>45754</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32152-2021</t>
        </is>
      </c>
      <c r="B202" s="1" t="n">
        <v>44371</v>
      </c>
      <c r="C202" s="1" t="n">
        <v>45754</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32635-2021</t>
        </is>
      </c>
      <c r="B203" s="1" t="n">
        <v>44374</v>
      </c>
      <c r="C203" s="1" t="n">
        <v>45754</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33072-2021</t>
        </is>
      </c>
      <c r="B204" s="1" t="n">
        <v>44375</v>
      </c>
      <c r="C204" s="1" t="n">
        <v>45754</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33170-2021</t>
        </is>
      </c>
      <c r="B205" s="1" t="n">
        <v>44376</v>
      </c>
      <c r="C205" s="1" t="n">
        <v>45754</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34869-2021</t>
        </is>
      </c>
      <c r="B206" s="1" t="n">
        <v>44383</v>
      </c>
      <c r="C206" s="1" t="n">
        <v>45754</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34867-2021</t>
        </is>
      </c>
      <c r="B207" s="1" t="n">
        <v>44383</v>
      </c>
      <c r="C207" s="1" t="n">
        <v>45754</v>
      </c>
      <c r="D207" t="inlineStr">
        <is>
          <t>DALARNAS LÄN</t>
        </is>
      </c>
      <c r="E207" t="inlineStr">
        <is>
          <t>LEKSAND</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34911-2021</t>
        </is>
      </c>
      <c r="B208" s="1" t="n">
        <v>44383</v>
      </c>
      <c r="C208" s="1" t="n">
        <v>45754</v>
      </c>
      <c r="D208" t="inlineStr">
        <is>
          <t>DALARNAS LÄN</t>
        </is>
      </c>
      <c r="E208" t="inlineStr">
        <is>
          <t>LEKSAND</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36438-2021</t>
        </is>
      </c>
      <c r="B209" s="1" t="n">
        <v>44390</v>
      </c>
      <c r="C209" s="1" t="n">
        <v>45754</v>
      </c>
      <c r="D209" t="inlineStr">
        <is>
          <t>DALARNAS LÄN</t>
        </is>
      </c>
      <c r="E209" t="inlineStr">
        <is>
          <t>LEKSAND</t>
        </is>
      </c>
      <c r="G209" t="n">
        <v>5</v>
      </c>
      <c r="H209" t="n">
        <v>0</v>
      </c>
      <c r="I209" t="n">
        <v>0</v>
      </c>
      <c r="J209" t="n">
        <v>0</v>
      </c>
      <c r="K209" t="n">
        <v>0</v>
      </c>
      <c r="L209" t="n">
        <v>0</v>
      </c>
      <c r="M209" t="n">
        <v>0</v>
      </c>
      <c r="N209" t="n">
        <v>0</v>
      </c>
      <c r="O209" t="n">
        <v>0</v>
      </c>
      <c r="P209" t="n">
        <v>0</v>
      </c>
      <c r="Q209" t="n">
        <v>0</v>
      </c>
      <c r="R209" s="2" t="inlineStr"/>
    </row>
    <row r="210" ht="15" customHeight="1">
      <c r="A210" t="inlineStr">
        <is>
          <t>A 36956-2021</t>
        </is>
      </c>
      <c r="B210" s="1" t="n">
        <v>44393</v>
      </c>
      <c r="C210" s="1" t="n">
        <v>45754</v>
      </c>
      <c r="D210" t="inlineStr">
        <is>
          <t>DALARNAS LÄN</t>
        </is>
      </c>
      <c r="E210" t="inlineStr">
        <is>
          <t>LEKSAND</t>
        </is>
      </c>
      <c r="G210" t="n">
        <v>4.1</v>
      </c>
      <c r="H210" t="n">
        <v>0</v>
      </c>
      <c r="I210" t="n">
        <v>0</v>
      </c>
      <c r="J210" t="n">
        <v>0</v>
      </c>
      <c r="K210" t="n">
        <v>0</v>
      </c>
      <c r="L210" t="n">
        <v>0</v>
      </c>
      <c r="M210" t="n">
        <v>0</v>
      </c>
      <c r="N210" t="n">
        <v>0</v>
      </c>
      <c r="O210" t="n">
        <v>0</v>
      </c>
      <c r="P210" t="n">
        <v>0</v>
      </c>
      <c r="Q210" t="n">
        <v>0</v>
      </c>
      <c r="R210" s="2" t="inlineStr"/>
    </row>
    <row r="211" ht="15" customHeight="1">
      <c r="A211" t="inlineStr">
        <is>
          <t>A 37073-2021</t>
        </is>
      </c>
      <c r="B211" s="1" t="n">
        <v>44394</v>
      </c>
      <c r="C211" s="1" t="n">
        <v>45754</v>
      </c>
      <c r="D211" t="inlineStr">
        <is>
          <t>DALARNAS LÄN</t>
        </is>
      </c>
      <c r="E211" t="inlineStr">
        <is>
          <t>LEKSAND</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37283-2021</t>
        </is>
      </c>
      <c r="B212" s="1" t="n">
        <v>44397</v>
      </c>
      <c r="C212" s="1" t="n">
        <v>45754</v>
      </c>
      <c r="D212" t="inlineStr">
        <is>
          <t>DALARNAS LÄN</t>
        </is>
      </c>
      <c r="E212" t="inlineStr">
        <is>
          <t>LEKSAND</t>
        </is>
      </c>
      <c r="G212" t="n">
        <v>2.9</v>
      </c>
      <c r="H212" t="n">
        <v>0</v>
      </c>
      <c r="I212" t="n">
        <v>0</v>
      </c>
      <c r="J212" t="n">
        <v>0</v>
      </c>
      <c r="K212" t="n">
        <v>0</v>
      </c>
      <c r="L212" t="n">
        <v>0</v>
      </c>
      <c r="M212" t="n">
        <v>0</v>
      </c>
      <c r="N212" t="n">
        <v>0</v>
      </c>
      <c r="O212" t="n">
        <v>0</v>
      </c>
      <c r="P212" t="n">
        <v>0</v>
      </c>
      <c r="Q212" t="n">
        <v>0</v>
      </c>
      <c r="R212" s="2" t="inlineStr"/>
    </row>
    <row r="213" ht="15" customHeight="1">
      <c r="A213" t="inlineStr">
        <is>
          <t>A 37531-2021</t>
        </is>
      </c>
      <c r="B213" s="1" t="n">
        <v>44399</v>
      </c>
      <c r="C213" s="1" t="n">
        <v>45754</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38192-2021</t>
        </is>
      </c>
      <c r="B214" s="1" t="n">
        <v>44405</v>
      </c>
      <c r="C214" s="1" t="n">
        <v>45754</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38619-2021</t>
        </is>
      </c>
      <c r="B215" s="1" t="n">
        <v>44409</v>
      </c>
      <c r="C215" s="1" t="n">
        <v>45754</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39203-2021</t>
        </is>
      </c>
      <c r="B216" s="1" t="n">
        <v>44413</v>
      </c>
      <c r="C216" s="1" t="n">
        <v>45754</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40584-2021</t>
        </is>
      </c>
      <c r="B217" s="1" t="n">
        <v>44420</v>
      </c>
      <c r="C217" s="1" t="n">
        <v>45754</v>
      </c>
      <c r="D217" t="inlineStr">
        <is>
          <t>DALARNAS LÄN</t>
        </is>
      </c>
      <c r="E217" t="inlineStr">
        <is>
          <t>LEKSAND</t>
        </is>
      </c>
      <c r="G217" t="n">
        <v>6</v>
      </c>
      <c r="H217" t="n">
        <v>0</v>
      </c>
      <c r="I217" t="n">
        <v>0</v>
      </c>
      <c r="J217" t="n">
        <v>0</v>
      </c>
      <c r="K217" t="n">
        <v>0</v>
      </c>
      <c r="L217" t="n">
        <v>0</v>
      </c>
      <c r="M217" t="n">
        <v>0</v>
      </c>
      <c r="N217" t="n">
        <v>0</v>
      </c>
      <c r="O217" t="n">
        <v>0</v>
      </c>
      <c r="P217" t="n">
        <v>0</v>
      </c>
      <c r="Q217" t="n">
        <v>0</v>
      </c>
      <c r="R217" s="2" t="inlineStr"/>
    </row>
    <row r="218" ht="15" customHeight="1">
      <c r="A218" t="inlineStr">
        <is>
          <t>A 42952-2021</t>
        </is>
      </c>
      <c r="B218" s="1" t="n">
        <v>44431</v>
      </c>
      <c r="C218" s="1" t="n">
        <v>45754</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43410-2021</t>
        </is>
      </c>
      <c r="B219" s="1" t="n">
        <v>44432</v>
      </c>
      <c r="C219" s="1" t="n">
        <v>45754</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44922-2021</t>
        </is>
      </c>
      <c r="B220" s="1" t="n">
        <v>44438</v>
      </c>
      <c r="C220" s="1" t="n">
        <v>45754</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45155-2021</t>
        </is>
      </c>
      <c r="B221" s="1" t="n">
        <v>44439</v>
      </c>
      <c r="C221" s="1" t="n">
        <v>45754</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45788-2021</t>
        </is>
      </c>
      <c r="B222" s="1" t="n">
        <v>44441</v>
      </c>
      <c r="C222" s="1" t="n">
        <v>45754</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47121-2021</t>
        </is>
      </c>
      <c r="B223" s="1" t="n">
        <v>44446</v>
      </c>
      <c r="C223" s="1" t="n">
        <v>45754</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48949-2021</t>
        </is>
      </c>
      <c r="B224" s="1" t="n">
        <v>44453</v>
      </c>
      <c r="C224" s="1" t="n">
        <v>45754</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53625-2021</t>
        </is>
      </c>
      <c r="B225" s="1" t="n">
        <v>44469</v>
      </c>
      <c r="C225" s="1" t="n">
        <v>45754</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56153-2021</t>
        </is>
      </c>
      <c r="B226" s="1" t="n">
        <v>44477</v>
      </c>
      <c r="C226" s="1" t="n">
        <v>45754</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58569-2021</t>
        </is>
      </c>
      <c r="B227" s="1" t="n">
        <v>44488</v>
      </c>
      <c r="C227" s="1" t="n">
        <v>45754</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59422-2021</t>
        </is>
      </c>
      <c r="B228" s="1" t="n">
        <v>44491</v>
      </c>
      <c r="C228" s="1" t="n">
        <v>45754</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61546-2021</t>
        </is>
      </c>
      <c r="B229" s="1" t="n">
        <v>44501</v>
      </c>
      <c r="C229" s="1" t="n">
        <v>45754</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61669-2021</t>
        </is>
      </c>
      <c r="B230" s="1" t="n">
        <v>44501</v>
      </c>
      <c r="C230" s="1" t="n">
        <v>45754</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61676-2021</t>
        </is>
      </c>
      <c r="B231" s="1" t="n">
        <v>44501</v>
      </c>
      <c r="C231" s="1" t="n">
        <v>45754</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62279-2021</t>
        </is>
      </c>
      <c r="B232" s="1" t="n">
        <v>44503</v>
      </c>
      <c r="C232" s="1" t="n">
        <v>45754</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64718-2021</t>
        </is>
      </c>
      <c r="B233" s="1" t="n">
        <v>44512</v>
      </c>
      <c r="C233" s="1" t="n">
        <v>45754</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68573-2021</t>
        </is>
      </c>
      <c r="B234" s="1" t="n">
        <v>44529</v>
      </c>
      <c r="C234" s="1" t="n">
        <v>45754</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68617-2021</t>
        </is>
      </c>
      <c r="B235" s="1" t="n">
        <v>44529</v>
      </c>
      <c r="C235" s="1" t="n">
        <v>45754</v>
      </c>
      <c r="D235" t="inlineStr">
        <is>
          <t>DALARNAS LÄN</t>
        </is>
      </c>
      <c r="E235" t="inlineStr">
        <is>
          <t>LEKSAND</t>
        </is>
      </c>
      <c r="G235" t="n">
        <v>0.4</v>
      </c>
      <c r="H235" t="n">
        <v>0</v>
      </c>
      <c r="I235" t="n">
        <v>0</v>
      </c>
      <c r="J235" t="n">
        <v>0</v>
      </c>
      <c r="K235" t="n">
        <v>0</v>
      </c>
      <c r="L235" t="n">
        <v>0</v>
      </c>
      <c r="M235" t="n">
        <v>0</v>
      </c>
      <c r="N235" t="n">
        <v>0</v>
      </c>
      <c r="O235" t="n">
        <v>0</v>
      </c>
      <c r="P235" t="n">
        <v>0</v>
      </c>
      <c r="Q235" t="n">
        <v>0</v>
      </c>
      <c r="R235" s="2" t="inlineStr"/>
    </row>
    <row r="236" ht="15" customHeight="1">
      <c r="A236" t="inlineStr">
        <is>
          <t>A 69525-2021</t>
        </is>
      </c>
      <c r="B236" s="1" t="n">
        <v>44531</v>
      </c>
      <c r="C236" s="1" t="n">
        <v>45754</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70098-2021</t>
        </is>
      </c>
      <c r="B237" s="1" t="n">
        <v>44533</v>
      </c>
      <c r="C237" s="1" t="n">
        <v>45754</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70099-2021</t>
        </is>
      </c>
      <c r="B238" s="1" t="n">
        <v>44533</v>
      </c>
      <c r="C238" s="1" t="n">
        <v>45754</v>
      </c>
      <c r="D238" t="inlineStr">
        <is>
          <t>DALARNAS LÄN</t>
        </is>
      </c>
      <c r="E238" t="inlineStr">
        <is>
          <t>LEKSAND</t>
        </is>
      </c>
      <c r="G238" t="n">
        <v>2.8</v>
      </c>
      <c r="H238" t="n">
        <v>0</v>
      </c>
      <c r="I238" t="n">
        <v>0</v>
      </c>
      <c r="J238" t="n">
        <v>0</v>
      </c>
      <c r="K238" t="n">
        <v>0</v>
      </c>
      <c r="L238" t="n">
        <v>0</v>
      </c>
      <c r="M238" t="n">
        <v>0</v>
      </c>
      <c r="N238" t="n">
        <v>0</v>
      </c>
      <c r="O238" t="n">
        <v>0</v>
      </c>
      <c r="P238" t="n">
        <v>0</v>
      </c>
      <c r="Q238" t="n">
        <v>0</v>
      </c>
      <c r="R238" s="2" t="inlineStr"/>
    </row>
    <row r="239" ht="15" customHeight="1">
      <c r="A239" t="inlineStr">
        <is>
          <t>A 70026-2021</t>
        </is>
      </c>
      <c r="B239" s="1" t="n">
        <v>44533</v>
      </c>
      <c r="C239" s="1" t="n">
        <v>45754</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70296-2021</t>
        </is>
      </c>
      <c r="B240" s="1" t="n">
        <v>44536</v>
      </c>
      <c r="C240" s="1" t="n">
        <v>45754</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70451-2021</t>
        </is>
      </c>
      <c r="B241" s="1" t="n">
        <v>44536</v>
      </c>
      <c r="C241" s="1" t="n">
        <v>45754</v>
      </c>
      <c r="D241" t="inlineStr">
        <is>
          <t>DALARNAS LÄN</t>
        </is>
      </c>
      <c r="E241" t="inlineStr">
        <is>
          <t>LEKSAND</t>
        </is>
      </c>
      <c r="G241" t="n">
        <v>3.7</v>
      </c>
      <c r="H241" t="n">
        <v>0</v>
      </c>
      <c r="I241" t="n">
        <v>0</v>
      </c>
      <c r="J241" t="n">
        <v>0</v>
      </c>
      <c r="K241" t="n">
        <v>0</v>
      </c>
      <c r="L241" t="n">
        <v>0</v>
      </c>
      <c r="M241" t="n">
        <v>0</v>
      </c>
      <c r="N241" t="n">
        <v>0</v>
      </c>
      <c r="O241" t="n">
        <v>0</v>
      </c>
      <c r="P241" t="n">
        <v>0</v>
      </c>
      <c r="Q241" t="n">
        <v>0</v>
      </c>
      <c r="R241" s="2" t="inlineStr"/>
    </row>
    <row r="242" ht="15" customHeight="1">
      <c r="A242" t="inlineStr">
        <is>
          <t>A 71311-2021</t>
        </is>
      </c>
      <c r="B242" s="1" t="n">
        <v>44539</v>
      </c>
      <c r="C242" s="1" t="n">
        <v>45754</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71754-2021</t>
        </is>
      </c>
      <c r="B243" s="1" t="n">
        <v>44543</v>
      </c>
      <c r="C243" s="1" t="n">
        <v>45754</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71817-2021</t>
        </is>
      </c>
      <c r="B244" s="1" t="n">
        <v>44543</v>
      </c>
      <c r="C244" s="1" t="n">
        <v>45754</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72155-2021</t>
        </is>
      </c>
      <c r="B245" s="1" t="n">
        <v>44543</v>
      </c>
      <c r="C245" s="1" t="n">
        <v>45754</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72000-2021</t>
        </is>
      </c>
      <c r="B246" s="1" t="n">
        <v>44544</v>
      </c>
      <c r="C246" s="1" t="n">
        <v>45754</v>
      </c>
      <c r="D246" t="inlineStr">
        <is>
          <t>DALARNAS LÄN</t>
        </is>
      </c>
      <c r="E246" t="inlineStr">
        <is>
          <t>LEKSAND</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72001-2021</t>
        </is>
      </c>
      <c r="B247" s="1" t="n">
        <v>44544</v>
      </c>
      <c r="C247" s="1" t="n">
        <v>45754</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v>
      </c>
      <c r="C248" s="1" t="n">
        <v>45754</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72531-2021</t>
        </is>
      </c>
      <c r="B249" s="1" t="n">
        <v>44546</v>
      </c>
      <c r="C249" s="1" t="n">
        <v>45754</v>
      </c>
      <c r="D249" t="inlineStr">
        <is>
          <t>DALARNAS LÄN</t>
        </is>
      </c>
      <c r="E249" t="inlineStr">
        <is>
          <t>LEKSAND</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45754</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74067-2021</t>
        </is>
      </c>
      <c r="B251" s="1" t="n">
        <v>44553</v>
      </c>
      <c r="C251" s="1" t="n">
        <v>45754</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791-2022</t>
        </is>
      </c>
      <c r="B252" s="1" t="n">
        <v>44570</v>
      </c>
      <c r="C252" s="1" t="n">
        <v>45754</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1775-2022</t>
        </is>
      </c>
      <c r="B253" s="1" t="n">
        <v>44574</v>
      </c>
      <c r="C253" s="1" t="n">
        <v>45754</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45754</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4257-2022</t>
        </is>
      </c>
      <c r="B255" s="1" t="n">
        <v>44588</v>
      </c>
      <c r="C255" s="1" t="n">
        <v>45754</v>
      </c>
      <c r="D255" t="inlineStr">
        <is>
          <t>DALARNAS LÄN</t>
        </is>
      </c>
      <c r="E255" t="inlineStr">
        <is>
          <t>LEKSAND</t>
        </is>
      </c>
      <c r="G255" t="n">
        <v>6.8</v>
      </c>
      <c r="H255" t="n">
        <v>0</v>
      </c>
      <c r="I255" t="n">
        <v>0</v>
      </c>
      <c r="J255" t="n">
        <v>0</v>
      </c>
      <c r="K255" t="n">
        <v>0</v>
      </c>
      <c r="L255" t="n">
        <v>0</v>
      </c>
      <c r="M255" t="n">
        <v>0</v>
      </c>
      <c r="N255" t="n">
        <v>0</v>
      </c>
      <c r="O255" t="n">
        <v>0</v>
      </c>
      <c r="P255" t="n">
        <v>0</v>
      </c>
      <c r="Q255" t="n">
        <v>0</v>
      </c>
      <c r="R255" s="2" t="inlineStr"/>
    </row>
    <row r="256" ht="15" customHeight="1">
      <c r="A256" t="inlineStr">
        <is>
          <t>A 4609-2022</t>
        </is>
      </c>
      <c r="B256" s="1" t="n">
        <v>44592</v>
      </c>
      <c r="C256" s="1" t="n">
        <v>45754</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8501-2022</t>
        </is>
      </c>
      <c r="B257" s="1" t="n">
        <v>44613</v>
      </c>
      <c r="C257" s="1" t="n">
        <v>45754</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11015-2022</t>
        </is>
      </c>
      <c r="B258" s="1" t="n">
        <v>44628</v>
      </c>
      <c r="C258" s="1" t="n">
        <v>45754</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11412-2022</t>
        </is>
      </c>
      <c r="B259" s="1" t="n">
        <v>44630</v>
      </c>
      <c r="C259" s="1" t="n">
        <v>45754</v>
      </c>
      <c r="D259" t="inlineStr">
        <is>
          <t>DALARNAS LÄN</t>
        </is>
      </c>
      <c r="E259" t="inlineStr">
        <is>
          <t>LEKSAND</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45754</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14140-2022</t>
        </is>
      </c>
      <c r="B261" s="1" t="n">
        <v>44651</v>
      </c>
      <c r="C261" s="1" t="n">
        <v>45754</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14806-2022</t>
        </is>
      </c>
      <c r="B262" s="1" t="n">
        <v>44656</v>
      </c>
      <c r="C262" s="1" t="n">
        <v>45754</v>
      </c>
      <c r="D262" t="inlineStr">
        <is>
          <t>DALARNAS LÄN</t>
        </is>
      </c>
      <c r="E262" t="inlineStr">
        <is>
          <t>LEKSAND</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16353-2022</t>
        </is>
      </c>
      <c r="B263" s="1" t="n">
        <v>44670</v>
      </c>
      <c r="C263" s="1" t="n">
        <v>45754</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16375-2022</t>
        </is>
      </c>
      <c r="B264" s="1" t="n">
        <v>44671</v>
      </c>
      <c r="C264" s="1" t="n">
        <v>45754</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16976-2022</t>
        </is>
      </c>
      <c r="B265" s="1" t="n">
        <v>44676</v>
      </c>
      <c r="C265" s="1" t="n">
        <v>45754</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17455-2022</t>
        </is>
      </c>
      <c r="B266" s="1" t="n">
        <v>44679</v>
      </c>
      <c r="C266" s="1" t="n">
        <v>45754</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18140-2022</t>
        </is>
      </c>
      <c r="B267" s="1" t="n">
        <v>44684</v>
      </c>
      <c r="C267" s="1" t="n">
        <v>45754</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18866-2022</t>
        </is>
      </c>
      <c r="B268" s="1" t="n">
        <v>44690</v>
      </c>
      <c r="C268" s="1" t="n">
        <v>45754</v>
      </c>
      <c r="D268" t="inlineStr">
        <is>
          <t>DALARNAS LÄN</t>
        </is>
      </c>
      <c r="E268" t="inlineStr">
        <is>
          <t>LEKSAND</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18870-2022</t>
        </is>
      </c>
      <c r="B269" s="1" t="n">
        <v>44690</v>
      </c>
      <c r="C269" s="1" t="n">
        <v>45754</v>
      </c>
      <c r="D269" t="inlineStr">
        <is>
          <t>DALARNAS LÄN</t>
        </is>
      </c>
      <c r="E269" t="inlineStr">
        <is>
          <t>LEKSAND</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19467-2022</t>
        </is>
      </c>
      <c r="B270" s="1" t="n">
        <v>44693</v>
      </c>
      <c r="C270" s="1" t="n">
        <v>45754</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19480-2022</t>
        </is>
      </c>
      <c r="B271" s="1" t="n">
        <v>44693</v>
      </c>
      <c r="C271" s="1" t="n">
        <v>45754</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19993-2022</t>
        </is>
      </c>
      <c r="B272" s="1" t="n">
        <v>44697</v>
      </c>
      <c r="C272" s="1" t="n">
        <v>45754</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20274-2022</t>
        </is>
      </c>
      <c r="B273" s="1" t="n">
        <v>44698</v>
      </c>
      <c r="C273" s="1" t="n">
        <v>45754</v>
      </c>
      <c r="D273" t="inlineStr">
        <is>
          <t>DALARNAS LÄN</t>
        </is>
      </c>
      <c r="E273" t="inlineStr">
        <is>
          <t>LEKSAND</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21565-2022</t>
        </is>
      </c>
      <c r="B274" s="1" t="n">
        <v>44704</v>
      </c>
      <c r="C274" s="1" t="n">
        <v>45754</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21841-2022</t>
        </is>
      </c>
      <c r="B275" s="1" t="n">
        <v>44711</v>
      </c>
      <c r="C275" s="1" t="n">
        <v>45754</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21839-2022</t>
        </is>
      </c>
      <c r="B276" s="1" t="n">
        <v>44711</v>
      </c>
      <c r="C276" s="1" t="n">
        <v>45754</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21840-2022</t>
        </is>
      </c>
      <c r="B277" s="1" t="n">
        <v>44711</v>
      </c>
      <c r="C277" s="1" t="n">
        <v>45754</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22683-2022</t>
        </is>
      </c>
      <c r="B278" s="1" t="n">
        <v>44714</v>
      </c>
      <c r="C278" s="1" t="n">
        <v>45754</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22681-2022</t>
        </is>
      </c>
      <c r="B279" s="1" t="n">
        <v>44714</v>
      </c>
      <c r="C279" s="1" t="n">
        <v>45754</v>
      </c>
      <c r="D279" t="inlineStr">
        <is>
          <t>DALARNAS LÄN</t>
        </is>
      </c>
      <c r="E279" t="inlineStr">
        <is>
          <t>LEKSAND</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22684-2022</t>
        </is>
      </c>
      <c r="B280" s="1" t="n">
        <v>44714</v>
      </c>
      <c r="C280" s="1" t="n">
        <v>45754</v>
      </c>
      <c r="D280" t="inlineStr">
        <is>
          <t>DALARNAS LÄN</t>
        </is>
      </c>
      <c r="E280" t="inlineStr">
        <is>
          <t>LEKSAND</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25329-2022</t>
        </is>
      </c>
      <c r="B281" s="1" t="n">
        <v>44731</v>
      </c>
      <c r="C281" s="1" t="n">
        <v>45754</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26289-2022</t>
        </is>
      </c>
      <c r="B282" s="1" t="n">
        <v>44735</v>
      </c>
      <c r="C282" s="1" t="n">
        <v>45754</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26882-2022</t>
        </is>
      </c>
      <c r="B283" s="1" t="n">
        <v>44740</v>
      </c>
      <c r="C283" s="1" t="n">
        <v>45754</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28128-2022</t>
        </is>
      </c>
      <c r="B284" s="1" t="n">
        <v>44746</v>
      </c>
      <c r="C284" s="1" t="n">
        <v>45754</v>
      </c>
      <c r="D284" t="inlineStr">
        <is>
          <t>DALARNAS LÄN</t>
        </is>
      </c>
      <c r="E284" t="inlineStr">
        <is>
          <t>LEKSAND</t>
        </is>
      </c>
      <c r="G284" t="n">
        <v>3.5</v>
      </c>
      <c r="H284" t="n">
        <v>0</v>
      </c>
      <c r="I284" t="n">
        <v>0</v>
      </c>
      <c r="J284" t="n">
        <v>0</v>
      </c>
      <c r="K284" t="n">
        <v>0</v>
      </c>
      <c r="L284" t="n">
        <v>0</v>
      </c>
      <c r="M284" t="n">
        <v>0</v>
      </c>
      <c r="N284" t="n">
        <v>0</v>
      </c>
      <c r="O284" t="n">
        <v>0</v>
      </c>
      <c r="P284" t="n">
        <v>0</v>
      </c>
      <c r="Q284" t="n">
        <v>0</v>
      </c>
      <c r="R284" s="2" t="inlineStr"/>
    </row>
    <row r="285" ht="15" customHeight="1">
      <c r="A285" t="inlineStr">
        <is>
          <t>A 28911-2022</t>
        </is>
      </c>
      <c r="B285" s="1" t="n">
        <v>44749</v>
      </c>
      <c r="C285" s="1" t="n">
        <v>45754</v>
      </c>
      <c r="D285" t="inlineStr">
        <is>
          <t>DALARNAS LÄN</t>
        </is>
      </c>
      <c r="E285" t="inlineStr">
        <is>
          <t>LEKSAND</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28892-2022</t>
        </is>
      </c>
      <c r="B286" s="1" t="n">
        <v>44749</v>
      </c>
      <c r="C286" s="1" t="n">
        <v>45754</v>
      </c>
      <c r="D286" t="inlineStr">
        <is>
          <t>DALARNAS LÄN</t>
        </is>
      </c>
      <c r="E286" t="inlineStr">
        <is>
          <t>LEKSAND</t>
        </is>
      </c>
      <c r="F286" t="inlineStr">
        <is>
          <t>Bergvik skog väst AB</t>
        </is>
      </c>
      <c r="G286" t="n">
        <v>9.1</v>
      </c>
      <c r="H286" t="n">
        <v>0</v>
      </c>
      <c r="I286" t="n">
        <v>0</v>
      </c>
      <c r="J286" t="n">
        <v>0</v>
      </c>
      <c r="K286" t="n">
        <v>0</v>
      </c>
      <c r="L286" t="n">
        <v>0</v>
      </c>
      <c r="M286" t="n">
        <v>0</v>
      </c>
      <c r="N286" t="n">
        <v>0</v>
      </c>
      <c r="O286" t="n">
        <v>0</v>
      </c>
      <c r="P286" t="n">
        <v>0</v>
      </c>
      <c r="Q286" t="n">
        <v>0</v>
      </c>
      <c r="R286" s="2" t="inlineStr"/>
    </row>
    <row r="287" ht="15" customHeight="1">
      <c r="A287" t="inlineStr">
        <is>
          <t>A 28912-2022</t>
        </is>
      </c>
      <c r="B287" s="1" t="n">
        <v>44749</v>
      </c>
      <c r="C287" s="1" t="n">
        <v>45754</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29205-2022</t>
        </is>
      </c>
      <c r="B288" s="1" t="n">
        <v>44750</v>
      </c>
      <c r="C288" s="1" t="n">
        <v>45754</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29157-2022</t>
        </is>
      </c>
      <c r="B289" s="1" t="n">
        <v>44750</v>
      </c>
      <c r="C289" s="1" t="n">
        <v>45754</v>
      </c>
      <c r="D289" t="inlineStr">
        <is>
          <t>DALARNAS LÄN</t>
        </is>
      </c>
      <c r="E289" t="inlineStr">
        <is>
          <t>LEKSAND</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30449-2022</t>
        </is>
      </c>
      <c r="B290" s="1" t="n">
        <v>44761</v>
      </c>
      <c r="C290" s="1" t="n">
        <v>45754</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31746-2022</t>
        </is>
      </c>
      <c r="B291" s="1" t="n">
        <v>44776</v>
      </c>
      <c r="C291" s="1" t="n">
        <v>45754</v>
      </c>
      <c r="D291" t="inlineStr">
        <is>
          <t>DALARNAS LÄN</t>
        </is>
      </c>
      <c r="E291" t="inlineStr">
        <is>
          <t>LEKSAND</t>
        </is>
      </c>
      <c r="G291" t="n">
        <v>3.3</v>
      </c>
      <c r="H291" t="n">
        <v>0</v>
      </c>
      <c r="I291" t="n">
        <v>0</v>
      </c>
      <c r="J291" t="n">
        <v>0</v>
      </c>
      <c r="K291" t="n">
        <v>0</v>
      </c>
      <c r="L291" t="n">
        <v>0</v>
      </c>
      <c r="M291" t="n">
        <v>0</v>
      </c>
      <c r="N291" t="n">
        <v>0</v>
      </c>
      <c r="O291" t="n">
        <v>0</v>
      </c>
      <c r="P291" t="n">
        <v>0</v>
      </c>
      <c r="Q291" t="n">
        <v>0</v>
      </c>
      <c r="R291" s="2" t="inlineStr"/>
    </row>
    <row r="292" ht="15" customHeight="1">
      <c r="A292" t="inlineStr">
        <is>
          <t>A 31871-2022</t>
        </is>
      </c>
      <c r="B292" s="1" t="n">
        <v>44777</v>
      </c>
      <c r="C292" s="1" t="n">
        <v>45754</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32225-2022</t>
        </is>
      </c>
      <c r="B293" s="1" t="n">
        <v>44781</v>
      </c>
      <c r="C293" s="1" t="n">
        <v>45754</v>
      </c>
      <c r="D293" t="inlineStr">
        <is>
          <t>DALARNAS LÄN</t>
        </is>
      </c>
      <c r="E293" t="inlineStr">
        <is>
          <t>LEKSAND</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32476-2022</t>
        </is>
      </c>
      <c r="B294" s="1" t="n">
        <v>44782</v>
      </c>
      <c r="C294" s="1" t="n">
        <v>45754</v>
      </c>
      <c r="D294" t="inlineStr">
        <is>
          <t>DALARNAS LÄN</t>
        </is>
      </c>
      <c r="E294" t="inlineStr">
        <is>
          <t>LEKSAND</t>
        </is>
      </c>
      <c r="G294" t="n">
        <v>5.6</v>
      </c>
      <c r="H294" t="n">
        <v>0</v>
      </c>
      <c r="I294" t="n">
        <v>0</v>
      </c>
      <c r="J294" t="n">
        <v>0</v>
      </c>
      <c r="K294" t="n">
        <v>0</v>
      </c>
      <c r="L294" t="n">
        <v>0</v>
      </c>
      <c r="M294" t="n">
        <v>0</v>
      </c>
      <c r="N294" t="n">
        <v>0</v>
      </c>
      <c r="O294" t="n">
        <v>0</v>
      </c>
      <c r="P294" t="n">
        <v>0</v>
      </c>
      <c r="Q294" t="n">
        <v>0</v>
      </c>
      <c r="R294" s="2" t="inlineStr"/>
    </row>
    <row r="295" ht="15" customHeight="1">
      <c r="A295" t="inlineStr">
        <is>
          <t>A 32791-2022</t>
        </is>
      </c>
      <c r="B295" s="1" t="n">
        <v>44784</v>
      </c>
      <c r="C295" s="1" t="n">
        <v>45754</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33198-2022</t>
        </is>
      </c>
      <c r="B296" s="1" t="n">
        <v>44785</v>
      </c>
      <c r="C296" s="1" t="n">
        <v>45754</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34317-2022</t>
        </is>
      </c>
      <c r="B297" s="1" t="n">
        <v>44792</v>
      </c>
      <c r="C297" s="1" t="n">
        <v>45754</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34482-2022</t>
        </is>
      </c>
      <c r="B298" s="1" t="n">
        <v>44792</v>
      </c>
      <c r="C298" s="1" t="n">
        <v>45754</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35080-2022</t>
        </is>
      </c>
      <c r="B299" s="1" t="n">
        <v>44797</v>
      </c>
      <c r="C299" s="1" t="n">
        <v>45754</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35087-2022</t>
        </is>
      </c>
      <c r="B300" s="1" t="n">
        <v>44797</v>
      </c>
      <c r="C300" s="1" t="n">
        <v>45754</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35801-2022</t>
        </is>
      </c>
      <c r="B301" s="1" t="n">
        <v>44802</v>
      </c>
      <c r="C301" s="1" t="n">
        <v>45754</v>
      </c>
      <c r="D301" t="inlineStr">
        <is>
          <t>DALARNAS LÄN</t>
        </is>
      </c>
      <c r="E301" t="inlineStr">
        <is>
          <t>LEKSAND</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35952-2022</t>
        </is>
      </c>
      <c r="B302" s="1" t="n">
        <v>44802</v>
      </c>
      <c r="C302" s="1" t="n">
        <v>45754</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37300-2022</t>
        </is>
      </c>
      <c r="B303" s="1" t="n">
        <v>44808</v>
      </c>
      <c r="C303" s="1" t="n">
        <v>45754</v>
      </c>
      <c r="D303" t="inlineStr">
        <is>
          <t>DALARNAS LÄN</t>
        </is>
      </c>
      <c r="E303" t="inlineStr">
        <is>
          <t>LEKSAND</t>
        </is>
      </c>
      <c r="G303" t="n">
        <v>6.3</v>
      </c>
      <c r="H303" t="n">
        <v>0</v>
      </c>
      <c r="I303" t="n">
        <v>0</v>
      </c>
      <c r="J303" t="n">
        <v>0</v>
      </c>
      <c r="K303" t="n">
        <v>0</v>
      </c>
      <c r="L303" t="n">
        <v>0</v>
      </c>
      <c r="M303" t="n">
        <v>0</v>
      </c>
      <c r="N303" t="n">
        <v>0</v>
      </c>
      <c r="O303" t="n">
        <v>0</v>
      </c>
      <c r="P303" t="n">
        <v>0</v>
      </c>
      <c r="Q303" t="n">
        <v>0</v>
      </c>
      <c r="R303" s="2" t="inlineStr"/>
    </row>
    <row r="304" ht="15" customHeight="1">
      <c r="A304" t="inlineStr">
        <is>
          <t>A 37928-2022</t>
        </is>
      </c>
      <c r="B304" s="1" t="n">
        <v>44811</v>
      </c>
      <c r="C304" s="1" t="n">
        <v>45754</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38236-2022</t>
        </is>
      </c>
      <c r="B305" s="1" t="n">
        <v>44812</v>
      </c>
      <c r="C305" s="1" t="n">
        <v>45754</v>
      </c>
      <c r="D305" t="inlineStr">
        <is>
          <t>DALARNAS LÄN</t>
        </is>
      </c>
      <c r="E305" t="inlineStr">
        <is>
          <t>LEKSAND</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38258-2022</t>
        </is>
      </c>
      <c r="B306" s="1" t="n">
        <v>44812</v>
      </c>
      <c r="C306" s="1" t="n">
        <v>45754</v>
      </c>
      <c r="D306" t="inlineStr">
        <is>
          <t>DALARNAS LÄN</t>
        </is>
      </c>
      <c r="E306" t="inlineStr">
        <is>
          <t>LEKSAND</t>
        </is>
      </c>
      <c r="G306" t="n">
        <v>3.9</v>
      </c>
      <c r="H306" t="n">
        <v>0</v>
      </c>
      <c r="I306" t="n">
        <v>0</v>
      </c>
      <c r="J306" t="n">
        <v>0</v>
      </c>
      <c r="K306" t="n">
        <v>0</v>
      </c>
      <c r="L306" t="n">
        <v>0</v>
      </c>
      <c r="M306" t="n">
        <v>0</v>
      </c>
      <c r="N306" t="n">
        <v>0</v>
      </c>
      <c r="O306" t="n">
        <v>0</v>
      </c>
      <c r="P306" t="n">
        <v>0</v>
      </c>
      <c r="Q306" t="n">
        <v>0</v>
      </c>
      <c r="R306" s="2" t="inlineStr"/>
    </row>
    <row r="307" ht="15" customHeight="1">
      <c r="A307" t="inlineStr">
        <is>
          <t>A 38764-2022</t>
        </is>
      </c>
      <c r="B307" s="1" t="n">
        <v>44816</v>
      </c>
      <c r="C307" s="1" t="n">
        <v>45754</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39658-2022</t>
        </is>
      </c>
      <c r="B308" s="1" t="n">
        <v>44818</v>
      </c>
      <c r="C308" s="1" t="n">
        <v>45754</v>
      </c>
      <c r="D308" t="inlineStr">
        <is>
          <t>DALARNAS LÄN</t>
        </is>
      </c>
      <c r="E308" t="inlineStr">
        <is>
          <t>LEKSAND</t>
        </is>
      </c>
      <c r="G308" t="n">
        <v>5.4</v>
      </c>
      <c r="H308" t="n">
        <v>0</v>
      </c>
      <c r="I308" t="n">
        <v>0</v>
      </c>
      <c r="J308" t="n">
        <v>0</v>
      </c>
      <c r="K308" t="n">
        <v>0</v>
      </c>
      <c r="L308" t="n">
        <v>0</v>
      </c>
      <c r="M308" t="n">
        <v>0</v>
      </c>
      <c r="N308" t="n">
        <v>0</v>
      </c>
      <c r="O308" t="n">
        <v>0</v>
      </c>
      <c r="P308" t="n">
        <v>0</v>
      </c>
      <c r="Q308" t="n">
        <v>0</v>
      </c>
      <c r="R308" s="2" t="inlineStr"/>
    </row>
    <row r="309" ht="15" customHeight="1">
      <c r="A309" t="inlineStr">
        <is>
          <t>A 40165-2022</t>
        </is>
      </c>
      <c r="B309" s="1" t="n">
        <v>44820</v>
      </c>
      <c r="C309" s="1" t="n">
        <v>45754</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41351-2022</t>
        </is>
      </c>
      <c r="B310" s="1" t="n">
        <v>44824</v>
      </c>
      <c r="C310" s="1" t="n">
        <v>45754</v>
      </c>
      <c r="D310" t="inlineStr">
        <is>
          <t>DALARNAS LÄN</t>
        </is>
      </c>
      <c r="E310" t="inlineStr">
        <is>
          <t>LEKSAND</t>
        </is>
      </c>
      <c r="G310" t="n">
        <v>2.7</v>
      </c>
      <c r="H310" t="n">
        <v>0</v>
      </c>
      <c r="I310" t="n">
        <v>0</v>
      </c>
      <c r="J310" t="n">
        <v>0</v>
      </c>
      <c r="K310" t="n">
        <v>0</v>
      </c>
      <c r="L310" t="n">
        <v>0</v>
      </c>
      <c r="M310" t="n">
        <v>0</v>
      </c>
      <c r="N310" t="n">
        <v>0</v>
      </c>
      <c r="O310" t="n">
        <v>0</v>
      </c>
      <c r="P310" t="n">
        <v>0</v>
      </c>
      <c r="Q310" t="n">
        <v>0</v>
      </c>
      <c r="R310" s="2" t="inlineStr"/>
    </row>
    <row r="311" ht="15" customHeight="1">
      <c r="A311" t="inlineStr">
        <is>
          <t>A 43275-2022</t>
        </is>
      </c>
      <c r="B311" s="1" t="n">
        <v>44824</v>
      </c>
      <c r="C311" s="1" t="n">
        <v>45754</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41869-2022</t>
        </is>
      </c>
      <c r="B312" s="1" t="n">
        <v>44829</v>
      </c>
      <c r="C312" s="1" t="n">
        <v>45754</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43300-2022</t>
        </is>
      </c>
      <c r="B313" s="1" t="n">
        <v>44834</v>
      </c>
      <c r="C313" s="1" t="n">
        <v>45754</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43304-2022</t>
        </is>
      </c>
      <c r="B314" s="1" t="n">
        <v>44834</v>
      </c>
      <c r="C314" s="1" t="n">
        <v>45754</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43604-2022</t>
        </is>
      </c>
      <c r="B315" s="1" t="n">
        <v>44837</v>
      </c>
      <c r="C315" s="1" t="n">
        <v>45754</v>
      </c>
      <c r="D315" t="inlineStr">
        <is>
          <t>DALARNAS LÄN</t>
        </is>
      </c>
      <c r="E315" t="inlineStr">
        <is>
          <t>LEKSAND</t>
        </is>
      </c>
      <c r="F315" t="inlineStr">
        <is>
          <t>Bergvik skog väst AB</t>
        </is>
      </c>
      <c r="G315" t="n">
        <v>8</v>
      </c>
      <c r="H315" t="n">
        <v>0</v>
      </c>
      <c r="I315" t="n">
        <v>0</v>
      </c>
      <c r="J315" t="n">
        <v>0</v>
      </c>
      <c r="K315" t="n">
        <v>0</v>
      </c>
      <c r="L315" t="n">
        <v>0</v>
      </c>
      <c r="M315" t="n">
        <v>0</v>
      </c>
      <c r="N315" t="n">
        <v>0</v>
      </c>
      <c r="O315" t="n">
        <v>0</v>
      </c>
      <c r="P315" t="n">
        <v>0</v>
      </c>
      <c r="Q315" t="n">
        <v>0</v>
      </c>
      <c r="R315" s="2" t="inlineStr"/>
    </row>
    <row r="316" ht="15" customHeight="1">
      <c r="A316" t="inlineStr">
        <is>
          <t>A 43693-2022</t>
        </is>
      </c>
      <c r="B316" s="1" t="n">
        <v>44837</v>
      </c>
      <c r="C316" s="1" t="n">
        <v>45754</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43735-2022</t>
        </is>
      </c>
      <c r="B317" s="1" t="n">
        <v>44837</v>
      </c>
      <c r="C317" s="1" t="n">
        <v>45754</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44124-2022</t>
        </is>
      </c>
      <c r="B318" s="1" t="n">
        <v>44839</v>
      </c>
      <c r="C318" s="1" t="n">
        <v>45754</v>
      </c>
      <c r="D318" t="inlineStr">
        <is>
          <t>DALARNAS LÄN</t>
        </is>
      </c>
      <c r="E318" t="inlineStr">
        <is>
          <t>LEKSAND</t>
        </is>
      </c>
      <c r="G318" t="n">
        <v>8</v>
      </c>
      <c r="H318" t="n">
        <v>0</v>
      </c>
      <c r="I318" t="n">
        <v>0</v>
      </c>
      <c r="J318" t="n">
        <v>0</v>
      </c>
      <c r="K318" t="n">
        <v>0</v>
      </c>
      <c r="L318" t="n">
        <v>0</v>
      </c>
      <c r="M318" t="n">
        <v>0</v>
      </c>
      <c r="N318" t="n">
        <v>0</v>
      </c>
      <c r="O318" t="n">
        <v>0</v>
      </c>
      <c r="P318" t="n">
        <v>0</v>
      </c>
      <c r="Q318" t="n">
        <v>0</v>
      </c>
      <c r="R318" s="2" t="inlineStr"/>
    </row>
    <row r="319" ht="15" customHeight="1">
      <c r="A319" t="inlineStr">
        <is>
          <t>A 44700-2022</t>
        </is>
      </c>
      <c r="B319" s="1" t="n">
        <v>44840</v>
      </c>
      <c r="C319" s="1" t="n">
        <v>45754</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45943-2022</t>
        </is>
      </c>
      <c r="B320" s="1" t="n">
        <v>44846</v>
      </c>
      <c r="C320" s="1" t="n">
        <v>45754</v>
      </c>
      <c r="D320" t="inlineStr">
        <is>
          <t>DALARNAS LÄN</t>
        </is>
      </c>
      <c r="E320" t="inlineStr">
        <is>
          <t>LEKSAND</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46141-2022</t>
        </is>
      </c>
      <c r="B321" s="1" t="n">
        <v>44846</v>
      </c>
      <c r="C321" s="1" t="n">
        <v>45754</v>
      </c>
      <c r="D321" t="inlineStr">
        <is>
          <t>DALARNAS LÄN</t>
        </is>
      </c>
      <c r="E321" t="inlineStr">
        <is>
          <t>LEKSAND</t>
        </is>
      </c>
      <c r="G321" t="n">
        <v>2.8</v>
      </c>
      <c r="H321" t="n">
        <v>0</v>
      </c>
      <c r="I321" t="n">
        <v>0</v>
      </c>
      <c r="J321" t="n">
        <v>0</v>
      </c>
      <c r="K321" t="n">
        <v>0</v>
      </c>
      <c r="L321" t="n">
        <v>0</v>
      </c>
      <c r="M321" t="n">
        <v>0</v>
      </c>
      <c r="N321" t="n">
        <v>0</v>
      </c>
      <c r="O321" t="n">
        <v>0</v>
      </c>
      <c r="P321" t="n">
        <v>0</v>
      </c>
      <c r="Q321" t="n">
        <v>0</v>
      </c>
      <c r="R321" s="2" t="inlineStr"/>
    </row>
    <row r="322" ht="15" customHeight="1">
      <c r="A322" t="inlineStr">
        <is>
          <t>A 46672-2022</t>
        </is>
      </c>
      <c r="B322" s="1" t="n">
        <v>44851</v>
      </c>
      <c r="C322" s="1" t="n">
        <v>45754</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46916-2022</t>
        </is>
      </c>
      <c r="B323" s="1" t="n">
        <v>44851</v>
      </c>
      <c r="C323" s="1" t="n">
        <v>45754</v>
      </c>
      <c r="D323" t="inlineStr">
        <is>
          <t>DALARNAS LÄN</t>
        </is>
      </c>
      <c r="E323" t="inlineStr">
        <is>
          <t>LEKSAND</t>
        </is>
      </c>
      <c r="F323" t="inlineStr">
        <is>
          <t>Bergvik skog väst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47441-2022</t>
        </is>
      </c>
      <c r="B324" s="1" t="n">
        <v>44853</v>
      </c>
      <c r="C324" s="1" t="n">
        <v>45754</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49342-2022</t>
        </is>
      </c>
      <c r="B325" s="1" t="n">
        <v>44861</v>
      </c>
      <c r="C325" s="1" t="n">
        <v>45754</v>
      </c>
      <c r="D325" t="inlineStr">
        <is>
          <t>DALARNAS LÄN</t>
        </is>
      </c>
      <c r="E325" t="inlineStr">
        <is>
          <t>LEKSAND</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49345-2022</t>
        </is>
      </c>
      <c r="B326" s="1" t="n">
        <v>44861</v>
      </c>
      <c r="C326" s="1" t="n">
        <v>45754</v>
      </c>
      <c r="D326" t="inlineStr">
        <is>
          <t>DALARNAS LÄN</t>
        </is>
      </c>
      <c r="E326" t="inlineStr">
        <is>
          <t>LEKSAND</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49581-2022</t>
        </is>
      </c>
      <c r="B327" s="1" t="n">
        <v>44862</v>
      </c>
      <c r="C327" s="1" t="n">
        <v>45754</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50219-2022</t>
        </is>
      </c>
      <c r="B328" s="1" t="n">
        <v>44865</v>
      </c>
      <c r="C328" s="1" t="n">
        <v>45754</v>
      </c>
      <c r="D328" t="inlineStr">
        <is>
          <t>DALARNAS LÄN</t>
        </is>
      </c>
      <c r="E328" t="inlineStr">
        <is>
          <t>LEKSAND</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50353-2022</t>
        </is>
      </c>
      <c r="B329" s="1" t="n">
        <v>44866</v>
      </c>
      <c r="C329" s="1" t="n">
        <v>45754</v>
      </c>
      <c r="D329" t="inlineStr">
        <is>
          <t>DALARNAS LÄN</t>
        </is>
      </c>
      <c r="E329" t="inlineStr">
        <is>
          <t>LEKSAND</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50352-2022</t>
        </is>
      </c>
      <c r="B330" s="1" t="n">
        <v>44866</v>
      </c>
      <c r="C330" s="1" t="n">
        <v>45754</v>
      </c>
      <c r="D330" t="inlineStr">
        <is>
          <t>DALARNAS LÄN</t>
        </is>
      </c>
      <c r="E330" t="inlineStr">
        <is>
          <t>LEKSAND</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50354-2022</t>
        </is>
      </c>
      <c r="B331" s="1" t="n">
        <v>44866</v>
      </c>
      <c r="C331" s="1" t="n">
        <v>45754</v>
      </c>
      <c r="D331" t="inlineStr">
        <is>
          <t>DALARNAS LÄN</t>
        </is>
      </c>
      <c r="E331" t="inlineStr">
        <is>
          <t>LEKSAND</t>
        </is>
      </c>
      <c r="F331" t="inlineStr">
        <is>
          <t>Bergvik skog väst AB</t>
        </is>
      </c>
      <c r="G331" t="n">
        <v>7.4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45754</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51449-2022</t>
        </is>
      </c>
      <c r="B333" s="1" t="n">
        <v>44869</v>
      </c>
      <c r="C333" s="1" t="n">
        <v>45754</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51480-2022</t>
        </is>
      </c>
      <c r="B334" s="1" t="n">
        <v>44869</v>
      </c>
      <c r="C334" s="1" t="n">
        <v>45754</v>
      </c>
      <c r="D334" t="inlineStr">
        <is>
          <t>DALARNAS LÄN</t>
        </is>
      </c>
      <c r="E334" t="inlineStr">
        <is>
          <t>LEKSAND</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51502-2022</t>
        </is>
      </c>
      <c r="B335" s="1" t="n">
        <v>44869</v>
      </c>
      <c r="C335" s="1" t="n">
        <v>45754</v>
      </c>
      <c r="D335" t="inlineStr">
        <is>
          <t>DALARNAS LÄN</t>
        </is>
      </c>
      <c r="E335" t="inlineStr">
        <is>
          <t>LEKSAND</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51498-2022</t>
        </is>
      </c>
      <c r="B336" s="1" t="n">
        <v>44869</v>
      </c>
      <c r="C336" s="1" t="n">
        <v>45754</v>
      </c>
      <c r="D336" t="inlineStr">
        <is>
          <t>DALARNAS LÄN</t>
        </is>
      </c>
      <c r="E336" t="inlineStr">
        <is>
          <t>LEKSAND</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51842-2022</t>
        </is>
      </c>
      <c r="B337" s="1" t="n">
        <v>44872</v>
      </c>
      <c r="C337" s="1" t="n">
        <v>45754</v>
      </c>
      <c r="D337" t="inlineStr">
        <is>
          <t>DALARNAS LÄN</t>
        </is>
      </c>
      <c r="E337" t="inlineStr">
        <is>
          <t>LEKSAND</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52977-2022</t>
        </is>
      </c>
      <c r="B338" s="1" t="n">
        <v>44875</v>
      </c>
      <c r="C338" s="1" t="n">
        <v>45754</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53293-2022</t>
        </is>
      </c>
      <c r="B339" s="1" t="n">
        <v>44877</v>
      </c>
      <c r="C339" s="1" t="n">
        <v>45754</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53787-2022</t>
        </is>
      </c>
      <c r="B340" s="1" t="n">
        <v>44880</v>
      </c>
      <c r="C340" s="1" t="n">
        <v>45754</v>
      </c>
      <c r="D340" t="inlineStr">
        <is>
          <t>DALARNAS LÄN</t>
        </is>
      </c>
      <c r="E340" t="inlineStr">
        <is>
          <t>LEKSAND</t>
        </is>
      </c>
      <c r="G340" t="n">
        <v>7.6</v>
      </c>
      <c r="H340" t="n">
        <v>0</v>
      </c>
      <c r="I340" t="n">
        <v>0</v>
      </c>
      <c r="J340" t="n">
        <v>0</v>
      </c>
      <c r="K340" t="n">
        <v>0</v>
      </c>
      <c r="L340" t="n">
        <v>0</v>
      </c>
      <c r="M340" t="n">
        <v>0</v>
      </c>
      <c r="N340" t="n">
        <v>0</v>
      </c>
      <c r="O340" t="n">
        <v>0</v>
      </c>
      <c r="P340" t="n">
        <v>0</v>
      </c>
      <c r="Q340" t="n">
        <v>0</v>
      </c>
      <c r="R340" s="2" t="inlineStr"/>
    </row>
    <row r="341" ht="15" customHeight="1">
      <c r="A341" t="inlineStr">
        <is>
          <t>A 54070-2022</t>
        </is>
      </c>
      <c r="B341" s="1" t="n">
        <v>44881</v>
      </c>
      <c r="C341" s="1" t="n">
        <v>45754</v>
      </c>
      <c r="D341" t="inlineStr">
        <is>
          <t>DALARNAS LÄN</t>
        </is>
      </c>
      <c r="E341" t="inlineStr">
        <is>
          <t>LEKSAND</t>
        </is>
      </c>
      <c r="G341" t="n">
        <v>4.7</v>
      </c>
      <c r="H341" t="n">
        <v>0</v>
      </c>
      <c r="I341" t="n">
        <v>0</v>
      </c>
      <c r="J341" t="n">
        <v>0</v>
      </c>
      <c r="K341" t="n">
        <v>0</v>
      </c>
      <c r="L341" t="n">
        <v>0</v>
      </c>
      <c r="M341" t="n">
        <v>0</v>
      </c>
      <c r="N341" t="n">
        <v>0</v>
      </c>
      <c r="O341" t="n">
        <v>0</v>
      </c>
      <c r="P341" t="n">
        <v>0</v>
      </c>
      <c r="Q341" t="n">
        <v>0</v>
      </c>
      <c r="R341" s="2" t="inlineStr"/>
    </row>
    <row r="342" ht="15" customHeight="1">
      <c r="A342" t="inlineStr">
        <is>
          <t>A 56330-2022</t>
        </is>
      </c>
      <c r="B342" s="1" t="n">
        <v>44890</v>
      </c>
      <c r="C342" s="1" t="n">
        <v>45754</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56702-2022</t>
        </is>
      </c>
      <c r="B343" s="1" t="n">
        <v>44893</v>
      </c>
      <c r="C343" s="1" t="n">
        <v>45754</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57415-2022</t>
        </is>
      </c>
      <c r="B344" s="1" t="n">
        <v>44896</v>
      </c>
      <c r="C344" s="1" t="n">
        <v>45754</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57438-2022</t>
        </is>
      </c>
      <c r="B345" s="1" t="n">
        <v>44896</v>
      </c>
      <c r="C345" s="1" t="n">
        <v>45754</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58619-2022</t>
        </is>
      </c>
      <c r="B346" s="1" t="n">
        <v>44902</v>
      </c>
      <c r="C346" s="1" t="n">
        <v>45754</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60300-2022</t>
        </is>
      </c>
      <c r="B347" s="1" t="n">
        <v>44903</v>
      </c>
      <c r="C347" s="1" t="n">
        <v>45754</v>
      </c>
      <c r="D347" t="inlineStr">
        <is>
          <t>DALARNAS LÄN</t>
        </is>
      </c>
      <c r="E347" t="inlineStr">
        <is>
          <t>LEKSAND</t>
        </is>
      </c>
      <c r="G347" t="n">
        <v>2.7</v>
      </c>
      <c r="H347" t="n">
        <v>0</v>
      </c>
      <c r="I347" t="n">
        <v>0</v>
      </c>
      <c r="J347" t="n">
        <v>0</v>
      </c>
      <c r="K347" t="n">
        <v>0</v>
      </c>
      <c r="L347" t="n">
        <v>0</v>
      </c>
      <c r="M347" t="n">
        <v>0</v>
      </c>
      <c r="N347" t="n">
        <v>0</v>
      </c>
      <c r="O347" t="n">
        <v>0</v>
      </c>
      <c r="P347" t="n">
        <v>0</v>
      </c>
      <c r="Q347" t="n">
        <v>0</v>
      </c>
      <c r="R347" s="2" t="inlineStr"/>
    </row>
    <row r="348" ht="15" customHeight="1">
      <c r="A348" t="inlineStr">
        <is>
          <t>A 60095-2022</t>
        </is>
      </c>
      <c r="B348" s="1" t="n">
        <v>44909</v>
      </c>
      <c r="C348" s="1" t="n">
        <v>45754</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60113-2022</t>
        </is>
      </c>
      <c r="B349" s="1" t="n">
        <v>44909</v>
      </c>
      <c r="C349" s="1" t="n">
        <v>45754</v>
      </c>
      <c r="D349" t="inlineStr">
        <is>
          <t>DALARNAS LÄN</t>
        </is>
      </c>
      <c r="E349" t="inlineStr">
        <is>
          <t>LEKSAND</t>
        </is>
      </c>
      <c r="G349" t="n">
        <v>3.7</v>
      </c>
      <c r="H349" t="n">
        <v>0</v>
      </c>
      <c r="I349" t="n">
        <v>0</v>
      </c>
      <c r="J349" t="n">
        <v>0</v>
      </c>
      <c r="K349" t="n">
        <v>0</v>
      </c>
      <c r="L349" t="n">
        <v>0</v>
      </c>
      <c r="M349" t="n">
        <v>0</v>
      </c>
      <c r="N349" t="n">
        <v>0</v>
      </c>
      <c r="O349" t="n">
        <v>0</v>
      </c>
      <c r="P349" t="n">
        <v>0</v>
      </c>
      <c r="Q349" t="n">
        <v>0</v>
      </c>
      <c r="R349" s="2" t="inlineStr"/>
    </row>
    <row r="350" ht="15" customHeight="1">
      <c r="A350" t="inlineStr">
        <is>
          <t>A 61269-2022</t>
        </is>
      </c>
      <c r="B350" s="1" t="n">
        <v>44909</v>
      </c>
      <c r="C350" s="1" t="n">
        <v>45754</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60550-2022</t>
        </is>
      </c>
      <c r="B351" s="1" t="n">
        <v>44911</v>
      </c>
      <c r="C351" s="1" t="n">
        <v>45754</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45754</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60913-2022</t>
        </is>
      </c>
      <c r="B353" s="1" t="n">
        <v>44914</v>
      </c>
      <c r="C353" s="1" t="n">
        <v>45754</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61288-2022</t>
        </is>
      </c>
      <c r="B354" s="1" t="n">
        <v>44915</v>
      </c>
      <c r="C354" s="1" t="n">
        <v>45754</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61786-2022</t>
        </is>
      </c>
      <c r="B355" s="1" t="n">
        <v>44917</v>
      </c>
      <c r="C355" s="1" t="n">
        <v>45754</v>
      </c>
      <c r="D355" t="inlineStr">
        <is>
          <t>DALARNAS LÄN</t>
        </is>
      </c>
      <c r="E355" t="inlineStr">
        <is>
          <t>LEKSAND</t>
        </is>
      </c>
      <c r="G355" t="n">
        <v>4.3</v>
      </c>
      <c r="H355" t="n">
        <v>0</v>
      </c>
      <c r="I355" t="n">
        <v>0</v>
      </c>
      <c r="J355" t="n">
        <v>0</v>
      </c>
      <c r="K355" t="n">
        <v>0</v>
      </c>
      <c r="L355" t="n">
        <v>0</v>
      </c>
      <c r="M355" t="n">
        <v>0</v>
      </c>
      <c r="N355" t="n">
        <v>0</v>
      </c>
      <c r="O355" t="n">
        <v>0</v>
      </c>
      <c r="P355" t="n">
        <v>0</v>
      </c>
      <c r="Q355" t="n">
        <v>0</v>
      </c>
      <c r="R355" s="2" t="inlineStr"/>
    </row>
    <row r="356" ht="15" customHeight="1">
      <c r="A356" t="inlineStr">
        <is>
          <t>A 61787-2022</t>
        </is>
      </c>
      <c r="B356" s="1" t="n">
        <v>44917</v>
      </c>
      <c r="C356" s="1" t="n">
        <v>45754</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164-2023</t>
        </is>
      </c>
      <c r="B357" s="1" t="n">
        <v>44918</v>
      </c>
      <c r="C357" s="1" t="n">
        <v>45754</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151-2023</t>
        </is>
      </c>
      <c r="B358" s="1" t="n">
        <v>44918</v>
      </c>
      <c r="C358" s="1" t="n">
        <v>45754</v>
      </c>
      <c r="D358" t="inlineStr">
        <is>
          <t>DALARNAS LÄN</t>
        </is>
      </c>
      <c r="E358" t="inlineStr">
        <is>
          <t>LEKSAND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167-2023</t>
        </is>
      </c>
      <c r="B359" s="1" t="n">
        <v>44918</v>
      </c>
      <c r="C359" s="1" t="n">
        <v>45754</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325-2023</t>
        </is>
      </c>
      <c r="B360" s="1" t="n">
        <v>44929</v>
      </c>
      <c r="C360" s="1" t="n">
        <v>45754</v>
      </c>
      <c r="D360" t="inlineStr">
        <is>
          <t>DALARNAS LÄN</t>
        </is>
      </c>
      <c r="E360" t="inlineStr">
        <is>
          <t>LEKSAND</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315-2023</t>
        </is>
      </c>
      <c r="B361" s="1" t="n">
        <v>44929</v>
      </c>
      <c r="C361" s="1" t="n">
        <v>45754</v>
      </c>
      <c r="D361" t="inlineStr">
        <is>
          <t>DALARNAS LÄN</t>
        </is>
      </c>
      <c r="E361" t="inlineStr">
        <is>
          <t>LEKSAND</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320-2023</t>
        </is>
      </c>
      <c r="B362" s="1" t="n">
        <v>44929</v>
      </c>
      <c r="C362" s="1" t="n">
        <v>45754</v>
      </c>
      <c r="D362" t="inlineStr">
        <is>
          <t>DALARNAS LÄN</t>
        </is>
      </c>
      <c r="E362" t="inlineStr">
        <is>
          <t>LEKSAND</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391-2023</t>
        </is>
      </c>
      <c r="B363" s="1" t="n">
        <v>44929</v>
      </c>
      <c r="C363" s="1" t="n">
        <v>45754</v>
      </c>
      <c r="D363" t="inlineStr">
        <is>
          <t>DALARNAS LÄN</t>
        </is>
      </c>
      <c r="E363" t="inlineStr">
        <is>
          <t>LEKSAND</t>
        </is>
      </c>
      <c r="F363" t="inlineStr">
        <is>
          <t>Övriga Aktiebolag</t>
        </is>
      </c>
      <c r="G363" t="n">
        <v>10</v>
      </c>
      <c r="H363" t="n">
        <v>0</v>
      </c>
      <c r="I363" t="n">
        <v>0</v>
      </c>
      <c r="J363" t="n">
        <v>0</v>
      </c>
      <c r="K363" t="n">
        <v>0</v>
      </c>
      <c r="L363" t="n">
        <v>0</v>
      </c>
      <c r="M363" t="n">
        <v>0</v>
      </c>
      <c r="N363" t="n">
        <v>0</v>
      </c>
      <c r="O363" t="n">
        <v>0</v>
      </c>
      <c r="P363" t="n">
        <v>0</v>
      </c>
      <c r="Q363" t="n">
        <v>0</v>
      </c>
      <c r="R363" s="2" t="inlineStr"/>
    </row>
    <row r="364" ht="15" customHeight="1">
      <c r="A364" t="inlineStr">
        <is>
          <t>A 784-2023</t>
        </is>
      </c>
      <c r="B364" s="1" t="n">
        <v>44931</v>
      </c>
      <c r="C364" s="1" t="n">
        <v>45754</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1510-2023</t>
        </is>
      </c>
      <c r="B365" s="1" t="n">
        <v>44937</v>
      </c>
      <c r="C365" s="1" t="n">
        <v>45754</v>
      </c>
      <c r="D365" t="inlineStr">
        <is>
          <t>DALARNAS LÄN</t>
        </is>
      </c>
      <c r="E365" t="inlineStr">
        <is>
          <t>LEKSAND</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3262-2023</t>
        </is>
      </c>
      <c r="B366" s="1" t="n">
        <v>44948</v>
      </c>
      <c r="C366" s="1" t="n">
        <v>45754</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3445-2023</t>
        </is>
      </c>
      <c r="B367" s="1" t="n">
        <v>44949</v>
      </c>
      <c r="C367" s="1" t="n">
        <v>45754</v>
      </c>
      <c r="D367" t="inlineStr">
        <is>
          <t>DALARNAS LÄN</t>
        </is>
      </c>
      <c r="E367" t="inlineStr">
        <is>
          <t>LEKSAND</t>
        </is>
      </c>
      <c r="G367" t="n">
        <v>2.8</v>
      </c>
      <c r="H367" t="n">
        <v>0</v>
      </c>
      <c r="I367" t="n">
        <v>0</v>
      </c>
      <c r="J367" t="n">
        <v>0</v>
      </c>
      <c r="K367" t="n">
        <v>0</v>
      </c>
      <c r="L367" t="n">
        <v>0</v>
      </c>
      <c r="M367" t="n">
        <v>0</v>
      </c>
      <c r="N367" t="n">
        <v>0</v>
      </c>
      <c r="O367" t="n">
        <v>0</v>
      </c>
      <c r="P367" t="n">
        <v>0</v>
      </c>
      <c r="Q367" t="n">
        <v>0</v>
      </c>
      <c r="R367" s="2" t="inlineStr"/>
    </row>
    <row r="368" ht="15" customHeight="1">
      <c r="A368" t="inlineStr">
        <is>
          <t>A 3737-2023</t>
        </is>
      </c>
      <c r="B368" s="1" t="n">
        <v>44951</v>
      </c>
      <c r="C368" s="1" t="n">
        <v>45754</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4182-2023</t>
        </is>
      </c>
      <c r="B369" s="1" t="n">
        <v>44951</v>
      </c>
      <c r="C369" s="1" t="n">
        <v>45754</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4217-2023</t>
        </is>
      </c>
      <c r="B370" s="1" t="n">
        <v>44953</v>
      </c>
      <c r="C370" s="1" t="n">
        <v>45754</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6057-2023</t>
        </is>
      </c>
      <c r="B371" s="1" t="n">
        <v>44959</v>
      </c>
      <c r="C371" s="1" t="n">
        <v>45754</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6039-2023</t>
        </is>
      </c>
      <c r="B372" s="1" t="n">
        <v>44959</v>
      </c>
      <c r="C372" s="1" t="n">
        <v>45754</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6079-2023</t>
        </is>
      </c>
      <c r="B373" s="1" t="n">
        <v>44959</v>
      </c>
      <c r="C373" s="1" t="n">
        <v>45754</v>
      </c>
      <c r="D373" t="inlineStr">
        <is>
          <t>DALARNAS LÄN</t>
        </is>
      </c>
      <c r="E373" t="inlineStr">
        <is>
          <t>LEKSAND</t>
        </is>
      </c>
      <c r="G373" t="n">
        <v>4.1</v>
      </c>
      <c r="H373" t="n">
        <v>0</v>
      </c>
      <c r="I373" t="n">
        <v>0</v>
      </c>
      <c r="J373" t="n">
        <v>0</v>
      </c>
      <c r="K373" t="n">
        <v>0</v>
      </c>
      <c r="L373" t="n">
        <v>0</v>
      </c>
      <c r="M373" t="n">
        <v>0</v>
      </c>
      <c r="N373" t="n">
        <v>0</v>
      </c>
      <c r="O373" t="n">
        <v>0</v>
      </c>
      <c r="P373" t="n">
        <v>0</v>
      </c>
      <c r="Q373" t="n">
        <v>0</v>
      </c>
      <c r="R373" s="2" t="inlineStr"/>
    </row>
    <row r="374" ht="15" customHeight="1">
      <c r="A374" t="inlineStr">
        <is>
          <t>A 6050-2023</t>
        </is>
      </c>
      <c r="B374" s="1" t="n">
        <v>44959</v>
      </c>
      <c r="C374" s="1" t="n">
        <v>45754</v>
      </c>
      <c r="D374" t="inlineStr">
        <is>
          <t>DALARNAS LÄN</t>
        </is>
      </c>
      <c r="E374" t="inlineStr">
        <is>
          <t>LEKSAND</t>
        </is>
      </c>
      <c r="G374" t="n">
        <v>6.2</v>
      </c>
      <c r="H374" t="n">
        <v>0</v>
      </c>
      <c r="I374" t="n">
        <v>0</v>
      </c>
      <c r="J374" t="n">
        <v>0</v>
      </c>
      <c r="K374" t="n">
        <v>0</v>
      </c>
      <c r="L374" t="n">
        <v>0</v>
      </c>
      <c r="M374" t="n">
        <v>0</v>
      </c>
      <c r="N374" t="n">
        <v>0</v>
      </c>
      <c r="O374" t="n">
        <v>0</v>
      </c>
      <c r="P374" t="n">
        <v>0</v>
      </c>
      <c r="Q374" t="n">
        <v>0</v>
      </c>
      <c r="R374" s="2" t="inlineStr"/>
    </row>
    <row r="375" ht="15" customHeight="1">
      <c r="A375" t="inlineStr">
        <is>
          <t>A 5738-2023</t>
        </is>
      </c>
      <c r="B375" s="1" t="n">
        <v>44962</v>
      </c>
      <c r="C375" s="1" t="n">
        <v>45754</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6074-2023</t>
        </is>
      </c>
      <c r="B376" s="1" t="n">
        <v>44964</v>
      </c>
      <c r="C376" s="1" t="n">
        <v>45754</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7441-2023</t>
        </is>
      </c>
      <c r="B377" s="1" t="n">
        <v>44966</v>
      </c>
      <c r="C377" s="1" t="n">
        <v>45754</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45754</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v>
      </c>
      <c r="C379" s="1" t="n">
        <v>45754</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8170-2023</t>
        </is>
      </c>
      <c r="B380" s="1" t="n">
        <v>44971</v>
      </c>
      <c r="C380" s="1" t="n">
        <v>45754</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7450-2023</t>
        </is>
      </c>
      <c r="B381" s="1" t="n">
        <v>44971</v>
      </c>
      <c r="C381" s="1" t="n">
        <v>45754</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45754</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8211-2023</t>
        </is>
      </c>
      <c r="B383" s="1" t="n">
        <v>44974</v>
      </c>
      <c r="C383" s="1" t="n">
        <v>45754</v>
      </c>
      <c r="D383" t="inlineStr">
        <is>
          <t>DALARNAS LÄN</t>
        </is>
      </c>
      <c r="E383" t="inlineStr">
        <is>
          <t>LEKSAND</t>
        </is>
      </c>
      <c r="G383" t="n">
        <v>5.2</v>
      </c>
      <c r="H383" t="n">
        <v>0</v>
      </c>
      <c r="I383" t="n">
        <v>0</v>
      </c>
      <c r="J383" t="n">
        <v>0</v>
      </c>
      <c r="K383" t="n">
        <v>0</v>
      </c>
      <c r="L383" t="n">
        <v>0</v>
      </c>
      <c r="M383" t="n">
        <v>0</v>
      </c>
      <c r="N383" t="n">
        <v>0</v>
      </c>
      <c r="O383" t="n">
        <v>0</v>
      </c>
      <c r="P383" t="n">
        <v>0</v>
      </c>
      <c r="Q383" t="n">
        <v>0</v>
      </c>
      <c r="R383" s="2" t="inlineStr"/>
    </row>
    <row r="384" ht="15" customHeight="1">
      <c r="A384" t="inlineStr">
        <is>
          <t>A 8936-2023</t>
        </is>
      </c>
      <c r="B384" s="1" t="n">
        <v>44974</v>
      </c>
      <c r="C384" s="1" t="n">
        <v>45754</v>
      </c>
      <c r="D384" t="inlineStr">
        <is>
          <t>DALARNAS LÄN</t>
        </is>
      </c>
      <c r="E384" t="inlineStr">
        <is>
          <t>LEKSAND</t>
        </is>
      </c>
      <c r="G384" t="n">
        <v>7</v>
      </c>
      <c r="H384" t="n">
        <v>0</v>
      </c>
      <c r="I384" t="n">
        <v>0</v>
      </c>
      <c r="J384" t="n">
        <v>0</v>
      </c>
      <c r="K384" t="n">
        <v>0</v>
      </c>
      <c r="L384" t="n">
        <v>0</v>
      </c>
      <c r="M384" t="n">
        <v>0</v>
      </c>
      <c r="N384" t="n">
        <v>0</v>
      </c>
      <c r="O384" t="n">
        <v>0</v>
      </c>
      <c r="P384" t="n">
        <v>0</v>
      </c>
      <c r="Q384" t="n">
        <v>0</v>
      </c>
      <c r="R384" s="2" t="inlineStr"/>
    </row>
    <row r="385" ht="15" customHeight="1">
      <c r="A385" t="inlineStr">
        <is>
          <t>A 9143-2023</t>
        </is>
      </c>
      <c r="B385" s="1" t="n">
        <v>44974</v>
      </c>
      <c r="C385" s="1" t="n">
        <v>45754</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8940-2023</t>
        </is>
      </c>
      <c r="B386" s="1" t="n">
        <v>44974</v>
      </c>
      <c r="C386" s="1" t="n">
        <v>45754</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9138-2023</t>
        </is>
      </c>
      <c r="B387" s="1" t="n">
        <v>44974</v>
      </c>
      <c r="C387" s="1" t="n">
        <v>45754</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45754</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9459-2023</t>
        </is>
      </c>
      <c r="B389" s="1" t="n">
        <v>44977</v>
      </c>
      <c r="C389" s="1" t="n">
        <v>45754</v>
      </c>
      <c r="D389" t="inlineStr">
        <is>
          <t>DALARNAS LÄN</t>
        </is>
      </c>
      <c r="E389" t="inlineStr">
        <is>
          <t>LEKSAND</t>
        </is>
      </c>
      <c r="G389" t="n">
        <v>1.1</v>
      </c>
      <c r="H389" t="n">
        <v>0</v>
      </c>
      <c r="I389" t="n">
        <v>0</v>
      </c>
      <c r="J389" t="n">
        <v>0</v>
      </c>
      <c r="K389" t="n">
        <v>0</v>
      </c>
      <c r="L389" t="n">
        <v>0</v>
      </c>
      <c r="M389" t="n">
        <v>0</v>
      </c>
      <c r="N389" t="n">
        <v>0</v>
      </c>
      <c r="O389" t="n">
        <v>0</v>
      </c>
      <c r="P389" t="n">
        <v>0</v>
      </c>
      <c r="Q389" t="n">
        <v>0</v>
      </c>
      <c r="R389" s="2" t="inlineStr"/>
    </row>
    <row r="390" ht="15" customHeight="1">
      <c r="A390" t="inlineStr">
        <is>
          <t>A 8773-2023</t>
        </is>
      </c>
      <c r="B390" s="1" t="n">
        <v>44978</v>
      </c>
      <c r="C390" s="1" t="n">
        <v>45754</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8695-2023</t>
        </is>
      </c>
      <c r="B391" s="1" t="n">
        <v>44978</v>
      </c>
      <c r="C391" s="1" t="n">
        <v>45754</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8743-2023</t>
        </is>
      </c>
      <c r="B392" s="1" t="n">
        <v>44978</v>
      </c>
      <c r="C392" s="1" t="n">
        <v>45754</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8755-2023</t>
        </is>
      </c>
      <c r="B393" s="1" t="n">
        <v>44978</v>
      </c>
      <c r="C393" s="1" t="n">
        <v>45754</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9324-2023</t>
        </is>
      </c>
      <c r="B394" s="1" t="n">
        <v>44980</v>
      </c>
      <c r="C394" s="1" t="n">
        <v>45754</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9336-2023</t>
        </is>
      </c>
      <c r="B395" s="1" t="n">
        <v>44980</v>
      </c>
      <c r="C395" s="1" t="n">
        <v>45754</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9938-2023</t>
        </is>
      </c>
      <c r="B396" s="1" t="n">
        <v>44985</v>
      </c>
      <c r="C396" s="1" t="n">
        <v>45754</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9947-2023</t>
        </is>
      </c>
      <c r="B397" s="1" t="n">
        <v>44985</v>
      </c>
      <c r="C397" s="1" t="n">
        <v>45754</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11010-2023</t>
        </is>
      </c>
      <c r="B398" s="1" t="n">
        <v>44986</v>
      </c>
      <c r="C398" s="1" t="n">
        <v>45754</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11004-2023</t>
        </is>
      </c>
      <c r="B399" s="1" t="n">
        <v>44986</v>
      </c>
      <c r="C399" s="1" t="n">
        <v>45754</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10367-2023</t>
        </is>
      </c>
      <c r="B400" s="1" t="n">
        <v>44987</v>
      </c>
      <c r="C400" s="1" t="n">
        <v>45754</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10373-2023</t>
        </is>
      </c>
      <c r="B401" s="1" t="n">
        <v>44987</v>
      </c>
      <c r="C401" s="1" t="n">
        <v>45754</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10368-2023</t>
        </is>
      </c>
      <c r="B402" s="1" t="n">
        <v>44987</v>
      </c>
      <c r="C402" s="1" t="n">
        <v>45754</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11398-2023</t>
        </is>
      </c>
      <c r="B403" s="1" t="n">
        <v>44988</v>
      </c>
      <c r="C403" s="1" t="n">
        <v>45754</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11423-2023</t>
        </is>
      </c>
      <c r="B404" s="1" t="n">
        <v>44988</v>
      </c>
      <c r="C404" s="1" t="n">
        <v>45754</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11420-2023</t>
        </is>
      </c>
      <c r="B405" s="1" t="n">
        <v>44988</v>
      </c>
      <c r="C405" s="1" t="n">
        <v>45754</v>
      </c>
      <c r="D405" t="inlineStr">
        <is>
          <t>DALARNAS LÄN</t>
        </is>
      </c>
      <c r="E405" t="inlineStr">
        <is>
          <t>LEKSAND</t>
        </is>
      </c>
      <c r="G405" t="n">
        <v>6.5</v>
      </c>
      <c r="H405" t="n">
        <v>0</v>
      </c>
      <c r="I405" t="n">
        <v>0</v>
      </c>
      <c r="J405" t="n">
        <v>0</v>
      </c>
      <c r="K405" t="n">
        <v>0</v>
      </c>
      <c r="L405" t="n">
        <v>0</v>
      </c>
      <c r="M405" t="n">
        <v>0</v>
      </c>
      <c r="N405" t="n">
        <v>0</v>
      </c>
      <c r="O405" t="n">
        <v>0</v>
      </c>
      <c r="P405" t="n">
        <v>0</v>
      </c>
      <c r="Q405" t="n">
        <v>0</v>
      </c>
      <c r="R405" s="2" t="inlineStr"/>
    </row>
    <row r="406" ht="15" customHeight="1">
      <c r="A406" t="inlineStr">
        <is>
          <t>A 10828-2023</t>
        </is>
      </c>
      <c r="B406" s="1" t="n">
        <v>44990</v>
      </c>
      <c r="C406" s="1" t="n">
        <v>45754</v>
      </c>
      <c r="D406" t="inlineStr">
        <is>
          <t>DALARNAS LÄN</t>
        </is>
      </c>
      <c r="E406" t="inlineStr">
        <is>
          <t>LEKSAND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10833-2023</t>
        </is>
      </c>
      <c r="B407" s="1" t="n">
        <v>44990</v>
      </c>
      <c r="C407" s="1" t="n">
        <v>45754</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10967-2023</t>
        </is>
      </c>
      <c r="B408" s="1" t="n">
        <v>44991</v>
      </c>
      <c r="C408" s="1" t="n">
        <v>45754</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10987-2023</t>
        </is>
      </c>
      <c r="B409" s="1" t="n">
        <v>44991</v>
      </c>
      <c r="C409" s="1" t="n">
        <v>45754</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10869-2023</t>
        </is>
      </c>
      <c r="B410" s="1" t="n">
        <v>44991</v>
      </c>
      <c r="C410" s="1" t="n">
        <v>45754</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10974-2023</t>
        </is>
      </c>
      <c r="B411" s="1" t="n">
        <v>44991</v>
      </c>
      <c r="C411" s="1" t="n">
        <v>45754</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10896-2023</t>
        </is>
      </c>
      <c r="B412" s="1" t="n">
        <v>44991</v>
      </c>
      <c r="C412" s="1" t="n">
        <v>45754</v>
      </c>
      <c r="D412" t="inlineStr">
        <is>
          <t>DALARNAS LÄN</t>
        </is>
      </c>
      <c r="E412" t="inlineStr">
        <is>
          <t>LEKSAND</t>
        </is>
      </c>
      <c r="G412" t="n">
        <v>4.1</v>
      </c>
      <c r="H412" t="n">
        <v>0</v>
      </c>
      <c r="I412" t="n">
        <v>0</v>
      </c>
      <c r="J412" t="n">
        <v>0</v>
      </c>
      <c r="K412" t="n">
        <v>0</v>
      </c>
      <c r="L412" t="n">
        <v>0</v>
      </c>
      <c r="M412" t="n">
        <v>0</v>
      </c>
      <c r="N412" t="n">
        <v>0</v>
      </c>
      <c r="O412" t="n">
        <v>0</v>
      </c>
      <c r="P412" t="n">
        <v>0</v>
      </c>
      <c r="Q412" t="n">
        <v>0</v>
      </c>
      <c r="R412" s="2" t="inlineStr"/>
    </row>
    <row r="413" ht="15" customHeight="1">
      <c r="A413" t="inlineStr">
        <is>
          <t>A 11233-2023</t>
        </is>
      </c>
      <c r="B413" s="1" t="n">
        <v>44992</v>
      </c>
      <c r="C413" s="1" t="n">
        <v>45754</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11238-2023</t>
        </is>
      </c>
      <c r="B414" s="1" t="n">
        <v>44992</v>
      </c>
      <c r="C414" s="1" t="n">
        <v>45754</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11092-2023</t>
        </is>
      </c>
      <c r="B415" s="1" t="n">
        <v>44992</v>
      </c>
      <c r="C415" s="1" t="n">
        <v>45754</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11248-2023</t>
        </is>
      </c>
      <c r="B416" s="1" t="n">
        <v>44992</v>
      </c>
      <c r="C416" s="1" t="n">
        <v>45754</v>
      </c>
      <c r="D416" t="inlineStr">
        <is>
          <t>DALARNAS LÄN</t>
        </is>
      </c>
      <c r="E416" t="inlineStr">
        <is>
          <t>LEKSAND</t>
        </is>
      </c>
      <c r="G416" t="n">
        <v>3.5</v>
      </c>
      <c r="H416" t="n">
        <v>0</v>
      </c>
      <c r="I416" t="n">
        <v>0</v>
      </c>
      <c r="J416" t="n">
        <v>0</v>
      </c>
      <c r="K416" t="n">
        <v>0</v>
      </c>
      <c r="L416" t="n">
        <v>0</v>
      </c>
      <c r="M416" t="n">
        <v>0</v>
      </c>
      <c r="N416" t="n">
        <v>0</v>
      </c>
      <c r="O416" t="n">
        <v>0</v>
      </c>
      <c r="P416" t="n">
        <v>0</v>
      </c>
      <c r="Q416" t="n">
        <v>0</v>
      </c>
      <c r="R416" s="2" t="inlineStr"/>
    </row>
    <row r="417" ht="15" customHeight="1">
      <c r="A417" t="inlineStr">
        <is>
          <t>A 11128-2023</t>
        </is>
      </c>
      <c r="B417" s="1" t="n">
        <v>44992</v>
      </c>
      <c r="C417" s="1" t="n">
        <v>45754</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11080-2023</t>
        </is>
      </c>
      <c r="B418" s="1" t="n">
        <v>44992</v>
      </c>
      <c r="C418" s="1" t="n">
        <v>45754</v>
      </c>
      <c r="D418" t="inlineStr">
        <is>
          <t>DALARNAS LÄN</t>
        </is>
      </c>
      <c r="E418" t="inlineStr">
        <is>
          <t>LEKSAND</t>
        </is>
      </c>
      <c r="G418" t="n">
        <v>6.9</v>
      </c>
      <c r="H418" t="n">
        <v>0</v>
      </c>
      <c r="I418" t="n">
        <v>0</v>
      </c>
      <c r="J418" t="n">
        <v>0</v>
      </c>
      <c r="K418" t="n">
        <v>0</v>
      </c>
      <c r="L418" t="n">
        <v>0</v>
      </c>
      <c r="M418" t="n">
        <v>0</v>
      </c>
      <c r="N418" t="n">
        <v>0</v>
      </c>
      <c r="O418" t="n">
        <v>0</v>
      </c>
      <c r="P418" t="n">
        <v>0</v>
      </c>
      <c r="Q418" t="n">
        <v>0</v>
      </c>
      <c r="R418" s="2" t="inlineStr"/>
    </row>
    <row r="419" ht="15" customHeight="1">
      <c r="A419" t="inlineStr">
        <is>
          <t>A 11110-2023</t>
        </is>
      </c>
      <c r="B419" s="1" t="n">
        <v>44992</v>
      </c>
      <c r="C419" s="1" t="n">
        <v>45754</v>
      </c>
      <c r="D419" t="inlineStr">
        <is>
          <t>DALARNAS LÄN</t>
        </is>
      </c>
      <c r="E419" t="inlineStr">
        <is>
          <t>LEKSAND</t>
        </is>
      </c>
      <c r="G419" t="n">
        <v>11.2</v>
      </c>
      <c r="H419" t="n">
        <v>0</v>
      </c>
      <c r="I419" t="n">
        <v>0</v>
      </c>
      <c r="J419" t="n">
        <v>0</v>
      </c>
      <c r="K419" t="n">
        <v>0</v>
      </c>
      <c r="L419" t="n">
        <v>0</v>
      </c>
      <c r="M419" t="n">
        <v>0</v>
      </c>
      <c r="N419" t="n">
        <v>0</v>
      </c>
      <c r="O419" t="n">
        <v>0</v>
      </c>
      <c r="P419" t="n">
        <v>0</v>
      </c>
      <c r="Q419" t="n">
        <v>0</v>
      </c>
      <c r="R419" s="2" t="inlineStr"/>
    </row>
    <row r="420" ht="15" customHeight="1">
      <c r="A420" t="inlineStr">
        <is>
          <t>A 11218-2023</t>
        </is>
      </c>
      <c r="B420" s="1" t="n">
        <v>44992</v>
      </c>
      <c r="C420" s="1" t="n">
        <v>45754</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11225-2023</t>
        </is>
      </c>
      <c r="B421" s="1" t="n">
        <v>44992</v>
      </c>
      <c r="C421" s="1" t="n">
        <v>45754</v>
      </c>
      <c r="D421" t="inlineStr">
        <is>
          <t>DALARNAS LÄN</t>
        </is>
      </c>
      <c r="E421" t="inlineStr">
        <is>
          <t>LEKSAND</t>
        </is>
      </c>
      <c r="G421" t="n">
        <v>6.1</v>
      </c>
      <c r="H421" t="n">
        <v>0</v>
      </c>
      <c r="I421" t="n">
        <v>0</v>
      </c>
      <c r="J421" t="n">
        <v>0</v>
      </c>
      <c r="K421" t="n">
        <v>0</v>
      </c>
      <c r="L421" t="n">
        <v>0</v>
      </c>
      <c r="M421" t="n">
        <v>0</v>
      </c>
      <c r="N421" t="n">
        <v>0</v>
      </c>
      <c r="O421" t="n">
        <v>0</v>
      </c>
      <c r="P421" t="n">
        <v>0</v>
      </c>
      <c r="Q421" t="n">
        <v>0</v>
      </c>
      <c r="R421" s="2" t="inlineStr"/>
    </row>
    <row r="422" ht="15" customHeight="1">
      <c r="A422" t="inlineStr">
        <is>
          <t>A 11347-2023</t>
        </is>
      </c>
      <c r="B422" s="1" t="n">
        <v>44993</v>
      </c>
      <c r="C422" s="1" t="n">
        <v>45754</v>
      </c>
      <c r="D422" t="inlineStr">
        <is>
          <t>DALARNAS LÄN</t>
        </is>
      </c>
      <c r="E422" t="inlineStr">
        <is>
          <t>LEKSAND</t>
        </is>
      </c>
      <c r="G422" t="n">
        <v>6.7</v>
      </c>
      <c r="H422" t="n">
        <v>0</v>
      </c>
      <c r="I422" t="n">
        <v>0</v>
      </c>
      <c r="J422" t="n">
        <v>0</v>
      </c>
      <c r="K422" t="n">
        <v>0</v>
      </c>
      <c r="L422" t="n">
        <v>0</v>
      </c>
      <c r="M422" t="n">
        <v>0</v>
      </c>
      <c r="N422" t="n">
        <v>0</v>
      </c>
      <c r="O422" t="n">
        <v>0</v>
      </c>
      <c r="P422" t="n">
        <v>0</v>
      </c>
      <c r="Q422" t="n">
        <v>0</v>
      </c>
      <c r="R422" s="2" t="inlineStr"/>
    </row>
    <row r="423" ht="15" customHeight="1">
      <c r="A423" t="inlineStr">
        <is>
          <t>A 11392-2023</t>
        </is>
      </c>
      <c r="B423" s="1" t="n">
        <v>44993</v>
      </c>
      <c r="C423" s="1" t="n">
        <v>45754</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45754</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11418-2023</t>
        </is>
      </c>
      <c r="B425" s="1" t="n">
        <v>44993</v>
      </c>
      <c r="C425" s="1" t="n">
        <v>45754</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11747-2023</t>
        </is>
      </c>
      <c r="B426" s="1" t="n">
        <v>44993</v>
      </c>
      <c r="C426" s="1" t="n">
        <v>45754</v>
      </c>
      <c r="D426" t="inlineStr">
        <is>
          <t>DALARNAS LÄN</t>
        </is>
      </c>
      <c r="E426" t="inlineStr">
        <is>
          <t>LEKSAND</t>
        </is>
      </c>
      <c r="G426" t="n">
        <v>5.2</v>
      </c>
      <c r="H426" t="n">
        <v>0</v>
      </c>
      <c r="I426" t="n">
        <v>0</v>
      </c>
      <c r="J426" t="n">
        <v>0</v>
      </c>
      <c r="K426" t="n">
        <v>0</v>
      </c>
      <c r="L426" t="n">
        <v>0</v>
      </c>
      <c r="M426" t="n">
        <v>0</v>
      </c>
      <c r="N426" t="n">
        <v>0</v>
      </c>
      <c r="O426" t="n">
        <v>0</v>
      </c>
      <c r="P426" t="n">
        <v>0</v>
      </c>
      <c r="Q426" t="n">
        <v>0</v>
      </c>
      <c r="R426" s="2" t="inlineStr"/>
    </row>
    <row r="427" ht="15" customHeight="1">
      <c r="A427" t="inlineStr">
        <is>
          <t>A 11913-2023</t>
        </is>
      </c>
      <c r="B427" s="1" t="n">
        <v>44993</v>
      </c>
      <c r="C427" s="1" t="n">
        <v>45754</v>
      </c>
      <c r="D427" t="inlineStr">
        <is>
          <t>DALARNAS LÄN</t>
        </is>
      </c>
      <c r="E427" t="inlineStr">
        <is>
          <t>LEKSAND</t>
        </is>
      </c>
      <c r="G427" t="n">
        <v>7</v>
      </c>
      <c r="H427" t="n">
        <v>0</v>
      </c>
      <c r="I427" t="n">
        <v>0</v>
      </c>
      <c r="J427" t="n">
        <v>0</v>
      </c>
      <c r="K427" t="n">
        <v>0</v>
      </c>
      <c r="L427" t="n">
        <v>0</v>
      </c>
      <c r="M427" t="n">
        <v>0</v>
      </c>
      <c r="N427" t="n">
        <v>0</v>
      </c>
      <c r="O427" t="n">
        <v>0</v>
      </c>
      <c r="P427" t="n">
        <v>0</v>
      </c>
      <c r="Q427" t="n">
        <v>0</v>
      </c>
      <c r="R427" s="2" t="inlineStr"/>
    </row>
    <row r="428" ht="15" customHeight="1">
      <c r="A428" t="inlineStr">
        <is>
          <t>A 11582-2023</t>
        </is>
      </c>
      <c r="B428" s="1" t="n">
        <v>44994</v>
      </c>
      <c r="C428" s="1" t="n">
        <v>45754</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11592-2023</t>
        </is>
      </c>
      <c r="B429" s="1" t="n">
        <v>44994</v>
      </c>
      <c r="C429" s="1" t="n">
        <v>45754</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11678-2023</t>
        </is>
      </c>
      <c r="B430" s="1" t="n">
        <v>44994</v>
      </c>
      <c r="C430" s="1" t="n">
        <v>45754</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12144-2023</t>
        </is>
      </c>
      <c r="B431" s="1" t="n">
        <v>44998</v>
      </c>
      <c r="C431" s="1" t="n">
        <v>45754</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12117-2023</t>
        </is>
      </c>
      <c r="B432" s="1" t="n">
        <v>44998</v>
      </c>
      <c r="C432" s="1" t="n">
        <v>45754</v>
      </c>
      <c r="D432" t="inlineStr">
        <is>
          <t>DALARNAS LÄN</t>
        </is>
      </c>
      <c r="E432" t="inlineStr">
        <is>
          <t>LEKSAND</t>
        </is>
      </c>
      <c r="G432" t="n">
        <v>2.5</v>
      </c>
      <c r="H432" t="n">
        <v>0</v>
      </c>
      <c r="I432" t="n">
        <v>0</v>
      </c>
      <c r="J432" t="n">
        <v>0</v>
      </c>
      <c r="K432" t="n">
        <v>0</v>
      </c>
      <c r="L432" t="n">
        <v>0</v>
      </c>
      <c r="M432" t="n">
        <v>0</v>
      </c>
      <c r="N432" t="n">
        <v>0</v>
      </c>
      <c r="O432" t="n">
        <v>0</v>
      </c>
      <c r="P432" t="n">
        <v>0</v>
      </c>
      <c r="Q432" t="n">
        <v>0</v>
      </c>
      <c r="R432" s="2" t="inlineStr"/>
    </row>
    <row r="433" ht="15" customHeight="1">
      <c r="A433" t="inlineStr">
        <is>
          <t>A 12120-2023</t>
        </is>
      </c>
      <c r="B433" s="1" t="n">
        <v>44998</v>
      </c>
      <c r="C433" s="1" t="n">
        <v>45754</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12356-2023</t>
        </is>
      </c>
      <c r="B434" s="1" t="n">
        <v>44998</v>
      </c>
      <c r="C434" s="1" t="n">
        <v>45754</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12363-2023</t>
        </is>
      </c>
      <c r="B435" s="1" t="n">
        <v>44998</v>
      </c>
      <c r="C435" s="1" t="n">
        <v>45754</v>
      </c>
      <c r="D435" t="inlineStr">
        <is>
          <t>DALARNAS LÄN</t>
        </is>
      </c>
      <c r="E435" t="inlineStr">
        <is>
          <t>LEKSAND</t>
        </is>
      </c>
      <c r="G435" t="n">
        <v>10</v>
      </c>
      <c r="H435" t="n">
        <v>0</v>
      </c>
      <c r="I435" t="n">
        <v>0</v>
      </c>
      <c r="J435" t="n">
        <v>0</v>
      </c>
      <c r="K435" t="n">
        <v>0</v>
      </c>
      <c r="L435" t="n">
        <v>0</v>
      </c>
      <c r="M435" t="n">
        <v>0</v>
      </c>
      <c r="N435" t="n">
        <v>0</v>
      </c>
      <c r="O435" t="n">
        <v>0</v>
      </c>
      <c r="P435" t="n">
        <v>0</v>
      </c>
      <c r="Q435" t="n">
        <v>0</v>
      </c>
      <c r="R435" s="2" t="inlineStr"/>
    </row>
    <row r="436" ht="15" customHeight="1">
      <c r="A436" t="inlineStr">
        <is>
          <t>A 12414-2023</t>
        </is>
      </c>
      <c r="B436" s="1" t="n">
        <v>44999</v>
      </c>
      <c r="C436" s="1" t="n">
        <v>45754</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12857-2023</t>
        </is>
      </c>
      <c r="B437" s="1" t="n">
        <v>45001</v>
      </c>
      <c r="C437" s="1" t="n">
        <v>45754</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12851-2023</t>
        </is>
      </c>
      <c r="B438" s="1" t="n">
        <v>45001</v>
      </c>
      <c r="C438" s="1" t="n">
        <v>45754</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13024-2023</t>
        </is>
      </c>
      <c r="B439" s="1" t="n">
        <v>45001</v>
      </c>
      <c r="C439" s="1" t="n">
        <v>45754</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13063-2023</t>
        </is>
      </c>
      <c r="B440" s="1" t="n">
        <v>45001</v>
      </c>
      <c r="C440" s="1" t="n">
        <v>45754</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13027-2023</t>
        </is>
      </c>
      <c r="B441" s="1" t="n">
        <v>45001</v>
      </c>
      <c r="C441" s="1" t="n">
        <v>45754</v>
      </c>
      <c r="D441" t="inlineStr">
        <is>
          <t>DALARNAS LÄN</t>
        </is>
      </c>
      <c r="E441" t="inlineStr">
        <is>
          <t>LEKSAND</t>
        </is>
      </c>
      <c r="G441" t="n">
        <v>2.8</v>
      </c>
      <c r="H441" t="n">
        <v>0</v>
      </c>
      <c r="I441" t="n">
        <v>0</v>
      </c>
      <c r="J441" t="n">
        <v>0</v>
      </c>
      <c r="K441" t="n">
        <v>0</v>
      </c>
      <c r="L441" t="n">
        <v>0</v>
      </c>
      <c r="M441" t="n">
        <v>0</v>
      </c>
      <c r="N441" t="n">
        <v>0</v>
      </c>
      <c r="O441" t="n">
        <v>0</v>
      </c>
      <c r="P441" t="n">
        <v>0</v>
      </c>
      <c r="Q441" t="n">
        <v>0</v>
      </c>
      <c r="R441" s="2" t="inlineStr"/>
    </row>
    <row r="442" ht="15" customHeight="1">
      <c r="A442" t="inlineStr">
        <is>
          <t>A 13079-2023</t>
        </is>
      </c>
      <c r="B442" s="1" t="n">
        <v>45001</v>
      </c>
      <c r="C442" s="1" t="n">
        <v>45754</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13165-2023</t>
        </is>
      </c>
      <c r="B443" s="1" t="n">
        <v>45002</v>
      </c>
      <c r="C443" s="1" t="n">
        <v>45754</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13288-2023</t>
        </is>
      </c>
      <c r="B444" s="1" t="n">
        <v>45004</v>
      </c>
      <c r="C444" s="1" t="n">
        <v>45754</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13397-2023</t>
        </is>
      </c>
      <c r="B445" s="1" t="n">
        <v>45005</v>
      </c>
      <c r="C445" s="1" t="n">
        <v>45754</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13401-2023</t>
        </is>
      </c>
      <c r="B446" s="1" t="n">
        <v>45005</v>
      </c>
      <c r="C446" s="1" t="n">
        <v>45754</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13376-2023</t>
        </is>
      </c>
      <c r="B447" s="1" t="n">
        <v>45005</v>
      </c>
      <c r="C447" s="1" t="n">
        <v>45754</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13760-2023</t>
        </is>
      </c>
      <c r="B448" s="1" t="n">
        <v>45007</v>
      </c>
      <c r="C448" s="1" t="n">
        <v>45754</v>
      </c>
      <c r="D448" t="inlineStr">
        <is>
          <t>DALARNAS LÄN</t>
        </is>
      </c>
      <c r="E448" t="inlineStr">
        <is>
          <t>LEKSAND</t>
        </is>
      </c>
      <c r="G448" t="n">
        <v>7.9</v>
      </c>
      <c r="H448" t="n">
        <v>0</v>
      </c>
      <c r="I448" t="n">
        <v>0</v>
      </c>
      <c r="J448" t="n">
        <v>0</v>
      </c>
      <c r="K448" t="n">
        <v>0</v>
      </c>
      <c r="L448" t="n">
        <v>0</v>
      </c>
      <c r="M448" t="n">
        <v>0</v>
      </c>
      <c r="N448" t="n">
        <v>0</v>
      </c>
      <c r="O448" t="n">
        <v>0</v>
      </c>
      <c r="P448" t="n">
        <v>0</v>
      </c>
      <c r="Q448" t="n">
        <v>0</v>
      </c>
      <c r="R448" s="2" t="inlineStr"/>
    </row>
    <row r="449" ht="15" customHeight="1">
      <c r="A449" t="inlineStr">
        <is>
          <t>A 14339-2023</t>
        </is>
      </c>
      <c r="B449" s="1" t="n">
        <v>45012</v>
      </c>
      <c r="C449" s="1" t="n">
        <v>45754</v>
      </c>
      <c r="D449" t="inlineStr">
        <is>
          <t>DALARNAS LÄN</t>
        </is>
      </c>
      <c r="E449" t="inlineStr">
        <is>
          <t>LEKSAND</t>
        </is>
      </c>
      <c r="G449" t="n">
        <v>5.3</v>
      </c>
      <c r="H449" t="n">
        <v>0</v>
      </c>
      <c r="I449" t="n">
        <v>0</v>
      </c>
      <c r="J449" t="n">
        <v>0</v>
      </c>
      <c r="K449" t="n">
        <v>0</v>
      </c>
      <c r="L449" t="n">
        <v>0</v>
      </c>
      <c r="M449" t="n">
        <v>0</v>
      </c>
      <c r="N449" t="n">
        <v>0</v>
      </c>
      <c r="O449" t="n">
        <v>0</v>
      </c>
      <c r="P449" t="n">
        <v>0</v>
      </c>
      <c r="Q449" t="n">
        <v>0</v>
      </c>
      <c r="R449" s="2" t="inlineStr"/>
    </row>
    <row r="450" ht="15" customHeight="1">
      <c r="A450" t="inlineStr">
        <is>
          <t>A 14558-2023</t>
        </is>
      </c>
      <c r="B450" s="1" t="n">
        <v>45013</v>
      </c>
      <c r="C450" s="1" t="n">
        <v>45754</v>
      </c>
      <c r="D450" t="inlineStr">
        <is>
          <t>DALARNAS LÄN</t>
        </is>
      </c>
      <c r="E450" t="inlineStr">
        <is>
          <t>LEKSAND</t>
        </is>
      </c>
      <c r="G450" t="n">
        <v>3.9</v>
      </c>
      <c r="H450" t="n">
        <v>0</v>
      </c>
      <c r="I450" t="n">
        <v>0</v>
      </c>
      <c r="J450" t="n">
        <v>0</v>
      </c>
      <c r="K450" t="n">
        <v>0</v>
      </c>
      <c r="L450" t="n">
        <v>0</v>
      </c>
      <c r="M450" t="n">
        <v>0</v>
      </c>
      <c r="N450" t="n">
        <v>0</v>
      </c>
      <c r="O450" t="n">
        <v>0</v>
      </c>
      <c r="P450" t="n">
        <v>0</v>
      </c>
      <c r="Q450" t="n">
        <v>0</v>
      </c>
      <c r="R450" s="2" t="inlineStr"/>
    </row>
    <row r="451" ht="15" customHeight="1">
      <c r="A451" t="inlineStr">
        <is>
          <t>A 14809-2023</t>
        </is>
      </c>
      <c r="B451" s="1" t="n">
        <v>45014</v>
      </c>
      <c r="C451" s="1" t="n">
        <v>45754</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14943-2023</t>
        </is>
      </c>
      <c r="B452" s="1" t="n">
        <v>45015</v>
      </c>
      <c r="C452" s="1" t="n">
        <v>45754</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14967-2023</t>
        </is>
      </c>
      <c r="B453" s="1" t="n">
        <v>45015</v>
      </c>
      <c r="C453" s="1" t="n">
        <v>45754</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15020-2023</t>
        </is>
      </c>
      <c r="B454" s="1" t="n">
        <v>45015</v>
      </c>
      <c r="C454" s="1" t="n">
        <v>45754</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15025-2023</t>
        </is>
      </c>
      <c r="B455" s="1" t="n">
        <v>45015</v>
      </c>
      <c r="C455" s="1" t="n">
        <v>45754</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15120-2023</t>
        </is>
      </c>
      <c r="B456" s="1" t="n">
        <v>45016</v>
      </c>
      <c r="C456" s="1" t="n">
        <v>45754</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15261-2023</t>
        </is>
      </c>
      <c r="B457" s="1" t="n">
        <v>45019</v>
      </c>
      <c r="C457" s="1" t="n">
        <v>45754</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15271-2023</t>
        </is>
      </c>
      <c r="B458" s="1" t="n">
        <v>45019</v>
      </c>
      <c r="C458" s="1" t="n">
        <v>45754</v>
      </c>
      <c r="D458" t="inlineStr">
        <is>
          <t>DALARNAS LÄN</t>
        </is>
      </c>
      <c r="E458" t="inlineStr">
        <is>
          <t>LEKSAND</t>
        </is>
      </c>
      <c r="G458" t="n">
        <v>5.5</v>
      </c>
      <c r="H458" t="n">
        <v>0</v>
      </c>
      <c r="I458" t="n">
        <v>0</v>
      </c>
      <c r="J458" t="n">
        <v>0</v>
      </c>
      <c r="K458" t="n">
        <v>0</v>
      </c>
      <c r="L458" t="n">
        <v>0</v>
      </c>
      <c r="M458" t="n">
        <v>0</v>
      </c>
      <c r="N458" t="n">
        <v>0</v>
      </c>
      <c r="O458" t="n">
        <v>0</v>
      </c>
      <c r="P458" t="n">
        <v>0</v>
      </c>
      <c r="Q458" t="n">
        <v>0</v>
      </c>
      <c r="R458" s="2" t="inlineStr"/>
    </row>
    <row r="459" ht="15" customHeight="1">
      <c r="A459" t="inlineStr">
        <is>
          <t>A 15435-2023</t>
        </is>
      </c>
      <c r="B459" s="1" t="n">
        <v>45020</v>
      </c>
      <c r="C459" s="1" t="n">
        <v>45754</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15436-2023</t>
        </is>
      </c>
      <c r="B460" s="1" t="n">
        <v>45020</v>
      </c>
      <c r="C460" s="1" t="n">
        <v>45754</v>
      </c>
      <c r="D460" t="inlineStr">
        <is>
          <t>DALARNAS LÄN</t>
        </is>
      </c>
      <c r="E460" t="inlineStr">
        <is>
          <t>LEKSAND</t>
        </is>
      </c>
      <c r="G460" t="n">
        <v>2.1</v>
      </c>
      <c r="H460" t="n">
        <v>0</v>
      </c>
      <c r="I460" t="n">
        <v>0</v>
      </c>
      <c r="J460" t="n">
        <v>0</v>
      </c>
      <c r="K460" t="n">
        <v>0</v>
      </c>
      <c r="L460" t="n">
        <v>0</v>
      </c>
      <c r="M460" t="n">
        <v>0</v>
      </c>
      <c r="N460" t="n">
        <v>0</v>
      </c>
      <c r="O460" t="n">
        <v>0</v>
      </c>
      <c r="P460" t="n">
        <v>0</v>
      </c>
      <c r="Q460" t="n">
        <v>0</v>
      </c>
      <c r="R460" s="2" t="inlineStr"/>
    </row>
    <row r="461" ht="15" customHeight="1">
      <c r="A461" t="inlineStr">
        <is>
          <t>A 15433-2023</t>
        </is>
      </c>
      <c r="B461" s="1" t="n">
        <v>45020</v>
      </c>
      <c r="C461" s="1" t="n">
        <v>45754</v>
      </c>
      <c r="D461" t="inlineStr">
        <is>
          <t>DALARNAS LÄN</t>
        </is>
      </c>
      <c r="E461" t="inlineStr">
        <is>
          <t>LEKSAND</t>
        </is>
      </c>
      <c r="G461" t="n">
        <v>3</v>
      </c>
      <c r="H461" t="n">
        <v>0</v>
      </c>
      <c r="I461" t="n">
        <v>0</v>
      </c>
      <c r="J461" t="n">
        <v>0</v>
      </c>
      <c r="K461" t="n">
        <v>0</v>
      </c>
      <c r="L461" t="n">
        <v>0</v>
      </c>
      <c r="M461" t="n">
        <v>0</v>
      </c>
      <c r="N461" t="n">
        <v>0</v>
      </c>
      <c r="O461" t="n">
        <v>0</v>
      </c>
      <c r="P461" t="n">
        <v>0</v>
      </c>
      <c r="Q461" t="n">
        <v>0</v>
      </c>
      <c r="R461" s="2" t="inlineStr"/>
    </row>
    <row r="462" ht="15" customHeight="1">
      <c r="A462" t="inlineStr">
        <is>
          <t>A 15882-2023</t>
        </is>
      </c>
      <c r="B462" s="1" t="n">
        <v>45022</v>
      </c>
      <c r="C462" s="1" t="n">
        <v>45754</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16051-2023</t>
        </is>
      </c>
      <c r="B463" s="1" t="n">
        <v>45027</v>
      </c>
      <c r="C463" s="1" t="n">
        <v>45754</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16139-2023</t>
        </is>
      </c>
      <c r="B464" s="1" t="n">
        <v>45027</v>
      </c>
      <c r="C464" s="1" t="n">
        <v>45754</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16143-2023</t>
        </is>
      </c>
      <c r="B465" s="1" t="n">
        <v>45027</v>
      </c>
      <c r="C465" s="1" t="n">
        <v>45754</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16137-2023</t>
        </is>
      </c>
      <c r="B466" s="1" t="n">
        <v>45027</v>
      </c>
      <c r="C466" s="1" t="n">
        <v>45754</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16135-2023</t>
        </is>
      </c>
      <c r="B467" s="1" t="n">
        <v>45027</v>
      </c>
      <c r="C467" s="1" t="n">
        <v>45754</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16332-2023</t>
        </is>
      </c>
      <c r="B468" s="1" t="n">
        <v>45028</v>
      </c>
      <c r="C468" s="1" t="n">
        <v>45754</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45754</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16818-2023</t>
        </is>
      </c>
      <c r="B470" s="1" t="n">
        <v>45033</v>
      </c>
      <c r="C470" s="1" t="n">
        <v>45754</v>
      </c>
      <c r="D470" t="inlineStr">
        <is>
          <t>DALARNAS LÄN</t>
        </is>
      </c>
      <c r="E470" t="inlineStr">
        <is>
          <t>LEKSAND</t>
        </is>
      </c>
      <c r="F470" t="inlineStr">
        <is>
          <t>Övriga statliga verk och myndigheter</t>
        </is>
      </c>
      <c r="G470" t="n">
        <v>1.3</v>
      </c>
      <c r="H470" t="n">
        <v>0</v>
      </c>
      <c r="I470" t="n">
        <v>0</v>
      </c>
      <c r="J470" t="n">
        <v>0</v>
      </c>
      <c r="K470" t="n">
        <v>0</v>
      </c>
      <c r="L470" t="n">
        <v>0</v>
      </c>
      <c r="M470" t="n">
        <v>0</v>
      </c>
      <c r="N470" t="n">
        <v>0</v>
      </c>
      <c r="O470" t="n">
        <v>0</v>
      </c>
      <c r="P470" t="n">
        <v>0</v>
      </c>
      <c r="Q470" t="n">
        <v>0</v>
      </c>
      <c r="R470" s="2" t="inlineStr"/>
    </row>
    <row r="471" ht="15" customHeight="1">
      <c r="A471" t="inlineStr">
        <is>
          <t>A 16882-2023</t>
        </is>
      </c>
      <c r="B471" s="1" t="n">
        <v>45033</v>
      </c>
      <c r="C471" s="1" t="n">
        <v>45754</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16926-2023</t>
        </is>
      </c>
      <c r="B472" s="1" t="n">
        <v>45033</v>
      </c>
      <c r="C472" s="1" t="n">
        <v>45754</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45754</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17070-2023</t>
        </is>
      </c>
      <c r="B474" s="1" t="n">
        <v>45034</v>
      </c>
      <c r="C474" s="1" t="n">
        <v>45754</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17076-2023</t>
        </is>
      </c>
      <c r="B475" s="1" t="n">
        <v>45034</v>
      </c>
      <c r="C475" s="1" t="n">
        <v>45754</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17072-2023</t>
        </is>
      </c>
      <c r="B476" s="1" t="n">
        <v>45034</v>
      </c>
      <c r="C476" s="1" t="n">
        <v>45754</v>
      </c>
      <c r="D476" t="inlineStr">
        <is>
          <t>DALARNAS LÄN</t>
        </is>
      </c>
      <c r="E476" t="inlineStr">
        <is>
          <t>LEKSAND</t>
        </is>
      </c>
      <c r="G476" t="n">
        <v>5.3</v>
      </c>
      <c r="H476" t="n">
        <v>0</v>
      </c>
      <c r="I476" t="n">
        <v>0</v>
      </c>
      <c r="J476" t="n">
        <v>0</v>
      </c>
      <c r="K476" t="n">
        <v>0</v>
      </c>
      <c r="L476" t="n">
        <v>0</v>
      </c>
      <c r="M476" t="n">
        <v>0</v>
      </c>
      <c r="N476" t="n">
        <v>0</v>
      </c>
      <c r="O476" t="n">
        <v>0</v>
      </c>
      <c r="P476" t="n">
        <v>0</v>
      </c>
      <c r="Q476" t="n">
        <v>0</v>
      </c>
      <c r="R476" s="2" t="inlineStr"/>
    </row>
    <row r="477" ht="15" customHeight="1">
      <c r="A477" t="inlineStr">
        <is>
          <t>A 17084-2023</t>
        </is>
      </c>
      <c r="B477" s="1" t="n">
        <v>45034</v>
      </c>
      <c r="C477" s="1" t="n">
        <v>45754</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17089-2023</t>
        </is>
      </c>
      <c r="B478" s="1" t="n">
        <v>45034</v>
      </c>
      <c r="C478" s="1" t="n">
        <v>45754</v>
      </c>
      <c r="D478" t="inlineStr">
        <is>
          <t>DALARNAS LÄN</t>
        </is>
      </c>
      <c r="E478" t="inlineStr">
        <is>
          <t>LEKSAND</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17233-2023</t>
        </is>
      </c>
      <c r="B479" s="1" t="n">
        <v>45035</v>
      </c>
      <c r="C479" s="1" t="n">
        <v>45754</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17231-2023</t>
        </is>
      </c>
      <c r="B480" s="1" t="n">
        <v>45035</v>
      </c>
      <c r="C480" s="1" t="n">
        <v>45754</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17331-2023</t>
        </is>
      </c>
      <c r="B481" s="1" t="n">
        <v>45035</v>
      </c>
      <c r="C481" s="1" t="n">
        <v>45754</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17413-2023</t>
        </is>
      </c>
      <c r="B482" s="1" t="n">
        <v>45035</v>
      </c>
      <c r="C482" s="1" t="n">
        <v>45754</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17533-2023</t>
        </is>
      </c>
      <c r="B483" s="1" t="n">
        <v>45036</v>
      </c>
      <c r="C483" s="1" t="n">
        <v>45754</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17759-2023</t>
        </is>
      </c>
      <c r="B484" s="1" t="n">
        <v>45037</v>
      </c>
      <c r="C484" s="1" t="n">
        <v>45754</v>
      </c>
      <c r="D484" t="inlineStr">
        <is>
          <t>DALARNAS LÄN</t>
        </is>
      </c>
      <c r="E484" t="inlineStr">
        <is>
          <t>LEKSAND</t>
        </is>
      </c>
      <c r="G484" t="n">
        <v>2.1</v>
      </c>
      <c r="H484" t="n">
        <v>0</v>
      </c>
      <c r="I484" t="n">
        <v>0</v>
      </c>
      <c r="J484" t="n">
        <v>0</v>
      </c>
      <c r="K484" t="n">
        <v>0</v>
      </c>
      <c r="L484" t="n">
        <v>0</v>
      </c>
      <c r="M484" t="n">
        <v>0</v>
      </c>
      <c r="N484" t="n">
        <v>0</v>
      </c>
      <c r="O484" t="n">
        <v>0</v>
      </c>
      <c r="P484" t="n">
        <v>0</v>
      </c>
      <c r="Q484" t="n">
        <v>0</v>
      </c>
      <c r="R484" s="2" t="inlineStr"/>
    </row>
    <row r="485" ht="15" customHeight="1">
      <c r="A485" t="inlineStr">
        <is>
          <t>A 17947-2023</t>
        </is>
      </c>
      <c r="B485" s="1" t="n">
        <v>45040</v>
      </c>
      <c r="C485" s="1" t="n">
        <v>45754</v>
      </c>
      <c r="D485" t="inlineStr">
        <is>
          <t>DALARNAS LÄN</t>
        </is>
      </c>
      <c r="E485" t="inlineStr">
        <is>
          <t>LEKSAND</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18351-2023</t>
        </is>
      </c>
      <c r="B486" s="1" t="n">
        <v>45041</v>
      </c>
      <c r="C486" s="1" t="n">
        <v>45754</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18383-2023</t>
        </is>
      </c>
      <c r="B487" s="1" t="n">
        <v>45042</v>
      </c>
      <c r="C487" s="1" t="n">
        <v>45754</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18407-2023</t>
        </is>
      </c>
      <c r="B488" s="1" t="n">
        <v>45042</v>
      </c>
      <c r="C488" s="1" t="n">
        <v>45754</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18677-2023</t>
        </is>
      </c>
      <c r="B489" s="1" t="n">
        <v>45043</v>
      </c>
      <c r="C489" s="1" t="n">
        <v>45754</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18632-2023</t>
        </is>
      </c>
      <c r="B490" s="1" t="n">
        <v>45043</v>
      </c>
      <c r="C490" s="1" t="n">
        <v>45754</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18666-2023</t>
        </is>
      </c>
      <c r="B491" s="1" t="n">
        <v>45043</v>
      </c>
      <c r="C491" s="1" t="n">
        <v>45754</v>
      </c>
      <c r="D491" t="inlineStr">
        <is>
          <t>DALARNAS LÄN</t>
        </is>
      </c>
      <c r="E491" t="inlineStr">
        <is>
          <t>LEKSAND</t>
        </is>
      </c>
      <c r="G491" t="n">
        <v>3.3</v>
      </c>
      <c r="H491" t="n">
        <v>0</v>
      </c>
      <c r="I491" t="n">
        <v>0</v>
      </c>
      <c r="J491" t="n">
        <v>0</v>
      </c>
      <c r="K491" t="n">
        <v>0</v>
      </c>
      <c r="L491" t="n">
        <v>0</v>
      </c>
      <c r="M491" t="n">
        <v>0</v>
      </c>
      <c r="N491" t="n">
        <v>0</v>
      </c>
      <c r="O491" t="n">
        <v>0</v>
      </c>
      <c r="P491" t="n">
        <v>0</v>
      </c>
      <c r="Q491" t="n">
        <v>0</v>
      </c>
      <c r="R491" s="2" t="inlineStr"/>
    </row>
    <row r="492" ht="15" customHeight="1">
      <c r="A492" t="inlineStr">
        <is>
          <t>A 18909-2023</t>
        </is>
      </c>
      <c r="B492" s="1" t="n">
        <v>45044</v>
      </c>
      <c r="C492" s="1" t="n">
        <v>45754</v>
      </c>
      <c r="D492" t="inlineStr">
        <is>
          <t>DALARNAS LÄN</t>
        </is>
      </c>
      <c r="E492" t="inlineStr">
        <is>
          <t>LEKSAND</t>
        </is>
      </c>
      <c r="G492" t="n">
        <v>10.7</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v>
      </c>
      <c r="C493" s="1" t="n">
        <v>45754</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19103-2023</t>
        </is>
      </c>
      <c r="B494" s="1" t="n">
        <v>45048</v>
      </c>
      <c r="C494" s="1" t="n">
        <v>45754</v>
      </c>
      <c r="D494" t="inlineStr">
        <is>
          <t>DALARNAS LÄN</t>
        </is>
      </c>
      <c r="E494" t="inlineStr">
        <is>
          <t>LEKSAND</t>
        </is>
      </c>
      <c r="G494" t="n">
        <v>7.1</v>
      </c>
      <c r="H494" t="n">
        <v>0</v>
      </c>
      <c r="I494" t="n">
        <v>0</v>
      </c>
      <c r="J494" t="n">
        <v>0</v>
      </c>
      <c r="K494" t="n">
        <v>0</v>
      </c>
      <c r="L494" t="n">
        <v>0</v>
      </c>
      <c r="M494" t="n">
        <v>0</v>
      </c>
      <c r="N494" t="n">
        <v>0</v>
      </c>
      <c r="O494" t="n">
        <v>0</v>
      </c>
      <c r="P494" t="n">
        <v>0</v>
      </c>
      <c r="Q494" t="n">
        <v>0</v>
      </c>
      <c r="R494" s="2" t="inlineStr"/>
    </row>
    <row r="495" ht="15" customHeight="1">
      <c r="A495" t="inlineStr">
        <is>
          <t>A 19316-2023</t>
        </is>
      </c>
      <c r="B495" s="1" t="n">
        <v>45049</v>
      </c>
      <c r="C495" s="1" t="n">
        <v>45754</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19331-2023</t>
        </is>
      </c>
      <c r="B496" s="1" t="n">
        <v>45049</v>
      </c>
      <c r="C496" s="1" t="n">
        <v>45754</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19550-2023</t>
        </is>
      </c>
      <c r="B497" s="1" t="n">
        <v>45049</v>
      </c>
      <c r="C497" s="1" t="n">
        <v>45754</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19590-2023</t>
        </is>
      </c>
      <c r="B498" s="1" t="n">
        <v>45049</v>
      </c>
      <c r="C498" s="1" t="n">
        <v>45754</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19559-2023</t>
        </is>
      </c>
      <c r="B499" s="1" t="n">
        <v>45050</v>
      </c>
      <c r="C499" s="1" t="n">
        <v>45754</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19689-2023</t>
        </is>
      </c>
      <c r="B500" s="1" t="n">
        <v>45051</v>
      </c>
      <c r="C500" s="1" t="n">
        <v>45754</v>
      </c>
      <c r="D500" t="inlineStr">
        <is>
          <t>DALARNAS LÄN</t>
        </is>
      </c>
      <c r="E500" t="inlineStr">
        <is>
          <t>LEKSAND</t>
        </is>
      </c>
      <c r="G500" t="n">
        <v>15.9</v>
      </c>
      <c r="H500" t="n">
        <v>0</v>
      </c>
      <c r="I500" t="n">
        <v>0</v>
      </c>
      <c r="J500" t="n">
        <v>0</v>
      </c>
      <c r="K500" t="n">
        <v>0</v>
      </c>
      <c r="L500" t="n">
        <v>0</v>
      </c>
      <c r="M500" t="n">
        <v>0</v>
      </c>
      <c r="N500" t="n">
        <v>0</v>
      </c>
      <c r="O500" t="n">
        <v>0</v>
      </c>
      <c r="P500" t="n">
        <v>0</v>
      </c>
      <c r="Q500" t="n">
        <v>0</v>
      </c>
      <c r="R500" s="2" t="inlineStr"/>
    </row>
    <row r="501" ht="15" customHeight="1">
      <c r="A501" t="inlineStr">
        <is>
          <t>A 20150-2023</t>
        </is>
      </c>
      <c r="B501" s="1" t="n">
        <v>45051</v>
      </c>
      <c r="C501" s="1" t="n">
        <v>45754</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20514-2023</t>
        </is>
      </c>
      <c r="B502" s="1" t="n">
        <v>45054</v>
      </c>
      <c r="C502" s="1" t="n">
        <v>45754</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20222-2023</t>
        </is>
      </c>
      <c r="B503" s="1" t="n">
        <v>45055</v>
      </c>
      <c r="C503" s="1" t="n">
        <v>45754</v>
      </c>
      <c r="D503" t="inlineStr">
        <is>
          <t>DALARNAS LÄN</t>
        </is>
      </c>
      <c r="E503" t="inlineStr">
        <is>
          <t>LEKSAND</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20114-2023</t>
        </is>
      </c>
      <c r="B504" s="1" t="n">
        <v>45055</v>
      </c>
      <c r="C504" s="1" t="n">
        <v>45754</v>
      </c>
      <c r="D504" t="inlineStr">
        <is>
          <t>DALARNAS LÄN</t>
        </is>
      </c>
      <c r="E504" t="inlineStr">
        <is>
          <t>LEKSAND</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20936-2023</t>
        </is>
      </c>
      <c r="B505" s="1" t="n">
        <v>45061</v>
      </c>
      <c r="C505" s="1" t="n">
        <v>45754</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20946-2023</t>
        </is>
      </c>
      <c r="B506" s="1" t="n">
        <v>45061</v>
      </c>
      <c r="C506" s="1" t="n">
        <v>45754</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45754</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21299-2023</t>
        </is>
      </c>
      <c r="B508" s="1" t="n">
        <v>45062</v>
      </c>
      <c r="C508" s="1" t="n">
        <v>45754</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21817-2023</t>
        </is>
      </c>
      <c r="B509" s="1" t="n">
        <v>45068</v>
      </c>
      <c r="C509" s="1" t="n">
        <v>45754</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21910-2023</t>
        </is>
      </c>
      <c r="B510" s="1" t="n">
        <v>45068</v>
      </c>
      <c r="C510" s="1" t="n">
        <v>45754</v>
      </c>
      <c r="D510" t="inlineStr">
        <is>
          <t>DALARNAS LÄN</t>
        </is>
      </c>
      <c r="E510" t="inlineStr">
        <is>
          <t>LEKSAND</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21849-2023</t>
        </is>
      </c>
      <c r="B511" s="1" t="n">
        <v>45068</v>
      </c>
      <c r="C511" s="1" t="n">
        <v>45754</v>
      </c>
      <c r="D511" t="inlineStr">
        <is>
          <t>DALARNAS LÄN</t>
        </is>
      </c>
      <c r="E511" t="inlineStr">
        <is>
          <t>LEKSAND</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21954-2023</t>
        </is>
      </c>
      <c r="B512" s="1" t="n">
        <v>45068</v>
      </c>
      <c r="C512" s="1" t="n">
        <v>45754</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22196-2023</t>
        </is>
      </c>
      <c r="B513" s="1" t="n">
        <v>45069</v>
      </c>
      <c r="C513" s="1" t="n">
        <v>45754</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22197-2023</t>
        </is>
      </c>
      <c r="B514" s="1" t="n">
        <v>45069</v>
      </c>
      <c r="C514" s="1" t="n">
        <v>45754</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22570-2023</t>
        </is>
      </c>
      <c r="B515" s="1" t="n">
        <v>45071</v>
      </c>
      <c r="C515" s="1" t="n">
        <v>45754</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22684-2023</t>
        </is>
      </c>
      <c r="B516" s="1" t="n">
        <v>45071</v>
      </c>
      <c r="C516" s="1" t="n">
        <v>45754</v>
      </c>
      <c r="D516" t="inlineStr">
        <is>
          <t>DALARNAS LÄN</t>
        </is>
      </c>
      <c r="E516" t="inlineStr">
        <is>
          <t>LEKSAND</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23226-2023</t>
        </is>
      </c>
      <c r="B517" s="1" t="n">
        <v>45075</v>
      </c>
      <c r="C517" s="1" t="n">
        <v>45754</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23323-2023</t>
        </is>
      </c>
      <c r="B518" s="1" t="n">
        <v>45076</v>
      </c>
      <c r="C518" s="1" t="n">
        <v>45754</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23348-2023</t>
        </is>
      </c>
      <c r="B519" s="1" t="n">
        <v>45076</v>
      </c>
      <c r="C519" s="1" t="n">
        <v>45754</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23509-2023</t>
        </is>
      </c>
      <c r="B520" s="1" t="n">
        <v>45076</v>
      </c>
      <c r="C520" s="1" t="n">
        <v>45754</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23882-2023</t>
        </is>
      </c>
      <c r="B521" s="1" t="n">
        <v>45078</v>
      </c>
      <c r="C521" s="1" t="n">
        <v>45754</v>
      </c>
      <c r="D521" t="inlineStr">
        <is>
          <t>DALARNAS LÄN</t>
        </is>
      </c>
      <c r="E521" t="inlineStr">
        <is>
          <t>LEKSAND</t>
        </is>
      </c>
      <c r="F521" t="inlineStr">
        <is>
          <t>Bergvik skog väst AB</t>
        </is>
      </c>
      <c r="G521" t="n">
        <v>2.6</v>
      </c>
      <c r="H521" t="n">
        <v>0</v>
      </c>
      <c r="I521" t="n">
        <v>0</v>
      </c>
      <c r="J521" t="n">
        <v>0</v>
      </c>
      <c r="K521" t="n">
        <v>0</v>
      </c>
      <c r="L521" t="n">
        <v>0</v>
      </c>
      <c r="M521" t="n">
        <v>0</v>
      </c>
      <c r="N521" t="n">
        <v>0</v>
      </c>
      <c r="O521" t="n">
        <v>0</v>
      </c>
      <c r="P521" t="n">
        <v>0</v>
      </c>
      <c r="Q521" t="n">
        <v>0</v>
      </c>
      <c r="R521" s="2" t="inlineStr"/>
    </row>
    <row r="522" ht="15" customHeight="1">
      <c r="A522" t="inlineStr">
        <is>
          <t>A 23910-2023</t>
        </is>
      </c>
      <c r="B522" s="1" t="n">
        <v>45078</v>
      </c>
      <c r="C522" s="1" t="n">
        <v>45754</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24728-2023</t>
        </is>
      </c>
      <c r="B523" s="1" t="n">
        <v>45084</v>
      </c>
      <c r="C523" s="1" t="n">
        <v>45754</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24823-2023</t>
        </is>
      </c>
      <c r="B524" s="1" t="n">
        <v>45084</v>
      </c>
      <c r="C524" s="1" t="n">
        <v>45754</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24814-2023</t>
        </is>
      </c>
      <c r="B525" s="1" t="n">
        <v>45084</v>
      </c>
      <c r="C525" s="1" t="n">
        <v>45754</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45086</v>
      </c>
      <c r="C526" s="1" t="n">
        <v>45754</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25067-2023</t>
        </is>
      </c>
      <c r="B527" s="1" t="n">
        <v>45086</v>
      </c>
      <c r="C527" s="1" t="n">
        <v>45754</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25038-2023</t>
        </is>
      </c>
      <c r="B528" s="1" t="n">
        <v>45085</v>
      </c>
      <c r="C528" s="1" t="n">
        <v>45754</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25627-2023</t>
        </is>
      </c>
      <c r="B529" s="1" t="n">
        <v>45089</v>
      </c>
      <c r="C529" s="1" t="n">
        <v>45754</v>
      </c>
      <c r="D529" t="inlineStr">
        <is>
          <t>DALARNAS LÄN</t>
        </is>
      </c>
      <c r="E529" t="inlineStr">
        <is>
          <t>LEKSAND</t>
        </is>
      </c>
      <c r="F529" t="inlineStr">
        <is>
          <t>Bergvik skog väst AB</t>
        </is>
      </c>
      <c r="G529" t="n">
        <v>8.4</v>
      </c>
      <c r="H529" t="n">
        <v>0</v>
      </c>
      <c r="I529" t="n">
        <v>0</v>
      </c>
      <c r="J529" t="n">
        <v>0</v>
      </c>
      <c r="K529" t="n">
        <v>0</v>
      </c>
      <c r="L529" t="n">
        <v>0</v>
      </c>
      <c r="M529" t="n">
        <v>0</v>
      </c>
      <c r="N529" t="n">
        <v>0</v>
      </c>
      <c r="O529" t="n">
        <v>0</v>
      </c>
      <c r="P529" t="n">
        <v>0</v>
      </c>
      <c r="Q529" t="n">
        <v>0</v>
      </c>
      <c r="R529" s="2" t="inlineStr"/>
    </row>
    <row r="530" ht="15" customHeight="1">
      <c r="A530" t="inlineStr">
        <is>
          <t>A 25637-2023</t>
        </is>
      </c>
      <c r="B530" s="1" t="n">
        <v>45089</v>
      </c>
      <c r="C530" s="1" t="n">
        <v>45754</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25652-2023</t>
        </is>
      </c>
      <c r="B531" s="1" t="n">
        <v>45089</v>
      </c>
      <c r="C531" s="1" t="n">
        <v>45754</v>
      </c>
      <c r="D531" t="inlineStr">
        <is>
          <t>DALARNAS LÄN</t>
        </is>
      </c>
      <c r="E531" t="inlineStr">
        <is>
          <t>LEKSAND</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25715-2023</t>
        </is>
      </c>
      <c r="B532" s="1" t="n">
        <v>45090</v>
      </c>
      <c r="C532" s="1" t="n">
        <v>45754</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25907-2023</t>
        </is>
      </c>
      <c r="B533" s="1" t="n">
        <v>45090</v>
      </c>
      <c r="C533" s="1" t="n">
        <v>45754</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26742-2023</t>
        </is>
      </c>
      <c r="B534" s="1" t="n">
        <v>45090</v>
      </c>
      <c r="C534" s="1" t="n">
        <v>45754</v>
      </c>
      <c r="D534" t="inlineStr">
        <is>
          <t>DALARNAS LÄN</t>
        </is>
      </c>
      <c r="E534" t="inlineStr">
        <is>
          <t>LEKSAND</t>
        </is>
      </c>
      <c r="G534" t="n">
        <v>1.8</v>
      </c>
      <c r="H534" t="n">
        <v>0</v>
      </c>
      <c r="I534" t="n">
        <v>0</v>
      </c>
      <c r="J534" t="n">
        <v>0</v>
      </c>
      <c r="K534" t="n">
        <v>0</v>
      </c>
      <c r="L534" t="n">
        <v>0</v>
      </c>
      <c r="M534" t="n">
        <v>0</v>
      </c>
      <c r="N534" t="n">
        <v>0</v>
      </c>
      <c r="O534" t="n">
        <v>0</v>
      </c>
      <c r="P534" t="n">
        <v>0</v>
      </c>
      <c r="Q534" t="n">
        <v>0</v>
      </c>
      <c r="R534" s="2" t="inlineStr"/>
    </row>
    <row r="535" ht="15" customHeight="1">
      <c r="A535" t="inlineStr">
        <is>
          <t>A 26038-2023</t>
        </is>
      </c>
      <c r="B535" s="1" t="n">
        <v>45091</v>
      </c>
      <c r="C535" s="1" t="n">
        <v>45754</v>
      </c>
      <c r="D535" t="inlineStr">
        <is>
          <t>DALARNAS LÄN</t>
        </is>
      </c>
      <c r="E535" t="inlineStr">
        <is>
          <t>LEKSAND</t>
        </is>
      </c>
      <c r="G535" t="n">
        <v>6.8</v>
      </c>
      <c r="H535" t="n">
        <v>0</v>
      </c>
      <c r="I535" t="n">
        <v>0</v>
      </c>
      <c r="J535" t="n">
        <v>0</v>
      </c>
      <c r="K535" t="n">
        <v>0</v>
      </c>
      <c r="L535" t="n">
        <v>0</v>
      </c>
      <c r="M535" t="n">
        <v>0</v>
      </c>
      <c r="N535" t="n">
        <v>0</v>
      </c>
      <c r="O535" t="n">
        <v>0</v>
      </c>
      <c r="P535" t="n">
        <v>0</v>
      </c>
      <c r="Q535" t="n">
        <v>0</v>
      </c>
      <c r="R535" s="2" t="inlineStr"/>
    </row>
    <row r="536" ht="15" customHeight="1">
      <c r="A536" t="inlineStr">
        <is>
          <t>A 26044-2023</t>
        </is>
      </c>
      <c r="B536" s="1" t="n">
        <v>45091</v>
      </c>
      <c r="C536" s="1" t="n">
        <v>45754</v>
      </c>
      <c r="D536" t="inlineStr">
        <is>
          <t>DALARNAS LÄN</t>
        </is>
      </c>
      <c r="E536" t="inlineStr">
        <is>
          <t>LEKSAND</t>
        </is>
      </c>
      <c r="G536" t="n">
        <v>5.3</v>
      </c>
      <c r="H536" t="n">
        <v>0</v>
      </c>
      <c r="I536" t="n">
        <v>0</v>
      </c>
      <c r="J536" t="n">
        <v>0</v>
      </c>
      <c r="K536" t="n">
        <v>0</v>
      </c>
      <c r="L536" t="n">
        <v>0</v>
      </c>
      <c r="M536" t="n">
        <v>0</v>
      </c>
      <c r="N536" t="n">
        <v>0</v>
      </c>
      <c r="O536" t="n">
        <v>0</v>
      </c>
      <c r="P536" t="n">
        <v>0</v>
      </c>
      <c r="Q536" t="n">
        <v>0</v>
      </c>
      <c r="R536" s="2" t="inlineStr"/>
    </row>
    <row r="537" ht="15" customHeight="1">
      <c r="A537" t="inlineStr">
        <is>
          <t>A 26107-2023</t>
        </is>
      </c>
      <c r="B537" s="1" t="n">
        <v>45091</v>
      </c>
      <c r="C537" s="1" t="n">
        <v>45754</v>
      </c>
      <c r="D537" t="inlineStr">
        <is>
          <t>DALARNAS LÄN</t>
        </is>
      </c>
      <c r="E537" t="inlineStr">
        <is>
          <t>LEKSAND</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26847-2023</t>
        </is>
      </c>
      <c r="B538" s="1" t="n">
        <v>45093</v>
      </c>
      <c r="C538" s="1" t="n">
        <v>45754</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26957-2023</t>
        </is>
      </c>
      <c r="B539" s="1" t="n">
        <v>45093</v>
      </c>
      <c r="C539" s="1" t="n">
        <v>45754</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26924-2023</t>
        </is>
      </c>
      <c r="B540" s="1" t="n">
        <v>45093</v>
      </c>
      <c r="C540" s="1" t="n">
        <v>45754</v>
      </c>
      <c r="D540" t="inlineStr">
        <is>
          <t>DALARNAS LÄN</t>
        </is>
      </c>
      <c r="E540" t="inlineStr">
        <is>
          <t>LEKSAND</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26959-2023</t>
        </is>
      </c>
      <c r="B541" s="1" t="n">
        <v>45093</v>
      </c>
      <c r="C541" s="1" t="n">
        <v>45754</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26931-2023</t>
        </is>
      </c>
      <c r="B542" s="1" t="n">
        <v>45093</v>
      </c>
      <c r="C542" s="1" t="n">
        <v>45754</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26946-2023</t>
        </is>
      </c>
      <c r="B543" s="1" t="n">
        <v>45093</v>
      </c>
      <c r="C543" s="1" t="n">
        <v>45754</v>
      </c>
      <c r="D543" t="inlineStr">
        <is>
          <t>DALARNAS LÄN</t>
        </is>
      </c>
      <c r="E543" t="inlineStr">
        <is>
          <t>LEKSAND</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27047-2023</t>
        </is>
      </c>
      <c r="B544" s="1" t="n">
        <v>45095</v>
      </c>
      <c r="C544" s="1" t="n">
        <v>45754</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27055-2023</t>
        </is>
      </c>
      <c r="B545" s="1" t="n">
        <v>45095</v>
      </c>
      <c r="C545" s="1" t="n">
        <v>45754</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c r="U545">
        <f>HYPERLINK("https://klasma.github.io/Logging_2029/knärot/A 27055-2023 karta knärot.png", "A 27055-2023")</f>
        <v/>
      </c>
      <c r="V545">
        <f>HYPERLINK("https://klasma.github.io/Logging_2029/klagomål/A 27055-2023 FSC-klagomål.docx", "A 27055-2023")</f>
        <v/>
      </c>
      <c r="W545">
        <f>HYPERLINK("https://klasma.github.io/Logging_2029/klagomålsmail/A 27055-2023 FSC-klagomål mail.docx", "A 27055-2023")</f>
        <v/>
      </c>
      <c r="X545">
        <f>HYPERLINK("https://klasma.github.io/Logging_2029/tillsyn/A 27055-2023 tillsynsbegäran.docx", "A 27055-2023")</f>
        <v/>
      </c>
      <c r="Y545">
        <f>HYPERLINK("https://klasma.github.io/Logging_2029/tillsynsmail/A 27055-2023 tillsynsbegäran mail.docx", "A 27055-2023")</f>
        <v/>
      </c>
    </row>
    <row r="546" ht="15" customHeight="1">
      <c r="A546" t="inlineStr">
        <is>
          <t>A 27048-2023</t>
        </is>
      </c>
      <c r="B546" s="1" t="n">
        <v>45095</v>
      </c>
      <c r="C546" s="1" t="n">
        <v>45754</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27046-2023</t>
        </is>
      </c>
      <c r="B547" s="1" t="n">
        <v>45095</v>
      </c>
      <c r="C547" s="1" t="n">
        <v>45754</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27054-2023</t>
        </is>
      </c>
      <c r="B548" s="1" t="n">
        <v>45095</v>
      </c>
      <c r="C548" s="1" t="n">
        <v>45754</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27244-2023</t>
        </is>
      </c>
      <c r="B549" s="1" t="n">
        <v>45096</v>
      </c>
      <c r="C549" s="1" t="n">
        <v>45754</v>
      </c>
      <c r="D549" t="inlineStr">
        <is>
          <t>DALARNAS LÄN</t>
        </is>
      </c>
      <c r="E549" t="inlineStr">
        <is>
          <t>LEKSAND</t>
        </is>
      </c>
      <c r="G549" t="n">
        <v>5</v>
      </c>
      <c r="H549" t="n">
        <v>0</v>
      </c>
      <c r="I549" t="n">
        <v>0</v>
      </c>
      <c r="J549" t="n">
        <v>0</v>
      </c>
      <c r="K549" t="n">
        <v>0</v>
      </c>
      <c r="L549" t="n">
        <v>0</v>
      </c>
      <c r="M549" t="n">
        <v>0</v>
      </c>
      <c r="N549" t="n">
        <v>0</v>
      </c>
      <c r="O549" t="n">
        <v>0</v>
      </c>
      <c r="P549" t="n">
        <v>0</v>
      </c>
      <c r="Q549" t="n">
        <v>0</v>
      </c>
      <c r="R549" s="2" t="inlineStr"/>
    </row>
    <row r="550" ht="15" customHeight="1">
      <c r="A550" t="inlineStr">
        <is>
          <t>A 27348-2023</t>
        </is>
      </c>
      <c r="B550" s="1" t="n">
        <v>45096</v>
      </c>
      <c r="C550" s="1" t="n">
        <v>45754</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27511-2023</t>
        </is>
      </c>
      <c r="B551" s="1" t="n">
        <v>45097</v>
      </c>
      <c r="C551" s="1" t="n">
        <v>45754</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27520-2023</t>
        </is>
      </c>
      <c r="B552" s="1" t="n">
        <v>45097</v>
      </c>
      <c r="C552" s="1" t="n">
        <v>45754</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27543-2023</t>
        </is>
      </c>
      <c r="B553" s="1" t="n">
        <v>45097</v>
      </c>
      <c r="C553" s="1" t="n">
        <v>45754</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27791-2023</t>
        </is>
      </c>
      <c r="B554" s="1" t="n">
        <v>45098</v>
      </c>
      <c r="C554" s="1" t="n">
        <v>45754</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28103-2023</t>
        </is>
      </c>
      <c r="B555" s="1" t="n">
        <v>45099</v>
      </c>
      <c r="C555" s="1" t="n">
        <v>45754</v>
      </c>
      <c r="D555" t="inlineStr">
        <is>
          <t>DALARNAS LÄN</t>
        </is>
      </c>
      <c r="E555" t="inlineStr">
        <is>
          <t>LEKSAND</t>
        </is>
      </c>
      <c r="F555" t="inlineStr">
        <is>
          <t>Bergvik skog väst AB</t>
        </is>
      </c>
      <c r="G555" t="n">
        <v>15.3</v>
      </c>
      <c r="H555" t="n">
        <v>0</v>
      </c>
      <c r="I555" t="n">
        <v>0</v>
      </c>
      <c r="J555" t="n">
        <v>0</v>
      </c>
      <c r="K555" t="n">
        <v>0</v>
      </c>
      <c r="L555" t="n">
        <v>0</v>
      </c>
      <c r="M555" t="n">
        <v>0</v>
      </c>
      <c r="N555" t="n">
        <v>0</v>
      </c>
      <c r="O555" t="n">
        <v>0</v>
      </c>
      <c r="P555" t="n">
        <v>0</v>
      </c>
      <c r="Q555" t="n">
        <v>0</v>
      </c>
      <c r="R555" s="2" t="inlineStr"/>
    </row>
    <row r="556" ht="15" customHeight="1">
      <c r="A556" t="inlineStr">
        <is>
          <t>A 28108-2023</t>
        </is>
      </c>
      <c r="B556" s="1" t="n">
        <v>45099</v>
      </c>
      <c r="C556" s="1" t="n">
        <v>45754</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28578-2023</t>
        </is>
      </c>
      <c r="B557" s="1" t="n">
        <v>45103</v>
      </c>
      <c r="C557" s="1" t="n">
        <v>45754</v>
      </c>
      <c r="D557" t="inlineStr">
        <is>
          <t>DALARNAS LÄN</t>
        </is>
      </c>
      <c r="E557" t="inlineStr">
        <is>
          <t>LEKSAND</t>
        </is>
      </c>
      <c r="G557" t="n">
        <v>4.4</v>
      </c>
      <c r="H557" t="n">
        <v>0</v>
      </c>
      <c r="I557" t="n">
        <v>0</v>
      </c>
      <c r="J557" t="n">
        <v>0</v>
      </c>
      <c r="K557" t="n">
        <v>0</v>
      </c>
      <c r="L557" t="n">
        <v>0</v>
      </c>
      <c r="M557" t="n">
        <v>0</v>
      </c>
      <c r="N557" t="n">
        <v>0</v>
      </c>
      <c r="O557" t="n">
        <v>0</v>
      </c>
      <c r="P557" t="n">
        <v>0</v>
      </c>
      <c r="Q557" t="n">
        <v>0</v>
      </c>
      <c r="R557" s="2" t="inlineStr"/>
    </row>
    <row r="558" ht="15" customHeight="1">
      <c r="A558" t="inlineStr">
        <is>
          <t>A 28592-2023</t>
        </is>
      </c>
      <c r="B558" s="1" t="n">
        <v>45103</v>
      </c>
      <c r="C558" s="1" t="n">
        <v>45754</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v>
      </c>
      <c r="C559" s="1" t="n">
        <v>45754</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v>
      </c>
      <c r="C560" s="1" t="n">
        <v>45754</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28946-2023</t>
        </is>
      </c>
      <c r="B561" s="1" t="n">
        <v>45104</v>
      </c>
      <c r="C561" s="1" t="n">
        <v>45754</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28935-2023</t>
        </is>
      </c>
      <c r="B562" s="1" t="n">
        <v>45104</v>
      </c>
      <c r="C562" s="1" t="n">
        <v>45754</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28965-2023</t>
        </is>
      </c>
      <c r="B563" s="1" t="n">
        <v>45104</v>
      </c>
      <c r="C563" s="1" t="n">
        <v>45754</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31401-2023</t>
        </is>
      </c>
      <c r="B564" s="1" t="n">
        <v>45104</v>
      </c>
      <c r="C564" s="1" t="n">
        <v>45754</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45754</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31422-2023</t>
        </is>
      </c>
      <c r="B566" s="1" t="n">
        <v>45104</v>
      </c>
      <c r="C566" s="1" t="n">
        <v>45754</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29122-2023</t>
        </is>
      </c>
      <c r="B567" s="1" t="n">
        <v>45105</v>
      </c>
      <c r="C567" s="1" t="n">
        <v>45754</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29139-2023</t>
        </is>
      </c>
      <c r="B568" s="1" t="n">
        <v>45105</v>
      </c>
      <c r="C568" s="1" t="n">
        <v>45754</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29222-2023</t>
        </is>
      </c>
      <c r="B569" s="1" t="n">
        <v>45105</v>
      </c>
      <c r="C569" s="1" t="n">
        <v>45754</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29916-2023</t>
        </is>
      </c>
      <c r="B570" s="1" t="n">
        <v>45107</v>
      </c>
      <c r="C570" s="1" t="n">
        <v>45754</v>
      </c>
      <c r="D570" t="inlineStr">
        <is>
          <t>DALARNAS LÄN</t>
        </is>
      </c>
      <c r="E570" t="inlineStr">
        <is>
          <t>LEKSAND</t>
        </is>
      </c>
      <c r="F570" t="inlineStr">
        <is>
          <t>Bergvik skog väst AB</t>
        </is>
      </c>
      <c r="G570" t="n">
        <v>9.4</v>
      </c>
      <c r="H570" t="n">
        <v>0</v>
      </c>
      <c r="I570" t="n">
        <v>0</v>
      </c>
      <c r="J570" t="n">
        <v>0</v>
      </c>
      <c r="K570" t="n">
        <v>0</v>
      </c>
      <c r="L570" t="n">
        <v>0</v>
      </c>
      <c r="M570" t="n">
        <v>0</v>
      </c>
      <c r="N570" t="n">
        <v>0</v>
      </c>
      <c r="O570" t="n">
        <v>0</v>
      </c>
      <c r="P570" t="n">
        <v>0</v>
      </c>
      <c r="Q570" t="n">
        <v>0</v>
      </c>
      <c r="R570" s="2" t="inlineStr"/>
    </row>
    <row r="571" ht="15" customHeight="1">
      <c r="A571" t="inlineStr">
        <is>
          <t>A 29881-2023</t>
        </is>
      </c>
      <c r="B571" s="1" t="n">
        <v>45107</v>
      </c>
      <c r="C571" s="1" t="n">
        <v>45754</v>
      </c>
      <c r="D571" t="inlineStr">
        <is>
          <t>DALARNAS LÄN</t>
        </is>
      </c>
      <c r="E571" t="inlineStr">
        <is>
          <t>LEKSAND</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29694-2023</t>
        </is>
      </c>
      <c r="B572" s="1" t="n">
        <v>45107</v>
      </c>
      <c r="C572" s="1" t="n">
        <v>45754</v>
      </c>
      <c r="D572" t="inlineStr">
        <is>
          <t>DALARNAS LÄN</t>
        </is>
      </c>
      <c r="E572" t="inlineStr">
        <is>
          <t>LEKSAND</t>
        </is>
      </c>
      <c r="G572" t="n">
        <v>4.8</v>
      </c>
      <c r="H572" t="n">
        <v>0</v>
      </c>
      <c r="I572" t="n">
        <v>0</v>
      </c>
      <c r="J572" t="n">
        <v>0</v>
      </c>
      <c r="K572" t="n">
        <v>0</v>
      </c>
      <c r="L572" t="n">
        <v>0</v>
      </c>
      <c r="M572" t="n">
        <v>0</v>
      </c>
      <c r="N572" t="n">
        <v>0</v>
      </c>
      <c r="O572" t="n">
        <v>0</v>
      </c>
      <c r="P572" t="n">
        <v>0</v>
      </c>
      <c r="Q572" t="n">
        <v>0</v>
      </c>
      <c r="R572" s="2" t="inlineStr"/>
    </row>
    <row r="573" ht="15" customHeight="1">
      <c r="A573" t="inlineStr">
        <is>
          <t>A 32261-2023</t>
        </is>
      </c>
      <c r="B573" s="1" t="n">
        <v>45108</v>
      </c>
      <c r="C573" s="1" t="n">
        <v>45754</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30000-2023</t>
        </is>
      </c>
      <c r="B574" s="1" t="n">
        <v>45109</v>
      </c>
      <c r="C574" s="1" t="n">
        <v>45754</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30082-2023</t>
        </is>
      </c>
      <c r="B575" s="1" t="n">
        <v>45110</v>
      </c>
      <c r="C575" s="1" t="n">
        <v>45754</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30169-2023</t>
        </is>
      </c>
      <c r="B576" s="1" t="n">
        <v>45110</v>
      </c>
      <c r="C576" s="1" t="n">
        <v>45754</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30135-2023</t>
        </is>
      </c>
      <c r="B577" s="1" t="n">
        <v>45110</v>
      </c>
      <c r="C577" s="1" t="n">
        <v>45754</v>
      </c>
      <c r="D577" t="inlineStr">
        <is>
          <t>DALARNAS LÄN</t>
        </is>
      </c>
      <c r="E577" t="inlineStr">
        <is>
          <t>LEKSAND</t>
        </is>
      </c>
      <c r="F577" t="inlineStr">
        <is>
          <t>Bergvik skog väst AB</t>
        </is>
      </c>
      <c r="G577" t="n">
        <v>8.4</v>
      </c>
      <c r="H577" t="n">
        <v>0</v>
      </c>
      <c r="I577" t="n">
        <v>0</v>
      </c>
      <c r="J577" t="n">
        <v>0</v>
      </c>
      <c r="K577" t="n">
        <v>0</v>
      </c>
      <c r="L577" t="n">
        <v>0</v>
      </c>
      <c r="M577" t="n">
        <v>0</v>
      </c>
      <c r="N577" t="n">
        <v>0</v>
      </c>
      <c r="O577" t="n">
        <v>0</v>
      </c>
      <c r="P577" t="n">
        <v>0</v>
      </c>
      <c r="Q577" t="n">
        <v>0</v>
      </c>
      <c r="R577" s="2" t="inlineStr"/>
    </row>
    <row r="578" ht="15" customHeight="1">
      <c r="A578" t="inlineStr">
        <is>
          <t>A 30195-2023</t>
        </is>
      </c>
      <c r="B578" s="1" t="n">
        <v>45110</v>
      </c>
      <c r="C578" s="1" t="n">
        <v>45754</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45754</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30175-2023</t>
        </is>
      </c>
      <c r="B580" s="1" t="n">
        <v>45110</v>
      </c>
      <c r="C580" s="1" t="n">
        <v>45754</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30523-2023</t>
        </is>
      </c>
      <c r="B581" s="1" t="n">
        <v>45111</v>
      </c>
      <c r="C581" s="1" t="n">
        <v>45754</v>
      </c>
      <c r="D581" t="inlineStr">
        <is>
          <t>DALARNAS LÄN</t>
        </is>
      </c>
      <c r="E581" t="inlineStr">
        <is>
          <t>LEKSAND</t>
        </is>
      </c>
      <c r="G581" t="n">
        <v>5.6</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45754</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45754</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30700-2023</t>
        </is>
      </c>
      <c r="B584" s="1" t="n">
        <v>45112</v>
      </c>
      <c r="C584" s="1" t="n">
        <v>45754</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30654-2023</t>
        </is>
      </c>
      <c r="B585" s="1" t="n">
        <v>45112</v>
      </c>
      <c r="C585" s="1" t="n">
        <v>45754</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30880-2023</t>
        </is>
      </c>
      <c r="B586" s="1" t="n">
        <v>45113</v>
      </c>
      <c r="C586" s="1" t="n">
        <v>45754</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30992-2023</t>
        </is>
      </c>
      <c r="B587" s="1" t="n">
        <v>45113</v>
      </c>
      <c r="C587" s="1" t="n">
        <v>45754</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30994-2023</t>
        </is>
      </c>
      <c r="B588" s="1" t="n">
        <v>45113</v>
      </c>
      <c r="C588" s="1" t="n">
        <v>45754</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30998-2023</t>
        </is>
      </c>
      <c r="B589" s="1" t="n">
        <v>45113</v>
      </c>
      <c r="C589" s="1" t="n">
        <v>45754</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32989-2023</t>
        </is>
      </c>
      <c r="B590" s="1" t="n">
        <v>45113</v>
      </c>
      <c r="C590" s="1" t="n">
        <v>45754</v>
      </c>
      <c r="D590" t="inlineStr">
        <is>
          <t>DALARNAS LÄN</t>
        </is>
      </c>
      <c r="E590" t="inlineStr">
        <is>
          <t>LEKSAND</t>
        </is>
      </c>
      <c r="G590" t="n">
        <v>4.4</v>
      </c>
      <c r="H590" t="n">
        <v>0</v>
      </c>
      <c r="I590" t="n">
        <v>0</v>
      </c>
      <c r="J590" t="n">
        <v>0</v>
      </c>
      <c r="K590" t="n">
        <v>0</v>
      </c>
      <c r="L590" t="n">
        <v>0</v>
      </c>
      <c r="M590" t="n">
        <v>0</v>
      </c>
      <c r="N590" t="n">
        <v>0</v>
      </c>
      <c r="O590" t="n">
        <v>0</v>
      </c>
      <c r="P590" t="n">
        <v>0</v>
      </c>
      <c r="Q590" t="n">
        <v>0</v>
      </c>
      <c r="R590" s="2" t="inlineStr"/>
    </row>
    <row r="591" ht="15" customHeight="1">
      <c r="A591" t="inlineStr">
        <is>
          <t>A 31255-2023</t>
        </is>
      </c>
      <c r="B591" s="1" t="n">
        <v>45114</v>
      </c>
      <c r="C591" s="1" t="n">
        <v>45754</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31250-2023</t>
        </is>
      </c>
      <c r="B592" s="1" t="n">
        <v>45114</v>
      </c>
      <c r="C592" s="1" t="n">
        <v>45754</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31254-2023</t>
        </is>
      </c>
      <c r="B593" s="1" t="n">
        <v>45114</v>
      </c>
      <c r="C593" s="1" t="n">
        <v>45754</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31761-2023</t>
        </is>
      </c>
      <c r="B594" s="1" t="n">
        <v>45118</v>
      </c>
      <c r="C594" s="1" t="n">
        <v>45754</v>
      </c>
      <c r="D594" t="inlineStr">
        <is>
          <t>DALARNAS LÄN</t>
        </is>
      </c>
      <c r="E594" t="inlineStr">
        <is>
          <t>LEKSAND</t>
        </is>
      </c>
      <c r="G594" t="n">
        <v>6</v>
      </c>
      <c r="H594" t="n">
        <v>0</v>
      </c>
      <c r="I594" t="n">
        <v>0</v>
      </c>
      <c r="J594" t="n">
        <v>0</v>
      </c>
      <c r="K594" t="n">
        <v>0</v>
      </c>
      <c r="L594" t="n">
        <v>0</v>
      </c>
      <c r="M594" t="n">
        <v>0</v>
      </c>
      <c r="N594" t="n">
        <v>0</v>
      </c>
      <c r="O594" t="n">
        <v>0</v>
      </c>
      <c r="P594" t="n">
        <v>0</v>
      </c>
      <c r="Q594" t="n">
        <v>0</v>
      </c>
      <c r="R594" s="2" t="inlineStr"/>
    </row>
    <row r="595" ht="15" customHeight="1">
      <c r="A595" t="inlineStr">
        <is>
          <t>A 32307-2023</t>
        </is>
      </c>
      <c r="B595" s="1" t="n">
        <v>45120</v>
      </c>
      <c r="C595" s="1" t="n">
        <v>45754</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32311-2023</t>
        </is>
      </c>
      <c r="B596" s="1" t="n">
        <v>45120</v>
      </c>
      <c r="C596" s="1" t="n">
        <v>45754</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32544-2023</t>
        </is>
      </c>
      <c r="B597" s="1" t="n">
        <v>45121</v>
      </c>
      <c r="C597" s="1" t="n">
        <v>45754</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32666-2023</t>
        </is>
      </c>
      <c r="B598" s="1" t="n">
        <v>45121</v>
      </c>
      <c r="C598" s="1" t="n">
        <v>45754</v>
      </c>
      <c r="D598" t="inlineStr">
        <is>
          <t>DALARNAS LÄN</t>
        </is>
      </c>
      <c r="E598" t="inlineStr">
        <is>
          <t>LEKSAND</t>
        </is>
      </c>
      <c r="G598" t="n">
        <v>9.9</v>
      </c>
      <c r="H598" t="n">
        <v>0</v>
      </c>
      <c r="I598" t="n">
        <v>0</v>
      </c>
      <c r="J598" t="n">
        <v>0</v>
      </c>
      <c r="K598" t="n">
        <v>0</v>
      </c>
      <c r="L598" t="n">
        <v>0</v>
      </c>
      <c r="M598" t="n">
        <v>0</v>
      </c>
      <c r="N598" t="n">
        <v>0</v>
      </c>
      <c r="O598" t="n">
        <v>0</v>
      </c>
      <c r="P598" t="n">
        <v>0</v>
      </c>
      <c r="Q598" t="n">
        <v>0</v>
      </c>
      <c r="R598" s="2" t="inlineStr"/>
    </row>
    <row r="599" ht="15" customHeight="1">
      <c r="A599" t="inlineStr">
        <is>
          <t>A 33788-2023</t>
        </is>
      </c>
      <c r="B599" s="1" t="n">
        <v>45121</v>
      </c>
      <c r="C599" s="1" t="n">
        <v>45754</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33001-2023</t>
        </is>
      </c>
      <c r="B600" s="1" t="n">
        <v>45125</v>
      </c>
      <c r="C600" s="1" t="n">
        <v>45754</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33308-2023</t>
        </is>
      </c>
      <c r="B601" s="1" t="n">
        <v>45127</v>
      </c>
      <c r="C601" s="1" t="n">
        <v>45754</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45754</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45754</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33312-2023</t>
        </is>
      </c>
      <c r="B604" s="1" t="n">
        <v>45127</v>
      </c>
      <c r="C604" s="1" t="n">
        <v>45754</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33316-2023</t>
        </is>
      </c>
      <c r="B605" s="1" t="n">
        <v>45127</v>
      </c>
      <c r="C605" s="1" t="n">
        <v>45754</v>
      </c>
      <c r="D605" t="inlineStr">
        <is>
          <t>DALARNAS LÄN</t>
        </is>
      </c>
      <c r="E605" t="inlineStr">
        <is>
          <t>LEKSAND</t>
        </is>
      </c>
      <c r="G605" t="n">
        <v>8.9</v>
      </c>
      <c r="H605" t="n">
        <v>0</v>
      </c>
      <c r="I605" t="n">
        <v>0</v>
      </c>
      <c r="J605" t="n">
        <v>0</v>
      </c>
      <c r="K605" t="n">
        <v>0</v>
      </c>
      <c r="L605" t="n">
        <v>0</v>
      </c>
      <c r="M605" t="n">
        <v>0</v>
      </c>
      <c r="N605" t="n">
        <v>0</v>
      </c>
      <c r="O605" t="n">
        <v>0</v>
      </c>
      <c r="P605" t="n">
        <v>0</v>
      </c>
      <c r="Q605" t="n">
        <v>0</v>
      </c>
      <c r="R605" s="2" t="inlineStr"/>
    </row>
    <row r="606" ht="15" customHeight="1">
      <c r="A606" t="inlineStr">
        <is>
          <t>A 33310-2023</t>
        </is>
      </c>
      <c r="B606" s="1" t="n">
        <v>45127</v>
      </c>
      <c r="C606" s="1" t="n">
        <v>45754</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33317-2023</t>
        </is>
      </c>
      <c r="B607" s="1" t="n">
        <v>45127</v>
      </c>
      <c r="C607" s="1" t="n">
        <v>45754</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33480-2023</t>
        </is>
      </c>
      <c r="B608" s="1" t="n">
        <v>45131</v>
      </c>
      <c r="C608" s="1" t="n">
        <v>45754</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33462-2023</t>
        </is>
      </c>
      <c r="B609" s="1" t="n">
        <v>45131</v>
      </c>
      <c r="C609" s="1" t="n">
        <v>45754</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33463-2023</t>
        </is>
      </c>
      <c r="B610" s="1" t="n">
        <v>45131</v>
      </c>
      <c r="C610" s="1" t="n">
        <v>45754</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45754</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33674-2023</t>
        </is>
      </c>
      <c r="B612" s="1" t="n">
        <v>45132</v>
      </c>
      <c r="C612" s="1" t="n">
        <v>45754</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34294-2023</t>
        </is>
      </c>
      <c r="B613" s="1" t="n">
        <v>45138</v>
      </c>
      <c r="C613" s="1" t="n">
        <v>45754</v>
      </c>
      <c r="D613" t="inlineStr">
        <is>
          <t>DALARNAS LÄN</t>
        </is>
      </c>
      <c r="E613" t="inlineStr">
        <is>
          <t>LEKSAND</t>
        </is>
      </c>
      <c r="G613" t="n">
        <v>6.1</v>
      </c>
      <c r="H613" t="n">
        <v>0</v>
      </c>
      <c r="I613" t="n">
        <v>0</v>
      </c>
      <c r="J613" t="n">
        <v>0</v>
      </c>
      <c r="K613" t="n">
        <v>0</v>
      </c>
      <c r="L613" t="n">
        <v>0</v>
      </c>
      <c r="M613" t="n">
        <v>0</v>
      </c>
      <c r="N613" t="n">
        <v>0</v>
      </c>
      <c r="O613" t="n">
        <v>0</v>
      </c>
      <c r="P613" t="n">
        <v>0</v>
      </c>
      <c r="Q613" t="n">
        <v>0</v>
      </c>
      <c r="R613" s="2" t="inlineStr"/>
    </row>
    <row r="614" ht="15" customHeight="1">
      <c r="A614" t="inlineStr">
        <is>
          <t>A 35228-2023</t>
        </is>
      </c>
      <c r="B614" s="1" t="n">
        <v>45145</v>
      </c>
      <c r="C614" s="1" t="n">
        <v>45754</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35173-2023</t>
        </is>
      </c>
      <c r="B615" s="1" t="n">
        <v>45145</v>
      </c>
      <c r="C615" s="1" t="n">
        <v>45754</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35189-2023</t>
        </is>
      </c>
      <c r="B616" s="1" t="n">
        <v>45145</v>
      </c>
      <c r="C616" s="1" t="n">
        <v>45754</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36261-2023</t>
        </is>
      </c>
      <c r="B617" s="1" t="n">
        <v>45151</v>
      </c>
      <c r="C617" s="1" t="n">
        <v>45754</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36262-2023</t>
        </is>
      </c>
      <c r="B618" s="1" t="n">
        <v>45151</v>
      </c>
      <c r="C618" s="1" t="n">
        <v>45754</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36444-2023</t>
        </is>
      </c>
      <c r="B619" s="1" t="n">
        <v>45152</v>
      </c>
      <c r="C619" s="1" t="n">
        <v>45754</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36450-2023</t>
        </is>
      </c>
      <c r="B620" s="1" t="n">
        <v>45152</v>
      </c>
      <c r="C620" s="1" t="n">
        <v>45754</v>
      </c>
      <c r="D620" t="inlineStr">
        <is>
          <t>DALARNAS LÄN</t>
        </is>
      </c>
      <c r="E620" t="inlineStr">
        <is>
          <t>LEKSAND</t>
        </is>
      </c>
      <c r="G620" t="n">
        <v>2.4</v>
      </c>
      <c r="H620" t="n">
        <v>0</v>
      </c>
      <c r="I620" t="n">
        <v>0</v>
      </c>
      <c r="J620" t="n">
        <v>0</v>
      </c>
      <c r="K620" t="n">
        <v>0</v>
      </c>
      <c r="L620" t="n">
        <v>0</v>
      </c>
      <c r="M620" t="n">
        <v>0</v>
      </c>
      <c r="N620" t="n">
        <v>0</v>
      </c>
      <c r="O620" t="n">
        <v>0</v>
      </c>
      <c r="P620" t="n">
        <v>0</v>
      </c>
      <c r="Q620" t="n">
        <v>0</v>
      </c>
      <c r="R620" s="2" t="inlineStr"/>
    </row>
    <row r="621" ht="15" customHeight="1">
      <c r="A621" t="inlineStr">
        <is>
          <t>A 36515-2023</t>
        </is>
      </c>
      <c r="B621" s="1" t="n">
        <v>45153</v>
      </c>
      <c r="C621" s="1" t="n">
        <v>45754</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36932-2023</t>
        </is>
      </c>
      <c r="B622" s="1" t="n">
        <v>45154</v>
      </c>
      <c r="C622" s="1" t="n">
        <v>45754</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37397-2023</t>
        </is>
      </c>
      <c r="B623" s="1" t="n">
        <v>45156</v>
      </c>
      <c r="C623" s="1" t="n">
        <v>45754</v>
      </c>
      <c r="D623" t="inlineStr">
        <is>
          <t>DALARNAS LÄN</t>
        </is>
      </c>
      <c r="E623" t="inlineStr">
        <is>
          <t>LEKSAND</t>
        </is>
      </c>
      <c r="F623" t="inlineStr">
        <is>
          <t>Kommuner</t>
        </is>
      </c>
      <c r="G623" t="n">
        <v>2.9</v>
      </c>
      <c r="H623" t="n">
        <v>0</v>
      </c>
      <c r="I623" t="n">
        <v>0</v>
      </c>
      <c r="J623" t="n">
        <v>0</v>
      </c>
      <c r="K623" t="n">
        <v>0</v>
      </c>
      <c r="L623" t="n">
        <v>0</v>
      </c>
      <c r="M623" t="n">
        <v>0</v>
      </c>
      <c r="N623" t="n">
        <v>0</v>
      </c>
      <c r="O623" t="n">
        <v>0</v>
      </c>
      <c r="P623" t="n">
        <v>0</v>
      </c>
      <c r="Q623" t="n">
        <v>0</v>
      </c>
      <c r="R623" s="2" t="inlineStr"/>
    </row>
    <row r="624" ht="15" customHeight="1">
      <c r="A624" t="inlineStr">
        <is>
          <t>A 37516-2023</t>
        </is>
      </c>
      <c r="B624" s="1" t="n">
        <v>45158</v>
      </c>
      <c r="C624" s="1" t="n">
        <v>45754</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37832-2023</t>
        </is>
      </c>
      <c r="B625" s="1" t="n">
        <v>45160</v>
      </c>
      <c r="C625" s="1" t="n">
        <v>45754</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37919-2023</t>
        </is>
      </c>
      <c r="B626" s="1" t="n">
        <v>45160</v>
      </c>
      <c r="C626" s="1" t="n">
        <v>45754</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38058-2023</t>
        </is>
      </c>
      <c r="B627" s="1" t="n">
        <v>45160</v>
      </c>
      <c r="C627" s="1" t="n">
        <v>45754</v>
      </c>
      <c r="D627" t="inlineStr">
        <is>
          <t>DALARNAS LÄN</t>
        </is>
      </c>
      <c r="E627" t="inlineStr">
        <is>
          <t>LEKSAND</t>
        </is>
      </c>
      <c r="G627" t="n">
        <v>4.2</v>
      </c>
      <c r="H627" t="n">
        <v>0</v>
      </c>
      <c r="I627" t="n">
        <v>0</v>
      </c>
      <c r="J627" t="n">
        <v>0</v>
      </c>
      <c r="K627" t="n">
        <v>0</v>
      </c>
      <c r="L627" t="n">
        <v>0</v>
      </c>
      <c r="M627" t="n">
        <v>0</v>
      </c>
      <c r="N627" t="n">
        <v>0</v>
      </c>
      <c r="O627" t="n">
        <v>0</v>
      </c>
      <c r="P627" t="n">
        <v>0</v>
      </c>
      <c r="Q627" t="n">
        <v>0</v>
      </c>
      <c r="R627" s="2" t="inlineStr"/>
    </row>
    <row r="628" ht="15" customHeight="1">
      <c r="A628" t="inlineStr">
        <is>
          <t>A 38001-2023</t>
        </is>
      </c>
      <c r="B628" s="1" t="n">
        <v>45160</v>
      </c>
      <c r="C628" s="1" t="n">
        <v>45754</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38145-2023</t>
        </is>
      </c>
      <c r="B629" s="1" t="n">
        <v>45160</v>
      </c>
      <c r="C629" s="1" t="n">
        <v>45754</v>
      </c>
      <c r="D629" t="inlineStr">
        <is>
          <t>DALARNAS LÄN</t>
        </is>
      </c>
      <c r="E629" t="inlineStr">
        <is>
          <t>LEKSAND</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38273-2023</t>
        </is>
      </c>
      <c r="B630" s="1" t="n">
        <v>45161</v>
      </c>
      <c r="C630" s="1" t="n">
        <v>45754</v>
      </c>
      <c r="D630" t="inlineStr">
        <is>
          <t>DALARNAS LÄN</t>
        </is>
      </c>
      <c r="E630" t="inlineStr">
        <is>
          <t>LEKSAND</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38277-2023</t>
        </is>
      </c>
      <c r="B631" s="1" t="n">
        <v>45161</v>
      </c>
      <c r="C631" s="1" t="n">
        <v>45754</v>
      </c>
      <c r="D631" t="inlineStr">
        <is>
          <t>DALARNAS LÄN</t>
        </is>
      </c>
      <c r="E631" t="inlineStr">
        <is>
          <t>LEKSAND</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45754</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39136-2023</t>
        </is>
      </c>
      <c r="B633" s="1" t="n">
        <v>45165</v>
      </c>
      <c r="C633" s="1" t="n">
        <v>45754</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39387-2023</t>
        </is>
      </c>
      <c r="B634" s="1" t="n">
        <v>45166</v>
      </c>
      <c r="C634" s="1" t="n">
        <v>45754</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39332-2023</t>
        </is>
      </c>
      <c r="B635" s="1" t="n">
        <v>45166</v>
      </c>
      <c r="C635" s="1" t="n">
        <v>45754</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39354-2023</t>
        </is>
      </c>
      <c r="B636" s="1" t="n">
        <v>45166</v>
      </c>
      <c r="C636" s="1" t="n">
        <v>45754</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45754</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39558-2023</t>
        </is>
      </c>
      <c r="B638" s="1" t="n">
        <v>45167</v>
      </c>
      <c r="C638" s="1" t="n">
        <v>45754</v>
      </c>
      <c r="D638" t="inlineStr">
        <is>
          <t>DALARNAS LÄN</t>
        </is>
      </c>
      <c r="E638" t="inlineStr">
        <is>
          <t>LEKSAND</t>
        </is>
      </c>
      <c r="G638" t="n">
        <v>39.9</v>
      </c>
      <c r="H638" t="n">
        <v>0</v>
      </c>
      <c r="I638" t="n">
        <v>0</v>
      </c>
      <c r="J638" t="n">
        <v>0</v>
      </c>
      <c r="K638" t="n">
        <v>0</v>
      </c>
      <c r="L638" t="n">
        <v>0</v>
      </c>
      <c r="M638" t="n">
        <v>0</v>
      </c>
      <c r="N638" t="n">
        <v>0</v>
      </c>
      <c r="O638" t="n">
        <v>0</v>
      </c>
      <c r="P638" t="n">
        <v>0</v>
      </c>
      <c r="Q638" t="n">
        <v>0</v>
      </c>
      <c r="R638" s="2" t="inlineStr"/>
    </row>
    <row r="639" ht="15" customHeight="1">
      <c r="A639" t="inlineStr">
        <is>
          <t>A 39577-2023</t>
        </is>
      </c>
      <c r="B639" s="1" t="n">
        <v>45167</v>
      </c>
      <c r="C639" s="1" t="n">
        <v>45754</v>
      </c>
      <c r="D639" t="inlineStr">
        <is>
          <t>DALARNAS LÄN</t>
        </is>
      </c>
      <c r="E639" t="inlineStr">
        <is>
          <t>LEKSAND</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39665-2023</t>
        </is>
      </c>
      <c r="B640" s="1" t="n">
        <v>45167</v>
      </c>
      <c r="C640" s="1" t="n">
        <v>45754</v>
      </c>
      <c r="D640" t="inlineStr">
        <is>
          <t>DALARNAS LÄN</t>
        </is>
      </c>
      <c r="E640" t="inlineStr">
        <is>
          <t>LEKSAND</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40201-2023</t>
        </is>
      </c>
      <c r="B641" s="1" t="n">
        <v>45169</v>
      </c>
      <c r="C641" s="1" t="n">
        <v>45754</v>
      </c>
      <c r="D641" t="inlineStr">
        <is>
          <t>DALARNAS LÄN</t>
        </is>
      </c>
      <c r="E641" t="inlineStr">
        <is>
          <t>LEKSAND</t>
        </is>
      </c>
      <c r="G641" t="n">
        <v>3.2</v>
      </c>
      <c r="H641" t="n">
        <v>0</v>
      </c>
      <c r="I641" t="n">
        <v>0</v>
      </c>
      <c r="J641" t="n">
        <v>0</v>
      </c>
      <c r="K641" t="n">
        <v>0</v>
      </c>
      <c r="L641" t="n">
        <v>0</v>
      </c>
      <c r="M641" t="n">
        <v>0</v>
      </c>
      <c r="N641" t="n">
        <v>0</v>
      </c>
      <c r="O641" t="n">
        <v>0</v>
      </c>
      <c r="P641" t="n">
        <v>0</v>
      </c>
      <c r="Q641" t="n">
        <v>0</v>
      </c>
      <c r="R641" s="2" t="inlineStr"/>
    </row>
    <row r="642" ht="15" customHeight="1">
      <c r="A642" t="inlineStr">
        <is>
          <t>A 40181-2023</t>
        </is>
      </c>
      <c r="B642" s="1" t="n">
        <v>45169</v>
      </c>
      <c r="C642" s="1" t="n">
        <v>45754</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v>
      </c>
      <c r="C643" s="1" t="n">
        <v>45754</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40642-2023</t>
        </is>
      </c>
      <c r="B644" s="1" t="n">
        <v>45169</v>
      </c>
      <c r="C644" s="1" t="n">
        <v>45754</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40183-2023</t>
        </is>
      </c>
      <c r="B645" s="1" t="n">
        <v>45169</v>
      </c>
      <c r="C645" s="1" t="n">
        <v>45754</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40580-2023</t>
        </is>
      </c>
      <c r="B646" s="1" t="n">
        <v>45170</v>
      </c>
      <c r="C646" s="1" t="n">
        <v>45754</v>
      </c>
      <c r="D646" t="inlineStr">
        <is>
          <t>DALARNAS LÄN</t>
        </is>
      </c>
      <c r="E646" t="inlineStr">
        <is>
          <t>LEKSAND</t>
        </is>
      </c>
      <c r="F646" t="inlineStr">
        <is>
          <t>Bergvik skog väst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40634-2023</t>
        </is>
      </c>
      <c r="B647" s="1" t="n">
        <v>45170</v>
      </c>
      <c r="C647" s="1" t="n">
        <v>45754</v>
      </c>
      <c r="D647" t="inlineStr">
        <is>
          <t>DALARNAS LÄN</t>
        </is>
      </c>
      <c r="E647" t="inlineStr">
        <is>
          <t>LEKSAND</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40640-2023</t>
        </is>
      </c>
      <c r="B648" s="1" t="n">
        <v>45170</v>
      </c>
      <c r="C648" s="1" t="n">
        <v>45754</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40577-2023</t>
        </is>
      </c>
      <c r="B649" s="1" t="n">
        <v>45170</v>
      </c>
      <c r="C649" s="1" t="n">
        <v>45754</v>
      </c>
      <c r="D649" t="inlineStr">
        <is>
          <t>DALARNAS LÄN</t>
        </is>
      </c>
      <c r="E649" t="inlineStr">
        <is>
          <t>LEKSAND</t>
        </is>
      </c>
      <c r="F649" t="inlineStr">
        <is>
          <t>Bergvik skog väst AB</t>
        </is>
      </c>
      <c r="G649" t="n">
        <v>20.6</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45754</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41853-2023</t>
        </is>
      </c>
      <c r="B651" s="1" t="n">
        <v>45176</v>
      </c>
      <c r="C651" s="1" t="n">
        <v>45754</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45754</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42305-2023</t>
        </is>
      </c>
      <c r="B653" s="1" t="n">
        <v>45180</v>
      </c>
      <c r="C653" s="1" t="n">
        <v>45754</v>
      </c>
      <c r="D653" t="inlineStr">
        <is>
          <t>DALARNAS LÄN</t>
        </is>
      </c>
      <c r="E653" t="inlineStr">
        <is>
          <t>LEKSAND</t>
        </is>
      </c>
      <c r="G653" t="n">
        <v>6.9</v>
      </c>
      <c r="H653" t="n">
        <v>0</v>
      </c>
      <c r="I653" t="n">
        <v>0</v>
      </c>
      <c r="J653" t="n">
        <v>0</v>
      </c>
      <c r="K653" t="n">
        <v>0</v>
      </c>
      <c r="L653" t="n">
        <v>0</v>
      </c>
      <c r="M653" t="n">
        <v>0</v>
      </c>
      <c r="N653" t="n">
        <v>0</v>
      </c>
      <c r="O653" t="n">
        <v>0</v>
      </c>
      <c r="P653" t="n">
        <v>0</v>
      </c>
      <c r="Q653" t="n">
        <v>0</v>
      </c>
      <c r="R653" s="2" t="inlineStr"/>
    </row>
    <row r="654" ht="15" customHeight="1">
      <c r="A654" t="inlineStr">
        <is>
          <t>A 42290-2023</t>
        </is>
      </c>
      <c r="B654" s="1" t="n">
        <v>45180</v>
      </c>
      <c r="C654" s="1" t="n">
        <v>45754</v>
      </c>
      <c r="D654" t="inlineStr">
        <is>
          <t>DALARNAS LÄN</t>
        </is>
      </c>
      <c r="E654" t="inlineStr">
        <is>
          <t>LEKSAND</t>
        </is>
      </c>
      <c r="G654" t="n">
        <v>6.8</v>
      </c>
      <c r="H654" t="n">
        <v>0</v>
      </c>
      <c r="I654" t="n">
        <v>0</v>
      </c>
      <c r="J654" t="n">
        <v>0</v>
      </c>
      <c r="K654" t="n">
        <v>0</v>
      </c>
      <c r="L654" t="n">
        <v>0</v>
      </c>
      <c r="M654" t="n">
        <v>0</v>
      </c>
      <c r="N654" t="n">
        <v>0</v>
      </c>
      <c r="O654" t="n">
        <v>0</v>
      </c>
      <c r="P654" t="n">
        <v>0</v>
      </c>
      <c r="Q654" t="n">
        <v>0</v>
      </c>
      <c r="R654" s="2" t="inlineStr"/>
    </row>
    <row r="655" ht="15" customHeight="1">
      <c r="A655" t="inlineStr">
        <is>
          <t>A 42739-2023</t>
        </is>
      </c>
      <c r="B655" s="1" t="n">
        <v>45181</v>
      </c>
      <c r="C655" s="1" t="n">
        <v>45754</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42774-2023</t>
        </is>
      </c>
      <c r="B656" s="1" t="n">
        <v>45181</v>
      </c>
      <c r="C656" s="1" t="n">
        <v>45754</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42771-2023</t>
        </is>
      </c>
      <c r="B657" s="1" t="n">
        <v>45181</v>
      </c>
      <c r="C657" s="1" t="n">
        <v>45754</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44491-2023</t>
        </is>
      </c>
      <c r="B658" s="1" t="n">
        <v>45183</v>
      </c>
      <c r="C658" s="1" t="n">
        <v>45754</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43436-2023</t>
        </is>
      </c>
      <c r="B659" s="1" t="n">
        <v>45184</v>
      </c>
      <c r="C659" s="1" t="n">
        <v>45754</v>
      </c>
      <c r="D659" t="inlineStr">
        <is>
          <t>DALARNAS LÄN</t>
        </is>
      </c>
      <c r="E659" t="inlineStr">
        <is>
          <t>LEKSAND</t>
        </is>
      </c>
      <c r="G659" t="n">
        <v>6</v>
      </c>
      <c r="H659" t="n">
        <v>0</v>
      </c>
      <c r="I659" t="n">
        <v>0</v>
      </c>
      <c r="J659" t="n">
        <v>0</v>
      </c>
      <c r="K659" t="n">
        <v>0</v>
      </c>
      <c r="L659" t="n">
        <v>0</v>
      </c>
      <c r="M659" t="n">
        <v>0</v>
      </c>
      <c r="N659" t="n">
        <v>0</v>
      </c>
      <c r="O659" t="n">
        <v>0</v>
      </c>
      <c r="P659" t="n">
        <v>0</v>
      </c>
      <c r="Q659" t="n">
        <v>0</v>
      </c>
      <c r="R659" s="2" t="inlineStr"/>
    </row>
    <row r="660" ht="15" customHeight="1">
      <c r="A660" t="inlineStr">
        <is>
          <t>A 43440-2023</t>
        </is>
      </c>
      <c r="B660" s="1" t="n">
        <v>45184</v>
      </c>
      <c r="C660" s="1" t="n">
        <v>45754</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43508-2023</t>
        </is>
      </c>
      <c r="B661" s="1" t="n">
        <v>45184</v>
      </c>
      <c r="C661" s="1" t="n">
        <v>45754</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43642-2023</t>
        </is>
      </c>
      <c r="B662" s="1" t="n">
        <v>45186</v>
      </c>
      <c r="C662" s="1" t="n">
        <v>45754</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43650-2023</t>
        </is>
      </c>
      <c r="B663" s="1" t="n">
        <v>45187</v>
      </c>
      <c r="C663" s="1" t="n">
        <v>45754</v>
      </c>
      <c r="D663" t="inlineStr">
        <is>
          <t>DALARNAS LÄN</t>
        </is>
      </c>
      <c r="E663" t="inlineStr">
        <is>
          <t>LEKSAND</t>
        </is>
      </c>
      <c r="G663" t="n">
        <v>4.5</v>
      </c>
      <c r="H663" t="n">
        <v>0</v>
      </c>
      <c r="I663" t="n">
        <v>0</v>
      </c>
      <c r="J663" t="n">
        <v>0</v>
      </c>
      <c r="K663" t="n">
        <v>0</v>
      </c>
      <c r="L663" t="n">
        <v>0</v>
      </c>
      <c r="M663" t="n">
        <v>0</v>
      </c>
      <c r="N663" t="n">
        <v>0</v>
      </c>
      <c r="O663" t="n">
        <v>0</v>
      </c>
      <c r="P663" t="n">
        <v>0</v>
      </c>
      <c r="Q663" t="n">
        <v>0</v>
      </c>
      <c r="R663" s="2" t="inlineStr"/>
    </row>
    <row r="664" ht="15" customHeight="1">
      <c r="A664" t="inlineStr">
        <is>
          <t>A 44712-2023</t>
        </is>
      </c>
      <c r="B664" s="1" t="n">
        <v>45190</v>
      </c>
      <c r="C664" s="1" t="n">
        <v>45754</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45254-2023</t>
        </is>
      </c>
      <c r="B665" s="1" t="n">
        <v>45191</v>
      </c>
      <c r="C665" s="1" t="n">
        <v>45754</v>
      </c>
      <c r="D665" t="inlineStr">
        <is>
          <t>DALARNAS LÄN</t>
        </is>
      </c>
      <c r="E665" t="inlineStr">
        <is>
          <t>LEKSAND</t>
        </is>
      </c>
      <c r="G665" t="n">
        <v>16.9</v>
      </c>
      <c r="H665" t="n">
        <v>0</v>
      </c>
      <c r="I665" t="n">
        <v>0</v>
      </c>
      <c r="J665" t="n">
        <v>0</v>
      </c>
      <c r="K665" t="n">
        <v>0</v>
      </c>
      <c r="L665" t="n">
        <v>0</v>
      </c>
      <c r="M665" t="n">
        <v>0</v>
      </c>
      <c r="N665" t="n">
        <v>0</v>
      </c>
      <c r="O665" t="n">
        <v>0</v>
      </c>
      <c r="P665" t="n">
        <v>0</v>
      </c>
      <c r="Q665" t="n">
        <v>0</v>
      </c>
      <c r="R665" s="2" t="inlineStr"/>
    </row>
    <row r="666" ht="15" customHeight="1">
      <c r="A666" t="inlineStr">
        <is>
          <t>A 45633-2023</t>
        </is>
      </c>
      <c r="B666" s="1" t="n">
        <v>45194</v>
      </c>
      <c r="C666" s="1" t="n">
        <v>45754</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45512-2023</t>
        </is>
      </c>
      <c r="B667" s="1" t="n">
        <v>45194</v>
      </c>
      <c r="C667" s="1" t="n">
        <v>45754</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45768-2023</t>
        </is>
      </c>
      <c r="B668" s="1" t="n">
        <v>45195</v>
      </c>
      <c r="C668" s="1" t="n">
        <v>45754</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45679-2023</t>
        </is>
      </c>
      <c r="B669" s="1" t="n">
        <v>45195</v>
      </c>
      <c r="C669" s="1" t="n">
        <v>45754</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45813-2023</t>
        </is>
      </c>
      <c r="B670" s="1" t="n">
        <v>45195</v>
      </c>
      <c r="C670" s="1" t="n">
        <v>45754</v>
      </c>
      <c r="D670" t="inlineStr">
        <is>
          <t>DALARNAS LÄN</t>
        </is>
      </c>
      <c r="E670" t="inlineStr">
        <is>
          <t>LEKSAND</t>
        </is>
      </c>
      <c r="G670" t="n">
        <v>3</v>
      </c>
      <c r="H670" t="n">
        <v>0</v>
      </c>
      <c r="I670" t="n">
        <v>0</v>
      </c>
      <c r="J670" t="n">
        <v>0</v>
      </c>
      <c r="K670" t="n">
        <v>0</v>
      </c>
      <c r="L670" t="n">
        <v>0</v>
      </c>
      <c r="M670" t="n">
        <v>0</v>
      </c>
      <c r="N670" t="n">
        <v>0</v>
      </c>
      <c r="O670" t="n">
        <v>0</v>
      </c>
      <c r="P670" t="n">
        <v>0</v>
      </c>
      <c r="Q670" t="n">
        <v>0</v>
      </c>
      <c r="R670" s="2" t="inlineStr"/>
    </row>
    <row r="671" ht="15" customHeight="1">
      <c r="A671" t="inlineStr">
        <is>
          <t>A 46163-2023</t>
        </is>
      </c>
      <c r="B671" s="1" t="n">
        <v>45196</v>
      </c>
      <c r="C671" s="1" t="n">
        <v>45754</v>
      </c>
      <c r="D671" t="inlineStr">
        <is>
          <t>DALARNAS LÄN</t>
        </is>
      </c>
      <c r="E671" t="inlineStr">
        <is>
          <t>LEKSAND</t>
        </is>
      </c>
      <c r="G671" t="n">
        <v>7.3</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v>
      </c>
      <c r="C672" s="1" t="n">
        <v>45754</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46505-2023</t>
        </is>
      </c>
      <c r="B673" s="1" t="n">
        <v>45197</v>
      </c>
      <c r="C673" s="1" t="n">
        <v>45754</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46593-2023</t>
        </is>
      </c>
      <c r="B674" s="1" t="n">
        <v>45198</v>
      </c>
      <c r="C674" s="1" t="n">
        <v>45754</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46669-2023</t>
        </is>
      </c>
      <c r="B675" s="1" t="n">
        <v>45198</v>
      </c>
      <c r="C675" s="1" t="n">
        <v>45754</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46594-2023</t>
        </is>
      </c>
      <c r="B676" s="1" t="n">
        <v>45198</v>
      </c>
      <c r="C676" s="1" t="n">
        <v>45754</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46600-2023</t>
        </is>
      </c>
      <c r="B677" s="1" t="n">
        <v>45198</v>
      </c>
      <c r="C677" s="1" t="n">
        <v>45754</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46665-2023</t>
        </is>
      </c>
      <c r="B678" s="1" t="n">
        <v>45198</v>
      </c>
      <c r="C678" s="1" t="n">
        <v>45754</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46635-2023</t>
        </is>
      </c>
      <c r="B679" s="1" t="n">
        <v>45198</v>
      </c>
      <c r="C679" s="1" t="n">
        <v>45754</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46834-2023</t>
        </is>
      </c>
      <c r="B680" s="1" t="n">
        <v>45199</v>
      </c>
      <c r="C680" s="1" t="n">
        <v>45754</v>
      </c>
      <c r="D680" t="inlineStr">
        <is>
          <t>DALARNAS LÄN</t>
        </is>
      </c>
      <c r="E680" t="inlineStr">
        <is>
          <t>LEKSAND</t>
        </is>
      </c>
      <c r="G680" t="n">
        <v>16.3</v>
      </c>
      <c r="H680" t="n">
        <v>0</v>
      </c>
      <c r="I680" t="n">
        <v>0</v>
      </c>
      <c r="J680" t="n">
        <v>0</v>
      </c>
      <c r="K680" t="n">
        <v>0</v>
      </c>
      <c r="L680" t="n">
        <v>0</v>
      </c>
      <c r="M680" t="n">
        <v>0</v>
      </c>
      <c r="N680" t="n">
        <v>0</v>
      </c>
      <c r="O680" t="n">
        <v>0</v>
      </c>
      <c r="P680" t="n">
        <v>0</v>
      </c>
      <c r="Q680" t="n">
        <v>0</v>
      </c>
      <c r="R680" s="2" t="inlineStr"/>
    </row>
    <row r="681" ht="15" customHeight="1">
      <c r="A681" t="inlineStr">
        <is>
          <t>A 46876-2023</t>
        </is>
      </c>
      <c r="B681" s="1" t="n">
        <v>45200</v>
      </c>
      <c r="C681" s="1" t="n">
        <v>45754</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47039-2023</t>
        </is>
      </c>
      <c r="B682" s="1" t="n">
        <v>45201</v>
      </c>
      <c r="C682" s="1" t="n">
        <v>45754</v>
      </c>
      <c r="D682" t="inlineStr">
        <is>
          <t>DALARNAS LÄN</t>
        </is>
      </c>
      <c r="E682" t="inlineStr">
        <is>
          <t>LEKSAND</t>
        </is>
      </c>
      <c r="G682" t="n">
        <v>3.2</v>
      </c>
      <c r="H682" t="n">
        <v>0</v>
      </c>
      <c r="I682" t="n">
        <v>0</v>
      </c>
      <c r="J682" t="n">
        <v>0</v>
      </c>
      <c r="K682" t="n">
        <v>0</v>
      </c>
      <c r="L682" t="n">
        <v>0</v>
      </c>
      <c r="M682" t="n">
        <v>0</v>
      </c>
      <c r="N682" t="n">
        <v>0</v>
      </c>
      <c r="O682" t="n">
        <v>0</v>
      </c>
      <c r="P682" t="n">
        <v>0</v>
      </c>
      <c r="Q682" t="n">
        <v>0</v>
      </c>
      <c r="R682" s="2" t="inlineStr"/>
    </row>
    <row r="683" ht="15" customHeight="1">
      <c r="A683" t="inlineStr">
        <is>
          <t>A 46931-2023</t>
        </is>
      </c>
      <c r="B683" s="1" t="n">
        <v>45201</v>
      </c>
      <c r="C683" s="1" t="n">
        <v>45754</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47011-2023</t>
        </is>
      </c>
      <c r="B684" s="1" t="n">
        <v>45201</v>
      </c>
      <c r="C684" s="1" t="n">
        <v>45754</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47203-2023</t>
        </is>
      </c>
      <c r="B685" s="1" t="n">
        <v>45202</v>
      </c>
      <c r="C685" s="1" t="n">
        <v>45754</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47673-2023</t>
        </is>
      </c>
      <c r="B686" s="1" t="n">
        <v>45203</v>
      </c>
      <c r="C686" s="1" t="n">
        <v>45754</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47655-2023</t>
        </is>
      </c>
      <c r="B687" s="1" t="n">
        <v>45203</v>
      </c>
      <c r="C687" s="1" t="n">
        <v>45754</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48714-2023</t>
        </is>
      </c>
      <c r="B688" s="1" t="n">
        <v>45203</v>
      </c>
      <c r="C688" s="1" t="n">
        <v>45754</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45754</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48029-2023</t>
        </is>
      </c>
      <c r="B690" s="1" t="n">
        <v>45204</v>
      </c>
      <c r="C690" s="1" t="n">
        <v>45754</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48644-2023</t>
        </is>
      </c>
      <c r="B691" s="1" t="n">
        <v>45208</v>
      </c>
      <c r="C691" s="1" t="n">
        <v>45754</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50374-2023</t>
        </is>
      </c>
      <c r="B692" s="1" t="n">
        <v>45209</v>
      </c>
      <c r="C692" s="1" t="n">
        <v>45754</v>
      </c>
      <c r="D692" t="inlineStr">
        <is>
          <t>DALARNAS LÄN</t>
        </is>
      </c>
      <c r="E692" t="inlineStr">
        <is>
          <t>LEKSAND</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50082-2023</t>
        </is>
      </c>
      <c r="B693" s="1" t="n">
        <v>45215</v>
      </c>
      <c r="C693" s="1" t="n">
        <v>45754</v>
      </c>
      <c r="D693" t="inlineStr">
        <is>
          <t>DALARNAS LÄN</t>
        </is>
      </c>
      <c r="E693" t="inlineStr">
        <is>
          <t>LEKSAND</t>
        </is>
      </c>
      <c r="G693" t="n">
        <v>3.4</v>
      </c>
      <c r="H693" t="n">
        <v>0</v>
      </c>
      <c r="I693" t="n">
        <v>0</v>
      </c>
      <c r="J693" t="n">
        <v>0</v>
      </c>
      <c r="K693" t="n">
        <v>0</v>
      </c>
      <c r="L693" t="n">
        <v>0</v>
      </c>
      <c r="M693" t="n">
        <v>0</v>
      </c>
      <c r="N693" t="n">
        <v>0</v>
      </c>
      <c r="O693" t="n">
        <v>0</v>
      </c>
      <c r="P693" t="n">
        <v>0</v>
      </c>
      <c r="Q693" t="n">
        <v>0</v>
      </c>
      <c r="R693" s="2" t="inlineStr"/>
    </row>
    <row r="694" ht="15" customHeight="1">
      <c r="A694" t="inlineStr">
        <is>
          <t>A 50447-2023</t>
        </is>
      </c>
      <c r="B694" s="1" t="n">
        <v>45216</v>
      </c>
      <c r="C694" s="1" t="n">
        <v>45754</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v>
      </c>
      <c r="C695" s="1" t="n">
        <v>45754</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50553-2023</t>
        </is>
      </c>
      <c r="B696" s="1" t="n">
        <v>45217</v>
      </c>
      <c r="C696" s="1" t="n">
        <v>45754</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51090-2023</t>
        </is>
      </c>
      <c r="B697" s="1" t="n">
        <v>45218</v>
      </c>
      <c r="C697" s="1" t="n">
        <v>45754</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51377-2023</t>
        </is>
      </c>
      <c r="B698" s="1" t="n">
        <v>45219</v>
      </c>
      <c r="C698" s="1" t="n">
        <v>45754</v>
      </c>
      <c r="D698" t="inlineStr">
        <is>
          <t>DALARNAS LÄN</t>
        </is>
      </c>
      <c r="E698" t="inlineStr">
        <is>
          <t>LEKSAND</t>
        </is>
      </c>
      <c r="G698" t="n">
        <v>0.9</v>
      </c>
      <c r="H698" t="n">
        <v>0</v>
      </c>
      <c r="I698" t="n">
        <v>0</v>
      </c>
      <c r="J698" t="n">
        <v>0</v>
      </c>
      <c r="K698" t="n">
        <v>0</v>
      </c>
      <c r="L698" t="n">
        <v>0</v>
      </c>
      <c r="M698" t="n">
        <v>0</v>
      </c>
      <c r="N698" t="n">
        <v>0</v>
      </c>
      <c r="O698" t="n">
        <v>0</v>
      </c>
      <c r="P698" t="n">
        <v>0</v>
      </c>
      <c r="Q698" t="n">
        <v>0</v>
      </c>
      <c r="R698" s="2" t="inlineStr"/>
    </row>
    <row r="699" ht="15" customHeight="1">
      <c r="A699" t="inlineStr">
        <is>
          <t>A 52801-2023</t>
        </is>
      </c>
      <c r="B699" s="1" t="n">
        <v>45219</v>
      </c>
      <c r="C699" s="1" t="n">
        <v>45754</v>
      </c>
      <c r="D699" t="inlineStr">
        <is>
          <t>DALARNAS LÄN</t>
        </is>
      </c>
      <c r="E699" t="inlineStr">
        <is>
          <t>LEKSAND</t>
        </is>
      </c>
      <c r="G699" t="n">
        <v>4.9</v>
      </c>
      <c r="H699" t="n">
        <v>0</v>
      </c>
      <c r="I699" t="n">
        <v>0</v>
      </c>
      <c r="J699" t="n">
        <v>0</v>
      </c>
      <c r="K699" t="n">
        <v>0</v>
      </c>
      <c r="L699" t="n">
        <v>0</v>
      </c>
      <c r="M699" t="n">
        <v>0</v>
      </c>
      <c r="N699" t="n">
        <v>0</v>
      </c>
      <c r="O699" t="n">
        <v>0</v>
      </c>
      <c r="P699" t="n">
        <v>0</v>
      </c>
      <c r="Q699" t="n">
        <v>0</v>
      </c>
      <c r="R699" s="2" t="inlineStr"/>
    </row>
    <row r="700" ht="15" customHeight="1">
      <c r="A700" t="inlineStr">
        <is>
          <t>A 52216-2023</t>
        </is>
      </c>
      <c r="B700" s="1" t="n">
        <v>45219</v>
      </c>
      <c r="C700" s="1" t="n">
        <v>45754</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51320-2023</t>
        </is>
      </c>
      <c r="B701" s="1" t="n">
        <v>45219</v>
      </c>
      <c r="C701" s="1" t="n">
        <v>45754</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51736-2023</t>
        </is>
      </c>
      <c r="B702" s="1" t="n">
        <v>45222</v>
      </c>
      <c r="C702" s="1" t="n">
        <v>45754</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52959-2023</t>
        </is>
      </c>
      <c r="B703" s="1" t="n">
        <v>45222</v>
      </c>
      <c r="C703" s="1" t="n">
        <v>45754</v>
      </c>
      <c r="D703" t="inlineStr">
        <is>
          <t>DALARNAS LÄN</t>
        </is>
      </c>
      <c r="E703" t="inlineStr">
        <is>
          <t>LEKSAND</t>
        </is>
      </c>
      <c r="G703" t="n">
        <v>6.5</v>
      </c>
      <c r="H703" t="n">
        <v>0</v>
      </c>
      <c r="I703" t="n">
        <v>0</v>
      </c>
      <c r="J703" t="n">
        <v>0</v>
      </c>
      <c r="K703" t="n">
        <v>0</v>
      </c>
      <c r="L703" t="n">
        <v>0</v>
      </c>
      <c r="M703" t="n">
        <v>0</v>
      </c>
      <c r="N703" t="n">
        <v>0</v>
      </c>
      <c r="O703" t="n">
        <v>0</v>
      </c>
      <c r="P703" t="n">
        <v>0</v>
      </c>
      <c r="Q703" t="n">
        <v>0</v>
      </c>
      <c r="R703" s="2" t="inlineStr"/>
    </row>
    <row r="704" ht="15" customHeight="1">
      <c r="A704" t="inlineStr">
        <is>
          <t>A 52016-2023</t>
        </is>
      </c>
      <c r="B704" s="1" t="n">
        <v>45223</v>
      </c>
      <c r="C704" s="1" t="n">
        <v>45754</v>
      </c>
      <c r="D704" t="inlineStr">
        <is>
          <t>DALARNAS LÄN</t>
        </is>
      </c>
      <c r="E704" t="inlineStr">
        <is>
          <t>LEKSAND</t>
        </is>
      </c>
      <c r="F704" t="inlineStr">
        <is>
          <t>Bergvik skog väst AB</t>
        </is>
      </c>
      <c r="G704" t="n">
        <v>3.2</v>
      </c>
      <c r="H704" t="n">
        <v>0</v>
      </c>
      <c r="I704" t="n">
        <v>0</v>
      </c>
      <c r="J704" t="n">
        <v>0</v>
      </c>
      <c r="K704" t="n">
        <v>0</v>
      </c>
      <c r="L704" t="n">
        <v>0</v>
      </c>
      <c r="M704" t="n">
        <v>0</v>
      </c>
      <c r="N704" t="n">
        <v>0</v>
      </c>
      <c r="O704" t="n">
        <v>0</v>
      </c>
      <c r="P704" t="n">
        <v>0</v>
      </c>
      <c r="Q704" t="n">
        <v>0</v>
      </c>
      <c r="R704" s="2" t="inlineStr"/>
    </row>
    <row r="705" ht="15" customHeight="1">
      <c r="A705" t="inlineStr">
        <is>
          <t>A 52732-2023</t>
        </is>
      </c>
      <c r="B705" s="1" t="n">
        <v>45226</v>
      </c>
      <c r="C705" s="1" t="n">
        <v>45754</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53120-2023</t>
        </is>
      </c>
      <c r="B706" s="1" t="n">
        <v>45228</v>
      </c>
      <c r="C706" s="1" t="n">
        <v>45754</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45754</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53248-2023</t>
        </is>
      </c>
      <c r="B708" s="1" t="n">
        <v>45229</v>
      </c>
      <c r="C708" s="1" t="n">
        <v>45754</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53128-2023</t>
        </is>
      </c>
      <c r="B709" s="1" t="n">
        <v>45229</v>
      </c>
      <c r="C709" s="1" t="n">
        <v>45754</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53291-2023</t>
        </is>
      </c>
      <c r="B710" s="1" t="n">
        <v>45229</v>
      </c>
      <c r="C710" s="1" t="n">
        <v>45754</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53621-2023</t>
        </is>
      </c>
      <c r="B711" s="1" t="n">
        <v>45230</v>
      </c>
      <c r="C711" s="1" t="n">
        <v>45754</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53636-2023</t>
        </is>
      </c>
      <c r="B712" s="1" t="n">
        <v>45230</v>
      </c>
      <c r="C712" s="1" t="n">
        <v>45754</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53717-2023</t>
        </is>
      </c>
      <c r="B713" s="1" t="n">
        <v>45230</v>
      </c>
      <c r="C713" s="1" t="n">
        <v>45754</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55196-2023</t>
        </is>
      </c>
      <c r="B714" s="1" t="n">
        <v>45230</v>
      </c>
      <c r="C714" s="1" t="n">
        <v>45754</v>
      </c>
      <c r="D714" t="inlineStr">
        <is>
          <t>DALARNAS LÄN</t>
        </is>
      </c>
      <c r="E714" t="inlineStr">
        <is>
          <t>LEKSAND</t>
        </is>
      </c>
      <c r="G714" t="n">
        <v>5.7</v>
      </c>
      <c r="H714" t="n">
        <v>0</v>
      </c>
      <c r="I714" t="n">
        <v>0</v>
      </c>
      <c r="J714" t="n">
        <v>0</v>
      </c>
      <c r="K714" t="n">
        <v>0</v>
      </c>
      <c r="L714" t="n">
        <v>0</v>
      </c>
      <c r="M714" t="n">
        <v>0</v>
      </c>
      <c r="N714" t="n">
        <v>0</v>
      </c>
      <c r="O714" t="n">
        <v>0</v>
      </c>
      <c r="P714" t="n">
        <v>0</v>
      </c>
      <c r="Q714" t="n">
        <v>0</v>
      </c>
      <c r="R714" s="2" t="inlineStr"/>
    </row>
    <row r="715" ht="15" customHeight="1">
      <c r="A715" t="inlineStr">
        <is>
          <t>A 53799-2023</t>
        </is>
      </c>
      <c r="B715" s="1" t="n">
        <v>45231</v>
      </c>
      <c r="C715" s="1" t="n">
        <v>45754</v>
      </c>
      <c r="D715" t="inlineStr">
        <is>
          <t>DALARNAS LÄN</t>
        </is>
      </c>
      <c r="E715" t="inlineStr">
        <is>
          <t>LEKSAND</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53823-2023</t>
        </is>
      </c>
      <c r="B716" s="1" t="n">
        <v>45231</v>
      </c>
      <c r="C716" s="1" t="n">
        <v>45754</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53817-2023</t>
        </is>
      </c>
      <c r="B717" s="1" t="n">
        <v>45231</v>
      </c>
      <c r="C717" s="1" t="n">
        <v>45754</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54251-2023</t>
        </is>
      </c>
      <c r="B718" s="1" t="n">
        <v>45232</v>
      </c>
      <c r="C718" s="1" t="n">
        <v>45754</v>
      </c>
      <c r="D718" t="inlineStr">
        <is>
          <t>DALARNAS LÄN</t>
        </is>
      </c>
      <c r="E718" t="inlineStr">
        <is>
          <t>LEKSAND</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54289-2023</t>
        </is>
      </c>
      <c r="B719" s="1" t="n">
        <v>45232</v>
      </c>
      <c r="C719" s="1" t="n">
        <v>45754</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54682-2023</t>
        </is>
      </c>
      <c r="B720" s="1" t="n">
        <v>45235</v>
      </c>
      <c r="C720" s="1" t="n">
        <v>45754</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54690-2023</t>
        </is>
      </c>
      <c r="B721" s="1" t="n">
        <v>45236</v>
      </c>
      <c r="C721" s="1" t="n">
        <v>45754</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55418-2023</t>
        </is>
      </c>
      <c r="B722" s="1" t="n">
        <v>45238</v>
      </c>
      <c r="C722" s="1" t="n">
        <v>45754</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55438-2023</t>
        </is>
      </c>
      <c r="B723" s="1" t="n">
        <v>45238</v>
      </c>
      <c r="C723" s="1" t="n">
        <v>45754</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55464-2023</t>
        </is>
      </c>
      <c r="B724" s="1" t="n">
        <v>45238</v>
      </c>
      <c r="C724" s="1" t="n">
        <v>45754</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55430-2023</t>
        </is>
      </c>
      <c r="B725" s="1" t="n">
        <v>45238</v>
      </c>
      <c r="C725" s="1" t="n">
        <v>45754</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56221-2023</t>
        </is>
      </c>
      <c r="B726" s="1" t="n">
        <v>45240</v>
      </c>
      <c r="C726" s="1" t="n">
        <v>45754</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56211-2023</t>
        </is>
      </c>
      <c r="B727" s="1" t="n">
        <v>45240</v>
      </c>
      <c r="C727" s="1" t="n">
        <v>45754</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56099-2023</t>
        </is>
      </c>
      <c r="B728" s="1" t="n">
        <v>45240</v>
      </c>
      <c r="C728" s="1" t="n">
        <v>45754</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56067-2023</t>
        </is>
      </c>
      <c r="B729" s="1" t="n">
        <v>45240</v>
      </c>
      <c r="C729" s="1" t="n">
        <v>45754</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56065-2023</t>
        </is>
      </c>
      <c r="B730" s="1" t="n">
        <v>45240</v>
      </c>
      <c r="C730" s="1" t="n">
        <v>45754</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56350-2023</t>
        </is>
      </c>
      <c r="B731" s="1" t="n">
        <v>45243</v>
      </c>
      <c r="C731" s="1" t="n">
        <v>45754</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56632-2023</t>
        </is>
      </c>
      <c r="B732" s="1" t="n">
        <v>45243</v>
      </c>
      <c r="C732" s="1" t="n">
        <v>45754</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56753-2023</t>
        </is>
      </c>
      <c r="B733" s="1" t="n">
        <v>45244</v>
      </c>
      <c r="C733" s="1" t="n">
        <v>45754</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56810-2023</t>
        </is>
      </c>
      <c r="B734" s="1" t="n">
        <v>45244</v>
      </c>
      <c r="C734" s="1" t="n">
        <v>45754</v>
      </c>
      <c r="D734" t="inlineStr">
        <is>
          <t>DALARNAS LÄN</t>
        </is>
      </c>
      <c r="E734" t="inlineStr">
        <is>
          <t>LEKSAND</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56812-2023</t>
        </is>
      </c>
      <c r="B735" s="1" t="n">
        <v>45244</v>
      </c>
      <c r="C735" s="1" t="n">
        <v>45754</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57013-2023</t>
        </is>
      </c>
      <c r="B736" s="1" t="n">
        <v>45244</v>
      </c>
      <c r="C736" s="1" t="n">
        <v>45754</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57323-2023</t>
        </is>
      </c>
      <c r="B737" s="1" t="n">
        <v>45245</v>
      </c>
      <c r="C737" s="1" t="n">
        <v>45754</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57106-2023</t>
        </is>
      </c>
      <c r="B738" s="1" t="n">
        <v>45245</v>
      </c>
      <c r="C738" s="1" t="n">
        <v>45754</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57093-2023</t>
        </is>
      </c>
      <c r="B739" s="1" t="n">
        <v>45245</v>
      </c>
      <c r="C739" s="1" t="n">
        <v>45754</v>
      </c>
      <c r="D739" t="inlineStr">
        <is>
          <t>DALARNAS LÄN</t>
        </is>
      </c>
      <c r="E739" t="inlineStr">
        <is>
          <t>LEKSAND</t>
        </is>
      </c>
      <c r="G739" t="n">
        <v>3.3</v>
      </c>
      <c r="H739" t="n">
        <v>0</v>
      </c>
      <c r="I739" t="n">
        <v>0</v>
      </c>
      <c r="J739" t="n">
        <v>0</v>
      </c>
      <c r="K739" t="n">
        <v>0</v>
      </c>
      <c r="L739" t="n">
        <v>0</v>
      </c>
      <c r="M739" t="n">
        <v>0</v>
      </c>
      <c r="N739" t="n">
        <v>0</v>
      </c>
      <c r="O739" t="n">
        <v>0</v>
      </c>
      <c r="P739" t="n">
        <v>0</v>
      </c>
      <c r="Q739" t="n">
        <v>0</v>
      </c>
      <c r="R739" s="2" t="inlineStr"/>
    </row>
    <row r="740" ht="15" customHeight="1">
      <c r="A740" t="inlineStr">
        <is>
          <t>A 57468-2023</t>
        </is>
      </c>
      <c r="B740" s="1" t="n">
        <v>45246</v>
      </c>
      <c r="C740" s="1" t="n">
        <v>45754</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57635-2023</t>
        </is>
      </c>
      <c r="B741" s="1" t="n">
        <v>45246</v>
      </c>
      <c r="C741" s="1" t="n">
        <v>45754</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57681-2023</t>
        </is>
      </c>
      <c r="B742" s="1" t="n">
        <v>45246</v>
      </c>
      <c r="C742" s="1" t="n">
        <v>45754</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45754</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57852-2023</t>
        </is>
      </c>
      <c r="B744" s="1" t="n">
        <v>45247</v>
      </c>
      <c r="C744" s="1" t="n">
        <v>45754</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58405-2023</t>
        </is>
      </c>
      <c r="B745" s="1" t="n">
        <v>45250</v>
      </c>
      <c r="C745" s="1" t="n">
        <v>45754</v>
      </c>
      <c r="D745" t="inlineStr">
        <is>
          <t>DALARNAS LÄN</t>
        </is>
      </c>
      <c r="E745" t="inlineStr">
        <is>
          <t>LEKSAND</t>
        </is>
      </c>
      <c r="G745" t="n">
        <v>2.6</v>
      </c>
      <c r="H745" t="n">
        <v>0</v>
      </c>
      <c r="I745" t="n">
        <v>0</v>
      </c>
      <c r="J745" t="n">
        <v>0</v>
      </c>
      <c r="K745" t="n">
        <v>0</v>
      </c>
      <c r="L745" t="n">
        <v>0</v>
      </c>
      <c r="M745" t="n">
        <v>0</v>
      </c>
      <c r="N745" t="n">
        <v>0</v>
      </c>
      <c r="O745" t="n">
        <v>0</v>
      </c>
      <c r="P745" t="n">
        <v>0</v>
      </c>
      <c r="Q745" t="n">
        <v>0</v>
      </c>
      <c r="R745" s="2" t="inlineStr"/>
    </row>
    <row r="746" ht="15" customHeight="1">
      <c r="A746" t="inlineStr">
        <is>
          <t>A 58402-2023</t>
        </is>
      </c>
      <c r="B746" s="1" t="n">
        <v>45250</v>
      </c>
      <c r="C746" s="1" t="n">
        <v>45754</v>
      </c>
      <c r="D746" t="inlineStr">
        <is>
          <t>DALARNAS LÄN</t>
        </is>
      </c>
      <c r="E746" t="inlineStr">
        <is>
          <t>LEKSAND</t>
        </is>
      </c>
      <c r="G746" t="n">
        <v>4.5</v>
      </c>
      <c r="H746" t="n">
        <v>0</v>
      </c>
      <c r="I746" t="n">
        <v>0</v>
      </c>
      <c r="J746" t="n">
        <v>0</v>
      </c>
      <c r="K746" t="n">
        <v>0</v>
      </c>
      <c r="L746" t="n">
        <v>0</v>
      </c>
      <c r="M746" t="n">
        <v>0</v>
      </c>
      <c r="N746" t="n">
        <v>0</v>
      </c>
      <c r="O746" t="n">
        <v>0</v>
      </c>
      <c r="P746" t="n">
        <v>0</v>
      </c>
      <c r="Q746" t="n">
        <v>0</v>
      </c>
      <c r="R746" s="2" t="inlineStr"/>
    </row>
    <row r="747" ht="15" customHeight="1">
      <c r="A747" t="inlineStr">
        <is>
          <t>A 58495-2023</t>
        </is>
      </c>
      <c r="B747" s="1" t="n">
        <v>45251</v>
      </c>
      <c r="C747" s="1" t="n">
        <v>45754</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58730-2023</t>
        </is>
      </c>
      <c r="B748" s="1" t="n">
        <v>45251</v>
      </c>
      <c r="C748" s="1" t="n">
        <v>45754</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58877-2023</t>
        </is>
      </c>
      <c r="B749" s="1" t="n">
        <v>45252</v>
      </c>
      <c r="C749" s="1" t="n">
        <v>45754</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58950-2023</t>
        </is>
      </c>
      <c r="B750" s="1" t="n">
        <v>45252</v>
      </c>
      <c r="C750" s="1" t="n">
        <v>45754</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58949-2023</t>
        </is>
      </c>
      <c r="B751" s="1" t="n">
        <v>45252</v>
      </c>
      <c r="C751" s="1" t="n">
        <v>45754</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59011-2023</t>
        </is>
      </c>
      <c r="B752" s="1" t="n">
        <v>45252</v>
      </c>
      <c r="C752" s="1" t="n">
        <v>45754</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58853-2023</t>
        </is>
      </c>
      <c r="B753" s="1" t="n">
        <v>45252</v>
      </c>
      <c r="C753" s="1" t="n">
        <v>45754</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58880-2023</t>
        </is>
      </c>
      <c r="B754" s="1" t="n">
        <v>45252</v>
      </c>
      <c r="C754" s="1" t="n">
        <v>45754</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59222-2023</t>
        </is>
      </c>
      <c r="B755" s="1" t="n">
        <v>45252</v>
      </c>
      <c r="C755" s="1" t="n">
        <v>45754</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59392-2023</t>
        </is>
      </c>
      <c r="B756" s="1" t="n">
        <v>45253</v>
      </c>
      <c r="C756" s="1" t="n">
        <v>45754</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59562-2023</t>
        </is>
      </c>
      <c r="B757" s="1" t="n">
        <v>45253</v>
      </c>
      <c r="C757" s="1" t="n">
        <v>45754</v>
      </c>
      <c r="D757" t="inlineStr">
        <is>
          <t>DALARNAS LÄN</t>
        </is>
      </c>
      <c r="E757" t="inlineStr">
        <is>
          <t>LEKSAND</t>
        </is>
      </c>
      <c r="G757" t="n">
        <v>2.1</v>
      </c>
      <c r="H757" t="n">
        <v>0</v>
      </c>
      <c r="I757" t="n">
        <v>0</v>
      </c>
      <c r="J757" t="n">
        <v>0</v>
      </c>
      <c r="K757" t="n">
        <v>0</v>
      </c>
      <c r="L757" t="n">
        <v>0</v>
      </c>
      <c r="M757" t="n">
        <v>0</v>
      </c>
      <c r="N757" t="n">
        <v>0</v>
      </c>
      <c r="O757" t="n">
        <v>0</v>
      </c>
      <c r="P757" t="n">
        <v>0</v>
      </c>
      <c r="Q757" t="n">
        <v>0</v>
      </c>
      <c r="R757" s="2" t="inlineStr"/>
    </row>
    <row r="758" ht="15" customHeight="1">
      <c r="A758" t="inlineStr">
        <is>
          <t>A 59809-2023</t>
        </is>
      </c>
      <c r="B758" s="1" t="n">
        <v>45254</v>
      </c>
      <c r="C758" s="1" t="n">
        <v>45754</v>
      </c>
      <c r="D758" t="inlineStr">
        <is>
          <t>DALARNAS LÄN</t>
        </is>
      </c>
      <c r="E758" t="inlineStr">
        <is>
          <t>LEKSAND</t>
        </is>
      </c>
      <c r="G758" t="n">
        <v>3.9</v>
      </c>
      <c r="H758" t="n">
        <v>0</v>
      </c>
      <c r="I758" t="n">
        <v>0</v>
      </c>
      <c r="J758" t="n">
        <v>0</v>
      </c>
      <c r="K758" t="n">
        <v>0</v>
      </c>
      <c r="L758" t="n">
        <v>0</v>
      </c>
      <c r="M758" t="n">
        <v>0</v>
      </c>
      <c r="N758" t="n">
        <v>0</v>
      </c>
      <c r="O758" t="n">
        <v>0</v>
      </c>
      <c r="P758" t="n">
        <v>0</v>
      </c>
      <c r="Q758" t="n">
        <v>0</v>
      </c>
      <c r="R758" s="2" t="inlineStr"/>
    </row>
    <row r="759" ht="15" customHeight="1">
      <c r="A759" t="inlineStr">
        <is>
          <t>A 59803-2023</t>
        </is>
      </c>
      <c r="B759" s="1" t="n">
        <v>45254</v>
      </c>
      <c r="C759" s="1" t="n">
        <v>45754</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59826-2023</t>
        </is>
      </c>
      <c r="B760" s="1" t="n">
        <v>45254</v>
      </c>
      <c r="C760" s="1" t="n">
        <v>45754</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59673-2023</t>
        </is>
      </c>
      <c r="B761" s="1" t="n">
        <v>45255</v>
      </c>
      <c r="C761" s="1" t="n">
        <v>45754</v>
      </c>
      <c r="D761" t="inlineStr">
        <is>
          <t>DALARNAS LÄN</t>
        </is>
      </c>
      <c r="E761" t="inlineStr">
        <is>
          <t>LEKSAND</t>
        </is>
      </c>
      <c r="G761" t="n">
        <v>12.2</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45754</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60040-2023</t>
        </is>
      </c>
      <c r="B763" s="1" t="n">
        <v>45256</v>
      </c>
      <c r="C763" s="1" t="n">
        <v>45754</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59718-2023</t>
        </is>
      </c>
      <c r="B764" s="1" t="n">
        <v>45257</v>
      </c>
      <c r="C764" s="1" t="n">
        <v>45754</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59763-2023</t>
        </is>
      </c>
      <c r="B765" s="1" t="n">
        <v>45257</v>
      </c>
      <c r="C765" s="1" t="n">
        <v>45754</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59859-2023</t>
        </is>
      </c>
      <c r="B766" s="1" t="n">
        <v>45257</v>
      </c>
      <c r="C766" s="1" t="n">
        <v>45754</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60024-2023</t>
        </is>
      </c>
      <c r="B767" s="1" t="n">
        <v>45258</v>
      </c>
      <c r="C767" s="1" t="n">
        <v>45754</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60028-2023</t>
        </is>
      </c>
      <c r="B768" s="1" t="n">
        <v>45258</v>
      </c>
      <c r="C768" s="1" t="n">
        <v>45754</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60044-2023</t>
        </is>
      </c>
      <c r="B769" s="1" t="n">
        <v>45258</v>
      </c>
      <c r="C769" s="1" t="n">
        <v>45754</v>
      </c>
      <c r="D769" t="inlineStr">
        <is>
          <t>DALARNAS LÄN</t>
        </is>
      </c>
      <c r="E769" t="inlineStr">
        <is>
          <t>LEKSAND</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60080-2023</t>
        </is>
      </c>
      <c r="B770" s="1" t="n">
        <v>45258</v>
      </c>
      <c r="C770" s="1" t="n">
        <v>45754</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60045-2023</t>
        </is>
      </c>
      <c r="B771" s="1" t="n">
        <v>45258</v>
      </c>
      <c r="C771" s="1" t="n">
        <v>45754</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60120-2023</t>
        </is>
      </c>
      <c r="B772" s="1" t="n">
        <v>45258</v>
      </c>
      <c r="C772" s="1" t="n">
        <v>45754</v>
      </c>
      <c r="D772" t="inlineStr">
        <is>
          <t>DALARNAS LÄN</t>
        </is>
      </c>
      <c r="E772" t="inlineStr">
        <is>
          <t>LEKSAND</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60129-2023</t>
        </is>
      </c>
      <c r="B773" s="1" t="n">
        <v>45258</v>
      </c>
      <c r="C773" s="1" t="n">
        <v>45754</v>
      </c>
      <c r="D773" t="inlineStr">
        <is>
          <t>DALARNAS LÄN</t>
        </is>
      </c>
      <c r="E773" t="inlineStr">
        <is>
          <t>LEKSAND</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60189-2023</t>
        </is>
      </c>
      <c r="B774" s="1" t="n">
        <v>45258</v>
      </c>
      <c r="C774" s="1" t="n">
        <v>45754</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60310-2023</t>
        </is>
      </c>
      <c r="B775" s="1" t="n">
        <v>45258</v>
      </c>
      <c r="C775" s="1" t="n">
        <v>45754</v>
      </c>
      <c r="D775" t="inlineStr">
        <is>
          <t>DALARNAS LÄN</t>
        </is>
      </c>
      <c r="E775" t="inlineStr">
        <is>
          <t>LEKSAND</t>
        </is>
      </c>
      <c r="G775" t="n">
        <v>4.9</v>
      </c>
      <c r="H775" t="n">
        <v>0</v>
      </c>
      <c r="I775" t="n">
        <v>0</v>
      </c>
      <c r="J775" t="n">
        <v>0</v>
      </c>
      <c r="K775" t="n">
        <v>0</v>
      </c>
      <c r="L775" t="n">
        <v>0</v>
      </c>
      <c r="M775" t="n">
        <v>0</v>
      </c>
      <c r="N775" t="n">
        <v>0</v>
      </c>
      <c r="O775" t="n">
        <v>0</v>
      </c>
      <c r="P775" t="n">
        <v>0</v>
      </c>
      <c r="Q775" t="n">
        <v>0</v>
      </c>
      <c r="R775" s="2" t="inlineStr"/>
    </row>
    <row r="776" ht="15" customHeight="1">
      <c r="A776" t="inlineStr">
        <is>
          <t>A 60309-2023</t>
        </is>
      </c>
      <c r="B776" s="1" t="n">
        <v>45258</v>
      </c>
      <c r="C776" s="1" t="n">
        <v>45754</v>
      </c>
      <c r="D776" t="inlineStr">
        <is>
          <t>DALARNAS LÄN</t>
        </is>
      </c>
      <c r="E776" t="inlineStr">
        <is>
          <t>LEKSAND</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60315-2023</t>
        </is>
      </c>
      <c r="B777" s="1" t="n">
        <v>45258</v>
      </c>
      <c r="C777" s="1" t="n">
        <v>45754</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60546-2023</t>
        </is>
      </c>
      <c r="B778" s="1" t="n">
        <v>45259</v>
      </c>
      <c r="C778" s="1" t="n">
        <v>45754</v>
      </c>
      <c r="D778" t="inlineStr">
        <is>
          <t>DALARNAS LÄN</t>
        </is>
      </c>
      <c r="E778" t="inlineStr">
        <is>
          <t>LEKSAND</t>
        </is>
      </c>
      <c r="G778" t="n">
        <v>6.6</v>
      </c>
      <c r="H778" t="n">
        <v>0</v>
      </c>
      <c r="I778" t="n">
        <v>0</v>
      </c>
      <c r="J778" t="n">
        <v>0</v>
      </c>
      <c r="K778" t="n">
        <v>0</v>
      </c>
      <c r="L778" t="n">
        <v>0</v>
      </c>
      <c r="M778" t="n">
        <v>0</v>
      </c>
      <c r="N778" t="n">
        <v>0</v>
      </c>
      <c r="O778" t="n">
        <v>0</v>
      </c>
      <c r="P778" t="n">
        <v>0</v>
      </c>
      <c r="Q778" t="n">
        <v>0</v>
      </c>
      <c r="R778" s="2" t="inlineStr"/>
    </row>
    <row r="779" ht="15" customHeight="1">
      <c r="A779" t="inlineStr">
        <is>
          <t>A 60878-2023</t>
        </is>
      </c>
      <c r="B779" s="1" t="n">
        <v>45259</v>
      </c>
      <c r="C779" s="1" t="n">
        <v>45754</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60692-2023</t>
        </is>
      </c>
      <c r="B780" s="1" t="n">
        <v>45260</v>
      </c>
      <c r="C780" s="1" t="n">
        <v>45754</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60755-2023</t>
        </is>
      </c>
      <c r="B781" s="1" t="n">
        <v>45260</v>
      </c>
      <c r="C781" s="1" t="n">
        <v>45754</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61208-2023</t>
        </is>
      </c>
      <c r="B782" s="1" t="n">
        <v>45260</v>
      </c>
      <c r="C782" s="1" t="n">
        <v>45754</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61244-2023</t>
        </is>
      </c>
      <c r="B783" s="1" t="n">
        <v>45260</v>
      </c>
      <c r="C783" s="1" t="n">
        <v>45754</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60873-2023</t>
        </is>
      </c>
      <c r="B784" s="1" t="n">
        <v>45261</v>
      </c>
      <c r="C784" s="1" t="n">
        <v>45754</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61052-2023</t>
        </is>
      </c>
      <c r="B785" s="1" t="n">
        <v>45261</v>
      </c>
      <c r="C785" s="1" t="n">
        <v>45754</v>
      </c>
      <c r="D785" t="inlineStr">
        <is>
          <t>DALARNAS LÄN</t>
        </is>
      </c>
      <c r="E785" t="inlineStr">
        <is>
          <t>LEKSAND</t>
        </is>
      </c>
      <c r="G785" t="n">
        <v>8.6</v>
      </c>
      <c r="H785" t="n">
        <v>0</v>
      </c>
      <c r="I785" t="n">
        <v>0</v>
      </c>
      <c r="J785" t="n">
        <v>0</v>
      </c>
      <c r="K785" t="n">
        <v>0</v>
      </c>
      <c r="L785" t="n">
        <v>0</v>
      </c>
      <c r="M785" t="n">
        <v>0</v>
      </c>
      <c r="N785" t="n">
        <v>0</v>
      </c>
      <c r="O785" t="n">
        <v>0</v>
      </c>
      <c r="P785" t="n">
        <v>0</v>
      </c>
      <c r="Q785" t="n">
        <v>0</v>
      </c>
      <c r="R785" s="2" t="inlineStr"/>
    </row>
    <row r="786" ht="15" customHeight="1">
      <c r="A786" t="inlineStr">
        <is>
          <t>A 61056-2023</t>
        </is>
      </c>
      <c r="B786" s="1" t="n">
        <v>45261</v>
      </c>
      <c r="C786" s="1" t="n">
        <v>45754</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45754</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61055-2023</t>
        </is>
      </c>
      <c r="B788" s="1" t="n">
        <v>45261</v>
      </c>
      <c r="C788" s="1" t="n">
        <v>45754</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61252-2023</t>
        </is>
      </c>
      <c r="B789" s="1" t="n">
        <v>45261</v>
      </c>
      <c r="C789" s="1" t="n">
        <v>45754</v>
      </c>
      <c r="D789" t="inlineStr">
        <is>
          <t>DALARNAS LÄN</t>
        </is>
      </c>
      <c r="E789" t="inlineStr">
        <is>
          <t>LEKSAND</t>
        </is>
      </c>
      <c r="G789" t="n">
        <v>1.9</v>
      </c>
      <c r="H789" t="n">
        <v>0</v>
      </c>
      <c r="I789" t="n">
        <v>0</v>
      </c>
      <c r="J789" t="n">
        <v>0</v>
      </c>
      <c r="K789" t="n">
        <v>0</v>
      </c>
      <c r="L789" t="n">
        <v>0</v>
      </c>
      <c r="M789" t="n">
        <v>0</v>
      </c>
      <c r="N789" t="n">
        <v>0</v>
      </c>
      <c r="O789" t="n">
        <v>0</v>
      </c>
      <c r="P789" t="n">
        <v>0</v>
      </c>
      <c r="Q789" t="n">
        <v>0</v>
      </c>
      <c r="R789" s="2" t="inlineStr"/>
    </row>
    <row r="790" ht="15" customHeight="1">
      <c r="A790" t="inlineStr">
        <is>
          <t>A 61617-2023</t>
        </is>
      </c>
      <c r="B790" s="1" t="n">
        <v>45261</v>
      </c>
      <c r="C790" s="1" t="n">
        <v>45754</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61637-2023</t>
        </is>
      </c>
      <c r="B791" s="1" t="n">
        <v>45261</v>
      </c>
      <c r="C791" s="1" t="n">
        <v>45754</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61614-2023</t>
        </is>
      </c>
      <c r="B792" s="1" t="n">
        <v>45261</v>
      </c>
      <c r="C792" s="1" t="n">
        <v>45754</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61627-2023</t>
        </is>
      </c>
      <c r="B793" s="1" t="n">
        <v>45261</v>
      </c>
      <c r="C793" s="1" t="n">
        <v>45754</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61225-2023</t>
        </is>
      </c>
      <c r="B794" s="1" t="n">
        <v>45264</v>
      </c>
      <c r="C794" s="1" t="n">
        <v>45754</v>
      </c>
      <c r="D794" t="inlineStr">
        <is>
          <t>DALARNAS LÄN</t>
        </is>
      </c>
      <c r="E794" t="inlineStr">
        <is>
          <t>LEKSAND</t>
        </is>
      </c>
      <c r="G794" t="n">
        <v>7</v>
      </c>
      <c r="H794" t="n">
        <v>0</v>
      </c>
      <c r="I794" t="n">
        <v>0</v>
      </c>
      <c r="J794" t="n">
        <v>0</v>
      </c>
      <c r="K794" t="n">
        <v>0</v>
      </c>
      <c r="L794" t="n">
        <v>0</v>
      </c>
      <c r="M794" t="n">
        <v>0</v>
      </c>
      <c r="N794" t="n">
        <v>0</v>
      </c>
      <c r="O794" t="n">
        <v>0</v>
      </c>
      <c r="P794" t="n">
        <v>0</v>
      </c>
      <c r="Q794" t="n">
        <v>0</v>
      </c>
      <c r="R794" s="2" t="inlineStr"/>
    </row>
    <row r="795" ht="15" customHeight="1">
      <c r="A795" t="inlineStr">
        <is>
          <t>A 61502-2023</t>
        </is>
      </c>
      <c r="B795" s="1" t="n">
        <v>45264</v>
      </c>
      <c r="C795" s="1" t="n">
        <v>45754</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61652-2023</t>
        </is>
      </c>
      <c r="B796" s="1" t="n">
        <v>45265</v>
      </c>
      <c r="C796" s="1" t="n">
        <v>45754</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61598-2023</t>
        </is>
      </c>
      <c r="B797" s="1" t="n">
        <v>45265</v>
      </c>
      <c r="C797" s="1" t="n">
        <v>45754</v>
      </c>
      <c r="D797" t="inlineStr">
        <is>
          <t>DALARNAS LÄN</t>
        </is>
      </c>
      <c r="E797" t="inlineStr">
        <is>
          <t>LEKSAND</t>
        </is>
      </c>
      <c r="F797" t="inlineStr">
        <is>
          <t>Bergvik skog väst AB</t>
        </is>
      </c>
      <c r="G797" t="n">
        <v>5.8</v>
      </c>
      <c r="H797" t="n">
        <v>0</v>
      </c>
      <c r="I797" t="n">
        <v>0</v>
      </c>
      <c r="J797" t="n">
        <v>0</v>
      </c>
      <c r="K797" t="n">
        <v>0</v>
      </c>
      <c r="L797" t="n">
        <v>0</v>
      </c>
      <c r="M797" t="n">
        <v>0</v>
      </c>
      <c r="N797" t="n">
        <v>0</v>
      </c>
      <c r="O797" t="n">
        <v>0</v>
      </c>
      <c r="P797" t="n">
        <v>0</v>
      </c>
      <c r="Q797" t="n">
        <v>0</v>
      </c>
      <c r="R797" s="2" t="inlineStr"/>
    </row>
    <row r="798" ht="15" customHeight="1">
      <c r="A798" t="inlineStr">
        <is>
          <t>A 61633-2023</t>
        </is>
      </c>
      <c r="B798" s="1" t="n">
        <v>45265</v>
      </c>
      <c r="C798" s="1" t="n">
        <v>45754</v>
      </c>
      <c r="D798" t="inlineStr">
        <is>
          <t>DALARNAS LÄN</t>
        </is>
      </c>
      <c r="E798" t="inlineStr">
        <is>
          <t>LEKSAND</t>
        </is>
      </c>
      <c r="G798" t="n">
        <v>5.3</v>
      </c>
      <c r="H798" t="n">
        <v>0</v>
      </c>
      <c r="I798" t="n">
        <v>0</v>
      </c>
      <c r="J798" t="n">
        <v>0</v>
      </c>
      <c r="K798" t="n">
        <v>0</v>
      </c>
      <c r="L798" t="n">
        <v>0</v>
      </c>
      <c r="M798" t="n">
        <v>0</v>
      </c>
      <c r="N798" t="n">
        <v>0</v>
      </c>
      <c r="O798" t="n">
        <v>0</v>
      </c>
      <c r="P798" t="n">
        <v>0</v>
      </c>
      <c r="Q798" t="n">
        <v>0</v>
      </c>
      <c r="R798" s="2" t="inlineStr"/>
    </row>
    <row r="799" ht="15" customHeight="1">
      <c r="A799" t="inlineStr">
        <is>
          <t>A 61910-2023</t>
        </is>
      </c>
      <c r="B799" s="1" t="n">
        <v>45266</v>
      </c>
      <c r="C799" s="1" t="n">
        <v>45754</v>
      </c>
      <c r="D799" t="inlineStr">
        <is>
          <t>DALARNAS LÄN</t>
        </is>
      </c>
      <c r="E799" t="inlineStr">
        <is>
          <t>LEKSAND</t>
        </is>
      </c>
      <c r="G799" t="n">
        <v>7.3</v>
      </c>
      <c r="H799" t="n">
        <v>0</v>
      </c>
      <c r="I799" t="n">
        <v>0</v>
      </c>
      <c r="J799" t="n">
        <v>0</v>
      </c>
      <c r="K799" t="n">
        <v>0</v>
      </c>
      <c r="L799" t="n">
        <v>0</v>
      </c>
      <c r="M799" t="n">
        <v>0</v>
      </c>
      <c r="N799" t="n">
        <v>0</v>
      </c>
      <c r="O799" t="n">
        <v>0</v>
      </c>
      <c r="P799" t="n">
        <v>0</v>
      </c>
      <c r="Q799" t="n">
        <v>0</v>
      </c>
      <c r="R799" s="2" t="inlineStr"/>
    </row>
    <row r="800" ht="15" customHeight="1">
      <c r="A800" t="inlineStr">
        <is>
          <t>A 61933-2023</t>
        </is>
      </c>
      <c r="B800" s="1" t="n">
        <v>45266</v>
      </c>
      <c r="C800" s="1" t="n">
        <v>45754</v>
      </c>
      <c r="D800" t="inlineStr">
        <is>
          <t>DALARNAS LÄN</t>
        </is>
      </c>
      <c r="E800" t="inlineStr">
        <is>
          <t>LEKSAND</t>
        </is>
      </c>
      <c r="G800" t="n">
        <v>0.2</v>
      </c>
      <c r="H800" t="n">
        <v>0</v>
      </c>
      <c r="I800" t="n">
        <v>0</v>
      </c>
      <c r="J800" t="n">
        <v>0</v>
      </c>
      <c r="K800" t="n">
        <v>0</v>
      </c>
      <c r="L800" t="n">
        <v>0</v>
      </c>
      <c r="M800" t="n">
        <v>0</v>
      </c>
      <c r="N800" t="n">
        <v>0</v>
      </c>
      <c r="O800" t="n">
        <v>0</v>
      </c>
      <c r="P800" t="n">
        <v>0</v>
      </c>
      <c r="Q800" t="n">
        <v>0</v>
      </c>
      <c r="R800" s="2" t="inlineStr"/>
    </row>
    <row r="801" ht="15" customHeight="1">
      <c r="A801" t="inlineStr">
        <is>
          <t>A 61953-2023</t>
        </is>
      </c>
      <c r="B801" s="1" t="n">
        <v>45266</v>
      </c>
      <c r="C801" s="1" t="n">
        <v>45754</v>
      </c>
      <c r="D801" t="inlineStr">
        <is>
          <t>DALARNAS LÄN</t>
        </is>
      </c>
      <c r="E801" t="inlineStr">
        <is>
          <t>LEKSAND</t>
        </is>
      </c>
      <c r="G801" t="n">
        <v>0.1</v>
      </c>
      <c r="H801" t="n">
        <v>0</v>
      </c>
      <c r="I801" t="n">
        <v>0</v>
      </c>
      <c r="J801" t="n">
        <v>0</v>
      </c>
      <c r="K801" t="n">
        <v>0</v>
      </c>
      <c r="L801" t="n">
        <v>0</v>
      </c>
      <c r="M801" t="n">
        <v>0</v>
      </c>
      <c r="N801" t="n">
        <v>0</v>
      </c>
      <c r="O801" t="n">
        <v>0</v>
      </c>
      <c r="P801" t="n">
        <v>0</v>
      </c>
      <c r="Q801" t="n">
        <v>0</v>
      </c>
      <c r="R801" s="2" t="inlineStr"/>
    </row>
    <row r="802" ht="15" customHeight="1">
      <c r="A802" t="inlineStr">
        <is>
          <t>A 61957-2023</t>
        </is>
      </c>
      <c r="B802" s="1" t="n">
        <v>45266</v>
      </c>
      <c r="C802" s="1" t="n">
        <v>45754</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61938-2023</t>
        </is>
      </c>
      <c r="B803" s="1" t="n">
        <v>45266</v>
      </c>
      <c r="C803" s="1" t="n">
        <v>45754</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61950-2023</t>
        </is>
      </c>
      <c r="B804" s="1" t="n">
        <v>45266</v>
      </c>
      <c r="C804" s="1" t="n">
        <v>45754</v>
      </c>
      <c r="D804" t="inlineStr">
        <is>
          <t>DALARNAS LÄN</t>
        </is>
      </c>
      <c r="E804" t="inlineStr">
        <is>
          <t>LEKSAND</t>
        </is>
      </c>
      <c r="G804" t="n">
        <v>0.8</v>
      </c>
      <c r="H804" t="n">
        <v>0</v>
      </c>
      <c r="I804" t="n">
        <v>0</v>
      </c>
      <c r="J804" t="n">
        <v>0</v>
      </c>
      <c r="K804" t="n">
        <v>0</v>
      </c>
      <c r="L804" t="n">
        <v>0</v>
      </c>
      <c r="M804" t="n">
        <v>0</v>
      </c>
      <c r="N804" t="n">
        <v>0</v>
      </c>
      <c r="O804" t="n">
        <v>0</v>
      </c>
      <c r="P804" t="n">
        <v>0</v>
      </c>
      <c r="Q804" t="n">
        <v>0</v>
      </c>
      <c r="R804" s="2" t="inlineStr"/>
    </row>
    <row r="805" ht="15" customHeight="1">
      <c r="A805" t="inlineStr">
        <is>
          <t>A 62306-2023</t>
        </is>
      </c>
      <c r="B805" s="1" t="n">
        <v>45266</v>
      </c>
      <c r="C805" s="1" t="n">
        <v>45754</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45754</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62133-2023</t>
        </is>
      </c>
      <c r="B807" s="1" t="n">
        <v>45267</v>
      </c>
      <c r="C807" s="1" t="n">
        <v>45754</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62295-2023</t>
        </is>
      </c>
      <c r="B808" s="1" t="n">
        <v>45267</v>
      </c>
      <c r="C808" s="1" t="n">
        <v>45754</v>
      </c>
      <c r="D808" t="inlineStr">
        <is>
          <t>DALARNAS LÄN</t>
        </is>
      </c>
      <c r="E808" t="inlineStr">
        <is>
          <t>LEKSAND</t>
        </is>
      </c>
      <c r="G808" t="n">
        <v>2.5</v>
      </c>
      <c r="H808" t="n">
        <v>0</v>
      </c>
      <c r="I808" t="n">
        <v>0</v>
      </c>
      <c r="J808" t="n">
        <v>0</v>
      </c>
      <c r="K808" t="n">
        <v>0</v>
      </c>
      <c r="L808" t="n">
        <v>0</v>
      </c>
      <c r="M808" t="n">
        <v>0</v>
      </c>
      <c r="N808" t="n">
        <v>0</v>
      </c>
      <c r="O808" t="n">
        <v>0</v>
      </c>
      <c r="P808" t="n">
        <v>0</v>
      </c>
      <c r="Q808" t="n">
        <v>0</v>
      </c>
      <c r="R808" s="2" t="inlineStr"/>
    </row>
    <row r="809" ht="15" customHeight="1">
      <c r="A809" t="inlineStr">
        <is>
          <t>A 62305-2023</t>
        </is>
      </c>
      <c r="B809" s="1" t="n">
        <v>45267</v>
      </c>
      <c r="C809" s="1" t="n">
        <v>45754</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62587-2023</t>
        </is>
      </c>
      <c r="B810" s="1" t="n">
        <v>45270</v>
      </c>
      <c r="C810" s="1" t="n">
        <v>45754</v>
      </c>
      <c r="D810" t="inlineStr">
        <is>
          <t>DALARNAS LÄN</t>
        </is>
      </c>
      <c r="E810" t="inlineStr">
        <is>
          <t>LEKSAND</t>
        </is>
      </c>
      <c r="G810" t="n">
        <v>4.8</v>
      </c>
      <c r="H810" t="n">
        <v>0</v>
      </c>
      <c r="I810" t="n">
        <v>0</v>
      </c>
      <c r="J810" t="n">
        <v>0</v>
      </c>
      <c r="K810" t="n">
        <v>0</v>
      </c>
      <c r="L810" t="n">
        <v>0</v>
      </c>
      <c r="M810" t="n">
        <v>0</v>
      </c>
      <c r="N810" t="n">
        <v>0</v>
      </c>
      <c r="O810" t="n">
        <v>0</v>
      </c>
      <c r="P810" t="n">
        <v>0</v>
      </c>
      <c r="Q810" t="n">
        <v>0</v>
      </c>
      <c r="R810" s="2" t="inlineStr"/>
    </row>
    <row r="811" ht="15" customHeight="1">
      <c r="A811" t="inlineStr">
        <is>
          <t>A 62863-2023</t>
        </is>
      </c>
      <c r="B811" s="1" t="n">
        <v>45272</v>
      </c>
      <c r="C811" s="1" t="n">
        <v>45754</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62993-2023</t>
        </is>
      </c>
      <c r="B812" s="1" t="n">
        <v>45272</v>
      </c>
      <c r="C812" s="1" t="n">
        <v>45754</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63105-2023</t>
        </is>
      </c>
      <c r="B813" s="1" t="n">
        <v>45273</v>
      </c>
      <c r="C813" s="1" t="n">
        <v>45754</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63107-2023</t>
        </is>
      </c>
      <c r="B814" s="1" t="n">
        <v>45273</v>
      </c>
      <c r="C814" s="1" t="n">
        <v>45754</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63514-2023</t>
        </is>
      </c>
      <c r="B815" s="1" t="n">
        <v>45274</v>
      </c>
      <c r="C815" s="1" t="n">
        <v>45754</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63513-2023</t>
        </is>
      </c>
      <c r="B816" s="1" t="n">
        <v>45274</v>
      </c>
      <c r="C816" s="1" t="n">
        <v>45754</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63544-2023</t>
        </is>
      </c>
      <c r="B817" s="1" t="n">
        <v>45275</v>
      </c>
      <c r="C817" s="1" t="n">
        <v>45754</v>
      </c>
      <c r="D817" t="inlineStr">
        <is>
          <t>DALARNAS LÄN</t>
        </is>
      </c>
      <c r="E817" t="inlineStr">
        <is>
          <t>LEKSAND</t>
        </is>
      </c>
      <c r="G817" t="n">
        <v>0.3</v>
      </c>
      <c r="H817" t="n">
        <v>0</v>
      </c>
      <c r="I817" t="n">
        <v>0</v>
      </c>
      <c r="J817" t="n">
        <v>0</v>
      </c>
      <c r="K817" t="n">
        <v>0</v>
      </c>
      <c r="L817" t="n">
        <v>0</v>
      </c>
      <c r="M817" t="n">
        <v>0</v>
      </c>
      <c r="N817" t="n">
        <v>0</v>
      </c>
      <c r="O817" t="n">
        <v>0</v>
      </c>
      <c r="P817" t="n">
        <v>0</v>
      </c>
      <c r="Q817" t="n">
        <v>0</v>
      </c>
      <c r="R817" s="2" t="inlineStr"/>
    </row>
    <row r="818" ht="15" customHeight="1">
      <c r="A818" t="inlineStr">
        <is>
          <t>A 63548-2023</t>
        </is>
      </c>
      <c r="B818" s="1" t="n">
        <v>45275</v>
      </c>
      <c r="C818" s="1" t="n">
        <v>45754</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64146-2023</t>
        </is>
      </c>
      <c r="B819" s="1" t="n">
        <v>45279</v>
      </c>
      <c r="C819" s="1" t="n">
        <v>45754</v>
      </c>
      <c r="D819" t="inlineStr">
        <is>
          <t>DALARNAS LÄN</t>
        </is>
      </c>
      <c r="E819" t="inlineStr">
        <is>
          <t>LEKSAND</t>
        </is>
      </c>
      <c r="G819" t="n">
        <v>4.3</v>
      </c>
      <c r="H819" t="n">
        <v>0</v>
      </c>
      <c r="I819" t="n">
        <v>0</v>
      </c>
      <c r="J819" t="n">
        <v>0</v>
      </c>
      <c r="K819" t="n">
        <v>0</v>
      </c>
      <c r="L819" t="n">
        <v>0</v>
      </c>
      <c r="M819" t="n">
        <v>0</v>
      </c>
      <c r="N819" t="n">
        <v>0</v>
      </c>
      <c r="O819" t="n">
        <v>0</v>
      </c>
      <c r="P819" t="n">
        <v>0</v>
      </c>
      <c r="Q819" t="n">
        <v>0</v>
      </c>
      <c r="R819" s="2" t="inlineStr"/>
    </row>
    <row r="820" ht="15" customHeight="1">
      <c r="A820" t="inlineStr">
        <is>
          <t>A 64418-2023</t>
        </is>
      </c>
      <c r="B820" s="1" t="n">
        <v>45280</v>
      </c>
      <c r="C820" s="1" t="n">
        <v>45754</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64516-2023</t>
        </is>
      </c>
      <c r="B821" s="1" t="n">
        <v>45280</v>
      </c>
      <c r="C821" s="1" t="n">
        <v>45754</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64515-2023</t>
        </is>
      </c>
      <c r="B822" s="1" t="n">
        <v>45280</v>
      </c>
      <c r="C822" s="1" t="n">
        <v>45754</v>
      </c>
      <c r="D822" t="inlineStr">
        <is>
          <t>DALARNAS LÄN</t>
        </is>
      </c>
      <c r="E822" t="inlineStr">
        <is>
          <t>LEKSAND</t>
        </is>
      </c>
      <c r="G822" t="n">
        <v>9.1</v>
      </c>
      <c r="H822" t="n">
        <v>0</v>
      </c>
      <c r="I822" t="n">
        <v>0</v>
      </c>
      <c r="J822" t="n">
        <v>0</v>
      </c>
      <c r="K822" t="n">
        <v>0</v>
      </c>
      <c r="L822" t="n">
        <v>0</v>
      </c>
      <c r="M822" t="n">
        <v>0</v>
      </c>
      <c r="N822" t="n">
        <v>0</v>
      </c>
      <c r="O822" t="n">
        <v>0</v>
      </c>
      <c r="P822" t="n">
        <v>0</v>
      </c>
      <c r="Q822" t="n">
        <v>0</v>
      </c>
      <c r="R822" s="2" t="inlineStr"/>
    </row>
    <row r="823" ht="15" customHeight="1">
      <c r="A823" t="inlineStr">
        <is>
          <t>A 64677-2023</t>
        </is>
      </c>
      <c r="B823" s="1" t="n">
        <v>45281</v>
      </c>
      <c r="C823" s="1" t="n">
        <v>45754</v>
      </c>
      <c r="D823" t="inlineStr">
        <is>
          <t>DALARNAS LÄN</t>
        </is>
      </c>
      <c r="E823" t="inlineStr">
        <is>
          <t>LEKSAND</t>
        </is>
      </c>
      <c r="G823" t="n">
        <v>2.7</v>
      </c>
      <c r="H823" t="n">
        <v>0</v>
      </c>
      <c r="I823" t="n">
        <v>0</v>
      </c>
      <c r="J823" t="n">
        <v>0</v>
      </c>
      <c r="K823" t="n">
        <v>0</v>
      </c>
      <c r="L823" t="n">
        <v>0</v>
      </c>
      <c r="M823" t="n">
        <v>0</v>
      </c>
      <c r="N823" t="n">
        <v>0</v>
      </c>
      <c r="O823" t="n">
        <v>0</v>
      </c>
      <c r="P823" t="n">
        <v>0</v>
      </c>
      <c r="Q823" t="n">
        <v>0</v>
      </c>
      <c r="R823" s="2" t="inlineStr"/>
    </row>
    <row r="824" ht="15" customHeight="1">
      <c r="A824" t="inlineStr">
        <is>
          <t>A 64612-2023</t>
        </is>
      </c>
      <c r="B824" s="1" t="n">
        <v>45281</v>
      </c>
      <c r="C824" s="1" t="n">
        <v>45754</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64867-2023</t>
        </is>
      </c>
      <c r="B825" s="1" t="n">
        <v>45282</v>
      </c>
      <c r="C825" s="1" t="n">
        <v>45754</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64931-2023</t>
        </is>
      </c>
      <c r="B826" s="1" t="n">
        <v>45282</v>
      </c>
      <c r="C826" s="1" t="n">
        <v>45754</v>
      </c>
      <c r="D826" t="inlineStr">
        <is>
          <t>DALARNAS LÄN</t>
        </is>
      </c>
      <c r="E826" t="inlineStr">
        <is>
          <t>LEKSAND</t>
        </is>
      </c>
      <c r="G826" t="n">
        <v>6.3</v>
      </c>
      <c r="H826" t="n">
        <v>0</v>
      </c>
      <c r="I826" t="n">
        <v>0</v>
      </c>
      <c r="J826" t="n">
        <v>0</v>
      </c>
      <c r="K826" t="n">
        <v>0</v>
      </c>
      <c r="L826" t="n">
        <v>0</v>
      </c>
      <c r="M826" t="n">
        <v>0</v>
      </c>
      <c r="N826" t="n">
        <v>0</v>
      </c>
      <c r="O826" t="n">
        <v>0</v>
      </c>
      <c r="P826" t="n">
        <v>0</v>
      </c>
      <c r="Q826" t="n">
        <v>0</v>
      </c>
      <c r="R826" s="2" t="inlineStr"/>
    </row>
    <row r="827" ht="15" customHeight="1">
      <c r="A827" t="inlineStr">
        <is>
          <t>A 64933-2023</t>
        </is>
      </c>
      <c r="B827" s="1" t="n">
        <v>45282</v>
      </c>
      <c r="C827" s="1" t="n">
        <v>45754</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65047-2023</t>
        </is>
      </c>
      <c r="B828" s="1" t="n">
        <v>45283</v>
      </c>
      <c r="C828" s="1" t="n">
        <v>45754</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23-2024</t>
        </is>
      </c>
      <c r="B829" s="1" t="n">
        <v>45293</v>
      </c>
      <c r="C829" s="1" t="n">
        <v>45754</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32-2024</t>
        </is>
      </c>
      <c r="B830" s="1" t="n">
        <v>45293</v>
      </c>
      <c r="C830" s="1" t="n">
        <v>45754</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121-2024</t>
        </is>
      </c>
      <c r="B831" s="1" t="n">
        <v>45294</v>
      </c>
      <c r="C831" s="1" t="n">
        <v>45754</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402-2024</t>
        </is>
      </c>
      <c r="B832" s="1" t="n">
        <v>45296</v>
      </c>
      <c r="C832" s="1" t="n">
        <v>45754</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45754</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481-2024</t>
        </is>
      </c>
      <c r="B834" s="1" t="n">
        <v>45298</v>
      </c>
      <c r="C834" s="1" t="n">
        <v>45754</v>
      </c>
      <c r="D834" t="inlineStr">
        <is>
          <t>DALARNAS LÄN</t>
        </is>
      </c>
      <c r="E834" t="inlineStr">
        <is>
          <t>LEKSAND</t>
        </is>
      </c>
      <c r="G834" t="n">
        <v>7</v>
      </c>
      <c r="H834" t="n">
        <v>0</v>
      </c>
      <c r="I834" t="n">
        <v>0</v>
      </c>
      <c r="J834" t="n">
        <v>0</v>
      </c>
      <c r="K834" t="n">
        <v>0</v>
      </c>
      <c r="L834" t="n">
        <v>0</v>
      </c>
      <c r="M834" t="n">
        <v>0</v>
      </c>
      <c r="N834" t="n">
        <v>0</v>
      </c>
      <c r="O834" t="n">
        <v>0</v>
      </c>
      <c r="P834" t="n">
        <v>0</v>
      </c>
      <c r="Q834" t="n">
        <v>0</v>
      </c>
      <c r="R834" s="2" t="inlineStr"/>
    </row>
    <row r="835" ht="15" customHeight="1">
      <c r="A835" t="inlineStr">
        <is>
          <t>A 511-2024</t>
        </is>
      </c>
      <c r="B835" s="1" t="n">
        <v>45299</v>
      </c>
      <c r="C835" s="1" t="n">
        <v>45754</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613-2024</t>
        </is>
      </c>
      <c r="B836" s="1" t="n">
        <v>45299</v>
      </c>
      <c r="C836" s="1" t="n">
        <v>45754</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962-2024</t>
        </is>
      </c>
      <c r="B837" s="1" t="n">
        <v>45301</v>
      </c>
      <c r="C837" s="1" t="n">
        <v>45754</v>
      </c>
      <c r="D837" t="inlineStr">
        <is>
          <t>DALARNAS LÄN</t>
        </is>
      </c>
      <c r="E837" t="inlineStr">
        <is>
          <t>LEKSAND</t>
        </is>
      </c>
      <c r="G837" t="n">
        <v>3.8</v>
      </c>
      <c r="H837" t="n">
        <v>0</v>
      </c>
      <c r="I837" t="n">
        <v>0</v>
      </c>
      <c r="J837" t="n">
        <v>0</v>
      </c>
      <c r="K837" t="n">
        <v>0</v>
      </c>
      <c r="L837" t="n">
        <v>0</v>
      </c>
      <c r="M837" t="n">
        <v>0</v>
      </c>
      <c r="N837" t="n">
        <v>0</v>
      </c>
      <c r="O837" t="n">
        <v>0</v>
      </c>
      <c r="P837" t="n">
        <v>0</v>
      </c>
      <c r="Q837" t="n">
        <v>0</v>
      </c>
      <c r="R837" s="2" t="inlineStr"/>
    </row>
    <row r="838" ht="15" customHeight="1">
      <c r="A838" t="inlineStr">
        <is>
          <t>A 1179-2024</t>
        </is>
      </c>
      <c r="B838" s="1" t="n">
        <v>45302</v>
      </c>
      <c r="C838" s="1" t="n">
        <v>45754</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1215-2024</t>
        </is>
      </c>
      <c r="B839" s="1" t="n">
        <v>45302</v>
      </c>
      <c r="C839" s="1" t="n">
        <v>45754</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1458-2024</t>
        </is>
      </c>
      <c r="B840" s="1" t="n">
        <v>45303</v>
      </c>
      <c r="C840" s="1" t="n">
        <v>45754</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1443-2024</t>
        </is>
      </c>
      <c r="B841" s="1" t="n">
        <v>45303</v>
      </c>
      <c r="C841" s="1" t="n">
        <v>45754</v>
      </c>
      <c r="D841" t="inlineStr">
        <is>
          <t>DALARNAS LÄN</t>
        </is>
      </c>
      <c r="E841" t="inlineStr">
        <is>
          <t>LEKSAND</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1457-2024</t>
        </is>
      </c>
      <c r="B842" s="1" t="n">
        <v>45303</v>
      </c>
      <c r="C842" s="1" t="n">
        <v>45754</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1461-2024</t>
        </is>
      </c>
      <c r="B843" s="1" t="n">
        <v>45303</v>
      </c>
      <c r="C843" s="1" t="n">
        <v>45754</v>
      </c>
      <c r="D843" t="inlineStr">
        <is>
          <t>DALARNAS LÄN</t>
        </is>
      </c>
      <c r="E843" t="inlineStr">
        <is>
          <t>LEKSAND</t>
        </is>
      </c>
      <c r="G843" t="n">
        <v>2.4</v>
      </c>
      <c r="H843" t="n">
        <v>0</v>
      </c>
      <c r="I843" t="n">
        <v>0</v>
      </c>
      <c r="J843" t="n">
        <v>0</v>
      </c>
      <c r="K843" t="n">
        <v>0</v>
      </c>
      <c r="L843" t="n">
        <v>0</v>
      </c>
      <c r="M843" t="n">
        <v>0</v>
      </c>
      <c r="N843" t="n">
        <v>0</v>
      </c>
      <c r="O843" t="n">
        <v>0</v>
      </c>
      <c r="P843" t="n">
        <v>0</v>
      </c>
      <c r="Q843" t="n">
        <v>0</v>
      </c>
      <c r="R843" s="2" t="inlineStr"/>
    </row>
    <row r="844" ht="15" customHeight="1">
      <c r="A844" t="inlineStr">
        <is>
          <t>A 1463-2024</t>
        </is>
      </c>
      <c r="B844" s="1" t="n">
        <v>45303</v>
      </c>
      <c r="C844" s="1" t="n">
        <v>45754</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1476-2024</t>
        </is>
      </c>
      <c r="B845" s="1" t="n">
        <v>45304</v>
      </c>
      <c r="C845" s="1" t="n">
        <v>45754</v>
      </c>
      <c r="D845" t="inlineStr">
        <is>
          <t>DALARNAS LÄN</t>
        </is>
      </c>
      <c r="E845" t="inlineStr">
        <is>
          <t>LEKSAND</t>
        </is>
      </c>
      <c r="G845" t="n">
        <v>4.3</v>
      </c>
      <c r="H845" t="n">
        <v>0</v>
      </c>
      <c r="I845" t="n">
        <v>0</v>
      </c>
      <c r="J845" t="n">
        <v>0</v>
      </c>
      <c r="K845" t="n">
        <v>0</v>
      </c>
      <c r="L845" t="n">
        <v>0</v>
      </c>
      <c r="M845" t="n">
        <v>0</v>
      </c>
      <c r="N845" t="n">
        <v>0</v>
      </c>
      <c r="O845" t="n">
        <v>0</v>
      </c>
      <c r="P845" t="n">
        <v>0</v>
      </c>
      <c r="Q845" t="n">
        <v>0</v>
      </c>
      <c r="R845" s="2" t="inlineStr"/>
    </row>
    <row r="846" ht="15" customHeight="1">
      <c r="A846" t="inlineStr">
        <is>
          <t>A 1519-2024</t>
        </is>
      </c>
      <c r="B846" s="1" t="n">
        <v>45306</v>
      </c>
      <c r="C846" s="1" t="n">
        <v>45754</v>
      </c>
      <c r="D846" t="inlineStr">
        <is>
          <t>DALARNAS LÄN</t>
        </is>
      </c>
      <c r="E846" t="inlineStr">
        <is>
          <t>LEKSAND</t>
        </is>
      </c>
      <c r="G846" t="n">
        <v>3.3</v>
      </c>
      <c r="H846" t="n">
        <v>0</v>
      </c>
      <c r="I846" t="n">
        <v>0</v>
      </c>
      <c r="J846" t="n">
        <v>0</v>
      </c>
      <c r="K846" t="n">
        <v>0</v>
      </c>
      <c r="L846" t="n">
        <v>0</v>
      </c>
      <c r="M846" t="n">
        <v>0</v>
      </c>
      <c r="N846" t="n">
        <v>0</v>
      </c>
      <c r="O846" t="n">
        <v>0</v>
      </c>
      <c r="P846" t="n">
        <v>0</v>
      </c>
      <c r="Q846" t="n">
        <v>0</v>
      </c>
      <c r="R846" s="2" t="inlineStr"/>
    </row>
    <row r="847" ht="15" customHeight="1">
      <c r="A847" t="inlineStr">
        <is>
          <t>A 1616-2024</t>
        </is>
      </c>
      <c r="B847" s="1" t="n">
        <v>45306</v>
      </c>
      <c r="C847" s="1" t="n">
        <v>45754</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1849-2024</t>
        </is>
      </c>
      <c r="B848" s="1" t="n">
        <v>45307</v>
      </c>
      <c r="C848" s="1" t="n">
        <v>45754</v>
      </c>
      <c r="D848" t="inlineStr">
        <is>
          <t>DALARNAS LÄN</t>
        </is>
      </c>
      <c r="E848" t="inlineStr">
        <is>
          <t>LEKSAND</t>
        </is>
      </c>
      <c r="F848" t="inlineStr">
        <is>
          <t>Kommuner</t>
        </is>
      </c>
      <c r="G848" t="n">
        <v>5</v>
      </c>
      <c r="H848" t="n">
        <v>0</v>
      </c>
      <c r="I848" t="n">
        <v>0</v>
      </c>
      <c r="J848" t="n">
        <v>0</v>
      </c>
      <c r="K848" t="n">
        <v>0</v>
      </c>
      <c r="L848" t="n">
        <v>0</v>
      </c>
      <c r="M848" t="n">
        <v>0</v>
      </c>
      <c r="N848" t="n">
        <v>0</v>
      </c>
      <c r="O848" t="n">
        <v>0</v>
      </c>
      <c r="P848" t="n">
        <v>0</v>
      </c>
      <c r="Q848" t="n">
        <v>0</v>
      </c>
      <c r="R848" s="2" t="inlineStr"/>
    </row>
    <row r="849" ht="15" customHeight="1">
      <c r="A849" t="inlineStr">
        <is>
          <t>A 1706-2024</t>
        </is>
      </c>
      <c r="B849" s="1" t="n">
        <v>45307</v>
      </c>
      <c r="C849" s="1" t="n">
        <v>45754</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1719-2024</t>
        </is>
      </c>
      <c r="B850" s="1" t="n">
        <v>45307</v>
      </c>
      <c r="C850" s="1" t="n">
        <v>45754</v>
      </c>
      <c r="D850" t="inlineStr">
        <is>
          <t>DALARNAS LÄN</t>
        </is>
      </c>
      <c r="E850" t="inlineStr">
        <is>
          <t>LEKSAND</t>
        </is>
      </c>
      <c r="G850" t="n">
        <v>2.8</v>
      </c>
      <c r="H850" t="n">
        <v>0</v>
      </c>
      <c r="I850" t="n">
        <v>0</v>
      </c>
      <c r="J850" t="n">
        <v>0</v>
      </c>
      <c r="K850" t="n">
        <v>0</v>
      </c>
      <c r="L850" t="n">
        <v>0</v>
      </c>
      <c r="M850" t="n">
        <v>0</v>
      </c>
      <c r="N850" t="n">
        <v>0</v>
      </c>
      <c r="O850" t="n">
        <v>0</v>
      </c>
      <c r="P850" t="n">
        <v>0</v>
      </c>
      <c r="Q850" t="n">
        <v>0</v>
      </c>
      <c r="R850" s="2" t="inlineStr"/>
    </row>
    <row r="851" ht="15" customHeight="1">
      <c r="A851" t="inlineStr">
        <is>
          <t>A 1946-2024</t>
        </is>
      </c>
      <c r="B851" s="1" t="n">
        <v>45308</v>
      </c>
      <c r="C851" s="1" t="n">
        <v>45754</v>
      </c>
      <c r="D851" t="inlineStr">
        <is>
          <t>DALARNAS LÄN</t>
        </is>
      </c>
      <c r="E851" t="inlineStr">
        <is>
          <t>LEKSAND</t>
        </is>
      </c>
      <c r="G851" t="n">
        <v>2.3</v>
      </c>
      <c r="H851" t="n">
        <v>0</v>
      </c>
      <c r="I851" t="n">
        <v>0</v>
      </c>
      <c r="J851" t="n">
        <v>0</v>
      </c>
      <c r="K851" t="n">
        <v>0</v>
      </c>
      <c r="L851" t="n">
        <v>0</v>
      </c>
      <c r="M851" t="n">
        <v>0</v>
      </c>
      <c r="N851" t="n">
        <v>0</v>
      </c>
      <c r="O851" t="n">
        <v>0</v>
      </c>
      <c r="P851" t="n">
        <v>0</v>
      </c>
      <c r="Q851" t="n">
        <v>0</v>
      </c>
      <c r="R851" s="2" t="inlineStr"/>
    </row>
    <row r="852" ht="15" customHeight="1">
      <c r="A852" t="inlineStr">
        <is>
          <t>A 2158-2024</t>
        </is>
      </c>
      <c r="B852" s="1" t="n">
        <v>45309</v>
      </c>
      <c r="C852" s="1" t="n">
        <v>45754</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2140-2024</t>
        </is>
      </c>
      <c r="B853" s="1" t="n">
        <v>45309</v>
      </c>
      <c r="C853" s="1" t="n">
        <v>45754</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2517-2024</t>
        </is>
      </c>
      <c r="B854" s="1" t="n">
        <v>45313</v>
      </c>
      <c r="C854" s="1" t="n">
        <v>45754</v>
      </c>
      <c r="D854" t="inlineStr">
        <is>
          <t>DALARNAS LÄN</t>
        </is>
      </c>
      <c r="E854" t="inlineStr">
        <is>
          <t>LEKSAND</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2536-2024</t>
        </is>
      </c>
      <c r="B855" s="1" t="n">
        <v>45313</v>
      </c>
      <c r="C855" s="1" t="n">
        <v>45754</v>
      </c>
      <c r="D855" t="inlineStr">
        <is>
          <t>DALARNAS LÄN</t>
        </is>
      </c>
      <c r="E855" t="inlineStr">
        <is>
          <t>LEKSAND</t>
        </is>
      </c>
      <c r="G855" t="n">
        <v>2.2</v>
      </c>
      <c r="H855" t="n">
        <v>0</v>
      </c>
      <c r="I855" t="n">
        <v>0</v>
      </c>
      <c r="J855" t="n">
        <v>0</v>
      </c>
      <c r="K855" t="n">
        <v>0</v>
      </c>
      <c r="L855" t="n">
        <v>0</v>
      </c>
      <c r="M855" t="n">
        <v>0</v>
      </c>
      <c r="N855" t="n">
        <v>0</v>
      </c>
      <c r="O855" t="n">
        <v>0</v>
      </c>
      <c r="P855" t="n">
        <v>0</v>
      </c>
      <c r="Q855" t="n">
        <v>0</v>
      </c>
      <c r="R855" s="2" t="inlineStr"/>
    </row>
    <row r="856" ht="15" customHeight="1">
      <c r="A856" t="inlineStr">
        <is>
          <t>A 2820-2024</t>
        </is>
      </c>
      <c r="B856" s="1" t="n">
        <v>45314</v>
      </c>
      <c r="C856" s="1" t="n">
        <v>45754</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2822-2024</t>
        </is>
      </c>
      <c r="B857" s="1" t="n">
        <v>45314</v>
      </c>
      <c r="C857" s="1" t="n">
        <v>45754</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3138-2024</t>
        </is>
      </c>
      <c r="B858" s="1" t="n">
        <v>45316</v>
      </c>
      <c r="C858" s="1" t="n">
        <v>45754</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3048-2024</t>
        </is>
      </c>
      <c r="B859" s="1" t="n">
        <v>45316</v>
      </c>
      <c r="C859" s="1" t="n">
        <v>45754</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3205-2024</t>
        </is>
      </c>
      <c r="B860" s="1" t="n">
        <v>45316</v>
      </c>
      <c r="C860" s="1" t="n">
        <v>45754</v>
      </c>
      <c r="D860" t="inlineStr">
        <is>
          <t>DALARNAS LÄN</t>
        </is>
      </c>
      <c r="E860" t="inlineStr">
        <is>
          <t>LEKSAND</t>
        </is>
      </c>
      <c r="G860" t="n">
        <v>0.8</v>
      </c>
      <c r="H860" t="n">
        <v>0</v>
      </c>
      <c r="I860" t="n">
        <v>0</v>
      </c>
      <c r="J860" t="n">
        <v>0</v>
      </c>
      <c r="K860" t="n">
        <v>0</v>
      </c>
      <c r="L860" t="n">
        <v>0</v>
      </c>
      <c r="M860" t="n">
        <v>0</v>
      </c>
      <c r="N860" t="n">
        <v>0</v>
      </c>
      <c r="O860" t="n">
        <v>0</v>
      </c>
      <c r="P860" t="n">
        <v>0</v>
      </c>
      <c r="Q860" t="n">
        <v>0</v>
      </c>
      <c r="R860" s="2" t="inlineStr"/>
    </row>
    <row r="861" ht="15" customHeight="1">
      <c r="A861" t="inlineStr">
        <is>
          <t>A 3202-2024</t>
        </is>
      </c>
      <c r="B861" s="1" t="n">
        <v>45316</v>
      </c>
      <c r="C861" s="1" t="n">
        <v>45754</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3352-2024</t>
        </is>
      </c>
      <c r="B862" s="1" t="n">
        <v>45317</v>
      </c>
      <c r="C862" s="1" t="n">
        <v>45754</v>
      </c>
      <c r="D862" t="inlineStr">
        <is>
          <t>DALARNAS LÄN</t>
        </is>
      </c>
      <c r="E862" t="inlineStr">
        <is>
          <t>LEKSAND</t>
        </is>
      </c>
      <c r="G862" t="n">
        <v>1.2</v>
      </c>
      <c r="H862" t="n">
        <v>0</v>
      </c>
      <c r="I862" t="n">
        <v>0</v>
      </c>
      <c r="J862" t="n">
        <v>0</v>
      </c>
      <c r="K862" t="n">
        <v>0</v>
      </c>
      <c r="L862" t="n">
        <v>0</v>
      </c>
      <c r="M862" t="n">
        <v>0</v>
      </c>
      <c r="N862" t="n">
        <v>0</v>
      </c>
      <c r="O862" t="n">
        <v>0</v>
      </c>
      <c r="P862" t="n">
        <v>0</v>
      </c>
      <c r="Q862" t="n">
        <v>0</v>
      </c>
      <c r="R862" s="2" t="inlineStr"/>
    </row>
    <row r="863" ht="15" customHeight="1">
      <c r="A863" t="inlineStr">
        <is>
          <t>A 3970-2024</t>
        </is>
      </c>
      <c r="B863" s="1" t="n">
        <v>45322</v>
      </c>
      <c r="C863" s="1" t="n">
        <v>45754</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3974-2024</t>
        </is>
      </c>
      <c r="B864" s="1" t="n">
        <v>45322</v>
      </c>
      <c r="C864" s="1" t="n">
        <v>45754</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3901-2024</t>
        </is>
      </c>
      <c r="B865" s="1" t="n">
        <v>45322</v>
      </c>
      <c r="C865" s="1" t="n">
        <v>45754</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4121-2024</t>
        </is>
      </c>
      <c r="B866" s="1" t="n">
        <v>45323</v>
      </c>
      <c r="C866" s="1" t="n">
        <v>45754</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4248-2024</t>
        </is>
      </c>
      <c r="B867" s="1" t="n">
        <v>45324</v>
      </c>
      <c r="C867" s="1" t="n">
        <v>45754</v>
      </c>
      <c r="D867" t="inlineStr">
        <is>
          <t>DALARNAS LÄN</t>
        </is>
      </c>
      <c r="E867" t="inlineStr">
        <is>
          <t>LEKSAND</t>
        </is>
      </c>
      <c r="G867" t="n">
        <v>3.6</v>
      </c>
      <c r="H867" t="n">
        <v>0</v>
      </c>
      <c r="I867" t="n">
        <v>0</v>
      </c>
      <c r="J867" t="n">
        <v>0</v>
      </c>
      <c r="K867" t="n">
        <v>0</v>
      </c>
      <c r="L867" t="n">
        <v>0</v>
      </c>
      <c r="M867" t="n">
        <v>0</v>
      </c>
      <c r="N867" t="n">
        <v>0</v>
      </c>
      <c r="O867" t="n">
        <v>0</v>
      </c>
      <c r="P867" t="n">
        <v>0</v>
      </c>
      <c r="Q867" t="n">
        <v>0</v>
      </c>
      <c r="R867" s="2" t="inlineStr"/>
    </row>
    <row r="868" ht="15" customHeight="1">
      <c r="A868" t="inlineStr">
        <is>
          <t>A 4938-2024</t>
        </is>
      </c>
      <c r="B868" s="1" t="n">
        <v>45329</v>
      </c>
      <c r="C868" s="1" t="n">
        <v>45754</v>
      </c>
      <c r="D868" t="inlineStr">
        <is>
          <t>DALARNAS LÄN</t>
        </is>
      </c>
      <c r="E868" t="inlineStr">
        <is>
          <t>LEKSAND</t>
        </is>
      </c>
      <c r="G868" t="n">
        <v>7.7</v>
      </c>
      <c r="H868" t="n">
        <v>0</v>
      </c>
      <c r="I868" t="n">
        <v>0</v>
      </c>
      <c r="J868" t="n">
        <v>0</v>
      </c>
      <c r="K868" t="n">
        <v>0</v>
      </c>
      <c r="L868" t="n">
        <v>0</v>
      </c>
      <c r="M868" t="n">
        <v>0</v>
      </c>
      <c r="N868" t="n">
        <v>0</v>
      </c>
      <c r="O868" t="n">
        <v>0</v>
      </c>
      <c r="P868" t="n">
        <v>0</v>
      </c>
      <c r="Q868" t="n">
        <v>0</v>
      </c>
      <c r="R868" s="2" t="inlineStr"/>
    </row>
    <row r="869" ht="15" customHeight="1">
      <c r="A869" t="inlineStr">
        <is>
          <t>A 4956-2024</t>
        </is>
      </c>
      <c r="B869" s="1" t="n">
        <v>45329</v>
      </c>
      <c r="C869" s="1" t="n">
        <v>45754</v>
      </c>
      <c r="D869" t="inlineStr">
        <is>
          <t>DALARNAS LÄN</t>
        </is>
      </c>
      <c r="E869" t="inlineStr">
        <is>
          <t>LEKSAND</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5231-2024</t>
        </is>
      </c>
      <c r="B870" s="1" t="n">
        <v>45330</v>
      </c>
      <c r="C870" s="1" t="n">
        <v>45754</v>
      </c>
      <c r="D870" t="inlineStr">
        <is>
          <t>DALARNAS LÄN</t>
        </is>
      </c>
      <c r="E870" t="inlineStr">
        <is>
          <t>LEKSAND</t>
        </is>
      </c>
      <c r="F870" t="inlineStr">
        <is>
          <t>Bergvik skog väst AB</t>
        </is>
      </c>
      <c r="G870" t="n">
        <v>11.2</v>
      </c>
      <c r="H870" t="n">
        <v>0</v>
      </c>
      <c r="I870" t="n">
        <v>0</v>
      </c>
      <c r="J870" t="n">
        <v>0</v>
      </c>
      <c r="K870" t="n">
        <v>0</v>
      </c>
      <c r="L870" t="n">
        <v>0</v>
      </c>
      <c r="M870" t="n">
        <v>0</v>
      </c>
      <c r="N870" t="n">
        <v>0</v>
      </c>
      <c r="O870" t="n">
        <v>0</v>
      </c>
      <c r="P870" t="n">
        <v>0</v>
      </c>
      <c r="Q870" t="n">
        <v>0</v>
      </c>
      <c r="R870" s="2" t="inlineStr"/>
    </row>
    <row r="871" ht="15" customHeight="1">
      <c r="A871" t="inlineStr">
        <is>
          <t>A 5369-2024</t>
        </is>
      </c>
      <c r="B871" s="1" t="n">
        <v>45331</v>
      </c>
      <c r="C871" s="1" t="n">
        <v>45754</v>
      </c>
      <c r="D871" t="inlineStr">
        <is>
          <t>DALARNAS LÄN</t>
        </is>
      </c>
      <c r="E871" t="inlineStr">
        <is>
          <t>LEKSAND</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5514-2024</t>
        </is>
      </c>
      <c r="B872" s="1" t="n">
        <v>45334</v>
      </c>
      <c r="C872" s="1" t="n">
        <v>45754</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5570-2024</t>
        </is>
      </c>
      <c r="B873" s="1" t="n">
        <v>45334</v>
      </c>
      <c r="C873" s="1" t="n">
        <v>45754</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5574-2024</t>
        </is>
      </c>
      <c r="B874" s="1" t="n">
        <v>45334</v>
      </c>
      <c r="C874" s="1" t="n">
        <v>45754</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5583-2024</t>
        </is>
      </c>
      <c r="B875" s="1" t="n">
        <v>45334</v>
      </c>
      <c r="C875" s="1" t="n">
        <v>45754</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5584-2024</t>
        </is>
      </c>
      <c r="B876" s="1" t="n">
        <v>45334</v>
      </c>
      <c r="C876" s="1" t="n">
        <v>45754</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5582-2024</t>
        </is>
      </c>
      <c r="B877" s="1" t="n">
        <v>45334</v>
      </c>
      <c r="C877" s="1" t="n">
        <v>45754</v>
      </c>
      <c r="D877" t="inlineStr">
        <is>
          <t>DALARNAS LÄN</t>
        </is>
      </c>
      <c r="E877" t="inlineStr">
        <is>
          <t>LEKSAND</t>
        </is>
      </c>
      <c r="G877" t="n">
        <v>0.5</v>
      </c>
      <c r="H877" t="n">
        <v>0</v>
      </c>
      <c r="I877" t="n">
        <v>0</v>
      </c>
      <c r="J877" t="n">
        <v>0</v>
      </c>
      <c r="K877" t="n">
        <v>0</v>
      </c>
      <c r="L877" t="n">
        <v>0</v>
      </c>
      <c r="M877" t="n">
        <v>0</v>
      </c>
      <c r="N877" t="n">
        <v>0</v>
      </c>
      <c r="O877" t="n">
        <v>0</v>
      </c>
      <c r="P877" t="n">
        <v>0</v>
      </c>
      <c r="Q877" t="n">
        <v>0</v>
      </c>
      <c r="R877" s="2" t="inlineStr"/>
    </row>
    <row r="878" ht="15" customHeight="1">
      <c r="A878" t="inlineStr">
        <is>
          <t>A 5900-2024</t>
        </is>
      </c>
      <c r="B878" s="1" t="n">
        <v>45335</v>
      </c>
      <c r="C878" s="1" t="n">
        <v>45754</v>
      </c>
      <c r="D878" t="inlineStr">
        <is>
          <t>DALARNAS LÄN</t>
        </is>
      </c>
      <c r="E878" t="inlineStr">
        <is>
          <t>LEKSAND</t>
        </is>
      </c>
      <c r="G878" t="n">
        <v>0.8</v>
      </c>
      <c r="H878" t="n">
        <v>0</v>
      </c>
      <c r="I878" t="n">
        <v>0</v>
      </c>
      <c r="J878" t="n">
        <v>0</v>
      </c>
      <c r="K878" t="n">
        <v>0</v>
      </c>
      <c r="L878" t="n">
        <v>0</v>
      </c>
      <c r="M878" t="n">
        <v>0</v>
      </c>
      <c r="N878" t="n">
        <v>0</v>
      </c>
      <c r="O878" t="n">
        <v>0</v>
      </c>
      <c r="P878" t="n">
        <v>0</v>
      </c>
      <c r="Q878" t="n">
        <v>0</v>
      </c>
      <c r="R878" s="2" t="inlineStr"/>
    </row>
    <row r="879" ht="15" customHeight="1">
      <c r="A879" t="inlineStr">
        <is>
          <t>A 6758-2024</t>
        </is>
      </c>
      <c r="B879" s="1" t="n">
        <v>45342</v>
      </c>
      <c r="C879" s="1" t="n">
        <v>45754</v>
      </c>
      <c r="D879" t="inlineStr">
        <is>
          <t>DALARNAS LÄN</t>
        </is>
      </c>
      <c r="E879" t="inlineStr">
        <is>
          <t>LEKSAND</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7417-2024</t>
        </is>
      </c>
      <c r="B880" s="1" t="n">
        <v>45345</v>
      </c>
      <c r="C880" s="1" t="n">
        <v>45754</v>
      </c>
      <c r="D880" t="inlineStr">
        <is>
          <t>DALARNAS LÄN</t>
        </is>
      </c>
      <c r="E880" t="inlineStr">
        <is>
          <t>LEKSAND</t>
        </is>
      </c>
      <c r="G880" t="n">
        <v>2.8</v>
      </c>
      <c r="H880" t="n">
        <v>0</v>
      </c>
      <c r="I880" t="n">
        <v>0</v>
      </c>
      <c r="J880" t="n">
        <v>0</v>
      </c>
      <c r="K880" t="n">
        <v>0</v>
      </c>
      <c r="L880" t="n">
        <v>0</v>
      </c>
      <c r="M880" t="n">
        <v>0</v>
      </c>
      <c r="N880" t="n">
        <v>0</v>
      </c>
      <c r="O880" t="n">
        <v>0</v>
      </c>
      <c r="P880" t="n">
        <v>0</v>
      </c>
      <c r="Q880" t="n">
        <v>0</v>
      </c>
      <c r="R880" s="2" t="inlineStr"/>
    </row>
    <row r="881" ht="15" customHeight="1">
      <c r="A881" t="inlineStr">
        <is>
          <t>A 7775-2024</t>
        </is>
      </c>
      <c r="B881" s="1" t="n">
        <v>45349</v>
      </c>
      <c r="C881" s="1" t="n">
        <v>45754</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7768-2024</t>
        </is>
      </c>
      <c r="B882" s="1" t="n">
        <v>45349</v>
      </c>
      <c r="C882" s="1" t="n">
        <v>45754</v>
      </c>
      <c r="D882" t="inlineStr">
        <is>
          <t>DALARNAS LÄN</t>
        </is>
      </c>
      <c r="E882" t="inlineStr">
        <is>
          <t>LEKSAND</t>
        </is>
      </c>
      <c r="G882" t="n">
        <v>5.4</v>
      </c>
      <c r="H882" t="n">
        <v>0</v>
      </c>
      <c r="I882" t="n">
        <v>0</v>
      </c>
      <c r="J882" t="n">
        <v>0</v>
      </c>
      <c r="K882" t="n">
        <v>0</v>
      </c>
      <c r="L882" t="n">
        <v>0</v>
      </c>
      <c r="M882" t="n">
        <v>0</v>
      </c>
      <c r="N882" t="n">
        <v>0</v>
      </c>
      <c r="O882" t="n">
        <v>0</v>
      </c>
      <c r="P882" t="n">
        <v>0</v>
      </c>
      <c r="Q882" t="n">
        <v>0</v>
      </c>
      <c r="R882" s="2" t="inlineStr"/>
    </row>
    <row r="883" ht="15" customHeight="1">
      <c r="A883" t="inlineStr">
        <is>
          <t>A 7773-2024</t>
        </is>
      </c>
      <c r="B883" s="1" t="n">
        <v>45349</v>
      </c>
      <c r="C883" s="1" t="n">
        <v>45754</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7827-2024</t>
        </is>
      </c>
      <c r="B884" s="1" t="n">
        <v>45349</v>
      </c>
      <c r="C884" s="1" t="n">
        <v>45754</v>
      </c>
      <c r="D884" t="inlineStr">
        <is>
          <t>DALARNAS LÄN</t>
        </is>
      </c>
      <c r="E884" t="inlineStr">
        <is>
          <t>LEKSAND</t>
        </is>
      </c>
      <c r="G884" t="n">
        <v>2.2</v>
      </c>
      <c r="H884" t="n">
        <v>0</v>
      </c>
      <c r="I884" t="n">
        <v>0</v>
      </c>
      <c r="J884" t="n">
        <v>0</v>
      </c>
      <c r="K884" t="n">
        <v>0</v>
      </c>
      <c r="L884" t="n">
        <v>0</v>
      </c>
      <c r="M884" t="n">
        <v>0</v>
      </c>
      <c r="N884" t="n">
        <v>0</v>
      </c>
      <c r="O884" t="n">
        <v>0</v>
      </c>
      <c r="P884" t="n">
        <v>0</v>
      </c>
      <c r="Q884" t="n">
        <v>0</v>
      </c>
      <c r="R884" s="2" t="inlineStr"/>
    </row>
    <row r="885" ht="15" customHeight="1">
      <c r="A885" t="inlineStr">
        <is>
          <t>A 7861-2024</t>
        </is>
      </c>
      <c r="B885" s="1" t="n">
        <v>45350</v>
      </c>
      <c r="C885" s="1" t="n">
        <v>45754</v>
      </c>
      <c r="D885" t="inlineStr">
        <is>
          <t>DALARNAS LÄN</t>
        </is>
      </c>
      <c r="E885" t="inlineStr">
        <is>
          <t>LEKSAND</t>
        </is>
      </c>
      <c r="G885" t="n">
        <v>1.8</v>
      </c>
      <c r="H885" t="n">
        <v>0</v>
      </c>
      <c r="I885" t="n">
        <v>0</v>
      </c>
      <c r="J885" t="n">
        <v>0</v>
      </c>
      <c r="K885" t="n">
        <v>0</v>
      </c>
      <c r="L885" t="n">
        <v>0</v>
      </c>
      <c r="M885" t="n">
        <v>0</v>
      </c>
      <c r="N885" t="n">
        <v>0</v>
      </c>
      <c r="O885" t="n">
        <v>0</v>
      </c>
      <c r="P885" t="n">
        <v>0</v>
      </c>
      <c r="Q885" t="n">
        <v>0</v>
      </c>
      <c r="R885" s="2" t="inlineStr"/>
    </row>
    <row r="886" ht="15" customHeight="1">
      <c r="A886" t="inlineStr">
        <is>
          <t>A 8046-2024</t>
        </is>
      </c>
      <c r="B886" s="1" t="n">
        <v>45351</v>
      </c>
      <c r="C886" s="1" t="n">
        <v>45754</v>
      </c>
      <c r="D886" t="inlineStr">
        <is>
          <t>DALARNAS LÄN</t>
        </is>
      </c>
      <c r="E886" t="inlineStr">
        <is>
          <t>LEKSAND</t>
        </is>
      </c>
      <c r="G886" t="n">
        <v>2.9</v>
      </c>
      <c r="H886" t="n">
        <v>0</v>
      </c>
      <c r="I886" t="n">
        <v>0</v>
      </c>
      <c r="J886" t="n">
        <v>0</v>
      </c>
      <c r="K886" t="n">
        <v>0</v>
      </c>
      <c r="L886" t="n">
        <v>0</v>
      </c>
      <c r="M886" t="n">
        <v>0</v>
      </c>
      <c r="N886" t="n">
        <v>0</v>
      </c>
      <c r="O886" t="n">
        <v>0</v>
      </c>
      <c r="P886" t="n">
        <v>0</v>
      </c>
      <c r="Q886" t="n">
        <v>0</v>
      </c>
      <c r="R886" s="2" t="inlineStr"/>
    </row>
    <row r="887" ht="15" customHeight="1">
      <c r="A887" t="inlineStr">
        <is>
          <t>A 8045-2024</t>
        </is>
      </c>
      <c r="B887" s="1" t="n">
        <v>45351</v>
      </c>
      <c r="C887" s="1" t="n">
        <v>45754</v>
      </c>
      <c r="D887" t="inlineStr">
        <is>
          <t>DALARNAS LÄN</t>
        </is>
      </c>
      <c r="E887" t="inlineStr">
        <is>
          <t>LEKSAND</t>
        </is>
      </c>
      <c r="G887" t="n">
        <v>6.7</v>
      </c>
      <c r="H887" t="n">
        <v>0</v>
      </c>
      <c r="I887" t="n">
        <v>0</v>
      </c>
      <c r="J887" t="n">
        <v>0</v>
      </c>
      <c r="K887" t="n">
        <v>0</v>
      </c>
      <c r="L887" t="n">
        <v>0</v>
      </c>
      <c r="M887" t="n">
        <v>0</v>
      </c>
      <c r="N887" t="n">
        <v>0</v>
      </c>
      <c r="O887" t="n">
        <v>0</v>
      </c>
      <c r="P887" t="n">
        <v>0</v>
      </c>
      <c r="Q887" t="n">
        <v>0</v>
      </c>
      <c r="R887" s="2" t="inlineStr"/>
    </row>
    <row r="888" ht="15" customHeight="1">
      <c r="A888" t="inlineStr">
        <is>
          <t>A 9781-2024</t>
        </is>
      </c>
      <c r="B888" s="1" t="n">
        <v>45362</v>
      </c>
      <c r="C888" s="1" t="n">
        <v>45754</v>
      </c>
      <c r="D888" t="inlineStr">
        <is>
          <t>DALARNAS LÄN</t>
        </is>
      </c>
      <c r="E888" t="inlineStr">
        <is>
          <t>LEKSAND</t>
        </is>
      </c>
      <c r="G888" t="n">
        <v>1.1</v>
      </c>
      <c r="H888" t="n">
        <v>0</v>
      </c>
      <c r="I888" t="n">
        <v>0</v>
      </c>
      <c r="J888" t="n">
        <v>0</v>
      </c>
      <c r="K888" t="n">
        <v>0</v>
      </c>
      <c r="L888" t="n">
        <v>0</v>
      </c>
      <c r="M888" t="n">
        <v>0</v>
      </c>
      <c r="N888" t="n">
        <v>0</v>
      </c>
      <c r="O888" t="n">
        <v>0</v>
      </c>
      <c r="P888" t="n">
        <v>0</v>
      </c>
      <c r="Q888" t="n">
        <v>0</v>
      </c>
      <c r="R888" s="2" t="inlineStr"/>
    </row>
    <row r="889" ht="15" customHeight="1">
      <c r="A889" t="inlineStr">
        <is>
          <t>A 10299-2024</t>
        </is>
      </c>
      <c r="B889" s="1" t="n">
        <v>45365</v>
      </c>
      <c r="C889" s="1" t="n">
        <v>45754</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10462-2024</t>
        </is>
      </c>
      <c r="B890" s="1" t="n">
        <v>45366</v>
      </c>
      <c r="C890" s="1" t="n">
        <v>45754</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10743-2024</t>
        </is>
      </c>
      <c r="B891" s="1" t="n">
        <v>45369</v>
      </c>
      <c r="C891" s="1" t="n">
        <v>45754</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10771-2024</t>
        </is>
      </c>
      <c r="B892" s="1" t="n">
        <v>45369</v>
      </c>
      <c r="C892" s="1" t="n">
        <v>45754</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11617-2024</t>
        </is>
      </c>
      <c r="B893" s="1" t="n">
        <v>45373</v>
      </c>
      <c r="C893" s="1" t="n">
        <v>45754</v>
      </c>
      <c r="D893" t="inlineStr">
        <is>
          <t>DALARNAS LÄN</t>
        </is>
      </c>
      <c r="E893" t="inlineStr">
        <is>
          <t>LEKSAND</t>
        </is>
      </c>
      <c r="G893" t="n">
        <v>1.9</v>
      </c>
      <c r="H893" t="n">
        <v>0</v>
      </c>
      <c r="I893" t="n">
        <v>0</v>
      </c>
      <c r="J893" t="n">
        <v>0</v>
      </c>
      <c r="K893" t="n">
        <v>0</v>
      </c>
      <c r="L893" t="n">
        <v>0</v>
      </c>
      <c r="M893" t="n">
        <v>0</v>
      </c>
      <c r="N893" t="n">
        <v>0</v>
      </c>
      <c r="O893" t="n">
        <v>0</v>
      </c>
      <c r="P893" t="n">
        <v>0</v>
      </c>
      <c r="Q893" t="n">
        <v>0</v>
      </c>
      <c r="R893" s="2" t="inlineStr"/>
    </row>
    <row r="894" ht="15" customHeight="1">
      <c r="A894" t="inlineStr">
        <is>
          <t>A 11869-2024</t>
        </is>
      </c>
      <c r="B894" s="1" t="n">
        <v>45376</v>
      </c>
      <c r="C894" s="1" t="n">
        <v>45754</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11855-2024</t>
        </is>
      </c>
      <c r="B895" s="1" t="n">
        <v>45376</v>
      </c>
      <c r="C895" s="1" t="n">
        <v>45754</v>
      </c>
      <c r="D895" t="inlineStr">
        <is>
          <t>DALARNAS LÄN</t>
        </is>
      </c>
      <c r="E895" t="inlineStr">
        <is>
          <t>LEKSAND</t>
        </is>
      </c>
      <c r="G895" t="n">
        <v>4</v>
      </c>
      <c r="H895" t="n">
        <v>0</v>
      </c>
      <c r="I895" t="n">
        <v>0</v>
      </c>
      <c r="J895" t="n">
        <v>0</v>
      </c>
      <c r="K895" t="n">
        <v>0</v>
      </c>
      <c r="L895" t="n">
        <v>0</v>
      </c>
      <c r="M895" t="n">
        <v>0</v>
      </c>
      <c r="N895" t="n">
        <v>0</v>
      </c>
      <c r="O895" t="n">
        <v>0</v>
      </c>
      <c r="P895" t="n">
        <v>0</v>
      </c>
      <c r="Q895" t="n">
        <v>0</v>
      </c>
      <c r="R895" s="2" t="inlineStr"/>
      <c r="U895">
        <f>HYPERLINK("https://klasma.github.io/Logging_2029/knärot/A 11855-2024 karta knärot.png", "A 11855-2024")</f>
        <v/>
      </c>
      <c r="V895">
        <f>HYPERLINK("https://klasma.github.io/Logging_2029/klagomål/A 11855-2024 FSC-klagomål.docx", "A 11855-2024")</f>
        <v/>
      </c>
      <c r="W895">
        <f>HYPERLINK("https://klasma.github.io/Logging_2029/klagomålsmail/A 11855-2024 FSC-klagomål mail.docx", "A 11855-2024")</f>
        <v/>
      </c>
      <c r="X895">
        <f>HYPERLINK("https://klasma.github.io/Logging_2029/tillsyn/A 11855-2024 tillsynsbegäran.docx", "A 11855-2024")</f>
        <v/>
      </c>
      <c r="Y895">
        <f>HYPERLINK("https://klasma.github.io/Logging_2029/tillsynsmail/A 11855-2024 tillsynsbegäran mail.docx", "A 11855-2024")</f>
        <v/>
      </c>
    </row>
    <row r="896" ht="15" customHeight="1">
      <c r="A896" t="inlineStr">
        <is>
          <t>A 11859-2024</t>
        </is>
      </c>
      <c r="B896" s="1" t="n">
        <v>45376</v>
      </c>
      <c r="C896" s="1" t="n">
        <v>45754</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11872-2024</t>
        </is>
      </c>
      <c r="B897" s="1" t="n">
        <v>45376</v>
      </c>
      <c r="C897" s="1" t="n">
        <v>45754</v>
      </c>
      <c r="D897" t="inlineStr">
        <is>
          <t>DALARNAS LÄN</t>
        </is>
      </c>
      <c r="E897" t="inlineStr">
        <is>
          <t>LEKSAND</t>
        </is>
      </c>
      <c r="G897" t="n">
        <v>3.1</v>
      </c>
      <c r="H897" t="n">
        <v>0</v>
      </c>
      <c r="I897" t="n">
        <v>0</v>
      </c>
      <c r="J897" t="n">
        <v>0</v>
      </c>
      <c r="K897" t="n">
        <v>0</v>
      </c>
      <c r="L897" t="n">
        <v>0</v>
      </c>
      <c r="M897" t="n">
        <v>0</v>
      </c>
      <c r="N897" t="n">
        <v>0</v>
      </c>
      <c r="O897" t="n">
        <v>0</v>
      </c>
      <c r="P897" t="n">
        <v>0</v>
      </c>
      <c r="Q897" t="n">
        <v>0</v>
      </c>
      <c r="R897" s="2" t="inlineStr"/>
    </row>
    <row r="898" ht="15" customHeight="1">
      <c r="A898" t="inlineStr">
        <is>
          <t>A 11870-2024</t>
        </is>
      </c>
      <c r="B898" s="1" t="n">
        <v>45376</v>
      </c>
      <c r="C898" s="1" t="n">
        <v>45754</v>
      </c>
      <c r="D898" t="inlineStr">
        <is>
          <t>DALARNAS LÄN</t>
        </is>
      </c>
      <c r="E898" t="inlineStr">
        <is>
          <t>LEKSAND</t>
        </is>
      </c>
      <c r="G898" t="n">
        <v>1.5</v>
      </c>
      <c r="H898" t="n">
        <v>0</v>
      </c>
      <c r="I898" t="n">
        <v>0</v>
      </c>
      <c r="J898" t="n">
        <v>0</v>
      </c>
      <c r="K898" t="n">
        <v>0</v>
      </c>
      <c r="L898" t="n">
        <v>0</v>
      </c>
      <c r="M898" t="n">
        <v>0</v>
      </c>
      <c r="N898" t="n">
        <v>0</v>
      </c>
      <c r="O898" t="n">
        <v>0</v>
      </c>
      <c r="P898" t="n">
        <v>0</v>
      </c>
      <c r="Q898" t="n">
        <v>0</v>
      </c>
      <c r="R898" s="2" t="inlineStr"/>
    </row>
    <row r="899" ht="15" customHeight="1">
      <c r="A899" t="inlineStr">
        <is>
          <t>A 12290-2024</t>
        </is>
      </c>
      <c r="B899" s="1" t="n">
        <v>45378</v>
      </c>
      <c r="C899" s="1" t="n">
        <v>45754</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12481-2024</t>
        </is>
      </c>
      <c r="B900" s="1" t="n">
        <v>45379</v>
      </c>
      <c r="C900" s="1" t="n">
        <v>45754</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13161-2024</t>
        </is>
      </c>
      <c r="B901" s="1" t="n">
        <v>45386</v>
      </c>
      <c r="C901" s="1" t="n">
        <v>45754</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13165-2024</t>
        </is>
      </c>
      <c r="B902" s="1" t="n">
        <v>45386</v>
      </c>
      <c r="C902" s="1" t="n">
        <v>45754</v>
      </c>
      <c r="D902" t="inlineStr">
        <is>
          <t>DALARNAS LÄN</t>
        </is>
      </c>
      <c r="E902" t="inlineStr">
        <is>
          <t>LEKSAND</t>
        </is>
      </c>
      <c r="G902" t="n">
        <v>3.4</v>
      </c>
      <c r="H902" t="n">
        <v>0</v>
      </c>
      <c r="I902" t="n">
        <v>0</v>
      </c>
      <c r="J902" t="n">
        <v>0</v>
      </c>
      <c r="K902" t="n">
        <v>0</v>
      </c>
      <c r="L902" t="n">
        <v>0</v>
      </c>
      <c r="M902" t="n">
        <v>0</v>
      </c>
      <c r="N902" t="n">
        <v>0</v>
      </c>
      <c r="O902" t="n">
        <v>0</v>
      </c>
      <c r="P902" t="n">
        <v>0</v>
      </c>
      <c r="Q902" t="n">
        <v>0</v>
      </c>
      <c r="R902" s="2" t="inlineStr"/>
    </row>
    <row r="903" ht="15" customHeight="1">
      <c r="A903" t="inlineStr">
        <is>
          <t>A 13741-2024</t>
        </is>
      </c>
      <c r="B903" s="1" t="n">
        <v>45390</v>
      </c>
      <c r="C903" s="1" t="n">
        <v>45754</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13783-2024</t>
        </is>
      </c>
      <c r="B904" s="1" t="n">
        <v>45391</v>
      </c>
      <c r="C904" s="1" t="n">
        <v>45754</v>
      </c>
      <c r="D904" t="inlineStr">
        <is>
          <t>DALARNAS LÄN</t>
        </is>
      </c>
      <c r="E904" t="inlineStr">
        <is>
          <t>LEKSAND</t>
        </is>
      </c>
      <c r="G904" t="n">
        <v>1.3</v>
      </c>
      <c r="H904" t="n">
        <v>0</v>
      </c>
      <c r="I904" t="n">
        <v>0</v>
      </c>
      <c r="J904" t="n">
        <v>0</v>
      </c>
      <c r="K904" t="n">
        <v>0</v>
      </c>
      <c r="L904" t="n">
        <v>0</v>
      </c>
      <c r="M904" t="n">
        <v>0</v>
      </c>
      <c r="N904" t="n">
        <v>0</v>
      </c>
      <c r="O904" t="n">
        <v>0</v>
      </c>
      <c r="P904" t="n">
        <v>0</v>
      </c>
      <c r="Q904" t="n">
        <v>0</v>
      </c>
      <c r="R904" s="2" t="inlineStr"/>
    </row>
    <row r="905" ht="15" customHeight="1">
      <c r="A905" t="inlineStr">
        <is>
          <t>A 13811-2024</t>
        </is>
      </c>
      <c r="B905" s="1" t="n">
        <v>45391</v>
      </c>
      <c r="C905" s="1" t="n">
        <v>45754</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13990-2024</t>
        </is>
      </c>
      <c r="B906" s="1" t="n">
        <v>45392</v>
      </c>
      <c r="C906" s="1" t="n">
        <v>45754</v>
      </c>
      <c r="D906" t="inlineStr">
        <is>
          <t>DALARNAS LÄN</t>
        </is>
      </c>
      <c r="E906" t="inlineStr">
        <is>
          <t>LEKSAND</t>
        </is>
      </c>
      <c r="G906" t="n">
        <v>1.1</v>
      </c>
      <c r="H906" t="n">
        <v>0</v>
      </c>
      <c r="I906" t="n">
        <v>0</v>
      </c>
      <c r="J906" t="n">
        <v>0</v>
      </c>
      <c r="K906" t="n">
        <v>0</v>
      </c>
      <c r="L906" t="n">
        <v>0</v>
      </c>
      <c r="M906" t="n">
        <v>0</v>
      </c>
      <c r="N906" t="n">
        <v>0</v>
      </c>
      <c r="O906" t="n">
        <v>0</v>
      </c>
      <c r="P906" t="n">
        <v>0</v>
      </c>
      <c r="Q906" t="n">
        <v>0</v>
      </c>
      <c r="R906" s="2" t="inlineStr"/>
    </row>
    <row r="907" ht="15" customHeight="1">
      <c r="A907" t="inlineStr">
        <is>
          <t>A 14276-2024</t>
        </is>
      </c>
      <c r="B907" s="1" t="n">
        <v>45393</v>
      </c>
      <c r="C907" s="1" t="n">
        <v>45754</v>
      </c>
      <c r="D907" t="inlineStr">
        <is>
          <t>DALARNAS LÄN</t>
        </is>
      </c>
      <c r="E907" t="inlineStr">
        <is>
          <t>LEKSAND</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14616-2024</t>
        </is>
      </c>
      <c r="B908" s="1" t="n">
        <v>45397</v>
      </c>
      <c r="C908" s="1" t="n">
        <v>45754</v>
      </c>
      <c r="D908" t="inlineStr">
        <is>
          <t>DALARNAS LÄN</t>
        </is>
      </c>
      <c r="E908" t="inlineStr">
        <is>
          <t>LEKSAND</t>
        </is>
      </c>
      <c r="G908" t="n">
        <v>0.5</v>
      </c>
      <c r="H908" t="n">
        <v>0</v>
      </c>
      <c r="I908" t="n">
        <v>0</v>
      </c>
      <c r="J908" t="n">
        <v>0</v>
      </c>
      <c r="K908" t="n">
        <v>0</v>
      </c>
      <c r="L908" t="n">
        <v>0</v>
      </c>
      <c r="M908" t="n">
        <v>0</v>
      </c>
      <c r="N908" t="n">
        <v>0</v>
      </c>
      <c r="O908" t="n">
        <v>0</v>
      </c>
      <c r="P908" t="n">
        <v>0</v>
      </c>
      <c r="Q908" t="n">
        <v>0</v>
      </c>
      <c r="R908" s="2" t="inlineStr"/>
    </row>
    <row r="909" ht="15" customHeight="1">
      <c r="A909" t="inlineStr">
        <is>
          <t>A 14615-2024</t>
        </is>
      </c>
      <c r="B909" s="1" t="n">
        <v>45397</v>
      </c>
      <c r="C909" s="1" t="n">
        <v>45754</v>
      </c>
      <c r="D909" t="inlineStr">
        <is>
          <t>DALARNAS LÄN</t>
        </is>
      </c>
      <c r="E909" t="inlineStr">
        <is>
          <t>LEKSAND</t>
        </is>
      </c>
      <c r="G909" t="n">
        <v>0.4</v>
      </c>
      <c r="H909" t="n">
        <v>0</v>
      </c>
      <c r="I909" t="n">
        <v>0</v>
      </c>
      <c r="J909" t="n">
        <v>0</v>
      </c>
      <c r="K909" t="n">
        <v>0</v>
      </c>
      <c r="L909" t="n">
        <v>0</v>
      </c>
      <c r="M909" t="n">
        <v>0</v>
      </c>
      <c r="N909" t="n">
        <v>0</v>
      </c>
      <c r="O909" t="n">
        <v>0</v>
      </c>
      <c r="P909" t="n">
        <v>0</v>
      </c>
      <c r="Q909" t="n">
        <v>0</v>
      </c>
      <c r="R909" s="2" t="inlineStr"/>
    </row>
    <row r="910" ht="15" customHeight="1">
      <c r="A910" t="inlineStr">
        <is>
          <t>A 14614-2024</t>
        </is>
      </c>
      <c r="B910" s="1" t="n">
        <v>45397</v>
      </c>
      <c r="C910" s="1" t="n">
        <v>45754</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14661-2024</t>
        </is>
      </c>
      <c r="B911" s="1" t="n">
        <v>45397</v>
      </c>
      <c r="C911" s="1" t="n">
        <v>45754</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14688-2024</t>
        </is>
      </c>
      <c r="B912" s="1" t="n">
        <v>45397</v>
      </c>
      <c r="C912" s="1" t="n">
        <v>45754</v>
      </c>
      <c r="D912" t="inlineStr">
        <is>
          <t>DALARNAS LÄN</t>
        </is>
      </c>
      <c r="E912" t="inlineStr">
        <is>
          <t>LEKSAND</t>
        </is>
      </c>
      <c r="G912" t="n">
        <v>3.2</v>
      </c>
      <c r="H912" t="n">
        <v>0</v>
      </c>
      <c r="I912" t="n">
        <v>0</v>
      </c>
      <c r="J912" t="n">
        <v>0</v>
      </c>
      <c r="K912" t="n">
        <v>0</v>
      </c>
      <c r="L912" t="n">
        <v>0</v>
      </c>
      <c r="M912" t="n">
        <v>0</v>
      </c>
      <c r="N912" t="n">
        <v>0</v>
      </c>
      <c r="O912" t="n">
        <v>0</v>
      </c>
      <c r="P912" t="n">
        <v>0</v>
      </c>
      <c r="Q912" t="n">
        <v>0</v>
      </c>
      <c r="R912" s="2" t="inlineStr"/>
    </row>
    <row r="913" ht="15" customHeight="1">
      <c r="A913" t="inlineStr">
        <is>
          <t>A 14792-2024</t>
        </is>
      </c>
      <c r="B913" s="1" t="n">
        <v>45397</v>
      </c>
      <c r="C913" s="1" t="n">
        <v>45754</v>
      </c>
      <c r="D913" t="inlineStr">
        <is>
          <t>DALARNAS LÄN</t>
        </is>
      </c>
      <c r="E913" t="inlineStr">
        <is>
          <t>LEKSAND</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14617-2024</t>
        </is>
      </c>
      <c r="B914" s="1" t="n">
        <v>45397</v>
      </c>
      <c r="C914" s="1" t="n">
        <v>45754</v>
      </c>
      <c r="D914" t="inlineStr">
        <is>
          <t>DALARNAS LÄN</t>
        </is>
      </c>
      <c r="E914" t="inlineStr">
        <is>
          <t>LEKSAND</t>
        </is>
      </c>
      <c r="G914" t="n">
        <v>0.2</v>
      </c>
      <c r="H914" t="n">
        <v>0</v>
      </c>
      <c r="I914" t="n">
        <v>0</v>
      </c>
      <c r="J914" t="n">
        <v>0</v>
      </c>
      <c r="K914" t="n">
        <v>0</v>
      </c>
      <c r="L914" t="n">
        <v>0</v>
      </c>
      <c r="M914" t="n">
        <v>0</v>
      </c>
      <c r="N914" t="n">
        <v>0</v>
      </c>
      <c r="O914" t="n">
        <v>0</v>
      </c>
      <c r="P914" t="n">
        <v>0</v>
      </c>
      <c r="Q914" t="n">
        <v>0</v>
      </c>
      <c r="R914" s="2" t="inlineStr"/>
    </row>
    <row r="915" ht="15" customHeight="1">
      <c r="A915" t="inlineStr">
        <is>
          <t>A 14659-2024</t>
        </is>
      </c>
      <c r="B915" s="1" t="n">
        <v>45397</v>
      </c>
      <c r="C915" s="1" t="n">
        <v>45754</v>
      </c>
      <c r="D915" t="inlineStr">
        <is>
          <t>DALARNAS LÄN</t>
        </is>
      </c>
      <c r="E915" t="inlineStr">
        <is>
          <t>LEKSAND</t>
        </is>
      </c>
      <c r="G915" t="n">
        <v>1.2</v>
      </c>
      <c r="H915" t="n">
        <v>0</v>
      </c>
      <c r="I915" t="n">
        <v>0</v>
      </c>
      <c r="J915" t="n">
        <v>0</v>
      </c>
      <c r="K915" t="n">
        <v>0</v>
      </c>
      <c r="L915" t="n">
        <v>0</v>
      </c>
      <c r="M915" t="n">
        <v>0</v>
      </c>
      <c r="N915" t="n">
        <v>0</v>
      </c>
      <c r="O915" t="n">
        <v>0</v>
      </c>
      <c r="P915" t="n">
        <v>0</v>
      </c>
      <c r="Q915" t="n">
        <v>0</v>
      </c>
      <c r="R915" s="2" t="inlineStr"/>
    </row>
    <row r="916" ht="15" customHeight="1">
      <c r="A916" t="inlineStr">
        <is>
          <t>A 14908-2024</t>
        </is>
      </c>
      <c r="B916" s="1" t="n">
        <v>45398</v>
      </c>
      <c r="C916" s="1" t="n">
        <v>45754</v>
      </c>
      <c r="D916" t="inlineStr">
        <is>
          <t>DALARNAS LÄN</t>
        </is>
      </c>
      <c r="E916" t="inlineStr">
        <is>
          <t>LEKSAND</t>
        </is>
      </c>
      <c r="F916" t="inlineStr">
        <is>
          <t>Bergvik skog väst AB</t>
        </is>
      </c>
      <c r="G916" t="n">
        <v>1.9</v>
      </c>
      <c r="H916" t="n">
        <v>0</v>
      </c>
      <c r="I916" t="n">
        <v>0</v>
      </c>
      <c r="J916" t="n">
        <v>0</v>
      </c>
      <c r="K916" t="n">
        <v>0</v>
      </c>
      <c r="L916" t="n">
        <v>0</v>
      </c>
      <c r="M916" t="n">
        <v>0</v>
      </c>
      <c r="N916" t="n">
        <v>0</v>
      </c>
      <c r="O916" t="n">
        <v>0</v>
      </c>
      <c r="P916" t="n">
        <v>0</v>
      </c>
      <c r="Q916" t="n">
        <v>0</v>
      </c>
      <c r="R916" s="2" t="inlineStr"/>
    </row>
    <row r="917" ht="15" customHeight="1">
      <c r="A917" t="inlineStr">
        <is>
          <t>A 14957-2024</t>
        </is>
      </c>
      <c r="B917" s="1" t="n">
        <v>45398</v>
      </c>
      <c r="C917" s="1" t="n">
        <v>45754</v>
      </c>
      <c r="D917" t="inlineStr">
        <is>
          <t>DALARNAS LÄN</t>
        </is>
      </c>
      <c r="E917" t="inlineStr">
        <is>
          <t>LEKSAND</t>
        </is>
      </c>
      <c r="G917" t="n">
        <v>11.5</v>
      </c>
      <c r="H917" t="n">
        <v>0</v>
      </c>
      <c r="I917" t="n">
        <v>0</v>
      </c>
      <c r="J917" t="n">
        <v>0</v>
      </c>
      <c r="K917" t="n">
        <v>0</v>
      </c>
      <c r="L917" t="n">
        <v>0</v>
      </c>
      <c r="M917" t="n">
        <v>0</v>
      </c>
      <c r="N917" t="n">
        <v>0</v>
      </c>
      <c r="O917" t="n">
        <v>0</v>
      </c>
      <c r="P917" t="n">
        <v>0</v>
      </c>
      <c r="Q917" t="n">
        <v>0</v>
      </c>
      <c r="R917" s="2" t="inlineStr"/>
    </row>
    <row r="918" ht="15" customHeight="1">
      <c r="A918" t="inlineStr">
        <is>
          <t>A 14903-2024</t>
        </is>
      </c>
      <c r="B918" s="1" t="n">
        <v>45398</v>
      </c>
      <c r="C918" s="1" t="n">
        <v>45754</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15621-2024</t>
        </is>
      </c>
      <c r="B919" s="1" t="n">
        <v>45402</v>
      </c>
      <c r="C919" s="1" t="n">
        <v>45754</v>
      </c>
      <c r="D919" t="inlineStr">
        <is>
          <t>DALARNAS LÄN</t>
        </is>
      </c>
      <c r="E919" t="inlineStr">
        <is>
          <t>LEKSAND</t>
        </is>
      </c>
      <c r="G919" t="n">
        <v>1.6</v>
      </c>
      <c r="H919" t="n">
        <v>0</v>
      </c>
      <c r="I919" t="n">
        <v>0</v>
      </c>
      <c r="J919" t="n">
        <v>0</v>
      </c>
      <c r="K919" t="n">
        <v>0</v>
      </c>
      <c r="L919" t="n">
        <v>0</v>
      </c>
      <c r="M919" t="n">
        <v>0</v>
      </c>
      <c r="N919" t="n">
        <v>0</v>
      </c>
      <c r="O919" t="n">
        <v>0</v>
      </c>
      <c r="P919" t="n">
        <v>0</v>
      </c>
      <c r="Q919" t="n">
        <v>0</v>
      </c>
      <c r="R919" s="2" t="inlineStr"/>
    </row>
    <row r="920" ht="15" customHeight="1">
      <c r="A920" t="inlineStr">
        <is>
          <t>A 15680-2024</t>
        </is>
      </c>
      <c r="B920" s="1" t="n">
        <v>45404</v>
      </c>
      <c r="C920" s="1" t="n">
        <v>45754</v>
      </c>
      <c r="D920" t="inlineStr">
        <is>
          <t>DALARNAS LÄN</t>
        </is>
      </c>
      <c r="E920" t="inlineStr">
        <is>
          <t>LEKSAND</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15681-2024</t>
        </is>
      </c>
      <c r="B921" s="1" t="n">
        <v>45404</v>
      </c>
      <c r="C921" s="1" t="n">
        <v>45754</v>
      </c>
      <c r="D921" t="inlineStr">
        <is>
          <t>DALARNAS LÄN</t>
        </is>
      </c>
      <c r="E921" t="inlineStr">
        <is>
          <t>LEKSAND</t>
        </is>
      </c>
      <c r="G921" t="n">
        <v>1.7</v>
      </c>
      <c r="H921" t="n">
        <v>0</v>
      </c>
      <c r="I921" t="n">
        <v>0</v>
      </c>
      <c r="J921" t="n">
        <v>0</v>
      </c>
      <c r="K921" t="n">
        <v>0</v>
      </c>
      <c r="L921" t="n">
        <v>0</v>
      </c>
      <c r="M921" t="n">
        <v>0</v>
      </c>
      <c r="N921" t="n">
        <v>0</v>
      </c>
      <c r="O921" t="n">
        <v>0</v>
      </c>
      <c r="P921" t="n">
        <v>0</v>
      </c>
      <c r="Q921" t="n">
        <v>0</v>
      </c>
      <c r="R921" s="2" t="inlineStr"/>
    </row>
    <row r="922" ht="15" customHeight="1">
      <c r="A922" t="inlineStr">
        <is>
          <t>A 15808-2024</t>
        </is>
      </c>
      <c r="B922" s="1" t="n">
        <v>45404</v>
      </c>
      <c r="C922" s="1" t="n">
        <v>45754</v>
      </c>
      <c r="D922" t="inlineStr">
        <is>
          <t>DALARNAS LÄN</t>
        </is>
      </c>
      <c r="E922" t="inlineStr">
        <is>
          <t>LEKSAND</t>
        </is>
      </c>
      <c r="G922" t="n">
        <v>2.8</v>
      </c>
      <c r="H922" t="n">
        <v>0</v>
      </c>
      <c r="I922" t="n">
        <v>0</v>
      </c>
      <c r="J922" t="n">
        <v>0</v>
      </c>
      <c r="K922" t="n">
        <v>0</v>
      </c>
      <c r="L922" t="n">
        <v>0</v>
      </c>
      <c r="M922" t="n">
        <v>0</v>
      </c>
      <c r="N922" t="n">
        <v>0</v>
      </c>
      <c r="O922" t="n">
        <v>0</v>
      </c>
      <c r="P922" t="n">
        <v>0</v>
      </c>
      <c r="Q922" t="n">
        <v>0</v>
      </c>
      <c r="R922" s="2" t="inlineStr"/>
    </row>
    <row r="923" ht="15" customHeight="1">
      <c r="A923" t="inlineStr">
        <is>
          <t>A 16197-2024</t>
        </is>
      </c>
      <c r="B923" s="1" t="n">
        <v>45406</v>
      </c>
      <c r="C923" s="1" t="n">
        <v>45754</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16265-2024</t>
        </is>
      </c>
      <c r="B924" s="1" t="n">
        <v>45407</v>
      </c>
      <c r="C924" s="1" t="n">
        <v>45754</v>
      </c>
      <c r="D924" t="inlineStr">
        <is>
          <t>DALARNAS LÄN</t>
        </is>
      </c>
      <c r="E924" t="inlineStr">
        <is>
          <t>LEKSAND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16417-2024</t>
        </is>
      </c>
      <c r="B925" s="1" t="n">
        <v>45407</v>
      </c>
      <c r="C925" s="1" t="n">
        <v>45754</v>
      </c>
      <c r="D925" t="inlineStr">
        <is>
          <t>DALARNAS LÄN</t>
        </is>
      </c>
      <c r="E925" t="inlineStr">
        <is>
          <t>LEKSAND</t>
        </is>
      </c>
      <c r="F925" t="inlineStr">
        <is>
          <t>Bergvik skog väst AB</t>
        </is>
      </c>
      <c r="G925" t="n">
        <v>17.4</v>
      </c>
      <c r="H925" t="n">
        <v>0</v>
      </c>
      <c r="I925" t="n">
        <v>0</v>
      </c>
      <c r="J925" t="n">
        <v>0</v>
      </c>
      <c r="K925" t="n">
        <v>0</v>
      </c>
      <c r="L925" t="n">
        <v>0</v>
      </c>
      <c r="M925" t="n">
        <v>0</v>
      </c>
      <c r="N925" t="n">
        <v>0</v>
      </c>
      <c r="O925" t="n">
        <v>0</v>
      </c>
      <c r="P925" t="n">
        <v>0</v>
      </c>
      <c r="Q925" t="n">
        <v>0</v>
      </c>
      <c r="R925" s="2" t="inlineStr"/>
    </row>
    <row r="926" ht="15" customHeight="1">
      <c r="A926" t="inlineStr">
        <is>
          <t>A 16264-2024</t>
        </is>
      </c>
      <c r="B926" s="1" t="n">
        <v>45407</v>
      </c>
      <c r="C926" s="1" t="n">
        <v>45754</v>
      </c>
      <c r="D926" t="inlineStr">
        <is>
          <t>DALARNAS LÄN</t>
        </is>
      </c>
      <c r="E926" t="inlineStr">
        <is>
          <t>LEKSAND</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16420-2024</t>
        </is>
      </c>
      <c r="B927" s="1" t="n">
        <v>45407</v>
      </c>
      <c r="C927" s="1" t="n">
        <v>45754</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16581-2024</t>
        </is>
      </c>
      <c r="B928" s="1" t="n">
        <v>45408</v>
      </c>
      <c r="C928" s="1" t="n">
        <v>45754</v>
      </c>
      <c r="D928" t="inlineStr">
        <is>
          <t>DALARNAS LÄN</t>
        </is>
      </c>
      <c r="E928" t="inlineStr">
        <is>
          <t>LEKSAND</t>
        </is>
      </c>
      <c r="G928" t="n">
        <v>2.6</v>
      </c>
      <c r="H928" t="n">
        <v>0</v>
      </c>
      <c r="I928" t="n">
        <v>0</v>
      </c>
      <c r="J928" t="n">
        <v>0</v>
      </c>
      <c r="K928" t="n">
        <v>0</v>
      </c>
      <c r="L928" t="n">
        <v>0</v>
      </c>
      <c r="M928" t="n">
        <v>0</v>
      </c>
      <c r="N928" t="n">
        <v>0</v>
      </c>
      <c r="O928" t="n">
        <v>0</v>
      </c>
      <c r="P928" t="n">
        <v>0</v>
      </c>
      <c r="Q928" t="n">
        <v>0</v>
      </c>
      <c r="R928" s="2" t="inlineStr"/>
    </row>
    <row r="929" ht="15" customHeight="1">
      <c r="A929" t="inlineStr">
        <is>
          <t>A 16611-2024</t>
        </is>
      </c>
      <c r="B929" s="1" t="n">
        <v>45408</v>
      </c>
      <c r="C929" s="1" t="n">
        <v>45754</v>
      </c>
      <c r="D929" t="inlineStr">
        <is>
          <t>DALARNAS LÄN</t>
        </is>
      </c>
      <c r="E929" t="inlineStr">
        <is>
          <t>LEKSAND</t>
        </is>
      </c>
      <c r="G929" t="n">
        <v>5.9</v>
      </c>
      <c r="H929" t="n">
        <v>0</v>
      </c>
      <c r="I929" t="n">
        <v>0</v>
      </c>
      <c r="J929" t="n">
        <v>0</v>
      </c>
      <c r="K929" t="n">
        <v>0</v>
      </c>
      <c r="L929" t="n">
        <v>0</v>
      </c>
      <c r="M929" t="n">
        <v>0</v>
      </c>
      <c r="N929" t="n">
        <v>0</v>
      </c>
      <c r="O929" t="n">
        <v>0</v>
      </c>
      <c r="P929" t="n">
        <v>0</v>
      </c>
      <c r="Q929" t="n">
        <v>0</v>
      </c>
      <c r="R929" s="2" t="inlineStr"/>
    </row>
    <row r="930" ht="15" customHeight="1">
      <c r="A930" t="inlineStr">
        <is>
          <t>A 16894-2024</t>
        </is>
      </c>
      <c r="B930" s="1" t="n">
        <v>45411</v>
      </c>
      <c r="C930" s="1" t="n">
        <v>45754</v>
      </c>
      <c r="D930" t="inlineStr">
        <is>
          <t>DALARNAS LÄN</t>
        </is>
      </c>
      <c r="E930" t="inlineStr">
        <is>
          <t>LEKSAND</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17198-2024</t>
        </is>
      </c>
      <c r="B931" s="1" t="n">
        <v>45413</v>
      </c>
      <c r="C931" s="1" t="n">
        <v>45754</v>
      </c>
      <c r="D931" t="inlineStr">
        <is>
          <t>DALARNAS LÄN</t>
        </is>
      </c>
      <c r="E931" t="inlineStr">
        <is>
          <t>LEKSAND</t>
        </is>
      </c>
      <c r="G931" t="n">
        <v>4.8</v>
      </c>
      <c r="H931" t="n">
        <v>0</v>
      </c>
      <c r="I931" t="n">
        <v>0</v>
      </c>
      <c r="J931" t="n">
        <v>0</v>
      </c>
      <c r="K931" t="n">
        <v>0</v>
      </c>
      <c r="L931" t="n">
        <v>0</v>
      </c>
      <c r="M931" t="n">
        <v>0</v>
      </c>
      <c r="N931" t="n">
        <v>0</v>
      </c>
      <c r="O931" t="n">
        <v>0</v>
      </c>
      <c r="P931" t="n">
        <v>0</v>
      </c>
      <c r="Q931" t="n">
        <v>0</v>
      </c>
      <c r="R931" s="2" t="inlineStr"/>
    </row>
    <row r="932" ht="15" customHeight="1">
      <c r="A932" t="inlineStr">
        <is>
          <t>A 17353-2024</t>
        </is>
      </c>
      <c r="B932" s="1" t="n">
        <v>45414</v>
      </c>
      <c r="C932" s="1" t="n">
        <v>45754</v>
      </c>
      <c r="D932" t="inlineStr">
        <is>
          <t>DALARNAS LÄN</t>
        </is>
      </c>
      <c r="E932" t="inlineStr">
        <is>
          <t>LEKSAND</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17606-2024</t>
        </is>
      </c>
      <c r="B933" s="1" t="n">
        <v>45415</v>
      </c>
      <c r="C933" s="1" t="n">
        <v>45754</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17796-2024</t>
        </is>
      </c>
      <c r="B934" s="1" t="n">
        <v>45418</v>
      </c>
      <c r="C934" s="1" t="n">
        <v>45754</v>
      </c>
      <c r="D934" t="inlineStr">
        <is>
          <t>DALARNAS LÄN</t>
        </is>
      </c>
      <c r="E934" t="inlineStr">
        <is>
          <t>LEKSAND</t>
        </is>
      </c>
      <c r="G934" t="n">
        <v>3.4</v>
      </c>
      <c r="H934" t="n">
        <v>0</v>
      </c>
      <c r="I934" t="n">
        <v>0</v>
      </c>
      <c r="J934" t="n">
        <v>0</v>
      </c>
      <c r="K934" t="n">
        <v>0</v>
      </c>
      <c r="L934" t="n">
        <v>0</v>
      </c>
      <c r="M934" t="n">
        <v>0</v>
      </c>
      <c r="N934" t="n">
        <v>0</v>
      </c>
      <c r="O934" t="n">
        <v>0</v>
      </c>
      <c r="P934" t="n">
        <v>0</v>
      </c>
      <c r="Q934" t="n">
        <v>0</v>
      </c>
      <c r="R934" s="2" t="inlineStr"/>
    </row>
    <row r="935" ht="15" customHeight="1">
      <c r="A935" t="inlineStr">
        <is>
          <t>A 17726-2024</t>
        </is>
      </c>
      <c r="B935" s="1" t="n">
        <v>45418</v>
      </c>
      <c r="C935" s="1" t="n">
        <v>45754</v>
      </c>
      <c r="D935" t="inlineStr">
        <is>
          <t>DALARNAS LÄN</t>
        </is>
      </c>
      <c r="E935" t="inlineStr">
        <is>
          <t>LEKSAND</t>
        </is>
      </c>
      <c r="G935" t="n">
        <v>5.2</v>
      </c>
      <c r="H935" t="n">
        <v>0</v>
      </c>
      <c r="I935" t="n">
        <v>0</v>
      </c>
      <c r="J935" t="n">
        <v>0</v>
      </c>
      <c r="K935" t="n">
        <v>0</v>
      </c>
      <c r="L935" t="n">
        <v>0</v>
      </c>
      <c r="M935" t="n">
        <v>0</v>
      </c>
      <c r="N935" t="n">
        <v>0</v>
      </c>
      <c r="O935" t="n">
        <v>0</v>
      </c>
      <c r="P935" t="n">
        <v>0</v>
      </c>
      <c r="Q935" t="n">
        <v>0</v>
      </c>
      <c r="R935" s="2" t="inlineStr"/>
    </row>
    <row r="936" ht="15" customHeight="1">
      <c r="A936" t="inlineStr">
        <is>
          <t>A 17730-2024</t>
        </is>
      </c>
      <c r="B936" s="1" t="n">
        <v>45418</v>
      </c>
      <c r="C936" s="1" t="n">
        <v>45754</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17938-2024</t>
        </is>
      </c>
      <c r="B937" s="1" t="n">
        <v>45419</v>
      </c>
      <c r="C937" s="1" t="n">
        <v>45754</v>
      </c>
      <c r="D937" t="inlineStr">
        <is>
          <t>DALARNAS LÄN</t>
        </is>
      </c>
      <c r="E937" t="inlineStr">
        <is>
          <t>LEKSAND</t>
        </is>
      </c>
      <c r="G937" t="n">
        <v>3.8</v>
      </c>
      <c r="H937" t="n">
        <v>0</v>
      </c>
      <c r="I937" t="n">
        <v>0</v>
      </c>
      <c r="J937" t="n">
        <v>0</v>
      </c>
      <c r="K937" t="n">
        <v>0</v>
      </c>
      <c r="L937" t="n">
        <v>0</v>
      </c>
      <c r="M937" t="n">
        <v>0</v>
      </c>
      <c r="N937" t="n">
        <v>0</v>
      </c>
      <c r="O937" t="n">
        <v>0</v>
      </c>
      <c r="P937" t="n">
        <v>0</v>
      </c>
      <c r="Q937" t="n">
        <v>0</v>
      </c>
      <c r="R937" s="2" t="inlineStr"/>
    </row>
    <row r="938" ht="15" customHeight="1">
      <c r="A938" t="inlineStr">
        <is>
          <t>A 17944-2024</t>
        </is>
      </c>
      <c r="B938" s="1" t="n">
        <v>45419</v>
      </c>
      <c r="C938" s="1" t="n">
        <v>45754</v>
      </c>
      <c r="D938" t="inlineStr">
        <is>
          <t>DALARNAS LÄN</t>
        </is>
      </c>
      <c r="E938" t="inlineStr">
        <is>
          <t>LEKSAND</t>
        </is>
      </c>
      <c r="G938" t="n">
        <v>2.9</v>
      </c>
      <c r="H938" t="n">
        <v>0</v>
      </c>
      <c r="I938" t="n">
        <v>0</v>
      </c>
      <c r="J938" t="n">
        <v>0</v>
      </c>
      <c r="K938" t="n">
        <v>0</v>
      </c>
      <c r="L938" t="n">
        <v>0</v>
      </c>
      <c r="M938" t="n">
        <v>0</v>
      </c>
      <c r="N938" t="n">
        <v>0</v>
      </c>
      <c r="O938" t="n">
        <v>0</v>
      </c>
      <c r="P938" t="n">
        <v>0</v>
      </c>
      <c r="Q938" t="n">
        <v>0</v>
      </c>
      <c r="R938" s="2" t="inlineStr"/>
    </row>
    <row r="939" ht="15" customHeight="1">
      <c r="A939" t="inlineStr">
        <is>
          <t>A 18040-2024</t>
        </is>
      </c>
      <c r="B939" s="1" t="n">
        <v>45420</v>
      </c>
      <c r="C939" s="1" t="n">
        <v>45754</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18176-2024</t>
        </is>
      </c>
      <c r="B940" s="1" t="n">
        <v>45420</v>
      </c>
      <c r="C940" s="1" t="n">
        <v>45754</v>
      </c>
      <c r="D940" t="inlineStr">
        <is>
          <t>DALARNAS LÄN</t>
        </is>
      </c>
      <c r="E940" t="inlineStr">
        <is>
          <t>LEKSAND</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18484-2024</t>
        </is>
      </c>
      <c r="B941" s="1" t="n">
        <v>45425</v>
      </c>
      <c r="C941" s="1" t="n">
        <v>45754</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18481-2024</t>
        </is>
      </c>
      <c r="B942" s="1" t="n">
        <v>45425</v>
      </c>
      <c r="C942" s="1" t="n">
        <v>45754</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18483-2024</t>
        </is>
      </c>
      <c r="B943" s="1" t="n">
        <v>45425</v>
      </c>
      <c r="C943" s="1" t="n">
        <v>45754</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18791-2024</t>
        </is>
      </c>
      <c r="B944" s="1" t="n">
        <v>45426</v>
      </c>
      <c r="C944" s="1" t="n">
        <v>45754</v>
      </c>
      <c r="D944" t="inlineStr">
        <is>
          <t>DALARNAS LÄN</t>
        </is>
      </c>
      <c r="E944" t="inlineStr">
        <is>
          <t>LEKSAND</t>
        </is>
      </c>
      <c r="G944" t="n">
        <v>2.2</v>
      </c>
      <c r="H944" t="n">
        <v>0</v>
      </c>
      <c r="I944" t="n">
        <v>0</v>
      </c>
      <c r="J944" t="n">
        <v>0</v>
      </c>
      <c r="K944" t="n">
        <v>0</v>
      </c>
      <c r="L944" t="n">
        <v>0</v>
      </c>
      <c r="M944" t="n">
        <v>0</v>
      </c>
      <c r="N944" t="n">
        <v>0</v>
      </c>
      <c r="O944" t="n">
        <v>0</v>
      </c>
      <c r="P944" t="n">
        <v>0</v>
      </c>
      <c r="Q944" t="n">
        <v>0</v>
      </c>
      <c r="R944" s="2" t="inlineStr"/>
    </row>
    <row r="945" ht="15" customHeight="1">
      <c r="A945" t="inlineStr">
        <is>
          <t>A 19075-2024</t>
        </is>
      </c>
      <c r="B945" s="1" t="n">
        <v>45428</v>
      </c>
      <c r="C945" s="1" t="n">
        <v>45754</v>
      </c>
      <c r="D945" t="inlineStr">
        <is>
          <t>DALARNAS LÄN</t>
        </is>
      </c>
      <c r="E945" t="inlineStr">
        <is>
          <t>LEKSAND</t>
        </is>
      </c>
      <c r="G945" t="n">
        <v>4.9</v>
      </c>
      <c r="H945" t="n">
        <v>0</v>
      </c>
      <c r="I945" t="n">
        <v>0</v>
      </c>
      <c r="J945" t="n">
        <v>0</v>
      </c>
      <c r="K945" t="n">
        <v>0</v>
      </c>
      <c r="L945" t="n">
        <v>0</v>
      </c>
      <c r="M945" t="n">
        <v>0</v>
      </c>
      <c r="N945" t="n">
        <v>0</v>
      </c>
      <c r="O945" t="n">
        <v>0</v>
      </c>
      <c r="P945" t="n">
        <v>0</v>
      </c>
      <c r="Q945" t="n">
        <v>0</v>
      </c>
      <c r="R945" s="2" t="inlineStr"/>
    </row>
    <row r="946" ht="15" customHeight="1">
      <c r="A946" t="inlineStr">
        <is>
          <t>A 18991-2024</t>
        </is>
      </c>
      <c r="B946" s="1" t="n">
        <v>45427</v>
      </c>
      <c r="C946" s="1" t="n">
        <v>45754</v>
      </c>
      <c r="D946" t="inlineStr">
        <is>
          <t>DALARNAS LÄN</t>
        </is>
      </c>
      <c r="E946" t="inlineStr">
        <is>
          <t>LEKSAND</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19295-2024</t>
        </is>
      </c>
      <c r="B947" s="1" t="n">
        <v>45428</v>
      </c>
      <c r="C947" s="1" t="n">
        <v>45754</v>
      </c>
      <c r="D947" t="inlineStr">
        <is>
          <t>DALARNAS LÄN</t>
        </is>
      </c>
      <c r="E947" t="inlineStr">
        <is>
          <t>LEKSAND</t>
        </is>
      </c>
      <c r="G947" t="n">
        <v>1.6</v>
      </c>
      <c r="H947" t="n">
        <v>0</v>
      </c>
      <c r="I947" t="n">
        <v>0</v>
      </c>
      <c r="J947" t="n">
        <v>0</v>
      </c>
      <c r="K947" t="n">
        <v>0</v>
      </c>
      <c r="L947" t="n">
        <v>0</v>
      </c>
      <c r="M947" t="n">
        <v>0</v>
      </c>
      <c r="N947" t="n">
        <v>0</v>
      </c>
      <c r="O947" t="n">
        <v>0</v>
      </c>
      <c r="P947" t="n">
        <v>0</v>
      </c>
      <c r="Q947" t="n">
        <v>0</v>
      </c>
      <c r="R947" s="2" t="inlineStr"/>
    </row>
    <row r="948" ht="15" customHeight="1">
      <c r="A948" t="inlineStr">
        <is>
          <t>A 19296-2024</t>
        </is>
      </c>
      <c r="B948" s="1" t="n">
        <v>45428</v>
      </c>
      <c r="C948" s="1" t="n">
        <v>45754</v>
      </c>
      <c r="D948" t="inlineStr">
        <is>
          <t>DALARNAS LÄN</t>
        </is>
      </c>
      <c r="E948" t="inlineStr">
        <is>
          <t>LEKSAND</t>
        </is>
      </c>
      <c r="G948" t="n">
        <v>2.4</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v>
      </c>
      <c r="C949" s="1" t="n">
        <v>45754</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19670-2024</t>
        </is>
      </c>
      <c r="B950" s="1" t="n">
        <v>45432</v>
      </c>
      <c r="C950" s="1" t="n">
        <v>45754</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19738-2024</t>
        </is>
      </c>
      <c r="B951" s="1" t="n">
        <v>45432</v>
      </c>
      <c r="C951" s="1" t="n">
        <v>45754</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19741-2024</t>
        </is>
      </c>
      <c r="B952" s="1" t="n">
        <v>45432</v>
      </c>
      <c r="C952" s="1" t="n">
        <v>45754</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19618-2024</t>
        </is>
      </c>
      <c r="B953" s="1" t="n">
        <v>45432</v>
      </c>
      <c r="C953" s="1" t="n">
        <v>45754</v>
      </c>
      <c r="D953" t="inlineStr">
        <is>
          <t>DALARNAS LÄN</t>
        </is>
      </c>
      <c r="E953" t="inlineStr">
        <is>
          <t>LEKSAND</t>
        </is>
      </c>
      <c r="G953" t="n">
        <v>1.5</v>
      </c>
      <c r="H953" t="n">
        <v>0</v>
      </c>
      <c r="I953" t="n">
        <v>0</v>
      </c>
      <c r="J953" t="n">
        <v>0</v>
      </c>
      <c r="K953" t="n">
        <v>0</v>
      </c>
      <c r="L953" t="n">
        <v>0</v>
      </c>
      <c r="M953" t="n">
        <v>0</v>
      </c>
      <c r="N953" t="n">
        <v>0</v>
      </c>
      <c r="O953" t="n">
        <v>0</v>
      </c>
      <c r="P953" t="n">
        <v>0</v>
      </c>
      <c r="Q953" t="n">
        <v>0</v>
      </c>
      <c r="R953" s="2" t="inlineStr"/>
    </row>
    <row r="954" ht="15" customHeight="1">
      <c r="A954" t="inlineStr">
        <is>
          <t>A 19622-2024</t>
        </is>
      </c>
      <c r="B954" s="1" t="n">
        <v>45432</v>
      </c>
      <c r="C954" s="1" t="n">
        <v>45754</v>
      </c>
      <c r="D954" t="inlineStr">
        <is>
          <t>DALARNAS LÄN</t>
        </is>
      </c>
      <c r="E954" t="inlineStr">
        <is>
          <t>LEKSAND</t>
        </is>
      </c>
      <c r="G954" t="n">
        <v>1.3</v>
      </c>
      <c r="H954" t="n">
        <v>0</v>
      </c>
      <c r="I954" t="n">
        <v>0</v>
      </c>
      <c r="J954" t="n">
        <v>0</v>
      </c>
      <c r="K954" t="n">
        <v>0</v>
      </c>
      <c r="L954" t="n">
        <v>0</v>
      </c>
      <c r="M954" t="n">
        <v>0</v>
      </c>
      <c r="N954" t="n">
        <v>0</v>
      </c>
      <c r="O954" t="n">
        <v>0</v>
      </c>
      <c r="P954" t="n">
        <v>0</v>
      </c>
      <c r="Q954" t="n">
        <v>0</v>
      </c>
      <c r="R954" s="2" t="inlineStr"/>
    </row>
    <row r="955" ht="15" customHeight="1">
      <c r="A955" t="inlineStr">
        <is>
          <t>A 19820-2024</t>
        </is>
      </c>
      <c r="B955" s="1" t="n">
        <v>45433</v>
      </c>
      <c r="C955" s="1" t="n">
        <v>45754</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19823-2024</t>
        </is>
      </c>
      <c r="B956" s="1" t="n">
        <v>45433</v>
      </c>
      <c r="C956" s="1" t="n">
        <v>45754</v>
      </c>
      <c r="D956" t="inlineStr">
        <is>
          <t>DALARNAS LÄN</t>
        </is>
      </c>
      <c r="E956" t="inlineStr">
        <is>
          <t>LEKSAND</t>
        </is>
      </c>
      <c r="G956" t="n">
        <v>0.3</v>
      </c>
      <c r="H956" t="n">
        <v>0</v>
      </c>
      <c r="I956" t="n">
        <v>0</v>
      </c>
      <c r="J956" t="n">
        <v>0</v>
      </c>
      <c r="K956" t="n">
        <v>0</v>
      </c>
      <c r="L956" t="n">
        <v>0</v>
      </c>
      <c r="M956" t="n">
        <v>0</v>
      </c>
      <c r="N956" t="n">
        <v>0</v>
      </c>
      <c r="O956" t="n">
        <v>0</v>
      </c>
      <c r="P956" t="n">
        <v>0</v>
      </c>
      <c r="Q956" t="n">
        <v>0</v>
      </c>
      <c r="R956" s="2" t="inlineStr"/>
    </row>
    <row r="957" ht="15" customHeight="1">
      <c r="A957" t="inlineStr">
        <is>
          <t>A 20110-2024</t>
        </is>
      </c>
      <c r="B957" s="1" t="n">
        <v>45434</v>
      </c>
      <c r="C957" s="1" t="n">
        <v>45754</v>
      </c>
      <c r="D957" t="inlineStr">
        <is>
          <t>DALARNAS LÄN</t>
        </is>
      </c>
      <c r="E957" t="inlineStr">
        <is>
          <t>LEKSAND</t>
        </is>
      </c>
      <c r="G957" t="n">
        <v>1.8</v>
      </c>
      <c r="H957" t="n">
        <v>0</v>
      </c>
      <c r="I957" t="n">
        <v>0</v>
      </c>
      <c r="J957" t="n">
        <v>0</v>
      </c>
      <c r="K957" t="n">
        <v>0</v>
      </c>
      <c r="L957" t="n">
        <v>0</v>
      </c>
      <c r="M957" t="n">
        <v>0</v>
      </c>
      <c r="N957" t="n">
        <v>0</v>
      </c>
      <c r="O957" t="n">
        <v>0</v>
      </c>
      <c r="P957" t="n">
        <v>0</v>
      </c>
      <c r="Q957" t="n">
        <v>0</v>
      </c>
      <c r="R957" s="2" t="inlineStr"/>
    </row>
    <row r="958" ht="15" customHeight="1">
      <c r="A958" t="inlineStr">
        <is>
          <t>A 20590-2024</t>
        </is>
      </c>
      <c r="B958" s="1" t="n">
        <v>45436</v>
      </c>
      <c r="C958" s="1" t="n">
        <v>45754</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20588-2024</t>
        </is>
      </c>
      <c r="B959" s="1" t="n">
        <v>45436</v>
      </c>
      <c r="C959" s="1" t="n">
        <v>45754</v>
      </c>
      <c r="D959" t="inlineStr">
        <is>
          <t>DALARNAS LÄN</t>
        </is>
      </c>
      <c r="E959" t="inlineStr">
        <is>
          <t>LEKSAND</t>
        </is>
      </c>
      <c r="F959" t="inlineStr">
        <is>
          <t>Bergvik skog väst AB</t>
        </is>
      </c>
      <c r="G959" t="n">
        <v>34.4</v>
      </c>
      <c r="H959" t="n">
        <v>0</v>
      </c>
      <c r="I959" t="n">
        <v>0</v>
      </c>
      <c r="J959" t="n">
        <v>0</v>
      </c>
      <c r="K959" t="n">
        <v>0</v>
      </c>
      <c r="L959" t="n">
        <v>0</v>
      </c>
      <c r="M959" t="n">
        <v>0</v>
      </c>
      <c r="N959" t="n">
        <v>0</v>
      </c>
      <c r="O959" t="n">
        <v>0</v>
      </c>
      <c r="P959" t="n">
        <v>0</v>
      </c>
      <c r="Q959" t="n">
        <v>0</v>
      </c>
      <c r="R959" s="2" t="inlineStr"/>
    </row>
    <row r="960" ht="15" customHeight="1">
      <c r="A960" t="inlineStr">
        <is>
          <t>A 20718-2024</t>
        </is>
      </c>
      <c r="B960" s="1" t="n">
        <v>45436</v>
      </c>
      <c r="C960" s="1" t="n">
        <v>45754</v>
      </c>
      <c r="D960" t="inlineStr">
        <is>
          <t>DALARNAS LÄN</t>
        </is>
      </c>
      <c r="E960" t="inlineStr">
        <is>
          <t>LEKSAND</t>
        </is>
      </c>
      <c r="F960" t="inlineStr">
        <is>
          <t>Bergvik skog väst AB</t>
        </is>
      </c>
      <c r="G960" t="n">
        <v>4.7</v>
      </c>
      <c r="H960" t="n">
        <v>0</v>
      </c>
      <c r="I960" t="n">
        <v>0</v>
      </c>
      <c r="J960" t="n">
        <v>0</v>
      </c>
      <c r="K960" t="n">
        <v>0</v>
      </c>
      <c r="L960" t="n">
        <v>0</v>
      </c>
      <c r="M960" t="n">
        <v>0</v>
      </c>
      <c r="N960" t="n">
        <v>0</v>
      </c>
      <c r="O960" t="n">
        <v>0</v>
      </c>
      <c r="P960" t="n">
        <v>0</v>
      </c>
      <c r="Q960" t="n">
        <v>0</v>
      </c>
      <c r="R960" s="2" t="inlineStr"/>
    </row>
    <row r="961" ht="15" customHeight="1">
      <c r="A961" t="inlineStr">
        <is>
          <t>A 21017-2024</t>
        </is>
      </c>
      <c r="B961" s="1" t="n">
        <v>45439</v>
      </c>
      <c r="C961" s="1" t="n">
        <v>45754</v>
      </c>
      <c r="D961" t="inlineStr">
        <is>
          <t>DALARNAS LÄN</t>
        </is>
      </c>
      <c r="E961" t="inlineStr">
        <is>
          <t>LEKSAND</t>
        </is>
      </c>
      <c r="G961" t="n">
        <v>2.8</v>
      </c>
      <c r="H961" t="n">
        <v>0</v>
      </c>
      <c r="I961" t="n">
        <v>0</v>
      </c>
      <c r="J961" t="n">
        <v>0</v>
      </c>
      <c r="K961" t="n">
        <v>0</v>
      </c>
      <c r="L961" t="n">
        <v>0</v>
      </c>
      <c r="M961" t="n">
        <v>0</v>
      </c>
      <c r="N961" t="n">
        <v>0</v>
      </c>
      <c r="O961" t="n">
        <v>0</v>
      </c>
      <c r="P961" t="n">
        <v>0</v>
      </c>
      <c r="Q961" t="n">
        <v>0</v>
      </c>
      <c r="R961" s="2" t="inlineStr"/>
    </row>
    <row r="962" ht="15" customHeight="1">
      <c r="A962" t="inlineStr">
        <is>
          <t>A 21035-2024</t>
        </is>
      </c>
      <c r="B962" s="1" t="n">
        <v>45439</v>
      </c>
      <c r="C962" s="1" t="n">
        <v>45754</v>
      </c>
      <c r="D962" t="inlineStr">
        <is>
          <t>DALARNAS LÄN</t>
        </is>
      </c>
      <c r="E962" t="inlineStr">
        <is>
          <t>LEKSAND</t>
        </is>
      </c>
      <c r="G962" t="n">
        <v>11.6</v>
      </c>
      <c r="H962" t="n">
        <v>0</v>
      </c>
      <c r="I962" t="n">
        <v>0</v>
      </c>
      <c r="J962" t="n">
        <v>0</v>
      </c>
      <c r="K962" t="n">
        <v>0</v>
      </c>
      <c r="L962" t="n">
        <v>0</v>
      </c>
      <c r="M962" t="n">
        <v>0</v>
      </c>
      <c r="N962" t="n">
        <v>0</v>
      </c>
      <c r="O962" t="n">
        <v>0</v>
      </c>
      <c r="P962" t="n">
        <v>0</v>
      </c>
      <c r="Q962" t="n">
        <v>0</v>
      </c>
      <c r="R962" s="2" t="inlineStr"/>
    </row>
    <row r="963" ht="15" customHeight="1">
      <c r="A963" t="inlineStr">
        <is>
          <t>A 21556-2024</t>
        </is>
      </c>
      <c r="B963" s="1" t="n">
        <v>45441</v>
      </c>
      <c r="C963" s="1" t="n">
        <v>45754</v>
      </c>
      <c r="D963" t="inlineStr">
        <is>
          <t>DALARNAS LÄN</t>
        </is>
      </c>
      <c r="E963" t="inlineStr">
        <is>
          <t>LEKSAND</t>
        </is>
      </c>
      <c r="G963" t="n">
        <v>2.9</v>
      </c>
      <c r="H963" t="n">
        <v>0</v>
      </c>
      <c r="I963" t="n">
        <v>0</v>
      </c>
      <c r="J963" t="n">
        <v>0</v>
      </c>
      <c r="K963" t="n">
        <v>0</v>
      </c>
      <c r="L963" t="n">
        <v>0</v>
      </c>
      <c r="M963" t="n">
        <v>0</v>
      </c>
      <c r="N963" t="n">
        <v>0</v>
      </c>
      <c r="O963" t="n">
        <v>0</v>
      </c>
      <c r="P963" t="n">
        <v>0</v>
      </c>
      <c r="Q963" t="n">
        <v>0</v>
      </c>
      <c r="R963" s="2" t="inlineStr"/>
    </row>
    <row r="964" ht="15" customHeight="1">
      <c r="A964" t="inlineStr">
        <is>
          <t>A 21676-2024</t>
        </is>
      </c>
      <c r="B964" s="1" t="n">
        <v>45442</v>
      </c>
      <c r="C964" s="1" t="n">
        <v>45754</v>
      </c>
      <c r="D964" t="inlineStr">
        <is>
          <t>DALARNAS LÄN</t>
        </is>
      </c>
      <c r="E964" t="inlineStr">
        <is>
          <t>LEKSAND</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22059-2024</t>
        </is>
      </c>
      <c r="B965" s="1" t="n">
        <v>45443</v>
      </c>
      <c r="C965" s="1" t="n">
        <v>45754</v>
      </c>
      <c r="D965" t="inlineStr">
        <is>
          <t>DALARNAS LÄN</t>
        </is>
      </c>
      <c r="E965" t="inlineStr">
        <is>
          <t>LEKSAND</t>
        </is>
      </c>
      <c r="G965" t="n">
        <v>13.4</v>
      </c>
      <c r="H965" t="n">
        <v>0</v>
      </c>
      <c r="I965" t="n">
        <v>0</v>
      </c>
      <c r="J965" t="n">
        <v>0</v>
      </c>
      <c r="K965" t="n">
        <v>0</v>
      </c>
      <c r="L965" t="n">
        <v>0</v>
      </c>
      <c r="M965" t="n">
        <v>0</v>
      </c>
      <c r="N965" t="n">
        <v>0</v>
      </c>
      <c r="O965" t="n">
        <v>0</v>
      </c>
      <c r="P965" t="n">
        <v>0</v>
      </c>
      <c r="Q965" t="n">
        <v>0</v>
      </c>
      <c r="R965" s="2" t="inlineStr"/>
    </row>
    <row r="966" ht="15" customHeight="1">
      <c r="A966" t="inlineStr">
        <is>
          <t>A 22354-2024</t>
        </is>
      </c>
      <c r="B966" s="1" t="n">
        <v>45446</v>
      </c>
      <c r="C966" s="1" t="n">
        <v>45754</v>
      </c>
      <c r="D966" t="inlineStr">
        <is>
          <t>DALARNAS LÄN</t>
        </is>
      </c>
      <c r="E966" t="inlineStr">
        <is>
          <t>LEKSAND</t>
        </is>
      </c>
      <c r="G966" t="n">
        <v>1</v>
      </c>
      <c r="H966" t="n">
        <v>0</v>
      </c>
      <c r="I966" t="n">
        <v>0</v>
      </c>
      <c r="J966" t="n">
        <v>0</v>
      </c>
      <c r="K966" t="n">
        <v>0</v>
      </c>
      <c r="L966" t="n">
        <v>0</v>
      </c>
      <c r="M966" t="n">
        <v>0</v>
      </c>
      <c r="N966" t="n">
        <v>0</v>
      </c>
      <c r="O966" t="n">
        <v>0</v>
      </c>
      <c r="P966" t="n">
        <v>0</v>
      </c>
      <c r="Q966" t="n">
        <v>0</v>
      </c>
      <c r="R966" s="2" t="inlineStr"/>
    </row>
    <row r="967" ht="15" customHeight="1">
      <c r="A967" t="inlineStr">
        <is>
          <t>A 22388-2024</t>
        </is>
      </c>
      <c r="B967" s="1" t="n">
        <v>45446</v>
      </c>
      <c r="C967" s="1" t="n">
        <v>45754</v>
      </c>
      <c r="D967" t="inlineStr">
        <is>
          <t>DALARNAS LÄN</t>
        </is>
      </c>
      <c r="E967" t="inlineStr">
        <is>
          <t>LEKSAND</t>
        </is>
      </c>
      <c r="F967" t="inlineStr">
        <is>
          <t>Bergvik skog väst AB</t>
        </is>
      </c>
      <c r="G967" t="n">
        <v>5.3</v>
      </c>
      <c r="H967" t="n">
        <v>0</v>
      </c>
      <c r="I967" t="n">
        <v>0</v>
      </c>
      <c r="J967" t="n">
        <v>0</v>
      </c>
      <c r="K967" t="n">
        <v>0</v>
      </c>
      <c r="L967" t="n">
        <v>0</v>
      </c>
      <c r="M967" t="n">
        <v>0</v>
      </c>
      <c r="N967" t="n">
        <v>0</v>
      </c>
      <c r="O967" t="n">
        <v>0</v>
      </c>
      <c r="P967" t="n">
        <v>0</v>
      </c>
      <c r="Q967" t="n">
        <v>0</v>
      </c>
      <c r="R967" s="2" t="inlineStr"/>
    </row>
    <row r="968" ht="15" customHeight="1">
      <c r="A968" t="inlineStr">
        <is>
          <t>A 22349-2024</t>
        </is>
      </c>
      <c r="B968" s="1" t="n">
        <v>45446</v>
      </c>
      <c r="C968" s="1" t="n">
        <v>45754</v>
      </c>
      <c r="D968" t="inlineStr">
        <is>
          <t>DALARNAS LÄN</t>
        </is>
      </c>
      <c r="E968" t="inlineStr">
        <is>
          <t>LEKSAND</t>
        </is>
      </c>
      <c r="G968" t="n">
        <v>0.6</v>
      </c>
      <c r="H968" t="n">
        <v>0</v>
      </c>
      <c r="I968" t="n">
        <v>0</v>
      </c>
      <c r="J968" t="n">
        <v>0</v>
      </c>
      <c r="K968" t="n">
        <v>0</v>
      </c>
      <c r="L968" t="n">
        <v>0</v>
      </c>
      <c r="M968" t="n">
        <v>0</v>
      </c>
      <c r="N968" t="n">
        <v>0</v>
      </c>
      <c r="O968" t="n">
        <v>0</v>
      </c>
      <c r="P968" t="n">
        <v>0</v>
      </c>
      <c r="Q968" t="n">
        <v>0</v>
      </c>
      <c r="R968" s="2" t="inlineStr"/>
    </row>
    <row r="969" ht="15" customHeight="1">
      <c r="A969" t="inlineStr">
        <is>
          <t>A 22281-2024</t>
        </is>
      </c>
      <c r="B969" s="1" t="n">
        <v>45446</v>
      </c>
      <c r="C969" s="1" t="n">
        <v>45754</v>
      </c>
      <c r="D969" t="inlineStr">
        <is>
          <t>DALARNAS LÄN</t>
        </is>
      </c>
      <c r="E969" t="inlineStr">
        <is>
          <t>LEKSAND</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22612-2024</t>
        </is>
      </c>
      <c r="B970" s="1" t="n">
        <v>45447</v>
      </c>
      <c r="C970" s="1" t="n">
        <v>45754</v>
      </c>
      <c r="D970" t="inlineStr">
        <is>
          <t>DALARNAS LÄN</t>
        </is>
      </c>
      <c r="E970" t="inlineStr">
        <is>
          <t>LEKSAND</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22517-2024</t>
        </is>
      </c>
      <c r="B971" s="1" t="n">
        <v>45447</v>
      </c>
      <c r="C971" s="1" t="n">
        <v>45754</v>
      </c>
      <c r="D971" t="inlineStr">
        <is>
          <t>DALARNAS LÄN</t>
        </is>
      </c>
      <c r="E971" t="inlineStr">
        <is>
          <t>LEKSAND</t>
        </is>
      </c>
      <c r="G971" t="n">
        <v>0.4</v>
      </c>
      <c r="H971" t="n">
        <v>0</v>
      </c>
      <c r="I971" t="n">
        <v>0</v>
      </c>
      <c r="J971" t="n">
        <v>0</v>
      </c>
      <c r="K971" t="n">
        <v>0</v>
      </c>
      <c r="L971" t="n">
        <v>0</v>
      </c>
      <c r="M971" t="n">
        <v>0</v>
      </c>
      <c r="N971" t="n">
        <v>0</v>
      </c>
      <c r="O971" t="n">
        <v>0</v>
      </c>
      <c r="P971" t="n">
        <v>0</v>
      </c>
      <c r="Q971" t="n">
        <v>0</v>
      </c>
      <c r="R971" s="2" t="inlineStr"/>
    </row>
    <row r="972" ht="15" customHeight="1">
      <c r="A972" t="inlineStr">
        <is>
          <t>A 22686-2024</t>
        </is>
      </c>
      <c r="B972" s="1" t="n">
        <v>45448</v>
      </c>
      <c r="C972" s="1" t="n">
        <v>45754</v>
      </c>
      <c r="D972" t="inlineStr">
        <is>
          <t>DALARNAS LÄN</t>
        </is>
      </c>
      <c r="E972" t="inlineStr">
        <is>
          <t>LEKSAND</t>
        </is>
      </c>
      <c r="G972" t="n">
        <v>2.3</v>
      </c>
      <c r="H972" t="n">
        <v>0</v>
      </c>
      <c r="I972" t="n">
        <v>0</v>
      </c>
      <c r="J972" t="n">
        <v>0</v>
      </c>
      <c r="K972" t="n">
        <v>0</v>
      </c>
      <c r="L972" t="n">
        <v>0</v>
      </c>
      <c r="M972" t="n">
        <v>0</v>
      </c>
      <c r="N972" t="n">
        <v>0</v>
      </c>
      <c r="O972" t="n">
        <v>0</v>
      </c>
      <c r="P972" t="n">
        <v>0</v>
      </c>
      <c r="Q972" t="n">
        <v>0</v>
      </c>
      <c r="R972" s="2" t="inlineStr"/>
    </row>
    <row r="973" ht="15" customHeight="1">
      <c r="A973" t="inlineStr">
        <is>
          <t>A 22708-2024</t>
        </is>
      </c>
      <c r="B973" s="1" t="n">
        <v>45448</v>
      </c>
      <c r="C973" s="1" t="n">
        <v>45754</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23068-2024</t>
        </is>
      </c>
      <c r="B974" s="1" t="n">
        <v>45450</v>
      </c>
      <c r="C974" s="1" t="n">
        <v>45754</v>
      </c>
      <c r="D974" t="inlineStr">
        <is>
          <t>DALARNAS LÄN</t>
        </is>
      </c>
      <c r="E974" t="inlineStr">
        <is>
          <t>LEKSAND</t>
        </is>
      </c>
      <c r="G974" t="n">
        <v>2.4</v>
      </c>
      <c r="H974" t="n">
        <v>0</v>
      </c>
      <c r="I974" t="n">
        <v>0</v>
      </c>
      <c r="J974" t="n">
        <v>0</v>
      </c>
      <c r="K974" t="n">
        <v>0</v>
      </c>
      <c r="L974" t="n">
        <v>0</v>
      </c>
      <c r="M974" t="n">
        <v>0</v>
      </c>
      <c r="N974" t="n">
        <v>0</v>
      </c>
      <c r="O974" t="n">
        <v>0</v>
      </c>
      <c r="P974" t="n">
        <v>0</v>
      </c>
      <c r="Q974" t="n">
        <v>0</v>
      </c>
      <c r="R974" s="2" t="inlineStr"/>
    </row>
    <row r="975" ht="15" customHeight="1">
      <c r="A975" t="inlineStr">
        <is>
          <t>A 23283-2024</t>
        </is>
      </c>
      <c r="B975" s="1" t="n">
        <v>45453</v>
      </c>
      <c r="C975" s="1" t="n">
        <v>45754</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23320-2024</t>
        </is>
      </c>
      <c r="B976" s="1" t="n">
        <v>45453</v>
      </c>
      <c r="C976" s="1" t="n">
        <v>45754</v>
      </c>
      <c r="D976" t="inlineStr">
        <is>
          <t>DALARNAS LÄN</t>
        </is>
      </c>
      <c r="E976" t="inlineStr">
        <is>
          <t>LEKSAND</t>
        </is>
      </c>
      <c r="G976" t="n">
        <v>4.6</v>
      </c>
      <c r="H976" t="n">
        <v>0</v>
      </c>
      <c r="I976" t="n">
        <v>0</v>
      </c>
      <c r="J976" t="n">
        <v>0</v>
      </c>
      <c r="K976" t="n">
        <v>0</v>
      </c>
      <c r="L976" t="n">
        <v>0</v>
      </c>
      <c r="M976" t="n">
        <v>0</v>
      </c>
      <c r="N976" t="n">
        <v>0</v>
      </c>
      <c r="O976" t="n">
        <v>0</v>
      </c>
      <c r="P976" t="n">
        <v>0</v>
      </c>
      <c r="Q976" t="n">
        <v>0</v>
      </c>
      <c r="R976" s="2" t="inlineStr"/>
    </row>
    <row r="977" ht="15" customHeight="1">
      <c r="A977" t="inlineStr">
        <is>
          <t>A 23391-2024</t>
        </is>
      </c>
      <c r="B977" s="1" t="n">
        <v>45453</v>
      </c>
      <c r="C977" s="1" t="n">
        <v>45754</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23395-2024</t>
        </is>
      </c>
      <c r="B978" s="1" t="n">
        <v>45453</v>
      </c>
      <c r="C978" s="1" t="n">
        <v>45754</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23615-2024</t>
        </is>
      </c>
      <c r="B979" s="1" t="n">
        <v>45454</v>
      </c>
      <c r="C979" s="1" t="n">
        <v>45754</v>
      </c>
      <c r="D979" t="inlineStr">
        <is>
          <t>DALARNAS LÄN</t>
        </is>
      </c>
      <c r="E979" t="inlineStr">
        <is>
          <t>LEKSAND</t>
        </is>
      </c>
      <c r="G979" t="n">
        <v>1.7</v>
      </c>
      <c r="H979" t="n">
        <v>0</v>
      </c>
      <c r="I979" t="n">
        <v>0</v>
      </c>
      <c r="J979" t="n">
        <v>0</v>
      </c>
      <c r="K979" t="n">
        <v>0</v>
      </c>
      <c r="L979" t="n">
        <v>0</v>
      </c>
      <c r="M979" t="n">
        <v>0</v>
      </c>
      <c r="N979" t="n">
        <v>0</v>
      </c>
      <c r="O979" t="n">
        <v>0</v>
      </c>
      <c r="P979" t="n">
        <v>0</v>
      </c>
      <c r="Q979" t="n">
        <v>0</v>
      </c>
      <c r="R979" s="2" t="inlineStr"/>
    </row>
    <row r="980" ht="15" customHeight="1">
      <c r="A980" t="inlineStr">
        <is>
          <t>A 23663-2024</t>
        </is>
      </c>
      <c r="B980" s="1" t="n">
        <v>45454</v>
      </c>
      <c r="C980" s="1" t="n">
        <v>45754</v>
      </c>
      <c r="D980" t="inlineStr">
        <is>
          <t>DALARNAS LÄN</t>
        </is>
      </c>
      <c r="E980" t="inlineStr">
        <is>
          <t>LEKSAND</t>
        </is>
      </c>
      <c r="G980" t="n">
        <v>2.5</v>
      </c>
      <c r="H980" t="n">
        <v>0</v>
      </c>
      <c r="I980" t="n">
        <v>0</v>
      </c>
      <c r="J980" t="n">
        <v>0</v>
      </c>
      <c r="K980" t="n">
        <v>0</v>
      </c>
      <c r="L980" t="n">
        <v>0</v>
      </c>
      <c r="M980" t="n">
        <v>0</v>
      </c>
      <c r="N980" t="n">
        <v>0</v>
      </c>
      <c r="O980" t="n">
        <v>0</v>
      </c>
      <c r="P980" t="n">
        <v>0</v>
      </c>
      <c r="Q980" t="n">
        <v>0</v>
      </c>
      <c r="R980" s="2" t="inlineStr"/>
    </row>
    <row r="981" ht="15" customHeight="1">
      <c r="A981" t="inlineStr">
        <is>
          <t>A 23896-2024</t>
        </is>
      </c>
      <c r="B981" s="1" t="n">
        <v>45455</v>
      </c>
      <c r="C981" s="1" t="n">
        <v>45754</v>
      </c>
      <c r="D981" t="inlineStr">
        <is>
          <t>DALARNAS LÄN</t>
        </is>
      </c>
      <c r="E981" t="inlineStr">
        <is>
          <t>LEKSAND</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23743-2024</t>
        </is>
      </c>
      <c r="B982" s="1" t="n">
        <v>45455</v>
      </c>
      <c r="C982" s="1" t="n">
        <v>45754</v>
      </c>
      <c r="D982" t="inlineStr">
        <is>
          <t>DALARNAS LÄN</t>
        </is>
      </c>
      <c r="E982" t="inlineStr">
        <is>
          <t>LEKSAND</t>
        </is>
      </c>
      <c r="G982" t="n">
        <v>4.5</v>
      </c>
      <c r="H982" t="n">
        <v>0</v>
      </c>
      <c r="I982" t="n">
        <v>0</v>
      </c>
      <c r="J982" t="n">
        <v>0</v>
      </c>
      <c r="K982" t="n">
        <v>0</v>
      </c>
      <c r="L982" t="n">
        <v>0</v>
      </c>
      <c r="M982" t="n">
        <v>0</v>
      </c>
      <c r="N982" t="n">
        <v>0</v>
      </c>
      <c r="O982" t="n">
        <v>0</v>
      </c>
      <c r="P982" t="n">
        <v>0</v>
      </c>
      <c r="Q982" t="n">
        <v>0</v>
      </c>
      <c r="R982" s="2" t="inlineStr"/>
    </row>
    <row r="983" ht="15" customHeight="1">
      <c r="A983" t="inlineStr">
        <is>
          <t>A 23739-2024</t>
        </is>
      </c>
      <c r="B983" s="1" t="n">
        <v>45455</v>
      </c>
      <c r="C983" s="1" t="n">
        <v>45754</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24003-2024</t>
        </is>
      </c>
      <c r="B984" s="1" t="n">
        <v>45456</v>
      </c>
      <c r="C984" s="1" t="n">
        <v>45754</v>
      </c>
      <c r="D984" t="inlineStr">
        <is>
          <t>DALARNAS LÄN</t>
        </is>
      </c>
      <c r="E984" t="inlineStr">
        <is>
          <t>LEKSAND</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24005-2024</t>
        </is>
      </c>
      <c r="B985" s="1" t="n">
        <v>45456</v>
      </c>
      <c r="C985" s="1" t="n">
        <v>45754</v>
      </c>
      <c r="D985" t="inlineStr">
        <is>
          <t>DALARNAS LÄN</t>
        </is>
      </c>
      <c r="E985" t="inlineStr">
        <is>
          <t>LEKSAND</t>
        </is>
      </c>
      <c r="F985" t="inlineStr">
        <is>
          <t>Bergvik skog väst AB</t>
        </is>
      </c>
      <c r="G985" t="n">
        <v>3</v>
      </c>
      <c r="H985" t="n">
        <v>0</v>
      </c>
      <c r="I985" t="n">
        <v>0</v>
      </c>
      <c r="J985" t="n">
        <v>0</v>
      </c>
      <c r="K985" t="n">
        <v>0</v>
      </c>
      <c r="L985" t="n">
        <v>0</v>
      </c>
      <c r="M985" t="n">
        <v>0</v>
      </c>
      <c r="N985" t="n">
        <v>0</v>
      </c>
      <c r="O985" t="n">
        <v>0</v>
      </c>
      <c r="P985" t="n">
        <v>0</v>
      </c>
      <c r="Q985" t="n">
        <v>0</v>
      </c>
      <c r="R985" s="2" t="inlineStr"/>
    </row>
    <row r="986" ht="15" customHeight="1">
      <c r="A986" t="inlineStr">
        <is>
          <t>A 24063-2024</t>
        </is>
      </c>
      <c r="B986" s="1" t="n">
        <v>45456</v>
      </c>
      <c r="C986" s="1" t="n">
        <v>45754</v>
      </c>
      <c r="D986" t="inlineStr">
        <is>
          <t>DALARNAS LÄN</t>
        </is>
      </c>
      <c r="E986" t="inlineStr">
        <is>
          <t>LEKSAND</t>
        </is>
      </c>
      <c r="F986" t="inlineStr">
        <is>
          <t>Bergvik skog väst AB</t>
        </is>
      </c>
      <c r="G986" t="n">
        <v>8.9</v>
      </c>
      <c r="H986" t="n">
        <v>0</v>
      </c>
      <c r="I986" t="n">
        <v>0</v>
      </c>
      <c r="J986" t="n">
        <v>0</v>
      </c>
      <c r="K986" t="n">
        <v>0</v>
      </c>
      <c r="L986" t="n">
        <v>0</v>
      </c>
      <c r="M986" t="n">
        <v>0</v>
      </c>
      <c r="N986" t="n">
        <v>0</v>
      </c>
      <c r="O986" t="n">
        <v>0</v>
      </c>
      <c r="P986" t="n">
        <v>0</v>
      </c>
      <c r="Q986" t="n">
        <v>0</v>
      </c>
      <c r="R986" s="2" t="inlineStr"/>
    </row>
    <row r="987" ht="15" customHeight="1">
      <c r="A987" t="inlineStr">
        <is>
          <t>A 24135-2024</t>
        </is>
      </c>
      <c r="B987" s="1" t="n">
        <v>45456</v>
      </c>
      <c r="C987" s="1" t="n">
        <v>45754</v>
      </c>
      <c r="D987" t="inlineStr">
        <is>
          <t>DALARNAS LÄN</t>
        </is>
      </c>
      <c r="E987" t="inlineStr">
        <is>
          <t>LEKSAND</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24481-2024</t>
        </is>
      </c>
      <c r="B988" s="1" t="n">
        <v>45459</v>
      </c>
      <c r="C988" s="1" t="n">
        <v>45754</v>
      </c>
      <c r="D988" t="inlineStr">
        <is>
          <t>DALARNAS LÄN</t>
        </is>
      </c>
      <c r="E988" t="inlineStr">
        <is>
          <t>LEKSAND</t>
        </is>
      </c>
      <c r="G988" t="n">
        <v>1</v>
      </c>
      <c r="H988" t="n">
        <v>0</v>
      </c>
      <c r="I988" t="n">
        <v>0</v>
      </c>
      <c r="J988" t="n">
        <v>0</v>
      </c>
      <c r="K988" t="n">
        <v>0</v>
      </c>
      <c r="L988" t="n">
        <v>0</v>
      </c>
      <c r="M988" t="n">
        <v>0</v>
      </c>
      <c r="N988" t="n">
        <v>0</v>
      </c>
      <c r="O988" t="n">
        <v>0</v>
      </c>
      <c r="P988" t="n">
        <v>0</v>
      </c>
      <c r="Q988" t="n">
        <v>0</v>
      </c>
      <c r="R988" s="2" t="inlineStr"/>
    </row>
    <row r="989" ht="15" customHeight="1">
      <c r="A989" t="inlineStr">
        <is>
          <t>A 24830-2024</t>
        </is>
      </c>
      <c r="B989" s="1" t="n">
        <v>45461</v>
      </c>
      <c r="C989" s="1" t="n">
        <v>45754</v>
      </c>
      <c r="D989" t="inlineStr">
        <is>
          <t>DALARNAS LÄN</t>
        </is>
      </c>
      <c r="E989" t="inlineStr">
        <is>
          <t>LEKSAND</t>
        </is>
      </c>
      <c r="G989" t="n">
        <v>2.2</v>
      </c>
      <c r="H989" t="n">
        <v>0</v>
      </c>
      <c r="I989" t="n">
        <v>0</v>
      </c>
      <c r="J989" t="n">
        <v>0</v>
      </c>
      <c r="K989" t="n">
        <v>0</v>
      </c>
      <c r="L989" t="n">
        <v>0</v>
      </c>
      <c r="M989" t="n">
        <v>0</v>
      </c>
      <c r="N989" t="n">
        <v>0</v>
      </c>
      <c r="O989" t="n">
        <v>0</v>
      </c>
      <c r="P989" t="n">
        <v>0</v>
      </c>
      <c r="Q989" t="n">
        <v>0</v>
      </c>
      <c r="R989" s="2" t="inlineStr"/>
    </row>
    <row r="990" ht="15" customHeight="1">
      <c r="A990" t="inlineStr">
        <is>
          <t>A 24837-2024</t>
        </is>
      </c>
      <c r="B990" s="1" t="n">
        <v>45461</v>
      </c>
      <c r="C990" s="1" t="n">
        <v>45754</v>
      </c>
      <c r="D990" t="inlineStr">
        <is>
          <t>DALARNAS LÄN</t>
        </is>
      </c>
      <c r="E990" t="inlineStr">
        <is>
          <t>LEKSAND</t>
        </is>
      </c>
      <c r="G990" t="n">
        <v>1.5</v>
      </c>
      <c r="H990" t="n">
        <v>0</v>
      </c>
      <c r="I990" t="n">
        <v>0</v>
      </c>
      <c r="J990" t="n">
        <v>0</v>
      </c>
      <c r="K990" t="n">
        <v>0</v>
      </c>
      <c r="L990" t="n">
        <v>0</v>
      </c>
      <c r="M990" t="n">
        <v>0</v>
      </c>
      <c r="N990" t="n">
        <v>0</v>
      </c>
      <c r="O990" t="n">
        <v>0</v>
      </c>
      <c r="P990" t="n">
        <v>0</v>
      </c>
      <c r="Q990" t="n">
        <v>0</v>
      </c>
      <c r="R990" s="2" t="inlineStr"/>
    </row>
    <row r="991" ht="15" customHeight="1">
      <c r="A991" t="inlineStr">
        <is>
          <t>A 24917-2024</t>
        </is>
      </c>
      <c r="B991" s="1" t="n">
        <v>45461</v>
      </c>
      <c r="C991" s="1" t="n">
        <v>45754</v>
      </c>
      <c r="D991" t="inlineStr">
        <is>
          <t>DALARNAS LÄN</t>
        </is>
      </c>
      <c r="E991" t="inlineStr">
        <is>
          <t>LEKSAND</t>
        </is>
      </c>
      <c r="G991" t="n">
        <v>3.7</v>
      </c>
      <c r="H991" t="n">
        <v>0</v>
      </c>
      <c r="I991" t="n">
        <v>0</v>
      </c>
      <c r="J991" t="n">
        <v>0</v>
      </c>
      <c r="K991" t="n">
        <v>0</v>
      </c>
      <c r="L991" t="n">
        <v>0</v>
      </c>
      <c r="M991" t="n">
        <v>0</v>
      </c>
      <c r="N991" t="n">
        <v>0</v>
      </c>
      <c r="O991" t="n">
        <v>0</v>
      </c>
      <c r="P991" t="n">
        <v>0</v>
      </c>
      <c r="Q991" t="n">
        <v>0</v>
      </c>
      <c r="R991" s="2" t="inlineStr"/>
    </row>
    <row r="992" ht="15" customHeight="1">
      <c r="A992" t="inlineStr">
        <is>
          <t>A 24919-2024</t>
        </is>
      </c>
      <c r="B992" s="1" t="n">
        <v>45461</v>
      </c>
      <c r="C992" s="1" t="n">
        <v>45754</v>
      </c>
      <c r="D992" t="inlineStr">
        <is>
          <t>DALARNAS LÄN</t>
        </is>
      </c>
      <c r="E992" t="inlineStr">
        <is>
          <t>LEKSAND</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25253-2024</t>
        </is>
      </c>
      <c r="B993" s="1" t="n">
        <v>45462</v>
      </c>
      <c r="C993" s="1" t="n">
        <v>45754</v>
      </c>
      <c r="D993" t="inlineStr">
        <is>
          <t>DALARNAS LÄN</t>
        </is>
      </c>
      <c r="E993" t="inlineStr">
        <is>
          <t>LEKSAND</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25249-2024</t>
        </is>
      </c>
      <c r="B994" s="1" t="n">
        <v>45462</v>
      </c>
      <c r="C994" s="1" t="n">
        <v>45754</v>
      </c>
      <c r="D994" t="inlineStr">
        <is>
          <t>DALARNAS LÄN</t>
        </is>
      </c>
      <c r="E994" t="inlineStr">
        <is>
          <t>LEKSAND</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25105-2024</t>
        </is>
      </c>
      <c r="B995" s="1" t="n">
        <v>45462</v>
      </c>
      <c r="C995" s="1" t="n">
        <v>45754</v>
      </c>
      <c r="D995" t="inlineStr">
        <is>
          <t>DALARNAS LÄN</t>
        </is>
      </c>
      <c r="E995" t="inlineStr">
        <is>
          <t>LEKSAND</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25047-2024</t>
        </is>
      </c>
      <c r="B996" s="1" t="n">
        <v>45462</v>
      </c>
      <c r="C996" s="1" t="n">
        <v>45754</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25048-2024</t>
        </is>
      </c>
      <c r="B997" s="1" t="n">
        <v>45462</v>
      </c>
      <c r="C997" s="1" t="n">
        <v>45754</v>
      </c>
      <c r="D997" t="inlineStr">
        <is>
          <t>DALARNAS LÄN</t>
        </is>
      </c>
      <c r="E997" t="inlineStr">
        <is>
          <t>LEKSAND</t>
        </is>
      </c>
      <c r="G997" t="n">
        <v>2.7</v>
      </c>
      <c r="H997" t="n">
        <v>0</v>
      </c>
      <c r="I997" t="n">
        <v>0</v>
      </c>
      <c r="J997" t="n">
        <v>0</v>
      </c>
      <c r="K997" t="n">
        <v>0</v>
      </c>
      <c r="L997" t="n">
        <v>0</v>
      </c>
      <c r="M997" t="n">
        <v>0</v>
      </c>
      <c r="N997" t="n">
        <v>0</v>
      </c>
      <c r="O997" t="n">
        <v>0</v>
      </c>
      <c r="P997" t="n">
        <v>0</v>
      </c>
      <c r="Q997" t="n">
        <v>0</v>
      </c>
      <c r="R997" s="2" t="inlineStr"/>
    </row>
    <row r="998" ht="15" customHeight="1">
      <c r="A998" t="inlineStr">
        <is>
          <t>A 25251-2024</t>
        </is>
      </c>
      <c r="B998" s="1" t="n">
        <v>45462</v>
      </c>
      <c r="C998" s="1" t="n">
        <v>45754</v>
      </c>
      <c r="D998" t="inlineStr">
        <is>
          <t>DALARNAS LÄN</t>
        </is>
      </c>
      <c r="E998" t="inlineStr">
        <is>
          <t>LEKSAND</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25109-2024</t>
        </is>
      </c>
      <c r="B999" s="1" t="n">
        <v>45462</v>
      </c>
      <c r="C999" s="1" t="n">
        <v>45754</v>
      </c>
      <c r="D999" t="inlineStr">
        <is>
          <t>DALARNAS LÄN</t>
        </is>
      </c>
      <c r="E999" t="inlineStr">
        <is>
          <t>LEKSAND</t>
        </is>
      </c>
      <c r="G999" t="n">
        <v>3.2</v>
      </c>
      <c r="H999" t="n">
        <v>0</v>
      </c>
      <c r="I999" t="n">
        <v>0</v>
      </c>
      <c r="J999" t="n">
        <v>0</v>
      </c>
      <c r="K999" t="n">
        <v>0</v>
      </c>
      <c r="L999" t="n">
        <v>0</v>
      </c>
      <c r="M999" t="n">
        <v>0</v>
      </c>
      <c r="N999" t="n">
        <v>0</v>
      </c>
      <c r="O999" t="n">
        <v>0</v>
      </c>
      <c r="P999" t="n">
        <v>0</v>
      </c>
      <c r="Q999" t="n">
        <v>0</v>
      </c>
      <c r="R999" s="2" t="inlineStr"/>
    </row>
    <row r="1000" ht="15" customHeight="1">
      <c r="A1000" t="inlineStr">
        <is>
          <t>A 25042-2024</t>
        </is>
      </c>
      <c r="B1000" s="1" t="n">
        <v>45462</v>
      </c>
      <c r="C1000" s="1" t="n">
        <v>45754</v>
      </c>
      <c r="D1000" t="inlineStr">
        <is>
          <t>DALARNAS LÄN</t>
        </is>
      </c>
      <c r="E1000" t="inlineStr">
        <is>
          <t>LEKSAND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25921-2024</t>
        </is>
      </c>
      <c r="B1001" s="1" t="n">
        <v>45467</v>
      </c>
      <c r="C1001" s="1" t="n">
        <v>45754</v>
      </c>
      <c r="D1001" t="inlineStr">
        <is>
          <t>DALARNAS LÄN</t>
        </is>
      </c>
      <c r="E1001" t="inlineStr">
        <is>
          <t>LEKSAND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26062-2024</t>
        </is>
      </c>
      <c r="B1002" s="1" t="n">
        <v>45468</v>
      </c>
      <c r="C1002" s="1" t="n">
        <v>45754</v>
      </c>
      <c r="D1002" t="inlineStr">
        <is>
          <t>DALARNAS LÄN</t>
        </is>
      </c>
      <c r="E1002" t="inlineStr">
        <is>
          <t>LEKSAND</t>
        </is>
      </c>
      <c r="F1002" t="inlineStr">
        <is>
          <t>Övriga statliga verk och myndigheter</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26680-2024</t>
        </is>
      </c>
      <c r="B1003" s="1" t="n">
        <v>45470</v>
      </c>
      <c r="C1003" s="1" t="n">
        <v>45754</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27446-2024</t>
        </is>
      </c>
      <c r="B1004" s="1" t="n">
        <v>45474</v>
      </c>
      <c r="C1004" s="1" t="n">
        <v>45754</v>
      </c>
      <c r="D1004" t="inlineStr">
        <is>
          <t>DALARNAS LÄN</t>
        </is>
      </c>
      <c r="E1004" t="inlineStr">
        <is>
          <t>LEKSAND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27445-2024</t>
        </is>
      </c>
      <c r="B1005" s="1" t="n">
        <v>45474</v>
      </c>
      <c r="C1005" s="1" t="n">
        <v>45754</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28032-2024</t>
        </is>
      </c>
      <c r="B1006" s="1" t="n">
        <v>45476</v>
      </c>
      <c r="C1006" s="1" t="n">
        <v>45754</v>
      </c>
      <c r="D1006" t="inlineStr">
        <is>
          <t>DALARNAS LÄN</t>
        </is>
      </c>
      <c r="E1006" t="inlineStr">
        <is>
          <t>LEKSAND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28366-2024</t>
        </is>
      </c>
      <c r="B1007" s="1" t="n">
        <v>45477</v>
      </c>
      <c r="C1007" s="1" t="n">
        <v>45754</v>
      </c>
      <c r="D1007" t="inlineStr">
        <is>
          <t>DALARNAS LÄN</t>
        </is>
      </c>
      <c r="E1007" t="inlineStr">
        <is>
          <t>LEKSAND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28674-2024</t>
        </is>
      </c>
      <c r="B1008" s="1" t="n">
        <v>45478</v>
      </c>
      <c r="C1008" s="1" t="n">
        <v>45754</v>
      </c>
      <c r="D1008" t="inlineStr">
        <is>
          <t>DALARNAS LÄN</t>
        </is>
      </c>
      <c r="E1008" t="inlineStr">
        <is>
          <t>LEKSAND</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28920-2024</t>
        </is>
      </c>
      <c r="B1009" s="1" t="n">
        <v>45480</v>
      </c>
      <c r="C1009" s="1" t="n">
        <v>45754</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28913-2024</t>
        </is>
      </c>
      <c r="B1010" s="1" t="n">
        <v>45480</v>
      </c>
      <c r="C1010" s="1" t="n">
        <v>45754</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28985-2024</t>
        </is>
      </c>
      <c r="B1011" s="1" t="n">
        <v>45481</v>
      </c>
      <c r="C1011" s="1" t="n">
        <v>45754</v>
      </c>
      <c r="D1011" t="inlineStr">
        <is>
          <t>DALARNAS LÄN</t>
        </is>
      </c>
      <c r="E1011" t="inlineStr">
        <is>
          <t>LEKSAND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29149-2024</t>
        </is>
      </c>
      <c r="B1012" s="1" t="n">
        <v>45482</v>
      </c>
      <c r="C1012" s="1" t="n">
        <v>45754</v>
      </c>
      <c r="D1012" t="inlineStr">
        <is>
          <t>DALARNAS LÄN</t>
        </is>
      </c>
      <c r="E1012" t="inlineStr">
        <is>
          <t>LEKSAND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29512-2024</t>
        </is>
      </c>
      <c r="B1013" s="1" t="n">
        <v>45484</v>
      </c>
      <c r="C1013" s="1" t="n">
        <v>45754</v>
      </c>
      <c r="D1013" t="inlineStr">
        <is>
          <t>DALARNAS LÄN</t>
        </is>
      </c>
      <c r="E1013" t="inlineStr">
        <is>
          <t>LEKSAND</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29518-2024</t>
        </is>
      </c>
      <c r="B1014" s="1" t="n">
        <v>45484</v>
      </c>
      <c r="C1014" s="1" t="n">
        <v>45754</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30204-2024</t>
        </is>
      </c>
      <c r="B1015" s="1" t="n">
        <v>45490</v>
      </c>
      <c r="C1015" s="1" t="n">
        <v>45754</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30201-2024</t>
        </is>
      </c>
      <c r="B1016" s="1" t="n">
        <v>45490</v>
      </c>
      <c r="C1016" s="1" t="n">
        <v>45754</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30198-2024</t>
        </is>
      </c>
      <c r="B1017" s="1" t="n">
        <v>45490</v>
      </c>
      <c r="C1017" s="1" t="n">
        <v>45754</v>
      </c>
      <c r="D1017" t="inlineStr">
        <is>
          <t>DALARNAS LÄN</t>
        </is>
      </c>
      <c r="E1017" t="inlineStr">
        <is>
          <t>LEKSAND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30670-2024</t>
        </is>
      </c>
      <c r="B1018" s="1" t="n">
        <v>45495</v>
      </c>
      <c r="C1018" s="1" t="n">
        <v>45754</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30864-2024</t>
        </is>
      </c>
      <c r="B1019" s="1" t="n">
        <v>45497</v>
      </c>
      <c r="C1019" s="1" t="n">
        <v>45754</v>
      </c>
      <c r="D1019" t="inlineStr">
        <is>
          <t>DALARNAS LÄN</t>
        </is>
      </c>
      <c r="E1019" t="inlineStr">
        <is>
          <t>LEKSAND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30860-2024</t>
        </is>
      </c>
      <c r="B1020" s="1" t="n">
        <v>45497</v>
      </c>
      <c r="C1020" s="1" t="n">
        <v>45754</v>
      </c>
      <c r="D1020" t="inlineStr">
        <is>
          <t>DALARNAS LÄN</t>
        </is>
      </c>
      <c r="E1020" t="inlineStr">
        <is>
          <t>LEKSAND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30858-2024</t>
        </is>
      </c>
      <c r="B1021" s="1" t="n">
        <v>45497</v>
      </c>
      <c r="C1021" s="1" t="n">
        <v>45754</v>
      </c>
      <c r="D1021" t="inlineStr">
        <is>
          <t>DALARNAS LÄN</t>
        </is>
      </c>
      <c r="E1021" t="inlineStr">
        <is>
          <t>LEKSAND</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30863-2024</t>
        </is>
      </c>
      <c r="B1022" s="1" t="n">
        <v>45497</v>
      </c>
      <c r="C1022" s="1" t="n">
        <v>45754</v>
      </c>
      <c r="D1022" t="inlineStr">
        <is>
          <t>DALARNAS LÄN</t>
        </is>
      </c>
      <c r="E1022" t="inlineStr">
        <is>
          <t>LEKSAND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31019-2024</t>
        </is>
      </c>
      <c r="B1023" s="1" t="n">
        <v>45499</v>
      </c>
      <c r="C1023" s="1" t="n">
        <v>45754</v>
      </c>
      <c r="D1023" t="inlineStr">
        <is>
          <t>DALARNAS LÄN</t>
        </is>
      </c>
      <c r="E1023" t="inlineStr">
        <is>
          <t>LEKSAND</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31123-2024</t>
        </is>
      </c>
      <c r="B1024" s="1" t="n">
        <v>45502</v>
      </c>
      <c r="C1024" s="1" t="n">
        <v>45754</v>
      </c>
      <c r="D1024" t="inlineStr">
        <is>
          <t>DALARNAS LÄN</t>
        </is>
      </c>
      <c r="E1024" t="inlineStr">
        <is>
          <t>LEKSAND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31292-2024</t>
        </is>
      </c>
      <c r="B1025" s="1" t="n">
        <v>45504</v>
      </c>
      <c r="C1025" s="1" t="n">
        <v>45754</v>
      </c>
      <c r="D1025" t="inlineStr">
        <is>
          <t>DALARNAS LÄN</t>
        </is>
      </c>
      <c r="E1025" t="inlineStr">
        <is>
          <t>LEKSAND</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31391-2024</t>
        </is>
      </c>
      <c r="B1026" s="1" t="n">
        <v>45505</v>
      </c>
      <c r="C1026" s="1" t="n">
        <v>45754</v>
      </c>
      <c r="D1026" t="inlineStr">
        <is>
          <t>DALARNAS LÄN</t>
        </is>
      </c>
      <c r="E1026" t="inlineStr">
        <is>
          <t>LEKSAND</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31726-2024</t>
        </is>
      </c>
      <c r="B1027" s="1" t="n">
        <v>45509</v>
      </c>
      <c r="C1027" s="1" t="n">
        <v>45754</v>
      </c>
      <c r="D1027" t="inlineStr">
        <is>
          <t>DALARNAS LÄN</t>
        </is>
      </c>
      <c r="E1027" t="inlineStr">
        <is>
          <t>LEKSAND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31789-2024</t>
        </is>
      </c>
      <c r="B1028" s="1" t="n">
        <v>45509</v>
      </c>
      <c r="C1028" s="1" t="n">
        <v>45754</v>
      </c>
      <c r="D1028" t="inlineStr">
        <is>
          <t>DALARNAS LÄN</t>
        </is>
      </c>
      <c r="E1028" t="inlineStr">
        <is>
          <t>LEKSAND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31728-2024</t>
        </is>
      </c>
      <c r="B1029" s="1" t="n">
        <v>45509</v>
      </c>
      <c r="C1029" s="1" t="n">
        <v>45754</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31720-2024</t>
        </is>
      </c>
      <c r="B1030" s="1" t="n">
        <v>45509</v>
      </c>
      <c r="C1030" s="1" t="n">
        <v>45754</v>
      </c>
      <c r="D1030" t="inlineStr">
        <is>
          <t>DALARNAS LÄN</t>
        </is>
      </c>
      <c r="E1030" t="inlineStr">
        <is>
          <t>LEKSAND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31850-2024</t>
        </is>
      </c>
      <c r="B1031" s="1" t="n">
        <v>45509</v>
      </c>
      <c r="C1031" s="1" t="n">
        <v>45754</v>
      </c>
      <c r="D1031" t="inlineStr">
        <is>
          <t>DALARNAS LÄN</t>
        </is>
      </c>
      <c r="E1031" t="inlineStr">
        <is>
          <t>LEKSAND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32072-2024</t>
        </is>
      </c>
      <c r="B1032" s="1" t="n">
        <v>45511</v>
      </c>
      <c r="C1032" s="1" t="n">
        <v>45754</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31918-2024</t>
        </is>
      </c>
      <c r="B1033" s="1" t="n">
        <v>45510</v>
      </c>
      <c r="C1033" s="1" t="n">
        <v>45754</v>
      </c>
      <c r="D1033" t="inlineStr">
        <is>
          <t>DALARNAS LÄN</t>
        </is>
      </c>
      <c r="E1033" t="inlineStr">
        <is>
          <t>LEKSAND</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32073-2024</t>
        </is>
      </c>
      <c r="B1034" s="1" t="n">
        <v>45511</v>
      </c>
      <c r="C1034" s="1" t="n">
        <v>45754</v>
      </c>
      <c r="D1034" t="inlineStr">
        <is>
          <t>DALARNAS LÄN</t>
        </is>
      </c>
      <c r="E1034" t="inlineStr">
        <is>
          <t>LEKSAND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32074-2024</t>
        </is>
      </c>
      <c r="B1035" s="1" t="n">
        <v>45511</v>
      </c>
      <c r="C1035" s="1" t="n">
        <v>45754</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31915-2024</t>
        </is>
      </c>
      <c r="B1036" s="1" t="n">
        <v>45510</v>
      </c>
      <c r="C1036" s="1" t="n">
        <v>45754</v>
      </c>
      <c r="D1036" t="inlineStr">
        <is>
          <t>DALARNAS LÄN</t>
        </is>
      </c>
      <c r="E1036" t="inlineStr">
        <is>
          <t>LEKSAND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31971-2024</t>
        </is>
      </c>
      <c r="B1037" s="1" t="n">
        <v>45510</v>
      </c>
      <c r="C1037" s="1" t="n">
        <v>45754</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32394-2024</t>
        </is>
      </c>
      <c r="B1038" s="1" t="n">
        <v>45512</v>
      </c>
      <c r="C1038" s="1" t="n">
        <v>45754</v>
      </c>
      <c r="D1038" t="inlineStr">
        <is>
          <t>DALARNAS LÄN</t>
        </is>
      </c>
      <c r="E1038" t="inlineStr">
        <is>
          <t>LEKSAND</t>
        </is>
      </c>
      <c r="F1038" t="inlineStr">
        <is>
          <t>Bergvik skog väst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32494-2024</t>
        </is>
      </c>
      <c r="B1039" s="1" t="n">
        <v>45513</v>
      </c>
      <c r="C1039" s="1" t="n">
        <v>45754</v>
      </c>
      <c r="D1039" t="inlineStr">
        <is>
          <t>DALARNAS LÄN</t>
        </is>
      </c>
      <c r="E1039" t="inlineStr">
        <is>
          <t>LEKSAND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32689-2024</t>
        </is>
      </c>
      <c r="B1040" s="1" t="n">
        <v>45515</v>
      </c>
      <c r="C1040" s="1" t="n">
        <v>45754</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32688-2024</t>
        </is>
      </c>
      <c r="B1041" s="1" t="n">
        <v>45515</v>
      </c>
      <c r="C1041" s="1" t="n">
        <v>45754</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33182-2024</t>
        </is>
      </c>
      <c r="B1042" s="1" t="n">
        <v>45518</v>
      </c>
      <c r="C1042" s="1" t="n">
        <v>45754</v>
      </c>
      <c r="D1042" t="inlineStr">
        <is>
          <t>DALARNAS LÄN</t>
        </is>
      </c>
      <c r="E1042" t="inlineStr">
        <is>
          <t>LEKSAND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33138-2024</t>
        </is>
      </c>
      <c r="B1043" s="1" t="n">
        <v>45518</v>
      </c>
      <c r="C1043" s="1" t="n">
        <v>45754</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33180-2024</t>
        </is>
      </c>
      <c r="B1044" s="1" t="n">
        <v>45518</v>
      </c>
      <c r="C1044" s="1" t="n">
        <v>45754</v>
      </c>
      <c r="D1044" t="inlineStr">
        <is>
          <t>DALARNAS LÄN</t>
        </is>
      </c>
      <c r="E1044" t="inlineStr">
        <is>
          <t>LEKSAND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33147-2024</t>
        </is>
      </c>
      <c r="B1045" s="1" t="n">
        <v>45518</v>
      </c>
      <c r="C1045" s="1" t="n">
        <v>45754</v>
      </c>
      <c r="D1045" t="inlineStr">
        <is>
          <t>DALARNAS LÄN</t>
        </is>
      </c>
      <c r="E1045" t="inlineStr">
        <is>
          <t>LEKSAND</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33143-2024</t>
        </is>
      </c>
      <c r="B1046" s="1" t="n">
        <v>45518</v>
      </c>
      <c r="C1046" s="1" t="n">
        <v>45754</v>
      </c>
      <c r="D1046" t="inlineStr">
        <is>
          <t>DALARNAS LÄN</t>
        </is>
      </c>
      <c r="E1046" t="inlineStr">
        <is>
          <t>LEKSAND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33357-2024</t>
        </is>
      </c>
      <c r="B1047" s="1" t="n">
        <v>45519</v>
      </c>
      <c r="C1047" s="1" t="n">
        <v>45754</v>
      </c>
      <c r="D1047" t="inlineStr">
        <is>
          <t>DALARNAS LÄN</t>
        </is>
      </c>
      <c r="E1047" t="inlineStr">
        <is>
          <t>LEKSAND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33594-2024</t>
        </is>
      </c>
      <c r="B1048" s="1" t="n">
        <v>45520</v>
      </c>
      <c r="C1048" s="1" t="n">
        <v>45754</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33624-2024</t>
        </is>
      </c>
      <c r="B1049" s="1" t="n">
        <v>45520</v>
      </c>
      <c r="C1049" s="1" t="n">
        <v>45754</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33593-2024</t>
        </is>
      </c>
      <c r="B1050" s="1" t="n">
        <v>45520</v>
      </c>
      <c r="C1050" s="1" t="n">
        <v>45754</v>
      </c>
      <c r="D1050" t="inlineStr">
        <is>
          <t>DALARNAS LÄN</t>
        </is>
      </c>
      <c r="E1050" t="inlineStr">
        <is>
          <t>LEKSAND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33695-2024</t>
        </is>
      </c>
      <c r="B1051" s="1" t="n">
        <v>45520</v>
      </c>
      <c r="C1051" s="1" t="n">
        <v>45754</v>
      </c>
      <c r="D1051" t="inlineStr">
        <is>
          <t>DALARNAS LÄN</t>
        </is>
      </c>
      <c r="E1051" t="inlineStr">
        <is>
          <t>LEKSAND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33709-2024</t>
        </is>
      </c>
      <c r="B1052" s="1" t="n">
        <v>45520</v>
      </c>
      <c r="C1052" s="1" t="n">
        <v>45754</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33712-2024</t>
        </is>
      </c>
      <c r="B1053" s="1" t="n">
        <v>45520</v>
      </c>
      <c r="C1053" s="1" t="n">
        <v>45754</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33702-2024</t>
        </is>
      </c>
      <c r="B1054" s="1" t="n">
        <v>45520</v>
      </c>
      <c r="C1054" s="1" t="n">
        <v>45754</v>
      </c>
      <c r="D1054" t="inlineStr">
        <is>
          <t>DALARNAS LÄN</t>
        </is>
      </c>
      <c r="E1054" t="inlineStr">
        <is>
          <t>LEKSAND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33884-2024</t>
        </is>
      </c>
      <c r="B1055" s="1" t="n">
        <v>45522</v>
      </c>
      <c r="C1055" s="1" t="n">
        <v>45754</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33900-2024</t>
        </is>
      </c>
      <c r="B1056" s="1" t="n">
        <v>45523</v>
      </c>
      <c r="C1056" s="1" t="n">
        <v>45754</v>
      </c>
      <c r="D1056" t="inlineStr">
        <is>
          <t>DALARNAS LÄN</t>
        </is>
      </c>
      <c r="E1056" t="inlineStr">
        <is>
          <t>LEKSAND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33957-2024</t>
        </is>
      </c>
      <c r="B1057" s="1" t="n">
        <v>45523</v>
      </c>
      <c r="C1057" s="1" t="n">
        <v>45754</v>
      </c>
      <c r="D1057" t="inlineStr">
        <is>
          <t>DALARNAS LÄN</t>
        </is>
      </c>
      <c r="E1057" t="inlineStr">
        <is>
          <t>LEKSAND</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34038-2024</t>
        </is>
      </c>
      <c r="B1058" s="1" t="n">
        <v>45523</v>
      </c>
      <c r="C1058" s="1" t="n">
        <v>45754</v>
      </c>
      <c r="D1058" t="inlineStr">
        <is>
          <t>DALARNAS LÄN</t>
        </is>
      </c>
      <c r="E1058" t="inlineStr">
        <is>
          <t>LEKSAND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34039-2024</t>
        </is>
      </c>
      <c r="B1059" s="1" t="n">
        <v>45523</v>
      </c>
      <c r="C1059" s="1" t="n">
        <v>45754</v>
      </c>
      <c r="D1059" t="inlineStr">
        <is>
          <t>DALARNAS LÄN</t>
        </is>
      </c>
      <c r="E1059" t="inlineStr">
        <is>
          <t>LEKSAND</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34033-2024</t>
        </is>
      </c>
      <c r="B1060" s="1" t="n">
        <v>45523</v>
      </c>
      <c r="C1060" s="1" t="n">
        <v>45754</v>
      </c>
      <c r="D1060" t="inlineStr">
        <is>
          <t>DALARNAS LÄN</t>
        </is>
      </c>
      <c r="E1060" t="inlineStr">
        <is>
          <t>LEKSAND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34041-2024</t>
        </is>
      </c>
      <c r="B1061" s="1" t="n">
        <v>45523</v>
      </c>
      <c r="C1061" s="1" t="n">
        <v>45754</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33977-2024</t>
        </is>
      </c>
      <c r="B1062" s="1" t="n">
        <v>45523</v>
      </c>
      <c r="C1062" s="1" t="n">
        <v>45754</v>
      </c>
      <c r="D1062" t="inlineStr">
        <is>
          <t>DALARNAS LÄN</t>
        </is>
      </c>
      <c r="E1062" t="inlineStr">
        <is>
          <t>LEKSAND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34109-2024</t>
        </is>
      </c>
      <c r="B1063" s="1" t="n">
        <v>45524</v>
      </c>
      <c r="C1063" s="1" t="n">
        <v>45754</v>
      </c>
      <c r="D1063" t="inlineStr">
        <is>
          <t>DALARNAS LÄN</t>
        </is>
      </c>
      <c r="E1063" t="inlineStr">
        <is>
          <t>LEKSAND</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34244-2024</t>
        </is>
      </c>
      <c r="B1064" s="1" t="n">
        <v>45524</v>
      </c>
      <c r="C1064" s="1" t="n">
        <v>45754</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34347-2024</t>
        </is>
      </c>
      <c r="B1065" s="1" t="n">
        <v>45525</v>
      </c>
      <c r="C1065" s="1" t="n">
        <v>45754</v>
      </c>
      <c r="D1065" t="inlineStr">
        <is>
          <t>DALARNAS LÄN</t>
        </is>
      </c>
      <c r="E1065" t="inlineStr">
        <is>
          <t>LEKSAND</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34585-2024</t>
        </is>
      </c>
      <c r="B1066" s="1" t="n">
        <v>45526</v>
      </c>
      <c r="C1066" s="1" t="n">
        <v>45754</v>
      </c>
      <c r="D1066" t="inlineStr">
        <is>
          <t>DALARNAS LÄN</t>
        </is>
      </c>
      <c r="E1066" t="inlineStr">
        <is>
          <t>LEKSAND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34778-2024</t>
        </is>
      </c>
      <c r="B1067" s="1" t="n">
        <v>45526</v>
      </c>
      <c r="C1067" s="1" t="n">
        <v>45754</v>
      </c>
      <c r="D1067" t="inlineStr">
        <is>
          <t>DALARNAS LÄN</t>
        </is>
      </c>
      <c r="E1067" t="inlineStr">
        <is>
          <t>LEKSAND</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34954-2024</t>
        </is>
      </c>
      <c r="B1068" s="1" t="n">
        <v>45527</v>
      </c>
      <c r="C1068" s="1" t="n">
        <v>45754</v>
      </c>
      <c r="D1068" t="inlineStr">
        <is>
          <t>DALARNAS LÄN</t>
        </is>
      </c>
      <c r="E1068" t="inlineStr">
        <is>
          <t>LEKSAND</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35262-2024</t>
        </is>
      </c>
      <c r="B1069" s="1" t="n">
        <v>45530</v>
      </c>
      <c r="C1069" s="1" t="n">
        <v>45754</v>
      </c>
      <c r="D1069" t="inlineStr">
        <is>
          <t>DALARNAS LÄN</t>
        </is>
      </c>
      <c r="E1069" t="inlineStr">
        <is>
          <t>LEKSAND</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36534-2024</t>
        </is>
      </c>
      <c r="B1070" s="1" t="n">
        <v>45537</v>
      </c>
      <c r="C1070" s="1" t="n">
        <v>45754</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37952-2024</t>
        </is>
      </c>
      <c r="B1071" s="1" t="n">
        <v>45544</v>
      </c>
      <c r="C1071" s="1" t="n">
        <v>45754</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37850-2024</t>
        </is>
      </c>
      <c r="B1072" s="1" t="n">
        <v>45544</v>
      </c>
      <c r="C1072" s="1" t="n">
        <v>45754</v>
      </c>
      <c r="D1072" t="inlineStr">
        <is>
          <t>DALARNAS LÄN</t>
        </is>
      </c>
      <c r="E1072" t="inlineStr">
        <is>
          <t>LEKSAND</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38330-2024</t>
        </is>
      </c>
      <c r="B1073" s="1" t="n">
        <v>45545</v>
      </c>
      <c r="C1073" s="1" t="n">
        <v>45754</v>
      </c>
      <c r="D1073" t="inlineStr">
        <is>
          <t>DALARNAS LÄN</t>
        </is>
      </c>
      <c r="E1073" t="inlineStr">
        <is>
          <t>LEKSAND</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38617-2024</t>
        </is>
      </c>
      <c r="B1074" s="1" t="n">
        <v>45546</v>
      </c>
      <c r="C1074" s="1" t="n">
        <v>45754</v>
      </c>
      <c r="D1074" t="inlineStr">
        <is>
          <t>DALARNAS LÄN</t>
        </is>
      </c>
      <c r="E1074" t="inlineStr">
        <is>
          <t>LEKSAND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39416-2024</t>
        </is>
      </c>
      <c r="B1075" s="1" t="n">
        <v>45551</v>
      </c>
      <c r="C1075" s="1" t="n">
        <v>45754</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39518-2024</t>
        </is>
      </c>
      <c r="B1076" s="1" t="n">
        <v>45551</v>
      </c>
      <c r="C1076" s="1" t="n">
        <v>45754</v>
      </c>
      <c r="D1076" t="inlineStr">
        <is>
          <t>DALARNAS LÄN</t>
        </is>
      </c>
      <c r="E1076" t="inlineStr">
        <is>
          <t>LEKSAND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39620-2024</t>
        </is>
      </c>
      <c r="B1077" s="1" t="n">
        <v>45552</v>
      </c>
      <c r="C1077" s="1" t="n">
        <v>45754</v>
      </c>
      <c r="D1077" t="inlineStr">
        <is>
          <t>DALARNAS LÄN</t>
        </is>
      </c>
      <c r="E1077" t="inlineStr">
        <is>
          <t>LEKSAND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39819-2024</t>
        </is>
      </c>
      <c r="B1078" s="1" t="n">
        <v>45553</v>
      </c>
      <c r="C1078" s="1" t="n">
        <v>45754</v>
      </c>
      <c r="D1078" t="inlineStr">
        <is>
          <t>DALARNAS LÄN</t>
        </is>
      </c>
      <c r="E1078" t="inlineStr">
        <is>
          <t>LEKSAND</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39807-2024</t>
        </is>
      </c>
      <c r="B1079" s="1" t="n">
        <v>45553</v>
      </c>
      <c r="C1079" s="1" t="n">
        <v>45754</v>
      </c>
      <c r="D1079" t="inlineStr">
        <is>
          <t>DALARNAS LÄN</t>
        </is>
      </c>
      <c r="E1079" t="inlineStr">
        <is>
          <t>LEKSAND</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40007-2024</t>
        </is>
      </c>
      <c r="B1080" s="1" t="n">
        <v>45553</v>
      </c>
      <c r="C1080" s="1" t="n">
        <v>45754</v>
      </c>
      <c r="D1080" t="inlineStr">
        <is>
          <t>DALARNAS LÄN</t>
        </is>
      </c>
      <c r="E1080" t="inlineStr">
        <is>
          <t>LEKSAND</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40009-2024</t>
        </is>
      </c>
      <c r="B1081" s="1" t="n">
        <v>45553</v>
      </c>
      <c r="C1081" s="1" t="n">
        <v>45754</v>
      </c>
      <c r="D1081" t="inlineStr">
        <is>
          <t>DALARNAS LÄN</t>
        </is>
      </c>
      <c r="E1081" t="inlineStr">
        <is>
          <t>LEKSAND</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40193-2024</t>
        </is>
      </c>
      <c r="B1082" s="1" t="n">
        <v>45554</v>
      </c>
      <c r="C1082" s="1" t="n">
        <v>45754</v>
      </c>
      <c r="D1082" t="inlineStr">
        <is>
          <t>DALARNAS LÄN</t>
        </is>
      </c>
      <c r="E1082" t="inlineStr">
        <is>
          <t>LEKSAND</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40523-2024</t>
        </is>
      </c>
      <c r="B1083" s="1" t="n">
        <v>45555</v>
      </c>
      <c r="C1083" s="1" t="n">
        <v>45754</v>
      </c>
      <c r="D1083" t="inlineStr">
        <is>
          <t>DALARNAS LÄN</t>
        </is>
      </c>
      <c r="E1083" t="inlineStr">
        <is>
          <t>LEKSAND</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40755-2024</t>
        </is>
      </c>
      <c r="B1084" s="1" t="n">
        <v>45558</v>
      </c>
      <c r="C1084" s="1" t="n">
        <v>45754</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40746-2024</t>
        </is>
      </c>
      <c r="B1085" s="1" t="n">
        <v>45558</v>
      </c>
      <c r="C1085" s="1" t="n">
        <v>45754</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40864-2024</t>
        </is>
      </c>
      <c r="B1086" s="1" t="n">
        <v>45558</v>
      </c>
      <c r="C1086" s="1" t="n">
        <v>45754</v>
      </c>
      <c r="D1086" t="inlineStr">
        <is>
          <t>DALARNAS LÄN</t>
        </is>
      </c>
      <c r="E1086" t="inlineStr">
        <is>
          <t>LEKSAND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40868-2024</t>
        </is>
      </c>
      <c r="B1087" s="1" t="n">
        <v>45558</v>
      </c>
      <c r="C1087" s="1" t="n">
        <v>45754</v>
      </c>
      <c r="D1087" t="inlineStr">
        <is>
          <t>DALARNAS LÄN</t>
        </is>
      </c>
      <c r="E1087" t="inlineStr">
        <is>
          <t>LEKSAND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40752-2024</t>
        </is>
      </c>
      <c r="B1088" s="1" t="n">
        <v>45558</v>
      </c>
      <c r="C1088" s="1" t="n">
        <v>45754</v>
      </c>
      <c r="D1088" t="inlineStr">
        <is>
          <t>DALARNAS LÄN</t>
        </is>
      </c>
      <c r="E1088" t="inlineStr">
        <is>
          <t>LEKSAND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41015-2024</t>
        </is>
      </c>
      <c r="B1089" s="1" t="n">
        <v>45559</v>
      </c>
      <c r="C1089" s="1" t="n">
        <v>45754</v>
      </c>
      <c r="D1089" t="inlineStr">
        <is>
          <t>DALARNAS LÄN</t>
        </is>
      </c>
      <c r="E1089" t="inlineStr">
        <is>
          <t>LEKSAND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41169-2024</t>
        </is>
      </c>
      <c r="B1090" s="1" t="n">
        <v>45559</v>
      </c>
      <c r="C1090" s="1" t="n">
        <v>45754</v>
      </c>
      <c r="D1090" t="inlineStr">
        <is>
          <t>DALARNAS LÄN</t>
        </is>
      </c>
      <c r="E1090" t="inlineStr">
        <is>
          <t>LEKSAND</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41046-2024</t>
        </is>
      </c>
      <c r="B1091" s="1" t="n">
        <v>45559</v>
      </c>
      <c r="C1091" s="1" t="n">
        <v>45754</v>
      </c>
      <c r="D1091" t="inlineStr">
        <is>
          <t>DALARNAS LÄN</t>
        </is>
      </c>
      <c r="E1091" t="inlineStr">
        <is>
          <t>LEKSAND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41306-2024</t>
        </is>
      </c>
      <c r="B1092" s="1" t="n">
        <v>45559</v>
      </c>
      <c r="C1092" s="1" t="n">
        <v>45754</v>
      </c>
      <c r="D1092" t="inlineStr">
        <is>
          <t>DALARNAS LÄN</t>
        </is>
      </c>
      <c r="E1092" t="inlineStr">
        <is>
          <t>LEKSAND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41840-2024</t>
        </is>
      </c>
      <c r="B1093" s="1" t="n">
        <v>45561</v>
      </c>
      <c r="C1093" s="1" t="n">
        <v>45754</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41896-2024</t>
        </is>
      </c>
      <c r="B1094" s="1" t="n">
        <v>45561</v>
      </c>
      <c r="C1094" s="1" t="n">
        <v>45754</v>
      </c>
      <c r="D1094" t="inlineStr">
        <is>
          <t>DALARNAS LÄN</t>
        </is>
      </c>
      <c r="E1094" t="inlineStr">
        <is>
          <t>LEKSAND</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41997-2024</t>
        </is>
      </c>
      <c r="B1095" s="1" t="n">
        <v>45561</v>
      </c>
      <c r="C1095" s="1" t="n">
        <v>45754</v>
      </c>
      <c r="D1095" t="inlineStr">
        <is>
          <t>DALARNAS LÄN</t>
        </is>
      </c>
      <c r="E1095" t="inlineStr">
        <is>
          <t>LEKSAND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42029-2024</t>
        </is>
      </c>
      <c r="B1096" s="1" t="n">
        <v>45561</v>
      </c>
      <c r="C1096" s="1" t="n">
        <v>45754</v>
      </c>
      <c r="D1096" t="inlineStr">
        <is>
          <t>DALARNAS LÄN</t>
        </is>
      </c>
      <c r="E1096" t="inlineStr">
        <is>
          <t>LEKSAND</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42125-2024</t>
        </is>
      </c>
      <c r="B1097" s="1" t="n">
        <v>45562</v>
      </c>
      <c r="C1097" s="1" t="n">
        <v>45754</v>
      </c>
      <c r="D1097" t="inlineStr">
        <is>
          <t>DALARNAS LÄN</t>
        </is>
      </c>
      <c r="E1097" t="inlineStr">
        <is>
          <t>LEKSAND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42808-2024</t>
        </is>
      </c>
      <c r="B1098" s="1" t="n">
        <v>45566</v>
      </c>
      <c r="C1098" s="1" t="n">
        <v>45754</v>
      </c>
      <c r="D1098" t="inlineStr">
        <is>
          <t>DALARNAS LÄN</t>
        </is>
      </c>
      <c r="E1098" t="inlineStr">
        <is>
          <t>LEKSAND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42727-2024</t>
        </is>
      </c>
      <c r="B1099" s="1" t="n">
        <v>45566</v>
      </c>
      <c r="C1099" s="1" t="n">
        <v>45754</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43142-2024</t>
        </is>
      </c>
      <c r="B1100" s="1" t="n">
        <v>45567</v>
      </c>
      <c r="C1100" s="1" t="n">
        <v>45754</v>
      </c>
      <c r="D1100" t="inlineStr">
        <is>
          <t>DALARNAS LÄN</t>
        </is>
      </c>
      <c r="E1100" t="inlineStr">
        <is>
          <t>LEKSAND</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45754</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43220-2024</t>
        </is>
      </c>
      <c r="B1102" s="1" t="n">
        <v>45567</v>
      </c>
      <c r="C1102" s="1" t="n">
        <v>45754</v>
      </c>
      <c r="D1102" t="inlineStr">
        <is>
          <t>DALARNAS LÄN</t>
        </is>
      </c>
      <c r="E1102" t="inlineStr">
        <is>
          <t>LEKSAND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43222-2024</t>
        </is>
      </c>
      <c r="B1103" s="1" t="n">
        <v>45567</v>
      </c>
      <c r="C1103" s="1" t="n">
        <v>45754</v>
      </c>
      <c r="D1103" t="inlineStr">
        <is>
          <t>DALARNAS LÄN</t>
        </is>
      </c>
      <c r="E1103" t="inlineStr">
        <is>
          <t>LEKSAND</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43233-2024</t>
        </is>
      </c>
      <c r="B1104" s="1" t="n">
        <v>45567</v>
      </c>
      <c r="C1104" s="1" t="n">
        <v>45754</v>
      </c>
      <c r="D1104" t="inlineStr">
        <is>
          <t>DALARNAS LÄN</t>
        </is>
      </c>
      <c r="E1104" t="inlineStr">
        <is>
          <t>LEKSAND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43237-2024</t>
        </is>
      </c>
      <c r="B1105" s="1" t="n">
        <v>45568</v>
      </c>
      <c r="C1105" s="1" t="n">
        <v>45754</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43221-2024</t>
        </is>
      </c>
      <c r="B1106" s="1" t="n">
        <v>45567</v>
      </c>
      <c r="C1106" s="1" t="n">
        <v>45754</v>
      </c>
      <c r="D1106" t="inlineStr">
        <is>
          <t>DALARNAS LÄN</t>
        </is>
      </c>
      <c r="E1106" t="inlineStr">
        <is>
          <t>LEKSAND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43231-2024</t>
        </is>
      </c>
      <c r="B1107" s="1" t="n">
        <v>45567</v>
      </c>
      <c r="C1107" s="1" t="n">
        <v>45754</v>
      </c>
      <c r="D1107" t="inlineStr">
        <is>
          <t>DALARNAS LÄN</t>
        </is>
      </c>
      <c r="E1107" t="inlineStr">
        <is>
          <t>LEKSAND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43234-2024</t>
        </is>
      </c>
      <c r="B1108" s="1" t="n">
        <v>45568</v>
      </c>
      <c r="C1108" s="1" t="n">
        <v>45754</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43077-2024</t>
        </is>
      </c>
      <c r="B1109" s="1" t="n">
        <v>45567</v>
      </c>
      <c r="C1109" s="1" t="n">
        <v>45754</v>
      </c>
      <c r="D1109" t="inlineStr">
        <is>
          <t>DALARNAS LÄN</t>
        </is>
      </c>
      <c r="E1109" t="inlineStr">
        <is>
          <t>LEKSAND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43419-2024</t>
        </is>
      </c>
      <c r="B1110" s="1" t="n">
        <v>45568</v>
      </c>
      <c r="C1110" s="1" t="n">
        <v>45754</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43412-2024</t>
        </is>
      </c>
      <c r="B1111" s="1" t="n">
        <v>45568</v>
      </c>
      <c r="C1111" s="1" t="n">
        <v>45754</v>
      </c>
      <c r="D1111" t="inlineStr">
        <is>
          <t>DALARNAS LÄN</t>
        </is>
      </c>
      <c r="E1111" t="inlineStr">
        <is>
          <t>LEKSAND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43470-2024</t>
        </is>
      </c>
      <c r="B1112" s="1" t="n">
        <v>45568</v>
      </c>
      <c r="C1112" s="1" t="n">
        <v>45754</v>
      </c>
      <c r="D1112" t="inlineStr">
        <is>
          <t>DALARNAS LÄN</t>
        </is>
      </c>
      <c r="E1112" t="inlineStr">
        <is>
          <t>LEKSAND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43331-2024</t>
        </is>
      </c>
      <c r="B1113" s="1" t="n">
        <v>45568</v>
      </c>
      <c r="C1113" s="1" t="n">
        <v>45754</v>
      </c>
      <c r="D1113" t="inlineStr">
        <is>
          <t>DALARNAS LÄN</t>
        </is>
      </c>
      <c r="E1113" t="inlineStr">
        <is>
          <t>LEKSAND</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43832-2024</t>
        </is>
      </c>
      <c r="B1114" s="1" t="n">
        <v>45569</v>
      </c>
      <c r="C1114" s="1" t="n">
        <v>45754</v>
      </c>
      <c r="D1114" t="inlineStr">
        <is>
          <t>DALARNAS LÄN</t>
        </is>
      </c>
      <c r="E1114" t="inlineStr">
        <is>
          <t>LEKSAND</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44469-2024</t>
        </is>
      </c>
      <c r="B1115" s="1" t="n">
        <v>45574</v>
      </c>
      <c r="C1115" s="1" t="n">
        <v>45754</v>
      </c>
      <c r="D1115" t="inlineStr">
        <is>
          <t>DALARNAS LÄN</t>
        </is>
      </c>
      <c r="E1115" t="inlineStr">
        <is>
          <t>LEKSAND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44822-2024</t>
        </is>
      </c>
      <c r="B1116" s="1" t="n">
        <v>45574</v>
      </c>
      <c r="C1116" s="1" t="n">
        <v>45754</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45455-2024</t>
        </is>
      </c>
      <c r="B1117" s="1" t="n">
        <v>45576</v>
      </c>
      <c r="C1117" s="1" t="n">
        <v>45754</v>
      </c>
      <c r="D1117" t="inlineStr">
        <is>
          <t>DALARNAS LÄN</t>
        </is>
      </c>
      <c r="E1117" t="inlineStr">
        <is>
          <t>LEKSAND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45760-2024</t>
        </is>
      </c>
      <c r="B1118" s="1" t="n">
        <v>45579</v>
      </c>
      <c r="C1118" s="1" t="n">
        <v>45754</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46076-2024</t>
        </is>
      </c>
      <c r="B1119" s="1" t="n">
        <v>45581</v>
      </c>
      <c r="C1119" s="1" t="n">
        <v>45754</v>
      </c>
      <c r="D1119" t="inlineStr">
        <is>
          <t>DALARNAS LÄN</t>
        </is>
      </c>
      <c r="E1119" t="inlineStr">
        <is>
          <t>LEKSAND</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46359-2024</t>
        </is>
      </c>
      <c r="B1120" s="1" t="n">
        <v>45582</v>
      </c>
      <c r="C1120" s="1" t="n">
        <v>45754</v>
      </c>
      <c r="D1120" t="inlineStr">
        <is>
          <t>DALARNAS LÄN</t>
        </is>
      </c>
      <c r="E1120" t="inlineStr">
        <is>
          <t>LEKSAND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46628-2024</t>
        </is>
      </c>
      <c r="B1121" s="1" t="n">
        <v>45583</v>
      </c>
      <c r="C1121" s="1" t="n">
        <v>45754</v>
      </c>
      <c r="D1121" t="inlineStr">
        <is>
          <t>DALARNAS LÄN</t>
        </is>
      </c>
      <c r="E1121" t="inlineStr">
        <is>
          <t>LEKSAND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46653-2024</t>
        </is>
      </c>
      <c r="B1122" s="1" t="n">
        <v>45583</v>
      </c>
      <c r="C1122" s="1" t="n">
        <v>45754</v>
      </c>
      <c r="D1122" t="inlineStr">
        <is>
          <t>DALARNAS LÄN</t>
        </is>
      </c>
      <c r="E1122" t="inlineStr">
        <is>
          <t>LEKSAND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47272-2024</t>
        </is>
      </c>
      <c r="B1123" s="1" t="n">
        <v>45586</v>
      </c>
      <c r="C1123" s="1" t="n">
        <v>45754</v>
      </c>
      <c r="D1123" t="inlineStr">
        <is>
          <t>DALARNAS LÄN</t>
        </is>
      </c>
      <c r="E1123" t="inlineStr">
        <is>
          <t>LEKSAND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47503-2024</t>
        </is>
      </c>
      <c r="B1124" s="1" t="n">
        <v>45587</v>
      </c>
      <c r="C1124" s="1" t="n">
        <v>45754</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47640-2024</t>
        </is>
      </c>
      <c r="B1125" s="1" t="n">
        <v>45588</v>
      </c>
      <c r="C1125" s="1" t="n">
        <v>45754</v>
      </c>
      <c r="D1125" t="inlineStr">
        <is>
          <t>DALARNAS LÄN</t>
        </is>
      </c>
      <c r="E1125" t="inlineStr">
        <is>
          <t>LEKSAND</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47913-2024</t>
        </is>
      </c>
      <c r="B1126" s="1" t="n">
        <v>45589</v>
      </c>
      <c r="C1126" s="1" t="n">
        <v>45754</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48501-2024</t>
        </is>
      </c>
      <c r="B1127" s="1" t="n">
        <v>45592</v>
      </c>
      <c r="C1127" s="1" t="n">
        <v>45754</v>
      </c>
      <c r="D1127" t="inlineStr">
        <is>
          <t>DALARNAS LÄN</t>
        </is>
      </c>
      <c r="E1127" t="inlineStr">
        <is>
          <t>LEKSAND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48677-2024</t>
        </is>
      </c>
      <c r="B1128" s="1" t="n">
        <v>45593</v>
      </c>
      <c r="C1128" s="1" t="n">
        <v>45754</v>
      </c>
      <c r="D1128" t="inlineStr">
        <is>
          <t>DALARNAS LÄN</t>
        </is>
      </c>
      <c r="E1128" t="inlineStr">
        <is>
          <t>LEKSAND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48857-2024</t>
        </is>
      </c>
      <c r="B1129" s="1" t="n">
        <v>45593</v>
      </c>
      <c r="C1129" s="1" t="n">
        <v>45754</v>
      </c>
      <c r="D1129" t="inlineStr">
        <is>
          <t>DALARNAS LÄN</t>
        </is>
      </c>
      <c r="E1129" t="inlineStr">
        <is>
          <t>LEKSAND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49068-2024</t>
        </is>
      </c>
      <c r="B1130" s="1" t="n">
        <v>45594</v>
      </c>
      <c r="C1130" s="1" t="n">
        <v>45754</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48902-2024</t>
        </is>
      </c>
      <c r="B1131" s="1" t="n">
        <v>45594</v>
      </c>
      <c r="C1131" s="1" t="n">
        <v>45754</v>
      </c>
      <c r="D1131" t="inlineStr">
        <is>
          <t>DALARNAS LÄN</t>
        </is>
      </c>
      <c r="E1131" t="inlineStr">
        <is>
          <t>LEKSAND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49397-2024</t>
        </is>
      </c>
      <c r="B1132" s="1" t="n">
        <v>45595</v>
      </c>
      <c r="C1132" s="1" t="n">
        <v>45754</v>
      </c>
      <c r="D1132" t="inlineStr">
        <is>
          <t>DALARNAS LÄN</t>
        </is>
      </c>
      <c r="E1132" t="inlineStr">
        <is>
          <t>LEKSAND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49405-2024</t>
        </is>
      </c>
      <c r="B1133" s="1" t="n">
        <v>45595</v>
      </c>
      <c r="C1133" s="1" t="n">
        <v>45754</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49395-2024</t>
        </is>
      </c>
      <c r="B1134" s="1" t="n">
        <v>45595</v>
      </c>
      <c r="C1134" s="1" t="n">
        <v>45754</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49553-2024</t>
        </is>
      </c>
      <c r="B1135" s="1" t="n">
        <v>45596</v>
      </c>
      <c r="C1135" s="1" t="n">
        <v>45754</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49499-2024</t>
        </is>
      </c>
      <c r="B1136" s="1" t="n">
        <v>45596</v>
      </c>
      <c r="C1136" s="1" t="n">
        <v>45754</v>
      </c>
      <c r="D1136" t="inlineStr">
        <is>
          <t>DALARNAS LÄN</t>
        </is>
      </c>
      <c r="E1136" t="inlineStr">
        <is>
          <t>LEKSAND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49850-2024</t>
        </is>
      </c>
      <c r="B1137" s="1" t="n">
        <v>45596</v>
      </c>
      <c r="C1137" s="1" t="n">
        <v>45754</v>
      </c>
      <c r="D1137" t="inlineStr">
        <is>
          <t>DALARNAS LÄN</t>
        </is>
      </c>
      <c r="E1137" t="inlineStr">
        <is>
          <t>LEKSAND</t>
        </is>
      </c>
      <c r="F1137" t="inlineStr">
        <is>
          <t>Övriga statliga verk och myndigheter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49506-2024</t>
        </is>
      </c>
      <c r="B1138" s="1" t="n">
        <v>45596</v>
      </c>
      <c r="C1138" s="1" t="n">
        <v>45754</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50307-2024</t>
        </is>
      </c>
      <c r="B1139" s="1" t="n">
        <v>45600</v>
      </c>
      <c r="C1139" s="1" t="n">
        <v>45754</v>
      </c>
      <c r="D1139" t="inlineStr">
        <is>
          <t>DALARNAS LÄN</t>
        </is>
      </c>
      <c r="E1139" t="inlineStr">
        <is>
          <t>LEKSAND</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50486-2024</t>
        </is>
      </c>
      <c r="B1140" s="1" t="n">
        <v>45601</v>
      </c>
      <c r="C1140" s="1" t="n">
        <v>45754</v>
      </c>
      <c r="D1140" t="inlineStr">
        <is>
          <t>DALARNAS LÄN</t>
        </is>
      </c>
      <c r="E1140" t="inlineStr">
        <is>
          <t>LEKSAND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51517-2024</t>
        </is>
      </c>
      <c r="B1141" s="1" t="n">
        <v>45603</v>
      </c>
      <c r="C1141" s="1" t="n">
        <v>45754</v>
      </c>
      <c r="D1141" t="inlineStr">
        <is>
          <t>DALARNAS LÄN</t>
        </is>
      </c>
      <c r="E1141" t="inlineStr">
        <is>
          <t>LEKSAND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51408-2024</t>
        </is>
      </c>
      <c r="B1142" s="1" t="n">
        <v>45604</v>
      </c>
      <c r="C1142" s="1" t="n">
        <v>45754</v>
      </c>
      <c r="D1142" t="inlineStr">
        <is>
          <t>DALARNAS LÄN</t>
        </is>
      </c>
      <c r="E1142" t="inlineStr">
        <is>
          <t>LEKSAND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51677-2024</t>
        </is>
      </c>
      <c r="B1143" s="1" t="n">
        <v>45607</v>
      </c>
      <c r="C1143" s="1" t="n">
        <v>45754</v>
      </c>
      <c r="D1143" t="inlineStr">
        <is>
          <t>DALARNAS LÄN</t>
        </is>
      </c>
      <c r="E1143" t="inlineStr">
        <is>
          <t>LEKSAND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51860-2024</t>
        </is>
      </c>
      <c r="B1144" s="1" t="n">
        <v>45607</v>
      </c>
      <c r="C1144" s="1" t="n">
        <v>45754</v>
      </c>
      <c r="D1144" t="inlineStr">
        <is>
          <t>DALARNAS LÄN</t>
        </is>
      </c>
      <c r="E1144" t="inlineStr">
        <is>
          <t>LEKSAND</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51907-2024</t>
        </is>
      </c>
      <c r="B1145" s="1" t="n">
        <v>45607</v>
      </c>
      <c r="C1145" s="1" t="n">
        <v>45754</v>
      </c>
      <c r="D1145" t="inlineStr">
        <is>
          <t>DALARNAS LÄN</t>
        </is>
      </c>
      <c r="E1145" t="inlineStr">
        <is>
          <t>LEKSAND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52277-2024</t>
        </is>
      </c>
      <c r="B1146" s="1" t="n">
        <v>45608</v>
      </c>
      <c r="C1146" s="1" t="n">
        <v>45754</v>
      </c>
      <c r="D1146" t="inlineStr">
        <is>
          <t>DALARNAS LÄN</t>
        </is>
      </c>
      <c r="E1146" t="inlineStr">
        <is>
          <t>LEKSAND</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52293-2024</t>
        </is>
      </c>
      <c r="B1147" s="1" t="n">
        <v>45608</v>
      </c>
      <c r="C1147" s="1" t="n">
        <v>45754</v>
      </c>
      <c r="D1147" t="inlineStr">
        <is>
          <t>DALARNAS LÄN</t>
        </is>
      </c>
      <c r="E1147" t="inlineStr">
        <is>
          <t>LEKSAND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52059-2024</t>
        </is>
      </c>
      <c r="B1148" s="1" t="n">
        <v>45608</v>
      </c>
      <c r="C1148" s="1" t="n">
        <v>45754</v>
      </c>
      <c r="D1148" t="inlineStr">
        <is>
          <t>DALARNAS LÄN</t>
        </is>
      </c>
      <c r="E1148" t="inlineStr">
        <is>
          <t>LEKSAND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52100-2024</t>
        </is>
      </c>
      <c r="B1149" s="1" t="n">
        <v>45608</v>
      </c>
      <c r="C1149" s="1" t="n">
        <v>45754</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52572-2024</t>
        </is>
      </c>
      <c r="B1150" s="1" t="n">
        <v>45609</v>
      </c>
      <c r="C1150" s="1" t="n">
        <v>45754</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52755-2024</t>
        </is>
      </c>
      <c r="B1151" s="1" t="n">
        <v>45610</v>
      </c>
      <c r="C1151" s="1" t="n">
        <v>45754</v>
      </c>
      <c r="D1151" t="inlineStr">
        <is>
          <t>DALARNAS LÄN</t>
        </is>
      </c>
      <c r="E1151" t="inlineStr">
        <is>
          <t>LEKSAND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53193-2024</t>
        </is>
      </c>
      <c r="B1152" s="1" t="n">
        <v>45610</v>
      </c>
      <c r="C1152" s="1" t="n">
        <v>45754</v>
      </c>
      <c r="D1152" t="inlineStr">
        <is>
          <t>DALARNAS LÄN</t>
        </is>
      </c>
      <c r="E1152" t="inlineStr">
        <is>
          <t>LEKSAND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53464-2024</t>
        </is>
      </c>
      <c r="B1153" s="1" t="n">
        <v>45611</v>
      </c>
      <c r="C1153" s="1" t="n">
        <v>45754</v>
      </c>
      <c r="D1153" t="inlineStr">
        <is>
          <t>DALARNAS LÄN</t>
        </is>
      </c>
      <c r="E1153" t="inlineStr">
        <is>
          <t>LEKSAND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53662-2024</t>
        </is>
      </c>
      <c r="B1154" s="1" t="n">
        <v>45612</v>
      </c>
      <c r="C1154" s="1" t="n">
        <v>45754</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53319-2024</t>
        </is>
      </c>
      <c r="B1155" s="1" t="n">
        <v>45614</v>
      </c>
      <c r="C1155" s="1" t="n">
        <v>45754</v>
      </c>
      <c r="D1155" t="inlineStr">
        <is>
          <t>DALARNAS LÄN</t>
        </is>
      </c>
      <c r="E1155" t="inlineStr">
        <is>
          <t>LEKSAND</t>
        </is>
      </c>
      <c r="G1155" t="n">
        <v>3.1</v>
      </c>
      <c r="H1155" t="n">
        <v>0</v>
      </c>
      <c r="I1155" t="n">
        <v>0</v>
      </c>
      <c r="J1155" t="n">
        <v>0</v>
      </c>
      <c r="K1155" t="n">
        <v>0</v>
      </c>
      <c r="L1155" t="n">
        <v>0</v>
      </c>
      <c r="M1155" t="n">
        <v>0</v>
      </c>
      <c r="N1155" t="n">
        <v>0</v>
      </c>
      <c r="O1155" t="n">
        <v>0</v>
      </c>
      <c r="P1155" t="n">
        <v>0</v>
      </c>
      <c r="Q1155" t="n">
        <v>0</v>
      </c>
      <c r="R1155" s="2" t="inlineStr"/>
      <c r="U1155">
        <f>HYPERLINK("https://klasma.github.io/Logging_2029/knärot/A 53319-2024 karta knärot.png", "A 53319-2024")</f>
        <v/>
      </c>
      <c r="V1155">
        <f>HYPERLINK("https://klasma.github.io/Logging_2029/klagomål/A 53319-2024 FSC-klagomål.docx", "A 53319-2024")</f>
        <v/>
      </c>
      <c r="W1155">
        <f>HYPERLINK("https://klasma.github.io/Logging_2029/klagomålsmail/A 53319-2024 FSC-klagomål mail.docx", "A 53319-2024")</f>
        <v/>
      </c>
      <c r="X1155">
        <f>HYPERLINK("https://klasma.github.io/Logging_2029/tillsyn/A 53319-2024 tillsynsbegäran.docx", "A 53319-2024")</f>
        <v/>
      </c>
      <c r="Y1155">
        <f>HYPERLINK("https://klasma.github.io/Logging_2029/tillsynsmail/A 53319-2024 tillsynsbegäran mail.docx", "A 53319-2024")</f>
        <v/>
      </c>
    </row>
    <row r="1156" ht="15" customHeight="1">
      <c r="A1156" t="inlineStr">
        <is>
          <t>A 53625-2024</t>
        </is>
      </c>
      <c r="B1156" s="1" t="n">
        <v>45614</v>
      </c>
      <c r="C1156" s="1" t="n">
        <v>45754</v>
      </c>
      <c r="D1156" t="inlineStr">
        <is>
          <t>DALARNAS LÄN</t>
        </is>
      </c>
      <c r="E1156" t="inlineStr">
        <is>
          <t>LEKSAND</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53634-2024</t>
        </is>
      </c>
      <c r="B1157" s="1" t="n">
        <v>45614</v>
      </c>
      <c r="C1157" s="1" t="n">
        <v>45754</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53633-2024</t>
        </is>
      </c>
      <c r="B1158" s="1" t="n">
        <v>45614</v>
      </c>
      <c r="C1158" s="1" t="n">
        <v>45754</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53313-2024</t>
        </is>
      </c>
      <c r="B1159" s="1" t="n">
        <v>45614</v>
      </c>
      <c r="C1159" s="1" t="n">
        <v>45754</v>
      </c>
      <c r="D1159" t="inlineStr">
        <is>
          <t>DALARNAS LÄN</t>
        </is>
      </c>
      <c r="E1159" t="inlineStr">
        <is>
          <t>LEKSAND</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53981-2024</t>
        </is>
      </c>
      <c r="B1160" s="1" t="n">
        <v>45615</v>
      </c>
      <c r="C1160" s="1" t="n">
        <v>45754</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53992-2024</t>
        </is>
      </c>
      <c r="B1161" s="1" t="n">
        <v>45616</v>
      </c>
      <c r="C1161" s="1" t="n">
        <v>45754</v>
      </c>
      <c r="D1161" t="inlineStr">
        <is>
          <t>DALARNAS LÄN</t>
        </is>
      </c>
      <c r="E1161" t="inlineStr">
        <is>
          <t>LEKSAND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45754</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54911-2024</t>
        </is>
      </c>
      <c r="B1163" s="1" t="n">
        <v>45618</v>
      </c>
      <c r="C1163" s="1" t="n">
        <v>45754</v>
      </c>
      <c r="D1163" t="inlineStr">
        <is>
          <t>DALARNAS LÄN</t>
        </is>
      </c>
      <c r="E1163" t="inlineStr">
        <is>
          <t>LEKSAND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54910-2024</t>
        </is>
      </c>
      <c r="B1164" s="1" t="n">
        <v>45618</v>
      </c>
      <c r="C1164" s="1" t="n">
        <v>45754</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54914-2024</t>
        </is>
      </c>
      <c r="B1165" s="1" t="n">
        <v>45618</v>
      </c>
      <c r="C1165" s="1" t="n">
        <v>45754</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45754</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45754</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45754</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45754</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55516-2024</t>
        </is>
      </c>
      <c r="B1170" s="1" t="n">
        <v>45621</v>
      </c>
      <c r="C1170" s="1" t="n">
        <v>45754</v>
      </c>
      <c r="D1170" t="inlineStr">
        <is>
          <t>DALARNAS LÄN</t>
        </is>
      </c>
      <c r="E1170" t="inlineStr">
        <is>
          <t>LEKSAND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55643-2024</t>
        </is>
      </c>
      <c r="B1171" s="1" t="n">
        <v>45621</v>
      </c>
      <c r="C1171" s="1" t="n">
        <v>45754</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55520-2024</t>
        </is>
      </c>
      <c r="B1172" s="1" t="n">
        <v>45621</v>
      </c>
      <c r="C1172" s="1" t="n">
        <v>45754</v>
      </c>
      <c r="D1172" t="inlineStr">
        <is>
          <t>DALARNAS LÄN</t>
        </is>
      </c>
      <c r="E1172" t="inlineStr">
        <is>
          <t>LEKSAND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55706-2024</t>
        </is>
      </c>
      <c r="B1173" s="1" t="n">
        <v>45622</v>
      </c>
      <c r="C1173" s="1" t="n">
        <v>45754</v>
      </c>
      <c r="D1173" t="inlineStr">
        <is>
          <t>DALARNAS LÄN</t>
        </is>
      </c>
      <c r="E1173" t="inlineStr">
        <is>
          <t>LEKSAND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55689-2024</t>
        </is>
      </c>
      <c r="B1174" s="1" t="n">
        <v>45622</v>
      </c>
      <c r="C1174" s="1" t="n">
        <v>45754</v>
      </c>
      <c r="D1174" t="inlineStr">
        <is>
          <t>DALARNAS LÄN</t>
        </is>
      </c>
      <c r="E1174" t="inlineStr">
        <is>
          <t>LEKSAND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55926-2024</t>
        </is>
      </c>
      <c r="B1175" s="1" t="n">
        <v>45623</v>
      </c>
      <c r="C1175" s="1" t="n">
        <v>45754</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56016-2024</t>
        </is>
      </c>
      <c r="B1176" s="1" t="n">
        <v>45623</v>
      </c>
      <c r="C1176" s="1" t="n">
        <v>45754</v>
      </c>
      <c r="D1176" t="inlineStr">
        <is>
          <t>DALARNAS LÄN</t>
        </is>
      </c>
      <c r="E1176" t="inlineStr">
        <is>
          <t>LEKSAND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56059-2024</t>
        </is>
      </c>
      <c r="B1177" s="1" t="n">
        <v>45624</v>
      </c>
      <c r="C1177" s="1" t="n">
        <v>45754</v>
      </c>
      <c r="D1177" t="inlineStr">
        <is>
          <t>DALARNAS LÄN</t>
        </is>
      </c>
      <c r="E1177" t="inlineStr">
        <is>
          <t>LEKSAND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56283-2024</t>
        </is>
      </c>
      <c r="B1178" s="1" t="n">
        <v>45624</v>
      </c>
      <c r="C1178" s="1" t="n">
        <v>45754</v>
      </c>
      <c r="D1178" t="inlineStr">
        <is>
          <t>DALARNAS LÄN</t>
        </is>
      </c>
      <c r="E1178" t="inlineStr">
        <is>
          <t>LEKSAND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56299-2024</t>
        </is>
      </c>
      <c r="B1179" s="1" t="n">
        <v>45624</v>
      </c>
      <c r="C1179" s="1" t="n">
        <v>45754</v>
      </c>
      <c r="D1179" t="inlineStr">
        <is>
          <t>DALARNAS LÄN</t>
        </is>
      </c>
      <c r="E1179" t="inlineStr">
        <is>
          <t>LEKSAND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45754</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45754</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45754</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45754</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56641-2024</t>
        </is>
      </c>
      <c r="B1184" s="1" t="n">
        <v>45625</v>
      </c>
      <c r="C1184" s="1" t="n">
        <v>45754</v>
      </c>
      <c r="D1184" t="inlineStr">
        <is>
          <t>DALARNAS LÄN</t>
        </is>
      </c>
      <c r="E1184" t="inlineStr">
        <is>
          <t>LEKSAND</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56943-2024</t>
        </is>
      </c>
      <c r="B1185" s="1" t="n">
        <v>45625</v>
      </c>
      <c r="C1185" s="1" t="n">
        <v>45754</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56950-2024</t>
        </is>
      </c>
      <c r="B1186" s="1" t="n">
        <v>45625</v>
      </c>
      <c r="C1186" s="1" t="n">
        <v>45754</v>
      </c>
      <c r="D1186" t="inlineStr">
        <is>
          <t>DALARNAS LÄN</t>
        </is>
      </c>
      <c r="E1186" t="inlineStr">
        <is>
          <t>LEKSAND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56777-2024</t>
        </is>
      </c>
      <c r="B1187" s="1" t="n">
        <v>45628</v>
      </c>
      <c r="C1187" s="1" t="n">
        <v>45754</v>
      </c>
      <c r="D1187" t="inlineStr">
        <is>
          <t>DALARNAS LÄN</t>
        </is>
      </c>
      <c r="E1187" t="inlineStr">
        <is>
          <t>LEKSAND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56749-2024</t>
        </is>
      </c>
      <c r="B1188" s="1" t="n">
        <v>45628</v>
      </c>
      <c r="C1188" s="1" t="n">
        <v>45754</v>
      </c>
      <c r="D1188" t="inlineStr">
        <is>
          <t>DALARNAS LÄN</t>
        </is>
      </c>
      <c r="E1188" t="inlineStr">
        <is>
          <t>LEKSAND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45754</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45754</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57907-2024</t>
        </is>
      </c>
      <c r="B1191" s="1" t="n">
        <v>45630</v>
      </c>
      <c r="C1191" s="1" t="n">
        <v>45754</v>
      </c>
      <c r="D1191" t="inlineStr">
        <is>
          <t>DALARNAS LÄN</t>
        </is>
      </c>
      <c r="E1191" t="inlineStr">
        <is>
          <t>LEKSAND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57899-2024</t>
        </is>
      </c>
      <c r="B1192" s="1" t="n">
        <v>45630</v>
      </c>
      <c r="C1192" s="1" t="n">
        <v>45754</v>
      </c>
      <c r="D1192" t="inlineStr">
        <is>
          <t>DALARNAS LÄN</t>
        </is>
      </c>
      <c r="E1192" t="inlineStr">
        <is>
          <t>LEKSAND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57933-2024</t>
        </is>
      </c>
      <c r="B1193" s="1" t="n">
        <v>45630</v>
      </c>
      <c r="C1193" s="1" t="n">
        <v>45754</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58555-2024</t>
        </is>
      </c>
      <c r="B1194" s="1" t="n">
        <v>45635</v>
      </c>
      <c r="C1194" s="1" t="n">
        <v>45754</v>
      </c>
      <c r="D1194" t="inlineStr">
        <is>
          <t>DALARNAS LÄN</t>
        </is>
      </c>
      <c r="E1194" t="inlineStr">
        <is>
          <t>LEKSAND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45754</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45754</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45754</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59199-2024</t>
        </is>
      </c>
      <c r="B1198" s="1" t="n">
        <v>45637</v>
      </c>
      <c r="C1198" s="1" t="n">
        <v>45754</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59236-2024</t>
        </is>
      </c>
      <c r="B1199" s="1" t="n">
        <v>45637</v>
      </c>
      <c r="C1199" s="1" t="n">
        <v>45754</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59266-2024</t>
        </is>
      </c>
      <c r="B1200" s="1" t="n">
        <v>45637</v>
      </c>
      <c r="C1200" s="1" t="n">
        <v>45754</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59840-2024</t>
        </is>
      </c>
      <c r="B1201" s="1" t="n">
        <v>45638</v>
      </c>
      <c r="C1201" s="1" t="n">
        <v>45754</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59751-2024</t>
        </is>
      </c>
      <c r="B1202" s="1" t="n">
        <v>45638</v>
      </c>
      <c r="C1202" s="1" t="n">
        <v>45754</v>
      </c>
      <c r="D1202" t="inlineStr">
        <is>
          <t>DALARNAS LÄN</t>
        </is>
      </c>
      <c r="E1202" t="inlineStr">
        <is>
          <t>LEKSAND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60544-2024</t>
        </is>
      </c>
      <c r="B1203" s="1" t="n">
        <v>45643</v>
      </c>
      <c r="C1203" s="1" t="n">
        <v>45754</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60552-2024</t>
        </is>
      </c>
      <c r="B1204" s="1" t="n">
        <v>45643</v>
      </c>
      <c r="C1204" s="1" t="n">
        <v>45754</v>
      </c>
      <c r="D1204" t="inlineStr">
        <is>
          <t>DALARNAS LÄN</t>
        </is>
      </c>
      <c r="E1204" t="inlineStr">
        <is>
          <t>LEKSAND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60489-2024</t>
        </is>
      </c>
      <c r="B1205" s="1" t="n">
        <v>45643</v>
      </c>
      <c r="C1205" s="1" t="n">
        <v>45754</v>
      </c>
      <c r="D1205" t="inlineStr">
        <is>
          <t>DALARNAS LÄN</t>
        </is>
      </c>
      <c r="E1205" t="inlineStr">
        <is>
          <t>LEKSAND</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60906-2024</t>
        </is>
      </c>
      <c r="B1206" s="1" t="n">
        <v>45645</v>
      </c>
      <c r="C1206" s="1" t="n">
        <v>45754</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60945-2024</t>
        </is>
      </c>
      <c r="B1207" s="1" t="n">
        <v>45645</v>
      </c>
      <c r="C1207" s="1" t="n">
        <v>45754</v>
      </c>
      <c r="D1207" t="inlineStr">
        <is>
          <t>DALARNAS LÄN</t>
        </is>
      </c>
      <c r="E1207" t="inlineStr">
        <is>
          <t>LEKSAND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60993-2024</t>
        </is>
      </c>
      <c r="B1208" s="1" t="n">
        <v>45645</v>
      </c>
      <c r="C1208" s="1" t="n">
        <v>45754</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60986-2024</t>
        </is>
      </c>
      <c r="B1209" s="1" t="n">
        <v>45645</v>
      </c>
      <c r="C1209" s="1" t="n">
        <v>45754</v>
      </c>
      <c r="D1209" t="inlineStr">
        <is>
          <t>DALARNAS LÄN</t>
        </is>
      </c>
      <c r="E1209" t="inlineStr">
        <is>
          <t>LEKSAND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61554-2024</t>
        </is>
      </c>
      <c r="B1210" s="1" t="n">
        <v>45646</v>
      </c>
      <c r="C1210" s="1" t="n">
        <v>45754</v>
      </c>
      <c r="D1210" t="inlineStr">
        <is>
          <t>DALARNAS LÄN</t>
        </is>
      </c>
      <c r="E1210" t="inlineStr">
        <is>
          <t>LEKSAND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61573-2024</t>
        </is>
      </c>
      <c r="B1211" s="1" t="n">
        <v>45646</v>
      </c>
      <c r="C1211" s="1" t="n">
        <v>45754</v>
      </c>
      <c r="D1211" t="inlineStr">
        <is>
          <t>DALARNAS LÄN</t>
        </is>
      </c>
      <c r="E1211" t="inlineStr">
        <is>
          <t>LEKSAND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62116-2024</t>
        </is>
      </c>
      <c r="B1212" s="1" t="n">
        <v>45646</v>
      </c>
      <c r="C1212" s="1" t="n">
        <v>45754</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61680-2024</t>
        </is>
      </c>
      <c r="B1213" s="1" t="n">
        <v>45647</v>
      </c>
      <c r="C1213" s="1" t="n">
        <v>45754</v>
      </c>
      <c r="D1213" t="inlineStr">
        <is>
          <t>DALARNAS LÄN</t>
        </is>
      </c>
      <c r="E1213" t="inlineStr">
        <is>
          <t>LEKSAND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61714-2024</t>
        </is>
      </c>
      <c r="B1214" s="1" t="n">
        <v>45648</v>
      </c>
      <c r="C1214" s="1" t="n">
        <v>45754</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62130-2024</t>
        </is>
      </c>
      <c r="B1215" s="1" t="n">
        <v>45656</v>
      </c>
      <c r="C1215" s="1" t="n">
        <v>45754</v>
      </c>
      <c r="D1215" t="inlineStr">
        <is>
          <t>DALARNAS LÄN</t>
        </is>
      </c>
      <c r="E1215" t="inlineStr">
        <is>
          <t>LEKSAND</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62161-2024</t>
        </is>
      </c>
      <c r="B1216" s="1" t="n">
        <v>45656</v>
      </c>
      <c r="C1216" s="1" t="n">
        <v>45754</v>
      </c>
      <c r="D1216" t="inlineStr">
        <is>
          <t>DALARNAS LÄN</t>
        </is>
      </c>
      <c r="E1216" t="inlineStr">
        <is>
          <t>LEKSAND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377-2025</t>
        </is>
      </c>
      <c r="B1217" s="1" t="n">
        <v>45662</v>
      </c>
      <c r="C1217" s="1" t="n">
        <v>45754</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471-2025</t>
        </is>
      </c>
      <c r="B1218" s="1" t="n">
        <v>45664</v>
      </c>
      <c r="C1218" s="1" t="n">
        <v>45754</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1182-2025</t>
        </is>
      </c>
      <c r="B1219" s="1" t="n">
        <v>45667</v>
      </c>
      <c r="C1219" s="1" t="n">
        <v>45754</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1267-2025</t>
        </is>
      </c>
      <c r="B1220" s="1" t="n">
        <v>45667</v>
      </c>
      <c r="C1220" s="1" t="n">
        <v>45754</v>
      </c>
      <c r="D1220" t="inlineStr">
        <is>
          <t>DALARNAS LÄN</t>
        </is>
      </c>
      <c r="E1220" t="inlineStr">
        <is>
          <t>LEKSAND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1984-2025</t>
        </is>
      </c>
      <c r="B1221" s="1" t="n">
        <v>45670</v>
      </c>
      <c r="C1221" s="1" t="n">
        <v>45754</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1983-2025</t>
        </is>
      </c>
      <c r="B1222" s="1" t="n">
        <v>45670</v>
      </c>
      <c r="C1222" s="1" t="n">
        <v>45754</v>
      </c>
      <c r="D1222" t="inlineStr">
        <is>
          <t>DALARNAS LÄN</t>
        </is>
      </c>
      <c r="E1222" t="inlineStr">
        <is>
          <t>LEKSAND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2447-2025</t>
        </is>
      </c>
      <c r="B1223" s="1" t="n">
        <v>45674</v>
      </c>
      <c r="C1223" s="1" t="n">
        <v>45754</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2401-2025</t>
        </is>
      </c>
      <c r="B1224" s="1" t="n">
        <v>45674</v>
      </c>
      <c r="C1224" s="1" t="n">
        <v>45754</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2630-2025</t>
        </is>
      </c>
      <c r="B1225" s="1" t="n">
        <v>45675</v>
      </c>
      <c r="C1225" s="1" t="n">
        <v>45754</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2694-2025</t>
        </is>
      </c>
      <c r="B1226" s="1" t="n">
        <v>45677</v>
      </c>
      <c r="C1226" s="1" t="n">
        <v>45754</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45754</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45754</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3198-2025</t>
        </is>
      </c>
      <c r="B1229" s="1" t="n">
        <v>45679</v>
      </c>
      <c r="C1229" s="1" t="n">
        <v>45754</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3201-2025</t>
        </is>
      </c>
      <c r="B1230" s="1" t="n">
        <v>45679</v>
      </c>
      <c r="C1230" s="1" t="n">
        <v>45754</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3500-2025</t>
        </is>
      </c>
      <c r="B1231" s="1" t="n">
        <v>45680</v>
      </c>
      <c r="C1231" s="1" t="n">
        <v>45754</v>
      </c>
      <c r="D1231" t="inlineStr">
        <is>
          <t>DALARNAS LÄN</t>
        </is>
      </c>
      <c r="E1231" t="inlineStr">
        <is>
          <t>LEKSAND</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4794-2025</t>
        </is>
      </c>
      <c r="B1232" s="1" t="n">
        <v>45688</v>
      </c>
      <c r="C1232" s="1" t="n">
        <v>45754</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4974-2025</t>
        </is>
      </c>
      <c r="B1233" s="1" t="n">
        <v>45690</v>
      </c>
      <c r="C1233" s="1" t="n">
        <v>45754</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5453-2025</t>
        </is>
      </c>
      <c r="B1234" s="1" t="n">
        <v>45692</v>
      </c>
      <c r="C1234" s="1" t="n">
        <v>45754</v>
      </c>
      <c r="D1234" t="inlineStr">
        <is>
          <t>DALARNAS LÄN</t>
        </is>
      </c>
      <c r="E1234" t="inlineStr">
        <is>
          <t>LEKSAND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45754</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45754</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45754</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5847-2025</t>
        </is>
      </c>
      <c r="B1238" s="1" t="n">
        <v>45695</v>
      </c>
      <c r="C1238" s="1" t="n">
        <v>45754</v>
      </c>
      <c r="D1238" t="inlineStr">
        <is>
          <t>DALARNAS LÄN</t>
        </is>
      </c>
      <c r="E1238" t="inlineStr">
        <is>
          <t>LEKSAND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6519-2025</t>
        </is>
      </c>
      <c r="B1239" s="1" t="n">
        <v>45699</v>
      </c>
      <c r="C1239" s="1" t="n">
        <v>45754</v>
      </c>
      <c r="D1239" t="inlineStr">
        <is>
          <t>DALARNAS LÄN</t>
        </is>
      </c>
      <c r="E1239" t="inlineStr">
        <is>
          <t>LEKSAND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6778-2025</t>
        </is>
      </c>
      <c r="B1240" s="1" t="n">
        <v>45700</v>
      </c>
      <c r="C1240" s="1" t="n">
        <v>45754</v>
      </c>
      <c r="D1240" t="inlineStr">
        <is>
          <t>DALARNAS LÄN</t>
        </is>
      </c>
      <c r="E1240" t="inlineStr">
        <is>
          <t>LEKSAND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45754</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7395-2025</t>
        </is>
      </c>
      <c r="B1242" s="1" t="n">
        <v>45705</v>
      </c>
      <c r="C1242" s="1" t="n">
        <v>45754</v>
      </c>
      <c r="D1242" t="inlineStr">
        <is>
          <t>DALARNAS LÄN</t>
        </is>
      </c>
      <c r="E1242" t="inlineStr">
        <is>
          <t>LEKSAND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7653-2025</t>
        </is>
      </c>
      <c r="B1243" s="1" t="n">
        <v>45705</v>
      </c>
      <c r="C1243" s="1" t="n">
        <v>45754</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45754</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7778-2025</t>
        </is>
      </c>
      <c r="B1245" s="1" t="n">
        <v>45706</v>
      </c>
      <c r="C1245" s="1" t="n">
        <v>45754</v>
      </c>
      <c r="D1245" t="inlineStr">
        <is>
          <t>DALARNAS LÄN</t>
        </is>
      </c>
      <c r="E1245" t="inlineStr">
        <is>
          <t>LEKSAND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45754</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7897-2025</t>
        </is>
      </c>
      <c r="B1247" s="1" t="n">
        <v>45707</v>
      </c>
      <c r="C1247" s="1" t="n">
        <v>45754</v>
      </c>
      <c r="D1247" t="inlineStr">
        <is>
          <t>DALARNAS LÄN</t>
        </is>
      </c>
      <c r="E1247" t="inlineStr">
        <is>
          <t>LEKSAND</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45754</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45754</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11606-2025</t>
        </is>
      </c>
      <c r="B1250" s="1" t="n">
        <v>45727</v>
      </c>
      <c r="C1250" s="1" t="n">
        <v>45754</v>
      </c>
      <c r="D1250" t="inlineStr">
        <is>
          <t>DALARNAS LÄN</t>
        </is>
      </c>
      <c r="E1250" t="inlineStr">
        <is>
          <t>LEKSAND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11712-2025</t>
        </is>
      </c>
      <c r="B1251" s="1" t="n">
        <v>45727</v>
      </c>
      <c r="C1251" s="1" t="n">
        <v>45754</v>
      </c>
      <c r="D1251" t="inlineStr">
        <is>
          <t>DALARNAS LÄN</t>
        </is>
      </c>
      <c r="E1251" t="inlineStr">
        <is>
          <t>LEKSAND</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11740-2025</t>
        </is>
      </c>
      <c r="B1252" s="1" t="n">
        <v>45727</v>
      </c>
      <c r="C1252" s="1" t="n">
        <v>45754</v>
      </c>
      <c r="D1252" t="inlineStr">
        <is>
          <t>DALARNAS LÄN</t>
        </is>
      </c>
      <c r="E1252" t="inlineStr">
        <is>
          <t>LEKSAND</t>
        </is>
      </c>
      <c r="F1252" t="inlineStr">
        <is>
          <t>Övriga Aktiebolag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11958-2025</t>
        </is>
      </c>
      <c r="B1253" s="1" t="n">
        <v>45728</v>
      </c>
      <c r="C1253" s="1" t="n">
        <v>45754</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12581-2025</t>
        </is>
      </c>
      <c r="B1254" s="1" t="n">
        <v>45732</v>
      </c>
      <c r="C1254" s="1" t="n">
        <v>45754</v>
      </c>
      <c r="D1254" t="inlineStr">
        <is>
          <t>DALARNAS LÄN</t>
        </is>
      </c>
      <c r="E1254" t="inlineStr">
        <is>
          <t>LEKSAND</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12583-2025</t>
        </is>
      </c>
      <c r="B1255" s="1" t="n">
        <v>45732</v>
      </c>
      <c r="C1255" s="1" t="n">
        <v>45754</v>
      </c>
      <c r="D1255" t="inlineStr">
        <is>
          <t>DALARNAS LÄN</t>
        </is>
      </c>
      <c r="E1255" t="inlineStr">
        <is>
          <t>LEKSAND</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45754</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12646-2025</t>
        </is>
      </c>
      <c r="B1257" s="1" t="n">
        <v>45733</v>
      </c>
      <c r="C1257" s="1" t="n">
        <v>45754</v>
      </c>
      <c r="D1257" t="inlineStr">
        <is>
          <t>DALARNAS LÄN</t>
        </is>
      </c>
      <c r="E1257" t="inlineStr">
        <is>
          <t>LEKSAND</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12623-2025</t>
        </is>
      </c>
      <c r="B1258" s="1" t="n">
        <v>45733</v>
      </c>
      <c r="C1258" s="1" t="n">
        <v>45754</v>
      </c>
      <c r="D1258" t="inlineStr">
        <is>
          <t>DALARNAS LÄN</t>
        </is>
      </c>
      <c r="E1258" t="inlineStr">
        <is>
          <t>LEKSAND</t>
        </is>
      </c>
      <c r="F1258" t="inlineStr">
        <is>
          <t>Bergvik skog väst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12620-2025</t>
        </is>
      </c>
      <c r="B1259" s="1" t="n">
        <v>45733</v>
      </c>
      <c r="C1259" s="1" t="n">
        <v>45754</v>
      </c>
      <c r="D1259" t="inlineStr">
        <is>
          <t>DALARNAS LÄN</t>
        </is>
      </c>
      <c r="E1259" t="inlineStr">
        <is>
          <t>LEKSAND</t>
        </is>
      </c>
      <c r="F1259" t="inlineStr">
        <is>
          <t>Bergvik skog väst AB</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12621-2025</t>
        </is>
      </c>
      <c r="B1260" s="1" t="n">
        <v>45733</v>
      </c>
      <c r="C1260" s="1" t="n">
        <v>45754</v>
      </c>
      <c r="D1260" t="inlineStr">
        <is>
          <t>DALARNAS LÄN</t>
        </is>
      </c>
      <c r="E1260" t="inlineStr">
        <is>
          <t>LEKSAND</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12923-2025</t>
        </is>
      </c>
      <c r="B1261" s="1" t="n">
        <v>45734</v>
      </c>
      <c r="C1261" s="1" t="n">
        <v>45754</v>
      </c>
      <c r="D1261" t="inlineStr">
        <is>
          <t>DALARNAS LÄN</t>
        </is>
      </c>
      <c r="E1261" t="inlineStr">
        <is>
          <t>LEKSAND</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13384-2025</t>
        </is>
      </c>
      <c r="B1262" s="1" t="n">
        <v>45735</v>
      </c>
      <c r="C1262" s="1" t="n">
        <v>45754</v>
      </c>
      <c r="D1262" t="inlineStr">
        <is>
          <t>DALARNAS LÄN</t>
        </is>
      </c>
      <c r="E1262" t="inlineStr">
        <is>
          <t>LEKSAND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14504-2025</t>
        </is>
      </c>
      <c r="B1263" s="1" t="n">
        <v>45741</v>
      </c>
      <c r="C1263" s="1" t="n">
        <v>45754</v>
      </c>
      <c r="D1263" t="inlineStr">
        <is>
          <t>DALARNAS LÄN</t>
        </is>
      </c>
      <c r="E1263" t="inlineStr">
        <is>
          <t>LEKSAND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14797-2025</t>
        </is>
      </c>
      <c r="B1264" s="1" t="n">
        <v>45742</v>
      </c>
      <c r="C1264" s="1" t="n">
        <v>45754</v>
      </c>
      <c r="D1264" t="inlineStr">
        <is>
          <t>DALARNAS LÄN</t>
        </is>
      </c>
      <c r="E1264" t="inlineStr">
        <is>
          <t>LEKSAND</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14865-2025</t>
        </is>
      </c>
      <c r="B1265" s="1" t="n">
        <v>45743</v>
      </c>
      <c r="C1265" s="1" t="n">
        <v>45754</v>
      </c>
      <c r="D1265" t="inlineStr">
        <is>
          <t>DALARNAS LÄN</t>
        </is>
      </c>
      <c r="E1265" t="inlineStr">
        <is>
          <t>LEKSAND</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15173-2025</t>
        </is>
      </c>
      <c r="B1266" s="1" t="n">
        <v>45744</v>
      </c>
      <c r="C1266" s="1" t="n">
        <v>45754</v>
      </c>
      <c r="D1266" t="inlineStr">
        <is>
          <t>DALARNAS LÄN</t>
        </is>
      </c>
      <c r="E1266" t="inlineStr">
        <is>
          <t>LEKSAND</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15257-2025</t>
        </is>
      </c>
      <c r="B1267" s="1" t="n">
        <v>45744</v>
      </c>
      <c r="C1267" s="1" t="n">
        <v>45754</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15619-2025</t>
        </is>
      </c>
      <c r="B1268" s="1" t="n">
        <v>45747</v>
      </c>
      <c r="C1268" s="1" t="n">
        <v>45754</v>
      </c>
      <c r="D1268" t="inlineStr">
        <is>
          <t>DALARNAS LÄN</t>
        </is>
      </c>
      <c r="E1268" t="inlineStr">
        <is>
          <t>LEKSAND</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15377-2025</t>
        </is>
      </c>
      <c r="B1269" s="1" t="n">
        <v>45747</v>
      </c>
      <c r="C1269" s="1" t="n">
        <v>45754</v>
      </c>
      <c r="D1269" t="inlineStr">
        <is>
          <t>DALARNAS LÄN</t>
        </is>
      </c>
      <c r="E1269" t="inlineStr">
        <is>
          <t>LEKSAND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15392-2025</t>
        </is>
      </c>
      <c r="B1270" s="1" t="n">
        <v>45747</v>
      </c>
      <c r="C1270" s="1" t="n">
        <v>45754</v>
      </c>
      <c r="D1270" t="inlineStr">
        <is>
          <t>DALARNAS LÄN</t>
        </is>
      </c>
      <c r="E1270" t="inlineStr">
        <is>
          <t>LEKSAND</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16005-2025</t>
        </is>
      </c>
      <c r="B1271" s="1" t="n">
        <v>45749</v>
      </c>
      <c r="C1271" s="1" t="n">
        <v>45754</v>
      </c>
      <c r="D1271" t="inlineStr">
        <is>
          <t>DALARNAS LÄN</t>
        </is>
      </c>
      <c r="E1271" t="inlineStr">
        <is>
          <t>LEKSAND</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15986-2025</t>
        </is>
      </c>
      <c r="B1272" s="1" t="n">
        <v>45749</v>
      </c>
      <c r="C1272" s="1" t="n">
        <v>45754</v>
      </c>
      <c r="D1272" t="inlineStr">
        <is>
          <t>DALARNAS LÄN</t>
        </is>
      </c>
      <c r="E1272" t="inlineStr">
        <is>
          <t>LEKSAND</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45754</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c r="A1274" t="inlineStr">
        <is>
          <t>A 16293-2025</t>
        </is>
      </c>
      <c r="B1274" s="1" t="n">
        <v>45751</v>
      </c>
      <c r="C1274" s="1" t="n">
        <v>45754</v>
      </c>
      <c r="D1274" t="inlineStr">
        <is>
          <t>DALARNAS LÄN</t>
        </is>
      </c>
      <c r="E1274" t="inlineStr">
        <is>
          <t>LEKSAND</t>
        </is>
      </c>
      <c r="G1274" t="n">
        <v>1.2</v>
      </c>
      <c r="H1274" t="n">
        <v>0</v>
      </c>
      <c r="I1274" t="n">
        <v>0</v>
      </c>
      <c r="J1274" t="n">
        <v>0</v>
      </c>
      <c r="K1274" t="n">
        <v>0</v>
      </c>
      <c r="L1274" t="n">
        <v>0</v>
      </c>
      <c r="M1274" t="n">
        <v>0</v>
      </c>
      <c r="N1274" t="n">
        <v>0</v>
      </c>
      <c r="O1274" t="n">
        <v>0</v>
      </c>
      <c r="P1274" t="n">
        <v>0</v>
      </c>
      <c r="Q1274" t="n">
        <v>0</v>
      </c>
      <c r="R1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2025-04-07T16:41:37Z</dcterms:created>
  <dcterms:modified xmlns:dcterms="http://purl.org/dc/terms/" xmlns:xsi="http://www.w3.org/2001/XMLSchema-instance" xsi:type="dcterms:W3CDTF">2025-04-07T16:41:38Z</dcterms:modified>
</cp:coreProperties>
</file>