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46196</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46196</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46196</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46196</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46196</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46196</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46196</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46196</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46196</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46196</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48616-2025</t>
        </is>
      </c>
      <c r="B12" s="1" t="n">
        <v>45936</v>
      </c>
      <c r="C12" s="1" t="n">
        <v>46196</v>
      </c>
      <c r="D12" t="inlineStr">
        <is>
          <t>DALARNAS LÄN</t>
        </is>
      </c>
      <c r="E12" t="inlineStr">
        <is>
          <t>LEKSAND</t>
        </is>
      </c>
      <c r="G12" t="n">
        <v>2.6</v>
      </c>
      <c r="H12" t="n">
        <v>2</v>
      </c>
      <c r="I12" t="n">
        <v>3</v>
      </c>
      <c r="J12" t="n">
        <v>2</v>
      </c>
      <c r="K12" t="n">
        <v>3</v>
      </c>
      <c r="L12" t="n">
        <v>0</v>
      </c>
      <c r="M12" t="n">
        <v>0</v>
      </c>
      <c r="N12" t="n">
        <v>0</v>
      </c>
      <c r="O12" t="n">
        <v>5</v>
      </c>
      <c r="P12" t="n">
        <v>3</v>
      </c>
      <c r="Q12" t="n">
        <v>8</v>
      </c>
      <c r="R12" s="2" t="inlineStr">
        <is>
          <t>Garnlav
Gränsticka
Knärot
Rosenticka
Tretåig hackspett
Korallblylav
Rödgul trumpetsvamp
Stuplav</t>
        </is>
      </c>
      <c r="S12">
        <f>HYPERLINK("https://klasma.github.io/Logging_2029/artfynd/A 48616-2025 artfynd.xlsx", "A 48616-2025")</f>
        <v/>
      </c>
      <c r="T12">
        <f>HYPERLINK("https://klasma.github.io/Logging_2029/kartor/A 48616-2025 karta.png", "A 48616-2025")</f>
        <v/>
      </c>
      <c r="U12">
        <f>HYPERLINK("https://klasma.github.io/Logging_2029/knärot/A 48616-2025 karta knärot.png", "A 48616-2025")</f>
        <v/>
      </c>
      <c r="V12">
        <f>HYPERLINK("https://klasma.github.io/Logging_2029/klagomål/A 48616-2025 FSC-klagomål.docx", "A 48616-2025")</f>
        <v/>
      </c>
      <c r="W12">
        <f>HYPERLINK("https://klasma.github.io/Logging_2029/klagomålsmail/A 48616-2025 FSC-klagomål mail.docx", "A 48616-2025")</f>
        <v/>
      </c>
      <c r="X12">
        <f>HYPERLINK("https://klasma.github.io/Logging_2029/tillsyn/A 48616-2025 tillsynsbegäran.docx", "A 48616-2025")</f>
        <v/>
      </c>
      <c r="Y12">
        <f>HYPERLINK("https://klasma.github.io/Logging_2029/tillsynsmail/A 48616-2025 tillsynsbegäran mail.docx", "A 48616-2025")</f>
        <v/>
      </c>
      <c r="Z12">
        <f>HYPERLINK("https://klasma.github.io/Logging_2029/fåglar/A 48616-2025 prioriterade fågelarter.docx", "A 48616-2025")</f>
        <v/>
      </c>
    </row>
    <row r="13" ht="15" customHeight="1">
      <c r="A13" t="inlineStr">
        <is>
          <t>A 30224-2025</t>
        </is>
      </c>
      <c r="B13" s="1" t="n">
        <v>45827</v>
      </c>
      <c r="C13" s="1" t="n">
        <v>46196</v>
      </c>
      <c r="D13" t="inlineStr">
        <is>
          <t>DALARNAS LÄN</t>
        </is>
      </c>
      <c r="E13" t="inlineStr">
        <is>
          <t>LEKSAND</t>
        </is>
      </c>
      <c r="G13" t="n">
        <v>14.6</v>
      </c>
      <c r="H13" t="n">
        <v>1</v>
      </c>
      <c r="I13" t="n">
        <v>1</v>
      </c>
      <c r="J13" t="n">
        <v>5</v>
      </c>
      <c r="K13" t="n">
        <v>1</v>
      </c>
      <c r="L13" t="n">
        <v>0</v>
      </c>
      <c r="M13" t="n">
        <v>0</v>
      </c>
      <c r="N13" t="n">
        <v>0</v>
      </c>
      <c r="O13" t="n">
        <v>6</v>
      </c>
      <c r="P13" t="n">
        <v>1</v>
      </c>
      <c r="Q13" t="n">
        <v>8</v>
      </c>
      <c r="R13" s="2" t="inlineStr">
        <is>
          <t>Garnlav
Kolflarnlav
Tallticka
Ullticka
Vedflamlav
Vedskivlav
Mindre märgborre
Spillkråka</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11067-2023</t>
        </is>
      </c>
      <c r="B14" s="1" t="n">
        <v>44992</v>
      </c>
      <c r="C14" s="1" t="n">
        <v>46196</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46196</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46196</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40636-2025</t>
        </is>
      </c>
      <c r="B17" s="1" t="n">
        <v>45896</v>
      </c>
      <c r="C17" s="1" t="n">
        <v>46196</v>
      </c>
      <c r="D17" t="inlineStr">
        <is>
          <t>DALARNAS LÄN</t>
        </is>
      </c>
      <c r="E17" t="inlineStr">
        <is>
          <t>LEKSAND</t>
        </is>
      </c>
      <c r="F17" t="inlineStr">
        <is>
          <t>Bergvik skog väst AB</t>
        </is>
      </c>
      <c r="G17" t="n">
        <v>3.2</v>
      </c>
      <c r="H17" t="n">
        <v>2</v>
      </c>
      <c r="I17" t="n">
        <v>0</v>
      </c>
      <c r="J17" t="n">
        <v>4</v>
      </c>
      <c r="K17" t="n">
        <v>2</v>
      </c>
      <c r="L17" t="n">
        <v>0</v>
      </c>
      <c r="M17" t="n">
        <v>0</v>
      </c>
      <c r="N17" t="n">
        <v>0</v>
      </c>
      <c r="O17" t="n">
        <v>6</v>
      </c>
      <c r="P17" t="n">
        <v>2</v>
      </c>
      <c r="Q17" t="n">
        <v>6</v>
      </c>
      <c r="R17" s="2" t="inlineStr">
        <is>
          <t>Garnlav
Knärot
Dofttaggsvamp
Rynkskinn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30176-2024</t>
        </is>
      </c>
      <c r="B18" s="1" t="n">
        <v>45489</v>
      </c>
      <c r="C18" s="1" t="n">
        <v>46196</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9501-2025</t>
        </is>
      </c>
      <c r="B19" s="1" t="n">
        <v>45715</v>
      </c>
      <c r="C19" s="1" t="n">
        <v>46196</v>
      </c>
      <c r="D19" t="inlineStr">
        <is>
          <t>DALARNAS LÄN</t>
        </is>
      </c>
      <c r="E19" t="inlineStr">
        <is>
          <t>LEKSAND</t>
        </is>
      </c>
      <c r="G19" t="n">
        <v>1.4</v>
      </c>
      <c r="H19" t="n">
        <v>5</v>
      </c>
      <c r="I19" t="n">
        <v>1</v>
      </c>
      <c r="J19" t="n">
        <v>0</v>
      </c>
      <c r="K19" t="n">
        <v>1</v>
      </c>
      <c r="L19" t="n">
        <v>0</v>
      </c>
      <c r="M19" t="n">
        <v>0</v>
      </c>
      <c r="N19" t="n">
        <v>0</v>
      </c>
      <c r="O19" t="n">
        <v>1</v>
      </c>
      <c r="P19" t="n">
        <v>1</v>
      </c>
      <c r="Q19" t="n">
        <v>6</v>
      </c>
      <c r="R19" s="2" t="inlineStr">
        <is>
          <t>Knärot
Bronshjon
Järpe
Spillkråka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v>
      </c>
      <c r="C20" s="1" t="n">
        <v>46196</v>
      </c>
      <c r="D20" t="inlineStr">
        <is>
          <t>DALARNAS LÄN</t>
        </is>
      </c>
      <c r="E20" t="inlineStr">
        <is>
          <t>LEKSAND</t>
        </is>
      </c>
      <c r="G20" t="n">
        <v>2.5</v>
      </c>
      <c r="H20" t="n">
        <v>0</v>
      </c>
      <c r="I20" t="n">
        <v>1</v>
      </c>
      <c r="J20" t="n">
        <v>4</v>
      </c>
      <c r="K20" t="n">
        <v>1</v>
      </c>
      <c r="L20" t="n">
        <v>0</v>
      </c>
      <c r="M20" t="n">
        <v>0</v>
      </c>
      <c r="N20" t="n">
        <v>0</v>
      </c>
      <c r="O20" t="n">
        <v>5</v>
      </c>
      <c r="P20" t="n">
        <v>1</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5574-2024</t>
        </is>
      </c>
      <c r="B21" s="1" t="n">
        <v>45334</v>
      </c>
      <c r="C21" s="1" t="n">
        <v>46196</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366-2026</t>
        </is>
      </c>
      <c r="B22" s="1" t="n">
        <v>46027</v>
      </c>
      <c r="C22" s="1" t="n">
        <v>46196</v>
      </c>
      <c r="D22" t="inlineStr">
        <is>
          <t>DALARNAS LÄN</t>
        </is>
      </c>
      <c r="E22" t="inlineStr">
        <is>
          <t>LEKSAND</t>
        </is>
      </c>
      <c r="G22" t="n">
        <v>21.7</v>
      </c>
      <c r="H22" t="n">
        <v>0</v>
      </c>
      <c r="I22" t="n">
        <v>1</v>
      </c>
      <c r="J22" t="n">
        <v>3</v>
      </c>
      <c r="K22" t="n">
        <v>1</v>
      </c>
      <c r="L22" t="n">
        <v>0</v>
      </c>
      <c r="M22" t="n">
        <v>0</v>
      </c>
      <c r="N22" t="n">
        <v>0</v>
      </c>
      <c r="O22" t="n">
        <v>4</v>
      </c>
      <c r="P22" t="n">
        <v>1</v>
      </c>
      <c r="Q22" t="n">
        <v>5</v>
      </c>
      <c r="R22" s="2" t="inlineStr">
        <is>
          <t>Garnlav
Rosenticka
Ullticka
Violettgrå tagellav
Vedticka</t>
        </is>
      </c>
      <c r="S22">
        <f>HYPERLINK("https://klasma.github.io/Logging_2029/artfynd/A 366-2026 artfynd.xlsx", "A 366-2026")</f>
        <v/>
      </c>
      <c r="T22">
        <f>HYPERLINK("https://klasma.github.io/Logging_2029/kartor/A 366-2026 karta.png", "A 366-2026")</f>
        <v/>
      </c>
      <c r="V22">
        <f>HYPERLINK("https://klasma.github.io/Logging_2029/klagomål/A 366-2026 FSC-klagomål.docx", "A 366-2026")</f>
        <v/>
      </c>
      <c r="W22">
        <f>HYPERLINK("https://klasma.github.io/Logging_2029/klagomålsmail/A 366-2026 FSC-klagomål mail.docx", "A 366-2026")</f>
        <v/>
      </c>
      <c r="X22">
        <f>HYPERLINK("https://klasma.github.io/Logging_2029/tillsyn/A 366-2026 tillsynsbegäran.docx", "A 366-2026")</f>
        <v/>
      </c>
      <c r="Y22">
        <f>HYPERLINK("https://klasma.github.io/Logging_2029/tillsynsmail/A 366-2026 tillsynsbegäran mail.docx", "A 366-2026")</f>
        <v/>
      </c>
    </row>
    <row r="23" ht="15" customHeight="1">
      <c r="A23" t="inlineStr">
        <is>
          <t>A 31957-2025</t>
        </is>
      </c>
      <c r="B23" s="1" t="n">
        <v>45835</v>
      </c>
      <c r="C23" s="1" t="n">
        <v>46196</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16735-2025</t>
        </is>
      </c>
      <c r="B24" s="1" t="n">
        <v>45754</v>
      </c>
      <c r="C24" s="1" t="n">
        <v>46196</v>
      </c>
      <c r="D24" t="inlineStr">
        <is>
          <t>DALARNAS LÄN</t>
        </is>
      </c>
      <c r="E24" t="inlineStr">
        <is>
          <t>LEKSAND</t>
        </is>
      </c>
      <c r="G24" t="n">
        <v>1.8</v>
      </c>
      <c r="H24" t="n">
        <v>5</v>
      </c>
      <c r="I24" t="n">
        <v>0</v>
      </c>
      <c r="J24" t="n">
        <v>3</v>
      </c>
      <c r="K24" t="n">
        <v>0</v>
      </c>
      <c r="L24" t="n">
        <v>0</v>
      </c>
      <c r="M24" t="n">
        <v>0</v>
      </c>
      <c r="N24" t="n">
        <v>0</v>
      </c>
      <c r="O24" t="n">
        <v>3</v>
      </c>
      <c r="P24" t="n">
        <v>0</v>
      </c>
      <c r="Q24" t="n">
        <v>5</v>
      </c>
      <c r="R24" s="2" t="inlineStr">
        <is>
          <t>Göktyta
Järnsparv
Kricka
Gröngöling
Grönsiska</t>
        </is>
      </c>
      <c r="S24">
        <f>HYPERLINK("https://klasma.github.io/Logging_2029/artfynd/A 16735-2025 artfynd.xlsx", "A 16735-2025")</f>
        <v/>
      </c>
      <c r="T24">
        <f>HYPERLINK("https://klasma.github.io/Logging_2029/kartor/A 16735-2025 karta.png", "A 16735-2025")</f>
        <v/>
      </c>
      <c r="V24">
        <f>HYPERLINK("https://klasma.github.io/Logging_2029/klagomål/A 16735-2025 FSC-klagomål.docx", "A 16735-2025")</f>
        <v/>
      </c>
      <c r="W24">
        <f>HYPERLINK("https://klasma.github.io/Logging_2029/klagomålsmail/A 16735-2025 FSC-klagomål mail.docx", "A 16735-2025")</f>
        <v/>
      </c>
      <c r="X24">
        <f>HYPERLINK("https://klasma.github.io/Logging_2029/tillsyn/A 16735-2025 tillsynsbegäran.docx", "A 16735-2025")</f>
        <v/>
      </c>
      <c r="Y24">
        <f>HYPERLINK("https://klasma.github.io/Logging_2029/tillsynsmail/A 16735-2025 tillsynsbegäran mail.docx", "A 16735-2025")</f>
        <v/>
      </c>
      <c r="Z24">
        <f>HYPERLINK("https://klasma.github.io/Logging_2029/fåglar/A 16735-2025 prioriterade fågelarter.docx", "A 16735-2025")</f>
        <v/>
      </c>
    </row>
    <row r="25" ht="15" customHeight="1">
      <c r="A25" t="inlineStr">
        <is>
          <t>A 59840-2024</t>
        </is>
      </c>
      <c r="B25" s="1" t="n">
        <v>45638</v>
      </c>
      <c r="C25" s="1" t="n">
        <v>46196</v>
      </c>
      <c r="D25" t="inlineStr">
        <is>
          <t>DALARNAS LÄN</t>
        </is>
      </c>
      <c r="E25" t="inlineStr">
        <is>
          <t>LEKSAND</t>
        </is>
      </c>
      <c r="G25" t="n">
        <v>0.6</v>
      </c>
      <c r="H25" t="n">
        <v>1</v>
      </c>
      <c r="I25" t="n">
        <v>1</v>
      </c>
      <c r="J25" t="n">
        <v>3</v>
      </c>
      <c r="K25" t="n">
        <v>0</v>
      </c>
      <c r="L25" t="n">
        <v>0</v>
      </c>
      <c r="M25" t="n">
        <v>0</v>
      </c>
      <c r="N25" t="n">
        <v>0</v>
      </c>
      <c r="O25" t="n">
        <v>3</v>
      </c>
      <c r="P25" t="n">
        <v>0</v>
      </c>
      <c r="Q25" t="n">
        <v>5</v>
      </c>
      <c r="R25" s="2" t="inlineStr">
        <is>
          <t>Rosenticka
Rynkskinn
Slåtterfibbla
Svart trolldruva
Blåsippa</t>
        </is>
      </c>
      <c r="S25">
        <f>HYPERLINK("https://klasma.github.io/Logging_2029/artfynd/A 59840-2024 artfynd.xlsx", "A 59840-2024")</f>
        <v/>
      </c>
      <c r="T25">
        <f>HYPERLINK("https://klasma.github.io/Logging_2029/kartor/A 59840-2024 karta.png", "A 59840-2024")</f>
        <v/>
      </c>
      <c r="V25">
        <f>HYPERLINK("https://klasma.github.io/Logging_2029/klagomål/A 59840-2024 FSC-klagomål.docx", "A 59840-2024")</f>
        <v/>
      </c>
      <c r="W25">
        <f>HYPERLINK("https://klasma.github.io/Logging_2029/klagomålsmail/A 59840-2024 FSC-klagomål mail.docx", "A 59840-2024")</f>
        <v/>
      </c>
      <c r="X25">
        <f>HYPERLINK("https://klasma.github.io/Logging_2029/tillsyn/A 59840-2024 tillsynsbegäran.docx", "A 59840-2024")</f>
        <v/>
      </c>
      <c r="Y25">
        <f>HYPERLINK("https://klasma.github.io/Logging_2029/tillsynsmail/A 59840-2024 tillsynsbegäran mail.docx", "A 59840-2024")</f>
        <v/>
      </c>
    </row>
    <row r="26" ht="15" customHeight="1">
      <c r="A26" t="inlineStr">
        <is>
          <t>A 55519-2021</t>
        </is>
      </c>
      <c r="B26" s="1" t="n">
        <v>44475</v>
      </c>
      <c r="C26" s="1" t="n">
        <v>46196</v>
      </c>
      <c r="D26" t="inlineStr">
        <is>
          <t>DALARNAS LÄN</t>
        </is>
      </c>
      <c r="E26" t="inlineStr">
        <is>
          <t>LEKSAND</t>
        </is>
      </c>
      <c r="G26" t="n">
        <v>1.8</v>
      </c>
      <c r="H26" t="n">
        <v>5</v>
      </c>
      <c r="I26" t="n">
        <v>2</v>
      </c>
      <c r="J26" t="n">
        <v>0</v>
      </c>
      <c r="K26" t="n">
        <v>0</v>
      </c>
      <c r="L26" t="n">
        <v>0</v>
      </c>
      <c r="M26" t="n">
        <v>0</v>
      </c>
      <c r="N26" t="n">
        <v>0</v>
      </c>
      <c r="O26" t="n">
        <v>0</v>
      </c>
      <c r="P26" t="n">
        <v>0</v>
      </c>
      <c r="Q26" t="n">
        <v>5</v>
      </c>
      <c r="R26" s="2" t="inlineStr">
        <is>
          <t>Korallrot
Spindelblomster
Mattlummer
Fläcknycklar
Revlummer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47601-2025</t>
        </is>
      </c>
      <c r="B27" s="1" t="n">
        <v>45931</v>
      </c>
      <c r="C27" s="1" t="n">
        <v>46196</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46196</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46196</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41528-2025</t>
        </is>
      </c>
      <c r="B30" s="1" t="n">
        <v>45901</v>
      </c>
      <c r="C30" s="1" t="n">
        <v>46196</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13612-2026</t>
        </is>
      </c>
      <c r="B31" s="1" t="n">
        <v>46097</v>
      </c>
      <c r="C31" s="1" t="n">
        <v>46196</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59111-2024</t>
        </is>
      </c>
      <c r="B32" s="1" t="n">
        <v>45637</v>
      </c>
      <c r="C32" s="1" t="n">
        <v>46196</v>
      </c>
      <c r="D32" t="inlineStr">
        <is>
          <t>DALARNAS LÄN</t>
        </is>
      </c>
      <c r="E32" t="inlineStr">
        <is>
          <t>LEKSAND</t>
        </is>
      </c>
      <c r="G32" t="n">
        <v>8.800000000000001</v>
      </c>
      <c r="H32" t="n">
        <v>0</v>
      </c>
      <c r="I32" t="n">
        <v>0</v>
      </c>
      <c r="J32" t="n">
        <v>2</v>
      </c>
      <c r="K32" t="n">
        <v>1</v>
      </c>
      <c r="L32" t="n">
        <v>0</v>
      </c>
      <c r="M32" t="n">
        <v>0</v>
      </c>
      <c r="N32" t="n">
        <v>0</v>
      </c>
      <c r="O32" t="n">
        <v>3</v>
      </c>
      <c r="P32" t="n">
        <v>1</v>
      </c>
      <c r="Q32" t="n">
        <v>3</v>
      </c>
      <c r="R32" s="2" t="inlineStr">
        <is>
          <t>Garnlav
Rosenticka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41718-2021</t>
        </is>
      </c>
      <c r="B33" s="1" t="n">
        <v>44425</v>
      </c>
      <c r="C33" s="1" t="n">
        <v>46196</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41873-2022</t>
        </is>
      </c>
      <c r="B34" s="1" t="n">
        <v>44829</v>
      </c>
      <c r="C34" s="1" t="n">
        <v>46196</v>
      </c>
      <c r="D34" t="inlineStr">
        <is>
          <t>DALARNAS LÄN</t>
        </is>
      </c>
      <c r="E34" t="inlineStr">
        <is>
          <t>LEKSAND</t>
        </is>
      </c>
      <c r="G34" t="n">
        <v>2.1</v>
      </c>
      <c r="H34" t="n">
        <v>1</v>
      </c>
      <c r="I34" t="n">
        <v>1</v>
      </c>
      <c r="J34" t="n">
        <v>0</v>
      </c>
      <c r="K34" t="n">
        <v>0</v>
      </c>
      <c r="L34" t="n">
        <v>0</v>
      </c>
      <c r="M34" t="n">
        <v>0</v>
      </c>
      <c r="N34" t="n">
        <v>0</v>
      </c>
      <c r="O34" t="n">
        <v>0</v>
      </c>
      <c r="P34" t="n">
        <v>0</v>
      </c>
      <c r="Q34" t="n">
        <v>2</v>
      </c>
      <c r="R34" s="2" t="inlineStr">
        <is>
          <t>Underviol
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39546-2025</t>
        </is>
      </c>
      <c r="B35" s="1" t="n">
        <v>45890</v>
      </c>
      <c r="C35" s="1" t="n">
        <v>46196</v>
      </c>
      <c r="D35" t="inlineStr">
        <is>
          <t>DALARNAS LÄN</t>
        </is>
      </c>
      <c r="E35" t="inlineStr">
        <is>
          <t>LEKSAND</t>
        </is>
      </c>
      <c r="G35" t="n">
        <v>4.6</v>
      </c>
      <c r="H35" t="n">
        <v>0</v>
      </c>
      <c r="I35" t="n">
        <v>1</v>
      </c>
      <c r="J35" t="n">
        <v>0</v>
      </c>
      <c r="K35" t="n">
        <v>1</v>
      </c>
      <c r="L35" t="n">
        <v>0</v>
      </c>
      <c r="M35" t="n">
        <v>0</v>
      </c>
      <c r="N35" t="n">
        <v>0</v>
      </c>
      <c r="O35" t="n">
        <v>1</v>
      </c>
      <c r="P35" t="n">
        <v>1</v>
      </c>
      <c r="Q35" t="n">
        <v>2</v>
      </c>
      <c r="R35" s="2" t="inlineStr">
        <is>
          <t>Aspgelélav
Stuplav</t>
        </is>
      </c>
      <c r="S35">
        <f>HYPERLINK("https://klasma.github.io/Logging_2029/artfynd/A 39546-2025 artfynd.xlsx", "A 39546-2025")</f>
        <v/>
      </c>
      <c r="T35">
        <f>HYPERLINK("https://klasma.github.io/Logging_2029/kartor/A 39546-2025 karta.png", "A 39546-2025")</f>
        <v/>
      </c>
      <c r="V35">
        <f>HYPERLINK("https://klasma.github.io/Logging_2029/klagomål/A 39546-2025 FSC-klagomål.docx", "A 39546-2025")</f>
        <v/>
      </c>
      <c r="W35">
        <f>HYPERLINK("https://klasma.github.io/Logging_2029/klagomålsmail/A 39546-2025 FSC-klagomål mail.docx", "A 39546-2025")</f>
        <v/>
      </c>
      <c r="X35">
        <f>HYPERLINK("https://klasma.github.io/Logging_2029/tillsyn/A 39546-2025 tillsynsbegäran.docx", "A 39546-2025")</f>
        <v/>
      </c>
      <c r="Y35">
        <f>HYPERLINK("https://klasma.github.io/Logging_2029/tillsynsmail/A 39546-2025 tillsynsbegäran mail.docx", "A 39546-2025")</f>
        <v/>
      </c>
    </row>
    <row r="36" ht="15" customHeight="1">
      <c r="A36" t="inlineStr">
        <is>
          <t>A 27183-2025</t>
        </is>
      </c>
      <c r="B36" s="1" t="n">
        <v>45812</v>
      </c>
      <c r="C36" s="1" t="n">
        <v>46196</v>
      </c>
      <c r="D36" t="inlineStr">
        <is>
          <t>DALARNAS LÄN</t>
        </is>
      </c>
      <c r="E36" t="inlineStr">
        <is>
          <t>LEKSAND</t>
        </is>
      </c>
      <c r="G36" t="n">
        <v>1</v>
      </c>
      <c r="H36" t="n">
        <v>2</v>
      </c>
      <c r="I36" t="n">
        <v>0</v>
      </c>
      <c r="J36" t="n">
        <v>0</v>
      </c>
      <c r="K36" t="n">
        <v>2</v>
      </c>
      <c r="L36" t="n">
        <v>0</v>
      </c>
      <c r="M36" t="n">
        <v>0</v>
      </c>
      <c r="N36" t="n">
        <v>0</v>
      </c>
      <c r="O36" t="n">
        <v>2</v>
      </c>
      <c r="P36" t="n">
        <v>2</v>
      </c>
      <c r="Q36" t="n">
        <v>2</v>
      </c>
      <c r="R36" s="2" t="inlineStr">
        <is>
          <t>Brun gräsfjäril
Väddnätfjäril</t>
        </is>
      </c>
      <c r="S36">
        <f>HYPERLINK("https://klasma.github.io/Logging_2029/artfynd/A 27183-2025 artfynd.xlsx", "A 27183-2025")</f>
        <v/>
      </c>
      <c r="T36">
        <f>HYPERLINK("https://klasma.github.io/Logging_2029/kartor/A 27183-2025 karta.png", "A 27183-2025")</f>
        <v/>
      </c>
      <c r="V36">
        <f>HYPERLINK("https://klasma.github.io/Logging_2029/klagomål/A 27183-2025 FSC-klagomål.docx", "A 27183-2025")</f>
        <v/>
      </c>
      <c r="W36">
        <f>HYPERLINK("https://klasma.github.io/Logging_2029/klagomålsmail/A 27183-2025 FSC-klagomål mail.docx", "A 27183-2025")</f>
        <v/>
      </c>
      <c r="X36">
        <f>HYPERLINK("https://klasma.github.io/Logging_2029/tillsyn/A 27183-2025 tillsynsbegäran.docx", "A 27183-2025")</f>
        <v/>
      </c>
      <c r="Y36">
        <f>HYPERLINK("https://klasma.github.io/Logging_2029/tillsynsmail/A 27183-2025 tillsynsbegäran mail.docx", "A 27183-2025")</f>
        <v/>
      </c>
    </row>
    <row r="37" ht="15" customHeight="1">
      <c r="A37" t="inlineStr">
        <is>
          <t>A 368-2026</t>
        </is>
      </c>
      <c r="B37" s="1" t="n">
        <v>46027</v>
      </c>
      <c r="C37" s="1" t="n">
        <v>46196</v>
      </c>
      <c r="D37" t="inlineStr">
        <is>
          <t>DALARNAS LÄN</t>
        </is>
      </c>
      <c r="E37" t="inlineStr">
        <is>
          <t>LEKSAND</t>
        </is>
      </c>
      <c r="G37" t="n">
        <v>3.2</v>
      </c>
      <c r="H37" t="n">
        <v>0</v>
      </c>
      <c r="I37" t="n">
        <v>0</v>
      </c>
      <c r="J37" t="n">
        <v>2</v>
      </c>
      <c r="K37" t="n">
        <v>0</v>
      </c>
      <c r="L37" t="n">
        <v>0</v>
      </c>
      <c r="M37" t="n">
        <v>0</v>
      </c>
      <c r="N37" t="n">
        <v>0</v>
      </c>
      <c r="O37" t="n">
        <v>2</v>
      </c>
      <c r="P37" t="n">
        <v>0</v>
      </c>
      <c r="Q37" t="n">
        <v>2</v>
      </c>
      <c r="R37" s="2" t="inlineStr">
        <is>
          <t>Rosenticka
Rynkskinn</t>
        </is>
      </c>
      <c r="S37">
        <f>HYPERLINK("https://klasma.github.io/Logging_2029/artfynd/A 368-2026 artfynd.xlsx", "A 368-2026")</f>
        <v/>
      </c>
      <c r="T37">
        <f>HYPERLINK("https://klasma.github.io/Logging_2029/kartor/A 368-2026 karta.png", "A 368-2026")</f>
        <v/>
      </c>
      <c r="V37">
        <f>HYPERLINK("https://klasma.github.io/Logging_2029/klagomål/A 368-2026 FSC-klagomål.docx", "A 368-2026")</f>
        <v/>
      </c>
      <c r="W37">
        <f>HYPERLINK("https://klasma.github.io/Logging_2029/klagomålsmail/A 368-2026 FSC-klagomål mail.docx", "A 368-2026")</f>
        <v/>
      </c>
      <c r="X37">
        <f>HYPERLINK("https://klasma.github.io/Logging_2029/tillsyn/A 368-2026 tillsynsbegäran.docx", "A 368-2026")</f>
        <v/>
      </c>
      <c r="Y37">
        <f>HYPERLINK("https://klasma.github.io/Logging_2029/tillsynsmail/A 368-2026 tillsynsbegäran mail.docx", "A 368-2026")</f>
        <v/>
      </c>
    </row>
    <row r="38" ht="15" customHeight="1">
      <c r="A38" t="inlineStr">
        <is>
          <t>A 34996-2025</t>
        </is>
      </c>
      <c r="B38" s="1" t="n">
        <v>45849</v>
      </c>
      <c r="C38" s="1" t="n">
        <v>46196</v>
      </c>
      <c r="D38" t="inlineStr">
        <is>
          <t>DALARNAS LÄN</t>
        </is>
      </c>
      <c r="E38" t="inlineStr">
        <is>
          <t>LEKSAND</t>
        </is>
      </c>
      <c r="G38" t="n">
        <v>1.1</v>
      </c>
      <c r="H38" t="n">
        <v>0</v>
      </c>
      <c r="I38" t="n">
        <v>0</v>
      </c>
      <c r="J38" t="n">
        <v>1</v>
      </c>
      <c r="K38" t="n">
        <v>1</v>
      </c>
      <c r="L38" t="n">
        <v>0</v>
      </c>
      <c r="M38" t="n">
        <v>0</v>
      </c>
      <c r="N38" t="n">
        <v>0</v>
      </c>
      <c r="O38" t="n">
        <v>2</v>
      </c>
      <c r="P38" t="n">
        <v>1</v>
      </c>
      <c r="Q38" t="n">
        <v>2</v>
      </c>
      <c r="R38" s="2" t="inlineStr">
        <is>
          <t>Garnlav
Dvärgbägarlav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59826-2023</t>
        </is>
      </c>
      <c r="B39" s="1" t="n">
        <v>45254</v>
      </c>
      <c r="C39" s="1" t="n">
        <v>46196</v>
      </c>
      <c r="D39" t="inlineStr">
        <is>
          <t>DALARNAS LÄN</t>
        </is>
      </c>
      <c r="E39" t="inlineStr">
        <is>
          <t>LEKSAND</t>
        </is>
      </c>
      <c r="G39" t="n">
        <v>1.1</v>
      </c>
      <c r="H39" t="n">
        <v>0</v>
      </c>
      <c r="I39" t="n">
        <v>1</v>
      </c>
      <c r="J39" t="n">
        <v>1</v>
      </c>
      <c r="K39" t="n">
        <v>0</v>
      </c>
      <c r="L39" t="n">
        <v>0</v>
      </c>
      <c r="M39" t="n">
        <v>0</v>
      </c>
      <c r="N39" t="n">
        <v>0</v>
      </c>
      <c r="O39" t="n">
        <v>1</v>
      </c>
      <c r="P39" t="n">
        <v>0</v>
      </c>
      <c r="Q39" t="n">
        <v>2</v>
      </c>
      <c r="R39" s="2" t="inlineStr">
        <is>
          <t>Stiftgelélav
Skinnlav</t>
        </is>
      </c>
      <c r="S39">
        <f>HYPERLINK("https://klasma.github.io/Logging_2029/artfynd/A 59826-2023 artfynd.xlsx", "A 59826-2023")</f>
        <v/>
      </c>
      <c r="T39">
        <f>HYPERLINK("https://klasma.github.io/Logging_2029/kartor/A 59826-2023 karta.png", "A 59826-2023")</f>
        <v/>
      </c>
      <c r="V39">
        <f>HYPERLINK("https://klasma.github.io/Logging_2029/klagomål/A 59826-2023 FSC-klagomål.docx", "A 59826-2023")</f>
        <v/>
      </c>
      <c r="W39">
        <f>HYPERLINK("https://klasma.github.io/Logging_2029/klagomålsmail/A 59826-2023 FSC-klagomål mail.docx", "A 59826-2023")</f>
        <v/>
      </c>
      <c r="X39">
        <f>HYPERLINK("https://klasma.github.io/Logging_2029/tillsyn/A 59826-2023 tillsynsbegäran.docx", "A 59826-2023")</f>
        <v/>
      </c>
      <c r="Y39">
        <f>HYPERLINK("https://klasma.github.io/Logging_2029/tillsynsmail/A 59826-2023 tillsynsbegäran mail.docx", "A 59826-2023")</f>
        <v/>
      </c>
    </row>
    <row r="40" ht="15" customHeight="1">
      <c r="A40" t="inlineStr">
        <is>
          <t>A 58495-2023</t>
        </is>
      </c>
      <c r="B40" s="1" t="n">
        <v>45251</v>
      </c>
      <c r="C40" s="1" t="n">
        <v>46196</v>
      </c>
      <c r="D40" t="inlineStr">
        <is>
          <t>DALARNAS LÄN</t>
        </is>
      </c>
      <c r="E40" t="inlineStr">
        <is>
          <t>LEKSAND</t>
        </is>
      </c>
      <c r="G40" t="n">
        <v>1.7</v>
      </c>
      <c r="H40" t="n">
        <v>0</v>
      </c>
      <c r="I40" t="n">
        <v>2</v>
      </c>
      <c r="J40" t="n">
        <v>0</v>
      </c>
      <c r="K40" t="n">
        <v>0</v>
      </c>
      <c r="L40" t="n">
        <v>0</v>
      </c>
      <c r="M40" t="n">
        <v>0</v>
      </c>
      <c r="N40" t="n">
        <v>0</v>
      </c>
      <c r="O40" t="n">
        <v>0</v>
      </c>
      <c r="P40" t="n">
        <v>0</v>
      </c>
      <c r="Q40" t="n">
        <v>2</v>
      </c>
      <c r="R40" s="2" t="inlineStr">
        <is>
          <t>Brun nållav
Sotlav</t>
        </is>
      </c>
      <c r="S40">
        <f>HYPERLINK("https://klasma.github.io/Logging_2029/artfynd/A 58495-2023 artfynd.xlsx", "A 58495-2023")</f>
        <v/>
      </c>
      <c r="T40">
        <f>HYPERLINK("https://klasma.github.io/Logging_2029/kartor/A 58495-2023 karta.png", "A 58495-2023")</f>
        <v/>
      </c>
      <c r="V40">
        <f>HYPERLINK("https://klasma.github.io/Logging_2029/klagomål/A 58495-2023 FSC-klagomål.docx", "A 58495-2023")</f>
        <v/>
      </c>
      <c r="W40">
        <f>HYPERLINK("https://klasma.github.io/Logging_2029/klagomålsmail/A 58495-2023 FSC-klagomål mail.docx", "A 58495-2023")</f>
        <v/>
      </c>
      <c r="X40">
        <f>HYPERLINK("https://klasma.github.io/Logging_2029/tillsyn/A 58495-2023 tillsynsbegäran.docx", "A 58495-2023")</f>
        <v/>
      </c>
      <c r="Y40">
        <f>HYPERLINK("https://klasma.github.io/Logging_2029/tillsynsmail/A 58495-2023 tillsynsbegäran mail.docx", "A 58495-2023")</f>
        <v/>
      </c>
    </row>
    <row r="41" ht="15" customHeight="1">
      <c r="A41" t="inlineStr">
        <is>
          <t>A 16333-2023</t>
        </is>
      </c>
      <c r="B41" s="1" t="n">
        <v>45028</v>
      </c>
      <c r="C41" s="1" t="n">
        <v>46196</v>
      </c>
      <c r="D41" t="inlineStr">
        <is>
          <t>DALARNAS LÄN</t>
        </is>
      </c>
      <c r="E41" t="inlineStr">
        <is>
          <t>LEKSAND</t>
        </is>
      </c>
      <c r="G41" t="n">
        <v>1.5</v>
      </c>
      <c r="H41" t="n">
        <v>1</v>
      </c>
      <c r="I41" t="n">
        <v>1</v>
      </c>
      <c r="J41" t="n">
        <v>0</v>
      </c>
      <c r="K41" t="n">
        <v>0</v>
      </c>
      <c r="L41" t="n">
        <v>0</v>
      </c>
      <c r="M41" t="n">
        <v>0</v>
      </c>
      <c r="N41" t="n">
        <v>0</v>
      </c>
      <c r="O41" t="n">
        <v>0</v>
      </c>
      <c r="P41" t="n">
        <v>0</v>
      </c>
      <c r="Q41" t="n">
        <v>2</v>
      </c>
      <c r="R41" s="2" t="inlineStr">
        <is>
          <t>Läderskål
Nattviol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9408-2024</t>
        </is>
      </c>
      <c r="B42" s="1" t="n">
        <v>45358</v>
      </c>
      <c r="C42" s="1" t="n">
        <v>46196</v>
      </c>
      <c r="D42" t="inlineStr">
        <is>
          <t>DALARNAS LÄN</t>
        </is>
      </c>
      <c r="E42" t="inlineStr">
        <is>
          <t>LEKSAND</t>
        </is>
      </c>
      <c r="G42" t="n">
        <v>3</v>
      </c>
      <c r="H42" t="n">
        <v>0</v>
      </c>
      <c r="I42" t="n">
        <v>0</v>
      </c>
      <c r="J42" t="n">
        <v>2</v>
      </c>
      <c r="K42" t="n">
        <v>0</v>
      </c>
      <c r="L42" t="n">
        <v>0</v>
      </c>
      <c r="M42" t="n">
        <v>0</v>
      </c>
      <c r="N42" t="n">
        <v>0</v>
      </c>
      <c r="O42" t="n">
        <v>2</v>
      </c>
      <c r="P42" t="n">
        <v>0</v>
      </c>
      <c r="Q42" t="n">
        <v>2</v>
      </c>
      <c r="R42" s="2" t="inlineStr">
        <is>
          <t>Kolflarnlav
Talltaggsvamp</t>
        </is>
      </c>
      <c r="S42">
        <f>HYPERLINK("https://klasma.github.io/Logging_2029/artfynd/A 9408-2024 artfynd.xlsx", "A 9408-2024")</f>
        <v/>
      </c>
      <c r="T42">
        <f>HYPERLINK("https://klasma.github.io/Logging_2029/kartor/A 9408-2024 karta.png", "A 9408-2024")</f>
        <v/>
      </c>
      <c r="V42">
        <f>HYPERLINK("https://klasma.github.io/Logging_2029/klagomål/A 9408-2024 FSC-klagomål.docx", "A 9408-2024")</f>
        <v/>
      </c>
      <c r="W42">
        <f>HYPERLINK("https://klasma.github.io/Logging_2029/klagomålsmail/A 9408-2024 FSC-klagomål mail.docx", "A 9408-2024")</f>
        <v/>
      </c>
      <c r="X42">
        <f>HYPERLINK("https://klasma.github.io/Logging_2029/tillsyn/A 9408-2024 tillsynsbegäran.docx", "A 9408-2024")</f>
        <v/>
      </c>
      <c r="Y42">
        <f>HYPERLINK("https://klasma.github.io/Logging_2029/tillsynsmail/A 9408-2024 tillsynsbegäran mail.docx", "A 9408-2024")</f>
        <v/>
      </c>
    </row>
    <row r="43" ht="15" customHeight="1">
      <c r="A43" t="inlineStr">
        <is>
          <t>A 62161-2024</t>
        </is>
      </c>
      <c r="B43" s="1" t="n">
        <v>45656</v>
      </c>
      <c r="C43" s="1" t="n">
        <v>46196</v>
      </c>
      <c r="D43" t="inlineStr">
        <is>
          <t>DALARNAS LÄN</t>
        </is>
      </c>
      <c r="E43" t="inlineStr">
        <is>
          <t>LEKSAND</t>
        </is>
      </c>
      <c r="G43" t="n">
        <v>2</v>
      </c>
      <c r="H43" t="n">
        <v>1</v>
      </c>
      <c r="I43" t="n">
        <v>2</v>
      </c>
      <c r="J43" t="n">
        <v>0</v>
      </c>
      <c r="K43" t="n">
        <v>0</v>
      </c>
      <c r="L43" t="n">
        <v>0</v>
      </c>
      <c r="M43" t="n">
        <v>0</v>
      </c>
      <c r="N43" t="n">
        <v>0</v>
      </c>
      <c r="O43" t="n">
        <v>0</v>
      </c>
      <c r="P43" t="n">
        <v>0</v>
      </c>
      <c r="Q43" t="n">
        <v>2</v>
      </c>
      <c r="R43" s="2" t="inlineStr">
        <is>
          <t>Kambräken
Korallrot</t>
        </is>
      </c>
      <c r="S43">
        <f>HYPERLINK("https://klasma.github.io/Logging_2029/artfynd/A 62161-2024 artfynd.xlsx", "A 62161-2024")</f>
        <v/>
      </c>
      <c r="T43">
        <f>HYPERLINK("https://klasma.github.io/Logging_2029/kartor/A 62161-2024 karta.png", "A 62161-2024")</f>
        <v/>
      </c>
      <c r="V43">
        <f>HYPERLINK("https://klasma.github.io/Logging_2029/klagomål/A 62161-2024 FSC-klagomål.docx", "A 62161-2024")</f>
        <v/>
      </c>
      <c r="W43">
        <f>HYPERLINK("https://klasma.github.io/Logging_2029/klagomålsmail/A 62161-2024 FSC-klagomål mail.docx", "A 62161-2024")</f>
        <v/>
      </c>
      <c r="X43">
        <f>HYPERLINK("https://klasma.github.io/Logging_2029/tillsyn/A 62161-2024 tillsynsbegäran.docx", "A 62161-2024")</f>
        <v/>
      </c>
      <c r="Y43">
        <f>HYPERLINK("https://klasma.github.io/Logging_2029/tillsynsmail/A 62161-2024 tillsynsbegäran mail.docx", "A 62161-2024")</f>
        <v/>
      </c>
    </row>
    <row r="44" ht="15" customHeight="1">
      <c r="A44" t="inlineStr">
        <is>
          <t>A 63514-2023</t>
        </is>
      </c>
      <c r="B44" s="1" t="n">
        <v>45274</v>
      </c>
      <c r="C44" s="1" t="n">
        <v>46196</v>
      </c>
      <c r="D44" t="inlineStr">
        <is>
          <t>DALARNAS LÄN</t>
        </is>
      </c>
      <c r="E44" t="inlineStr">
        <is>
          <t>LEKSAND</t>
        </is>
      </c>
      <c r="G44" t="n">
        <v>1</v>
      </c>
      <c r="H44" t="n">
        <v>2</v>
      </c>
      <c r="I44" t="n">
        <v>0</v>
      </c>
      <c r="J44" t="n">
        <v>1</v>
      </c>
      <c r="K44" t="n">
        <v>0</v>
      </c>
      <c r="L44" t="n">
        <v>0</v>
      </c>
      <c r="M44" t="n">
        <v>0</v>
      </c>
      <c r="N44" t="n">
        <v>0</v>
      </c>
      <c r="O44" t="n">
        <v>1</v>
      </c>
      <c r="P44" t="n">
        <v>0</v>
      </c>
      <c r="Q44" t="n">
        <v>2</v>
      </c>
      <c r="R44" s="2" t="inlineStr">
        <is>
          <t>Grönsångare
Trana</t>
        </is>
      </c>
      <c r="S44">
        <f>HYPERLINK("https://klasma.github.io/Logging_2029/artfynd/A 63514-2023 artfynd.xlsx", "A 63514-2023")</f>
        <v/>
      </c>
      <c r="T44">
        <f>HYPERLINK("https://klasma.github.io/Logging_2029/kartor/A 63514-2023 karta.png", "A 63514-2023")</f>
        <v/>
      </c>
      <c r="V44">
        <f>HYPERLINK("https://klasma.github.io/Logging_2029/klagomål/A 63514-2023 FSC-klagomål.docx", "A 63514-2023")</f>
        <v/>
      </c>
      <c r="W44">
        <f>HYPERLINK("https://klasma.github.io/Logging_2029/klagomålsmail/A 63514-2023 FSC-klagomål mail.docx", "A 63514-2023")</f>
        <v/>
      </c>
      <c r="X44">
        <f>HYPERLINK("https://klasma.github.io/Logging_2029/tillsyn/A 63514-2023 tillsynsbegäran.docx", "A 63514-2023")</f>
        <v/>
      </c>
      <c r="Y44">
        <f>HYPERLINK("https://klasma.github.io/Logging_2029/tillsynsmail/A 63514-2023 tillsynsbegäran mail.docx", "A 63514-2023")</f>
        <v/>
      </c>
      <c r="Z44">
        <f>HYPERLINK("https://klasma.github.io/Logging_2029/fåglar/A 63514-2023 prioriterade fågelarter.docx", "A 63514-2023")</f>
        <v/>
      </c>
    </row>
    <row r="45" ht="15" customHeight="1">
      <c r="A45" t="inlineStr">
        <is>
          <t>A 59205-2023</t>
        </is>
      </c>
      <c r="B45" s="1" t="n">
        <v>45251</v>
      </c>
      <c r="C45" s="1" t="n">
        <v>46196</v>
      </c>
      <c r="D45" t="inlineStr">
        <is>
          <t>DALARNAS LÄN</t>
        </is>
      </c>
      <c r="E45" t="inlineStr">
        <is>
          <t>LEKSAND</t>
        </is>
      </c>
      <c r="G45" t="n">
        <v>1.9</v>
      </c>
      <c r="H45" t="n">
        <v>2</v>
      </c>
      <c r="I45" t="n">
        <v>0</v>
      </c>
      <c r="J45" t="n">
        <v>0</v>
      </c>
      <c r="K45" t="n">
        <v>1</v>
      </c>
      <c r="L45" t="n">
        <v>0</v>
      </c>
      <c r="M45" t="n">
        <v>0</v>
      </c>
      <c r="N45" t="n">
        <v>0</v>
      </c>
      <c r="O45" t="n">
        <v>1</v>
      </c>
      <c r="P45" t="n">
        <v>1</v>
      </c>
      <c r="Q45" t="n">
        <v>2</v>
      </c>
      <c r="R45" s="2" t="inlineStr">
        <is>
          <t>Knärot
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6778-2022</t>
        </is>
      </c>
      <c r="B46" s="1" t="n">
        <v>44602</v>
      </c>
      <c r="C46" s="1" t="n">
        <v>46196</v>
      </c>
      <c r="D46" t="inlineStr">
        <is>
          <t>DALARNAS LÄN</t>
        </is>
      </c>
      <c r="E46" t="inlineStr">
        <is>
          <t>LEKSAND</t>
        </is>
      </c>
      <c r="F46" t="inlineStr">
        <is>
          <t>Kyrkan</t>
        </is>
      </c>
      <c r="G46" t="n">
        <v>2</v>
      </c>
      <c r="H46" t="n">
        <v>2</v>
      </c>
      <c r="I46" t="n">
        <v>0</v>
      </c>
      <c r="J46" t="n">
        <v>1</v>
      </c>
      <c r="K46" t="n">
        <v>0</v>
      </c>
      <c r="L46" t="n">
        <v>0</v>
      </c>
      <c r="M46" t="n">
        <v>0</v>
      </c>
      <c r="N46" t="n">
        <v>0</v>
      </c>
      <c r="O46" t="n">
        <v>1</v>
      </c>
      <c r="P46" t="n">
        <v>0</v>
      </c>
      <c r="Q46" t="n">
        <v>2</v>
      </c>
      <c r="R46" s="2" t="inlineStr">
        <is>
          <t>Talltita
Orre</t>
        </is>
      </c>
      <c r="S46">
        <f>HYPERLINK("https://klasma.github.io/Logging_2029/artfynd/A 6778-2022 artfynd.xlsx", "A 6778-2022")</f>
        <v/>
      </c>
      <c r="T46">
        <f>HYPERLINK("https://klasma.github.io/Logging_2029/kartor/A 6778-2022 karta.png", "A 6778-2022")</f>
        <v/>
      </c>
      <c r="V46">
        <f>HYPERLINK("https://klasma.github.io/Logging_2029/klagomål/A 6778-2022 FSC-klagomål.docx", "A 6778-2022")</f>
        <v/>
      </c>
      <c r="W46">
        <f>HYPERLINK("https://klasma.github.io/Logging_2029/klagomålsmail/A 6778-2022 FSC-klagomål mail.docx", "A 6778-2022")</f>
        <v/>
      </c>
      <c r="X46">
        <f>HYPERLINK("https://klasma.github.io/Logging_2029/tillsyn/A 6778-2022 tillsynsbegäran.docx", "A 6778-2022")</f>
        <v/>
      </c>
      <c r="Y46">
        <f>HYPERLINK("https://klasma.github.io/Logging_2029/tillsynsmail/A 6778-2022 tillsynsbegäran mail.docx", "A 6778-2022")</f>
        <v/>
      </c>
      <c r="Z46">
        <f>HYPERLINK("https://klasma.github.io/Logging_2029/fåglar/A 6778-2022 prioriterade fågelarter.docx", "A 6778-2022")</f>
        <v/>
      </c>
    </row>
    <row r="47" ht="15" customHeight="1">
      <c r="A47" t="inlineStr">
        <is>
          <t>A 70451-2021</t>
        </is>
      </c>
      <c r="B47" s="1" t="n">
        <v>44536</v>
      </c>
      <c r="C47" s="1" t="n">
        <v>46196</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46196</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46196</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46196</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46196</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30175-2023</t>
        </is>
      </c>
      <c r="B52" s="1" t="n">
        <v>45110</v>
      </c>
      <c r="C52" s="1" t="n">
        <v>46196</v>
      </c>
      <c r="D52" t="inlineStr">
        <is>
          <t>DALARNAS LÄN</t>
        </is>
      </c>
      <c r="E52" t="inlineStr">
        <is>
          <t>LEKSAND</t>
        </is>
      </c>
      <c r="G52" t="n">
        <v>0.5</v>
      </c>
      <c r="H52" t="n">
        <v>1</v>
      </c>
      <c r="I52" t="n">
        <v>1</v>
      </c>
      <c r="J52" t="n">
        <v>0</v>
      </c>
      <c r="K52" t="n">
        <v>0</v>
      </c>
      <c r="L52" t="n">
        <v>0</v>
      </c>
      <c r="M52" t="n">
        <v>0</v>
      </c>
      <c r="N52" t="n">
        <v>0</v>
      </c>
      <c r="O52" t="n">
        <v>0</v>
      </c>
      <c r="P52" t="n">
        <v>0</v>
      </c>
      <c r="Q52" t="n">
        <v>1</v>
      </c>
      <c r="R52" s="2" t="inlineStr">
        <is>
          <t>Guckusko</t>
        </is>
      </c>
      <c r="S52">
        <f>HYPERLINK("https://klasma.github.io/Logging_2029/artfynd/A 30175-2023 artfynd.xlsx", "A 30175-2023")</f>
        <v/>
      </c>
      <c r="T52">
        <f>HYPERLINK("https://klasma.github.io/Logging_2029/kartor/A 30175-2023 karta.png", "A 30175-2023")</f>
        <v/>
      </c>
      <c r="V52">
        <f>HYPERLINK("https://klasma.github.io/Logging_2029/klagomål/A 30175-2023 FSC-klagomål.docx", "A 30175-2023")</f>
        <v/>
      </c>
      <c r="W52">
        <f>HYPERLINK("https://klasma.github.io/Logging_2029/klagomålsmail/A 30175-2023 FSC-klagomål mail.docx", "A 30175-2023")</f>
        <v/>
      </c>
      <c r="X52">
        <f>HYPERLINK("https://klasma.github.io/Logging_2029/tillsyn/A 30175-2023 tillsynsbegäran.docx", "A 30175-2023")</f>
        <v/>
      </c>
      <c r="Y52">
        <f>HYPERLINK("https://klasma.github.io/Logging_2029/tillsynsmail/A 30175-2023 tillsynsbegäran mail.docx", "A 30175-2023")</f>
        <v/>
      </c>
    </row>
    <row r="53" ht="15" customHeight="1">
      <c r="A53" t="inlineStr">
        <is>
          <t>A 31124-2024</t>
        </is>
      </c>
      <c r="B53" s="1" t="n">
        <v>45502</v>
      </c>
      <c r="C53" s="1" t="n">
        <v>46196</v>
      </c>
      <c r="D53" t="inlineStr">
        <is>
          <t>DALARNAS LÄN</t>
        </is>
      </c>
      <c r="E53" t="inlineStr">
        <is>
          <t>LEKSAND</t>
        </is>
      </c>
      <c r="G53" t="n">
        <v>1.9</v>
      </c>
      <c r="H53" t="n">
        <v>1</v>
      </c>
      <c r="I53" t="n">
        <v>0</v>
      </c>
      <c r="J53" t="n">
        <v>0</v>
      </c>
      <c r="K53" t="n">
        <v>1</v>
      </c>
      <c r="L53" t="n">
        <v>0</v>
      </c>
      <c r="M53" t="n">
        <v>0</v>
      </c>
      <c r="N53" t="n">
        <v>0</v>
      </c>
      <c r="O53" t="n">
        <v>1</v>
      </c>
      <c r="P53" t="n">
        <v>1</v>
      </c>
      <c r="Q53" t="n">
        <v>1</v>
      </c>
      <c r="R53" s="2" t="inlineStr">
        <is>
          <t>Väddnätfjäril</t>
        </is>
      </c>
      <c r="S53">
        <f>HYPERLINK("https://klasma.github.io/Logging_2029/artfynd/A 31124-2024 artfynd.xlsx", "A 31124-2024")</f>
        <v/>
      </c>
      <c r="T53">
        <f>HYPERLINK("https://klasma.github.io/Logging_2029/kartor/A 31124-2024 karta.png", "A 31124-2024")</f>
        <v/>
      </c>
      <c r="V53">
        <f>HYPERLINK("https://klasma.github.io/Logging_2029/klagomål/A 31124-2024 FSC-klagomål.docx", "A 31124-2024")</f>
        <v/>
      </c>
      <c r="W53">
        <f>HYPERLINK("https://klasma.github.io/Logging_2029/klagomålsmail/A 31124-2024 FSC-klagomål mail.docx", "A 31124-2024")</f>
        <v/>
      </c>
      <c r="X53">
        <f>HYPERLINK("https://klasma.github.io/Logging_2029/tillsyn/A 31124-2024 tillsynsbegäran.docx", "A 31124-2024")</f>
        <v/>
      </c>
      <c r="Y53">
        <f>HYPERLINK("https://klasma.github.io/Logging_2029/tillsynsmail/A 31124-2024 tillsynsbegäran mail.docx", "A 31124-2024")</f>
        <v/>
      </c>
    </row>
    <row r="54" ht="15" customHeight="1">
      <c r="A54" t="inlineStr">
        <is>
          <t>A 60042-2023</t>
        </is>
      </c>
      <c r="B54" s="1" t="n">
        <v>45256</v>
      </c>
      <c r="C54" s="1" t="n">
        <v>46196</v>
      </c>
      <c r="D54" t="inlineStr">
        <is>
          <t>DALARNAS LÄN</t>
        </is>
      </c>
      <c r="E54" t="inlineStr">
        <is>
          <t>LEKSAND</t>
        </is>
      </c>
      <c r="G54" t="n">
        <v>2</v>
      </c>
      <c r="H54" t="n">
        <v>1</v>
      </c>
      <c r="I54" t="n">
        <v>0</v>
      </c>
      <c r="J54" t="n">
        <v>0</v>
      </c>
      <c r="K54" t="n">
        <v>1</v>
      </c>
      <c r="L54" t="n">
        <v>0</v>
      </c>
      <c r="M54" t="n">
        <v>0</v>
      </c>
      <c r="N54" t="n">
        <v>0</v>
      </c>
      <c r="O54" t="n">
        <v>1</v>
      </c>
      <c r="P54" t="n">
        <v>1</v>
      </c>
      <c r="Q54" t="n">
        <v>1</v>
      </c>
      <c r="R54" s="2" t="inlineStr">
        <is>
          <t>Brun gräsfjäril</t>
        </is>
      </c>
      <c r="S54">
        <f>HYPERLINK("https://klasma.github.io/Logging_2029/artfynd/A 60042-2023 artfynd.xlsx", "A 60042-2023")</f>
        <v/>
      </c>
      <c r="T54">
        <f>HYPERLINK("https://klasma.github.io/Logging_2029/kartor/A 60042-2023 karta.png", "A 60042-2023")</f>
        <v/>
      </c>
      <c r="V54">
        <f>HYPERLINK("https://klasma.github.io/Logging_2029/klagomål/A 60042-2023 FSC-klagomål.docx", "A 60042-2023")</f>
        <v/>
      </c>
      <c r="W54">
        <f>HYPERLINK("https://klasma.github.io/Logging_2029/klagomålsmail/A 60042-2023 FSC-klagomål mail.docx", "A 60042-2023")</f>
        <v/>
      </c>
      <c r="X54">
        <f>HYPERLINK("https://klasma.github.io/Logging_2029/tillsyn/A 60042-2023 tillsynsbegäran.docx", "A 60042-2023")</f>
        <v/>
      </c>
      <c r="Y54">
        <f>HYPERLINK("https://klasma.github.io/Logging_2029/tillsynsmail/A 60042-2023 tillsynsbegäran mail.docx", "A 60042-2023")</f>
        <v/>
      </c>
    </row>
    <row r="55" ht="15" customHeight="1">
      <c r="A55" t="inlineStr">
        <is>
          <t>A 53438-2025</t>
        </is>
      </c>
      <c r="B55" s="1" t="n">
        <v>45959</v>
      </c>
      <c r="C55" s="1" t="n">
        <v>46196</v>
      </c>
      <c r="D55" t="inlineStr">
        <is>
          <t>DALARNAS LÄN</t>
        </is>
      </c>
      <c r="E55" t="inlineStr">
        <is>
          <t>LEKSAND</t>
        </is>
      </c>
      <c r="G55" t="n">
        <v>1.2</v>
      </c>
      <c r="H55" t="n">
        <v>1</v>
      </c>
      <c r="I55" t="n">
        <v>0</v>
      </c>
      <c r="J55" t="n">
        <v>0</v>
      </c>
      <c r="K55" t="n">
        <v>0</v>
      </c>
      <c r="L55" t="n">
        <v>0</v>
      </c>
      <c r="M55" t="n">
        <v>0</v>
      </c>
      <c r="N55" t="n">
        <v>0</v>
      </c>
      <c r="O55" t="n">
        <v>0</v>
      </c>
      <c r="P55" t="n">
        <v>0</v>
      </c>
      <c r="Q55" t="n">
        <v>1</v>
      </c>
      <c r="R55" s="2" t="inlineStr">
        <is>
          <t>Tjäder</t>
        </is>
      </c>
      <c r="S55">
        <f>HYPERLINK("https://klasma.github.io/Logging_2029/artfynd/A 53438-2025 artfynd.xlsx", "A 53438-2025")</f>
        <v/>
      </c>
      <c r="T55">
        <f>HYPERLINK("https://klasma.github.io/Logging_2029/kartor/A 53438-2025 karta.png", "A 53438-2025")</f>
        <v/>
      </c>
      <c r="V55">
        <f>HYPERLINK("https://klasma.github.io/Logging_2029/klagomål/A 53438-2025 FSC-klagomål.docx", "A 53438-2025")</f>
        <v/>
      </c>
      <c r="W55">
        <f>HYPERLINK("https://klasma.github.io/Logging_2029/klagomålsmail/A 53438-2025 FSC-klagomål mail.docx", "A 53438-2025")</f>
        <v/>
      </c>
      <c r="X55">
        <f>HYPERLINK("https://klasma.github.io/Logging_2029/tillsyn/A 53438-2025 tillsynsbegäran.docx", "A 53438-2025")</f>
        <v/>
      </c>
      <c r="Y55">
        <f>HYPERLINK("https://klasma.github.io/Logging_2029/tillsynsmail/A 53438-2025 tillsynsbegäran mail.docx", "A 53438-2025")</f>
        <v/>
      </c>
      <c r="Z55">
        <f>HYPERLINK("https://klasma.github.io/Logging_2029/fåglar/A 53438-2025 prioriterade fågelarter.docx", "A 53438-2025")</f>
        <v/>
      </c>
    </row>
    <row r="56" ht="15" customHeight="1">
      <c r="A56" t="inlineStr">
        <is>
          <t>A 53619-2025</t>
        </is>
      </c>
      <c r="B56" s="1" t="n">
        <v>45960</v>
      </c>
      <c r="C56" s="1" t="n">
        <v>46196</v>
      </c>
      <c r="D56" t="inlineStr">
        <is>
          <t>DALARNAS LÄN</t>
        </is>
      </c>
      <c r="E56" t="inlineStr">
        <is>
          <t>LEKSAND</t>
        </is>
      </c>
      <c r="F56" t="inlineStr">
        <is>
          <t>Bergvik skog väst AB</t>
        </is>
      </c>
      <c r="G56" t="n">
        <v>1.8</v>
      </c>
      <c r="H56" t="n">
        <v>1</v>
      </c>
      <c r="I56" t="n">
        <v>0</v>
      </c>
      <c r="J56" t="n">
        <v>0</v>
      </c>
      <c r="K56" t="n">
        <v>0</v>
      </c>
      <c r="L56" t="n">
        <v>0</v>
      </c>
      <c r="M56" t="n">
        <v>0</v>
      </c>
      <c r="N56" t="n">
        <v>0</v>
      </c>
      <c r="O56" t="n">
        <v>0</v>
      </c>
      <c r="P56" t="n">
        <v>0</v>
      </c>
      <c r="Q56" t="n">
        <v>1</v>
      </c>
      <c r="R56" s="2" t="inlineStr">
        <is>
          <t>Utter</t>
        </is>
      </c>
      <c r="S56">
        <f>HYPERLINK("https://klasma.github.io/Logging_2029/artfynd/A 53619-2025 artfynd.xlsx", "A 53619-2025")</f>
        <v/>
      </c>
      <c r="T56">
        <f>HYPERLINK("https://klasma.github.io/Logging_2029/kartor/A 53619-2025 karta.png", "A 53619-2025")</f>
        <v/>
      </c>
      <c r="V56">
        <f>HYPERLINK("https://klasma.github.io/Logging_2029/klagomål/A 53619-2025 FSC-klagomål.docx", "A 53619-2025")</f>
        <v/>
      </c>
      <c r="W56">
        <f>HYPERLINK("https://klasma.github.io/Logging_2029/klagomålsmail/A 53619-2025 FSC-klagomål mail.docx", "A 53619-2025")</f>
        <v/>
      </c>
      <c r="X56">
        <f>HYPERLINK("https://klasma.github.io/Logging_2029/tillsyn/A 53619-2025 tillsynsbegäran.docx", "A 53619-2025")</f>
        <v/>
      </c>
      <c r="Y56">
        <f>HYPERLINK("https://klasma.github.io/Logging_2029/tillsynsmail/A 53619-2025 tillsynsbegäran mail.docx", "A 53619-2025")</f>
        <v/>
      </c>
    </row>
    <row r="57" ht="15" customHeight="1">
      <c r="A57" t="inlineStr">
        <is>
          <t>A 23855-2025</t>
        </is>
      </c>
      <c r="B57" s="1" t="n">
        <v>45793</v>
      </c>
      <c r="C57" s="1" t="n">
        <v>46196</v>
      </c>
      <c r="D57" t="inlineStr">
        <is>
          <t>DALARNAS LÄN</t>
        </is>
      </c>
      <c r="E57" t="inlineStr">
        <is>
          <t>LEKSAND</t>
        </is>
      </c>
      <c r="G57" t="n">
        <v>0.6</v>
      </c>
      <c r="H57" t="n">
        <v>1</v>
      </c>
      <c r="I57" t="n">
        <v>0</v>
      </c>
      <c r="J57" t="n">
        <v>0</v>
      </c>
      <c r="K57" t="n">
        <v>0</v>
      </c>
      <c r="L57" t="n">
        <v>0</v>
      </c>
      <c r="M57" t="n">
        <v>0</v>
      </c>
      <c r="N57" t="n">
        <v>0</v>
      </c>
      <c r="O57" t="n">
        <v>0</v>
      </c>
      <c r="P57" t="n">
        <v>0</v>
      </c>
      <c r="Q57" t="n">
        <v>1</v>
      </c>
      <c r="R57" s="2" t="inlineStr">
        <is>
          <t>Blåsippa</t>
        </is>
      </c>
      <c r="S57">
        <f>HYPERLINK("https://klasma.github.io/Logging_2029/artfynd/A 23855-2025 artfynd.xlsx", "A 23855-2025")</f>
        <v/>
      </c>
      <c r="T57">
        <f>HYPERLINK("https://klasma.github.io/Logging_2029/kartor/A 23855-2025 karta.png", "A 23855-2025")</f>
        <v/>
      </c>
      <c r="V57">
        <f>HYPERLINK("https://klasma.github.io/Logging_2029/klagomål/A 23855-2025 FSC-klagomål.docx", "A 23855-2025")</f>
        <v/>
      </c>
      <c r="W57">
        <f>HYPERLINK("https://klasma.github.io/Logging_2029/klagomålsmail/A 23855-2025 FSC-klagomål mail.docx", "A 23855-2025")</f>
        <v/>
      </c>
      <c r="X57">
        <f>HYPERLINK("https://klasma.github.io/Logging_2029/tillsyn/A 23855-2025 tillsynsbegäran.docx", "A 23855-2025")</f>
        <v/>
      </c>
      <c r="Y57">
        <f>HYPERLINK("https://klasma.github.io/Logging_2029/tillsynsmail/A 23855-2025 tillsynsbegäran mail.docx", "A 23855-2025")</f>
        <v/>
      </c>
    </row>
    <row r="58" ht="15" customHeight="1">
      <c r="A58" t="inlineStr">
        <is>
          <t>A 33318-2023</t>
        </is>
      </c>
      <c r="B58" s="1" t="n">
        <v>45127</v>
      </c>
      <c r="C58" s="1" t="n">
        <v>46196</v>
      </c>
      <c r="D58" t="inlineStr">
        <is>
          <t>DALARNAS LÄN</t>
        </is>
      </c>
      <c r="E58" t="inlineStr">
        <is>
          <t>LEKSAND</t>
        </is>
      </c>
      <c r="G58" t="n">
        <v>5.5</v>
      </c>
      <c r="H58" t="n">
        <v>1</v>
      </c>
      <c r="I58" t="n">
        <v>0</v>
      </c>
      <c r="J58" t="n">
        <v>1</v>
      </c>
      <c r="K58" t="n">
        <v>0</v>
      </c>
      <c r="L58" t="n">
        <v>0</v>
      </c>
      <c r="M58" t="n">
        <v>0</v>
      </c>
      <c r="N58" t="n">
        <v>0</v>
      </c>
      <c r="O58" t="n">
        <v>1</v>
      </c>
      <c r="P58" t="n">
        <v>0</v>
      </c>
      <c r="Q58" t="n">
        <v>1</v>
      </c>
      <c r="R58" s="2" t="inlineStr">
        <is>
          <t>Sparvuggla</t>
        </is>
      </c>
      <c r="S58">
        <f>HYPERLINK("https://klasma.github.io/Logging_2029/artfynd/A 33318-2023 artfynd.xlsx", "A 33318-2023")</f>
        <v/>
      </c>
      <c r="T58">
        <f>HYPERLINK("https://klasma.github.io/Logging_2029/kartor/A 33318-2023 karta.png", "A 33318-2023")</f>
        <v/>
      </c>
      <c r="V58">
        <f>HYPERLINK("https://klasma.github.io/Logging_2029/klagomål/A 33318-2023 FSC-klagomål.docx", "A 33318-2023")</f>
        <v/>
      </c>
      <c r="W58">
        <f>HYPERLINK("https://klasma.github.io/Logging_2029/klagomålsmail/A 33318-2023 FSC-klagomål mail.docx", "A 33318-2023")</f>
        <v/>
      </c>
      <c r="X58">
        <f>HYPERLINK("https://klasma.github.io/Logging_2029/tillsyn/A 33318-2023 tillsynsbegäran.docx", "A 33318-2023")</f>
        <v/>
      </c>
      <c r="Y58">
        <f>HYPERLINK("https://klasma.github.io/Logging_2029/tillsynsmail/A 33318-2023 tillsynsbegäran mail.docx", "A 33318-2023")</f>
        <v/>
      </c>
      <c r="Z58">
        <f>HYPERLINK("https://klasma.github.io/Logging_2029/fåglar/A 33318-2023 prioriterade fågelarter.docx", "A 33318-2023")</f>
        <v/>
      </c>
    </row>
    <row r="59" ht="15" customHeight="1">
      <c r="A59" t="inlineStr">
        <is>
          <t>A 57869-2025</t>
        </is>
      </c>
      <c r="B59" s="1" t="n">
        <v>45981</v>
      </c>
      <c r="C59" s="1" t="n">
        <v>46196</v>
      </c>
      <c r="D59" t="inlineStr">
        <is>
          <t>DALARNAS LÄN</t>
        </is>
      </c>
      <c r="E59" t="inlineStr">
        <is>
          <t>LEKSAND</t>
        </is>
      </c>
      <c r="G59" t="n">
        <v>0.6</v>
      </c>
      <c r="H59" t="n">
        <v>1</v>
      </c>
      <c r="I59" t="n">
        <v>0</v>
      </c>
      <c r="J59" t="n">
        <v>0</v>
      </c>
      <c r="K59" t="n">
        <v>0</v>
      </c>
      <c r="L59" t="n">
        <v>0</v>
      </c>
      <c r="M59" t="n">
        <v>0</v>
      </c>
      <c r="N59" t="n">
        <v>0</v>
      </c>
      <c r="O59" t="n">
        <v>0</v>
      </c>
      <c r="P59" t="n">
        <v>0</v>
      </c>
      <c r="Q59" t="n">
        <v>1</v>
      </c>
      <c r="R59" s="2" t="inlineStr">
        <is>
          <t>Utter</t>
        </is>
      </c>
      <c r="S59">
        <f>HYPERLINK("https://klasma.github.io/Logging_2029/artfynd/A 57869-2025 artfynd.xlsx", "A 57869-2025")</f>
        <v/>
      </c>
      <c r="T59">
        <f>HYPERLINK("https://klasma.github.io/Logging_2029/kartor/A 57869-2025 karta.png", "A 57869-2025")</f>
        <v/>
      </c>
      <c r="V59">
        <f>HYPERLINK("https://klasma.github.io/Logging_2029/klagomål/A 57869-2025 FSC-klagomål.docx", "A 57869-2025")</f>
        <v/>
      </c>
      <c r="W59">
        <f>HYPERLINK("https://klasma.github.io/Logging_2029/klagomålsmail/A 57869-2025 FSC-klagomål mail.docx", "A 57869-2025")</f>
        <v/>
      </c>
      <c r="X59">
        <f>HYPERLINK("https://klasma.github.io/Logging_2029/tillsyn/A 57869-2025 tillsynsbegäran.docx", "A 57869-2025")</f>
        <v/>
      </c>
      <c r="Y59">
        <f>HYPERLINK("https://klasma.github.io/Logging_2029/tillsynsmail/A 57869-2025 tillsynsbegäran mail.docx", "A 57869-2025")</f>
        <v/>
      </c>
    </row>
    <row r="60" ht="15" customHeight="1">
      <c r="A60" t="inlineStr">
        <is>
          <t>A 53122-2023</t>
        </is>
      </c>
      <c r="B60" s="1" t="n">
        <v>45228</v>
      </c>
      <c r="C60" s="1" t="n">
        <v>46196</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Trana</t>
        </is>
      </c>
      <c r="S60">
        <f>HYPERLINK("https://klasma.github.io/Logging_2029/artfynd/A 53122-2023 artfynd.xlsx", "A 53122-2023")</f>
        <v/>
      </c>
      <c r="T60">
        <f>HYPERLINK("https://klasma.github.io/Logging_2029/kartor/A 53122-2023 karta.png", "A 53122-2023")</f>
        <v/>
      </c>
      <c r="V60">
        <f>HYPERLINK("https://klasma.github.io/Logging_2029/klagomål/A 53122-2023 FSC-klagomål.docx", "A 53122-2023")</f>
        <v/>
      </c>
      <c r="W60">
        <f>HYPERLINK("https://klasma.github.io/Logging_2029/klagomålsmail/A 53122-2023 FSC-klagomål mail.docx", "A 53122-2023")</f>
        <v/>
      </c>
      <c r="X60">
        <f>HYPERLINK("https://klasma.github.io/Logging_2029/tillsyn/A 53122-2023 tillsynsbegäran.docx", "A 53122-2023")</f>
        <v/>
      </c>
      <c r="Y60">
        <f>HYPERLINK("https://klasma.github.io/Logging_2029/tillsynsmail/A 53122-2023 tillsynsbegäran mail.docx", "A 53122-2023")</f>
        <v/>
      </c>
      <c r="Z60">
        <f>HYPERLINK("https://klasma.github.io/Logging_2029/fåglar/A 53122-2023 prioriterade fågelarter.docx", "A 53122-2023")</f>
        <v/>
      </c>
    </row>
    <row r="61" ht="15" customHeight="1">
      <c r="A61" t="inlineStr">
        <is>
          <t>A 59271-2025</t>
        </is>
      </c>
      <c r="B61" s="1" t="n">
        <v>45988</v>
      </c>
      <c r="C61" s="1" t="n">
        <v>46196</v>
      </c>
      <c r="D61" t="inlineStr">
        <is>
          <t>DALARNAS LÄN</t>
        </is>
      </c>
      <c r="E61" t="inlineStr">
        <is>
          <t>LEKSAND</t>
        </is>
      </c>
      <c r="G61" t="n">
        <v>2.2</v>
      </c>
      <c r="H61" t="n">
        <v>0</v>
      </c>
      <c r="I61" t="n">
        <v>1</v>
      </c>
      <c r="J61" t="n">
        <v>0</v>
      </c>
      <c r="K61" t="n">
        <v>0</v>
      </c>
      <c r="L61" t="n">
        <v>0</v>
      </c>
      <c r="M61" t="n">
        <v>0</v>
      </c>
      <c r="N61" t="n">
        <v>0</v>
      </c>
      <c r="O61" t="n">
        <v>0</v>
      </c>
      <c r="P61" t="n">
        <v>0</v>
      </c>
      <c r="Q61" t="n">
        <v>1</v>
      </c>
      <c r="R61" s="2" t="inlineStr">
        <is>
          <t>Brun nållav</t>
        </is>
      </c>
      <c r="S61">
        <f>HYPERLINK("https://klasma.github.io/Logging_2029/artfynd/A 59271-2025 artfynd.xlsx", "A 59271-2025")</f>
        <v/>
      </c>
      <c r="T61">
        <f>HYPERLINK("https://klasma.github.io/Logging_2029/kartor/A 59271-2025 karta.png", "A 59271-2025")</f>
        <v/>
      </c>
      <c r="V61">
        <f>HYPERLINK("https://klasma.github.io/Logging_2029/klagomål/A 59271-2025 FSC-klagomål.docx", "A 59271-2025")</f>
        <v/>
      </c>
      <c r="W61">
        <f>HYPERLINK("https://klasma.github.io/Logging_2029/klagomålsmail/A 59271-2025 FSC-klagomål mail.docx", "A 59271-2025")</f>
        <v/>
      </c>
      <c r="X61">
        <f>HYPERLINK("https://klasma.github.io/Logging_2029/tillsyn/A 59271-2025 tillsynsbegäran.docx", "A 59271-2025")</f>
        <v/>
      </c>
      <c r="Y61">
        <f>HYPERLINK("https://klasma.github.io/Logging_2029/tillsynsmail/A 59271-2025 tillsynsbegäran mail.docx", "A 59271-2025")</f>
        <v/>
      </c>
    </row>
    <row r="62" ht="15" customHeight="1">
      <c r="A62" t="inlineStr">
        <is>
          <t>A 32726-2025</t>
        </is>
      </c>
      <c r="B62" s="1" t="n">
        <v>45839</v>
      </c>
      <c r="C62" s="1" t="n">
        <v>46196</v>
      </c>
      <c r="D62" t="inlineStr">
        <is>
          <t>DALARNAS LÄN</t>
        </is>
      </c>
      <c r="E62" t="inlineStr">
        <is>
          <t>LEKSAND</t>
        </is>
      </c>
      <c r="F62" t="inlineStr">
        <is>
          <t>Bergvik skog väst AB</t>
        </is>
      </c>
      <c r="G62" t="n">
        <v>2.5</v>
      </c>
      <c r="H62" t="n">
        <v>1</v>
      </c>
      <c r="I62" t="n">
        <v>0</v>
      </c>
      <c r="J62" t="n">
        <v>0</v>
      </c>
      <c r="K62" t="n">
        <v>0</v>
      </c>
      <c r="L62" t="n">
        <v>0</v>
      </c>
      <c r="M62" t="n">
        <v>0</v>
      </c>
      <c r="N62" t="n">
        <v>0</v>
      </c>
      <c r="O62" t="n">
        <v>0</v>
      </c>
      <c r="P62" t="n">
        <v>0</v>
      </c>
      <c r="Q62" t="n">
        <v>1</v>
      </c>
      <c r="R62" s="2" t="inlineStr">
        <is>
          <t>Fläcknycklar</t>
        </is>
      </c>
      <c r="S62">
        <f>HYPERLINK("https://klasma.github.io/Logging_2029/artfynd/A 32726-2025 artfynd.xlsx", "A 32726-2025")</f>
        <v/>
      </c>
      <c r="T62">
        <f>HYPERLINK("https://klasma.github.io/Logging_2029/kartor/A 32726-2025 karta.png", "A 32726-2025")</f>
        <v/>
      </c>
      <c r="V62">
        <f>HYPERLINK("https://klasma.github.io/Logging_2029/klagomål/A 32726-2025 FSC-klagomål.docx", "A 32726-2025")</f>
        <v/>
      </c>
      <c r="W62">
        <f>HYPERLINK("https://klasma.github.io/Logging_2029/klagomålsmail/A 32726-2025 FSC-klagomål mail.docx", "A 32726-2025")</f>
        <v/>
      </c>
      <c r="X62">
        <f>HYPERLINK("https://klasma.github.io/Logging_2029/tillsyn/A 32726-2025 tillsynsbegäran.docx", "A 32726-2025")</f>
        <v/>
      </c>
      <c r="Y62">
        <f>HYPERLINK("https://klasma.github.io/Logging_2029/tillsynsmail/A 32726-2025 tillsynsbegäran mail.docx", "A 32726-2025")</f>
        <v/>
      </c>
    </row>
    <row r="63" ht="15" customHeight="1">
      <c r="A63" t="inlineStr">
        <is>
          <t>A 4974-2025</t>
        </is>
      </c>
      <c r="B63" s="1" t="n">
        <v>45690</v>
      </c>
      <c r="C63" s="1" t="n">
        <v>46196</v>
      </c>
      <c r="D63" t="inlineStr">
        <is>
          <t>DALARNAS LÄN</t>
        </is>
      </c>
      <c r="E63" t="inlineStr">
        <is>
          <t>LEKSAND</t>
        </is>
      </c>
      <c r="G63" t="n">
        <v>0.9</v>
      </c>
      <c r="H63" t="n">
        <v>1</v>
      </c>
      <c r="I63" t="n">
        <v>0</v>
      </c>
      <c r="J63" t="n">
        <v>0</v>
      </c>
      <c r="K63" t="n">
        <v>0</v>
      </c>
      <c r="L63" t="n">
        <v>0</v>
      </c>
      <c r="M63" t="n">
        <v>0</v>
      </c>
      <c r="N63" t="n">
        <v>0</v>
      </c>
      <c r="O63" t="n">
        <v>0</v>
      </c>
      <c r="P63" t="n">
        <v>0</v>
      </c>
      <c r="Q63" t="n">
        <v>1</v>
      </c>
      <c r="R63" s="2" t="inlineStr">
        <is>
          <t>Spillkråka</t>
        </is>
      </c>
      <c r="S63">
        <f>HYPERLINK("https://klasma.github.io/Logging_2029/artfynd/A 4974-2025 artfynd.xlsx", "A 4974-2025")</f>
        <v/>
      </c>
      <c r="T63">
        <f>HYPERLINK("https://klasma.github.io/Logging_2029/kartor/A 4974-2025 karta.png", "A 4974-2025")</f>
        <v/>
      </c>
      <c r="V63">
        <f>HYPERLINK("https://klasma.github.io/Logging_2029/klagomål/A 4974-2025 FSC-klagomål.docx", "A 4974-2025")</f>
        <v/>
      </c>
      <c r="W63">
        <f>HYPERLINK("https://klasma.github.io/Logging_2029/klagomålsmail/A 4974-2025 FSC-klagomål mail.docx", "A 4974-2025")</f>
        <v/>
      </c>
      <c r="X63">
        <f>HYPERLINK("https://klasma.github.io/Logging_2029/tillsyn/A 4974-2025 tillsynsbegäran.docx", "A 4974-2025")</f>
        <v/>
      </c>
      <c r="Y63">
        <f>HYPERLINK("https://klasma.github.io/Logging_2029/tillsynsmail/A 4974-2025 tillsynsbegäran mail.docx", "A 4974-2025")</f>
        <v/>
      </c>
      <c r="Z63">
        <f>HYPERLINK("https://klasma.github.io/Logging_2029/fåglar/A 4974-2025 prioriterade fågelarter.docx", "A 4974-2025")</f>
        <v/>
      </c>
    </row>
    <row r="64" ht="15" customHeight="1">
      <c r="A64" t="inlineStr">
        <is>
          <t>A 31951-2025</t>
        </is>
      </c>
      <c r="B64" s="1" t="n">
        <v>45835</v>
      </c>
      <c r="C64" s="1" t="n">
        <v>46196</v>
      </c>
      <c r="D64" t="inlineStr">
        <is>
          <t>DALARNAS LÄN</t>
        </is>
      </c>
      <c r="E64" t="inlineStr">
        <is>
          <t>LEKSAND</t>
        </is>
      </c>
      <c r="G64" t="n">
        <v>6.6</v>
      </c>
      <c r="H64" t="n">
        <v>1</v>
      </c>
      <c r="I64" t="n">
        <v>0</v>
      </c>
      <c r="J64" t="n">
        <v>0</v>
      </c>
      <c r="K64" t="n">
        <v>0</v>
      </c>
      <c r="L64" t="n">
        <v>0</v>
      </c>
      <c r="M64" t="n">
        <v>0</v>
      </c>
      <c r="N64" t="n">
        <v>0</v>
      </c>
      <c r="O64" t="n">
        <v>0</v>
      </c>
      <c r="P64" t="n">
        <v>0</v>
      </c>
      <c r="Q64" t="n">
        <v>1</v>
      </c>
      <c r="R64" s="2" t="inlineStr">
        <is>
          <t>Tjäder</t>
        </is>
      </c>
      <c r="S64">
        <f>HYPERLINK("https://klasma.github.io/Logging_2029/artfynd/A 31951-2025 artfynd.xlsx", "A 31951-2025")</f>
        <v/>
      </c>
      <c r="T64">
        <f>HYPERLINK("https://klasma.github.io/Logging_2029/kartor/A 31951-2025 karta.png", "A 31951-2025")</f>
        <v/>
      </c>
      <c r="V64">
        <f>HYPERLINK("https://klasma.github.io/Logging_2029/klagomål/A 31951-2025 FSC-klagomål.docx", "A 31951-2025")</f>
        <v/>
      </c>
      <c r="W64">
        <f>HYPERLINK("https://klasma.github.io/Logging_2029/klagomålsmail/A 31951-2025 FSC-klagomål mail.docx", "A 31951-2025")</f>
        <v/>
      </c>
      <c r="X64">
        <f>HYPERLINK("https://klasma.github.io/Logging_2029/tillsyn/A 31951-2025 tillsynsbegäran.docx", "A 31951-2025")</f>
        <v/>
      </c>
      <c r="Y64">
        <f>HYPERLINK("https://klasma.github.io/Logging_2029/tillsynsmail/A 31951-2025 tillsynsbegäran mail.docx", "A 31951-2025")</f>
        <v/>
      </c>
      <c r="Z64">
        <f>HYPERLINK("https://klasma.github.io/Logging_2029/fåglar/A 31951-2025 prioriterade fågelarter.docx", "A 31951-2025")</f>
        <v/>
      </c>
    </row>
    <row r="65" ht="15" customHeight="1">
      <c r="A65" t="inlineStr">
        <is>
          <t>A 3144-2026</t>
        </is>
      </c>
      <c r="B65" s="1" t="n">
        <v>46041</v>
      </c>
      <c r="C65" s="1" t="n">
        <v>46196</v>
      </c>
      <c r="D65" t="inlineStr">
        <is>
          <t>DALARNAS LÄN</t>
        </is>
      </c>
      <c r="E65" t="inlineStr">
        <is>
          <t>LEKSAND</t>
        </is>
      </c>
      <c r="G65" t="n">
        <v>4.8</v>
      </c>
      <c r="H65" t="n">
        <v>0</v>
      </c>
      <c r="I65" t="n">
        <v>0</v>
      </c>
      <c r="J65" t="n">
        <v>1</v>
      </c>
      <c r="K65" t="n">
        <v>0</v>
      </c>
      <c r="L65" t="n">
        <v>0</v>
      </c>
      <c r="M65" t="n">
        <v>0</v>
      </c>
      <c r="N65" t="n">
        <v>0</v>
      </c>
      <c r="O65" t="n">
        <v>1</v>
      </c>
      <c r="P65" t="n">
        <v>0</v>
      </c>
      <c r="Q65" t="n">
        <v>1</v>
      </c>
      <c r="R65" s="2" t="inlineStr">
        <is>
          <t>Slåtterfibbla</t>
        </is>
      </c>
      <c r="S65">
        <f>HYPERLINK("https://klasma.github.io/Logging_2029/artfynd/A 3144-2026 artfynd.xlsx", "A 3144-2026")</f>
        <v/>
      </c>
      <c r="T65">
        <f>HYPERLINK("https://klasma.github.io/Logging_2029/kartor/A 3144-2026 karta.png", "A 3144-2026")</f>
        <v/>
      </c>
      <c r="V65">
        <f>HYPERLINK("https://klasma.github.io/Logging_2029/klagomål/A 3144-2026 FSC-klagomål.docx", "A 3144-2026")</f>
        <v/>
      </c>
      <c r="W65">
        <f>HYPERLINK("https://klasma.github.io/Logging_2029/klagomålsmail/A 3144-2026 FSC-klagomål mail.docx", "A 3144-2026")</f>
        <v/>
      </c>
      <c r="X65">
        <f>HYPERLINK("https://klasma.github.io/Logging_2029/tillsyn/A 3144-2026 tillsynsbegäran.docx", "A 3144-2026")</f>
        <v/>
      </c>
      <c r="Y65">
        <f>HYPERLINK("https://klasma.github.io/Logging_2029/tillsynsmail/A 3144-2026 tillsynsbegäran mail.docx", "A 3144-2026")</f>
        <v/>
      </c>
    </row>
    <row r="66" ht="15" customHeight="1">
      <c r="A66" t="inlineStr">
        <is>
          <t>A 164-2023</t>
        </is>
      </c>
      <c r="B66" s="1" t="n">
        <v>44918</v>
      </c>
      <c r="C66" s="1" t="n">
        <v>46196</v>
      </c>
      <c r="D66" t="inlineStr">
        <is>
          <t>DALARNAS LÄN</t>
        </is>
      </c>
      <c r="E66" t="inlineStr">
        <is>
          <t>LEKSAND</t>
        </is>
      </c>
      <c r="G66" t="n">
        <v>0.7</v>
      </c>
      <c r="H66" t="n">
        <v>0</v>
      </c>
      <c r="I66" t="n">
        <v>0</v>
      </c>
      <c r="J66" t="n">
        <v>1</v>
      </c>
      <c r="K66" t="n">
        <v>0</v>
      </c>
      <c r="L66" t="n">
        <v>0</v>
      </c>
      <c r="M66" t="n">
        <v>0</v>
      </c>
      <c r="N66" t="n">
        <v>0</v>
      </c>
      <c r="O66" t="n">
        <v>1</v>
      </c>
      <c r="P66" t="n">
        <v>0</v>
      </c>
      <c r="Q66" t="n">
        <v>1</v>
      </c>
      <c r="R66" s="2" t="inlineStr">
        <is>
          <t>Skogshare</t>
        </is>
      </c>
      <c r="S66">
        <f>HYPERLINK("https://klasma.github.io/Logging_2029/artfynd/A 164-2023 artfynd.xlsx", "A 164-2023")</f>
        <v/>
      </c>
      <c r="T66">
        <f>HYPERLINK("https://klasma.github.io/Logging_2029/kartor/A 164-2023 karta.png", "A 164-2023")</f>
        <v/>
      </c>
      <c r="V66">
        <f>HYPERLINK("https://klasma.github.io/Logging_2029/klagomål/A 164-2023 FSC-klagomål.docx", "A 164-2023")</f>
        <v/>
      </c>
      <c r="W66">
        <f>HYPERLINK("https://klasma.github.io/Logging_2029/klagomålsmail/A 164-2023 FSC-klagomål mail.docx", "A 164-2023")</f>
        <v/>
      </c>
      <c r="X66">
        <f>HYPERLINK("https://klasma.github.io/Logging_2029/tillsyn/A 164-2023 tillsynsbegäran.docx", "A 164-2023")</f>
        <v/>
      </c>
      <c r="Y66">
        <f>HYPERLINK("https://klasma.github.io/Logging_2029/tillsynsmail/A 164-2023 tillsynsbegäran mail.docx", "A 164-2023")</f>
        <v/>
      </c>
    </row>
    <row r="67" ht="15" customHeight="1">
      <c r="A67" t="inlineStr">
        <is>
          <t>A 8969-2026</t>
        </is>
      </c>
      <c r="B67" s="1" t="n">
        <v>46069</v>
      </c>
      <c r="C67" s="1" t="n">
        <v>46196</v>
      </c>
      <c r="D67" t="inlineStr">
        <is>
          <t>DALARNAS LÄN</t>
        </is>
      </c>
      <c r="E67" t="inlineStr">
        <is>
          <t>LEKSAND</t>
        </is>
      </c>
      <c r="G67" t="n">
        <v>1.9</v>
      </c>
      <c r="H67" t="n">
        <v>0</v>
      </c>
      <c r="I67" t="n">
        <v>0</v>
      </c>
      <c r="J67" t="n">
        <v>1</v>
      </c>
      <c r="K67" t="n">
        <v>0</v>
      </c>
      <c r="L67" t="n">
        <v>0</v>
      </c>
      <c r="M67" t="n">
        <v>0</v>
      </c>
      <c r="N67" t="n">
        <v>0</v>
      </c>
      <c r="O67" t="n">
        <v>1</v>
      </c>
      <c r="P67" t="n">
        <v>0</v>
      </c>
      <c r="Q67" t="n">
        <v>1</v>
      </c>
      <c r="R67" s="2" t="inlineStr">
        <is>
          <t>Gullklöver</t>
        </is>
      </c>
      <c r="S67">
        <f>HYPERLINK("https://klasma.github.io/Logging_2029/artfynd/A 8969-2026 artfynd.xlsx", "A 8969-2026")</f>
        <v/>
      </c>
      <c r="T67">
        <f>HYPERLINK("https://klasma.github.io/Logging_2029/kartor/A 8969-2026 karta.png", "A 8969-2026")</f>
        <v/>
      </c>
      <c r="V67">
        <f>HYPERLINK("https://klasma.github.io/Logging_2029/klagomål/A 8969-2026 FSC-klagomål.docx", "A 8969-2026")</f>
        <v/>
      </c>
      <c r="W67">
        <f>HYPERLINK("https://klasma.github.io/Logging_2029/klagomålsmail/A 8969-2026 FSC-klagomål mail.docx", "A 8969-2026")</f>
        <v/>
      </c>
      <c r="X67">
        <f>HYPERLINK("https://klasma.github.io/Logging_2029/tillsyn/A 8969-2026 tillsynsbegäran.docx", "A 8969-2026")</f>
        <v/>
      </c>
      <c r="Y67">
        <f>HYPERLINK("https://klasma.github.io/Logging_2029/tillsynsmail/A 8969-2026 tillsynsbegäran mail.docx", "A 8969-2026")</f>
        <v/>
      </c>
    </row>
    <row r="68" ht="15" customHeight="1">
      <c r="A68" t="inlineStr">
        <is>
          <t>A 17461-2026</t>
        </is>
      </c>
      <c r="B68" s="1" t="n">
        <v>46120</v>
      </c>
      <c r="C68" s="1" t="n">
        <v>46196</v>
      </c>
      <c r="D68" t="inlineStr">
        <is>
          <t>DALARNAS LÄN</t>
        </is>
      </c>
      <c r="E68" t="inlineStr">
        <is>
          <t>LEKSAND</t>
        </is>
      </c>
      <c r="G68" t="n">
        <v>1.3</v>
      </c>
      <c r="H68" t="n">
        <v>1</v>
      </c>
      <c r="I68" t="n">
        <v>0</v>
      </c>
      <c r="J68" t="n">
        <v>0</v>
      </c>
      <c r="K68" t="n">
        <v>1</v>
      </c>
      <c r="L68" t="n">
        <v>0</v>
      </c>
      <c r="M68" t="n">
        <v>0</v>
      </c>
      <c r="N68" t="n">
        <v>0</v>
      </c>
      <c r="O68" t="n">
        <v>1</v>
      </c>
      <c r="P68" t="n">
        <v>1</v>
      </c>
      <c r="Q68" t="n">
        <v>1</v>
      </c>
      <c r="R68" s="2" t="inlineStr">
        <is>
          <t>Brun gräsfjäril</t>
        </is>
      </c>
      <c r="S68">
        <f>HYPERLINK("https://klasma.github.io/Logging_2029/artfynd/A 17461-2026 artfynd.xlsx", "A 17461-2026")</f>
        <v/>
      </c>
      <c r="T68">
        <f>HYPERLINK("https://klasma.github.io/Logging_2029/kartor/A 17461-2026 karta.png", "A 17461-2026")</f>
        <v/>
      </c>
      <c r="V68">
        <f>HYPERLINK("https://klasma.github.io/Logging_2029/klagomål/A 17461-2026 FSC-klagomål.docx", "A 17461-2026")</f>
        <v/>
      </c>
      <c r="W68">
        <f>HYPERLINK("https://klasma.github.io/Logging_2029/klagomålsmail/A 17461-2026 FSC-klagomål mail.docx", "A 17461-2026")</f>
        <v/>
      </c>
      <c r="X68">
        <f>HYPERLINK("https://klasma.github.io/Logging_2029/tillsyn/A 17461-2026 tillsynsbegäran.docx", "A 17461-2026")</f>
        <v/>
      </c>
      <c r="Y68">
        <f>HYPERLINK("https://klasma.github.io/Logging_2029/tillsynsmail/A 17461-2026 tillsynsbegäran mail.docx", "A 17461-2026")</f>
        <v/>
      </c>
    </row>
    <row r="69" ht="15" customHeight="1">
      <c r="A69" t="inlineStr">
        <is>
          <t>A 60113-2022</t>
        </is>
      </c>
      <c r="B69" s="1" t="n">
        <v>44909</v>
      </c>
      <c r="C69" s="1" t="n">
        <v>46196</v>
      </c>
      <c r="D69" t="inlineStr">
        <is>
          <t>DALARNAS LÄN</t>
        </is>
      </c>
      <c r="E69" t="inlineStr">
        <is>
          <t>LEKSAND</t>
        </is>
      </c>
      <c r="G69" t="n">
        <v>3.7</v>
      </c>
      <c r="H69" t="n">
        <v>1</v>
      </c>
      <c r="I69" t="n">
        <v>0</v>
      </c>
      <c r="J69" t="n">
        <v>0</v>
      </c>
      <c r="K69" t="n">
        <v>0</v>
      </c>
      <c r="L69" t="n">
        <v>0</v>
      </c>
      <c r="M69" t="n">
        <v>0</v>
      </c>
      <c r="N69" t="n">
        <v>0</v>
      </c>
      <c r="O69" t="n">
        <v>0</v>
      </c>
      <c r="P69" t="n">
        <v>0</v>
      </c>
      <c r="Q69" t="n">
        <v>1</v>
      </c>
      <c r="R69" s="2" t="inlineStr">
        <is>
          <t>Slaguggla</t>
        </is>
      </c>
      <c r="S69">
        <f>HYPERLINK("https://klasma.github.io/Logging_2029/artfynd/A 60113-2022 artfynd.xlsx", "A 60113-2022")</f>
        <v/>
      </c>
      <c r="T69">
        <f>HYPERLINK("https://klasma.github.io/Logging_2029/kartor/A 60113-2022 karta.png", "A 60113-2022")</f>
        <v/>
      </c>
      <c r="V69">
        <f>HYPERLINK("https://klasma.github.io/Logging_2029/klagomål/A 60113-2022 FSC-klagomål.docx", "A 60113-2022")</f>
        <v/>
      </c>
      <c r="W69">
        <f>HYPERLINK("https://klasma.github.io/Logging_2029/klagomålsmail/A 60113-2022 FSC-klagomål mail.docx", "A 60113-2022")</f>
        <v/>
      </c>
      <c r="X69">
        <f>HYPERLINK("https://klasma.github.io/Logging_2029/tillsyn/A 60113-2022 tillsynsbegäran.docx", "A 60113-2022")</f>
        <v/>
      </c>
      <c r="Y69">
        <f>HYPERLINK("https://klasma.github.io/Logging_2029/tillsynsmail/A 60113-2022 tillsynsbegäran mail.docx", "A 60113-2022")</f>
        <v/>
      </c>
      <c r="Z69">
        <f>HYPERLINK("https://klasma.github.io/Logging_2029/fåglar/A 60113-2022 prioriterade fågelarter.docx", "A 60113-2022")</f>
        <v/>
      </c>
    </row>
    <row r="70" ht="15" customHeight="1">
      <c r="A70" t="inlineStr">
        <is>
          <t>A 164-2024</t>
        </is>
      </c>
      <c r="B70" s="1" t="n">
        <v>45294</v>
      </c>
      <c r="C70" s="1" t="n">
        <v>46196</v>
      </c>
      <c r="D70" t="inlineStr">
        <is>
          <t>DALARNAS LÄN</t>
        </is>
      </c>
      <c r="E70" t="inlineStr">
        <is>
          <t>LEKSAND</t>
        </is>
      </c>
      <c r="G70" t="n">
        <v>3.7</v>
      </c>
      <c r="H70" t="n">
        <v>1</v>
      </c>
      <c r="I70" t="n">
        <v>0</v>
      </c>
      <c r="J70" t="n">
        <v>0</v>
      </c>
      <c r="K70" t="n">
        <v>0</v>
      </c>
      <c r="L70" t="n">
        <v>0</v>
      </c>
      <c r="M70" t="n">
        <v>0</v>
      </c>
      <c r="N70" t="n">
        <v>0</v>
      </c>
      <c r="O70" t="n">
        <v>0</v>
      </c>
      <c r="P70" t="n">
        <v>0</v>
      </c>
      <c r="Q70" t="n">
        <v>1</v>
      </c>
      <c r="R70" s="2" t="inlineStr">
        <is>
          <t>Järpe</t>
        </is>
      </c>
      <c r="S70">
        <f>HYPERLINK("https://klasma.github.io/Logging_2029/artfynd/A 164-2024 artfynd.xlsx", "A 164-2024")</f>
        <v/>
      </c>
      <c r="T70">
        <f>HYPERLINK("https://klasma.github.io/Logging_2029/kartor/A 164-2024 karta.png", "A 164-2024")</f>
        <v/>
      </c>
      <c r="V70">
        <f>HYPERLINK("https://klasma.github.io/Logging_2029/klagomål/A 164-2024 FSC-klagomål.docx", "A 164-2024")</f>
        <v/>
      </c>
      <c r="W70">
        <f>HYPERLINK("https://klasma.github.io/Logging_2029/klagomålsmail/A 164-2024 FSC-klagomål mail.docx", "A 164-2024")</f>
        <v/>
      </c>
      <c r="X70">
        <f>HYPERLINK("https://klasma.github.io/Logging_2029/tillsyn/A 164-2024 tillsynsbegäran.docx", "A 164-2024")</f>
        <v/>
      </c>
      <c r="Y70">
        <f>HYPERLINK("https://klasma.github.io/Logging_2029/tillsynsmail/A 164-2024 tillsynsbegäran mail.docx", "A 164-2024")</f>
        <v/>
      </c>
      <c r="Z70">
        <f>HYPERLINK("https://klasma.github.io/Logging_2029/fåglar/A 164-2024 prioriterade fågelarter.docx", "A 164-2024")</f>
        <v/>
      </c>
    </row>
    <row r="71" ht="15" customHeight="1">
      <c r="A71" t="inlineStr">
        <is>
          <t>A 16743-2026</t>
        </is>
      </c>
      <c r="B71" s="1" t="n">
        <v>46113</v>
      </c>
      <c r="C71" s="1" t="n">
        <v>46196</v>
      </c>
      <c r="D71" t="inlineStr">
        <is>
          <t>DALARNAS LÄN</t>
        </is>
      </c>
      <c r="E71" t="inlineStr">
        <is>
          <t>LEKSAND</t>
        </is>
      </c>
      <c r="F71" t="inlineStr">
        <is>
          <t>Bergvik skog väst AB</t>
        </is>
      </c>
      <c r="G71" t="n">
        <v>32</v>
      </c>
      <c r="H71" t="n">
        <v>1</v>
      </c>
      <c r="I71" t="n">
        <v>0</v>
      </c>
      <c r="J71" t="n">
        <v>0</v>
      </c>
      <c r="K71" t="n">
        <v>0</v>
      </c>
      <c r="L71" t="n">
        <v>0</v>
      </c>
      <c r="M71" t="n">
        <v>0</v>
      </c>
      <c r="N71" t="n">
        <v>0</v>
      </c>
      <c r="O71" t="n">
        <v>0</v>
      </c>
      <c r="P71" t="n">
        <v>0</v>
      </c>
      <c r="Q71" t="n">
        <v>1</v>
      </c>
      <c r="R71" s="2" t="inlineStr">
        <is>
          <t>Järpe</t>
        </is>
      </c>
      <c r="S71">
        <f>HYPERLINK("https://klasma.github.io/Logging_2029/artfynd/A 16743-2026 artfynd.xlsx", "A 16743-2026")</f>
        <v/>
      </c>
      <c r="T71">
        <f>HYPERLINK("https://klasma.github.io/Logging_2029/kartor/A 16743-2026 karta.png", "A 16743-2026")</f>
        <v/>
      </c>
      <c r="V71">
        <f>HYPERLINK("https://klasma.github.io/Logging_2029/klagomål/A 16743-2026 FSC-klagomål.docx", "A 16743-2026")</f>
        <v/>
      </c>
      <c r="W71">
        <f>HYPERLINK("https://klasma.github.io/Logging_2029/klagomålsmail/A 16743-2026 FSC-klagomål mail.docx", "A 16743-2026")</f>
        <v/>
      </c>
      <c r="X71">
        <f>HYPERLINK("https://klasma.github.io/Logging_2029/tillsyn/A 16743-2026 tillsynsbegäran.docx", "A 16743-2026")</f>
        <v/>
      </c>
      <c r="Y71">
        <f>HYPERLINK("https://klasma.github.io/Logging_2029/tillsynsmail/A 16743-2026 tillsynsbegäran mail.docx", "A 16743-2026")</f>
        <v/>
      </c>
      <c r="Z71">
        <f>HYPERLINK("https://klasma.github.io/Logging_2029/fåglar/A 16743-2026 prioriterade fågelarter.docx", "A 16743-2026")</f>
        <v/>
      </c>
    </row>
    <row r="72" ht="15" customHeight="1">
      <c r="A72" t="inlineStr">
        <is>
          <t>A 55633-2024</t>
        </is>
      </c>
      <c r="B72" s="1" t="n">
        <v>45621</v>
      </c>
      <c r="C72" s="1" t="n">
        <v>46196</v>
      </c>
      <c r="D72" t="inlineStr">
        <is>
          <t>DALARNAS LÄN</t>
        </is>
      </c>
      <c r="E72" t="inlineStr">
        <is>
          <t>LEKSAND</t>
        </is>
      </c>
      <c r="G72" t="n">
        <v>7.8</v>
      </c>
      <c r="H72" t="n">
        <v>0</v>
      </c>
      <c r="I72" t="n">
        <v>0</v>
      </c>
      <c r="J72" t="n">
        <v>1</v>
      </c>
      <c r="K72" t="n">
        <v>0</v>
      </c>
      <c r="L72" t="n">
        <v>0</v>
      </c>
      <c r="M72" t="n">
        <v>0</v>
      </c>
      <c r="N72" t="n">
        <v>0</v>
      </c>
      <c r="O72" t="n">
        <v>1</v>
      </c>
      <c r="P72" t="n">
        <v>0</v>
      </c>
      <c r="Q72" t="n">
        <v>1</v>
      </c>
      <c r="R72" s="2" t="inlineStr">
        <is>
          <t>Ullticka</t>
        </is>
      </c>
      <c r="S72">
        <f>HYPERLINK("https://klasma.github.io/Logging_2029/artfynd/A 55633-2024 artfynd.xlsx", "A 55633-2024")</f>
        <v/>
      </c>
      <c r="T72">
        <f>HYPERLINK("https://klasma.github.io/Logging_2029/kartor/A 55633-2024 karta.png", "A 55633-2024")</f>
        <v/>
      </c>
      <c r="V72">
        <f>HYPERLINK("https://klasma.github.io/Logging_2029/klagomål/A 55633-2024 FSC-klagomål.docx", "A 55633-2024")</f>
        <v/>
      </c>
      <c r="W72">
        <f>HYPERLINK("https://klasma.github.io/Logging_2029/klagomålsmail/A 55633-2024 FSC-klagomål mail.docx", "A 55633-2024")</f>
        <v/>
      </c>
      <c r="X72">
        <f>HYPERLINK("https://klasma.github.io/Logging_2029/tillsyn/A 55633-2024 tillsynsbegäran.docx", "A 55633-2024")</f>
        <v/>
      </c>
      <c r="Y72">
        <f>HYPERLINK("https://klasma.github.io/Logging_2029/tillsynsmail/A 55633-2024 tillsynsbegäran mail.docx", "A 55633-2024")</f>
        <v/>
      </c>
    </row>
    <row r="73" ht="15" customHeight="1">
      <c r="A73" t="inlineStr">
        <is>
          <t>A 4257-2022</t>
        </is>
      </c>
      <c r="B73" s="1" t="n">
        <v>44588</v>
      </c>
      <c r="C73" s="1" t="n">
        <v>46196</v>
      </c>
      <c r="D73" t="inlineStr">
        <is>
          <t>DALARNAS LÄN</t>
        </is>
      </c>
      <c r="E73" t="inlineStr">
        <is>
          <t>LEKSAND</t>
        </is>
      </c>
      <c r="G73" t="n">
        <v>6.8</v>
      </c>
      <c r="H73" t="n">
        <v>1</v>
      </c>
      <c r="I73" t="n">
        <v>1</v>
      </c>
      <c r="J73" t="n">
        <v>0</v>
      </c>
      <c r="K73" t="n">
        <v>0</v>
      </c>
      <c r="L73" t="n">
        <v>0</v>
      </c>
      <c r="M73" t="n">
        <v>0</v>
      </c>
      <c r="N73" t="n">
        <v>0</v>
      </c>
      <c r="O73" t="n">
        <v>0</v>
      </c>
      <c r="P73" t="n">
        <v>0</v>
      </c>
      <c r="Q73" t="n">
        <v>1</v>
      </c>
      <c r="R73" s="2" t="inlineStr">
        <is>
          <t>Skogsknipprot</t>
        </is>
      </c>
      <c r="S73">
        <f>HYPERLINK("https://klasma.github.io/Logging_2029/artfynd/A 4257-2022 artfynd.xlsx", "A 4257-2022")</f>
        <v/>
      </c>
      <c r="T73">
        <f>HYPERLINK("https://klasma.github.io/Logging_2029/kartor/A 4257-2022 karta.png", "A 4257-2022")</f>
        <v/>
      </c>
      <c r="V73">
        <f>HYPERLINK("https://klasma.github.io/Logging_2029/klagomål/A 4257-2022 FSC-klagomål.docx", "A 4257-2022")</f>
        <v/>
      </c>
      <c r="W73">
        <f>HYPERLINK("https://klasma.github.io/Logging_2029/klagomålsmail/A 4257-2022 FSC-klagomål mail.docx", "A 4257-2022")</f>
        <v/>
      </c>
      <c r="X73">
        <f>HYPERLINK("https://klasma.github.io/Logging_2029/tillsyn/A 4257-2022 tillsynsbegäran.docx", "A 4257-2022")</f>
        <v/>
      </c>
      <c r="Y73">
        <f>HYPERLINK("https://klasma.github.io/Logging_2029/tillsynsmail/A 4257-2022 tillsynsbegäran mail.docx", "A 4257-2022")</f>
        <v/>
      </c>
    </row>
    <row r="74" ht="15" customHeight="1">
      <c r="A74" t="inlineStr">
        <is>
          <t>A 5582-2024</t>
        </is>
      </c>
      <c r="B74" s="1" t="n">
        <v>45334</v>
      </c>
      <c r="C74" s="1" t="n">
        <v>46196</v>
      </c>
      <c r="D74" t="inlineStr">
        <is>
          <t>DALARNAS LÄN</t>
        </is>
      </c>
      <c r="E74" t="inlineStr">
        <is>
          <t>LEKSAND</t>
        </is>
      </c>
      <c r="G74" t="n">
        <v>0.5</v>
      </c>
      <c r="H74" t="n">
        <v>0</v>
      </c>
      <c r="I74" t="n">
        <v>0</v>
      </c>
      <c r="J74" t="n">
        <v>1</v>
      </c>
      <c r="K74" t="n">
        <v>0</v>
      </c>
      <c r="L74" t="n">
        <v>0</v>
      </c>
      <c r="M74" t="n">
        <v>0</v>
      </c>
      <c r="N74" t="n">
        <v>0</v>
      </c>
      <c r="O74" t="n">
        <v>1</v>
      </c>
      <c r="P74" t="n">
        <v>0</v>
      </c>
      <c r="Q74" t="n">
        <v>1</v>
      </c>
      <c r="R74" s="2" t="inlineStr">
        <is>
          <t>Scharlakansvaxing</t>
        </is>
      </c>
      <c r="S74">
        <f>HYPERLINK("https://klasma.github.io/Logging_2029/artfynd/A 5582-2024 artfynd.xlsx", "A 5582-2024")</f>
        <v/>
      </c>
      <c r="T74">
        <f>HYPERLINK("https://klasma.github.io/Logging_2029/kartor/A 5582-2024 karta.png", "A 5582-2024")</f>
        <v/>
      </c>
      <c r="V74">
        <f>HYPERLINK("https://klasma.github.io/Logging_2029/klagomål/A 5582-2024 FSC-klagomål.docx", "A 5582-2024")</f>
        <v/>
      </c>
      <c r="W74">
        <f>HYPERLINK("https://klasma.github.io/Logging_2029/klagomålsmail/A 5582-2024 FSC-klagomål mail.docx", "A 5582-2024")</f>
        <v/>
      </c>
      <c r="X74">
        <f>HYPERLINK("https://klasma.github.io/Logging_2029/tillsyn/A 5582-2024 tillsynsbegäran.docx", "A 5582-2024")</f>
        <v/>
      </c>
      <c r="Y74">
        <f>HYPERLINK("https://klasma.github.io/Logging_2029/tillsynsmail/A 5582-2024 tillsynsbegäran mail.docx", "A 5582-2024")</f>
        <v/>
      </c>
    </row>
    <row r="75" ht="15" customHeight="1">
      <c r="A75" t="inlineStr">
        <is>
          <t>A 15120-2023</t>
        </is>
      </c>
      <c r="B75" s="1" t="n">
        <v>45016</v>
      </c>
      <c r="C75" s="1" t="n">
        <v>46196</v>
      </c>
      <c r="D75" t="inlineStr">
        <is>
          <t>DALARNAS LÄN</t>
        </is>
      </c>
      <c r="E75" t="inlineStr">
        <is>
          <t>LEKSAND</t>
        </is>
      </c>
      <c r="G75" t="n">
        <v>2.7</v>
      </c>
      <c r="H75" t="n">
        <v>1</v>
      </c>
      <c r="I75" t="n">
        <v>0</v>
      </c>
      <c r="J75" t="n">
        <v>0</v>
      </c>
      <c r="K75" t="n">
        <v>0</v>
      </c>
      <c r="L75" t="n">
        <v>0</v>
      </c>
      <c r="M75" t="n">
        <v>0</v>
      </c>
      <c r="N75" t="n">
        <v>0</v>
      </c>
      <c r="O75" t="n">
        <v>0</v>
      </c>
      <c r="P75" t="n">
        <v>0</v>
      </c>
      <c r="Q75" t="n">
        <v>1</v>
      </c>
      <c r="R75" s="2" t="inlineStr">
        <is>
          <t>Kungsfågel</t>
        </is>
      </c>
      <c r="S75">
        <f>HYPERLINK("https://klasma.github.io/Logging_2029/artfynd/A 15120-2023 artfynd.xlsx", "A 15120-2023")</f>
        <v/>
      </c>
      <c r="T75">
        <f>HYPERLINK("https://klasma.github.io/Logging_2029/kartor/A 15120-2023 karta.png", "A 15120-2023")</f>
        <v/>
      </c>
      <c r="V75">
        <f>HYPERLINK("https://klasma.github.io/Logging_2029/klagomål/A 15120-2023 FSC-klagomål.docx", "A 15120-2023")</f>
        <v/>
      </c>
      <c r="W75">
        <f>HYPERLINK("https://klasma.github.io/Logging_2029/klagomålsmail/A 15120-2023 FSC-klagomål mail.docx", "A 15120-2023")</f>
        <v/>
      </c>
      <c r="X75">
        <f>HYPERLINK("https://klasma.github.io/Logging_2029/tillsyn/A 15120-2023 tillsynsbegäran.docx", "A 15120-2023")</f>
        <v/>
      </c>
      <c r="Y75">
        <f>HYPERLINK("https://klasma.github.io/Logging_2029/tillsynsmail/A 15120-2023 tillsynsbegäran mail.docx", "A 15120-2023")</f>
        <v/>
      </c>
    </row>
    <row r="76" ht="15" customHeight="1">
      <c r="A76" t="inlineStr">
        <is>
          <t>A 20946-2023</t>
        </is>
      </c>
      <c r="B76" s="1" t="n">
        <v>45061</v>
      </c>
      <c r="C76" s="1" t="n">
        <v>46196</v>
      </c>
      <c r="D76" t="inlineStr">
        <is>
          <t>DALARNAS LÄN</t>
        </is>
      </c>
      <c r="E76" t="inlineStr">
        <is>
          <t>LEKSAND</t>
        </is>
      </c>
      <c r="G76" t="n">
        <v>2.7</v>
      </c>
      <c r="H76" t="n">
        <v>1</v>
      </c>
      <c r="I76" t="n">
        <v>0</v>
      </c>
      <c r="J76" t="n">
        <v>0</v>
      </c>
      <c r="K76" t="n">
        <v>1</v>
      </c>
      <c r="L76" t="n">
        <v>0</v>
      </c>
      <c r="M76" t="n">
        <v>0</v>
      </c>
      <c r="N76" t="n">
        <v>0</v>
      </c>
      <c r="O76" t="n">
        <v>1</v>
      </c>
      <c r="P76" t="n">
        <v>1</v>
      </c>
      <c r="Q76" t="n">
        <v>1</v>
      </c>
      <c r="R76" s="2" t="inlineStr">
        <is>
          <t>Väddnätfjäril</t>
        </is>
      </c>
      <c r="S76">
        <f>HYPERLINK("https://klasma.github.io/Logging_2029/artfynd/A 20946-2023 artfynd.xlsx", "A 20946-2023")</f>
        <v/>
      </c>
      <c r="T76">
        <f>HYPERLINK("https://klasma.github.io/Logging_2029/kartor/A 20946-2023 karta.png", "A 20946-2023")</f>
        <v/>
      </c>
      <c r="V76">
        <f>HYPERLINK("https://klasma.github.io/Logging_2029/klagomål/A 20946-2023 FSC-klagomål.docx", "A 20946-2023")</f>
        <v/>
      </c>
      <c r="W76">
        <f>HYPERLINK("https://klasma.github.io/Logging_2029/klagomålsmail/A 20946-2023 FSC-klagomål mail.docx", "A 20946-2023")</f>
        <v/>
      </c>
      <c r="X76">
        <f>HYPERLINK("https://klasma.github.io/Logging_2029/tillsyn/A 20946-2023 tillsynsbegäran.docx", "A 20946-2023")</f>
        <v/>
      </c>
      <c r="Y76">
        <f>HYPERLINK("https://klasma.github.io/Logging_2029/tillsynsmail/A 20946-2023 tillsynsbegäran mail.docx", "A 20946-2023")</f>
        <v/>
      </c>
    </row>
    <row r="77" ht="15" customHeight="1">
      <c r="A77" t="inlineStr">
        <is>
          <t>A 53633-2024</t>
        </is>
      </c>
      <c r="B77" s="1" t="n">
        <v>45614</v>
      </c>
      <c r="C77" s="1" t="n">
        <v>46196</v>
      </c>
      <c r="D77" t="inlineStr">
        <is>
          <t>DALARNAS LÄN</t>
        </is>
      </c>
      <c r="E77" t="inlineStr">
        <is>
          <t>LEKSAND</t>
        </is>
      </c>
      <c r="G77" t="n">
        <v>1.6</v>
      </c>
      <c r="H77" t="n">
        <v>1</v>
      </c>
      <c r="I77" t="n">
        <v>0</v>
      </c>
      <c r="J77" t="n">
        <v>1</v>
      </c>
      <c r="K77" t="n">
        <v>0</v>
      </c>
      <c r="L77" t="n">
        <v>0</v>
      </c>
      <c r="M77" t="n">
        <v>0</v>
      </c>
      <c r="N77" t="n">
        <v>0</v>
      </c>
      <c r="O77" t="n">
        <v>1</v>
      </c>
      <c r="P77" t="n">
        <v>0</v>
      </c>
      <c r="Q77" t="n">
        <v>1</v>
      </c>
      <c r="R77" s="2" t="inlineStr">
        <is>
          <t>Tretåig hackspett</t>
        </is>
      </c>
      <c r="S77">
        <f>HYPERLINK("https://klasma.github.io/Logging_2029/artfynd/A 53633-2024 artfynd.xlsx", "A 53633-2024")</f>
        <v/>
      </c>
      <c r="T77">
        <f>HYPERLINK("https://klasma.github.io/Logging_2029/kartor/A 53633-2024 karta.png", "A 53633-2024")</f>
        <v/>
      </c>
      <c r="V77">
        <f>HYPERLINK("https://klasma.github.io/Logging_2029/klagomål/A 53633-2024 FSC-klagomål.docx", "A 53633-2024")</f>
        <v/>
      </c>
      <c r="W77">
        <f>HYPERLINK("https://klasma.github.io/Logging_2029/klagomålsmail/A 53633-2024 FSC-klagomål mail.docx", "A 53633-2024")</f>
        <v/>
      </c>
      <c r="X77">
        <f>HYPERLINK("https://klasma.github.io/Logging_2029/tillsyn/A 53633-2024 tillsynsbegäran.docx", "A 53633-2024")</f>
        <v/>
      </c>
      <c r="Y77">
        <f>HYPERLINK("https://klasma.github.io/Logging_2029/tillsynsmail/A 53633-2024 tillsynsbegäran mail.docx", "A 53633-2024")</f>
        <v/>
      </c>
      <c r="Z77">
        <f>HYPERLINK("https://klasma.github.io/Logging_2029/fåglar/A 53633-2024 prioriterade fågelarter.docx", "A 53633-2024")</f>
        <v/>
      </c>
    </row>
    <row r="78" ht="15" customHeight="1">
      <c r="A78" t="inlineStr">
        <is>
          <t>A 59751-2024</t>
        </is>
      </c>
      <c r="B78" s="1" t="n">
        <v>45638</v>
      </c>
      <c r="C78" s="1" t="n">
        <v>46196</v>
      </c>
      <c r="D78" t="inlineStr">
        <is>
          <t>DALARNAS LÄN</t>
        </is>
      </c>
      <c r="E78" t="inlineStr">
        <is>
          <t>LEKSAND</t>
        </is>
      </c>
      <c r="G78" t="n">
        <v>5.2</v>
      </c>
      <c r="H78" t="n">
        <v>1</v>
      </c>
      <c r="I78" t="n">
        <v>0</v>
      </c>
      <c r="J78" t="n">
        <v>0</v>
      </c>
      <c r="K78" t="n">
        <v>0</v>
      </c>
      <c r="L78" t="n">
        <v>0</v>
      </c>
      <c r="M78" t="n">
        <v>0</v>
      </c>
      <c r="N78" t="n">
        <v>0</v>
      </c>
      <c r="O78" t="n">
        <v>0</v>
      </c>
      <c r="P78" t="n">
        <v>0</v>
      </c>
      <c r="Q78" t="n">
        <v>1</v>
      </c>
      <c r="R78" s="2" t="inlineStr">
        <is>
          <t>Spillkråka</t>
        </is>
      </c>
      <c r="S78">
        <f>HYPERLINK("https://klasma.github.io/Logging_2029/artfynd/A 59751-2024 artfynd.xlsx", "A 59751-2024")</f>
        <v/>
      </c>
      <c r="T78">
        <f>HYPERLINK("https://klasma.github.io/Logging_2029/kartor/A 59751-2024 karta.png", "A 59751-2024")</f>
        <v/>
      </c>
      <c r="V78">
        <f>HYPERLINK("https://klasma.github.io/Logging_2029/klagomål/A 59751-2024 FSC-klagomål.docx", "A 59751-2024")</f>
        <v/>
      </c>
      <c r="W78">
        <f>HYPERLINK("https://klasma.github.io/Logging_2029/klagomålsmail/A 59751-2024 FSC-klagomål mail.docx", "A 59751-2024")</f>
        <v/>
      </c>
      <c r="X78">
        <f>HYPERLINK("https://klasma.github.io/Logging_2029/tillsyn/A 59751-2024 tillsynsbegäran.docx", "A 59751-2024")</f>
        <v/>
      </c>
      <c r="Y78">
        <f>HYPERLINK("https://klasma.github.io/Logging_2029/tillsynsmail/A 59751-2024 tillsynsbegäran mail.docx", "A 59751-2024")</f>
        <v/>
      </c>
      <c r="Z78">
        <f>HYPERLINK("https://klasma.github.io/Logging_2029/fåglar/A 59751-2024 prioriterade fågelarter.docx", "A 59751-2024")</f>
        <v/>
      </c>
    </row>
    <row r="79" ht="15" customHeight="1">
      <c r="A79" t="inlineStr">
        <is>
          <t>A 7928-2023</t>
        </is>
      </c>
      <c r="B79" s="1" t="n">
        <v>44973</v>
      </c>
      <c r="C79" s="1" t="n">
        <v>46196</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Grantaggsvamp</t>
        </is>
      </c>
      <c r="S79">
        <f>HYPERLINK("https://klasma.github.io/Logging_2029/artfynd/A 7928-2023 artfynd.xlsx", "A 7928-2023")</f>
        <v/>
      </c>
      <c r="T79">
        <f>HYPERLINK("https://klasma.github.io/Logging_2029/kartor/A 7928-2023 karta.png", "A 7928-2023")</f>
        <v/>
      </c>
      <c r="V79">
        <f>HYPERLINK("https://klasma.github.io/Logging_2029/klagomål/A 7928-2023 FSC-klagomål.docx", "A 7928-2023")</f>
        <v/>
      </c>
      <c r="W79">
        <f>HYPERLINK("https://klasma.github.io/Logging_2029/klagomålsmail/A 7928-2023 FSC-klagomål mail.docx", "A 7928-2023")</f>
        <v/>
      </c>
      <c r="X79">
        <f>HYPERLINK("https://klasma.github.io/Logging_2029/tillsyn/A 7928-2023 tillsynsbegäran.docx", "A 7928-2023")</f>
        <v/>
      </c>
      <c r="Y79">
        <f>HYPERLINK("https://klasma.github.io/Logging_2029/tillsynsmail/A 7928-2023 tillsynsbegäran mail.docx", "A 7928-2023")</f>
        <v/>
      </c>
    </row>
    <row r="80" ht="15" customHeight="1">
      <c r="A80" t="inlineStr">
        <is>
          <t>A 11218-2023</t>
        </is>
      </c>
      <c r="B80" s="1" t="n">
        <v>44992</v>
      </c>
      <c r="C80" s="1" t="n">
        <v>46196</v>
      </c>
      <c r="D80" t="inlineStr">
        <is>
          <t>DALARNAS LÄN</t>
        </is>
      </c>
      <c r="E80" t="inlineStr">
        <is>
          <t>LEKSAND</t>
        </is>
      </c>
      <c r="G80" t="n">
        <v>2.6</v>
      </c>
      <c r="H80" t="n">
        <v>1</v>
      </c>
      <c r="I80" t="n">
        <v>0</v>
      </c>
      <c r="J80" t="n">
        <v>0</v>
      </c>
      <c r="K80" t="n">
        <v>1</v>
      </c>
      <c r="L80" t="n">
        <v>0</v>
      </c>
      <c r="M80" t="n">
        <v>0</v>
      </c>
      <c r="N80" t="n">
        <v>0</v>
      </c>
      <c r="O80" t="n">
        <v>1</v>
      </c>
      <c r="P80" t="n">
        <v>1</v>
      </c>
      <c r="Q80" t="n">
        <v>1</v>
      </c>
      <c r="R80" s="2" t="inlineStr">
        <is>
          <t>Knärot</t>
        </is>
      </c>
      <c r="S80">
        <f>HYPERLINK("https://klasma.github.io/Logging_2029/artfynd/A 11218-2023 artfynd.xlsx", "A 11218-2023")</f>
        <v/>
      </c>
      <c r="T80">
        <f>HYPERLINK("https://klasma.github.io/Logging_2029/kartor/A 11218-2023 karta.png", "A 11218-2023")</f>
        <v/>
      </c>
      <c r="U80">
        <f>HYPERLINK("https://klasma.github.io/Logging_2029/knärot/A 11218-2023 karta knärot.png", "A 11218-2023")</f>
        <v/>
      </c>
      <c r="V80">
        <f>HYPERLINK("https://klasma.github.io/Logging_2029/klagomål/A 11218-2023 FSC-klagomål.docx", "A 11218-2023")</f>
        <v/>
      </c>
      <c r="W80">
        <f>HYPERLINK("https://klasma.github.io/Logging_2029/klagomålsmail/A 11218-2023 FSC-klagomål mail.docx", "A 11218-2023")</f>
        <v/>
      </c>
      <c r="X80">
        <f>HYPERLINK("https://klasma.github.io/Logging_2029/tillsyn/A 11218-2023 tillsynsbegäran.docx", "A 11218-2023")</f>
        <v/>
      </c>
      <c r="Y80">
        <f>HYPERLINK("https://klasma.github.io/Logging_2029/tillsynsmail/A 11218-2023 tillsynsbegäran mail.docx", "A 11218-2023")</f>
        <v/>
      </c>
    </row>
    <row r="81" ht="15" customHeight="1">
      <c r="A81" t="inlineStr">
        <is>
          <t>A 26287-2023</t>
        </is>
      </c>
      <c r="B81" s="1" t="n">
        <v>45091</v>
      </c>
      <c r="C81" s="1" t="n">
        <v>46196</v>
      </c>
      <c r="D81" t="inlineStr">
        <is>
          <t>DALARNAS LÄN</t>
        </is>
      </c>
      <c r="E81" t="inlineStr">
        <is>
          <t>LEKSAND</t>
        </is>
      </c>
      <c r="G81" t="n">
        <v>2.4</v>
      </c>
      <c r="H81" t="n">
        <v>0</v>
      </c>
      <c r="I81" t="n">
        <v>1</v>
      </c>
      <c r="J81" t="n">
        <v>0</v>
      </c>
      <c r="K81" t="n">
        <v>0</v>
      </c>
      <c r="L81" t="n">
        <v>0</v>
      </c>
      <c r="M81" t="n">
        <v>0</v>
      </c>
      <c r="N81" t="n">
        <v>0</v>
      </c>
      <c r="O81" t="n">
        <v>0</v>
      </c>
      <c r="P81" t="n">
        <v>0</v>
      </c>
      <c r="Q81" t="n">
        <v>1</v>
      </c>
      <c r="R81" s="2" t="inlineStr">
        <is>
          <t>Mindre märgborre</t>
        </is>
      </c>
      <c r="S81">
        <f>HYPERLINK("https://klasma.github.io/Logging_2029/artfynd/A 26287-2023 artfynd.xlsx", "A 26287-2023")</f>
        <v/>
      </c>
      <c r="T81">
        <f>HYPERLINK("https://klasma.github.io/Logging_2029/kartor/A 26287-2023 karta.png", "A 26287-2023")</f>
        <v/>
      </c>
      <c r="V81">
        <f>HYPERLINK("https://klasma.github.io/Logging_2029/klagomål/A 26287-2023 FSC-klagomål.docx", "A 26287-2023")</f>
        <v/>
      </c>
      <c r="W81">
        <f>HYPERLINK("https://klasma.github.io/Logging_2029/klagomålsmail/A 26287-2023 FSC-klagomål mail.docx", "A 26287-2023")</f>
        <v/>
      </c>
      <c r="X81">
        <f>HYPERLINK("https://klasma.github.io/Logging_2029/tillsyn/A 26287-2023 tillsynsbegäran.docx", "A 26287-2023")</f>
        <v/>
      </c>
      <c r="Y81">
        <f>HYPERLINK("https://klasma.github.io/Logging_2029/tillsynsmail/A 26287-2023 tillsynsbegäran mail.docx", "A 26287-2023")</f>
        <v/>
      </c>
    </row>
    <row r="82" ht="15" customHeight="1">
      <c r="A82" t="inlineStr">
        <is>
          <t>A 18107-2025</t>
        </is>
      </c>
      <c r="B82" s="1" t="n">
        <v>45761</v>
      </c>
      <c r="C82" s="1" t="n">
        <v>46196</v>
      </c>
      <c r="D82" t="inlineStr">
        <is>
          <t>DALARNAS LÄN</t>
        </is>
      </c>
      <c r="E82" t="inlineStr">
        <is>
          <t>LEKSAND</t>
        </is>
      </c>
      <c r="G82" t="n">
        <v>1.2</v>
      </c>
      <c r="H82" t="n">
        <v>0</v>
      </c>
      <c r="I82" t="n">
        <v>0</v>
      </c>
      <c r="J82" t="n">
        <v>1</v>
      </c>
      <c r="K82" t="n">
        <v>0</v>
      </c>
      <c r="L82" t="n">
        <v>0</v>
      </c>
      <c r="M82" t="n">
        <v>0</v>
      </c>
      <c r="N82" t="n">
        <v>0</v>
      </c>
      <c r="O82" t="n">
        <v>1</v>
      </c>
      <c r="P82" t="n">
        <v>0</v>
      </c>
      <c r="Q82" t="n">
        <v>1</v>
      </c>
      <c r="R82" s="2" t="inlineStr">
        <is>
          <t>Gullpudra</t>
        </is>
      </c>
      <c r="S82">
        <f>HYPERLINK("https://klasma.github.io/Logging_2029/artfynd/A 18107-2025 artfynd.xlsx", "A 18107-2025")</f>
        <v/>
      </c>
      <c r="T82">
        <f>HYPERLINK("https://klasma.github.io/Logging_2029/kartor/A 18107-2025 karta.png", "A 18107-2025")</f>
        <v/>
      </c>
      <c r="V82">
        <f>HYPERLINK("https://klasma.github.io/Logging_2029/klagomål/A 18107-2025 FSC-klagomål.docx", "A 18107-2025")</f>
        <v/>
      </c>
      <c r="W82">
        <f>HYPERLINK("https://klasma.github.io/Logging_2029/klagomålsmail/A 18107-2025 FSC-klagomål mail.docx", "A 18107-2025")</f>
        <v/>
      </c>
      <c r="X82">
        <f>HYPERLINK("https://klasma.github.io/Logging_2029/tillsyn/A 18107-2025 tillsynsbegäran.docx", "A 18107-2025")</f>
        <v/>
      </c>
      <c r="Y82">
        <f>HYPERLINK("https://klasma.github.io/Logging_2029/tillsynsmail/A 18107-2025 tillsynsbegäran mail.docx", "A 18107-2025")</f>
        <v/>
      </c>
    </row>
    <row r="83" ht="15" customHeight="1">
      <c r="A83" t="inlineStr">
        <is>
          <t>A 13401-2023</t>
        </is>
      </c>
      <c r="B83" s="1" t="n">
        <v>45005</v>
      </c>
      <c r="C83" s="1" t="n">
        <v>46196</v>
      </c>
      <c r="D83" t="inlineStr">
        <is>
          <t>DALARNAS LÄN</t>
        </is>
      </c>
      <c r="E83" t="inlineStr">
        <is>
          <t>LEKSAND</t>
        </is>
      </c>
      <c r="G83" t="n">
        <v>0.7</v>
      </c>
      <c r="H83" t="n">
        <v>1</v>
      </c>
      <c r="I83" t="n">
        <v>0</v>
      </c>
      <c r="J83" t="n">
        <v>0</v>
      </c>
      <c r="K83" t="n">
        <v>0</v>
      </c>
      <c r="L83" t="n">
        <v>0</v>
      </c>
      <c r="M83" t="n">
        <v>0</v>
      </c>
      <c r="N83" t="n">
        <v>0</v>
      </c>
      <c r="O83" t="n">
        <v>0</v>
      </c>
      <c r="P83" t="n">
        <v>0</v>
      </c>
      <c r="Q83" t="n">
        <v>1</v>
      </c>
      <c r="R83" s="2" t="inlineStr">
        <is>
          <t>Orre</t>
        </is>
      </c>
      <c r="S83">
        <f>HYPERLINK("https://klasma.github.io/Logging_2029/artfynd/A 13401-2023 artfynd.xlsx", "A 13401-2023")</f>
        <v/>
      </c>
      <c r="T83">
        <f>HYPERLINK("https://klasma.github.io/Logging_2029/kartor/A 13401-2023 karta.png", "A 13401-2023")</f>
        <v/>
      </c>
      <c r="V83">
        <f>HYPERLINK("https://klasma.github.io/Logging_2029/klagomål/A 13401-2023 FSC-klagomål.docx", "A 13401-2023")</f>
        <v/>
      </c>
      <c r="W83">
        <f>HYPERLINK("https://klasma.github.io/Logging_2029/klagomålsmail/A 13401-2023 FSC-klagomål mail.docx", "A 13401-2023")</f>
        <v/>
      </c>
      <c r="X83">
        <f>HYPERLINK("https://klasma.github.io/Logging_2029/tillsyn/A 13401-2023 tillsynsbegäran.docx", "A 13401-2023")</f>
        <v/>
      </c>
      <c r="Y83">
        <f>HYPERLINK("https://klasma.github.io/Logging_2029/tillsynsmail/A 13401-2023 tillsynsbegäran mail.docx", "A 13401-2023")</f>
        <v/>
      </c>
      <c r="Z83">
        <f>HYPERLINK("https://klasma.github.io/Logging_2029/fåglar/A 13401-2023 prioriterade fågelarter.docx", "A 13401-2023")</f>
        <v/>
      </c>
    </row>
    <row r="84" ht="15" customHeight="1">
      <c r="A84" t="inlineStr">
        <is>
          <t>A 16815-2025</t>
        </is>
      </c>
      <c r="B84" s="1" t="n">
        <v>45754</v>
      </c>
      <c r="C84" s="1" t="n">
        <v>46196</v>
      </c>
      <c r="D84" t="inlineStr">
        <is>
          <t>DALARNAS LÄN</t>
        </is>
      </c>
      <c r="E84" t="inlineStr">
        <is>
          <t>LEKSAND</t>
        </is>
      </c>
      <c r="G84" t="n">
        <v>2.8</v>
      </c>
      <c r="H84" t="n">
        <v>0</v>
      </c>
      <c r="I84" t="n">
        <v>1</v>
      </c>
      <c r="J84" t="n">
        <v>0</v>
      </c>
      <c r="K84" t="n">
        <v>0</v>
      </c>
      <c r="L84" t="n">
        <v>0</v>
      </c>
      <c r="M84" t="n">
        <v>0</v>
      </c>
      <c r="N84" t="n">
        <v>0</v>
      </c>
      <c r="O84" t="n">
        <v>0</v>
      </c>
      <c r="P84" t="n">
        <v>0</v>
      </c>
      <c r="Q84" t="n">
        <v>1</v>
      </c>
      <c r="R84" s="2" t="inlineStr">
        <is>
          <t>Svavelriska</t>
        </is>
      </c>
      <c r="S84">
        <f>HYPERLINK("https://klasma.github.io/Logging_2029/artfynd/A 16815-2025 artfynd.xlsx", "A 16815-2025")</f>
        <v/>
      </c>
      <c r="T84">
        <f>HYPERLINK("https://klasma.github.io/Logging_2029/kartor/A 16815-2025 karta.png", "A 16815-2025")</f>
        <v/>
      </c>
      <c r="V84">
        <f>HYPERLINK("https://klasma.github.io/Logging_2029/klagomål/A 16815-2025 FSC-klagomål.docx", "A 16815-2025")</f>
        <v/>
      </c>
      <c r="W84">
        <f>HYPERLINK("https://klasma.github.io/Logging_2029/klagomålsmail/A 16815-2025 FSC-klagomål mail.docx", "A 16815-2025")</f>
        <v/>
      </c>
      <c r="X84">
        <f>HYPERLINK("https://klasma.github.io/Logging_2029/tillsyn/A 16815-2025 tillsynsbegäran.docx", "A 16815-2025")</f>
        <v/>
      </c>
      <c r="Y84">
        <f>HYPERLINK("https://klasma.github.io/Logging_2029/tillsynsmail/A 16815-2025 tillsynsbegäran mail.docx", "A 16815-2025")</f>
        <v/>
      </c>
    </row>
    <row r="85" ht="15" customHeight="1">
      <c r="A85" t="inlineStr">
        <is>
          <t>A 36438-2021</t>
        </is>
      </c>
      <c r="B85" s="1" t="n">
        <v>44390</v>
      </c>
      <c r="C85" s="1" t="n">
        <v>46196</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46196</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46196</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46196</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46196</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46196</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35801-2022</t>
        </is>
      </c>
      <c r="B91" s="1" t="n">
        <v>44802</v>
      </c>
      <c r="C91" s="1" t="n">
        <v>46196</v>
      </c>
      <c r="D91" t="inlineStr">
        <is>
          <t>DALARNAS LÄN</t>
        </is>
      </c>
      <c r="E91" t="inlineStr">
        <is>
          <t>LEKSAND</t>
        </is>
      </c>
      <c r="F91" t="inlineStr">
        <is>
          <t>Bergvik skog väst AB</t>
        </is>
      </c>
      <c r="G91" t="n">
        <v>6.4</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46196</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46196</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46196</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51498-2022</t>
        </is>
      </c>
      <c r="B95" s="1" t="n">
        <v>44869</v>
      </c>
      <c r="C95" s="1" t="n">
        <v>46196</v>
      </c>
      <c r="D95" t="inlineStr">
        <is>
          <t>DALARNAS LÄN</t>
        </is>
      </c>
      <c r="E95" t="inlineStr">
        <is>
          <t>LEKSAND</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791-2022</t>
        </is>
      </c>
      <c r="B96" s="1" t="n">
        <v>44570</v>
      </c>
      <c r="C96" s="1" t="n">
        <v>46196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63831-2021</t>
        </is>
      </c>
      <c r="B97" s="1" t="n">
        <v>44509</v>
      </c>
      <c r="C97" s="1" t="n">
        <v>46196</v>
      </c>
      <c r="D97" t="inlineStr">
        <is>
          <t>DALARNAS LÄN</t>
        </is>
      </c>
      <c r="E97" t="inlineStr">
        <is>
          <t>LEKSAND</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37531-2021</t>
        </is>
      </c>
      <c r="B98" s="1" t="n">
        <v>44399</v>
      </c>
      <c r="C98" s="1" t="n">
        <v>46196</v>
      </c>
      <c r="D98" t="inlineStr">
        <is>
          <t>DALARNAS LÄN</t>
        </is>
      </c>
      <c r="E98" t="inlineStr">
        <is>
          <t>LEKSAND</t>
        </is>
      </c>
      <c r="G98" t="n">
        <v>1.5</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46196</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46196</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46196</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46196</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46196</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46196</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46196</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46196</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46196</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46196</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46196</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62279-2021</t>
        </is>
      </c>
      <c r="B110" s="1" t="n">
        <v>44503</v>
      </c>
      <c r="C110" s="1" t="n">
        <v>46196</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70026-2021</t>
        </is>
      </c>
      <c r="B111" s="1" t="n">
        <v>44533</v>
      </c>
      <c r="C111" s="1" t="n">
        <v>46196</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46196</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46196</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46196</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46196</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18870-2022</t>
        </is>
      </c>
      <c r="B116" s="1" t="n">
        <v>44690</v>
      </c>
      <c r="C116" s="1" t="n">
        <v>46196</v>
      </c>
      <c r="D116" t="inlineStr">
        <is>
          <t>DALARNAS LÄN</t>
        </is>
      </c>
      <c r="E116" t="inlineStr">
        <is>
          <t>LEKSAND</t>
        </is>
      </c>
      <c r="F116" t="inlineStr">
        <is>
          <t>Övriga Aktiebolag</t>
        </is>
      </c>
      <c r="G116" t="n">
        <v>3.1</v>
      </c>
      <c r="H116" t="n">
        <v>0</v>
      </c>
      <c r="I116" t="n">
        <v>0</v>
      </c>
      <c r="J116" t="n">
        <v>0</v>
      </c>
      <c r="K116" t="n">
        <v>0</v>
      </c>
      <c r="L116" t="n">
        <v>0</v>
      </c>
      <c r="M116" t="n">
        <v>0</v>
      </c>
      <c r="N116" t="n">
        <v>0</v>
      </c>
      <c r="O116" t="n">
        <v>0</v>
      </c>
      <c r="P116" t="n">
        <v>0</v>
      </c>
      <c r="Q116" t="n">
        <v>0</v>
      </c>
      <c r="R116" s="2" t="inlineStr"/>
    </row>
    <row r="117" ht="15" customHeight="1">
      <c r="A117" t="inlineStr">
        <is>
          <t>A 18140-2022</t>
        </is>
      </c>
      <c r="B117" s="1" t="n">
        <v>44684</v>
      </c>
      <c r="C117" s="1" t="n">
        <v>46196</v>
      </c>
      <c r="D117" t="inlineStr">
        <is>
          <t>DALARNAS LÄN</t>
        </is>
      </c>
      <c r="E117" t="inlineStr">
        <is>
          <t>LEKSAND</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43410-2021</t>
        </is>
      </c>
      <c r="B118" s="1" t="n">
        <v>44432</v>
      </c>
      <c r="C118" s="1" t="n">
        <v>46196</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72155-2021</t>
        </is>
      </c>
      <c r="B119" s="1" t="n">
        <v>44543</v>
      </c>
      <c r="C119" s="1" t="n">
        <v>46196</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38619-2021</t>
        </is>
      </c>
      <c r="B120" s="1" t="n">
        <v>44409</v>
      </c>
      <c r="C120" s="1" t="n">
        <v>46196</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14140-2022</t>
        </is>
      </c>
      <c r="B121" s="1" t="n">
        <v>44651</v>
      </c>
      <c r="C121" s="1" t="n">
        <v>46196</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31871-2022</t>
        </is>
      </c>
      <c r="B122" s="1" t="n">
        <v>44777</v>
      </c>
      <c r="C122" s="1" t="n">
        <v>46196</v>
      </c>
      <c r="D122" t="inlineStr">
        <is>
          <t>DALARNAS LÄN</t>
        </is>
      </c>
      <c r="E122" t="inlineStr">
        <is>
          <t>LEKSAND</t>
        </is>
      </c>
      <c r="G122" t="n">
        <v>4.1</v>
      </c>
      <c r="H122" t="n">
        <v>0</v>
      </c>
      <c r="I122" t="n">
        <v>0</v>
      </c>
      <c r="J122" t="n">
        <v>0</v>
      </c>
      <c r="K122" t="n">
        <v>0</v>
      </c>
      <c r="L122" t="n">
        <v>0</v>
      </c>
      <c r="M122" t="n">
        <v>0</v>
      </c>
      <c r="N122" t="n">
        <v>0</v>
      </c>
      <c r="O122" t="n">
        <v>0</v>
      </c>
      <c r="P122" t="n">
        <v>0</v>
      </c>
      <c r="Q122" t="n">
        <v>0</v>
      </c>
      <c r="R122" s="2" t="inlineStr"/>
    </row>
    <row r="123" ht="15" customHeight="1">
      <c r="A123" t="inlineStr">
        <is>
          <t>A 45155-2021</t>
        </is>
      </c>
      <c r="B123" s="1" t="n">
        <v>44439</v>
      </c>
      <c r="C123" s="1" t="n">
        <v>46196</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49581-2022</t>
        </is>
      </c>
      <c r="B124" s="1" t="n">
        <v>44862</v>
      </c>
      <c r="C124" s="1" t="n">
        <v>46196</v>
      </c>
      <c r="D124" t="inlineStr">
        <is>
          <t>DALARNAS LÄN</t>
        </is>
      </c>
      <c r="E124" t="inlineStr">
        <is>
          <t>LEKSAND</t>
        </is>
      </c>
      <c r="G124" t="n">
        <v>1.8</v>
      </c>
      <c r="H124" t="n">
        <v>0</v>
      </c>
      <c r="I124" t="n">
        <v>0</v>
      </c>
      <c r="J124" t="n">
        <v>0</v>
      </c>
      <c r="K124" t="n">
        <v>0</v>
      </c>
      <c r="L124" t="n">
        <v>0</v>
      </c>
      <c r="M124" t="n">
        <v>0</v>
      </c>
      <c r="N124" t="n">
        <v>0</v>
      </c>
      <c r="O124" t="n">
        <v>0</v>
      </c>
      <c r="P124" t="n">
        <v>0</v>
      </c>
      <c r="Q124" t="n">
        <v>0</v>
      </c>
      <c r="R124" s="2" t="inlineStr"/>
    </row>
    <row r="125" ht="15" customHeight="1">
      <c r="A125" t="inlineStr">
        <is>
          <t>A 35080-2022</t>
        </is>
      </c>
      <c r="B125" s="1" t="n">
        <v>44797</v>
      </c>
      <c r="C125" s="1" t="n">
        <v>46196</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70098-2021</t>
        </is>
      </c>
      <c r="B126" s="1" t="n">
        <v>44533</v>
      </c>
      <c r="C126" s="1" t="n">
        <v>46196</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45040-2021</t>
        </is>
      </c>
      <c r="B127" s="1" t="n">
        <v>44438</v>
      </c>
      <c r="C127" s="1" t="n">
        <v>46196</v>
      </c>
      <c r="D127" t="inlineStr">
        <is>
          <t>DALARNAS LÄN</t>
        </is>
      </c>
      <c r="E127" t="inlineStr">
        <is>
          <t>LEKSAND</t>
        </is>
      </c>
      <c r="G127" t="n">
        <v>2.7</v>
      </c>
      <c r="H127" t="n">
        <v>0</v>
      </c>
      <c r="I127" t="n">
        <v>0</v>
      </c>
      <c r="J127" t="n">
        <v>0</v>
      </c>
      <c r="K127" t="n">
        <v>0</v>
      </c>
      <c r="L127" t="n">
        <v>0</v>
      </c>
      <c r="M127" t="n">
        <v>0</v>
      </c>
      <c r="N127" t="n">
        <v>0</v>
      </c>
      <c r="O127" t="n">
        <v>0</v>
      </c>
      <c r="P127" t="n">
        <v>0</v>
      </c>
      <c r="Q127" t="n">
        <v>0</v>
      </c>
      <c r="R127" s="2" t="inlineStr"/>
    </row>
    <row r="128" ht="15" customHeight="1">
      <c r="A128" t="inlineStr">
        <is>
          <t>A 23137-2022</t>
        </is>
      </c>
      <c r="B128" s="1" t="n">
        <v>44719</v>
      </c>
      <c r="C128" s="1" t="n">
        <v>46196</v>
      </c>
      <c r="D128" t="inlineStr">
        <is>
          <t>DALARNAS LÄN</t>
        </is>
      </c>
      <c r="E128" t="inlineStr">
        <is>
          <t>LEKSAND</t>
        </is>
      </c>
      <c r="G128" t="n">
        <v>3</v>
      </c>
      <c r="H128" t="n">
        <v>0</v>
      </c>
      <c r="I128" t="n">
        <v>0</v>
      </c>
      <c r="J128" t="n">
        <v>0</v>
      </c>
      <c r="K128" t="n">
        <v>0</v>
      </c>
      <c r="L128" t="n">
        <v>0</v>
      </c>
      <c r="M128" t="n">
        <v>0</v>
      </c>
      <c r="N128" t="n">
        <v>0</v>
      </c>
      <c r="O128" t="n">
        <v>0</v>
      </c>
      <c r="P128" t="n">
        <v>0</v>
      </c>
      <c r="Q128" t="n">
        <v>0</v>
      </c>
      <c r="R128" s="2" t="inlineStr"/>
    </row>
    <row r="129" ht="15" customHeight="1">
      <c r="A129" t="inlineStr">
        <is>
          <t>A 41840-2024</t>
        </is>
      </c>
      <c r="B129" s="1" t="n">
        <v>45561</v>
      </c>
      <c r="C129" s="1" t="n">
        <v>46196</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28592-2023</t>
        </is>
      </c>
      <c r="B130" s="1" t="n">
        <v>45103</v>
      </c>
      <c r="C130" s="1" t="n">
        <v>46196</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18484-2024</t>
        </is>
      </c>
      <c r="B131" s="1" t="n">
        <v>45425</v>
      </c>
      <c r="C131" s="1" t="n">
        <v>46196</v>
      </c>
      <c r="D131" t="inlineStr">
        <is>
          <t>DALARNAS LÄN</t>
        </is>
      </c>
      <c r="E131" t="inlineStr">
        <is>
          <t>LEKSAND</t>
        </is>
      </c>
      <c r="G131" t="n">
        <v>2</v>
      </c>
      <c r="H131" t="n">
        <v>0</v>
      </c>
      <c r="I131" t="n">
        <v>0</v>
      </c>
      <c r="J131" t="n">
        <v>0</v>
      </c>
      <c r="K131" t="n">
        <v>0</v>
      </c>
      <c r="L131" t="n">
        <v>0</v>
      </c>
      <c r="M131" t="n">
        <v>0</v>
      </c>
      <c r="N131" t="n">
        <v>0</v>
      </c>
      <c r="O131" t="n">
        <v>0</v>
      </c>
      <c r="P131" t="n">
        <v>0</v>
      </c>
      <c r="Q131" t="n">
        <v>0</v>
      </c>
      <c r="R131" s="2" t="inlineStr"/>
    </row>
    <row r="132" ht="15" customHeight="1">
      <c r="A132" t="inlineStr">
        <is>
          <t>A 46141-2022</t>
        </is>
      </c>
      <c r="B132" s="1" t="n">
        <v>44846</v>
      </c>
      <c r="C132" s="1" t="n">
        <v>46196</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v>
      </c>
      <c r="C133" s="1" t="n">
        <v>46196</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11418-2023</t>
        </is>
      </c>
      <c r="B134" s="1" t="n">
        <v>44993</v>
      </c>
      <c r="C134" s="1" t="n">
        <v>46196</v>
      </c>
      <c r="D134" t="inlineStr">
        <is>
          <t>DALARNAS LÄN</t>
        </is>
      </c>
      <c r="E134" t="inlineStr">
        <is>
          <t>LEKSAND</t>
        </is>
      </c>
      <c r="G134" t="n">
        <v>2.7</v>
      </c>
      <c r="H134" t="n">
        <v>0</v>
      </c>
      <c r="I134" t="n">
        <v>0</v>
      </c>
      <c r="J134" t="n">
        <v>0</v>
      </c>
      <c r="K134" t="n">
        <v>0</v>
      </c>
      <c r="L134" t="n">
        <v>0</v>
      </c>
      <c r="M134" t="n">
        <v>0</v>
      </c>
      <c r="N134" t="n">
        <v>0</v>
      </c>
      <c r="O134" t="n">
        <v>0</v>
      </c>
      <c r="P134" t="n">
        <v>0</v>
      </c>
      <c r="Q134" t="n">
        <v>0</v>
      </c>
      <c r="R134" s="2" t="inlineStr"/>
    </row>
    <row r="135" ht="15" customHeight="1">
      <c r="A135" t="inlineStr">
        <is>
          <t>A 33180-2024</t>
        </is>
      </c>
      <c r="B135" s="1" t="n">
        <v>45518</v>
      </c>
      <c r="C135" s="1" t="n">
        <v>46196</v>
      </c>
      <c r="D135" t="inlineStr">
        <is>
          <t>DALARNAS LÄN</t>
        </is>
      </c>
      <c r="E135" t="inlineStr">
        <is>
          <t>LEKSAND</t>
        </is>
      </c>
      <c r="G135" t="n">
        <v>7.6</v>
      </c>
      <c r="H135" t="n">
        <v>0</v>
      </c>
      <c r="I135" t="n">
        <v>0</v>
      </c>
      <c r="J135" t="n">
        <v>0</v>
      </c>
      <c r="K135" t="n">
        <v>0</v>
      </c>
      <c r="L135" t="n">
        <v>0</v>
      </c>
      <c r="M135" t="n">
        <v>0</v>
      </c>
      <c r="N135" t="n">
        <v>0</v>
      </c>
      <c r="O135" t="n">
        <v>0</v>
      </c>
      <c r="P135" t="n">
        <v>0</v>
      </c>
      <c r="Q135" t="n">
        <v>0</v>
      </c>
      <c r="R135" s="2" t="inlineStr"/>
    </row>
    <row r="136" ht="15" customHeight="1">
      <c r="A136" t="inlineStr">
        <is>
          <t>A 70099-2021</t>
        </is>
      </c>
      <c r="B136" s="1" t="n">
        <v>44533</v>
      </c>
      <c r="C136" s="1" t="n">
        <v>46196</v>
      </c>
      <c r="D136" t="inlineStr">
        <is>
          <t>DALARNAS LÄN</t>
        </is>
      </c>
      <c r="E136" t="inlineStr">
        <is>
          <t>LEKSAND</t>
        </is>
      </c>
      <c r="G136" t="n">
        <v>2.8</v>
      </c>
      <c r="H136" t="n">
        <v>0</v>
      </c>
      <c r="I136" t="n">
        <v>0</v>
      </c>
      <c r="J136" t="n">
        <v>0</v>
      </c>
      <c r="K136" t="n">
        <v>0</v>
      </c>
      <c r="L136" t="n">
        <v>0</v>
      </c>
      <c r="M136" t="n">
        <v>0</v>
      </c>
      <c r="N136" t="n">
        <v>0</v>
      </c>
      <c r="O136" t="n">
        <v>0</v>
      </c>
      <c r="P136" t="n">
        <v>0</v>
      </c>
      <c r="Q136" t="n">
        <v>0</v>
      </c>
      <c r="R136" s="2" t="inlineStr"/>
    </row>
    <row r="137" ht="15" customHeight="1">
      <c r="A137" t="inlineStr">
        <is>
          <t>A 27791-2023</t>
        </is>
      </c>
      <c r="B137" s="1" t="n">
        <v>45098</v>
      </c>
      <c r="C137" s="1" t="n">
        <v>46196</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52801-2023</t>
        </is>
      </c>
      <c r="B138" s="1" t="n">
        <v>45219</v>
      </c>
      <c r="C138" s="1" t="n">
        <v>46196</v>
      </c>
      <c r="D138" t="inlineStr">
        <is>
          <t>DALARNAS LÄN</t>
        </is>
      </c>
      <c r="E138" t="inlineStr">
        <is>
          <t>LEKSAND</t>
        </is>
      </c>
      <c r="G138" t="n">
        <v>4.9</v>
      </c>
      <c r="H138" t="n">
        <v>0</v>
      </c>
      <c r="I138" t="n">
        <v>0</v>
      </c>
      <c r="J138" t="n">
        <v>0</v>
      </c>
      <c r="K138" t="n">
        <v>0</v>
      </c>
      <c r="L138" t="n">
        <v>0</v>
      </c>
      <c r="M138" t="n">
        <v>0</v>
      </c>
      <c r="N138" t="n">
        <v>0</v>
      </c>
      <c r="O138" t="n">
        <v>0</v>
      </c>
      <c r="P138" t="n">
        <v>0</v>
      </c>
      <c r="Q138" t="n">
        <v>0</v>
      </c>
      <c r="R138" s="2" t="inlineStr"/>
    </row>
    <row r="139" ht="15" customHeight="1">
      <c r="A139" t="inlineStr">
        <is>
          <t>A 62306-2023</t>
        </is>
      </c>
      <c r="B139" s="1" t="n">
        <v>45266</v>
      </c>
      <c r="C139" s="1" t="n">
        <v>46196</v>
      </c>
      <c r="D139" t="inlineStr">
        <is>
          <t>DALARNAS LÄN</t>
        </is>
      </c>
      <c r="E139" t="inlineStr">
        <is>
          <t>LEKSAND</t>
        </is>
      </c>
      <c r="G139" t="n">
        <v>1.1</v>
      </c>
      <c r="H139" t="n">
        <v>0</v>
      </c>
      <c r="I139" t="n">
        <v>0</v>
      </c>
      <c r="J139" t="n">
        <v>0</v>
      </c>
      <c r="K139" t="n">
        <v>0</v>
      </c>
      <c r="L139" t="n">
        <v>0</v>
      </c>
      <c r="M139" t="n">
        <v>0</v>
      </c>
      <c r="N139" t="n">
        <v>0</v>
      </c>
      <c r="O139" t="n">
        <v>0</v>
      </c>
      <c r="P139" t="n">
        <v>0</v>
      </c>
      <c r="Q139" t="n">
        <v>0</v>
      </c>
      <c r="R139" s="2" t="inlineStr"/>
    </row>
    <row r="140" ht="15" customHeight="1">
      <c r="A140" t="inlineStr">
        <is>
          <t>A 9781-2024</t>
        </is>
      </c>
      <c r="B140" s="1" t="n">
        <v>45362</v>
      </c>
      <c r="C140" s="1" t="n">
        <v>46196</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71817-2021</t>
        </is>
      </c>
      <c r="B141" s="1" t="n">
        <v>44543</v>
      </c>
      <c r="C141" s="1" t="n">
        <v>46196</v>
      </c>
      <c r="D141" t="inlineStr">
        <is>
          <t>DALARNAS LÄN</t>
        </is>
      </c>
      <c r="E141" t="inlineStr">
        <is>
          <t>LEKSAND</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31971-2024</t>
        </is>
      </c>
      <c r="B142" s="1" t="n">
        <v>45510</v>
      </c>
      <c r="C142" s="1" t="n">
        <v>46196</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59103-2024</t>
        </is>
      </c>
      <c r="B143" s="1" t="n">
        <v>45637</v>
      </c>
      <c r="C143" s="1" t="n">
        <v>46196</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11617-2024</t>
        </is>
      </c>
      <c r="B144" s="1" t="n">
        <v>45373</v>
      </c>
      <c r="C144" s="1" t="n">
        <v>46196</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38117-2023</t>
        </is>
      </c>
      <c r="B145" s="1" t="n">
        <v>45161</v>
      </c>
      <c r="C145" s="1" t="n">
        <v>46196</v>
      </c>
      <c r="D145" t="inlineStr">
        <is>
          <t>DALARNAS LÄN</t>
        </is>
      </c>
      <c r="E145" t="inlineStr">
        <is>
          <t>LEKSAND</t>
        </is>
      </c>
      <c r="G145" t="n">
        <v>1.5</v>
      </c>
      <c r="H145" t="n">
        <v>0</v>
      </c>
      <c r="I145" t="n">
        <v>0</v>
      </c>
      <c r="J145" t="n">
        <v>0</v>
      </c>
      <c r="K145" t="n">
        <v>0</v>
      </c>
      <c r="L145" t="n">
        <v>0</v>
      </c>
      <c r="M145" t="n">
        <v>0</v>
      </c>
      <c r="N145" t="n">
        <v>0</v>
      </c>
      <c r="O145" t="n">
        <v>0</v>
      </c>
      <c r="P145" t="n">
        <v>0</v>
      </c>
      <c r="Q145" t="n">
        <v>0</v>
      </c>
      <c r="R145" s="2" t="inlineStr"/>
    </row>
    <row r="146" ht="15" customHeight="1">
      <c r="A146" t="inlineStr">
        <is>
          <t>A 59763-2023</t>
        </is>
      </c>
      <c r="B146" s="1" t="n">
        <v>45257</v>
      </c>
      <c r="C146" s="1" t="n">
        <v>46196</v>
      </c>
      <c r="D146" t="inlineStr">
        <is>
          <t>DALARNAS LÄN</t>
        </is>
      </c>
      <c r="E146" t="inlineStr">
        <is>
          <t>LEKSAND</t>
        </is>
      </c>
      <c r="G146" t="n">
        <v>1.6</v>
      </c>
      <c r="H146" t="n">
        <v>0</v>
      </c>
      <c r="I146" t="n">
        <v>0</v>
      </c>
      <c r="J146" t="n">
        <v>0</v>
      </c>
      <c r="K146" t="n">
        <v>0</v>
      </c>
      <c r="L146" t="n">
        <v>0</v>
      </c>
      <c r="M146" t="n">
        <v>0</v>
      </c>
      <c r="N146" t="n">
        <v>0</v>
      </c>
      <c r="O146" t="n">
        <v>0</v>
      </c>
      <c r="P146" t="n">
        <v>0</v>
      </c>
      <c r="Q146" t="n">
        <v>0</v>
      </c>
      <c r="R146" s="2" t="inlineStr"/>
    </row>
    <row r="147" ht="15" customHeight="1">
      <c r="A147" t="inlineStr">
        <is>
          <t>A 33674-2023</t>
        </is>
      </c>
      <c r="B147" s="1" t="n">
        <v>45132</v>
      </c>
      <c r="C147" s="1" t="n">
        <v>46196</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22388-2024</t>
        </is>
      </c>
      <c r="B148" s="1" t="n">
        <v>45446</v>
      </c>
      <c r="C148" s="1" t="n">
        <v>46196</v>
      </c>
      <c r="D148" t="inlineStr">
        <is>
          <t>DALARNAS LÄN</t>
        </is>
      </c>
      <c r="E148" t="inlineStr">
        <is>
          <t>LEKSAND</t>
        </is>
      </c>
      <c r="F148" t="inlineStr">
        <is>
          <t>Bergvik skog väst AB</t>
        </is>
      </c>
      <c r="G148" t="n">
        <v>5.3</v>
      </c>
      <c r="H148" t="n">
        <v>0</v>
      </c>
      <c r="I148" t="n">
        <v>0</v>
      </c>
      <c r="J148" t="n">
        <v>0</v>
      </c>
      <c r="K148" t="n">
        <v>0</v>
      </c>
      <c r="L148" t="n">
        <v>0</v>
      </c>
      <c r="M148" t="n">
        <v>0</v>
      </c>
      <c r="N148" t="n">
        <v>0</v>
      </c>
      <c r="O148" t="n">
        <v>0</v>
      </c>
      <c r="P148" t="n">
        <v>0</v>
      </c>
      <c r="Q148" t="n">
        <v>0</v>
      </c>
      <c r="R148" s="2" t="inlineStr"/>
    </row>
    <row r="149" ht="15" customHeight="1">
      <c r="A149" t="inlineStr">
        <is>
          <t>A 48644-2023</t>
        </is>
      </c>
      <c r="B149" s="1" t="n">
        <v>45208</v>
      </c>
      <c r="C149" s="1" t="n">
        <v>46196</v>
      </c>
      <c r="D149" t="inlineStr">
        <is>
          <t>DALARNAS LÄN</t>
        </is>
      </c>
      <c r="E149" t="inlineStr">
        <is>
          <t>LEKSAND</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61554-2024</t>
        </is>
      </c>
      <c r="B150" s="1" t="n">
        <v>45646</v>
      </c>
      <c r="C150" s="1" t="n">
        <v>46196</v>
      </c>
      <c r="D150" t="inlineStr">
        <is>
          <t>DALARNAS LÄN</t>
        </is>
      </c>
      <c r="E150" t="inlineStr">
        <is>
          <t>LEKSAND</t>
        </is>
      </c>
      <c r="G150" t="n">
        <v>2.6</v>
      </c>
      <c r="H150" t="n">
        <v>0</v>
      </c>
      <c r="I150" t="n">
        <v>0</v>
      </c>
      <c r="J150" t="n">
        <v>0</v>
      </c>
      <c r="K150" t="n">
        <v>0</v>
      </c>
      <c r="L150" t="n">
        <v>0</v>
      </c>
      <c r="M150" t="n">
        <v>0</v>
      </c>
      <c r="N150" t="n">
        <v>0</v>
      </c>
      <c r="O150" t="n">
        <v>0</v>
      </c>
      <c r="P150" t="n">
        <v>0</v>
      </c>
      <c r="Q150" t="n">
        <v>0</v>
      </c>
      <c r="R150" s="2" t="inlineStr"/>
    </row>
    <row r="151" ht="15" customHeight="1">
      <c r="A151" t="inlineStr">
        <is>
          <t>A 325-2023</t>
        </is>
      </c>
      <c r="B151" s="1" t="n">
        <v>44929</v>
      </c>
      <c r="C151" s="1" t="n">
        <v>46196</v>
      </c>
      <c r="D151" t="inlineStr">
        <is>
          <t>DALARNAS LÄN</t>
        </is>
      </c>
      <c r="E151" t="inlineStr">
        <is>
          <t>LEKSAND</t>
        </is>
      </c>
      <c r="F151" t="inlineStr">
        <is>
          <t>Övriga Aktiebolag</t>
        </is>
      </c>
      <c r="G151" t="n">
        <v>7.1</v>
      </c>
      <c r="H151" t="n">
        <v>0</v>
      </c>
      <c r="I151" t="n">
        <v>0</v>
      </c>
      <c r="J151" t="n">
        <v>0</v>
      </c>
      <c r="K151" t="n">
        <v>0</v>
      </c>
      <c r="L151" t="n">
        <v>0</v>
      </c>
      <c r="M151" t="n">
        <v>0</v>
      </c>
      <c r="N151" t="n">
        <v>0</v>
      </c>
      <c r="O151" t="n">
        <v>0</v>
      </c>
      <c r="P151" t="n">
        <v>0</v>
      </c>
      <c r="Q151" t="n">
        <v>0</v>
      </c>
      <c r="R151" s="2" t="inlineStr"/>
    </row>
    <row r="152" ht="15" customHeight="1">
      <c r="A152" t="inlineStr">
        <is>
          <t>A 62307-2023</t>
        </is>
      </c>
      <c r="B152" s="1" t="n">
        <v>45266</v>
      </c>
      <c r="C152" s="1" t="n">
        <v>46196</v>
      </c>
      <c r="D152" t="inlineStr">
        <is>
          <t>DALARNAS LÄN</t>
        </is>
      </c>
      <c r="E152" t="inlineStr">
        <is>
          <t>LEKSAND</t>
        </is>
      </c>
      <c r="G152" t="n">
        <v>3.9</v>
      </c>
      <c r="H152" t="n">
        <v>0</v>
      </c>
      <c r="I152" t="n">
        <v>0</v>
      </c>
      <c r="J152" t="n">
        <v>0</v>
      </c>
      <c r="K152" t="n">
        <v>0</v>
      </c>
      <c r="L152" t="n">
        <v>0</v>
      </c>
      <c r="M152" t="n">
        <v>0</v>
      </c>
      <c r="N152" t="n">
        <v>0</v>
      </c>
      <c r="O152" t="n">
        <v>0</v>
      </c>
      <c r="P152" t="n">
        <v>0</v>
      </c>
      <c r="Q152" t="n">
        <v>0</v>
      </c>
      <c r="R152" s="2" t="inlineStr"/>
    </row>
    <row r="153" ht="15" customHeight="1">
      <c r="A153" t="inlineStr">
        <is>
          <t>A 50704-2025</t>
        </is>
      </c>
      <c r="B153" s="1" t="n">
        <v>45946</v>
      </c>
      <c r="C153" s="1" t="n">
        <v>46196</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14967-2023</t>
        </is>
      </c>
      <c r="B154" s="1" t="n">
        <v>45015</v>
      </c>
      <c r="C154" s="1" t="n">
        <v>46196</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7861-2024</t>
        </is>
      </c>
      <c r="B155" s="1" t="n">
        <v>45350</v>
      </c>
      <c r="C155" s="1" t="n">
        <v>46196</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51728-2025</t>
        </is>
      </c>
      <c r="B156" s="1" t="n">
        <v>45951</v>
      </c>
      <c r="C156" s="1" t="n">
        <v>46196</v>
      </c>
      <c r="D156" t="inlineStr">
        <is>
          <t>DALARNAS LÄN</t>
        </is>
      </c>
      <c r="E156" t="inlineStr">
        <is>
          <t>LEKSAND</t>
        </is>
      </c>
      <c r="F156" t="inlineStr">
        <is>
          <t>Bergvik skog väst AB</t>
        </is>
      </c>
      <c r="G156" t="n">
        <v>14.2</v>
      </c>
      <c r="H156" t="n">
        <v>0</v>
      </c>
      <c r="I156" t="n">
        <v>0</v>
      </c>
      <c r="J156" t="n">
        <v>0</v>
      </c>
      <c r="K156" t="n">
        <v>0</v>
      </c>
      <c r="L156" t="n">
        <v>0</v>
      </c>
      <c r="M156" t="n">
        <v>0</v>
      </c>
      <c r="N156" t="n">
        <v>0</v>
      </c>
      <c r="O156" t="n">
        <v>0</v>
      </c>
      <c r="P156" t="n">
        <v>0</v>
      </c>
      <c r="Q156" t="n">
        <v>0</v>
      </c>
      <c r="R156" s="2" t="inlineStr"/>
    </row>
    <row r="157" ht="15" customHeight="1">
      <c r="A157" t="inlineStr">
        <is>
          <t>A 22536-2025</t>
        </is>
      </c>
      <c r="B157" s="1" t="n">
        <v>45787</v>
      </c>
      <c r="C157" s="1" t="n">
        <v>46196</v>
      </c>
      <c r="D157" t="inlineStr">
        <is>
          <t>DALARNAS LÄN</t>
        </is>
      </c>
      <c r="E157" t="inlineStr">
        <is>
          <t>LEKSAND</t>
        </is>
      </c>
      <c r="G157" t="n">
        <v>1.8</v>
      </c>
      <c r="H157" t="n">
        <v>0</v>
      </c>
      <c r="I157" t="n">
        <v>0</v>
      </c>
      <c r="J157" t="n">
        <v>0</v>
      </c>
      <c r="K157" t="n">
        <v>0</v>
      </c>
      <c r="L157" t="n">
        <v>0</v>
      </c>
      <c r="M157" t="n">
        <v>0</v>
      </c>
      <c r="N157" t="n">
        <v>0</v>
      </c>
      <c r="O157" t="n">
        <v>0</v>
      </c>
      <c r="P157" t="n">
        <v>0</v>
      </c>
      <c r="Q157" t="n">
        <v>0</v>
      </c>
      <c r="R157" s="2" t="inlineStr"/>
    </row>
    <row r="158" ht="15" customHeight="1">
      <c r="A158" t="inlineStr">
        <is>
          <t>A 38721-2025</t>
        </is>
      </c>
      <c r="B158" s="1" t="n">
        <v>45886</v>
      </c>
      <c r="C158" s="1" t="n">
        <v>46196</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51663-2025</t>
        </is>
      </c>
      <c r="B159" s="1" t="n">
        <v>45951</v>
      </c>
      <c r="C159" s="1" t="n">
        <v>46196</v>
      </c>
      <c r="D159" t="inlineStr">
        <is>
          <t>DALARNAS LÄN</t>
        </is>
      </c>
      <c r="E159" t="inlineStr">
        <is>
          <t>LEKSAND</t>
        </is>
      </c>
      <c r="F159" t="inlineStr">
        <is>
          <t>Bergvik skog väst AB</t>
        </is>
      </c>
      <c r="G159" t="n">
        <v>3.1</v>
      </c>
      <c r="H159" t="n">
        <v>0</v>
      </c>
      <c r="I159" t="n">
        <v>0</v>
      </c>
      <c r="J159" t="n">
        <v>0</v>
      </c>
      <c r="K159" t="n">
        <v>0</v>
      </c>
      <c r="L159" t="n">
        <v>0</v>
      </c>
      <c r="M159" t="n">
        <v>0</v>
      </c>
      <c r="N159" t="n">
        <v>0</v>
      </c>
      <c r="O159" t="n">
        <v>0</v>
      </c>
      <c r="P159" t="n">
        <v>0</v>
      </c>
      <c r="Q159" t="n">
        <v>0</v>
      </c>
      <c r="R159" s="2" t="inlineStr"/>
    </row>
    <row r="160" ht="15" customHeight="1">
      <c r="A160" t="inlineStr">
        <is>
          <t>A 51926-2025</t>
        </is>
      </c>
      <c r="B160" s="1" t="n">
        <v>45952</v>
      </c>
      <c r="C160" s="1" t="n">
        <v>46196</v>
      </c>
      <c r="D160" t="inlineStr">
        <is>
          <t>DALARNAS LÄN</t>
        </is>
      </c>
      <c r="E160" t="inlineStr">
        <is>
          <t>LEKSAND</t>
        </is>
      </c>
      <c r="G160" t="n">
        <v>2.3</v>
      </c>
      <c r="H160" t="n">
        <v>0</v>
      </c>
      <c r="I160" t="n">
        <v>0</v>
      </c>
      <c r="J160" t="n">
        <v>0</v>
      </c>
      <c r="K160" t="n">
        <v>0</v>
      </c>
      <c r="L160" t="n">
        <v>0</v>
      </c>
      <c r="M160" t="n">
        <v>0</v>
      </c>
      <c r="N160" t="n">
        <v>0</v>
      </c>
      <c r="O160" t="n">
        <v>0</v>
      </c>
      <c r="P160" t="n">
        <v>0</v>
      </c>
      <c r="Q160" t="n">
        <v>0</v>
      </c>
      <c r="R160" s="2" t="inlineStr"/>
    </row>
    <row r="161" ht="15" customHeight="1">
      <c r="A161" t="inlineStr">
        <is>
          <t>A 34244-2024</t>
        </is>
      </c>
      <c r="B161" s="1" t="n">
        <v>45524</v>
      </c>
      <c r="C161" s="1" t="n">
        <v>46196</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52671-2025</t>
        </is>
      </c>
      <c r="B162" s="1" t="n">
        <v>45955</v>
      </c>
      <c r="C162" s="1" t="n">
        <v>46196</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57468-2023</t>
        </is>
      </c>
      <c r="B163" s="1" t="n">
        <v>45246</v>
      </c>
      <c r="C163" s="1" t="n">
        <v>46196</v>
      </c>
      <c r="D163" t="inlineStr">
        <is>
          <t>DALARNAS LÄN</t>
        </is>
      </c>
      <c r="E163" t="inlineStr">
        <is>
          <t>LEKSAND</t>
        </is>
      </c>
      <c r="G163" t="n">
        <v>4.6</v>
      </c>
      <c r="H163" t="n">
        <v>0</v>
      </c>
      <c r="I163" t="n">
        <v>0</v>
      </c>
      <c r="J163" t="n">
        <v>0</v>
      </c>
      <c r="K163" t="n">
        <v>0</v>
      </c>
      <c r="L163" t="n">
        <v>0</v>
      </c>
      <c r="M163" t="n">
        <v>0</v>
      </c>
      <c r="N163" t="n">
        <v>0</v>
      </c>
      <c r="O163" t="n">
        <v>0</v>
      </c>
      <c r="P163" t="n">
        <v>0</v>
      </c>
      <c r="Q163" t="n">
        <v>0</v>
      </c>
      <c r="R163" s="2" t="inlineStr"/>
    </row>
    <row r="164" ht="15" customHeight="1">
      <c r="A164" t="inlineStr">
        <is>
          <t>A 53041-2025</t>
        </is>
      </c>
      <c r="B164" s="1" t="n">
        <v>45958</v>
      </c>
      <c r="C164" s="1" t="n">
        <v>46196</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22876-2025</t>
        </is>
      </c>
      <c r="B165" s="1" t="n">
        <v>45790</v>
      </c>
      <c r="C165" s="1" t="n">
        <v>46196</v>
      </c>
      <c r="D165" t="inlineStr">
        <is>
          <t>DALARNAS LÄN</t>
        </is>
      </c>
      <c r="E165" t="inlineStr">
        <is>
          <t>LEKSAND</t>
        </is>
      </c>
      <c r="G165" t="n">
        <v>5.9</v>
      </c>
      <c r="H165" t="n">
        <v>0</v>
      </c>
      <c r="I165" t="n">
        <v>0</v>
      </c>
      <c r="J165" t="n">
        <v>0</v>
      </c>
      <c r="K165" t="n">
        <v>0</v>
      </c>
      <c r="L165" t="n">
        <v>0</v>
      </c>
      <c r="M165" t="n">
        <v>0</v>
      </c>
      <c r="N165" t="n">
        <v>0</v>
      </c>
      <c r="O165" t="n">
        <v>0</v>
      </c>
      <c r="P165" t="n">
        <v>0</v>
      </c>
      <c r="Q165" t="n">
        <v>0</v>
      </c>
      <c r="R165" s="2" t="inlineStr"/>
    </row>
    <row r="166" ht="15" customHeight="1">
      <c r="A166" t="inlineStr">
        <is>
          <t>A 54015-2025</t>
        </is>
      </c>
      <c r="B166" s="1" t="n">
        <v>45961</v>
      </c>
      <c r="C166" s="1" t="n">
        <v>46196</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49499-2024</t>
        </is>
      </c>
      <c r="B167" s="1" t="n">
        <v>45596</v>
      </c>
      <c r="C167" s="1" t="n">
        <v>46196</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53838-2025</t>
        </is>
      </c>
      <c r="B168" s="1" t="n">
        <v>45961</v>
      </c>
      <c r="C168" s="1" t="n">
        <v>46196</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44822-2024</t>
        </is>
      </c>
      <c r="B169" s="1" t="n">
        <v>45574</v>
      </c>
      <c r="C169" s="1" t="n">
        <v>46196</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23076-2025</t>
        </is>
      </c>
      <c r="B170" s="1" t="n">
        <v>45790</v>
      </c>
      <c r="C170" s="1" t="n">
        <v>46196</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53804-2025</t>
        </is>
      </c>
      <c r="B171" s="1" t="n">
        <v>45960</v>
      </c>
      <c r="C171" s="1" t="n">
        <v>46196</v>
      </c>
      <c r="D171" t="inlineStr">
        <is>
          <t>DALARNAS LÄN</t>
        </is>
      </c>
      <c r="E171" t="inlineStr">
        <is>
          <t>LEKSAND</t>
        </is>
      </c>
      <c r="G171" t="n">
        <v>1.3</v>
      </c>
      <c r="H171" t="n">
        <v>0</v>
      </c>
      <c r="I171" t="n">
        <v>0</v>
      </c>
      <c r="J171" t="n">
        <v>0</v>
      </c>
      <c r="K171" t="n">
        <v>0</v>
      </c>
      <c r="L171" t="n">
        <v>0</v>
      </c>
      <c r="M171" t="n">
        <v>0</v>
      </c>
      <c r="N171" t="n">
        <v>0</v>
      </c>
      <c r="O171" t="n">
        <v>0</v>
      </c>
      <c r="P171" t="n">
        <v>0</v>
      </c>
      <c r="Q171" t="n">
        <v>0</v>
      </c>
      <c r="R171" s="2" t="inlineStr"/>
    </row>
    <row r="172" ht="15" customHeight="1">
      <c r="A172" t="inlineStr">
        <is>
          <t>A 53836-2025</t>
        </is>
      </c>
      <c r="B172" s="1" t="n">
        <v>45961</v>
      </c>
      <c r="C172" s="1" t="n">
        <v>46196</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54440-2025</t>
        </is>
      </c>
      <c r="B173" s="1" t="n">
        <v>45965</v>
      </c>
      <c r="C173" s="1" t="n">
        <v>46196</v>
      </c>
      <c r="D173" t="inlineStr">
        <is>
          <t>DALARNAS LÄN</t>
        </is>
      </c>
      <c r="E173" t="inlineStr">
        <is>
          <t>LEKSAND</t>
        </is>
      </c>
      <c r="F173" t="inlineStr">
        <is>
          <t>Bergvik skog väst AB</t>
        </is>
      </c>
      <c r="G173" t="n">
        <v>2.1</v>
      </c>
      <c r="H173" t="n">
        <v>0</v>
      </c>
      <c r="I173" t="n">
        <v>0</v>
      </c>
      <c r="J173" t="n">
        <v>0</v>
      </c>
      <c r="K173" t="n">
        <v>0</v>
      </c>
      <c r="L173" t="n">
        <v>0</v>
      </c>
      <c r="M173" t="n">
        <v>0</v>
      </c>
      <c r="N173" t="n">
        <v>0</v>
      </c>
      <c r="O173" t="n">
        <v>0</v>
      </c>
      <c r="P173" t="n">
        <v>0</v>
      </c>
      <c r="Q173" t="n">
        <v>0</v>
      </c>
      <c r="R173" s="2" t="inlineStr"/>
    </row>
    <row r="174" ht="15" customHeight="1">
      <c r="A174" t="inlineStr">
        <is>
          <t>A 54120-2025</t>
        </is>
      </c>
      <c r="B174" s="1" t="n">
        <v>45964</v>
      </c>
      <c r="C174" s="1" t="n">
        <v>46196</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54125-2025</t>
        </is>
      </c>
      <c r="B175" s="1" t="n">
        <v>45964</v>
      </c>
      <c r="C175" s="1" t="n">
        <v>46196</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54293-2025</t>
        </is>
      </c>
      <c r="B176" s="1" t="n">
        <v>45964</v>
      </c>
      <c r="C176" s="1" t="n">
        <v>46196</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54295-2025</t>
        </is>
      </c>
      <c r="B177" s="1" t="n">
        <v>45964</v>
      </c>
      <c r="C177" s="1" t="n">
        <v>46196</v>
      </c>
      <c r="D177" t="inlineStr">
        <is>
          <t>DALARNAS LÄN</t>
        </is>
      </c>
      <c r="E177" t="inlineStr">
        <is>
          <t>LEKSAND</t>
        </is>
      </c>
      <c r="G177" t="n">
        <v>1.2</v>
      </c>
      <c r="H177" t="n">
        <v>0</v>
      </c>
      <c r="I177" t="n">
        <v>0</v>
      </c>
      <c r="J177" t="n">
        <v>0</v>
      </c>
      <c r="K177" t="n">
        <v>0</v>
      </c>
      <c r="L177" t="n">
        <v>0</v>
      </c>
      <c r="M177" t="n">
        <v>0</v>
      </c>
      <c r="N177" t="n">
        <v>0</v>
      </c>
      <c r="O177" t="n">
        <v>0</v>
      </c>
      <c r="P177" t="n">
        <v>0</v>
      </c>
      <c r="Q177" t="n">
        <v>0</v>
      </c>
      <c r="R177" s="2" t="inlineStr"/>
    </row>
    <row r="178" ht="15" customHeight="1">
      <c r="A178" t="inlineStr">
        <is>
          <t>A 54494-2025</t>
        </is>
      </c>
      <c r="B178" s="1" t="n">
        <v>45965</v>
      </c>
      <c r="C178" s="1" t="n">
        <v>46196</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54752-2025</t>
        </is>
      </c>
      <c r="B179" s="1" t="n">
        <v>45966</v>
      </c>
      <c r="C179" s="1" t="n">
        <v>46196</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54767-2025</t>
        </is>
      </c>
      <c r="B180" s="1" t="n">
        <v>45966</v>
      </c>
      <c r="C180" s="1" t="n">
        <v>46196</v>
      </c>
      <c r="D180" t="inlineStr">
        <is>
          <t>DALARNAS LÄN</t>
        </is>
      </c>
      <c r="E180" t="inlineStr">
        <is>
          <t>LEKSAND</t>
        </is>
      </c>
      <c r="G180" t="n">
        <v>2.4</v>
      </c>
      <c r="H180" t="n">
        <v>0</v>
      </c>
      <c r="I180" t="n">
        <v>0</v>
      </c>
      <c r="J180" t="n">
        <v>0</v>
      </c>
      <c r="K180" t="n">
        <v>0</v>
      </c>
      <c r="L180" t="n">
        <v>0</v>
      </c>
      <c r="M180" t="n">
        <v>0</v>
      </c>
      <c r="N180" t="n">
        <v>0</v>
      </c>
      <c r="O180" t="n">
        <v>0</v>
      </c>
      <c r="P180" t="n">
        <v>0</v>
      </c>
      <c r="Q180" t="n">
        <v>0</v>
      </c>
      <c r="R180" s="2" t="inlineStr"/>
    </row>
    <row r="181" ht="15" customHeight="1">
      <c r="A181" t="inlineStr">
        <is>
          <t>A 54785-2025</t>
        </is>
      </c>
      <c r="B181" s="1" t="n">
        <v>45966</v>
      </c>
      <c r="C181" s="1" t="n">
        <v>46196</v>
      </c>
      <c r="D181" t="inlineStr">
        <is>
          <t>DALARNAS LÄN</t>
        </is>
      </c>
      <c r="E181" t="inlineStr">
        <is>
          <t>LEKSAND</t>
        </is>
      </c>
      <c r="G181" t="n">
        <v>1.2</v>
      </c>
      <c r="H181" t="n">
        <v>0</v>
      </c>
      <c r="I181" t="n">
        <v>0</v>
      </c>
      <c r="J181" t="n">
        <v>0</v>
      </c>
      <c r="K181" t="n">
        <v>0</v>
      </c>
      <c r="L181" t="n">
        <v>0</v>
      </c>
      <c r="M181" t="n">
        <v>0</v>
      </c>
      <c r="N181" t="n">
        <v>0</v>
      </c>
      <c r="O181" t="n">
        <v>0</v>
      </c>
      <c r="P181" t="n">
        <v>0</v>
      </c>
      <c r="Q181" t="n">
        <v>0</v>
      </c>
      <c r="R181" s="2" t="inlineStr"/>
    </row>
    <row r="182" ht="15" customHeight="1">
      <c r="A182" t="inlineStr">
        <is>
          <t>A 54805-2025</t>
        </is>
      </c>
      <c r="B182" s="1" t="n">
        <v>45966</v>
      </c>
      <c r="C182" s="1" t="n">
        <v>46196</v>
      </c>
      <c r="D182" t="inlineStr">
        <is>
          <t>DALARNAS LÄN</t>
        </is>
      </c>
      <c r="E182" t="inlineStr">
        <is>
          <t>LEKSAND</t>
        </is>
      </c>
      <c r="G182" t="n">
        <v>1.8</v>
      </c>
      <c r="H182" t="n">
        <v>0</v>
      </c>
      <c r="I182" t="n">
        <v>0</v>
      </c>
      <c r="J182" t="n">
        <v>0</v>
      </c>
      <c r="K182" t="n">
        <v>0</v>
      </c>
      <c r="L182" t="n">
        <v>0</v>
      </c>
      <c r="M182" t="n">
        <v>0</v>
      </c>
      <c r="N182" t="n">
        <v>0</v>
      </c>
      <c r="O182" t="n">
        <v>0</v>
      </c>
      <c r="P182" t="n">
        <v>0</v>
      </c>
      <c r="Q182" t="n">
        <v>0</v>
      </c>
      <c r="R182" s="2" t="inlineStr"/>
    </row>
    <row r="183" ht="15" customHeight="1">
      <c r="A183" t="inlineStr">
        <is>
          <t>A 24188-2025</t>
        </is>
      </c>
      <c r="B183" s="1" t="n">
        <v>45796</v>
      </c>
      <c r="C183" s="1" t="n">
        <v>46196</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7450-2023</t>
        </is>
      </c>
      <c r="B184" s="1" t="n">
        <v>44971</v>
      </c>
      <c r="C184" s="1" t="n">
        <v>46196</v>
      </c>
      <c r="D184" t="inlineStr">
        <is>
          <t>DALARNAS LÄN</t>
        </is>
      </c>
      <c r="E184" t="inlineStr">
        <is>
          <t>LEKSAND</t>
        </is>
      </c>
      <c r="G184" t="n">
        <v>3</v>
      </c>
      <c r="H184" t="n">
        <v>0</v>
      </c>
      <c r="I184" t="n">
        <v>0</v>
      </c>
      <c r="J184" t="n">
        <v>0</v>
      </c>
      <c r="K184" t="n">
        <v>0</v>
      </c>
      <c r="L184" t="n">
        <v>0</v>
      </c>
      <c r="M184" t="n">
        <v>0</v>
      </c>
      <c r="N184" t="n">
        <v>0</v>
      </c>
      <c r="O184" t="n">
        <v>0</v>
      </c>
      <c r="P184" t="n">
        <v>0</v>
      </c>
      <c r="Q184" t="n">
        <v>0</v>
      </c>
      <c r="R184" s="2" t="inlineStr"/>
    </row>
    <row r="185" ht="15" customHeight="1">
      <c r="A185" t="inlineStr">
        <is>
          <t>A 39660-2025</t>
        </is>
      </c>
      <c r="B185" s="1" t="n">
        <v>45890</v>
      </c>
      <c r="C185" s="1" t="n">
        <v>46196</v>
      </c>
      <c r="D185" t="inlineStr">
        <is>
          <t>DALARNAS LÄN</t>
        </is>
      </c>
      <c r="E185" t="inlineStr">
        <is>
          <t>LEKSAND</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39693-2025</t>
        </is>
      </c>
      <c r="B186" s="1" t="n">
        <v>45890</v>
      </c>
      <c r="C186" s="1" t="n">
        <v>46196</v>
      </c>
      <c r="D186" t="inlineStr">
        <is>
          <t>DALARNAS LÄN</t>
        </is>
      </c>
      <c r="E186" t="inlineStr">
        <is>
          <t>LEKSAND</t>
        </is>
      </c>
      <c r="G186" t="n">
        <v>3.1</v>
      </c>
      <c r="H186" t="n">
        <v>0</v>
      </c>
      <c r="I186" t="n">
        <v>0</v>
      </c>
      <c r="J186" t="n">
        <v>0</v>
      </c>
      <c r="K186" t="n">
        <v>0</v>
      </c>
      <c r="L186" t="n">
        <v>0</v>
      </c>
      <c r="M186" t="n">
        <v>0</v>
      </c>
      <c r="N186" t="n">
        <v>0</v>
      </c>
      <c r="O186" t="n">
        <v>0</v>
      </c>
      <c r="P186" t="n">
        <v>0</v>
      </c>
      <c r="Q186" t="n">
        <v>0</v>
      </c>
      <c r="R186" s="2" t="inlineStr"/>
    </row>
    <row r="187" ht="15" customHeight="1">
      <c r="A187" t="inlineStr">
        <is>
          <t>A 39516-2025</t>
        </is>
      </c>
      <c r="B187" s="1" t="n">
        <v>45890</v>
      </c>
      <c r="C187" s="1" t="n">
        <v>46196</v>
      </c>
      <c r="D187" t="inlineStr">
        <is>
          <t>DALARNAS LÄN</t>
        </is>
      </c>
      <c r="E187" t="inlineStr">
        <is>
          <t>LEKSAND</t>
        </is>
      </c>
      <c r="G187" t="n">
        <v>3.6</v>
      </c>
      <c r="H187" t="n">
        <v>0</v>
      </c>
      <c r="I187" t="n">
        <v>0</v>
      </c>
      <c r="J187" t="n">
        <v>0</v>
      </c>
      <c r="K187" t="n">
        <v>0</v>
      </c>
      <c r="L187" t="n">
        <v>0</v>
      </c>
      <c r="M187" t="n">
        <v>0</v>
      </c>
      <c r="N187" t="n">
        <v>0</v>
      </c>
      <c r="O187" t="n">
        <v>0</v>
      </c>
      <c r="P187" t="n">
        <v>0</v>
      </c>
      <c r="Q187" t="n">
        <v>0</v>
      </c>
      <c r="R187" s="2" t="inlineStr"/>
    </row>
    <row r="188" ht="15" customHeight="1">
      <c r="A188" t="inlineStr">
        <is>
          <t>A 54779-2025</t>
        </is>
      </c>
      <c r="B188" s="1" t="n">
        <v>45966</v>
      </c>
      <c r="C188" s="1" t="n">
        <v>46196</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54815-2025</t>
        </is>
      </c>
      <c r="B189" s="1" t="n">
        <v>45966</v>
      </c>
      <c r="C189" s="1" t="n">
        <v>46196</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55493-2025</t>
        </is>
      </c>
      <c r="B190" s="1" t="n">
        <v>45971</v>
      </c>
      <c r="C190" s="1" t="n">
        <v>46196</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33317-2023</t>
        </is>
      </c>
      <c r="B191" s="1" t="n">
        <v>45127</v>
      </c>
      <c r="C191" s="1" t="n">
        <v>46196</v>
      </c>
      <c r="D191" t="inlineStr">
        <is>
          <t>DALARNAS LÄN</t>
        </is>
      </c>
      <c r="E191" t="inlineStr">
        <is>
          <t>LEKSAND</t>
        </is>
      </c>
      <c r="G191" t="n">
        <v>2.7</v>
      </c>
      <c r="H191" t="n">
        <v>0</v>
      </c>
      <c r="I191" t="n">
        <v>0</v>
      </c>
      <c r="J191" t="n">
        <v>0</v>
      </c>
      <c r="K191" t="n">
        <v>0</v>
      </c>
      <c r="L191" t="n">
        <v>0</v>
      </c>
      <c r="M191" t="n">
        <v>0</v>
      </c>
      <c r="N191" t="n">
        <v>0</v>
      </c>
      <c r="O191" t="n">
        <v>0</v>
      </c>
      <c r="P191" t="n">
        <v>0</v>
      </c>
      <c r="Q191" t="n">
        <v>0</v>
      </c>
      <c r="R191" s="2" t="inlineStr"/>
    </row>
    <row r="192" ht="15" customHeight="1">
      <c r="A192" t="inlineStr">
        <is>
          <t>A 61055-2023</t>
        </is>
      </c>
      <c r="B192" s="1" t="n">
        <v>45261</v>
      </c>
      <c r="C192" s="1" t="n">
        <v>46196</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34038-2024</t>
        </is>
      </c>
      <c r="B193" s="1" t="n">
        <v>45523</v>
      </c>
      <c r="C193" s="1" t="n">
        <v>46196</v>
      </c>
      <c r="D193" t="inlineStr">
        <is>
          <t>DALARNAS LÄN</t>
        </is>
      </c>
      <c r="E193" t="inlineStr">
        <is>
          <t>LEKSAND</t>
        </is>
      </c>
      <c r="G193" t="n">
        <v>0.3</v>
      </c>
      <c r="H193" t="n">
        <v>0</v>
      </c>
      <c r="I193" t="n">
        <v>0</v>
      </c>
      <c r="J193" t="n">
        <v>0</v>
      </c>
      <c r="K193" t="n">
        <v>0</v>
      </c>
      <c r="L193" t="n">
        <v>0</v>
      </c>
      <c r="M193" t="n">
        <v>0</v>
      </c>
      <c r="N193" t="n">
        <v>0</v>
      </c>
      <c r="O193" t="n">
        <v>0</v>
      </c>
      <c r="P193" t="n">
        <v>0</v>
      </c>
      <c r="Q193" t="n">
        <v>0</v>
      </c>
      <c r="R193" s="2" t="inlineStr"/>
    </row>
    <row r="194" ht="15" customHeight="1">
      <c r="A194" t="inlineStr">
        <is>
          <t>A 56211-2023</t>
        </is>
      </c>
      <c r="B194" s="1" t="n">
        <v>45240</v>
      </c>
      <c r="C194" s="1" t="n">
        <v>46196</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40868-2024</t>
        </is>
      </c>
      <c r="B195" s="1" t="n">
        <v>45558</v>
      </c>
      <c r="C195" s="1" t="n">
        <v>46196</v>
      </c>
      <c r="D195" t="inlineStr">
        <is>
          <t>DALARNAS LÄN</t>
        </is>
      </c>
      <c r="E195" t="inlineStr">
        <is>
          <t>LEKSAND</t>
        </is>
      </c>
      <c r="G195" t="n">
        <v>0.8</v>
      </c>
      <c r="H195" t="n">
        <v>0</v>
      </c>
      <c r="I195" t="n">
        <v>0</v>
      </c>
      <c r="J195" t="n">
        <v>0</v>
      </c>
      <c r="K195" t="n">
        <v>0</v>
      </c>
      <c r="L195" t="n">
        <v>0</v>
      </c>
      <c r="M195" t="n">
        <v>0</v>
      </c>
      <c r="N195" t="n">
        <v>0</v>
      </c>
      <c r="O195" t="n">
        <v>0</v>
      </c>
      <c r="P195" t="n">
        <v>0</v>
      </c>
      <c r="Q195" t="n">
        <v>0</v>
      </c>
      <c r="R195" s="2" t="inlineStr"/>
    </row>
    <row r="196" ht="15" customHeight="1">
      <c r="A196" t="inlineStr">
        <is>
          <t>A 23896-2024</t>
        </is>
      </c>
      <c r="B196" s="1" t="n">
        <v>45455</v>
      </c>
      <c r="C196" s="1" t="n">
        <v>46196</v>
      </c>
      <c r="D196" t="inlineStr">
        <is>
          <t>DALARNAS LÄN</t>
        </is>
      </c>
      <c r="E196" t="inlineStr">
        <is>
          <t>LEKSAND</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40517-2025</t>
        </is>
      </c>
      <c r="B197" s="1" t="n">
        <v>45896</v>
      </c>
      <c r="C197" s="1" t="n">
        <v>46196</v>
      </c>
      <c r="D197" t="inlineStr">
        <is>
          <t>DALARNAS LÄN</t>
        </is>
      </c>
      <c r="E197" t="inlineStr">
        <is>
          <t>LEKSAND</t>
        </is>
      </c>
      <c r="G197" t="n">
        <v>1.6</v>
      </c>
      <c r="H197" t="n">
        <v>0</v>
      </c>
      <c r="I197" t="n">
        <v>0</v>
      </c>
      <c r="J197" t="n">
        <v>0</v>
      </c>
      <c r="K197" t="n">
        <v>0</v>
      </c>
      <c r="L197" t="n">
        <v>0</v>
      </c>
      <c r="M197" t="n">
        <v>0</v>
      </c>
      <c r="N197" t="n">
        <v>0</v>
      </c>
      <c r="O197" t="n">
        <v>0</v>
      </c>
      <c r="P197" t="n">
        <v>0</v>
      </c>
      <c r="Q197" t="n">
        <v>0</v>
      </c>
      <c r="R197" s="2" t="inlineStr"/>
    </row>
    <row r="198" ht="15" customHeight="1">
      <c r="A198" t="inlineStr">
        <is>
          <t>A 55784-2025</t>
        </is>
      </c>
      <c r="B198" s="1" t="n">
        <v>45972</v>
      </c>
      <c r="C198" s="1" t="n">
        <v>46196</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14865-2025</t>
        </is>
      </c>
      <c r="B199" s="1" t="n">
        <v>45743</v>
      </c>
      <c r="C199" s="1" t="n">
        <v>46196</v>
      </c>
      <c r="D199" t="inlineStr">
        <is>
          <t>DALARNAS LÄN</t>
        </is>
      </c>
      <c r="E199" t="inlineStr">
        <is>
          <t>LEKSAND</t>
        </is>
      </c>
      <c r="G199" t="n">
        <v>0.9</v>
      </c>
      <c r="H199" t="n">
        <v>0</v>
      </c>
      <c r="I199" t="n">
        <v>0</v>
      </c>
      <c r="J199" t="n">
        <v>0</v>
      </c>
      <c r="K199" t="n">
        <v>0</v>
      </c>
      <c r="L199" t="n">
        <v>0</v>
      </c>
      <c r="M199" t="n">
        <v>0</v>
      </c>
      <c r="N199" t="n">
        <v>0</v>
      </c>
      <c r="O199" t="n">
        <v>0</v>
      </c>
      <c r="P199" t="n">
        <v>0</v>
      </c>
      <c r="Q199" t="n">
        <v>0</v>
      </c>
      <c r="R199" s="2" t="inlineStr"/>
    </row>
    <row r="200" ht="15" customHeight="1">
      <c r="A200" t="inlineStr">
        <is>
          <t>A 28032-2024</t>
        </is>
      </c>
      <c r="B200" s="1" t="n">
        <v>45476</v>
      </c>
      <c r="C200" s="1" t="n">
        <v>46196</v>
      </c>
      <c r="D200" t="inlineStr">
        <is>
          <t>DALARNAS LÄN</t>
        </is>
      </c>
      <c r="E200" t="inlineStr">
        <is>
          <t>LEKSAND</t>
        </is>
      </c>
      <c r="G200" t="n">
        <v>2</v>
      </c>
      <c r="H200" t="n">
        <v>0</v>
      </c>
      <c r="I200" t="n">
        <v>0</v>
      </c>
      <c r="J200" t="n">
        <v>0</v>
      </c>
      <c r="K200" t="n">
        <v>0</v>
      </c>
      <c r="L200" t="n">
        <v>0</v>
      </c>
      <c r="M200" t="n">
        <v>0</v>
      </c>
      <c r="N200" t="n">
        <v>0</v>
      </c>
      <c r="O200" t="n">
        <v>0</v>
      </c>
      <c r="P200" t="n">
        <v>0</v>
      </c>
      <c r="Q200" t="n">
        <v>0</v>
      </c>
      <c r="R200" s="2" t="inlineStr"/>
    </row>
    <row r="201" ht="15" customHeight="1">
      <c r="A201" t="inlineStr">
        <is>
          <t>A 41487-2025</t>
        </is>
      </c>
      <c r="B201" s="1" t="n">
        <v>45901</v>
      </c>
      <c r="C201" s="1" t="n">
        <v>46196</v>
      </c>
      <c r="D201" t="inlineStr">
        <is>
          <t>DALARNAS LÄN</t>
        </is>
      </c>
      <c r="E201" t="inlineStr">
        <is>
          <t>LEKSAND</t>
        </is>
      </c>
      <c r="F201" t="inlineStr">
        <is>
          <t>Bergvik skog väst AB</t>
        </is>
      </c>
      <c r="G201" t="n">
        <v>7.3</v>
      </c>
      <c r="H201" t="n">
        <v>0</v>
      </c>
      <c r="I201" t="n">
        <v>0</v>
      </c>
      <c r="J201" t="n">
        <v>0</v>
      </c>
      <c r="K201" t="n">
        <v>0</v>
      </c>
      <c r="L201" t="n">
        <v>0</v>
      </c>
      <c r="M201" t="n">
        <v>0</v>
      </c>
      <c r="N201" t="n">
        <v>0</v>
      </c>
      <c r="O201" t="n">
        <v>0</v>
      </c>
      <c r="P201" t="n">
        <v>0</v>
      </c>
      <c r="Q201" t="n">
        <v>0</v>
      </c>
      <c r="R201" s="2" t="inlineStr"/>
    </row>
    <row r="202" ht="15" customHeight="1">
      <c r="A202" t="inlineStr">
        <is>
          <t>A 41237-2025</t>
        </is>
      </c>
      <c r="B202" s="1" t="n">
        <v>45898</v>
      </c>
      <c r="C202" s="1" t="n">
        <v>46196</v>
      </c>
      <c r="D202" t="inlineStr">
        <is>
          <t>DALARNAS LÄN</t>
        </is>
      </c>
      <c r="E202" t="inlineStr">
        <is>
          <t>LEKSAND</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41248-2025</t>
        </is>
      </c>
      <c r="B203" s="1" t="n">
        <v>45898</v>
      </c>
      <c r="C203" s="1" t="n">
        <v>46196</v>
      </c>
      <c r="D203" t="inlineStr">
        <is>
          <t>DALARNAS LÄN</t>
        </is>
      </c>
      <c r="E203" t="inlineStr">
        <is>
          <t>LEKSAND</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18837-2023</t>
        </is>
      </c>
      <c r="B204" s="1" t="n">
        <v>45044</v>
      </c>
      <c r="C204" s="1" t="n">
        <v>46196</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41308-2025</t>
        </is>
      </c>
      <c r="B205" s="1" t="n">
        <v>45898</v>
      </c>
      <c r="C205" s="1" t="n">
        <v>46196</v>
      </c>
      <c r="D205" t="inlineStr">
        <is>
          <t>DALARNAS LÄN</t>
        </is>
      </c>
      <c r="E205" t="inlineStr">
        <is>
          <t>LEKSAND</t>
        </is>
      </c>
      <c r="F205" t="inlineStr">
        <is>
          <t>Bergvik skog väst AB</t>
        </is>
      </c>
      <c r="G205" t="n">
        <v>6.7</v>
      </c>
      <c r="H205" t="n">
        <v>0</v>
      </c>
      <c r="I205" t="n">
        <v>0</v>
      </c>
      <c r="J205" t="n">
        <v>0</v>
      </c>
      <c r="K205" t="n">
        <v>0</v>
      </c>
      <c r="L205" t="n">
        <v>0</v>
      </c>
      <c r="M205" t="n">
        <v>0</v>
      </c>
      <c r="N205" t="n">
        <v>0</v>
      </c>
      <c r="O205" t="n">
        <v>0</v>
      </c>
      <c r="P205" t="n">
        <v>0</v>
      </c>
      <c r="Q205" t="n">
        <v>0</v>
      </c>
      <c r="R205" s="2" t="inlineStr"/>
    </row>
    <row r="206" ht="15" customHeight="1">
      <c r="A206" t="inlineStr">
        <is>
          <t>A 61288-2022</t>
        </is>
      </c>
      <c r="B206" s="1" t="n">
        <v>44915</v>
      </c>
      <c r="C206" s="1" t="n">
        <v>46196</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1215-2024</t>
        </is>
      </c>
      <c r="B207" s="1" t="n">
        <v>45302</v>
      </c>
      <c r="C207" s="1" t="n">
        <v>46196</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61502-2023</t>
        </is>
      </c>
      <c r="B208" s="1" t="n">
        <v>45264</v>
      </c>
      <c r="C208" s="1" t="n">
        <v>46196</v>
      </c>
      <c r="D208" t="inlineStr">
        <is>
          <t>DALARNAS LÄN</t>
        </is>
      </c>
      <c r="E208" t="inlineStr">
        <is>
          <t>LEKSAND</t>
        </is>
      </c>
      <c r="G208" t="n">
        <v>5.2</v>
      </c>
      <c r="H208" t="n">
        <v>0</v>
      </c>
      <c r="I208" t="n">
        <v>0</v>
      </c>
      <c r="J208" t="n">
        <v>0</v>
      </c>
      <c r="K208" t="n">
        <v>0</v>
      </c>
      <c r="L208" t="n">
        <v>0</v>
      </c>
      <c r="M208" t="n">
        <v>0</v>
      </c>
      <c r="N208" t="n">
        <v>0</v>
      </c>
      <c r="O208" t="n">
        <v>0</v>
      </c>
      <c r="P208" t="n">
        <v>0</v>
      </c>
      <c r="Q208" t="n">
        <v>0</v>
      </c>
      <c r="R208" s="2" t="inlineStr"/>
    </row>
    <row r="209" ht="15" customHeight="1">
      <c r="A209" t="inlineStr">
        <is>
          <t>A 60040-2023</t>
        </is>
      </c>
      <c r="B209" s="1" t="n">
        <v>45256</v>
      </c>
      <c r="C209" s="1" t="n">
        <v>46196</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56623-2025</t>
        </is>
      </c>
      <c r="B210" s="1" t="n">
        <v>45975</v>
      </c>
      <c r="C210" s="1" t="n">
        <v>46196</v>
      </c>
      <c r="D210" t="inlineStr">
        <is>
          <t>DALARNAS LÄN</t>
        </is>
      </c>
      <c r="E210" t="inlineStr">
        <is>
          <t>LEKSAND</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56161-2025</t>
        </is>
      </c>
      <c r="B211" s="1" t="n">
        <v>45974</v>
      </c>
      <c r="C211" s="1" t="n">
        <v>46196</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56331-2025</t>
        </is>
      </c>
      <c r="B212" s="1" t="n">
        <v>45974</v>
      </c>
      <c r="C212" s="1" t="n">
        <v>46196</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42284-2025</t>
        </is>
      </c>
      <c r="B213" s="1" t="n">
        <v>45903</v>
      </c>
      <c r="C213" s="1" t="n">
        <v>46196</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56960-2025</t>
        </is>
      </c>
      <c r="B214" s="1" t="n">
        <v>45978</v>
      </c>
      <c r="C214" s="1" t="n">
        <v>46196</v>
      </c>
      <c r="D214" t="inlineStr">
        <is>
          <t>DALARNAS LÄN</t>
        </is>
      </c>
      <c r="E214" t="inlineStr">
        <is>
          <t>LEKSAND</t>
        </is>
      </c>
      <c r="G214" t="n">
        <v>3.1</v>
      </c>
      <c r="H214" t="n">
        <v>0</v>
      </c>
      <c r="I214" t="n">
        <v>0</v>
      </c>
      <c r="J214" t="n">
        <v>0</v>
      </c>
      <c r="K214" t="n">
        <v>0</v>
      </c>
      <c r="L214" t="n">
        <v>0</v>
      </c>
      <c r="M214" t="n">
        <v>0</v>
      </c>
      <c r="N214" t="n">
        <v>0</v>
      </c>
      <c r="O214" t="n">
        <v>0</v>
      </c>
      <c r="P214" t="n">
        <v>0</v>
      </c>
      <c r="Q214" t="n">
        <v>0</v>
      </c>
      <c r="R214" s="2" t="inlineStr"/>
    </row>
    <row r="215" ht="15" customHeight="1">
      <c r="A215" t="inlineStr">
        <is>
          <t>A 31255-2023</t>
        </is>
      </c>
      <c r="B215" s="1" t="n">
        <v>45114</v>
      </c>
      <c r="C215" s="1" t="n">
        <v>46196</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52059-2024</t>
        </is>
      </c>
      <c r="B216" s="1" t="n">
        <v>45608</v>
      </c>
      <c r="C216" s="1" t="n">
        <v>46196</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21839-2022</t>
        </is>
      </c>
      <c r="B217" s="1" t="n">
        <v>44711</v>
      </c>
      <c r="C217" s="1" t="n">
        <v>46196</v>
      </c>
      <c r="D217" t="inlineStr">
        <is>
          <t>DALARNAS LÄN</t>
        </is>
      </c>
      <c r="E217" t="inlineStr">
        <is>
          <t>LEKSAND</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43629-2025</t>
        </is>
      </c>
      <c r="B218" s="1" t="n">
        <v>45911</v>
      </c>
      <c r="C218" s="1" t="n">
        <v>46196</v>
      </c>
      <c r="D218" t="inlineStr">
        <is>
          <t>DALARNAS LÄN</t>
        </is>
      </c>
      <c r="E218" t="inlineStr">
        <is>
          <t>LEKSAND</t>
        </is>
      </c>
      <c r="G218" t="n">
        <v>2.1</v>
      </c>
      <c r="H218" t="n">
        <v>0</v>
      </c>
      <c r="I218" t="n">
        <v>0</v>
      </c>
      <c r="J218" t="n">
        <v>0</v>
      </c>
      <c r="K218" t="n">
        <v>0</v>
      </c>
      <c r="L218" t="n">
        <v>0</v>
      </c>
      <c r="M218" t="n">
        <v>0</v>
      </c>
      <c r="N218" t="n">
        <v>0</v>
      </c>
      <c r="O218" t="n">
        <v>0</v>
      </c>
      <c r="P218" t="n">
        <v>0</v>
      </c>
      <c r="Q218" t="n">
        <v>0</v>
      </c>
      <c r="R218" s="2" t="inlineStr"/>
    </row>
    <row r="219" ht="15" customHeight="1">
      <c r="A219" t="inlineStr">
        <is>
          <t>A 57688-2025</t>
        </is>
      </c>
      <c r="B219" s="1" t="n">
        <v>45981</v>
      </c>
      <c r="C219" s="1" t="n">
        <v>46196</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43628-2025</t>
        </is>
      </c>
      <c r="B220" s="1" t="n">
        <v>45911</v>
      </c>
      <c r="C220" s="1" t="n">
        <v>46196</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54677-2025</t>
        </is>
      </c>
      <c r="B221" s="1" t="n">
        <v>45966</v>
      </c>
      <c r="C221" s="1" t="n">
        <v>46196</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58376-2025</t>
        </is>
      </c>
      <c r="B222" s="1" t="n">
        <v>45985</v>
      </c>
      <c r="C222" s="1" t="n">
        <v>46196</v>
      </c>
      <c r="D222" t="inlineStr">
        <is>
          <t>DALARNAS LÄN</t>
        </is>
      </c>
      <c r="E222" t="inlineStr">
        <is>
          <t>LEKSAND</t>
        </is>
      </c>
      <c r="G222" t="n">
        <v>5.7</v>
      </c>
      <c r="H222" t="n">
        <v>0</v>
      </c>
      <c r="I222" t="n">
        <v>0</v>
      </c>
      <c r="J222" t="n">
        <v>0</v>
      </c>
      <c r="K222" t="n">
        <v>0</v>
      </c>
      <c r="L222" t="n">
        <v>0</v>
      </c>
      <c r="M222" t="n">
        <v>0</v>
      </c>
      <c r="N222" t="n">
        <v>0</v>
      </c>
      <c r="O222" t="n">
        <v>0</v>
      </c>
      <c r="P222" t="n">
        <v>0</v>
      </c>
      <c r="Q222" t="n">
        <v>0</v>
      </c>
      <c r="R222" s="2" t="inlineStr"/>
    </row>
    <row r="223" ht="15" customHeight="1">
      <c r="A223" t="inlineStr">
        <is>
          <t>A 43195-2025</t>
        </is>
      </c>
      <c r="B223" s="1" t="n">
        <v>45910</v>
      </c>
      <c r="C223" s="1" t="n">
        <v>46196</v>
      </c>
      <c r="D223" t="inlineStr">
        <is>
          <t>DALARNAS LÄN</t>
        </is>
      </c>
      <c r="E223" t="inlineStr">
        <is>
          <t>LEKSAND</t>
        </is>
      </c>
      <c r="G223" t="n">
        <v>2.5</v>
      </c>
      <c r="H223" t="n">
        <v>0</v>
      </c>
      <c r="I223" t="n">
        <v>0</v>
      </c>
      <c r="J223" t="n">
        <v>0</v>
      </c>
      <c r="K223" t="n">
        <v>0</v>
      </c>
      <c r="L223" t="n">
        <v>0</v>
      </c>
      <c r="M223" t="n">
        <v>0</v>
      </c>
      <c r="N223" t="n">
        <v>0</v>
      </c>
      <c r="O223" t="n">
        <v>0</v>
      </c>
      <c r="P223" t="n">
        <v>0</v>
      </c>
      <c r="Q223" t="n">
        <v>0</v>
      </c>
      <c r="R223" s="2" t="inlineStr"/>
    </row>
    <row r="224" ht="15" customHeight="1">
      <c r="A224" t="inlineStr">
        <is>
          <t>A 58519-2025</t>
        </is>
      </c>
      <c r="B224" s="1" t="n">
        <v>45985</v>
      </c>
      <c r="C224" s="1" t="n">
        <v>46196</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8743-2023</t>
        </is>
      </c>
      <c r="B225" s="1" t="n">
        <v>44978</v>
      </c>
      <c r="C225" s="1" t="n">
        <v>46196</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43630-2025</t>
        </is>
      </c>
      <c r="B226" s="1" t="n">
        <v>45911</v>
      </c>
      <c r="C226" s="1" t="n">
        <v>46196</v>
      </c>
      <c r="D226" t="inlineStr">
        <is>
          <t>DALARNAS LÄN</t>
        </is>
      </c>
      <c r="E226" t="inlineStr">
        <is>
          <t>LEKSAND</t>
        </is>
      </c>
      <c r="G226" t="n">
        <v>4.7</v>
      </c>
      <c r="H226" t="n">
        <v>0</v>
      </c>
      <c r="I226" t="n">
        <v>0</v>
      </c>
      <c r="J226" t="n">
        <v>0</v>
      </c>
      <c r="K226" t="n">
        <v>0</v>
      </c>
      <c r="L226" t="n">
        <v>0</v>
      </c>
      <c r="M226" t="n">
        <v>0</v>
      </c>
      <c r="N226" t="n">
        <v>0</v>
      </c>
      <c r="O226" t="n">
        <v>0</v>
      </c>
      <c r="P226" t="n">
        <v>0</v>
      </c>
      <c r="Q226" t="n">
        <v>0</v>
      </c>
      <c r="R226" s="2" t="inlineStr"/>
    </row>
    <row r="227" ht="15" customHeight="1">
      <c r="A227" t="inlineStr">
        <is>
          <t>A 58516-2025</t>
        </is>
      </c>
      <c r="B227" s="1" t="n">
        <v>45985</v>
      </c>
      <c r="C227" s="1" t="n">
        <v>46196</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58449-2025</t>
        </is>
      </c>
      <c r="B228" s="1" t="n">
        <v>45985</v>
      </c>
      <c r="C228" s="1" t="n">
        <v>46196</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15020-2023</t>
        </is>
      </c>
      <c r="B229" s="1" t="n">
        <v>45015</v>
      </c>
      <c r="C229" s="1" t="n">
        <v>46196</v>
      </c>
      <c r="D229" t="inlineStr">
        <is>
          <t>DALARNAS LÄN</t>
        </is>
      </c>
      <c r="E229" t="inlineStr">
        <is>
          <t>LEKSAND</t>
        </is>
      </c>
      <c r="G229" t="n">
        <v>2.6</v>
      </c>
      <c r="H229" t="n">
        <v>0</v>
      </c>
      <c r="I229" t="n">
        <v>0</v>
      </c>
      <c r="J229" t="n">
        <v>0</v>
      </c>
      <c r="K229" t="n">
        <v>0</v>
      </c>
      <c r="L229" t="n">
        <v>0</v>
      </c>
      <c r="M229" t="n">
        <v>0</v>
      </c>
      <c r="N229" t="n">
        <v>0</v>
      </c>
      <c r="O229" t="n">
        <v>0</v>
      </c>
      <c r="P229" t="n">
        <v>0</v>
      </c>
      <c r="Q229" t="n">
        <v>0</v>
      </c>
      <c r="R229" s="2" t="inlineStr"/>
    </row>
    <row r="230" ht="15" customHeight="1">
      <c r="A230" t="inlineStr">
        <is>
          <t>A 43830-2025</t>
        </is>
      </c>
      <c r="B230" s="1" t="n">
        <v>45912</v>
      </c>
      <c r="C230" s="1" t="n">
        <v>46196</v>
      </c>
      <c r="D230" t="inlineStr">
        <is>
          <t>DALARNAS LÄN</t>
        </is>
      </c>
      <c r="E230" t="inlineStr">
        <is>
          <t>LEKSAND</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58114-2025</t>
        </is>
      </c>
      <c r="B231" s="1" t="n">
        <v>45982</v>
      </c>
      <c r="C231" s="1" t="n">
        <v>46196</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43781-2025</t>
        </is>
      </c>
      <c r="B232" s="1" t="n">
        <v>45912</v>
      </c>
      <c r="C232" s="1" t="n">
        <v>46196</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44237-2025</t>
        </is>
      </c>
      <c r="B233" s="1" t="n">
        <v>45915</v>
      </c>
      <c r="C233" s="1" t="n">
        <v>46196</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43875-2025</t>
        </is>
      </c>
      <c r="B234" s="1" t="n">
        <v>45912</v>
      </c>
      <c r="C234" s="1" t="n">
        <v>46196</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17759-2023</t>
        </is>
      </c>
      <c r="B235" s="1" t="n">
        <v>45037</v>
      </c>
      <c r="C235" s="1" t="n">
        <v>46196</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44519-2025</t>
        </is>
      </c>
      <c r="B236" s="1" t="n">
        <v>45916</v>
      </c>
      <c r="C236" s="1" t="n">
        <v>46196</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58626-2025</t>
        </is>
      </c>
      <c r="B237" s="1" t="n">
        <v>45986</v>
      </c>
      <c r="C237" s="1" t="n">
        <v>46196</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58921-2025</t>
        </is>
      </c>
      <c r="B238" s="1" t="n">
        <v>45986</v>
      </c>
      <c r="C238" s="1" t="n">
        <v>46196</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72575-2021</t>
        </is>
      </c>
      <c r="B239" s="1" t="n">
        <v>44546</v>
      </c>
      <c r="C239" s="1" t="n">
        <v>46196</v>
      </c>
      <c r="D239" t="inlineStr">
        <is>
          <t>DALARNAS LÄN</t>
        </is>
      </c>
      <c r="E239" t="inlineStr">
        <is>
          <t>LEKSAND</t>
        </is>
      </c>
      <c r="G239" t="n">
        <v>0.7</v>
      </c>
      <c r="H239" t="n">
        <v>0</v>
      </c>
      <c r="I239" t="n">
        <v>0</v>
      </c>
      <c r="J239" t="n">
        <v>0</v>
      </c>
      <c r="K239" t="n">
        <v>0</v>
      </c>
      <c r="L239" t="n">
        <v>0</v>
      </c>
      <c r="M239" t="n">
        <v>0</v>
      </c>
      <c r="N239" t="n">
        <v>0</v>
      </c>
      <c r="O239" t="n">
        <v>0</v>
      </c>
      <c r="P239" t="n">
        <v>0</v>
      </c>
      <c r="Q239" t="n">
        <v>0</v>
      </c>
      <c r="R239" s="2" t="inlineStr"/>
    </row>
    <row r="240" ht="15" customHeight="1">
      <c r="A240" t="inlineStr">
        <is>
          <t>A 72581-2021</t>
        </is>
      </c>
      <c r="B240" s="1" t="n">
        <v>44546</v>
      </c>
      <c r="C240" s="1" t="n">
        <v>46196</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33143-2024</t>
        </is>
      </c>
      <c r="B241" s="1" t="n">
        <v>45518</v>
      </c>
      <c r="C241" s="1" t="n">
        <v>46196</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44672-2025</t>
        </is>
      </c>
      <c r="B242" s="1" t="n">
        <v>45917</v>
      </c>
      <c r="C242" s="1" t="n">
        <v>46196</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59106-2025</t>
        </is>
      </c>
      <c r="B243" s="1" t="n">
        <v>45988</v>
      </c>
      <c r="C243" s="1" t="n">
        <v>46196</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41934-2025</t>
        </is>
      </c>
      <c r="B244" s="1" t="n">
        <v>45903</v>
      </c>
      <c r="C244" s="1" t="n">
        <v>46196</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59083-2025</t>
        </is>
      </c>
      <c r="B245" s="1" t="n">
        <v>45988</v>
      </c>
      <c r="C245" s="1" t="n">
        <v>46196</v>
      </c>
      <c r="D245" t="inlineStr">
        <is>
          <t>DALARNAS LÄN</t>
        </is>
      </c>
      <c r="E245" t="inlineStr">
        <is>
          <t>LEKSAND</t>
        </is>
      </c>
      <c r="F245" t="inlineStr">
        <is>
          <t>Bergvik skog väst AB</t>
        </is>
      </c>
      <c r="G245" t="n">
        <v>2.7</v>
      </c>
      <c r="H245" t="n">
        <v>0</v>
      </c>
      <c r="I245" t="n">
        <v>0</v>
      </c>
      <c r="J245" t="n">
        <v>0</v>
      </c>
      <c r="K245" t="n">
        <v>0</v>
      </c>
      <c r="L245" t="n">
        <v>0</v>
      </c>
      <c r="M245" t="n">
        <v>0</v>
      </c>
      <c r="N245" t="n">
        <v>0</v>
      </c>
      <c r="O245" t="n">
        <v>0</v>
      </c>
      <c r="P245" t="n">
        <v>0</v>
      </c>
      <c r="Q245" t="n">
        <v>0</v>
      </c>
      <c r="R245" s="2" t="inlineStr"/>
      <c r="U245">
        <f>HYPERLINK("https://klasma.github.io/Logging_2029/knärot/A 59083-2025 karta knärot.png", "A 59083-2025")</f>
        <v/>
      </c>
      <c r="V245">
        <f>HYPERLINK("https://klasma.github.io/Logging_2029/klagomål/A 59083-2025 FSC-klagomål.docx", "A 59083-2025")</f>
        <v/>
      </c>
      <c r="W245">
        <f>HYPERLINK("https://klasma.github.io/Logging_2029/klagomålsmail/A 59083-2025 FSC-klagomål mail.docx", "A 59083-2025")</f>
        <v/>
      </c>
      <c r="X245">
        <f>HYPERLINK("https://klasma.github.io/Logging_2029/tillsyn/A 59083-2025 tillsynsbegäran.docx", "A 59083-2025")</f>
        <v/>
      </c>
      <c r="Y245">
        <f>HYPERLINK("https://klasma.github.io/Logging_2029/tillsynsmail/A 59083-2025 tillsynsbegäran mail.docx", "A 59083-2025")</f>
        <v/>
      </c>
    </row>
    <row r="246" ht="15" customHeight="1">
      <c r="A246" t="inlineStr">
        <is>
          <t>A 45101-2025</t>
        </is>
      </c>
      <c r="B246" s="1" t="n">
        <v>45919</v>
      </c>
      <c r="C246" s="1" t="n">
        <v>46196</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45300-2025</t>
        </is>
      </c>
      <c r="B247" s="1" t="n">
        <v>45921</v>
      </c>
      <c r="C247" s="1" t="n">
        <v>46196</v>
      </c>
      <c r="D247" t="inlineStr">
        <is>
          <t>DALARNAS LÄN</t>
        </is>
      </c>
      <c r="E247" t="inlineStr">
        <is>
          <t>LEKSAND</t>
        </is>
      </c>
      <c r="G247" t="n">
        <v>2.3</v>
      </c>
      <c r="H247" t="n">
        <v>0</v>
      </c>
      <c r="I247" t="n">
        <v>0</v>
      </c>
      <c r="J247" t="n">
        <v>0</v>
      </c>
      <c r="K247" t="n">
        <v>0</v>
      </c>
      <c r="L247" t="n">
        <v>0</v>
      </c>
      <c r="M247" t="n">
        <v>0</v>
      </c>
      <c r="N247" t="n">
        <v>0</v>
      </c>
      <c r="O247" t="n">
        <v>0</v>
      </c>
      <c r="P247" t="n">
        <v>0</v>
      </c>
      <c r="Q247" t="n">
        <v>0</v>
      </c>
      <c r="R247" s="2" t="inlineStr"/>
    </row>
    <row r="248" ht="15" customHeight="1">
      <c r="A248" t="inlineStr">
        <is>
          <t>A 45318-2025</t>
        </is>
      </c>
      <c r="B248" s="1" t="n">
        <v>45921</v>
      </c>
      <c r="C248" s="1" t="n">
        <v>46196</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60023-2025</t>
        </is>
      </c>
      <c r="B249" s="1" t="n">
        <v>45993</v>
      </c>
      <c r="C249" s="1" t="n">
        <v>46196</v>
      </c>
      <c r="D249" t="inlineStr">
        <is>
          <t>DALARNAS LÄN</t>
        </is>
      </c>
      <c r="E249" t="inlineStr">
        <is>
          <t>LEKSAND</t>
        </is>
      </c>
      <c r="G249" t="n">
        <v>6.5</v>
      </c>
      <c r="H249" t="n">
        <v>0</v>
      </c>
      <c r="I249" t="n">
        <v>0</v>
      </c>
      <c r="J249" t="n">
        <v>0</v>
      </c>
      <c r="K249" t="n">
        <v>0</v>
      </c>
      <c r="L249" t="n">
        <v>0</v>
      </c>
      <c r="M249" t="n">
        <v>0</v>
      </c>
      <c r="N249" t="n">
        <v>0</v>
      </c>
      <c r="O249" t="n">
        <v>0</v>
      </c>
      <c r="P249" t="n">
        <v>0</v>
      </c>
      <c r="Q249" t="n">
        <v>0</v>
      </c>
      <c r="R249" s="2" t="inlineStr"/>
    </row>
    <row r="250" ht="15" customHeight="1">
      <c r="A250" t="inlineStr">
        <is>
          <t>A 60067-2025</t>
        </is>
      </c>
      <c r="B250" s="1" t="n">
        <v>45993</v>
      </c>
      <c r="C250" s="1" t="n">
        <v>46196</v>
      </c>
      <c r="D250" t="inlineStr">
        <is>
          <t>DALARNAS LÄN</t>
        </is>
      </c>
      <c r="E250" t="inlineStr">
        <is>
          <t>LEKSAND</t>
        </is>
      </c>
      <c r="G250" t="n">
        <v>3.3</v>
      </c>
      <c r="H250" t="n">
        <v>0</v>
      </c>
      <c r="I250" t="n">
        <v>0</v>
      </c>
      <c r="J250" t="n">
        <v>0</v>
      </c>
      <c r="K250" t="n">
        <v>0</v>
      </c>
      <c r="L250" t="n">
        <v>0</v>
      </c>
      <c r="M250" t="n">
        <v>0</v>
      </c>
      <c r="N250" t="n">
        <v>0</v>
      </c>
      <c r="O250" t="n">
        <v>0</v>
      </c>
      <c r="P250" t="n">
        <v>0</v>
      </c>
      <c r="Q250" t="n">
        <v>0</v>
      </c>
      <c r="R250" s="2" t="inlineStr"/>
    </row>
    <row r="251" ht="15" customHeight="1">
      <c r="A251" t="inlineStr">
        <is>
          <t>A 402-2024</t>
        </is>
      </c>
      <c r="B251" s="1" t="n">
        <v>45296</v>
      </c>
      <c r="C251" s="1" t="n">
        <v>46196</v>
      </c>
      <c r="D251" t="inlineStr">
        <is>
          <t>DALARNAS LÄN</t>
        </is>
      </c>
      <c r="E251" t="inlineStr">
        <is>
          <t>LEKSAND</t>
        </is>
      </c>
      <c r="G251" t="n">
        <v>1.5</v>
      </c>
      <c r="H251" t="n">
        <v>0</v>
      </c>
      <c r="I251" t="n">
        <v>0</v>
      </c>
      <c r="J251" t="n">
        <v>0</v>
      </c>
      <c r="K251" t="n">
        <v>0</v>
      </c>
      <c r="L251" t="n">
        <v>0</v>
      </c>
      <c r="M251" t="n">
        <v>0</v>
      </c>
      <c r="N251" t="n">
        <v>0</v>
      </c>
      <c r="O251" t="n">
        <v>0</v>
      </c>
      <c r="P251" t="n">
        <v>0</v>
      </c>
      <c r="Q251" t="n">
        <v>0</v>
      </c>
      <c r="R251" s="2" t="inlineStr"/>
    </row>
    <row r="252" ht="15" customHeight="1">
      <c r="A252" t="inlineStr">
        <is>
          <t>A 46176-2025</t>
        </is>
      </c>
      <c r="B252" s="1" t="n">
        <v>45924</v>
      </c>
      <c r="C252" s="1" t="n">
        <v>46196</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25329-2022</t>
        </is>
      </c>
      <c r="B253" s="1" t="n">
        <v>44731</v>
      </c>
      <c r="C253" s="1" t="n">
        <v>46196</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46405-2025</t>
        </is>
      </c>
      <c r="B254" s="1" t="n">
        <v>45925</v>
      </c>
      <c r="C254" s="1" t="n">
        <v>46196</v>
      </c>
      <c r="D254" t="inlineStr">
        <is>
          <t>DALARNAS LÄN</t>
        </is>
      </c>
      <c r="E254" t="inlineStr">
        <is>
          <t>LEKSAND</t>
        </is>
      </c>
      <c r="G254" t="n">
        <v>5.7</v>
      </c>
      <c r="H254" t="n">
        <v>0</v>
      </c>
      <c r="I254" t="n">
        <v>0</v>
      </c>
      <c r="J254" t="n">
        <v>0</v>
      </c>
      <c r="K254" t="n">
        <v>0</v>
      </c>
      <c r="L254" t="n">
        <v>0</v>
      </c>
      <c r="M254" t="n">
        <v>0</v>
      </c>
      <c r="N254" t="n">
        <v>0</v>
      </c>
      <c r="O254" t="n">
        <v>0</v>
      </c>
      <c r="P254" t="n">
        <v>0</v>
      </c>
      <c r="Q254" t="n">
        <v>0</v>
      </c>
      <c r="R254" s="2" t="inlineStr"/>
    </row>
    <row r="255" ht="15" customHeight="1">
      <c r="A255" t="inlineStr">
        <is>
          <t>A 46483-2025</t>
        </is>
      </c>
      <c r="B255" s="1" t="n">
        <v>45925</v>
      </c>
      <c r="C255" s="1" t="n">
        <v>46196</v>
      </c>
      <c r="D255" t="inlineStr">
        <is>
          <t>DALARNAS LÄN</t>
        </is>
      </c>
      <c r="E255" t="inlineStr">
        <is>
          <t>LEKSAND</t>
        </is>
      </c>
      <c r="G255" t="n">
        <v>3.6</v>
      </c>
      <c r="H255" t="n">
        <v>0</v>
      </c>
      <c r="I255" t="n">
        <v>0</v>
      </c>
      <c r="J255" t="n">
        <v>0</v>
      </c>
      <c r="K255" t="n">
        <v>0</v>
      </c>
      <c r="L255" t="n">
        <v>0</v>
      </c>
      <c r="M255" t="n">
        <v>0</v>
      </c>
      <c r="N255" t="n">
        <v>0</v>
      </c>
      <c r="O255" t="n">
        <v>0</v>
      </c>
      <c r="P255" t="n">
        <v>0</v>
      </c>
      <c r="Q255" t="n">
        <v>0</v>
      </c>
      <c r="R255" s="2" t="inlineStr"/>
    </row>
    <row r="256" ht="15" customHeight="1">
      <c r="A256" t="inlineStr">
        <is>
          <t>A 60544-2025</t>
        </is>
      </c>
      <c r="B256" s="1" t="n">
        <v>45995</v>
      </c>
      <c r="C256" s="1" t="n">
        <v>46196</v>
      </c>
      <c r="D256" t="inlineStr">
        <is>
          <t>DALARNAS LÄN</t>
        </is>
      </c>
      <c r="E256" t="inlineStr">
        <is>
          <t>LEKSAND</t>
        </is>
      </c>
      <c r="G256" t="n">
        <v>4.4</v>
      </c>
      <c r="H256" t="n">
        <v>0</v>
      </c>
      <c r="I256" t="n">
        <v>0</v>
      </c>
      <c r="J256" t="n">
        <v>0</v>
      </c>
      <c r="K256" t="n">
        <v>0</v>
      </c>
      <c r="L256" t="n">
        <v>0</v>
      </c>
      <c r="M256" t="n">
        <v>0</v>
      </c>
      <c r="N256" t="n">
        <v>0</v>
      </c>
      <c r="O256" t="n">
        <v>0</v>
      </c>
      <c r="P256" t="n">
        <v>0</v>
      </c>
      <c r="Q256" t="n">
        <v>0</v>
      </c>
      <c r="R256" s="2" t="inlineStr"/>
    </row>
    <row r="257" ht="15" customHeight="1">
      <c r="A257" t="inlineStr">
        <is>
          <t>A 27262-2025</t>
        </is>
      </c>
      <c r="B257" s="1" t="n">
        <v>45812</v>
      </c>
      <c r="C257" s="1" t="n">
        <v>46196</v>
      </c>
      <c r="D257" t="inlineStr">
        <is>
          <t>DALARNAS LÄN</t>
        </is>
      </c>
      <c r="E257" t="inlineStr">
        <is>
          <t>LEKSAND</t>
        </is>
      </c>
      <c r="F257" t="inlineStr">
        <is>
          <t>Bergvik skog väst AB</t>
        </is>
      </c>
      <c r="G257" t="n">
        <v>7.7</v>
      </c>
      <c r="H257" t="n">
        <v>0</v>
      </c>
      <c r="I257" t="n">
        <v>0</v>
      </c>
      <c r="J257" t="n">
        <v>0</v>
      </c>
      <c r="K257" t="n">
        <v>0</v>
      </c>
      <c r="L257" t="n">
        <v>0</v>
      </c>
      <c r="M257" t="n">
        <v>0</v>
      </c>
      <c r="N257" t="n">
        <v>0</v>
      </c>
      <c r="O257" t="n">
        <v>0</v>
      </c>
      <c r="P257" t="n">
        <v>0</v>
      </c>
      <c r="Q257" t="n">
        <v>0</v>
      </c>
      <c r="R257" s="2" t="inlineStr"/>
    </row>
    <row r="258" ht="15" customHeight="1">
      <c r="A258" t="inlineStr">
        <is>
          <t>A 60358-2025</t>
        </is>
      </c>
      <c r="B258" s="1" t="n">
        <v>45995</v>
      </c>
      <c r="C258" s="1" t="n">
        <v>46196</v>
      </c>
      <c r="D258" t="inlineStr">
        <is>
          <t>DALARNAS LÄN</t>
        </is>
      </c>
      <c r="E258" t="inlineStr">
        <is>
          <t>LEKSAND</t>
        </is>
      </c>
      <c r="G258" t="n">
        <v>2.9</v>
      </c>
      <c r="H258" t="n">
        <v>0</v>
      </c>
      <c r="I258" t="n">
        <v>0</v>
      </c>
      <c r="J258" t="n">
        <v>0</v>
      </c>
      <c r="K258" t="n">
        <v>0</v>
      </c>
      <c r="L258" t="n">
        <v>0</v>
      </c>
      <c r="M258" t="n">
        <v>0</v>
      </c>
      <c r="N258" t="n">
        <v>0</v>
      </c>
      <c r="O258" t="n">
        <v>0</v>
      </c>
      <c r="P258" t="n">
        <v>0</v>
      </c>
      <c r="Q258" t="n">
        <v>0</v>
      </c>
      <c r="R258" s="2" t="inlineStr"/>
    </row>
    <row r="259" ht="15" customHeight="1">
      <c r="A259" t="inlineStr">
        <is>
          <t>A 60614-2025</t>
        </is>
      </c>
      <c r="B259" s="1" t="n">
        <v>45996</v>
      </c>
      <c r="C259" s="1" t="n">
        <v>46196</v>
      </c>
      <c r="D259" t="inlineStr">
        <is>
          <t>DALARNAS LÄN</t>
        </is>
      </c>
      <c r="E259" t="inlineStr">
        <is>
          <t>LEKSAND</t>
        </is>
      </c>
      <c r="G259" t="n">
        <v>3.4</v>
      </c>
      <c r="H259" t="n">
        <v>0</v>
      </c>
      <c r="I259" t="n">
        <v>0</v>
      </c>
      <c r="J259" t="n">
        <v>0</v>
      </c>
      <c r="K259" t="n">
        <v>0</v>
      </c>
      <c r="L259" t="n">
        <v>0</v>
      </c>
      <c r="M259" t="n">
        <v>0</v>
      </c>
      <c r="N259" t="n">
        <v>0</v>
      </c>
      <c r="O259" t="n">
        <v>0</v>
      </c>
      <c r="P259" t="n">
        <v>0</v>
      </c>
      <c r="Q259" t="n">
        <v>0</v>
      </c>
      <c r="R259" s="2" t="inlineStr"/>
    </row>
    <row r="260" ht="15" customHeight="1">
      <c r="A260" t="inlineStr">
        <is>
          <t>A 46978-2025</t>
        </is>
      </c>
      <c r="B260" s="1" t="n">
        <v>45929</v>
      </c>
      <c r="C260" s="1" t="n">
        <v>46196</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27680-2025</t>
        </is>
      </c>
      <c r="B261" s="1" t="n">
        <v>45813</v>
      </c>
      <c r="C261" s="1" t="n">
        <v>46196</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59199-2024</t>
        </is>
      </c>
      <c r="B262" s="1" t="n">
        <v>45637</v>
      </c>
      <c r="C262" s="1" t="n">
        <v>46196</v>
      </c>
      <c r="D262" t="inlineStr">
        <is>
          <t>DALARNAS LÄN</t>
        </is>
      </c>
      <c r="E262" t="inlineStr">
        <is>
          <t>LEKSAND</t>
        </is>
      </c>
      <c r="G262" t="n">
        <v>5.4</v>
      </c>
      <c r="H262" t="n">
        <v>0</v>
      </c>
      <c r="I262" t="n">
        <v>0</v>
      </c>
      <c r="J262" t="n">
        <v>0</v>
      </c>
      <c r="K262" t="n">
        <v>0</v>
      </c>
      <c r="L262" t="n">
        <v>0</v>
      </c>
      <c r="M262" t="n">
        <v>0</v>
      </c>
      <c r="N262" t="n">
        <v>0</v>
      </c>
      <c r="O262" t="n">
        <v>0</v>
      </c>
      <c r="P262" t="n">
        <v>0</v>
      </c>
      <c r="Q262" t="n">
        <v>0</v>
      </c>
      <c r="R262" s="2" t="inlineStr"/>
    </row>
    <row r="263" ht="15" customHeight="1">
      <c r="A263" t="inlineStr">
        <is>
          <t>A 61491-2025</t>
        </is>
      </c>
      <c r="B263" s="1" t="n">
        <v>46001</v>
      </c>
      <c r="C263" s="1" t="n">
        <v>46196</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36932-2023</t>
        </is>
      </c>
      <c r="B264" s="1" t="n">
        <v>45154</v>
      </c>
      <c r="C264" s="1" t="n">
        <v>46196</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27984-2025</t>
        </is>
      </c>
      <c r="B265" s="1" t="n">
        <v>45817</v>
      </c>
      <c r="C265" s="1" t="n">
        <v>46196</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2579-2022</t>
        </is>
      </c>
      <c r="B266" s="1" t="n">
        <v>44580</v>
      </c>
      <c r="C266" s="1" t="n">
        <v>46196</v>
      </c>
      <c r="D266" t="inlineStr">
        <is>
          <t>DALARNAS LÄN</t>
        </is>
      </c>
      <c r="E266" t="inlineStr">
        <is>
          <t>LEKSAND</t>
        </is>
      </c>
      <c r="G266" t="n">
        <v>0.3</v>
      </c>
      <c r="H266" t="n">
        <v>0</v>
      </c>
      <c r="I266" t="n">
        <v>0</v>
      </c>
      <c r="J266" t="n">
        <v>0</v>
      </c>
      <c r="K266" t="n">
        <v>0</v>
      </c>
      <c r="L266" t="n">
        <v>0</v>
      </c>
      <c r="M266" t="n">
        <v>0</v>
      </c>
      <c r="N266" t="n">
        <v>0</v>
      </c>
      <c r="O266" t="n">
        <v>0</v>
      </c>
      <c r="P266" t="n">
        <v>0</v>
      </c>
      <c r="Q266" t="n">
        <v>0</v>
      </c>
      <c r="R266" s="2" t="inlineStr"/>
    </row>
    <row r="267" ht="15" customHeight="1">
      <c r="A267" t="inlineStr">
        <is>
          <t>A 57013-2023</t>
        </is>
      </c>
      <c r="B267" s="1" t="n">
        <v>45244</v>
      </c>
      <c r="C267" s="1" t="n">
        <v>46196</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23615-2024</t>
        </is>
      </c>
      <c r="B268" s="1" t="n">
        <v>45454</v>
      </c>
      <c r="C268" s="1" t="n">
        <v>46196</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47976-2025</t>
        </is>
      </c>
      <c r="B269" s="1" t="n">
        <v>45932</v>
      </c>
      <c r="C269" s="1" t="n">
        <v>46196</v>
      </c>
      <c r="D269" t="inlineStr">
        <is>
          <t>DALARNAS LÄN</t>
        </is>
      </c>
      <c r="E269" t="inlineStr">
        <is>
          <t>LEKSAND</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47977-2025</t>
        </is>
      </c>
      <c r="B270" s="1" t="n">
        <v>45932</v>
      </c>
      <c r="C270" s="1" t="n">
        <v>46196</v>
      </c>
      <c r="D270" t="inlineStr">
        <is>
          <t>DALARNAS LÄN</t>
        </is>
      </c>
      <c r="E270" t="inlineStr">
        <is>
          <t>LEKSAND</t>
        </is>
      </c>
      <c r="F270" t="inlineStr">
        <is>
          <t>Bergvik skog väst AB</t>
        </is>
      </c>
      <c r="G270" t="n">
        <v>0.2</v>
      </c>
      <c r="H270" t="n">
        <v>0</v>
      </c>
      <c r="I270" t="n">
        <v>0</v>
      </c>
      <c r="J270" t="n">
        <v>0</v>
      </c>
      <c r="K270" t="n">
        <v>0</v>
      </c>
      <c r="L270" t="n">
        <v>0</v>
      </c>
      <c r="M270" t="n">
        <v>0</v>
      </c>
      <c r="N270" t="n">
        <v>0</v>
      </c>
      <c r="O270" t="n">
        <v>0</v>
      </c>
      <c r="P270" t="n">
        <v>0</v>
      </c>
      <c r="Q270" t="n">
        <v>0</v>
      </c>
      <c r="R270" s="2" t="inlineStr"/>
    </row>
    <row r="271" ht="15" customHeight="1">
      <c r="A271" t="inlineStr">
        <is>
          <t>A 22349-2024</t>
        </is>
      </c>
      <c r="B271" s="1" t="n">
        <v>45446</v>
      </c>
      <c r="C271" s="1" t="n">
        <v>46196</v>
      </c>
      <c r="D271" t="inlineStr">
        <is>
          <t>DALARNAS LÄN</t>
        </is>
      </c>
      <c r="E271" t="inlineStr">
        <is>
          <t>LEKSAND</t>
        </is>
      </c>
      <c r="G271" t="n">
        <v>0.6</v>
      </c>
      <c r="H271" t="n">
        <v>0</v>
      </c>
      <c r="I271" t="n">
        <v>0</v>
      </c>
      <c r="J271" t="n">
        <v>0</v>
      </c>
      <c r="K271" t="n">
        <v>0</v>
      </c>
      <c r="L271" t="n">
        <v>0</v>
      </c>
      <c r="M271" t="n">
        <v>0</v>
      </c>
      <c r="N271" t="n">
        <v>0</v>
      </c>
      <c r="O271" t="n">
        <v>0</v>
      </c>
      <c r="P271" t="n">
        <v>0</v>
      </c>
      <c r="Q271" t="n">
        <v>0</v>
      </c>
      <c r="R271" s="2" t="inlineStr"/>
    </row>
    <row r="272" ht="15" customHeight="1">
      <c r="A272" t="inlineStr">
        <is>
          <t>A 53717-2023</t>
        </is>
      </c>
      <c r="B272" s="1" t="n">
        <v>45230</v>
      </c>
      <c r="C272" s="1" t="n">
        <v>46196</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61684-2025</t>
        </is>
      </c>
      <c r="B273" s="1" t="n">
        <v>46002</v>
      </c>
      <c r="C273" s="1" t="n">
        <v>46196</v>
      </c>
      <c r="D273" t="inlineStr">
        <is>
          <t>DALARNAS LÄN</t>
        </is>
      </c>
      <c r="E273" t="inlineStr">
        <is>
          <t>LEKSAND</t>
        </is>
      </c>
      <c r="G273" t="n">
        <v>2.4</v>
      </c>
      <c r="H273" t="n">
        <v>0</v>
      </c>
      <c r="I273" t="n">
        <v>0</v>
      </c>
      <c r="J273" t="n">
        <v>0</v>
      </c>
      <c r="K273" t="n">
        <v>0</v>
      </c>
      <c r="L273" t="n">
        <v>0</v>
      </c>
      <c r="M273" t="n">
        <v>0</v>
      </c>
      <c r="N273" t="n">
        <v>0</v>
      </c>
      <c r="O273" t="n">
        <v>0</v>
      </c>
      <c r="P273" t="n">
        <v>0</v>
      </c>
      <c r="Q273" t="n">
        <v>0</v>
      </c>
      <c r="R273" s="2" t="inlineStr"/>
    </row>
    <row r="274" ht="15" customHeight="1">
      <c r="A274" t="inlineStr">
        <is>
          <t>A 48421-2025</t>
        </is>
      </c>
      <c r="B274" s="1" t="n">
        <v>45934</v>
      </c>
      <c r="C274" s="1" t="n">
        <v>46196</v>
      </c>
      <c r="D274" t="inlineStr">
        <is>
          <t>DALARNAS LÄN</t>
        </is>
      </c>
      <c r="E274" t="inlineStr">
        <is>
          <t>LEKSAND</t>
        </is>
      </c>
      <c r="G274" t="n">
        <v>2.2</v>
      </c>
      <c r="H274" t="n">
        <v>0</v>
      </c>
      <c r="I274" t="n">
        <v>0</v>
      </c>
      <c r="J274" t="n">
        <v>0</v>
      </c>
      <c r="K274" t="n">
        <v>0</v>
      </c>
      <c r="L274" t="n">
        <v>0</v>
      </c>
      <c r="M274" t="n">
        <v>0</v>
      </c>
      <c r="N274" t="n">
        <v>0</v>
      </c>
      <c r="O274" t="n">
        <v>0</v>
      </c>
      <c r="P274" t="n">
        <v>0</v>
      </c>
      <c r="Q274" t="n">
        <v>0</v>
      </c>
      <c r="R274" s="2" t="inlineStr"/>
    </row>
    <row r="275" ht="15" customHeight="1">
      <c r="A275" t="inlineStr">
        <is>
          <t>A 57930-2024</t>
        </is>
      </c>
      <c r="B275" s="1" t="n">
        <v>45630</v>
      </c>
      <c r="C275" s="1" t="n">
        <v>46196</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57927-2024</t>
        </is>
      </c>
      <c r="B276" s="1" t="n">
        <v>45630</v>
      </c>
      <c r="C276" s="1" t="n">
        <v>46196</v>
      </c>
      <c r="D276" t="inlineStr">
        <is>
          <t>DALARNAS LÄN</t>
        </is>
      </c>
      <c r="E276" t="inlineStr">
        <is>
          <t>LEKSAND</t>
        </is>
      </c>
      <c r="G276" t="n">
        <v>0.2</v>
      </c>
      <c r="H276" t="n">
        <v>0</v>
      </c>
      <c r="I276" t="n">
        <v>0</v>
      </c>
      <c r="J276" t="n">
        <v>0</v>
      </c>
      <c r="K276" t="n">
        <v>0</v>
      </c>
      <c r="L276" t="n">
        <v>0</v>
      </c>
      <c r="M276" t="n">
        <v>0</v>
      </c>
      <c r="N276" t="n">
        <v>0</v>
      </c>
      <c r="O276" t="n">
        <v>0</v>
      </c>
      <c r="P276" t="n">
        <v>0</v>
      </c>
      <c r="Q276" t="n">
        <v>0</v>
      </c>
      <c r="R276" s="2" t="inlineStr"/>
    </row>
    <row r="277" ht="15" customHeight="1">
      <c r="A277" t="inlineStr">
        <is>
          <t>A 28499-2025</t>
        </is>
      </c>
      <c r="B277" s="1" t="n">
        <v>45818</v>
      </c>
      <c r="C277" s="1" t="n">
        <v>46196</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62301-2025</t>
        </is>
      </c>
      <c r="B278" s="1" t="n">
        <v>46006</v>
      </c>
      <c r="C278" s="1" t="n">
        <v>46196</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62306-2025</t>
        </is>
      </c>
      <c r="B279" s="1" t="n">
        <v>46006</v>
      </c>
      <c r="C279" s="1" t="n">
        <v>46196</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62337-2025</t>
        </is>
      </c>
      <c r="B280" s="1" t="n">
        <v>46006</v>
      </c>
      <c r="C280" s="1" t="n">
        <v>46196</v>
      </c>
      <c r="D280" t="inlineStr">
        <is>
          <t>DALARNAS LÄN</t>
        </is>
      </c>
      <c r="E280" t="inlineStr">
        <is>
          <t>LEKSAND</t>
        </is>
      </c>
      <c r="G280" t="n">
        <v>1.9</v>
      </c>
      <c r="H280" t="n">
        <v>0</v>
      </c>
      <c r="I280" t="n">
        <v>0</v>
      </c>
      <c r="J280" t="n">
        <v>0</v>
      </c>
      <c r="K280" t="n">
        <v>0</v>
      </c>
      <c r="L280" t="n">
        <v>0</v>
      </c>
      <c r="M280" t="n">
        <v>0</v>
      </c>
      <c r="N280" t="n">
        <v>0</v>
      </c>
      <c r="O280" t="n">
        <v>0</v>
      </c>
      <c r="P280" t="n">
        <v>0</v>
      </c>
      <c r="Q280" t="n">
        <v>0</v>
      </c>
      <c r="R280" s="2" t="inlineStr"/>
    </row>
    <row r="281" ht="15" customHeight="1">
      <c r="A281" t="inlineStr">
        <is>
          <t>A 49505-2025</t>
        </is>
      </c>
      <c r="B281" s="1" t="n">
        <v>45939</v>
      </c>
      <c r="C281" s="1" t="n">
        <v>46196</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62322-2025</t>
        </is>
      </c>
      <c r="B282" s="1" t="n">
        <v>46006</v>
      </c>
      <c r="C282" s="1" t="n">
        <v>46196</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48922-2025</t>
        </is>
      </c>
      <c r="B283" s="1" t="n">
        <v>45937</v>
      </c>
      <c r="C283" s="1" t="n">
        <v>46196</v>
      </c>
      <c r="D283" t="inlineStr">
        <is>
          <t>DALARNAS LÄN</t>
        </is>
      </c>
      <c r="E283" t="inlineStr">
        <is>
          <t>LEKSAND</t>
        </is>
      </c>
      <c r="G283" t="n">
        <v>1.3</v>
      </c>
      <c r="H283" t="n">
        <v>0</v>
      </c>
      <c r="I283" t="n">
        <v>0</v>
      </c>
      <c r="J283" t="n">
        <v>0</v>
      </c>
      <c r="K283" t="n">
        <v>0</v>
      </c>
      <c r="L283" t="n">
        <v>0</v>
      </c>
      <c r="M283" t="n">
        <v>0</v>
      </c>
      <c r="N283" t="n">
        <v>0</v>
      </c>
      <c r="O283" t="n">
        <v>0</v>
      </c>
      <c r="P283" t="n">
        <v>0</v>
      </c>
      <c r="Q283" t="n">
        <v>0</v>
      </c>
      <c r="R283" s="2" t="inlineStr"/>
    </row>
    <row r="284" ht="15" customHeight="1">
      <c r="A284" t="inlineStr">
        <is>
          <t>A 28483-2025</t>
        </is>
      </c>
      <c r="B284" s="1" t="n">
        <v>45818</v>
      </c>
      <c r="C284" s="1" t="n">
        <v>46196</v>
      </c>
      <c r="D284" t="inlineStr">
        <is>
          <t>DALARNAS LÄN</t>
        </is>
      </c>
      <c r="E284" t="inlineStr">
        <is>
          <t>LEKSAND</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28458-2025</t>
        </is>
      </c>
      <c r="B285" s="1" t="n">
        <v>45819</v>
      </c>
      <c r="C285" s="1" t="n">
        <v>46196</v>
      </c>
      <c r="D285" t="inlineStr">
        <is>
          <t>DALARNAS LÄN</t>
        </is>
      </c>
      <c r="E285" t="inlineStr">
        <is>
          <t>LEKSAND</t>
        </is>
      </c>
      <c r="G285" t="n">
        <v>3</v>
      </c>
      <c r="H285" t="n">
        <v>0</v>
      </c>
      <c r="I285" t="n">
        <v>0</v>
      </c>
      <c r="J285" t="n">
        <v>0</v>
      </c>
      <c r="K285" t="n">
        <v>0</v>
      </c>
      <c r="L285" t="n">
        <v>0</v>
      </c>
      <c r="M285" t="n">
        <v>0</v>
      </c>
      <c r="N285" t="n">
        <v>0</v>
      </c>
      <c r="O285" t="n">
        <v>0</v>
      </c>
      <c r="P285" t="n">
        <v>0</v>
      </c>
      <c r="Q285" t="n">
        <v>0</v>
      </c>
      <c r="R285" s="2" t="inlineStr"/>
    </row>
    <row r="286" ht="15" customHeight="1">
      <c r="A286" t="inlineStr">
        <is>
          <t>A 49076-2025</t>
        </is>
      </c>
      <c r="B286" s="1" t="n">
        <v>45937</v>
      </c>
      <c r="C286" s="1" t="n">
        <v>46196</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62574-2025</t>
        </is>
      </c>
      <c r="B287" s="1" t="n">
        <v>46007</v>
      </c>
      <c r="C287" s="1" t="n">
        <v>46196</v>
      </c>
      <c r="D287" t="inlineStr">
        <is>
          <t>DALARNAS LÄN</t>
        </is>
      </c>
      <c r="E287" t="inlineStr">
        <is>
          <t>LEKSAND</t>
        </is>
      </c>
      <c r="G287" t="n">
        <v>0.9</v>
      </c>
      <c r="H287" t="n">
        <v>0</v>
      </c>
      <c r="I287" t="n">
        <v>0</v>
      </c>
      <c r="J287" t="n">
        <v>0</v>
      </c>
      <c r="K287" t="n">
        <v>0</v>
      </c>
      <c r="L287" t="n">
        <v>0</v>
      </c>
      <c r="M287" t="n">
        <v>0</v>
      </c>
      <c r="N287" t="n">
        <v>0</v>
      </c>
      <c r="O287" t="n">
        <v>0</v>
      </c>
      <c r="P287" t="n">
        <v>0</v>
      </c>
      <c r="Q287" t="n">
        <v>0</v>
      </c>
      <c r="R287" s="2" t="inlineStr"/>
    </row>
    <row r="288" ht="15" customHeight="1">
      <c r="A288" t="inlineStr">
        <is>
          <t>A 62556-2025</t>
        </is>
      </c>
      <c r="B288" s="1" t="n">
        <v>46007</v>
      </c>
      <c r="C288" s="1" t="n">
        <v>46196</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62560-2025</t>
        </is>
      </c>
      <c r="B289" s="1" t="n">
        <v>46007</v>
      </c>
      <c r="C289" s="1" t="n">
        <v>46196</v>
      </c>
      <c r="D289" t="inlineStr">
        <is>
          <t>DALARNAS LÄN</t>
        </is>
      </c>
      <c r="E289" t="inlineStr">
        <is>
          <t>LEKSAND</t>
        </is>
      </c>
      <c r="G289" t="n">
        <v>1.3</v>
      </c>
      <c r="H289" t="n">
        <v>0</v>
      </c>
      <c r="I289" t="n">
        <v>0</v>
      </c>
      <c r="J289" t="n">
        <v>0</v>
      </c>
      <c r="K289" t="n">
        <v>0</v>
      </c>
      <c r="L289" t="n">
        <v>0</v>
      </c>
      <c r="M289" t="n">
        <v>0</v>
      </c>
      <c r="N289" t="n">
        <v>0</v>
      </c>
      <c r="O289" t="n">
        <v>0</v>
      </c>
      <c r="P289" t="n">
        <v>0</v>
      </c>
      <c r="Q289" t="n">
        <v>0</v>
      </c>
      <c r="R289" s="2" t="inlineStr"/>
    </row>
    <row r="290" ht="15" customHeight="1">
      <c r="A290" t="inlineStr">
        <is>
          <t>A 62557-2025</t>
        </is>
      </c>
      <c r="B290" s="1" t="n">
        <v>46007</v>
      </c>
      <c r="C290" s="1" t="n">
        <v>46196</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28505-2025</t>
        </is>
      </c>
      <c r="B291" s="1" t="n">
        <v>45818</v>
      </c>
      <c r="C291" s="1" t="n">
        <v>46196</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28770-2025</t>
        </is>
      </c>
      <c r="B292" s="1" t="n">
        <v>45820</v>
      </c>
      <c r="C292" s="1" t="n">
        <v>46196</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11004-2023</t>
        </is>
      </c>
      <c r="B293" s="1" t="n">
        <v>44986</v>
      </c>
      <c r="C293" s="1" t="n">
        <v>46196</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32688-2024</t>
        </is>
      </c>
      <c r="B294" s="1" t="n">
        <v>45515</v>
      </c>
      <c r="C294" s="1" t="n">
        <v>46196</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63360-2025</t>
        </is>
      </c>
      <c r="B295" s="1" t="n">
        <v>46010</v>
      </c>
      <c r="C295" s="1" t="n">
        <v>46196</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29553-2025</t>
        </is>
      </c>
      <c r="B296" s="1" t="n">
        <v>45825</v>
      </c>
      <c r="C296" s="1" t="n">
        <v>46196</v>
      </c>
      <c r="D296" t="inlineStr">
        <is>
          <t>DALARNAS LÄN</t>
        </is>
      </c>
      <c r="E296" t="inlineStr">
        <is>
          <t>LEKSAND</t>
        </is>
      </c>
      <c r="G296" t="n">
        <v>1.8</v>
      </c>
      <c r="H296" t="n">
        <v>0</v>
      </c>
      <c r="I296" t="n">
        <v>0</v>
      </c>
      <c r="J296" t="n">
        <v>0</v>
      </c>
      <c r="K296" t="n">
        <v>0</v>
      </c>
      <c r="L296" t="n">
        <v>0</v>
      </c>
      <c r="M296" t="n">
        <v>0</v>
      </c>
      <c r="N296" t="n">
        <v>0</v>
      </c>
      <c r="O296" t="n">
        <v>0</v>
      </c>
      <c r="P296" t="n">
        <v>0</v>
      </c>
      <c r="Q296" t="n">
        <v>0</v>
      </c>
      <c r="R296" s="2" t="inlineStr"/>
    </row>
    <row r="297" ht="15" customHeight="1">
      <c r="A297" t="inlineStr">
        <is>
          <t>A 43419-2024</t>
        </is>
      </c>
      <c r="B297" s="1" t="n">
        <v>45568</v>
      </c>
      <c r="C297" s="1" t="n">
        <v>46196</v>
      </c>
      <c r="D297" t="inlineStr">
        <is>
          <t>DALARNAS LÄN</t>
        </is>
      </c>
      <c r="E297" t="inlineStr">
        <is>
          <t>LEKSAND</t>
        </is>
      </c>
      <c r="G297" t="n">
        <v>0.4</v>
      </c>
      <c r="H297" t="n">
        <v>0</v>
      </c>
      <c r="I297" t="n">
        <v>0</v>
      </c>
      <c r="J297" t="n">
        <v>0</v>
      </c>
      <c r="K297" t="n">
        <v>0</v>
      </c>
      <c r="L297" t="n">
        <v>0</v>
      </c>
      <c r="M297" t="n">
        <v>0</v>
      </c>
      <c r="N297" t="n">
        <v>0</v>
      </c>
      <c r="O297" t="n">
        <v>0</v>
      </c>
      <c r="P297" t="n">
        <v>0</v>
      </c>
      <c r="Q297" t="n">
        <v>0</v>
      </c>
      <c r="R297" s="2" t="inlineStr"/>
    </row>
    <row r="298" ht="15" customHeight="1">
      <c r="A298" t="inlineStr">
        <is>
          <t>A 47854-2023</t>
        </is>
      </c>
      <c r="B298" s="1" t="n">
        <v>45198</v>
      </c>
      <c r="C298" s="1" t="n">
        <v>46196</v>
      </c>
      <c r="D298" t="inlineStr">
        <is>
          <t>DALARNAS LÄN</t>
        </is>
      </c>
      <c r="E298" t="inlineStr">
        <is>
          <t>LEKSAND</t>
        </is>
      </c>
      <c r="G298" t="n">
        <v>1</v>
      </c>
      <c r="H298" t="n">
        <v>0</v>
      </c>
      <c r="I298" t="n">
        <v>0</v>
      </c>
      <c r="J298" t="n">
        <v>0</v>
      </c>
      <c r="K298" t="n">
        <v>0</v>
      </c>
      <c r="L298" t="n">
        <v>0</v>
      </c>
      <c r="M298" t="n">
        <v>0</v>
      </c>
      <c r="N298" t="n">
        <v>0</v>
      </c>
      <c r="O298" t="n">
        <v>0</v>
      </c>
      <c r="P298" t="n">
        <v>0</v>
      </c>
      <c r="Q298" t="n">
        <v>0</v>
      </c>
      <c r="R298" s="2" t="inlineStr"/>
    </row>
    <row r="299" ht="15" customHeight="1">
      <c r="A299" t="inlineStr">
        <is>
          <t>A 63260-2025</t>
        </is>
      </c>
      <c r="B299" s="1" t="n">
        <v>46010</v>
      </c>
      <c r="C299" s="1" t="n">
        <v>46196</v>
      </c>
      <c r="D299" t="inlineStr">
        <is>
          <t>DALARNAS LÄN</t>
        </is>
      </c>
      <c r="E299" t="inlineStr">
        <is>
          <t>LEKSAND</t>
        </is>
      </c>
      <c r="G299" t="n">
        <v>11.7</v>
      </c>
      <c r="H299" t="n">
        <v>0</v>
      </c>
      <c r="I299" t="n">
        <v>0</v>
      </c>
      <c r="J299" t="n">
        <v>0</v>
      </c>
      <c r="K299" t="n">
        <v>0</v>
      </c>
      <c r="L299" t="n">
        <v>0</v>
      </c>
      <c r="M299" t="n">
        <v>0</v>
      </c>
      <c r="N299" t="n">
        <v>0</v>
      </c>
      <c r="O299" t="n">
        <v>0</v>
      </c>
      <c r="P299" t="n">
        <v>0</v>
      </c>
      <c r="Q299" t="n">
        <v>0</v>
      </c>
      <c r="R299" s="2" t="inlineStr"/>
    </row>
    <row r="300" ht="15" customHeight="1">
      <c r="A300" t="inlineStr">
        <is>
          <t>A 29005-2025</t>
        </is>
      </c>
      <c r="B300" s="1" t="n">
        <v>45821</v>
      </c>
      <c r="C300" s="1" t="n">
        <v>46196</v>
      </c>
      <c r="D300" t="inlineStr">
        <is>
          <t>DALARNAS LÄN</t>
        </is>
      </c>
      <c r="E300" t="inlineStr">
        <is>
          <t>LEKSAND</t>
        </is>
      </c>
      <c r="G300" t="n">
        <v>2.1</v>
      </c>
      <c r="H300" t="n">
        <v>0</v>
      </c>
      <c r="I300" t="n">
        <v>0</v>
      </c>
      <c r="J300" t="n">
        <v>0</v>
      </c>
      <c r="K300" t="n">
        <v>0</v>
      </c>
      <c r="L300" t="n">
        <v>0</v>
      </c>
      <c r="M300" t="n">
        <v>0</v>
      </c>
      <c r="N300" t="n">
        <v>0</v>
      </c>
      <c r="O300" t="n">
        <v>0</v>
      </c>
      <c r="P300" t="n">
        <v>0</v>
      </c>
      <c r="Q300" t="n">
        <v>0</v>
      </c>
      <c r="R300" s="2" t="inlineStr"/>
    </row>
    <row r="301" ht="15" customHeight="1">
      <c r="A301" t="inlineStr">
        <is>
          <t>A 28633-2023</t>
        </is>
      </c>
      <c r="B301" s="1" t="n">
        <v>45103</v>
      </c>
      <c r="C301" s="1" t="n">
        <v>46196</v>
      </c>
      <c r="D301" t="inlineStr">
        <is>
          <t>DALARNAS LÄN</t>
        </is>
      </c>
      <c r="E301" t="inlineStr">
        <is>
          <t>LEKSAND</t>
        </is>
      </c>
      <c r="F301" t="inlineStr">
        <is>
          <t>Bergvik skog väst AB</t>
        </is>
      </c>
      <c r="G301" t="n">
        <v>0.5</v>
      </c>
      <c r="H301" t="n">
        <v>0</v>
      </c>
      <c r="I301" t="n">
        <v>0</v>
      </c>
      <c r="J301" t="n">
        <v>0</v>
      </c>
      <c r="K301" t="n">
        <v>0</v>
      </c>
      <c r="L301" t="n">
        <v>0</v>
      </c>
      <c r="M301" t="n">
        <v>0</v>
      </c>
      <c r="N301" t="n">
        <v>0</v>
      </c>
      <c r="O301" t="n">
        <v>0</v>
      </c>
      <c r="P301" t="n">
        <v>0</v>
      </c>
      <c r="Q301" t="n">
        <v>0</v>
      </c>
      <c r="R301" s="2" t="inlineStr"/>
    </row>
    <row r="302" ht="15" customHeight="1">
      <c r="A302" t="inlineStr">
        <is>
          <t>A 63592-2025</t>
        </is>
      </c>
      <c r="B302" s="1" t="n">
        <v>46013</v>
      </c>
      <c r="C302" s="1" t="n">
        <v>46196</v>
      </c>
      <c r="D302" t="inlineStr">
        <is>
          <t>DALARNAS LÄN</t>
        </is>
      </c>
      <c r="E302" t="inlineStr">
        <is>
          <t>LEKSAND</t>
        </is>
      </c>
      <c r="G302" t="n">
        <v>2.7</v>
      </c>
      <c r="H302" t="n">
        <v>0</v>
      </c>
      <c r="I302" t="n">
        <v>0</v>
      </c>
      <c r="J302" t="n">
        <v>0</v>
      </c>
      <c r="K302" t="n">
        <v>0</v>
      </c>
      <c r="L302" t="n">
        <v>0</v>
      </c>
      <c r="M302" t="n">
        <v>0</v>
      </c>
      <c r="N302" t="n">
        <v>0</v>
      </c>
      <c r="O302" t="n">
        <v>0</v>
      </c>
      <c r="P302" t="n">
        <v>0</v>
      </c>
      <c r="Q302" t="n">
        <v>0</v>
      </c>
      <c r="R302" s="2" t="inlineStr"/>
    </row>
    <row r="303" ht="15" customHeight="1">
      <c r="A303" t="inlineStr">
        <is>
          <t>A 50332-2025</t>
        </is>
      </c>
      <c r="B303" s="1" t="n">
        <v>45944</v>
      </c>
      <c r="C303" s="1" t="n">
        <v>46196</v>
      </c>
      <c r="D303" t="inlineStr">
        <is>
          <t>DALARNAS LÄN</t>
        </is>
      </c>
      <c r="E303" t="inlineStr">
        <is>
          <t>LEKSAND</t>
        </is>
      </c>
      <c r="G303" t="n">
        <v>2.4</v>
      </c>
      <c r="H303" t="n">
        <v>0</v>
      </c>
      <c r="I303" t="n">
        <v>0</v>
      </c>
      <c r="J303" t="n">
        <v>0</v>
      </c>
      <c r="K303" t="n">
        <v>0</v>
      </c>
      <c r="L303" t="n">
        <v>0</v>
      </c>
      <c r="M303" t="n">
        <v>0</v>
      </c>
      <c r="N303" t="n">
        <v>0</v>
      </c>
      <c r="O303" t="n">
        <v>0</v>
      </c>
      <c r="P303" t="n">
        <v>0</v>
      </c>
      <c r="Q303" t="n">
        <v>0</v>
      </c>
      <c r="R303" s="2" t="inlineStr"/>
    </row>
    <row r="304" ht="15" customHeight="1">
      <c r="A304" t="inlineStr">
        <is>
          <t>A 63757-2025</t>
        </is>
      </c>
      <c r="B304" s="1" t="n">
        <v>46018</v>
      </c>
      <c r="C304" s="1" t="n">
        <v>46196</v>
      </c>
      <c r="D304" t="inlineStr">
        <is>
          <t>DALARNAS LÄN</t>
        </is>
      </c>
      <c r="E304" t="inlineStr">
        <is>
          <t>LEKSAND</t>
        </is>
      </c>
      <c r="G304" t="n">
        <v>4</v>
      </c>
      <c r="H304" t="n">
        <v>0</v>
      </c>
      <c r="I304" t="n">
        <v>0</v>
      </c>
      <c r="J304" t="n">
        <v>0</v>
      </c>
      <c r="K304" t="n">
        <v>0</v>
      </c>
      <c r="L304" t="n">
        <v>0</v>
      </c>
      <c r="M304" t="n">
        <v>0</v>
      </c>
      <c r="N304" t="n">
        <v>0</v>
      </c>
      <c r="O304" t="n">
        <v>0</v>
      </c>
      <c r="P304" t="n">
        <v>0</v>
      </c>
      <c r="Q304" t="n">
        <v>0</v>
      </c>
      <c r="R304" s="2" t="inlineStr"/>
    </row>
    <row r="305" ht="15" customHeight="1">
      <c r="A305" t="inlineStr">
        <is>
          <t>A 63906-2025</t>
        </is>
      </c>
      <c r="B305" s="1" t="n">
        <v>46020</v>
      </c>
      <c r="C305" s="1" t="n">
        <v>46196</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30254-2025</t>
        </is>
      </c>
      <c r="B306" s="1" t="n">
        <v>45827</v>
      </c>
      <c r="C306" s="1" t="n">
        <v>46196</v>
      </c>
      <c r="D306" t="inlineStr">
        <is>
          <t>DALARNAS LÄN</t>
        </is>
      </c>
      <c r="E306" t="inlineStr">
        <is>
          <t>LEKSAND</t>
        </is>
      </c>
      <c r="G306" t="n">
        <v>3.5</v>
      </c>
      <c r="H306" t="n">
        <v>0</v>
      </c>
      <c r="I306" t="n">
        <v>0</v>
      </c>
      <c r="J306" t="n">
        <v>0</v>
      </c>
      <c r="K306" t="n">
        <v>0</v>
      </c>
      <c r="L306" t="n">
        <v>0</v>
      </c>
      <c r="M306" t="n">
        <v>0</v>
      </c>
      <c r="N306" t="n">
        <v>0</v>
      </c>
      <c r="O306" t="n">
        <v>0</v>
      </c>
      <c r="P306" t="n">
        <v>0</v>
      </c>
      <c r="Q306" t="n">
        <v>0</v>
      </c>
      <c r="R306" s="2" t="inlineStr"/>
    </row>
    <row r="307" ht="15" customHeight="1">
      <c r="A307" t="inlineStr">
        <is>
          <t>A 63967-2025</t>
        </is>
      </c>
      <c r="B307" s="1" t="n">
        <v>46021</v>
      </c>
      <c r="C307" s="1" t="n">
        <v>46196</v>
      </c>
      <c r="D307" t="inlineStr">
        <is>
          <t>DALARNAS LÄN</t>
        </is>
      </c>
      <c r="E307" t="inlineStr">
        <is>
          <t>LEKSAND</t>
        </is>
      </c>
      <c r="G307" t="n">
        <v>6.4</v>
      </c>
      <c r="H307" t="n">
        <v>0</v>
      </c>
      <c r="I307" t="n">
        <v>0</v>
      </c>
      <c r="J307" t="n">
        <v>0</v>
      </c>
      <c r="K307" t="n">
        <v>0</v>
      </c>
      <c r="L307" t="n">
        <v>0</v>
      </c>
      <c r="M307" t="n">
        <v>0</v>
      </c>
      <c r="N307" t="n">
        <v>0</v>
      </c>
      <c r="O307" t="n">
        <v>0</v>
      </c>
      <c r="P307" t="n">
        <v>0</v>
      </c>
      <c r="Q307" t="n">
        <v>0</v>
      </c>
      <c r="R307" s="2" t="inlineStr"/>
    </row>
    <row r="308" ht="15" customHeight="1">
      <c r="A308" t="inlineStr">
        <is>
          <t>A 63905-2025</t>
        </is>
      </c>
      <c r="B308" s="1" t="n">
        <v>46020</v>
      </c>
      <c r="C308" s="1" t="n">
        <v>46196</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64096-2025</t>
        </is>
      </c>
      <c r="B309" s="1" t="n">
        <v>46021</v>
      </c>
      <c r="C309" s="1" t="n">
        <v>46196</v>
      </c>
      <c r="D309" t="inlineStr">
        <is>
          <t>DALARNAS LÄN</t>
        </is>
      </c>
      <c r="E309" t="inlineStr">
        <is>
          <t>LEKSAND</t>
        </is>
      </c>
      <c r="G309" t="n">
        <v>4.5</v>
      </c>
      <c r="H309" t="n">
        <v>0</v>
      </c>
      <c r="I309" t="n">
        <v>0</v>
      </c>
      <c r="J309" t="n">
        <v>0</v>
      </c>
      <c r="K309" t="n">
        <v>0</v>
      </c>
      <c r="L309" t="n">
        <v>0</v>
      </c>
      <c r="M309" t="n">
        <v>0</v>
      </c>
      <c r="N309" t="n">
        <v>0</v>
      </c>
      <c r="O309" t="n">
        <v>0</v>
      </c>
      <c r="P309" t="n">
        <v>0</v>
      </c>
      <c r="Q309" t="n">
        <v>0</v>
      </c>
      <c r="R309" s="2" t="inlineStr"/>
    </row>
    <row r="310" ht="15" customHeight="1">
      <c r="A310" t="inlineStr">
        <is>
          <t>A 64099-2025</t>
        </is>
      </c>
      <c r="B310" s="1" t="n">
        <v>46021</v>
      </c>
      <c r="C310" s="1" t="n">
        <v>46196</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133-2026</t>
        </is>
      </c>
      <c r="B311" s="1" t="n">
        <v>46024</v>
      </c>
      <c r="C311" s="1" t="n">
        <v>46196</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94-2026</t>
        </is>
      </c>
      <c r="B312" s="1" t="n">
        <v>46024</v>
      </c>
      <c r="C312" s="1" t="n">
        <v>46196</v>
      </c>
      <c r="D312" t="inlineStr">
        <is>
          <t>DALARNAS LÄN</t>
        </is>
      </c>
      <c r="E312" t="inlineStr">
        <is>
          <t>LEKSAND</t>
        </is>
      </c>
      <c r="G312" t="n">
        <v>2.6</v>
      </c>
      <c r="H312" t="n">
        <v>0</v>
      </c>
      <c r="I312" t="n">
        <v>0</v>
      </c>
      <c r="J312" t="n">
        <v>0</v>
      </c>
      <c r="K312" t="n">
        <v>0</v>
      </c>
      <c r="L312" t="n">
        <v>0</v>
      </c>
      <c r="M312" t="n">
        <v>0</v>
      </c>
      <c r="N312" t="n">
        <v>0</v>
      </c>
      <c r="O312" t="n">
        <v>0</v>
      </c>
      <c r="P312" t="n">
        <v>0</v>
      </c>
      <c r="Q312" t="n">
        <v>0</v>
      </c>
      <c r="R312" s="2" t="inlineStr"/>
    </row>
    <row r="313" ht="15" customHeight="1">
      <c r="A313" t="inlineStr">
        <is>
          <t>A 319-2026</t>
        </is>
      </c>
      <c r="B313" s="1" t="n">
        <v>46027</v>
      </c>
      <c r="C313" s="1" t="n">
        <v>46196</v>
      </c>
      <c r="D313" t="inlineStr">
        <is>
          <t>DALARNAS LÄN</t>
        </is>
      </c>
      <c r="E313" t="inlineStr">
        <is>
          <t>LEKSAND</t>
        </is>
      </c>
      <c r="G313" t="n">
        <v>12.9</v>
      </c>
      <c r="H313" t="n">
        <v>0</v>
      </c>
      <c r="I313" t="n">
        <v>0</v>
      </c>
      <c r="J313" t="n">
        <v>0</v>
      </c>
      <c r="K313" t="n">
        <v>0</v>
      </c>
      <c r="L313" t="n">
        <v>0</v>
      </c>
      <c r="M313" t="n">
        <v>0</v>
      </c>
      <c r="N313" t="n">
        <v>0</v>
      </c>
      <c r="O313" t="n">
        <v>0</v>
      </c>
      <c r="P313" t="n">
        <v>0</v>
      </c>
      <c r="Q313" t="n">
        <v>0</v>
      </c>
      <c r="R313" s="2" t="inlineStr"/>
    </row>
    <row r="314" ht="15" customHeight="1">
      <c r="A314" t="inlineStr">
        <is>
          <t>A 720-2026</t>
        </is>
      </c>
      <c r="B314" s="1" t="n">
        <v>46029</v>
      </c>
      <c r="C314" s="1" t="n">
        <v>46196</v>
      </c>
      <c r="D314" t="inlineStr">
        <is>
          <t>DALARNAS LÄN</t>
        </is>
      </c>
      <c r="E314" t="inlineStr">
        <is>
          <t>LEKSAND</t>
        </is>
      </c>
      <c r="G314" t="n">
        <v>6.7</v>
      </c>
      <c r="H314" t="n">
        <v>0</v>
      </c>
      <c r="I314" t="n">
        <v>0</v>
      </c>
      <c r="J314" t="n">
        <v>0</v>
      </c>
      <c r="K314" t="n">
        <v>0</v>
      </c>
      <c r="L314" t="n">
        <v>0</v>
      </c>
      <c r="M314" t="n">
        <v>0</v>
      </c>
      <c r="N314" t="n">
        <v>0</v>
      </c>
      <c r="O314" t="n">
        <v>0</v>
      </c>
      <c r="P314" t="n">
        <v>0</v>
      </c>
      <c r="Q314" t="n">
        <v>0</v>
      </c>
      <c r="R314" s="2" t="inlineStr"/>
    </row>
    <row r="315" ht="15" customHeight="1">
      <c r="A315" t="inlineStr">
        <is>
          <t>A 9459-2023</t>
        </is>
      </c>
      <c r="B315" s="1" t="n">
        <v>44977</v>
      </c>
      <c r="C315" s="1" t="n">
        <v>46196</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30198-2024</t>
        </is>
      </c>
      <c r="B316" s="1" t="n">
        <v>45490</v>
      </c>
      <c r="C316" s="1" t="n">
        <v>46196</v>
      </c>
      <c r="D316" t="inlineStr">
        <is>
          <t>DALARNAS LÄN</t>
        </is>
      </c>
      <c r="E316" t="inlineStr">
        <is>
          <t>LEKSAND</t>
        </is>
      </c>
      <c r="G316" t="n">
        <v>0.8</v>
      </c>
      <c r="H316" t="n">
        <v>0</v>
      </c>
      <c r="I316" t="n">
        <v>0</v>
      </c>
      <c r="J316" t="n">
        <v>0</v>
      </c>
      <c r="K316" t="n">
        <v>0</v>
      </c>
      <c r="L316" t="n">
        <v>0</v>
      </c>
      <c r="M316" t="n">
        <v>0</v>
      </c>
      <c r="N316" t="n">
        <v>0</v>
      </c>
      <c r="O316" t="n">
        <v>0</v>
      </c>
      <c r="P316" t="n">
        <v>0</v>
      </c>
      <c r="Q316" t="n">
        <v>0</v>
      </c>
      <c r="R316" s="2" t="inlineStr"/>
    </row>
    <row r="317" ht="15" customHeight="1">
      <c r="A317" t="inlineStr">
        <is>
          <t>A 59718-2023</t>
        </is>
      </c>
      <c r="B317" s="1" t="n">
        <v>45257</v>
      </c>
      <c r="C317" s="1" t="n">
        <v>46196</v>
      </c>
      <c r="D317" t="inlineStr">
        <is>
          <t>DALARNAS LÄN</t>
        </is>
      </c>
      <c r="E317" t="inlineStr">
        <is>
          <t>LEKSAND</t>
        </is>
      </c>
      <c r="G317" t="n">
        <v>2.2</v>
      </c>
      <c r="H317" t="n">
        <v>0</v>
      </c>
      <c r="I317" t="n">
        <v>0</v>
      </c>
      <c r="J317" t="n">
        <v>0</v>
      </c>
      <c r="K317" t="n">
        <v>0</v>
      </c>
      <c r="L317" t="n">
        <v>0</v>
      </c>
      <c r="M317" t="n">
        <v>0</v>
      </c>
      <c r="N317" t="n">
        <v>0</v>
      </c>
      <c r="O317" t="n">
        <v>0</v>
      </c>
      <c r="P317" t="n">
        <v>0</v>
      </c>
      <c r="Q317" t="n">
        <v>0</v>
      </c>
      <c r="R317" s="2" t="inlineStr"/>
    </row>
    <row r="318" ht="15" customHeight="1">
      <c r="A318" t="inlineStr">
        <is>
          <t>A 7395-2025</t>
        </is>
      </c>
      <c r="B318" s="1" t="n">
        <v>45705</v>
      </c>
      <c r="C318" s="1" t="n">
        <v>46196</v>
      </c>
      <c r="D318" t="inlineStr">
        <is>
          <t>DALARNAS LÄN</t>
        </is>
      </c>
      <c r="E318" t="inlineStr">
        <is>
          <t>LEKSAND</t>
        </is>
      </c>
      <c r="G318" t="n">
        <v>1.8</v>
      </c>
      <c r="H318" t="n">
        <v>0</v>
      </c>
      <c r="I318" t="n">
        <v>0</v>
      </c>
      <c r="J318" t="n">
        <v>0</v>
      </c>
      <c r="K318" t="n">
        <v>0</v>
      </c>
      <c r="L318" t="n">
        <v>0</v>
      </c>
      <c r="M318" t="n">
        <v>0</v>
      </c>
      <c r="N318" t="n">
        <v>0</v>
      </c>
      <c r="O318" t="n">
        <v>0</v>
      </c>
      <c r="P318" t="n">
        <v>0</v>
      </c>
      <c r="Q318" t="n">
        <v>0</v>
      </c>
      <c r="R318" s="2" t="inlineStr"/>
    </row>
    <row r="319" ht="15" customHeight="1">
      <c r="A319" t="inlineStr">
        <is>
          <t>A 30920-2025</t>
        </is>
      </c>
      <c r="B319" s="1" t="n">
        <v>45832</v>
      </c>
      <c r="C319" s="1" t="n">
        <v>46196</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30917-2025</t>
        </is>
      </c>
      <c r="B320" s="1" t="n">
        <v>45832</v>
      </c>
      <c r="C320" s="1" t="n">
        <v>46196</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435-2026</t>
        </is>
      </c>
      <c r="B321" s="1" t="n">
        <v>46029</v>
      </c>
      <c r="C321" s="1" t="n">
        <v>46196</v>
      </c>
      <c r="D321" t="inlineStr">
        <is>
          <t>DALARNAS LÄN</t>
        </is>
      </c>
      <c r="E321" t="inlineStr">
        <is>
          <t>LEKSAND</t>
        </is>
      </c>
      <c r="G321" t="n">
        <v>3.5</v>
      </c>
      <c r="H321" t="n">
        <v>0</v>
      </c>
      <c r="I321" t="n">
        <v>0</v>
      </c>
      <c r="J321" t="n">
        <v>0</v>
      </c>
      <c r="K321" t="n">
        <v>0</v>
      </c>
      <c r="L321" t="n">
        <v>0</v>
      </c>
      <c r="M321" t="n">
        <v>0</v>
      </c>
      <c r="N321" t="n">
        <v>0</v>
      </c>
      <c r="O321" t="n">
        <v>0</v>
      </c>
      <c r="P321" t="n">
        <v>0</v>
      </c>
      <c r="Q321" t="n">
        <v>0</v>
      </c>
      <c r="R321" s="2" t="inlineStr"/>
    </row>
    <row r="322" ht="15" customHeight="1">
      <c r="A322" t="inlineStr">
        <is>
          <t>A 521-2026</t>
        </is>
      </c>
      <c r="B322" s="1" t="n">
        <v>46029</v>
      </c>
      <c r="C322" s="1" t="n">
        <v>46196</v>
      </c>
      <c r="D322" t="inlineStr">
        <is>
          <t>DALARNAS LÄN</t>
        </is>
      </c>
      <c r="E322" t="inlineStr">
        <is>
          <t>LEKSAND</t>
        </is>
      </c>
      <c r="G322" t="n">
        <v>3.4</v>
      </c>
      <c r="H322" t="n">
        <v>0</v>
      </c>
      <c r="I322" t="n">
        <v>0</v>
      </c>
      <c r="J322" t="n">
        <v>0</v>
      </c>
      <c r="K322" t="n">
        <v>0</v>
      </c>
      <c r="L322" t="n">
        <v>0</v>
      </c>
      <c r="M322" t="n">
        <v>0</v>
      </c>
      <c r="N322" t="n">
        <v>0</v>
      </c>
      <c r="O322" t="n">
        <v>0</v>
      </c>
      <c r="P322" t="n">
        <v>0</v>
      </c>
      <c r="Q322" t="n">
        <v>0</v>
      </c>
      <c r="R322" s="2" t="inlineStr"/>
    </row>
    <row r="323" ht="15" customHeight="1">
      <c r="A323" t="inlineStr">
        <is>
          <t>A 519-2026</t>
        </is>
      </c>
      <c r="B323" s="1" t="n">
        <v>46029</v>
      </c>
      <c r="C323" s="1" t="n">
        <v>46196</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11859-2024</t>
        </is>
      </c>
      <c r="B324" s="1" t="n">
        <v>45376</v>
      </c>
      <c r="C324" s="1" t="n">
        <v>46196</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31446-2025</t>
        </is>
      </c>
      <c r="B325" s="1" t="n">
        <v>45833</v>
      </c>
      <c r="C325" s="1" t="n">
        <v>46196</v>
      </c>
      <c r="D325" t="inlineStr">
        <is>
          <t>DALARNAS LÄN</t>
        </is>
      </c>
      <c r="E325" t="inlineStr">
        <is>
          <t>LEKSAND</t>
        </is>
      </c>
      <c r="G325" t="n">
        <v>1</v>
      </c>
      <c r="H325" t="n">
        <v>0</v>
      </c>
      <c r="I325" t="n">
        <v>0</v>
      </c>
      <c r="J325" t="n">
        <v>0</v>
      </c>
      <c r="K325" t="n">
        <v>0</v>
      </c>
      <c r="L325" t="n">
        <v>0</v>
      </c>
      <c r="M325" t="n">
        <v>0</v>
      </c>
      <c r="N325" t="n">
        <v>0</v>
      </c>
      <c r="O325" t="n">
        <v>0</v>
      </c>
      <c r="P325" t="n">
        <v>0</v>
      </c>
      <c r="Q325" t="n">
        <v>0</v>
      </c>
      <c r="R325" s="2" t="inlineStr"/>
    </row>
    <row r="326" ht="15" customHeight="1">
      <c r="A326" t="inlineStr">
        <is>
          <t>A 30911-2025</t>
        </is>
      </c>
      <c r="B326" s="1" t="n">
        <v>45832</v>
      </c>
      <c r="C326" s="1" t="n">
        <v>46196</v>
      </c>
      <c r="D326" t="inlineStr">
        <is>
          <t>DALARNAS LÄN</t>
        </is>
      </c>
      <c r="E326" t="inlineStr">
        <is>
          <t>LEKSAND</t>
        </is>
      </c>
      <c r="G326" t="n">
        <v>0.5</v>
      </c>
      <c r="H326" t="n">
        <v>0</v>
      </c>
      <c r="I326" t="n">
        <v>0</v>
      </c>
      <c r="J326" t="n">
        <v>0</v>
      </c>
      <c r="K326" t="n">
        <v>0</v>
      </c>
      <c r="L326" t="n">
        <v>0</v>
      </c>
      <c r="M326" t="n">
        <v>0</v>
      </c>
      <c r="N326" t="n">
        <v>0</v>
      </c>
      <c r="O326" t="n">
        <v>0</v>
      </c>
      <c r="P326" t="n">
        <v>0</v>
      </c>
      <c r="Q326" t="n">
        <v>0</v>
      </c>
      <c r="R326" s="2" t="inlineStr"/>
    </row>
    <row r="327" ht="15" customHeight="1">
      <c r="A327" t="inlineStr">
        <is>
          <t>A 1960-2026</t>
        </is>
      </c>
      <c r="B327" s="1" t="n">
        <v>46035</v>
      </c>
      <c r="C327" s="1" t="n">
        <v>46196</v>
      </c>
      <c r="D327" t="inlineStr">
        <is>
          <t>DALARNAS LÄN</t>
        </is>
      </c>
      <c r="E327" t="inlineStr">
        <is>
          <t>LEKSAND</t>
        </is>
      </c>
      <c r="G327" t="n">
        <v>4.3</v>
      </c>
      <c r="H327" t="n">
        <v>0</v>
      </c>
      <c r="I327" t="n">
        <v>0</v>
      </c>
      <c r="J327" t="n">
        <v>0</v>
      </c>
      <c r="K327" t="n">
        <v>0</v>
      </c>
      <c r="L327" t="n">
        <v>0</v>
      </c>
      <c r="M327" t="n">
        <v>0</v>
      </c>
      <c r="N327" t="n">
        <v>0</v>
      </c>
      <c r="O327" t="n">
        <v>0</v>
      </c>
      <c r="P327" t="n">
        <v>0</v>
      </c>
      <c r="Q327" t="n">
        <v>0</v>
      </c>
      <c r="R327" s="2" t="inlineStr"/>
    </row>
    <row r="328" ht="15" customHeight="1">
      <c r="A328" t="inlineStr">
        <is>
          <t>A 1899-2026</t>
        </is>
      </c>
      <c r="B328" s="1" t="n">
        <v>46035</v>
      </c>
      <c r="C328" s="1" t="n">
        <v>46196</v>
      </c>
      <c r="D328" t="inlineStr">
        <is>
          <t>DALARNAS LÄN</t>
        </is>
      </c>
      <c r="E328" t="inlineStr">
        <is>
          <t>LEKSAND</t>
        </is>
      </c>
      <c r="G328" t="n">
        <v>3.6</v>
      </c>
      <c r="H328" t="n">
        <v>0</v>
      </c>
      <c r="I328" t="n">
        <v>0</v>
      </c>
      <c r="J328" t="n">
        <v>0</v>
      </c>
      <c r="K328" t="n">
        <v>0</v>
      </c>
      <c r="L328" t="n">
        <v>0</v>
      </c>
      <c r="M328" t="n">
        <v>0</v>
      </c>
      <c r="N328" t="n">
        <v>0</v>
      </c>
      <c r="O328" t="n">
        <v>0</v>
      </c>
      <c r="P328" t="n">
        <v>0</v>
      </c>
      <c r="Q328" t="n">
        <v>0</v>
      </c>
      <c r="R328" s="2" t="inlineStr"/>
    </row>
    <row r="329" ht="15" customHeight="1">
      <c r="A329" t="inlineStr">
        <is>
          <t>A 32104-2025</t>
        </is>
      </c>
      <c r="B329" s="1" t="n">
        <v>45835</v>
      </c>
      <c r="C329" s="1" t="n">
        <v>46196</v>
      </c>
      <c r="D329" t="inlineStr">
        <is>
          <t>DALARNAS LÄN</t>
        </is>
      </c>
      <c r="E329" t="inlineStr">
        <is>
          <t>LEKSAND</t>
        </is>
      </c>
      <c r="G329" t="n">
        <v>3.1</v>
      </c>
      <c r="H329" t="n">
        <v>0</v>
      </c>
      <c r="I329" t="n">
        <v>0</v>
      </c>
      <c r="J329" t="n">
        <v>0</v>
      </c>
      <c r="K329" t="n">
        <v>0</v>
      </c>
      <c r="L329" t="n">
        <v>0</v>
      </c>
      <c r="M329" t="n">
        <v>0</v>
      </c>
      <c r="N329" t="n">
        <v>0</v>
      </c>
      <c r="O329" t="n">
        <v>0</v>
      </c>
      <c r="P329" t="n">
        <v>0</v>
      </c>
      <c r="Q329" t="n">
        <v>0</v>
      </c>
      <c r="R329" s="2" t="inlineStr"/>
    </row>
    <row r="330" ht="15" customHeight="1">
      <c r="A330" t="inlineStr">
        <is>
          <t>A 367-2026</t>
        </is>
      </c>
      <c r="B330" s="1" t="n">
        <v>46027</v>
      </c>
      <c r="C330" s="1" t="n">
        <v>46196</v>
      </c>
      <c r="D330" t="inlineStr">
        <is>
          <t>DALARNAS LÄN</t>
        </is>
      </c>
      <c r="E330" t="inlineStr">
        <is>
          <t>LEKSAND</t>
        </is>
      </c>
      <c r="G330" t="n">
        <v>4.3</v>
      </c>
      <c r="H330" t="n">
        <v>0</v>
      </c>
      <c r="I330" t="n">
        <v>0</v>
      </c>
      <c r="J330" t="n">
        <v>0</v>
      </c>
      <c r="K330" t="n">
        <v>0</v>
      </c>
      <c r="L330" t="n">
        <v>0</v>
      </c>
      <c r="M330" t="n">
        <v>0</v>
      </c>
      <c r="N330" t="n">
        <v>0</v>
      </c>
      <c r="O330" t="n">
        <v>0</v>
      </c>
      <c r="P330" t="n">
        <v>0</v>
      </c>
      <c r="Q330" t="n">
        <v>0</v>
      </c>
      <c r="R330" s="2" t="inlineStr"/>
    </row>
    <row r="331" ht="15" customHeight="1">
      <c r="A331" t="inlineStr">
        <is>
          <t>A 1983-2026</t>
        </is>
      </c>
      <c r="B331" s="1" t="n">
        <v>46035</v>
      </c>
      <c r="C331" s="1" t="n">
        <v>46196</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32301-2025</t>
        </is>
      </c>
      <c r="B332" s="1" t="n">
        <v>45835</v>
      </c>
      <c r="C332" s="1" t="n">
        <v>46196</v>
      </c>
      <c r="D332" t="inlineStr">
        <is>
          <t>DALARNAS LÄN</t>
        </is>
      </c>
      <c r="E332" t="inlineStr">
        <is>
          <t>LEKSAND</t>
        </is>
      </c>
      <c r="G332" t="n">
        <v>2.2</v>
      </c>
      <c r="H332" t="n">
        <v>0</v>
      </c>
      <c r="I332" t="n">
        <v>0</v>
      </c>
      <c r="J332" t="n">
        <v>0</v>
      </c>
      <c r="K332" t="n">
        <v>0</v>
      </c>
      <c r="L332" t="n">
        <v>0</v>
      </c>
      <c r="M332" t="n">
        <v>0</v>
      </c>
      <c r="N332" t="n">
        <v>0</v>
      </c>
      <c r="O332" t="n">
        <v>0</v>
      </c>
      <c r="P332" t="n">
        <v>0</v>
      </c>
      <c r="Q332" t="n">
        <v>0</v>
      </c>
      <c r="R332" s="2" t="inlineStr"/>
    </row>
    <row r="333" ht="15" customHeight="1">
      <c r="A333" t="inlineStr">
        <is>
          <t>A 32855-2025</t>
        </is>
      </c>
      <c r="B333" s="1" t="n">
        <v>45839</v>
      </c>
      <c r="C333" s="1" t="n">
        <v>46196</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32593-2025</t>
        </is>
      </c>
      <c r="B334" s="1" t="n">
        <v>45838</v>
      </c>
      <c r="C334" s="1" t="n">
        <v>46196</v>
      </c>
      <c r="D334" t="inlineStr">
        <is>
          <t>DALARNAS LÄN</t>
        </is>
      </c>
      <c r="E334" t="inlineStr">
        <is>
          <t>LEKSAND</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51320-2023</t>
        </is>
      </c>
      <c r="B335" s="1" t="n">
        <v>45219</v>
      </c>
      <c r="C335" s="1" t="n">
        <v>46196</v>
      </c>
      <c r="D335" t="inlineStr">
        <is>
          <t>DALARNAS LÄN</t>
        </is>
      </c>
      <c r="E335" t="inlineStr">
        <is>
          <t>LEKSAND</t>
        </is>
      </c>
      <c r="G335" t="n">
        <v>2.1</v>
      </c>
      <c r="H335" t="n">
        <v>0</v>
      </c>
      <c r="I335" t="n">
        <v>0</v>
      </c>
      <c r="J335" t="n">
        <v>0</v>
      </c>
      <c r="K335" t="n">
        <v>0</v>
      </c>
      <c r="L335" t="n">
        <v>0</v>
      </c>
      <c r="M335" t="n">
        <v>0</v>
      </c>
      <c r="N335" t="n">
        <v>0</v>
      </c>
      <c r="O335" t="n">
        <v>0</v>
      </c>
      <c r="P335" t="n">
        <v>0</v>
      </c>
      <c r="Q335" t="n">
        <v>0</v>
      </c>
      <c r="R335" s="2" t="inlineStr"/>
    </row>
    <row r="336" ht="15" customHeight="1">
      <c r="A336" t="inlineStr">
        <is>
          <t>A 28630-2023</t>
        </is>
      </c>
      <c r="B336" s="1" t="n">
        <v>45103</v>
      </c>
      <c r="C336" s="1" t="n">
        <v>46196</v>
      </c>
      <c r="D336" t="inlineStr">
        <is>
          <t>DALARNAS LÄN</t>
        </is>
      </c>
      <c r="E336" t="inlineStr">
        <is>
          <t>LEKSAND</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57231-2025</t>
        </is>
      </c>
      <c r="B337" s="1" t="n">
        <v>45979</v>
      </c>
      <c r="C337" s="1" t="n">
        <v>46196</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30860-2024</t>
        </is>
      </c>
      <c r="B338" s="1" t="n">
        <v>45497</v>
      </c>
      <c r="C338" s="1" t="n">
        <v>46196</v>
      </c>
      <c r="D338" t="inlineStr">
        <is>
          <t>DALARNAS LÄN</t>
        </is>
      </c>
      <c r="E338" t="inlineStr">
        <is>
          <t>LEKSAND</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57536-2025</t>
        </is>
      </c>
      <c r="B339" s="1" t="n">
        <v>45980</v>
      </c>
      <c r="C339" s="1" t="n">
        <v>46196</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3240-2026</t>
        </is>
      </c>
      <c r="B340" s="1" t="n">
        <v>46041</v>
      </c>
      <c r="C340" s="1" t="n">
        <v>46196</v>
      </c>
      <c r="D340" t="inlineStr">
        <is>
          <t>DALARNAS LÄN</t>
        </is>
      </c>
      <c r="E340" t="inlineStr">
        <is>
          <t>LEKSAND</t>
        </is>
      </c>
      <c r="G340" t="n">
        <v>6.1</v>
      </c>
      <c r="H340" t="n">
        <v>0</v>
      </c>
      <c r="I340" t="n">
        <v>0</v>
      </c>
      <c r="J340" t="n">
        <v>0</v>
      </c>
      <c r="K340" t="n">
        <v>0</v>
      </c>
      <c r="L340" t="n">
        <v>0</v>
      </c>
      <c r="M340" t="n">
        <v>0</v>
      </c>
      <c r="N340" t="n">
        <v>0</v>
      </c>
      <c r="O340" t="n">
        <v>0</v>
      </c>
      <c r="P340" t="n">
        <v>0</v>
      </c>
      <c r="Q340" t="n">
        <v>0</v>
      </c>
      <c r="R340" s="2" t="inlineStr"/>
    </row>
    <row r="341" ht="15" customHeight="1">
      <c r="A341" t="inlineStr">
        <is>
          <t>A 3244-2026</t>
        </is>
      </c>
      <c r="B341" s="1" t="n">
        <v>46041</v>
      </c>
      <c r="C341" s="1" t="n">
        <v>46196</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57223-2025</t>
        </is>
      </c>
      <c r="B342" s="1" t="n">
        <v>45979</v>
      </c>
      <c r="C342" s="1" t="n">
        <v>46196</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57962-2025</t>
        </is>
      </c>
      <c r="B343" s="1" t="n">
        <v>45982</v>
      </c>
      <c r="C343" s="1" t="n">
        <v>46196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3834-2026</t>
        </is>
      </c>
      <c r="B344" s="1" t="n">
        <v>46043</v>
      </c>
      <c r="C344" s="1" t="n">
        <v>46196</v>
      </c>
      <c r="D344" t="inlineStr">
        <is>
          <t>DALARNAS LÄN</t>
        </is>
      </c>
      <c r="E344" t="inlineStr">
        <is>
          <t>LEKSAND</t>
        </is>
      </c>
      <c r="G344" t="n">
        <v>14.4</v>
      </c>
      <c r="H344" t="n">
        <v>0</v>
      </c>
      <c r="I344" t="n">
        <v>0</v>
      </c>
      <c r="J344" t="n">
        <v>0</v>
      </c>
      <c r="K344" t="n">
        <v>0</v>
      </c>
      <c r="L344" t="n">
        <v>0</v>
      </c>
      <c r="M344" t="n">
        <v>0</v>
      </c>
      <c r="N344" t="n">
        <v>0</v>
      </c>
      <c r="O344" t="n">
        <v>0</v>
      </c>
      <c r="P344" t="n">
        <v>0</v>
      </c>
      <c r="Q344" t="n">
        <v>0</v>
      </c>
      <c r="R344" s="2" t="inlineStr"/>
    </row>
    <row r="345" ht="15" customHeight="1">
      <c r="A345" t="inlineStr">
        <is>
          <t>A 3728-2026</t>
        </is>
      </c>
      <c r="B345" s="1" t="n">
        <v>46043</v>
      </c>
      <c r="C345" s="1" t="n">
        <v>46196</v>
      </c>
      <c r="D345" t="inlineStr">
        <is>
          <t>DALARNAS LÄN</t>
        </is>
      </c>
      <c r="E345" t="inlineStr">
        <is>
          <t>LEKSAND</t>
        </is>
      </c>
      <c r="G345" t="n">
        <v>7</v>
      </c>
      <c r="H345" t="n">
        <v>0</v>
      </c>
      <c r="I345" t="n">
        <v>0</v>
      </c>
      <c r="J345" t="n">
        <v>0</v>
      </c>
      <c r="K345" t="n">
        <v>0</v>
      </c>
      <c r="L345" t="n">
        <v>0</v>
      </c>
      <c r="M345" t="n">
        <v>0</v>
      </c>
      <c r="N345" t="n">
        <v>0</v>
      </c>
      <c r="O345" t="n">
        <v>0</v>
      </c>
      <c r="P345" t="n">
        <v>0</v>
      </c>
      <c r="Q345" t="n">
        <v>0</v>
      </c>
      <c r="R345" s="2" t="inlineStr"/>
    </row>
    <row r="346" ht="15" customHeight="1">
      <c r="A346" t="inlineStr">
        <is>
          <t>A 3723-2026</t>
        </is>
      </c>
      <c r="B346" s="1" t="n">
        <v>46043</v>
      </c>
      <c r="C346" s="1" t="n">
        <v>46196</v>
      </c>
      <c r="D346" t="inlineStr">
        <is>
          <t>DALARNAS LÄN</t>
        </is>
      </c>
      <c r="E346" t="inlineStr">
        <is>
          <t>LEKSAND</t>
        </is>
      </c>
      <c r="G346" t="n">
        <v>0.6</v>
      </c>
      <c r="H346" t="n">
        <v>0</v>
      </c>
      <c r="I346" t="n">
        <v>0</v>
      </c>
      <c r="J346" t="n">
        <v>0</v>
      </c>
      <c r="K346" t="n">
        <v>0</v>
      </c>
      <c r="L346" t="n">
        <v>0</v>
      </c>
      <c r="M346" t="n">
        <v>0</v>
      </c>
      <c r="N346" t="n">
        <v>0</v>
      </c>
      <c r="O346" t="n">
        <v>0</v>
      </c>
      <c r="P346" t="n">
        <v>0</v>
      </c>
      <c r="Q346" t="n">
        <v>0</v>
      </c>
      <c r="R346" s="2" t="inlineStr"/>
    </row>
    <row r="347" ht="15" customHeight="1">
      <c r="A347" t="inlineStr">
        <is>
          <t>A 3734-2026</t>
        </is>
      </c>
      <c r="B347" s="1" t="n">
        <v>46043</v>
      </c>
      <c r="C347" s="1" t="n">
        <v>46196</v>
      </c>
      <c r="D347" t="inlineStr">
        <is>
          <t>DALARNAS LÄN</t>
        </is>
      </c>
      <c r="E347" t="inlineStr">
        <is>
          <t>LEKSAND</t>
        </is>
      </c>
      <c r="G347" t="n">
        <v>7.2</v>
      </c>
      <c r="H347" t="n">
        <v>0</v>
      </c>
      <c r="I347" t="n">
        <v>0</v>
      </c>
      <c r="J347" t="n">
        <v>0</v>
      </c>
      <c r="K347" t="n">
        <v>0</v>
      </c>
      <c r="L347" t="n">
        <v>0</v>
      </c>
      <c r="M347" t="n">
        <v>0</v>
      </c>
      <c r="N347" t="n">
        <v>0</v>
      </c>
      <c r="O347" t="n">
        <v>0</v>
      </c>
      <c r="P347" t="n">
        <v>0</v>
      </c>
      <c r="Q347" t="n">
        <v>0</v>
      </c>
      <c r="R347" s="2" t="inlineStr"/>
    </row>
    <row r="348" ht="15" customHeight="1">
      <c r="A348" t="inlineStr">
        <is>
          <t>A 4338-2026</t>
        </is>
      </c>
      <c r="B348" s="1" t="n">
        <v>46045</v>
      </c>
      <c r="C348" s="1" t="n">
        <v>46196</v>
      </c>
      <c r="D348" t="inlineStr">
        <is>
          <t>DALARNAS LÄN</t>
        </is>
      </c>
      <c r="E348" t="inlineStr">
        <is>
          <t>LEKSAND</t>
        </is>
      </c>
      <c r="G348" t="n">
        <v>6.9</v>
      </c>
      <c r="H348" t="n">
        <v>0</v>
      </c>
      <c r="I348" t="n">
        <v>0</v>
      </c>
      <c r="J348" t="n">
        <v>0</v>
      </c>
      <c r="K348" t="n">
        <v>0</v>
      </c>
      <c r="L348" t="n">
        <v>0</v>
      </c>
      <c r="M348" t="n">
        <v>0</v>
      </c>
      <c r="N348" t="n">
        <v>0</v>
      </c>
      <c r="O348" t="n">
        <v>0</v>
      </c>
      <c r="P348" t="n">
        <v>0</v>
      </c>
      <c r="Q348" t="n">
        <v>0</v>
      </c>
      <c r="R348" s="2" t="inlineStr"/>
    </row>
    <row r="349" ht="15" customHeight="1">
      <c r="A349" t="inlineStr">
        <is>
          <t>A 3968-2026</t>
        </is>
      </c>
      <c r="B349" s="1" t="n">
        <v>46044</v>
      </c>
      <c r="C349" s="1" t="n">
        <v>46196</v>
      </c>
      <c r="D349" t="inlineStr">
        <is>
          <t>DALARNAS LÄN</t>
        </is>
      </c>
      <c r="E349" t="inlineStr">
        <is>
          <t>LEKSAND</t>
        </is>
      </c>
      <c r="G349" t="n">
        <v>2.3</v>
      </c>
      <c r="H349" t="n">
        <v>0</v>
      </c>
      <c r="I349" t="n">
        <v>0</v>
      </c>
      <c r="J349" t="n">
        <v>0</v>
      </c>
      <c r="K349" t="n">
        <v>0</v>
      </c>
      <c r="L349" t="n">
        <v>0</v>
      </c>
      <c r="M349" t="n">
        <v>0</v>
      </c>
      <c r="N349" t="n">
        <v>0</v>
      </c>
      <c r="O349" t="n">
        <v>0</v>
      </c>
      <c r="P349" t="n">
        <v>0</v>
      </c>
      <c r="Q349" t="n">
        <v>0</v>
      </c>
      <c r="R349" s="2" t="inlineStr"/>
    </row>
    <row r="350" ht="15" customHeight="1">
      <c r="A350" t="inlineStr">
        <is>
          <t>A 4476-2026</t>
        </is>
      </c>
      <c r="B350" s="1" t="n">
        <v>46045</v>
      </c>
      <c r="C350" s="1" t="n">
        <v>46196</v>
      </c>
      <c r="D350" t="inlineStr">
        <is>
          <t>DALARNAS LÄN</t>
        </is>
      </c>
      <c r="E350" t="inlineStr">
        <is>
          <t>LEKSAND</t>
        </is>
      </c>
      <c r="G350" t="n">
        <v>2.3</v>
      </c>
      <c r="H350" t="n">
        <v>0</v>
      </c>
      <c r="I350" t="n">
        <v>0</v>
      </c>
      <c r="J350" t="n">
        <v>0</v>
      </c>
      <c r="K350" t="n">
        <v>0</v>
      </c>
      <c r="L350" t="n">
        <v>0</v>
      </c>
      <c r="M350" t="n">
        <v>0</v>
      </c>
      <c r="N350" t="n">
        <v>0</v>
      </c>
      <c r="O350" t="n">
        <v>0</v>
      </c>
      <c r="P350" t="n">
        <v>0</v>
      </c>
      <c r="Q350" t="n">
        <v>0</v>
      </c>
      <c r="R350" s="2" t="inlineStr"/>
    </row>
    <row r="351" ht="15" customHeight="1">
      <c r="A351" t="inlineStr">
        <is>
          <t>A 3978-2026</t>
        </is>
      </c>
      <c r="B351" s="1" t="n">
        <v>46044</v>
      </c>
      <c r="C351" s="1" t="n">
        <v>46196</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4184-2026</t>
        </is>
      </c>
      <c r="B352" s="1" t="n">
        <v>46044</v>
      </c>
      <c r="C352" s="1" t="n">
        <v>46196</v>
      </c>
      <c r="D352" t="inlineStr">
        <is>
          <t>DALARNAS LÄN</t>
        </is>
      </c>
      <c r="E352" t="inlineStr">
        <is>
          <t>LEKSAND</t>
        </is>
      </c>
      <c r="G352" t="n">
        <v>6</v>
      </c>
      <c r="H352" t="n">
        <v>0</v>
      </c>
      <c r="I352" t="n">
        <v>0</v>
      </c>
      <c r="J352" t="n">
        <v>0</v>
      </c>
      <c r="K352" t="n">
        <v>0</v>
      </c>
      <c r="L352" t="n">
        <v>0</v>
      </c>
      <c r="M352" t="n">
        <v>0</v>
      </c>
      <c r="N352" t="n">
        <v>0</v>
      </c>
      <c r="O352" t="n">
        <v>0</v>
      </c>
      <c r="P352" t="n">
        <v>0</v>
      </c>
      <c r="Q352" t="n">
        <v>0</v>
      </c>
      <c r="R352" s="2" t="inlineStr"/>
    </row>
    <row r="353" ht="15" customHeight="1">
      <c r="A353" t="inlineStr">
        <is>
          <t>A 34537-2025</t>
        </is>
      </c>
      <c r="B353" s="1" t="n">
        <v>45847</v>
      </c>
      <c r="C353" s="1" t="n">
        <v>46196</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5040-2026</t>
        </is>
      </c>
      <c r="B354" s="1" t="n">
        <v>46049</v>
      </c>
      <c r="C354" s="1" t="n">
        <v>46196</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34965-2025</t>
        </is>
      </c>
      <c r="B355" s="1" t="n">
        <v>45849</v>
      </c>
      <c r="C355" s="1" t="n">
        <v>46196</v>
      </c>
      <c r="D355" t="inlineStr">
        <is>
          <t>DALARNAS LÄN</t>
        </is>
      </c>
      <c r="E355" t="inlineStr">
        <is>
          <t>LEKSAND</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41896-2024</t>
        </is>
      </c>
      <c r="B356" s="1" t="n">
        <v>45561</v>
      </c>
      <c r="C356" s="1" t="n">
        <v>46196</v>
      </c>
      <c r="D356" t="inlineStr">
        <is>
          <t>DALARNAS LÄN</t>
        </is>
      </c>
      <c r="E356" t="inlineStr">
        <is>
          <t>LEKSAND</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5022-2026</t>
        </is>
      </c>
      <c r="B357" s="1" t="n">
        <v>46049</v>
      </c>
      <c r="C357" s="1" t="n">
        <v>46196</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61252-2023</t>
        </is>
      </c>
      <c r="B358" s="1" t="n">
        <v>45261</v>
      </c>
      <c r="C358" s="1" t="n">
        <v>46196</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34966-2025</t>
        </is>
      </c>
      <c r="B359" s="1" t="n">
        <v>45849</v>
      </c>
      <c r="C359" s="1" t="n">
        <v>46196</v>
      </c>
      <c r="D359" t="inlineStr">
        <is>
          <t>DALARNAS LÄN</t>
        </is>
      </c>
      <c r="E359" t="inlineStr">
        <is>
          <t>LEKSAND</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5590-2026</t>
        </is>
      </c>
      <c r="B360" s="1" t="n">
        <v>46051</v>
      </c>
      <c r="C360" s="1" t="n">
        <v>46196</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5597-2026</t>
        </is>
      </c>
      <c r="B361" s="1" t="n">
        <v>46051</v>
      </c>
      <c r="C361" s="1" t="n">
        <v>46196</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5615-2026</t>
        </is>
      </c>
      <c r="B362" s="1" t="n">
        <v>46051</v>
      </c>
      <c r="C362" s="1" t="n">
        <v>46196</v>
      </c>
      <c r="D362" t="inlineStr">
        <is>
          <t>DALARNAS LÄN</t>
        </is>
      </c>
      <c r="E362" t="inlineStr">
        <is>
          <t>LEKSAND</t>
        </is>
      </c>
      <c r="G362" t="n">
        <v>1.7</v>
      </c>
      <c r="H362" t="n">
        <v>0</v>
      </c>
      <c r="I362" t="n">
        <v>0</v>
      </c>
      <c r="J362" t="n">
        <v>0</v>
      </c>
      <c r="K362" t="n">
        <v>0</v>
      </c>
      <c r="L362" t="n">
        <v>0</v>
      </c>
      <c r="M362" t="n">
        <v>0</v>
      </c>
      <c r="N362" t="n">
        <v>0</v>
      </c>
      <c r="O362" t="n">
        <v>0</v>
      </c>
      <c r="P362" t="n">
        <v>0</v>
      </c>
      <c r="Q362" t="n">
        <v>0</v>
      </c>
      <c r="R362" s="2" t="inlineStr"/>
    </row>
    <row r="363" ht="15" customHeight="1">
      <c r="A363" t="inlineStr">
        <is>
          <t>A 5691-2026</t>
        </is>
      </c>
      <c r="B363" s="1" t="n">
        <v>46051</v>
      </c>
      <c r="C363" s="1" t="n">
        <v>46196</v>
      </c>
      <c r="D363" t="inlineStr">
        <is>
          <t>DALARNAS LÄN</t>
        </is>
      </c>
      <c r="E363" t="inlineStr">
        <is>
          <t>LEKSAND</t>
        </is>
      </c>
      <c r="G363" t="n">
        <v>2.9</v>
      </c>
      <c r="H363" t="n">
        <v>0</v>
      </c>
      <c r="I363" t="n">
        <v>0</v>
      </c>
      <c r="J363" t="n">
        <v>0</v>
      </c>
      <c r="K363" t="n">
        <v>0</v>
      </c>
      <c r="L363" t="n">
        <v>0</v>
      </c>
      <c r="M363" t="n">
        <v>0</v>
      </c>
      <c r="N363" t="n">
        <v>0</v>
      </c>
      <c r="O363" t="n">
        <v>0</v>
      </c>
      <c r="P363" t="n">
        <v>0</v>
      </c>
      <c r="Q363" t="n">
        <v>0</v>
      </c>
      <c r="R363" s="2" t="inlineStr"/>
    </row>
    <row r="364" ht="15" customHeight="1">
      <c r="A364" t="inlineStr">
        <is>
          <t>A 5541-2026</t>
        </is>
      </c>
      <c r="B364" s="1" t="n">
        <v>46050</v>
      </c>
      <c r="C364" s="1" t="n">
        <v>46196</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593-2026</t>
        </is>
      </c>
      <c r="B365" s="1" t="n">
        <v>46029</v>
      </c>
      <c r="C365" s="1" t="n">
        <v>46196</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6245-2026</t>
        </is>
      </c>
      <c r="B366" s="1" t="n">
        <v>46055</v>
      </c>
      <c r="C366" s="1" t="n">
        <v>46196</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5989-2026</t>
        </is>
      </c>
      <c r="B367" s="1" t="n">
        <v>46052</v>
      </c>
      <c r="C367" s="1" t="n">
        <v>46196</v>
      </c>
      <c r="D367" t="inlineStr">
        <is>
          <t>DALARNAS LÄN</t>
        </is>
      </c>
      <c r="E367" t="inlineStr">
        <is>
          <t>LEKSAND</t>
        </is>
      </c>
      <c r="G367" t="n">
        <v>2.3</v>
      </c>
      <c r="H367" t="n">
        <v>0</v>
      </c>
      <c r="I367" t="n">
        <v>0</v>
      </c>
      <c r="J367" t="n">
        <v>0</v>
      </c>
      <c r="K367" t="n">
        <v>0</v>
      </c>
      <c r="L367" t="n">
        <v>0</v>
      </c>
      <c r="M367" t="n">
        <v>0</v>
      </c>
      <c r="N367" t="n">
        <v>0</v>
      </c>
      <c r="O367" t="n">
        <v>0</v>
      </c>
      <c r="P367" t="n">
        <v>0</v>
      </c>
      <c r="Q367" t="n">
        <v>0</v>
      </c>
      <c r="R367" s="2" t="inlineStr"/>
    </row>
    <row r="368" ht="15" customHeight="1">
      <c r="A368" t="inlineStr">
        <is>
          <t>A 4460-2026</t>
        </is>
      </c>
      <c r="B368" s="1" t="n">
        <v>46045</v>
      </c>
      <c r="C368" s="1" t="n">
        <v>46196</v>
      </c>
      <c r="D368" t="inlineStr">
        <is>
          <t>DALARNAS LÄN</t>
        </is>
      </c>
      <c r="E368" t="inlineStr">
        <is>
          <t>LEKSAND</t>
        </is>
      </c>
      <c r="G368" t="n">
        <v>11.6</v>
      </c>
      <c r="H368" t="n">
        <v>0</v>
      </c>
      <c r="I368" t="n">
        <v>0</v>
      </c>
      <c r="J368" t="n">
        <v>0</v>
      </c>
      <c r="K368" t="n">
        <v>0</v>
      </c>
      <c r="L368" t="n">
        <v>0</v>
      </c>
      <c r="M368" t="n">
        <v>0</v>
      </c>
      <c r="N368" t="n">
        <v>0</v>
      </c>
      <c r="O368" t="n">
        <v>0</v>
      </c>
      <c r="P368" t="n">
        <v>0</v>
      </c>
      <c r="Q368" t="n">
        <v>0</v>
      </c>
      <c r="R368" s="2" t="inlineStr"/>
    </row>
    <row r="369" ht="15" customHeight="1">
      <c r="A369" t="inlineStr">
        <is>
          <t>A 6038-2026</t>
        </is>
      </c>
      <c r="B369" s="1" t="n">
        <v>46052</v>
      </c>
      <c r="C369" s="1" t="n">
        <v>46196</v>
      </c>
      <c r="D369" t="inlineStr">
        <is>
          <t>DALARNAS LÄN</t>
        </is>
      </c>
      <c r="E369" t="inlineStr">
        <is>
          <t>LEKSAND</t>
        </is>
      </c>
      <c r="G369" t="n">
        <v>5.1</v>
      </c>
      <c r="H369" t="n">
        <v>0</v>
      </c>
      <c r="I369" t="n">
        <v>0</v>
      </c>
      <c r="J369" t="n">
        <v>0</v>
      </c>
      <c r="K369" t="n">
        <v>0</v>
      </c>
      <c r="L369" t="n">
        <v>0</v>
      </c>
      <c r="M369" t="n">
        <v>0</v>
      </c>
      <c r="N369" t="n">
        <v>0</v>
      </c>
      <c r="O369" t="n">
        <v>0</v>
      </c>
      <c r="P369" t="n">
        <v>0</v>
      </c>
      <c r="Q369" t="n">
        <v>0</v>
      </c>
      <c r="R369" s="2" t="inlineStr"/>
    </row>
    <row r="370" ht="15" customHeight="1">
      <c r="A370" t="inlineStr">
        <is>
          <t>A 36020-2025</t>
        </is>
      </c>
      <c r="B370" s="1" t="n">
        <v>45863</v>
      </c>
      <c r="C370" s="1" t="n">
        <v>46196</v>
      </c>
      <c r="D370" t="inlineStr">
        <is>
          <t>DALARNAS LÄN</t>
        </is>
      </c>
      <c r="E370" t="inlineStr">
        <is>
          <t>LEKSAND</t>
        </is>
      </c>
      <c r="F370" t="inlineStr">
        <is>
          <t>Bergvik skog väst AB</t>
        </is>
      </c>
      <c r="G370" t="n">
        <v>2.8</v>
      </c>
      <c r="H370" t="n">
        <v>0</v>
      </c>
      <c r="I370" t="n">
        <v>0</v>
      </c>
      <c r="J370" t="n">
        <v>0</v>
      </c>
      <c r="K370" t="n">
        <v>0</v>
      </c>
      <c r="L370" t="n">
        <v>0</v>
      </c>
      <c r="M370" t="n">
        <v>0</v>
      </c>
      <c r="N370" t="n">
        <v>0</v>
      </c>
      <c r="O370" t="n">
        <v>0</v>
      </c>
      <c r="P370" t="n">
        <v>0</v>
      </c>
      <c r="Q370" t="n">
        <v>0</v>
      </c>
      <c r="R370" s="2" t="inlineStr"/>
    </row>
    <row r="371" ht="15" customHeight="1">
      <c r="A371" t="inlineStr">
        <is>
          <t>A 36021-2025</t>
        </is>
      </c>
      <c r="B371" s="1" t="n">
        <v>45863</v>
      </c>
      <c r="C371" s="1" t="n">
        <v>46196</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60024-2023</t>
        </is>
      </c>
      <c r="B372" s="1" t="n">
        <v>45258</v>
      </c>
      <c r="C372" s="1" t="n">
        <v>46196</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19330-2025</t>
        </is>
      </c>
      <c r="B373" s="1" t="n">
        <v>45769</v>
      </c>
      <c r="C373" s="1" t="n">
        <v>46196</v>
      </c>
      <c r="D373" t="inlineStr">
        <is>
          <t>DALARNAS LÄN</t>
        </is>
      </c>
      <c r="E373" t="inlineStr">
        <is>
          <t>LEKSAND</t>
        </is>
      </c>
      <c r="G373" t="n">
        <v>1.6</v>
      </c>
      <c r="H373" t="n">
        <v>0</v>
      </c>
      <c r="I373" t="n">
        <v>0</v>
      </c>
      <c r="J373" t="n">
        <v>0</v>
      </c>
      <c r="K373" t="n">
        <v>0</v>
      </c>
      <c r="L373" t="n">
        <v>0</v>
      </c>
      <c r="M373" t="n">
        <v>0</v>
      </c>
      <c r="N373" t="n">
        <v>0</v>
      </c>
      <c r="O373" t="n">
        <v>0</v>
      </c>
      <c r="P373" t="n">
        <v>0</v>
      </c>
      <c r="Q373" t="n">
        <v>0</v>
      </c>
      <c r="R373" s="2" t="inlineStr"/>
    </row>
    <row r="374" ht="15" customHeight="1">
      <c r="A374" t="inlineStr">
        <is>
          <t>A 28913-2024</t>
        </is>
      </c>
      <c r="B374" s="1" t="n">
        <v>45480</v>
      </c>
      <c r="C374" s="1" t="n">
        <v>46196</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6463-2026</t>
        </is>
      </c>
      <c r="B375" s="1" t="n">
        <v>46056</v>
      </c>
      <c r="C375" s="1" t="n">
        <v>46196</v>
      </c>
      <c r="D375" t="inlineStr">
        <is>
          <t>DALARNAS LÄN</t>
        </is>
      </c>
      <c r="E375" t="inlineStr">
        <is>
          <t>LEKSAND</t>
        </is>
      </c>
      <c r="G375" t="n">
        <v>0.5</v>
      </c>
      <c r="H375" t="n">
        <v>0</v>
      </c>
      <c r="I375" t="n">
        <v>0</v>
      </c>
      <c r="J375" t="n">
        <v>0</v>
      </c>
      <c r="K375" t="n">
        <v>0</v>
      </c>
      <c r="L375" t="n">
        <v>0</v>
      </c>
      <c r="M375" t="n">
        <v>0</v>
      </c>
      <c r="N375" t="n">
        <v>0</v>
      </c>
      <c r="O375" t="n">
        <v>0</v>
      </c>
      <c r="P375" t="n">
        <v>0</v>
      </c>
      <c r="Q375" t="n">
        <v>0</v>
      </c>
      <c r="R375" s="2" t="inlineStr"/>
    </row>
    <row r="376" ht="15" customHeight="1">
      <c r="A376" t="inlineStr">
        <is>
          <t>A 14617-2024</t>
        </is>
      </c>
      <c r="B376" s="1" t="n">
        <v>45397</v>
      </c>
      <c r="C376" s="1" t="n">
        <v>46196</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60692-2023</t>
        </is>
      </c>
      <c r="B377" s="1" t="n">
        <v>45260</v>
      </c>
      <c r="C377" s="1" t="n">
        <v>46196</v>
      </c>
      <c r="D377" t="inlineStr">
        <is>
          <t>DALARNAS LÄN</t>
        </is>
      </c>
      <c r="E377" t="inlineStr">
        <is>
          <t>LEKSAND</t>
        </is>
      </c>
      <c r="G377" t="n">
        <v>1.2</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46196</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44491-2023</t>
        </is>
      </c>
      <c r="B379" s="1" t="n">
        <v>45183</v>
      </c>
      <c r="C379" s="1" t="n">
        <v>46196</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33593-2024</t>
        </is>
      </c>
      <c r="B380" s="1" t="n">
        <v>45520</v>
      </c>
      <c r="C380" s="1" t="n">
        <v>46196</v>
      </c>
      <c r="D380" t="inlineStr">
        <is>
          <t>DALARNAS LÄN</t>
        </is>
      </c>
      <c r="E380" t="inlineStr">
        <is>
          <t>LEKSAND</t>
        </is>
      </c>
      <c r="G380" t="n">
        <v>0.3</v>
      </c>
      <c r="H380" t="n">
        <v>0</v>
      </c>
      <c r="I380" t="n">
        <v>0</v>
      </c>
      <c r="J380" t="n">
        <v>0</v>
      </c>
      <c r="K380" t="n">
        <v>0</v>
      </c>
      <c r="L380" t="n">
        <v>0</v>
      </c>
      <c r="M380" t="n">
        <v>0</v>
      </c>
      <c r="N380" t="n">
        <v>0</v>
      </c>
      <c r="O380" t="n">
        <v>0</v>
      </c>
      <c r="P380" t="n">
        <v>0</v>
      </c>
      <c r="Q380" t="n">
        <v>0</v>
      </c>
      <c r="R380" s="2" t="inlineStr"/>
    </row>
    <row r="381" ht="15" customHeight="1">
      <c r="A381" t="inlineStr">
        <is>
          <t>A 4280-2026</t>
        </is>
      </c>
      <c r="B381" s="1" t="n">
        <v>46044</v>
      </c>
      <c r="C381" s="1" t="n">
        <v>46196</v>
      </c>
      <c r="D381" t="inlineStr">
        <is>
          <t>DALARNAS LÄN</t>
        </is>
      </c>
      <c r="E381" t="inlineStr">
        <is>
          <t>LEKSAND</t>
        </is>
      </c>
      <c r="G381" t="n">
        <v>7.2</v>
      </c>
      <c r="H381" t="n">
        <v>0</v>
      </c>
      <c r="I381" t="n">
        <v>0</v>
      </c>
      <c r="J381" t="n">
        <v>0</v>
      </c>
      <c r="K381" t="n">
        <v>0</v>
      </c>
      <c r="L381" t="n">
        <v>0</v>
      </c>
      <c r="M381" t="n">
        <v>0</v>
      </c>
      <c r="N381" t="n">
        <v>0</v>
      </c>
      <c r="O381" t="n">
        <v>0</v>
      </c>
      <c r="P381" t="n">
        <v>0</v>
      </c>
      <c r="Q381" t="n">
        <v>0</v>
      </c>
      <c r="R381" s="2" t="inlineStr"/>
    </row>
    <row r="382" ht="15" customHeight="1">
      <c r="A382" t="inlineStr">
        <is>
          <t>A 36534-2024</t>
        </is>
      </c>
      <c r="B382" s="1" t="n">
        <v>45537</v>
      </c>
      <c r="C382" s="1" t="n">
        <v>46196</v>
      </c>
      <c r="D382" t="inlineStr">
        <is>
          <t>DALARNAS LÄN</t>
        </is>
      </c>
      <c r="E382" t="inlineStr">
        <is>
          <t>LEKSAND</t>
        </is>
      </c>
      <c r="G382" t="n">
        <v>4</v>
      </c>
      <c r="H382" t="n">
        <v>0</v>
      </c>
      <c r="I382" t="n">
        <v>0</v>
      </c>
      <c r="J382" t="n">
        <v>0</v>
      </c>
      <c r="K382" t="n">
        <v>0</v>
      </c>
      <c r="L382" t="n">
        <v>0</v>
      </c>
      <c r="M382" t="n">
        <v>0</v>
      </c>
      <c r="N382" t="n">
        <v>0</v>
      </c>
      <c r="O382" t="n">
        <v>0</v>
      </c>
      <c r="P382" t="n">
        <v>0</v>
      </c>
      <c r="Q382" t="n">
        <v>0</v>
      </c>
      <c r="R382" s="2" t="inlineStr"/>
    </row>
    <row r="383" ht="15" customHeight="1">
      <c r="A383" t="inlineStr">
        <is>
          <t>A 61614-2023</t>
        </is>
      </c>
      <c r="B383" s="1" t="n">
        <v>45261</v>
      </c>
      <c r="C383" s="1" t="n">
        <v>46196</v>
      </c>
      <c r="D383" t="inlineStr">
        <is>
          <t>DALARNAS LÄN</t>
        </is>
      </c>
      <c r="E383" t="inlineStr">
        <is>
          <t>LEKSAND</t>
        </is>
      </c>
      <c r="G383" t="n">
        <v>0.8</v>
      </c>
      <c r="H383" t="n">
        <v>0</v>
      </c>
      <c r="I383" t="n">
        <v>0</v>
      </c>
      <c r="J383" t="n">
        <v>0</v>
      </c>
      <c r="K383" t="n">
        <v>0</v>
      </c>
      <c r="L383" t="n">
        <v>0</v>
      </c>
      <c r="M383" t="n">
        <v>0</v>
      </c>
      <c r="N383" t="n">
        <v>0</v>
      </c>
      <c r="O383" t="n">
        <v>0</v>
      </c>
      <c r="P383" t="n">
        <v>0</v>
      </c>
      <c r="Q383" t="n">
        <v>0</v>
      </c>
      <c r="R383" s="2" t="inlineStr"/>
    </row>
    <row r="384" ht="15" customHeight="1">
      <c r="A384" t="inlineStr">
        <is>
          <t>A 51857-2022</t>
        </is>
      </c>
      <c r="B384" s="1" t="n">
        <v>44867</v>
      </c>
      <c r="C384" s="1" t="n">
        <v>46196</v>
      </c>
      <c r="D384" t="inlineStr">
        <is>
          <t>DALARNAS LÄN</t>
        </is>
      </c>
      <c r="E384" t="inlineStr">
        <is>
          <t>LEKSAND</t>
        </is>
      </c>
      <c r="G384" t="n">
        <v>1.2</v>
      </c>
      <c r="H384" t="n">
        <v>0</v>
      </c>
      <c r="I384" t="n">
        <v>0</v>
      </c>
      <c r="J384" t="n">
        <v>0</v>
      </c>
      <c r="K384" t="n">
        <v>0</v>
      </c>
      <c r="L384" t="n">
        <v>0</v>
      </c>
      <c r="M384" t="n">
        <v>0</v>
      </c>
      <c r="N384" t="n">
        <v>0</v>
      </c>
      <c r="O384" t="n">
        <v>0</v>
      </c>
      <c r="P384" t="n">
        <v>0</v>
      </c>
      <c r="Q384" t="n">
        <v>0</v>
      </c>
      <c r="R384" s="2" t="inlineStr"/>
    </row>
    <row r="385" ht="15" customHeight="1">
      <c r="A385" t="inlineStr">
        <is>
          <t>A 37996-2025</t>
        </is>
      </c>
      <c r="B385" s="1" t="n">
        <v>45881</v>
      </c>
      <c r="C385" s="1" t="n">
        <v>46196</v>
      </c>
      <c r="D385" t="inlineStr">
        <is>
          <t>DALARNAS LÄN</t>
        </is>
      </c>
      <c r="E385" t="inlineStr">
        <is>
          <t>LEKSAND</t>
        </is>
      </c>
      <c r="G385" t="n">
        <v>4.2</v>
      </c>
      <c r="H385" t="n">
        <v>0</v>
      </c>
      <c r="I385" t="n">
        <v>0</v>
      </c>
      <c r="J385" t="n">
        <v>0</v>
      </c>
      <c r="K385" t="n">
        <v>0</v>
      </c>
      <c r="L385" t="n">
        <v>0</v>
      </c>
      <c r="M385" t="n">
        <v>0</v>
      </c>
      <c r="N385" t="n">
        <v>0</v>
      </c>
      <c r="O385" t="n">
        <v>0</v>
      </c>
      <c r="P385" t="n">
        <v>0</v>
      </c>
      <c r="Q385" t="n">
        <v>0</v>
      </c>
      <c r="R385" s="2" t="inlineStr"/>
    </row>
    <row r="386" ht="15" customHeight="1">
      <c r="A386" t="inlineStr">
        <is>
          <t>A 19296-2024</t>
        </is>
      </c>
      <c r="B386" s="1" t="n">
        <v>45428</v>
      </c>
      <c r="C386" s="1" t="n">
        <v>46196</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62525-2025</t>
        </is>
      </c>
      <c r="B387" s="1" t="n">
        <v>46007</v>
      </c>
      <c r="C387" s="1" t="n">
        <v>46196</v>
      </c>
      <c r="D387" t="inlineStr">
        <is>
          <t>DALARNAS LÄN</t>
        </is>
      </c>
      <c r="E387" t="inlineStr">
        <is>
          <t>LEKSAND</t>
        </is>
      </c>
      <c r="G387" t="n">
        <v>5.7</v>
      </c>
      <c r="H387" t="n">
        <v>0</v>
      </c>
      <c r="I387" t="n">
        <v>0</v>
      </c>
      <c r="J387" t="n">
        <v>0</v>
      </c>
      <c r="K387" t="n">
        <v>0</v>
      </c>
      <c r="L387" t="n">
        <v>0</v>
      </c>
      <c r="M387" t="n">
        <v>0</v>
      </c>
      <c r="N387" t="n">
        <v>0</v>
      </c>
      <c r="O387" t="n">
        <v>0</v>
      </c>
      <c r="P387" t="n">
        <v>0</v>
      </c>
      <c r="Q387" t="n">
        <v>0</v>
      </c>
      <c r="R387" s="2" t="inlineStr"/>
    </row>
    <row r="388" ht="15" customHeight="1">
      <c r="A388" t="inlineStr">
        <is>
          <t>A 35746-2025</t>
        </is>
      </c>
      <c r="B388" s="1" t="n">
        <v>45860</v>
      </c>
      <c r="C388" s="1" t="n">
        <v>46196</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1968-2026</t>
        </is>
      </c>
      <c r="B389" s="1" t="n">
        <v>46035</v>
      </c>
      <c r="C389" s="1" t="n">
        <v>46196</v>
      </c>
      <c r="D389" t="inlineStr">
        <is>
          <t>DALARNAS LÄN</t>
        </is>
      </c>
      <c r="E389" t="inlineStr">
        <is>
          <t>LEKSAND</t>
        </is>
      </c>
      <c r="G389" t="n">
        <v>2.8</v>
      </c>
      <c r="H389" t="n">
        <v>0</v>
      </c>
      <c r="I389" t="n">
        <v>0</v>
      </c>
      <c r="J389" t="n">
        <v>0</v>
      </c>
      <c r="K389" t="n">
        <v>0</v>
      </c>
      <c r="L389" t="n">
        <v>0</v>
      </c>
      <c r="M389" t="n">
        <v>0</v>
      </c>
      <c r="N389" t="n">
        <v>0</v>
      </c>
      <c r="O389" t="n">
        <v>0</v>
      </c>
      <c r="P389" t="n">
        <v>0</v>
      </c>
      <c r="Q389" t="n">
        <v>0</v>
      </c>
      <c r="R389" s="2" t="inlineStr"/>
    </row>
    <row r="390" ht="15" customHeight="1">
      <c r="A390" t="inlineStr">
        <is>
          <t>A 8726-2026</t>
        </is>
      </c>
      <c r="B390" s="1" t="n">
        <v>46066</v>
      </c>
      <c r="C390" s="1" t="n">
        <v>46196</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24373-2025</t>
        </is>
      </c>
      <c r="B391" s="1" t="n">
        <v>45797</v>
      </c>
      <c r="C391" s="1" t="n">
        <v>46196</v>
      </c>
      <c r="D391" t="inlineStr">
        <is>
          <t>DALARNAS LÄN</t>
        </is>
      </c>
      <c r="E391" t="inlineStr">
        <is>
          <t>LEKSAND</t>
        </is>
      </c>
      <c r="G391" t="n">
        <v>2.4</v>
      </c>
      <c r="H391" t="n">
        <v>0</v>
      </c>
      <c r="I391" t="n">
        <v>0</v>
      </c>
      <c r="J391" t="n">
        <v>0</v>
      </c>
      <c r="K391" t="n">
        <v>0</v>
      </c>
      <c r="L391" t="n">
        <v>0</v>
      </c>
      <c r="M391" t="n">
        <v>0</v>
      </c>
      <c r="N391" t="n">
        <v>0</v>
      </c>
      <c r="O391" t="n">
        <v>0</v>
      </c>
      <c r="P391" t="n">
        <v>0</v>
      </c>
      <c r="Q391" t="n">
        <v>0</v>
      </c>
      <c r="R391" s="2" t="inlineStr"/>
    </row>
    <row r="392" ht="15" customHeight="1">
      <c r="A392" t="inlineStr">
        <is>
          <t>A 38090-2025</t>
        </is>
      </c>
      <c r="B392" s="1" t="n">
        <v>45882</v>
      </c>
      <c r="C392" s="1" t="n">
        <v>46196</v>
      </c>
      <c r="D392" t="inlineStr">
        <is>
          <t>DALARNAS LÄN</t>
        </is>
      </c>
      <c r="E392" t="inlineStr">
        <is>
          <t>LEKSAND</t>
        </is>
      </c>
      <c r="G392" t="n">
        <v>1.6</v>
      </c>
      <c r="H392" t="n">
        <v>0</v>
      </c>
      <c r="I392" t="n">
        <v>0</v>
      </c>
      <c r="J392" t="n">
        <v>0</v>
      </c>
      <c r="K392" t="n">
        <v>0</v>
      </c>
      <c r="L392" t="n">
        <v>0</v>
      </c>
      <c r="M392" t="n">
        <v>0</v>
      </c>
      <c r="N392" t="n">
        <v>0</v>
      </c>
      <c r="O392" t="n">
        <v>0</v>
      </c>
      <c r="P392" t="n">
        <v>0</v>
      </c>
      <c r="Q392" t="n">
        <v>0</v>
      </c>
      <c r="R392" s="2" t="inlineStr"/>
    </row>
    <row r="393" ht="15" customHeight="1">
      <c r="A393" t="inlineStr">
        <is>
          <t>A 57267-2025</t>
        </is>
      </c>
      <c r="B393" s="1" t="n">
        <v>45979</v>
      </c>
      <c r="C393" s="1" t="n">
        <v>46196</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24369-2025</t>
        </is>
      </c>
      <c r="B394" s="1" t="n">
        <v>45797</v>
      </c>
      <c r="C394" s="1" t="n">
        <v>46196</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9541-2026</t>
        </is>
      </c>
      <c r="B395" s="1" t="n">
        <v>46071</v>
      </c>
      <c r="C395" s="1" t="n">
        <v>46196</v>
      </c>
      <c r="D395" t="inlineStr">
        <is>
          <t>DALARNAS LÄN</t>
        </is>
      </c>
      <c r="E395" t="inlineStr">
        <is>
          <t>LEKSAND</t>
        </is>
      </c>
      <c r="G395" t="n">
        <v>10.8</v>
      </c>
      <c r="H395" t="n">
        <v>0</v>
      </c>
      <c r="I395" t="n">
        <v>0</v>
      </c>
      <c r="J395" t="n">
        <v>0</v>
      </c>
      <c r="K395" t="n">
        <v>0</v>
      </c>
      <c r="L395" t="n">
        <v>0</v>
      </c>
      <c r="M395" t="n">
        <v>0</v>
      </c>
      <c r="N395" t="n">
        <v>0</v>
      </c>
      <c r="O395" t="n">
        <v>0</v>
      </c>
      <c r="P395" t="n">
        <v>0</v>
      </c>
      <c r="Q395" t="n">
        <v>0</v>
      </c>
      <c r="R395" s="2" t="inlineStr"/>
    </row>
    <row r="396" ht="15" customHeight="1">
      <c r="A396" t="inlineStr">
        <is>
          <t>A 9163-2026</t>
        </is>
      </c>
      <c r="B396" s="1" t="n">
        <v>46070</v>
      </c>
      <c r="C396" s="1" t="n">
        <v>46196</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9170-2026</t>
        </is>
      </c>
      <c r="B397" s="1" t="n">
        <v>46070</v>
      </c>
      <c r="C397" s="1" t="n">
        <v>46196</v>
      </c>
      <c r="D397" t="inlineStr">
        <is>
          <t>DALARNAS LÄN</t>
        </is>
      </c>
      <c r="E397" t="inlineStr">
        <is>
          <t>LEKSAND</t>
        </is>
      </c>
      <c r="G397" t="n">
        <v>2.9</v>
      </c>
      <c r="H397" t="n">
        <v>0</v>
      </c>
      <c r="I397" t="n">
        <v>0</v>
      </c>
      <c r="J397" t="n">
        <v>0</v>
      </c>
      <c r="K397" t="n">
        <v>0</v>
      </c>
      <c r="L397" t="n">
        <v>0</v>
      </c>
      <c r="M397" t="n">
        <v>0</v>
      </c>
      <c r="N397" t="n">
        <v>0</v>
      </c>
      <c r="O397" t="n">
        <v>0</v>
      </c>
      <c r="P397" t="n">
        <v>0</v>
      </c>
      <c r="Q397" t="n">
        <v>0</v>
      </c>
      <c r="R397" s="2" t="inlineStr"/>
    </row>
    <row r="398" ht="15" customHeight="1">
      <c r="A398" t="inlineStr">
        <is>
          <t>A 9360-2026</t>
        </is>
      </c>
      <c r="B398" s="1" t="n">
        <v>46070</v>
      </c>
      <c r="C398" s="1" t="n">
        <v>46196</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1267-2025</t>
        </is>
      </c>
      <c r="B399" s="1" t="n">
        <v>45667</v>
      </c>
      <c r="C399" s="1" t="n">
        <v>46196</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38498-2025</t>
        </is>
      </c>
      <c r="B400" s="1" t="n">
        <v>45884</v>
      </c>
      <c r="C400" s="1" t="n">
        <v>46196</v>
      </c>
      <c r="D400" t="inlineStr">
        <is>
          <t>DALARNAS LÄN</t>
        </is>
      </c>
      <c r="E400" t="inlineStr">
        <is>
          <t>LEKSAND</t>
        </is>
      </c>
      <c r="G400" t="n">
        <v>2.1</v>
      </c>
      <c r="H400" t="n">
        <v>0</v>
      </c>
      <c r="I400" t="n">
        <v>0</v>
      </c>
      <c r="J400" t="n">
        <v>0</v>
      </c>
      <c r="K400" t="n">
        <v>0</v>
      </c>
      <c r="L400" t="n">
        <v>0</v>
      </c>
      <c r="M400" t="n">
        <v>0</v>
      </c>
      <c r="N400" t="n">
        <v>0</v>
      </c>
      <c r="O400" t="n">
        <v>0</v>
      </c>
      <c r="P400" t="n">
        <v>0</v>
      </c>
      <c r="Q400" t="n">
        <v>0</v>
      </c>
      <c r="R400" s="2" t="inlineStr"/>
    </row>
    <row r="401" ht="15" customHeight="1">
      <c r="A401" t="inlineStr">
        <is>
          <t>A 9802-2026</t>
        </is>
      </c>
      <c r="B401" s="1" t="n">
        <v>46072</v>
      </c>
      <c r="C401" s="1" t="n">
        <v>46196</v>
      </c>
      <c r="D401" t="inlineStr">
        <is>
          <t>DALARNAS LÄN</t>
        </is>
      </c>
      <c r="E401" t="inlineStr">
        <is>
          <t>LEKSAND</t>
        </is>
      </c>
      <c r="G401" t="n">
        <v>1.7</v>
      </c>
      <c r="H401" t="n">
        <v>0</v>
      </c>
      <c r="I401" t="n">
        <v>0</v>
      </c>
      <c r="J401" t="n">
        <v>0</v>
      </c>
      <c r="K401" t="n">
        <v>0</v>
      </c>
      <c r="L401" t="n">
        <v>0</v>
      </c>
      <c r="M401" t="n">
        <v>0</v>
      </c>
      <c r="N401" t="n">
        <v>0</v>
      </c>
      <c r="O401" t="n">
        <v>0</v>
      </c>
      <c r="P401" t="n">
        <v>0</v>
      </c>
      <c r="Q401" t="n">
        <v>0</v>
      </c>
      <c r="R401" s="2" t="inlineStr"/>
    </row>
    <row r="402" ht="15" customHeight="1">
      <c r="A402" t="inlineStr">
        <is>
          <t>A 9644-2026</t>
        </is>
      </c>
      <c r="B402" s="1" t="n">
        <v>46072</v>
      </c>
      <c r="C402" s="1" t="n">
        <v>46196</v>
      </c>
      <c r="D402" t="inlineStr">
        <is>
          <t>DALARNAS LÄN</t>
        </is>
      </c>
      <c r="E402" t="inlineStr">
        <is>
          <t>LEKSAND</t>
        </is>
      </c>
      <c r="G402" t="n">
        <v>3.5</v>
      </c>
      <c r="H402" t="n">
        <v>0</v>
      </c>
      <c r="I402" t="n">
        <v>0</v>
      </c>
      <c r="J402" t="n">
        <v>0</v>
      </c>
      <c r="K402" t="n">
        <v>0</v>
      </c>
      <c r="L402" t="n">
        <v>0</v>
      </c>
      <c r="M402" t="n">
        <v>0</v>
      </c>
      <c r="N402" t="n">
        <v>0</v>
      </c>
      <c r="O402" t="n">
        <v>0</v>
      </c>
      <c r="P402" t="n">
        <v>0</v>
      </c>
      <c r="Q402" t="n">
        <v>0</v>
      </c>
      <c r="R402" s="2" t="inlineStr"/>
    </row>
    <row r="403" ht="15" customHeight="1">
      <c r="A403" t="inlineStr">
        <is>
          <t>A 9851-2026</t>
        </is>
      </c>
      <c r="B403" s="1" t="n">
        <v>46072</v>
      </c>
      <c r="C403" s="1" t="n">
        <v>46196</v>
      </c>
      <c r="D403" t="inlineStr">
        <is>
          <t>DALARNAS LÄN</t>
        </is>
      </c>
      <c r="E403" t="inlineStr">
        <is>
          <t>LEKSAND</t>
        </is>
      </c>
      <c r="G403" t="n">
        <v>5.6</v>
      </c>
      <c r="H403" t="n">
        <v>0</v>
      </c>
      <c r="I403" t="n">
        <v>0</v>
      </c>
      <c r="J403" t="n">
        <v>0</v>
      </c>
      <c r="K403" t="n">
        <v>0</v>
      </c>
      <c r="L403" t="n">
        <v>0</v>
      </c>
      <c r="M403" t="n">
        <v>0</v>
      </c>
      <c r="N403" t="n">
        <v>0</v>
      </c>
      <c r="O403" t="n">
        <v>0</v>
      </c>
      <c r="P403" t="n">
        <v>0</v>
      </c>
      <c r="Q403" t="n">
        <v>0</v>
      </c>
      <c r="R403" s="2" t="inlineStr"/>
    </row>
    <row r="404" ht="15" customHeight="1">
      <c r="A404" t="inlineStr">
        <is>
          <t>A 30169-2023</t>
        </is>
      </c>
      <c r="B404" s="1" t="n">
        <v>45110</v>
      </c>
      <c r="C404" s="1" t="n">
        <v>46196</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13063-2023</t>
        </is>
      </c>
      <c r="B405" s="1" t="n">
        <v>45001</v>
      </c>
      <c r="C405" s="1" t="n">
        <v>46196</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14943-2023</t>
        </is>
      </c>
      <c r="B406" s="1" t="n">
        <v>45015</v>
      </c>
      <c r="C406" s="1" t="n">
        <v>46196</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54289-2023</t>
        </is>
      </c>
      <c r="B407" s="1" t="n">
        <v>45232</v>
      </c>
      <c r="C407" s="1" t="n">
        <v>46196</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11869-2024</t>
        </is>
      </c>
      <c r="B408" s="1" t="n">
        <v>45376</v>
      </c>
      <c r="C408" s="1" t="n">
        <v>46196</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16137-2023</t>
        </is>
      </c>
      <c r="B409" s="1" t="n">
        <v>45027</v>
      </c>
      <c r="C409" s="1" t="n">
        <v>46196</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54682-2023</t>
        </is>
      </c>
      <c r="B410" s="1" t="n">
        <v>45235</v>
      </c>
      <c r="C410" s="1" t="n">
        <v>46196</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12967-2026</t>
        </is>
      </c>
      <c r="B411" s="1" t="n">
        <v>46092</v>
      </c>
      <c r="C411" s="1" t="n">
        <v>46196</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5847-2025</t>
        </is>
      </c>
      <c r="B412" s="1" t="n">
        <v>45695</v>
      </c>
      <c r="C412" s="1" t="n">
        <v>46196</v>
      </c>
      <c r="D412" t="inlineStr">
        <is>
          <t>DALARNAS LÄN</t>
        </is>
      </c>
      <c r="E412" t="inlineStr">
        <is>
          <t>LEKSAND</t>
        </is>
      </c>
      <c r="G412" t="n">
        <v>2.6</v>
      </c>
      <c r="H412" t="n">
        <v>0</v>
      </c>
      <c r="I412" t="n">
        <v>0</v>
      </c>
      <c r="J412" t="n">
        <v>0</v>
      </c>
      <c r="K412" t="n">
        <v>0</v>
      </c>
      <c r="L412" t="n">
        <v>0</v>
      </c>
      <c r="M412" t="n">
        <v>0</v>
      </c>
      <c r="N412" t="n">
        <v>0</v>
      </c>
      <c r="O412" t="n">
        <v>0</v>
      </c>
      <c r="P412" t="n">
        <v>0</v>
      </c>
      <c r="Q412" t="n">
        <v>0</v>
      </c>
      <c r="R412" s="2" t="inlineStr"/>
    </row>
    <row r="413" ht="15" customHeight="1">
      <c r="A413" t="inlineStr">
        <is>
          <t>A 12983-2026</t>
        </is>
      </c>
      <c r="B413" s="1" t="n">
        <v>46092</v>
      </c>
      <c r="C413" s="1" t="n">
        <v>46196</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60878-2023</t>
        </is>
      </c>
      <c r="B414" s="1" t="n">
        <v>45259</v>
      </c>
      <c r="C414" s="1" t="n">
        <v>46196</v>
      </c>
      <c r="D414" t="inlineStr">
        <is>
          <t>DALARNAS LÄN</t>
        </is>
      </c>
      <c r="E414" t="inlineStr">
        <is>
          <t>LEKSAND</t>
        </is>
      </c>
      <c r="G414" t="n">
        <v>0.6</v>
      </c>
      <c r="H414" t="n">
        <v>0</v>
      </c>
      <c r="I414" t="n">
        <v>0</v>
      </c>
      <c r="J414" t="n">
        <v>0</v>
      </c>
      <c r="K414" t="n">
        <v>0</v>
      </c>
      <c r="L414" t="n">
        <v>0</v>
      </c>
      <c r="M414" t="n">
        <v>0</v>
      </c>
      <c r="N414" t="n">
        <v>0</v>
      </c>
      <c r="O414" t="n">
        <v>0</v>
      </c>
      <c r="P414" t="n">
        <v>0</v>
      </c>
      <c r="Q414" t="n">
        <v>0</v>
      </c>
      <c r="R414" s="2" t="inlineStr"/>
    </row>
    <row r="415" ht="15" customHeight="1">
      <c r="A415" t="inlineStr">
        <is>
          <t>A 36262-2023</t>
        </is>
      </c>
      <c r="B415" s="1" t="n">
        <v>45151</v>
      </c>
      <c r="C415" s="1" t="n">
        <v>46196</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10367-2023</t>
        </is>
      </c>
      <c r="B416" s="1" t="n">
        <v>44987</v>
      </c>
      <c r="C416" s="1" t="n">
        <v>46196</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13713-2026</t>
        </is>
      </c>
      <c r="B417" s="1" t="n">
        <v>46097</v>
      </c>
      <c r="C417" s="1" t="n">
        <v>46196</v>
      </c>
      <c r="D417" t="inlineStr">
        <is>
          <t>DALARNAS LÄN</t>
        </is>
      </c>
      <c r="E417" t="inlineStr">
        <is>
          <t>LEKSAND</t>
        </is>
      </c>
      <c r="G417" t="n">
        <v>7.8</v>
      </c>
      <c r="H417" t="n">
        <v>0</v>
      </c>
      <c r="I417" t="n">
        <v>0</v>
      </c>
      <c r="J417" t="n">
        <v>0</v>
      </c>
      <c r="K417" t="n">
        <v>0</v>
      </c>
      <c r="L417" t="n">
        <v>0</v>
      </c>
      <c r="M417" t="n">
        <v>0</v>
      </c>
      <c r="N417" t="n">
        <v>0</v>
      </c>
      <c r="O417" t="n">
        <v>0</v>
      </c>
      <c r="P417" t="n">
        <v>0</v>
      </c>
      <c r="Q417" t="n">
        <v>0</v>
      </c>
      <c r="R417" s="2" t="inlineStr"/>
    </row>
    <row r="418" ht="15" customHeight="1">
      <c r="A418" t="inlineStr">
        <is>
          <t>A 13705-2026</t>
        </is>
      </c>
      <c r="B418" s="1" t="n">
        <v>46097</v>
      </c>
      <c r="C418" s="1" t="n">
        <v>46196</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13650-2026</t>
        </is>
      </c>
      <c r="B419" s="1" t="n">
        <v>46097</v>
      </c>
      <c r="C419" s="1" t="n">
        <v>46196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13697-2026</t>
        </is>
      </c>
      <c r="B420" s="1" t="n">
        <v>46097</v>
      </c>
      <c r="C420" s="1" t="n">
        <v>46196</v>
      </c>
      <c r="D420" t="inlineStr">
        <is>
          <t>DALARNAS LÄN</t>
        </is>
      </c>
      <c r="E420" t="inlineStr">
        <is>
          <t>LEKSAND</t>
        </is>
      </c>
      <c r="G420" t="n">
        <v>0.7</v>
      </c>
      <c r="H420" t="n">
        <v>0</v>
      </c>
      <c r="I420" t="n">
        <v>0</v>
      </c>
      <c r="J420" t="n">
        <v>0</v>
      </c>
      <c r="K420" t="n">
        <v>0</v>
      </c>
      <c r="L420" t="n">
        <v>0</v>
      </c>
      <c r="M420" t="n">
        <v>0</v>
      </c>
      <c r="N420" t="n">
        <v>0</v>
      </c>
      <c r="O420" t="n">
        <v>0</v>
      </c>
      <c r="P420" t="n">
        <v>0</v>
      </c>
      <c r="Q420" t="n">
        <v>0</v>
      </c>
      <c r="R420" s="2" t="inlineStr"/>
    </row>
    <row r="421" ht="15" customHeight="1">
      <c r="A421" t="inlineStr">
        <is>
          <t>A 8061-2026</t>
        </is>
      </c>
      <c r="B421" s="1" t="n">
        <v>46063</v>
      </c>
      <c r="C421" s="1" t="n">
        <v>46196</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14795-2026</t>
        </is>
      </c>
      <c r="B422" s="1" t="n">
        <v>46101</v>
      </c>
      <c r="C422" s="1" t="n">
        <v>46196</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15583-2026</t>
        </is>
      </c>
      <c r="B423" s="1" t="n">
        <v>46106</v>
      </c>
      <c r="C423" s="1" t="n">
        <v>46196</v>
      </c>
      <c r="D423" t="inlineStr">
        <is>
          <t>DALARNAS LÄN</t>
        </is>
      </c>
      <c r="E423" t="inlineStr">
        <is>
          <t>LEKSAND</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15641-2026</t>
        </is>
      </c>
      <c r="B424" s="1" t="n">
        <v>46106</v>
      </c>
      <c r="C424" s="1" t="n">
        <v>46196</v>
      </c>
      <c r="D424" t="inlineStr">
        <is>
          <t>DALARNAS LÄN</t>
        </is>
      </c>
      <c r="E424" t="inlineStr">
        <is>
          <t>LEKSAND</t>
        </is>
      </c>
      <c r="G424" t="n">
        <v>11</v>
      </c>
      <c r="H424" t="n">
        <v>0</v>
      </c>
      <c r="I424" t="n">
        <v>0</v>
      </c>
      <c r="J424" t="n">
        <v>0</v>
      </c>
      <c r="K424" t="n">
        <v>0</v>
      </c>
      <c r="L424" t="n">
        <v>0</v>
      </c>
      <c r="M424" t="n">
        <v>0</v>
      </c>
      <c r="N424" t="n">
        <v>0</v>
      </c>
      <c r="O424" t="n">
        <v>0</v>
      </c>
      <c r="P424" t="n">
        <v>0</v>
      </c>
      <c r="Q424" t="n">
        <v>0</v>
      </c>
      <c r="R424" s="2" t="inlineStr"/>
    </row>
    <row r="425" ht="15" customHeight="1">
      <c r="A425" t="inlineStr">
        <is>
          <t>A 15561-2026</t>
        </is>
      </c>
      <c r="B425" s="1" t="n">
        <v>46106</v>
      </c>
      <c r="C425" s="1" t="n">
        <v>46196</v>
      </c>
      <c r="D425" t="inlineStr">
        <is>
          <t>DALARNAS LÄN</t>
        </is>
      </c>
      <c r="E425" t="inlineStr">
        <is>
          <t>LEKSAND</t>
        </is>
      </c>
      <c r="F425" t="inlineStr">
        <is>
          <t>Bergvik skog väst AB</t>
        </is>
      </c>
      <c r="G425" t="n">
        <v>11.3</v>
      </c>
      <c r="H425" t="n">
        <v>0</v>
      </c>
      <c r="I425" t="n">
        <v>0</v>
      </c>
      <c r="J425" t="n">
        <v>0</v>
      </c>
      <c r="K425" t="n">
        <v>0</v>
      </c>
      <c r="L425" t="n">
        <v>0</v>
      </c>
      <c r="M425" t="n">
        <v>0</v>
      </c>
      <c r="N425" t="n">
        <v>0</v>
      </c>
      <c r="O425" t="n">
        <v>0</v>
      </c>
      <c r="P425" t="n">
        <v>0</v>
      </c>
      <c r="Q425" t="n">
        <v>0</v>
      </c>
      <c r="R425" s="2" t="inlineStr"/>
    </row>
    <row r="426" ht="15" customHeight="1">
      <c r="A426" t="inlineStr">
        <is>
          <t>A 16613-2026</t>
        </is>
      </c>
      <c r="B426" s="1" t="n">
        <v>46112</v>
      </c>
      <c r="C426" s="1" t="n">
        <v>46196</v>
      </c>
      <c r="D426" t="inlineStr">
        <is>
          <t>DALARNAS LÄN</t>
        </is>
      </c>
      <c r="E426" t="inlineStr">
        <is>
          <t>LEKSAND</t>
        </is>
      </c>
      <c r="F426" t="inlineStr">
        <is>
          <t>Bergvik skog väst AB</t>
        </is>
      </c>
      <c r="G426" t="n">
        <v>12.7</v>
      </c>
      <c r="H426" t="n">
        <v>0</v>
      </c>
      <c r="I426" t="n">
        <v>0</v>
      </c>
      <c r="J426" t="n">
        <v>0</v>
      </c>
      <c r="K426" t="n">
        <v>0</v>
      </c>
      <c r="L426" t="n">
        <v>0</v>
      </c>
      <c r="M426" t="n">
        <v>0</v>
      </c>
      <c r="N426" t="n">
        <v>0</v>
      </c>
      <c r="O426" t="n">
        <v>0</v>
      </c>
      <c r="P426" t="n">
        <v>0</v>
      </c>
      <c r="Q426" t="n">
        <v>0</v>
      </c>
      <c r="R426" s="2" t="inlineStr"/>
    </row>
    <row r="427" ht="15" customHeight="1">
      <c r="A427" t="inlineStr">
        <is>
          <t>A 16234-2026</t>
        </is>
      </c>
      <c r="B427" s="1" t="n">
        <v>46111</v>
      </c>
      <c r="C427" s="1" t="n">
        <v>46196</v>
      </c>
      <c r="D427" t="inlineStr">
        <is>
          <t>DALARNAS LÄN</t>
        </is>
      </c>
      <c r="E427" t="inlineStr">
        <is>
          <t>LEKSAND</t>
        </is>
      </c>
      <c r="F427" t="inlineStr">
        <is>
          <t>Bergvik skog väst AB</t>
        </is>
      </c>
      <c r="G427" t="n">
        <v>0.6</v>
      </c>
      <c r="H427" t="n">
        <v>0</v>
      </c>
      <c r="I427" t="n">
        <v>0</v>
      </c>
      <c r="J427" t="n">
        <v>0</v>
      </c>
      <c r="K427" t="n">
        <v>0</v>
      </c>
      <c r="L427" t="n">
        <v>0</v>
      </c>
      <c r="M427" t="n">
        <v>0</v>
      </c>
      <c r="N427" t="n">
        <v>0</v>
      </c>
      <c r="O427" t="n">
        <v>0</v>
      </c>
      <c r="P427" t="n">
        <v>0</v>
      </c>
      <c r="Q427" t="n">
        <v>0</v>
      </c>
      <c r="R427" s="2" t="inlineStr"/>
    </row>
    <row r="428" ht="15" customHeight="1">
      <c r="A428" t="inlineStr">
        <is>
          <t>A 16188-2026</t>
        </is>
      </c>
      <c r="B428" s="1" t="n">
        <v>46111</v>
      </c>
      <c r="C428" s="1" t="n">
        <v>46196</v>
      </c>
      <c r="D428" t="inlineStr">
        <is>
          <t>DALARNAS LÄN</t>
        </is>
      </c>
      <c r="E428" t="inlineStr">
        <is>
          <t>LEKSAND</t>
        </is>
      </c>
      <c r="F428" t="inlineStr">
        <is>
          <t>Övriga Aktiebolag</t>
        </is>
      </c>
      <c r="G428" t="n">
        <v>1.3</v>
      </c>
      <c r="H428" t="n">
        <v>0</v>
      </c>
      <c r="I428" t="n">
        <v>0</v>
      </c>
      <c r="J428" t="n">
        <v>0</v>
      </c>
      <c r="K428" t="n">
        <v>0</v>
      </c>
      <c r="L428" t="n">
        <v>0</v>
      </c>
      <c r="M428" t="n">
        <v>0</v>
      </c>
      <c r="N428" t="n">
        <v>0</v>
      </c>
      <c r="O428" t="n">
        <v>0</v>
      </c>
      <c r="P428" t="n">
        <v>0</v>
      </c>
      <c r="Q428" t="n">
        <v>0</v>
      </c>
      <c r="R428" s="2" t="inlineStr"/>
    </row>
    <row r="429" ht="15" customHeight="1">
      <c r="A429" t="inlineStr">
        <is>
          <t>A 16238-2026</t>
        </is>
      </c>
      <c r="B429" s="1" t="n">
        <v>46111</v>
      </c>
      <c r="C429" s="1" t="n">
        <v>46196</v>
      </c>
      <c r="D429" t="inlineStr">
        <is>
          <t>DALARNAS LÄN</t>
        </is>
      </c>
      <c r="E429" t="inlineStr">
        <is>
          <t>LEKSAND</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22702-2026</t>
        </is>
      </c>
      <c r="B430" s="1" t="n">
        <v>46156</v>
      </c>
      <c r="C430" s="1" t="n">
        <v>46196</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1519-2024</t>
        </is>
      </c>
      <c r="B431" s="1" t="n">
        <v>45306</v>
      </c>
      <c r="C431" s="1" t="n">
        <v>46196</v>
      </c>
      <c r="D431" t="inlineStr">
        <is>
          <t>DALARNAS LÄN</t>
        </is>
      </c>
      <c r="E431" t="inlineStr">
        <is>
          <t>LEKSAND</t>
        </is>
      </c>
      <c r="G431" t="n">
        <v>3.3</v>
      </c>
      <c r="H431" t="n">
        <v>0</v>
      </c>
      <c r="I431" t="n">
        <v>0</v>
      </c>
      <c r="J431" t="n">
        <v>0</v>
      </c>
      <c r="K431" t="n">
        <v>0</v>
      </c>
      <c r="L431" t="n">
        <v>0</v>
      </c>
      <c r="M431" t="n">
        <v>0</v>
      </c>
      <c r="N431" t="n">
        <v>0</v>
      </c>
      <c r="O431" t="n">
        <v>0</v>
      </c>
      <c r="P431" t="n">
        <v>0</v>
      </c>
      <c r="Q431" t="n">
        <v>0</v>
      </c>
      <c r="R431" s="2" t="inlineStr"/>
    </row>
    <row r="432" ht="15" customHeight="1">
      <c r="A432" t="inlineStr">
        <is>
          <t>A 22539-2026</t>
        </is>
      </c>
      <c r="B432" s="1" t="n">
        <v>46155</v>
      </c>
      <c r="C432" s="1" t="n">
        <v>46196</v>
      </c>
      <c r="D432" t="inlineStr">
        <is>
          <t>DALARNAS LÄN</t>
        </is>
      </c>
      <c r="E432" t="inlineStr">
        <is>
          <t>LEKSAND</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16868-2026</t>
        </is>
      </c>
      <c r="B433" s="1" t="n">
        <v>46113</v>
      </c>
      <c r="C433" s="1" t="n">
        <v>46196</v>
      </c>
      <c r="D433" t="inlineStr">
        <is>
          <t>DALARNAS LÄN</t>
        </is>
      </c>
      <c r="E433" t="inlineStr">
        <is>
          <t>LEKSAND</t>
        </is>
      </c>
      <c r="F433" t="inlineStr">
        <is>
          <t>Bergvik skog väst AB</t>
        </is>
      </c>
      <c r="G433" t="n">
        <v>4.4</v>
      </c>
      <c r="H433" t="n">
        <v>0</v>
      </c>
      <c r="I433" t="n">
        <v>0</v>
      </c>
      <c r="J433" t="n">
        <v>0</v>
      </c>
      <c r="K433" t="n">
        <v>0</v>
      </c>
      <c r="L433" t="n">
        <v>0</v>
      </c>
      <c r="M433" t="n">
        <v>0</v>
      </c>
      <c r="N433" t="n">
        <v>0</v>
      </c>
      <c r="O433" t="n">
        <v>0</v>
      </c>
      <c r="P433" t="n">
        <v>0</v>
      </c>
      <c r="Q433" t="n">
        <v>0</v>
      </c>
      <c r="R433" s="2" t="inlineStr"/>
    </row>
    <row r="434" ht="15" customHeight="1">
      <c r="A434" t="inlineStr">
        <is>
          <t>A 16861-2026</t>
        </is>
      </c>
      <c r="B434" s="1" t="n">
        <v>46113</v>
      </c>
      <c r="C434" s="1" t="n">
        <v>46196</v>
      </c>
      <c r="D434" t="inlineStr">
        <is>
          <t>DALARNAS LÄN</t>
        </is>
      </c>
      <c r="E434" t="inlineStr">
        <is>
          <t>LEKSAND</t>
        </is>
      </c>
      <c r="G434" t="n">
        <v>18.9</v>
      </c>
      <c r="H434" t="n">
        <v>0</v>
      </c>
      <c r="I434" t="n">
        <v>0</v>
      </c>
      <c r="J434" t="n">
        <v>0</v>
      </c>
      <c r="K434" t="n">
        <v>0</v>
      </c>
      <c r="L434" t="n">
        <v>0</v>
      </c>
      <c r="M434" t="n">
        <v>0</v>
      </c>
      <c r="N434" t="n">
        <v>0</v>
      </c>
      <c r="O434" t="n">
        <v>0</v>
      </c>
      <c r="P434" t="n">
        <v>0</v>
      </c>
      <c r="Q434" t="n">
        <v>0</v>
      </c>
      <c r="R434" s="2" t="inlineStr"/>
    </row>
    <row r="435" ht="15" customHeight="1">
      <c r="A435" t="inlineStr">
        <is>
          <t>A 2694-2025</t>
        </is>
      </c>
      <c r="B435" s="1" t="n">
        <v>45677</v>
      </c>
      <c r="C435" s="1" t="n">
        <v>46196</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28892-2022</t>
        </is>
      </c>
      <c r="B436" s="1" t="n">
        <v>44749</v>
      </c>
      <c r="C436" s="1" t="n">
        <v>46196</v>
      </c>
      <c r="D436" t="inlineStr">
        <is>
          <t>DALARNAS LÄN</t>
        </is>
      </c>
      <c r="E436" t="inlineStr">
        <is>
          <t>LEKSAND</t>
        </is>
      </c>
      <c r="F436" t="inlineStr">
        <is>
          <t>Bergvik skog väst AB</t>
        </is>
      </c>
      <c r="G436" t="n">
        <v>9.1</v>
      </c>
      <c r="H436" t="n">
        <v>0</v>
      </c>
      <c r="I436" t="n">
        <v>0</v>
      </c>
      <c r="J436" t="n">
        <v>0</v>
      </c>
      <c r="K436" t="n">
        <v>0</v>
      </c>
      <c r="L436" t="n">
        <v>0</v>
      </c>
      <c r="M436" t="n">
        <v>0</v>
      </c>
      <c r="N436" t="n">
        <v>0</v>
      </c>
      <c r="O436" t="n">
        <v>0</v>
      </c>
      <c r="P436" t="n">
        <v>0</v>
      </c>
      <c r="Q436" t="n">
        <v>0</v>
      </c>
      <c r="R436" s="2" t="inlineStr"/>
    </row>
    <row r="437" ht="15" customHeight="1">
      <c r="A437" t="inlineStr">
        <is>
          <t>A 22699-2026</t>
        </is>
      </c>
      <c r="B437" s="1" t="n">
        <v>46156</v>
      </c>
      <c r="C437" s="1" t="n">
        <v>46196</v>
      </c>
      <c r="D437" t="inlineStr">
        <is>
          <t>DALARNAS LÄN</t>
        </is>
      </c>
      <c r="E437" t="inlineStr">
        <is>
          <t>LEKSAND</t>
        </is>
      </c>
      <c r="G437" t="n">
        <v>4</v>
      </c>
      <c r="H437" t="n">
        <v>0</v>
      </c>
      <c r="I437" t="n">
        <v>0</v>
      </c>
      <c r="J437" t="n">
        <v>0</v>
      </c>
      <c r="K437" t="n">
        <v>0</v>
      </c>
      <c r="L437" t="n">
        <v>0</v>
      </c>
      <c r="M437" t="n">
        <v>0</v>
      </c>
      <c r="N437" t="n">
        <v>0</v>
      </c>
      <c r="O437" t="n">
        <v>0</v>
      </c>
      <c r="P437" t="n">
        <v>0</v>
      </c>
      <c r="Q437" t="n">
        <v>0</v>
      </c>
      <c r="R437" s="2" t="inlineStr"/>
    </row>
    <row r="438" ht="15" customHeight="1">
      <c r="A438" t="inlineStr">
        <is>
          <t>A 17290-2026</t>
        </is>
      </c>
      <c r="B438" s="1" t="n">
        <v>46119</v>
      </c>
      <c r="C438" s="1" t="n">
        <v>46196</v>
      </c>
      <c r="D438" t="inlineStr">
        <is>
          <t>DALARNAS LÄN</t>
        </is>
      </c>
      <c r="E438" t="inlineStr">
        <is>
          <t>LEKSAND</t>
        </is>
      </c>
      <c r="G438" t="n">
        <v>2.2</v>
      </c>
      <c r="H438" t="n">
        <v>0</v>
      </c>
      <c r="I438" t="n">
        <v>0</v>
      </c>
      <c r="J438" t="n">
        <v>0</v>
      </c>
      <c r="K438" t="n">
        <v>0</v>
      </c>
      <c r="L438" t="n">
        <v>0</v>
      </c>
      <c r="M438" t="n">
        <v>0</v>
      </c>
      <c r="N438" t="n">
        <v>0</v>
      </c>
      <c r="O438" t="n">
        <v>0</v>
      </c>
      <c r="P438" t="n">
        <v>0</v>
      </c>
      <c r="Q438" t="n">
        <v>0</v>
      </c>
      <c r="R438" s="2" t="inlineStr"/>
    </row>
    <row r="439" ht="15" customHeight="1">
      <c r="A439" t="inlineStr">
        <is>
          <t>A 23368-2026</t>
        </is>
      </c>
      <c r="B439" s="1" t="n">
        <v>46162</v>
      </c>
      <c r="C439" s="1" t="n">
        <v>46196</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23024-2026</t>
        </is>
      </c>
      <c r="B440" s="1" t="n">
        <v>46161</v>
      </c>
      <c r="C440" s="1" t="n">
        <v>46196</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17590-2026</t>
        </is>
      </c>
      <c r="B441" s="1" t="n">
        <v>46121</v>
      </c>
      <c r="C441" s="1" t="n">
        <v>46196</v>
      </c>
      <c r="D441" t="inlineStr">
        <is>
          <t>DALARNAS LÄN</t>
        </is>
      </c>
      <c r="E441" t="inlineStr">
        <is>
          <t>LEKSAND</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17849-2026</t>
        </is>
      </c>
      <c r="B442" s="1" t="n">
        <v>46122</v>
      </c>
      <c r="C442" s="1" t="n">
        <v>46196</v>
      </c>
      <c r="D442" t="inlineStr">
        <is>
          <t>DALARNAS LÄN</t>
        </is>
      </c>
      <c r="E442" t="inlineStr">
        <is>
          <t>LEKSAND</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24121-2026</t>
        </is>
      </c>
      <c r="B443" s="1" t="n">
        <v>46168</v>
      </c>
      <c r="C443" s="1" t="n">
        <v>46196</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18342-2026</t>
        </is>
      </c>
      <c r="B444" s="1" t="n">
        <v>46126</v>
      </c>
      <c r="C444" s="1" t="n">
        <v>46196</v>
      </c>
      <c r="D444" t="inlineStr">
        <is>
          <t>DALARNAS LÄN</t>
        </is>
      </c>
      <c r="E444" t="inlineStr">
        <is>
          <t>LEKSAND</t>
        </is>
      </c>
      <c r="F444" t="inlineStr">
        <is>
          <t>Bergvik skog väst AB</t>
        </is>
      </c>
      <c r="G444" t="n">
        <v>1.1</v>
      </c>
      <c r="H444" t="n">
        <v>0</v>
      </c>
      <c r="I444" t="n">
        <v>0</v>
      </c>
      <c r="J444" t="n">
        <v>0</v>
      </c>
      <c r="K444" t="n">
        <v>0</v>
      </c>
      <c r="L444" t="n">
        <v>0</v>
      </c>
      <c r="M444" t="n">
        <v>0</v>
      </c>
      <c r="N444" t="n">
        <v>0</v>
      </c>
      <c r="O444" t="n">
        <v>0</v>
      </c>
      <c r="P444" t="n">
        <v>0</v>
      </c>
      <c r="Q444" t="n">
        <v>0</v>
      </c>
      <c r="R444" s="2" t="inlineStr"/>
    </row>
    <row r="445" ht="15" customHeight="1">
      <c r="A445" t="inlineStr">
        <is>
          <t>A 24126-2026</t>
        </is>
      </c>
      <c r="B445" s="1" t="n">
        <v>46168</v>
      </c>
      <c r="C445" s="1" t="n">
        <v>46196</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23837-2026</t>
        </is>
      </c>
      <c r="B446" s="1" t="n">
        <v>46167</v>
      </c>
      <c r="C446" s="1" t="n">
        <v>46196</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22582-2026</t>
        </is>
      </c>
      <c r="B447" s="1" t="n">
        <v>46155</v>
      </c>
      <c r="C447" s="1" t="n">
        <v>46196</v>
      </c>
      <c r="D447" t="inlineStr">
        <is>
          <t>DALARNAS LÄN</t>
        </is>
      </c>
      <c r="E447" t="inlineStr">
        <is>
          <t>LEKSAND</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23828-2026</t>
        </is>
      </c>
      <c r="B448" s="1" t="n">
        <v>46166</v>
      </c>
      <c r="C448" s="1" t="n">
        <v>46196</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22418-2026</t>
        </is>
      </c>
      <c r="B449" s="1" t="n">
        <v>46154</v>
      </c>
      <c r="C449" s="1" t="n">
        <v>46196</v>
      </c>
      <c r="D449" t="inlineStr">
        <is>
          <t>DALARNAS LÄN</t>
        </is>
      </c>
      <c r="E449" t="inlineStr">
        <is>
          <t>LEKSAND</t>
        </is>
      </c>
      <c r="F449" t="inlineStr">
        <is>
          <t>Bergvik skog väst AB</t>
        </is>
      </c>
      <c r="G449" t="n">
        <v>11</v>
      </c>
      <c r="H449" t="n">
        <v>0</v>
      </c>
      <c r="I449" t="n">
        <v>0</v>
      </c>
      <c r="J449" t="n">
        <v>0</v>
      </c>
      <c r="K449" t="n">
        <v>0</v>
      </c>
      <c r="L449" t="n">
        <v>0</v>
      </c>
      <c r="M449" t="n">
        <v>0</v>
      </c>
      <c r="N449" t="n">
        <v>0</v>
      </c>
      <c r="O449" t="n">
        <v>0</v>
      </c>
      <c r="P449" t="n">
        <v>0</v>
      </c>
      <c r="Q449" t="n">
        <v>0</v>
      </c>
      <c r="R449" s="2" t="inlineStr"/>
    </row>
    <row r="450" ht="15" customHeight="1">
      <c r="A450" t="inlineStr">
        <is>
          <t>A 24572-2026</t>
        </is>
      </c>
      <c r="B450" s="1" t="n">
        <v>46170</v>
      </c>
      <c r="C450" s="1" t="n">
        <v>46196</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18414-2026</t>
        </is>
      </c>
      <c r="B451" s="1" t="n">
        <v>46126</v>
      </c>
      <c r="C451" s="1" t="n">
        <v>46196</v>
      </c>
      <c r="D451" t="inlineStr">
        <is>
          <t>DALARNAS LÄN</t>
        </is>
      </c>
      <c r="E451" t="inlineStr">
        <is>
          <t>LEKSAND</t>
        </is>
      </c>
      <c r="G451" t="n">
        <v>3.7</v>
      </c>
      <c r="H451" t="n">
        <v>0</v>
      </c>
      <c r="I451" t="n">
        <v>0</v>
      </c>
      <c r="J451" t="n">
        <v>0</v>
      </c>
      <c r="K451" t="n">
        <v>0</v>
      </c>
      <c r="L451" t="n">
        <v>0</v>
      </c>
      <c r="M451" t="n">
        <v>0</v>
      </c>
      <c r="N451" t="n">
        <v>0</v>
      </c>
      <c r="O451" t="n">
        <v>0</v>
      </c>
      <c r="P451" t="n">
        <v>0</v>
      </c>
      <c r="Q451" t="n">
        <v>0</v>
      </c>
      <c r="R451" s="2" t="inlineStr"/>
    </row>
    <row r="452" ht="15" customHeight="1">
      <c r="A452" t="inlineStr">
        <is>
          <t>A 18492-2026</t>
        </is>
      </c>
      <c r="B452" s="1" t="n">
        <v>46127</v>
      </c>
      <c r="C452" s="1" t="n">
        <v>46196</v>
      </c>
      <c r="D452" t="inlineStr">
        <is>
          <t>DALARNAS LÄN</t>
        </is>
      </c>
      <c r="E452" t="inlineStr">
        <is>
          <t>LEKSAND</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18510-2026</t>
        </is>
      </c>
      <c r="B453" s="1" t="n">
        <v>46127</v>
      </c>
      <c r="C453" s="1" t="n">
        <v>46196</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18766-2026</t>
        </is>
      </c>
      <c r="B454" s="1" t="n">
        <v>46128</v>
      </c>
      <c r="C454" s="1" t="n">
        <v>46196</v>
      </c>
      <c r="D454" t="inlineStr">
        <is>
          <t>DALARNAS LÄN</t>
        </is>
      </c>
      <c r="E454" t="inlineStr">
        <is>
          <t>LEKSAND</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24720-2026</t>
        </is>
      </c>
      <c r="B455" s="1" t="n">
        <v>46171</v>
      </c>
      <c r="C455" s="1" t="n">
        <v>46196</v>
      </c>
      <c r="D455" t="inlineStr">
        <is>
          <t>DALARNAS LÄN</t>
        </is>
      </c>
      <c r="E455" t="inlineStr">
        <is>
          <t>LEKSAND</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18579-2026</t>
        </is>
      </c>
      <c r="B456" s="1" t="n">
        <v>46127</v>
      </c>
      <c r="C456" s="1" t="n">
        <v>46196</v>
      </c>
      <c r="D456" t="inlineStr">
        <is>
          <t>DALARNAS LÄN</t>
        </is>
      </c>
      <c r="E456" t="inlineStr">
        <is>
          <t>LEKSAND</t>
        </is>
      </c>
      <c r="F456" t="inlineStr">
        <is>
          <t>Bergvik skog väst AB</t>
        </is>
      </c>
      <c r="G456" t="n">
        <v>16.8</v>
      </c>
      <c r="H456" t="n">
        <v>0</v>
      </c>
      <c r="I456" t="n">
        <v>0</v>
      </c>
      <c r="J456" t="n">
        <v>0</v>
      </c>
      <c r="K456" t="n">
        <v>0</v>
      </c>
      <c r="L456" t="n">
        <v>0</v>
      </c>
      <c r="M456" t="n">
        <v>0</v>
      </c>
      <c r="N456" t="n">
        <v>0</v>
      </c>
      <c r="O456" t="n">
        <v>0</v>
      </c>
      <c r="P456" t="n">
        <v>0</v>
      </c>
      <c r="Q456" t="n">
        <v>0</v>
      </c>
      <c r="R456" s="2" t="inlineStr"/>
    </row>
    <row r="457" ht="15" customHeight="1">
      <c r="A457" t="inlineStr">
        <is>
          <t>A 18482-2026</t>
        </is>
      </c>
      <c r="B457" s="1" t="n">
        <v>46127</v>
      </c>
      <c r="C457" s="1" t="n">
        <v>46196</v>
      </c>
      <c r="D457" t="inlineStr">
        <is>
          <t>DALARNAS LÄN</t>
        </is>
      </c>
      <c r="E457" t="inlineStr">
        <is>
          <t>LEKSAND</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22344-2026</t>
        </is>
      </c>
      <c r="B458" s="1" t="n">
        <v>46154</v>
      </c>
      <c r="C458" s="1" t="n">
        <v>46196</v>
      </c>
      <c r="D458" t="inlineStr">
        <is>
          <t>DALARNAS LÄN</t>
        </is>
      </c>
      <c r="E458" t="inlineStr">
        <is>
          <t>LEKSAND</t>
        </is>
      </c>
      <c r="F458" t="inlineStr">
        <is>
          <t>Bergvik skog väst AB</t>
        </is>
      </c>
      <c r="G458" t="n">
        <v>6.3</v>
      </c>
      <c r="H458" t="n">
        <v>0</v>
      </c>
      <c r="I458" t="n">
        <v>0</v>
      </c>
      <c r="J458" t="n">
        <v>0</v>
      </c>
      <c r="K458" t="n">
        <v>0</v>
      </c>
      <c r="L458" t="n">
        <v>0</v>
      </c>
      <c r="M458" t="n">
        <v>0</v>
      </c>
      <c r="N458" t="n">
        <v>0</v>
      </c>
      <c r="O458" t="n">
        <v>0</v>
      </c>
      <c r="P458" t="n">
        <v>0</v>
      </c>
      <c r="Q458" t="n">
        <v>0</v>
      </c>
      <c r="R458" s="2" t="inlineStr"/>
    </row>
    <row r="459" ht="15" customHeight="1">
      <c r="A459" t="inlineStr">
        <is>
          <t>A 17106-2026</t>
        </is>
      </c>
      <c r="B459" s="1" t="n">
        <v>46114</v>
      </c>
      <c r="C459" s="1" t="n">
        <v>46196</v>
      </c>
      <c r="D459" t="inlineStr">
        <is>
          <t>DALARNAS LÄN</t>
        </is>
      </c>
      <c r="E459" t="inlineStr">
        <is>
          <t>LEKSAND</t>
        </is>
      </c>
      <c r="F459" t="inlineStr">
        <is>
          <t>Bergvik skog väst AB</t>
        </is>
      </c>
      <c r="G459" t="n">
        <v>2.9</v>
      </c>
      <c r="H459" t="n">
        <v>0</v>
      </c>
      <c r="I459" t="n">
        <v>0</v>
      </c>
      <c r="J459" t="n">
        <v>0</v>
      </c>
      <c r="K459" t="n">
        <v>0</v>
      </c>
      <c r="L459" t="n">
        <v>0</v>
      </c>
      <c r="M459" t="n">
        <v>0</v>
      </c>
      <c r="N459" t="n">
        <v>0</v>
      </c>
      <c r="O459" t="n">
        <v>0</v>
      </c>
      <c r="P459" t="n">
        <v>0</v>
      </c>
      <c r="Q459" t="n">
        <v>0</v>
      </c>
      <c r="R459" s="2" t="inlineStr"/>
    </row>
    <row r="460" ht="15" customHeight="1">
      <c r="A460" t="inlineStr">
        <is>
          <t>A 22313-2026</t>
        </is>
      </c>
      <c r="B460" s="1" t="n">
        <v>46154</v>
      </c>
      <c r="C460" s="1" t="n">
        <v>46196</v>
      </c>
      <c r="D460" t="inlineStr">
        <is>
          <t>DALARNAS LÄN</t>
        </is>
      </c>
      <c r="E460" t="inlineStr">
        <is>
          <t>LEKSAND</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19190-2026</t>
        </is>
      </c>
      <c r="B461" s="1" t="n">
        <v>46132</v>
      </c>
      <c r="C461" s="1" t="n">
        <v>46196</v>
      </c>
      <c r="D461" t="inlineStr">
        <is>
          <t>DALARNAS LÄN</t>
        </is>
      </c>
      <c r="E461" t="inlineStr">
        <is>
          <t>LEKSAND</t>
        </is>
      </c>
      <c r="G461" t="n">
        <v>24.9</v>
      </c>
      <c r="H461" t="n">
        <v>0</v>
      </c>
      <c r="I461" t="n">
        <v>0</v>
      </c>
      <c r="J461" t="n">
        <v>0</v>
      </c>
      <c r="K461" t="n">
        <v>0</v>
      </c>
      <c r="L461" t="n">
        <v>0</v>
      </c>
      <c r="M461" t="n">
        <v>0</v>
      </c>
      <c r="N461" t="n">
        <v>0</v>
      </c>
      <c r="O461" t="n">
        <v>0</v>
      </c>
      <c r="P461" t="n">
        <v>0</v>
      </c>
      <c r="Q461" t="n">
        <v>0</v>
      </c>
      <c r="R461" s="2" t="inlineStr"/>
    </row>
    <row r="462" ht="15" customHeight="1">
      <c r="A462" t="inlineStr">
        <is>
          <t>A 24841-2026</t>
        </is>
      </c>
      <c r="B462" s="1" t="n">
        <v>46174</v>
      </c>
      <c r="C462" s="1" t="n">
        <v>46196</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16982-2026</t>
        </is>
      </c>
      <c r="B463" s="1" t="n">
        <v>46114</v>
      </c>
      <c r="C463" s="1" t="n">
        <v>46196</v>
      </c>
      <c r="D463" t="inlineStr">
        <is>
          <t>DALARNAS LÄN</t>
        </is>
      </c>
      <c r="E463" t="inlineStr">
        <is>
          <t>LEKSAND</t>
        </is>
      </c>
      <c r="F463" t="inlineStr">
        <is>
          <t>Bergvik skog väst AB</t>
        </is>
      </c>
      <c r="G463" t="n">
        <v>0.8</v>
      </c>
      <c r="H463" t="n">
        <v>0</v>
      </c>
      <c r="I463" t="n">
        <v>0</v>
      </c>
      <c r="J463" t="n">
        <v>0</v>
      </c>
      <c r="K463" t="n">
        <v>0</v>
      </c>
      <c r="L463" t="n">
        <v>0</v>
      </c>
      <c r="M463" t="n">
        <v>0</v>
      </c>
      <c r="N463" t="n">
        <v>0</v>
      </c>
      <c r="O463" t="n">
        <v>0</v>
      </c>
      <c r="P463" t="n">
        <v>0</v>
      </c>
      <c r="Q463" t="n">
        <v>0</v>
      </c>
      <c r="R463" s="2" t="inlineStr"/>
    </row>
    <row r="464" ht="15" customHeight="1">
      <c r="A464" t="inlineStr">
        <is>
          <t>A 25300-2026</t>
        </is>
      </c>
      <c r="B464" s="1" t="n">
        <v>46176</v>
      </c>
      <c r="C464" s="1" t="n">
        <v>46196</v>
      </c>
      <c r="D464" t="inlineStr">
        <is>
          <t>DALARNAS LÄN</t>
        </is>
      </c>
      <c r="E464" t="inlineStr">
        <is>
          <t>LEKSAND</t>
        </is>
      </c>
      <c r="F464" t="inlineStr">
        <is>
          <t>Bergvik skog väst AB</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19818-2026</t>
        </is>
      </c>
      <c r="B465" s="1" t="n">
        <v>46135</v>
      </c>
      <c r="C465" s="1" t="n">
        <v>46196</v>
      </c>
      <c r="D465" t="inlineStr">
        <is>
          <t>DALARNAS LÄN</t>
        </is>
      </c>
      <c r="E465" t="inlineStr">
        <is>
          <t>LEKSAND</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19305-2026</t>
        </is>
      </c>
      <c r="B466" s="1" t="n">
        <v>46133</v>
      </c>
      <c r="C466" s="1" t="n">
        <v>46196</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2048-2026</t>
        </is>
      </c>
      <c r="B467" s="1" t="n">
        <v>46035</v>
      </c>
      <c r="C467" s="1" t="n">
        <v>46196</v>
      </c>
      <c r="D467" t="inlineStr">
        <is>
          <t>DALARNAS LÄN</t>
        </is>
      </c>
      <c r="E467" t="inlineStr">
        <is>
          <t>LEKSAND</t>
        </is>
      </c>
      <c r="G467" t="n">
        <v>2.7</v>
      </c>
      <c r="H467" t="n">
        <v>0</v>
      </c>
      <c r="I467" t="n">
        <v>0</v>
      </c>
      <c r="J467" t="n">
        <v>0</v>
      </c>
      <c r="K467" t="n">
        <v>0</v>
      </c>
      <c r="L467" t="n">
        <v>0</v>
      </c>
      <c r="M467" t="n">
        <v>0</v>
      </c>
      <c r="N467" t="n">
        <v>0</v>
      </c>
      <c r="O467" t="n">
        <v>0</v>
      </c>
      <c r="P467" t="n">
        <v>0</v>
      </c>
      <c r="Q467" t="n">
        <v>0</v>
      </c>
      <c r="R467" s="2" t="inlineStr"/>
    </row>
    <row r="468" ht="15" customHeight="1">
      <c r="A468" t="inlineStr">
        <is>
          <t>A 20303-2026</t>
        </is>
      </c>
      <c r="B468" s="1" t="n">
        <v>46139</v>
      </c>
      <c r="C468" s="1" t="n">
        <v>46196</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15632-2026</t>
        </is>
      </c>
      <c r="B469" s="1" t="n">
        <v>46106</v>
      </c>
      <c r="C469" s="1" t="n">
        <v>46196</v>
      </c>
      <c r="D469" t="inlineStr">
        <is>
          <t>DALARNAS LÄN</t>
        </is>
      </c>
      <c r="E469" t="inlineStr">
        <is>
          <t>LEKSAND</t>
        </is>
      </c>
      <c r="G469" t="n">
        <v>2.2</v>
      </c>
      <c r="H469" t="n">
        <v>0</v>
      </c>
      <c r="I469" t="n">
        <v>0</v>
      </c>
      <c r="J469" t="n">
        <v>0</v>
      </c>
      <c r="K469" t="n">
        <v>0</v>
      </c>
      <c r="L469" t="n">
        <v>0</v>
      </c>
      <c r="M469" t="n">
        <v>0</v>
      </c>
      <c r="N469" t="n">
        <v>0</v>
      </c>
      <c r="O469" t="n">
        <v>0</v>
      </c>
      <c r="P469" t="n">
        <v>0</v>
      </c>
      <c r="Q469" t="n">
        <v>0</v>
      </c>
      <c r="R469" s="2" t="inlineStr"/>
    </row>
    <row r="470" ht="15" customHeight="1">
      <c r="A470" t="inlineStr">
        <is>
          <t>A 25610-2025</t>
        </is>
      </c>
      <c r="B470" s="1" t="n">
        <v>45803</v>
      </c>
      <c r="C470" s="1" t="n">
        <v>46196</v>
      </c>
      <c r="D470" t="inlineStr">
        <is>
          <t>DALARNAS LÄN</t>
        </is>
      </c>
      <c r="E470" t="inlineStr">
        <is>
          <t>LEKSAND</t>
        </is>
      </c>
      <c r="G470" t="n">
        <v>5.2</v>
      </c>
      <c r="H470" t="n">
        <v>0</v>
      </c>
      <c r="I470" t="n">
        <v>0</v>
      </c>
      <c r="J470" t="n">
        <v>0</v>
      </c>
      <c r="K470" t="n">
        <v>0</v>
      </c>
      <c r="L470" t="n">
        <v>0</v>
      </c>
      <c r="M470" t="n">
        <v>0</v>
      </c>
      <c r="N470" t="n">
        <v>0</v>
      </c>
      <c r="O470" t="n">
        <v>0</v>
      </c>
      <c r="P470" t="n">
        <v>0</v>
      </c>
      <c r="Q470" t="n">
        <v>0</v>
      </c>
      <c r="R470" s="2" t="inlineStr"/>
    </row>
    <row r="471" ht="15" customHeight="1">
      <c r="A471" t="inlineStr">
        <is>
          <t>A 40165-2022</t>
        </is>
      </c>
      <c r="B471" s="1" t="n">
        <v>44820</v>
      </c>
      <c r="C471" s="1" t="n">
        <v>46196</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12857-2023</t>
        </is>
      </c>
      <c r="B472" s="1" t="n">
        <v>45001</v>
      </c>
      <c r="C472" s="1" t="n">
        <v>46196</v>
      </c>
      <c r="D472" t="inlineStr">
        <is>
          <t>DALARNAS LÄN</t>
        </is>
      </c>
      <c r="E472" t="inlineStr">
        <is>
          <t>LEKSAND</t>
        </is>
      </c>
      <c r="G472" t="n">
        <v>0.2</v>
      </c>
      <c r="H472" t="n">
        <v>0</v>
      </c>
      <c r="I472" t="n">
        <v>0</v>
      </c>
      <c r="J472" t="n">
        <v>0</v>
      </c>
      <c r="K472" t="n">
        <v>0</v>
      </c>
      <c r="L472" t="n">
        <v>0</v>
      </c>
      <c r="M472" t="n">
        <v>0</v>
      </c>
      <c r="N472" t="n">
        <v>0</v>
      </c>
      <c r="O472" t="n">
        <v>0</v>
      </c>
      <c r="P472" t="n">
        <v>0</v>
      </c>
      <c r="Q472" t="n">
        <v>0</v>
      </c>
      <c r="R472" s="2" t="inlineStr"/>
    </row>
    <row r="473" ht="15" customHeight="1">
      <c r="A473" t="inlineStr">
        <is>
          <t>A 27445-2024</t>
        </is>
      </c>
      <c r="B473" s="1" t="n">
        <v>45474</v>
      </c>
      <c r="C473" s="1" t="n">
        <v>46196</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32072-2024</t>
        </is>
      </c>
      <c r="B474" s="1" t="n">
        <v>45510</v>
      </c>
      <c r="C474" s="1" t="n">
        <v>46196</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21457-2025</t>
        </is>
      </c>
      <c r="B475" s="1" t="n">
        <v>45782</v>
      </c>
      <c r="C475" s="1" t="n">
        <v>46196</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26021-2026</t>
        </is>
      </c>
      <c r="B476" s="1" t="n">
        <v>46181</v>
      </c>
      <c r="C476" s="1" t="n">
        <v>46196</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56299-2024</t>
        </is>
      </c>
      <c r="B477" s="1" t="n">
        <v>45624</v>
      </c>
      <c r="C477" s="1" t="n">
        <v>46196</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1983-2025</t>
        </is>
      </c>
      <c r="B478" s="1" t="n">
        <v>45670</v>
      </c>
      <c r="C478" s="1" t="n">
        <v>46196</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31787-2025</t>
        </is>
      </c>
      <c r="B479" s="1" t="n">
        <v>45834</v>
      </c>
      <c r="C479" s="1" t="n">
        <v>46196</v>
      </c>
      <c r="D479" t="inlineStr">
        <is>
          <t>DALARNAS LÄN</t>
        </is>
      </c>
      <c r="E479" t="inlineStr">
        <is>
          <t>LEKSAND</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24003-2024</t>
        </is>
      </c>
      <c r="B480" s="1" t="n">
        <v>45456</v>
      </c>
      <c r="C480" s="1" t="n">
        <v>46196</v>
      </c>
      <c r="D480" t="inlineStr">
        <is>
          <t>DALARNAS LÄN</t>
        </is>
      </c>
      <c r="E480" t="inlineStr">
        <is>
          <t>LEKSAND</t>
        </is>
      </c>
      <c r="F480" t="inlineStr">
        <is>
          <t>Bergvik skog väst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18611-2026</t>
        </is>
      </c>
      <c r="B481" s="1" t="n">
        <v>46127</v>
      </c>
      <c r="C481" s="1" t="n">
        <v>46196</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12582-2025</t>
        </is>
      </c>
      <c r="B482" s="1" t="n">
        <v>45732</v>
      </c>
      <c r="C482" s="1" t="n">
        <v>46196</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31728-2024</t>
        </is>
      </c>
      <c r="B483" s="1" t="n">
        <v>45509</v>
      </c>
      <c r="C483" s="1" t="n">
        <v>46196</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40407-2024</t>
        </is>
      </c>
      <c r="B484" s="1" t="n">
        <v>45555</v>
      </c>
      <c r="C484" s="1" t="n">
        <v>46196</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12620-2025</t>
        </is>
      </c>
      <c r="B485" s="1" t="n">
        <v>45733</v>
      </c>
      <c r="C485" s="1" t="n">
        <v>46196</v>
      </c>
      <c r="D485" t="inlineStr">
        <is>
          <t>DALARNAS LÄN</t>
        </is>
      </c>
      <c r="E485" t="inlineStr">
        <is>
          <t>LEKSAND</t>
        </is>
      </c>
      <c r="F485" t="inlineStr">
        <is>
          <t>Bergvik skog väst AB</t>
        </is>
      </c>
      <c r="G485" t="n">
        <v>3.9</v>
      </c>
      <c r="H485" t="n">
        <v>0</v>
      </c>
      <c r="I485" t="n">
        <v>0</v>
      </c>
      <c r="J485" t="n">
        <v>0</v>
      </c>
      <c r="K485" t="n">
        <v>0</v>
      </c>
      <c r="L485" t="n">
        <v>0</v>
      </c>
      <c r="M485" t="n">
        <v>0</v>
      </c>
      <c r="N485" t="n">
        <v>0</v>
      </c>
      <c r="O485" t="n">
        <v>0</v>
      </c>
      <c r="P485" t="n">
        <v>0</v>
      </c>
      <c r="Q485" t="n">
        <v>0</v>
      </c>
      <c r="R485" s="2" t="inlineStr"/>
    </row>
    <row r="486" ht="15" customHeight="1">
      <c r="A486" t="inlineStr">
        <is>
          <t>A 35998-2025</t>
        </is>
      </c>
      <c r="B486" s="1" t="n">
        <v>45863</v>
      </c>
      <c r="C486" s="1" t="n">
        <v>46196</v>
      </c>
      <c r="D486" t="inlineStr">
        <is>
          <t>DALARNAS LÄN</t>
        </is>
      </c>
      <c r="E486" t="inlineStr">
        <is>
          <t>LEKSAND</t>
        </is>
      </c>
      <c r="G486" t="n">
        <v>2</v>
      </c>
      <c r="H486" t="n">
        <v>0</v>
      </c>
      <c r="I486" t="n">
        <v>0</v>
      </c>
      <c r="J486" t="n">
        <v>0</v>
      </c>
      <c r="K486" t="n">
        <v>0</v>
      </c>
      <c r="L486" t="n">
        <v>0</v>
      </c>
      <c r="M486" t="n">
        <v>0</v>
      </c>
      <c r="N486" t="n">
        <v>0</v>
      </c>
      <c r="O486" t="n">
        <v>0</v>
      </c>
      <c r="P486" t="n">
        <v>0</v>
      </c>
      <c r="Q486" t="n">
        <v>0</v>
      </c>
      <c r="R486" s="2" t="inlineStr"/>
    </row>
    <row r="487" ht="15" customHeight="1">
      <c r="A487" t="inlineStr">
        <is>
          <t>A 40009-2024</t>
        </is>
      </c>
      <c r="B487" s="1" t="n">
        <v>45553</v>
      </c>
      <c r="C487" s="1" t="n">
        <v>46196</v>
      </c>
      <c r="D487" t="inlineStr">
        <is>
          <t>DALARNAS LÄN</t>
        </is>
      </c>
      <c r="E487" t="inlineStr">
        <is>
          <t>LEKSAND</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56941-2024</t>
        </is>
      </c>
      <c r="B488" s="1" t="n">
        <v>45625</v>
      </c>
      <c r="C488" s="1" t="n">
        <v>46196</v>
      </c>
      <c r="D488" t="inlineStr">
        <is>
          <t>DALARNAS LÄN</t>
        </is>
      </c>
      <c r="E488" t="inlineStr">
        <is>
          <t>LEKSAND</t>
        </is>
      </c>
      <c r="G488" t="n">
        <v>1.8</v>
      </c>
      <c r="H488" t="n">
        <v>0</v>
      </c>
      <c r="I488" t="n">
        <v>0</v>
      </c>
      <c r="J488" t="n">
        <v>0</v>
      </c>
      <c r="K488" t="n">
        <v>0</v>
      </c>
      <c r="L488" t="n">
        <v>0</v>
      </c>
      <c r="M488" t="n">
        <v>0</v>
      </c>
      <c r="N488" t="n">
        <v>0</v>
      </c>
      <c r="O488" t="n">
        <v>0</v>
      </c>
      <c r="P488" t="n">
        <v>0</v>
      </c>
      <c r="Q488" t="n">
        <v>0</v>
      </c>
      <c r="R488" s="2" t="inlineStr"/>
    </row>
    <row r="489" ht="15" customHeight="1">
      <c r="A489" t="inlineStr">
        <is>
          <t>A 1950-2026</t>
        </is>
      </c>
      <c r="B489" s="1" t="n">
        <v>46035</v>
      </c>
      <c r="C489" s="1" t="n">
        <v>46196</v>
      </c>
      <c r="D489" t="inlineStr">
        <is>
          <t>DALARNAS LÄN</t>
        </is>
      </c>
      <c r="E489" t="inlineStr">
        <is>
          <t>LEKSAND</t>
        </is>
      </c>
      <c r="G489" t="n">
        <v>5.3</v>
      </c>
      <c r="H489" t="n">
        <v>0</v>
      </c>
      <c r="I489" t="n">
        <v>0</v>
      </c>
      <c r="J489" t="n">
        <v>0</v>
      </c>
      <c r="K489" t="n">
        <v>0</v>
      </c>
      <c r="L489" t="n">
        <v>0</v>
      </c>
      <c r="M489" t="n">
        <v>0</v>
      </c>
      <c r="N489" t="n">
        <v>0</v>
      </c>
      <c r="O489" t="n">
        <v>0</v>
      </c>
      <c r="P489" t="n">
        <v>0</v>
      </c>
      <c r="Q489" t="n">
        <v>0</v>
      </c>
      <c r="R489" s="2" t="inlineStr"/>
    </row>
    <row r="490" ht="15" customHeight="1">
      <c r="A490" t="inlineStr">
        <is>
          <t>A 55268-2024</t>
        </is>
      </c>
      <c r="B490" s="1" t="n">
        <v>45621</v>
      </c>
      <c r="C490" s="1" t="n">
        <v>46196</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20164-2026</t>
        </is>
      </c>
      <c r="B491" s="1" t="n">
        <v>46139</v>
      </c>
      <c r="C491" s="1" t="n">
        <v>46196</v>
      </c>
      <c r="D491" t="inlineStr">
        <is>
          <t>DALARNAS LÄN</t>
        </is>
      </c>
      <c r="E491" t="inlineStr">
        <is>
          <t>LEKSAND</t>
        </is>
      </c>
      <c r="G491" t="n">
        <v>0.5</v>
      </c>
      <c r="H491" t="n">
        <v>0</v>
      </c>
      <c r="I491" t="n">
        <v>0</v>
      </c>
      <c r="J491" t="n">
        <v>0</v>
      </c>
      <c r="K491" t="n">
        <v>0</v>
      </c>
      <c r="L491" t="n">
        <v>0</v>
      </c>
      <c r="M491" t="n">
        <v>0</v>
      </c>
      <c r="N491" t="n">
        <v>0</v>
      </c>
      <c r="O491" t="n">
        <v>0</v>
      </c>
      <c r="P491" t="n">
        <v>0</v>
      </c>
      <c r="Q491" t="n">
        <v>0</v>
      </c>
      <c r="R491" s="2" t="inlineStr"/>
    </row>
    <row r="492" ht="15" customHeight="1">
      <c r="A492" t="inlineStr">
        <is>
          <t>A 57925-2024</t>
        </is>
      </c>
      <c r="B492" s="1" t="n">
        <v>45630</v>
      </c>
      <c r="C492" s="1" t="n">
        <v>46196</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1443-2024</t>
        </is>
      </c>
      <c r="B493" s="1" t="n">
        <v>45303</v>
      </c>
      <c r="C493" s="1" t="n">
        <v>46196</v>
      </c>
      <c r="D493" t="inlineStr">
        <is>
          <t>DALARNAS LÄN</t>
        </is>
      </c>
      <c r="E493" t="inlineStr">
        <is>
          <t>LEKSAND</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17099-2026</t>
        </is>
      </c>
      <c r="B494" s="1" t="n">
        <v>46114</v>
      </c>
      <c r="C494" s="1" t="n">
        <v>46196</v>
      </c>
      <c r="D494" t="inlineStr">
        <is>
          <t>DALARNAS LÄN</t>
        </is>
      </c>
      <c r="E494" t="inlineStr">
        <is>
          <t>LEKSAND</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18481-2024</t>
        </is>
      </c>
      <c r="B495" s="1" t="n">
        <v>45425</v>
      </c>
      <c r="C495" s="1" t="n">
        <v>46196</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8046-2024</t>
        </is>
      </c>
      <c r="B496" s="1" t="n">
        <v>45351</v>
      </c>
      <c r="C496" s="1" t="n">
        <v>46196</v>
      </c>
      <c r="D496" t="inlineStr">
        <is>
          <t>DALARNAS LÄN</t>
        </is>
      </c>
      <c r="E496" t="inlineStr">
        <is>
          <t>LEKSAND</t>
        </is>
      </c>
      <c r="G496" t="n">
        <v>2.9</v>
      </c>
      <c r="H496" t="n">
        <v>0</v>
      </c>
      <c r="I496" t="n">
        <v>0</v>
      </c>
      <c r="J496" t="n">
        <v>0</v>
      </c>
      <c r="K496" t="n">
        <v>0</v>
      </c>
      <c r="L496" t="n">
        <v>0</v>
      </c>
      <c r="M496" t="n">
        <v>0</v>
      </c>
      <c r="N496" t="n">
        <v>0</v>
      </c>
      <c r="O496" t="n">
        <v>0</v>
      </c>
      <c r="P496" t="n">
        <v>0</v>
      </c>
      <c r="Q496" t="n">
        <v>0</v>
      </c>
      <c r="R496" s="2" t="inlineStr"/>
    </row>
    <row r="497" ht="15" customHeight="1">
      <c r="A497" t="inlineStr">
        <is>
          <t>A 7827-2024</t>
        </is>
      </c>
      <c r="B497" s="1" t="n">
        <v>45349</v>
      </c>
      <c r="C497" s="1" t="n">
        <v>46196</v>
      </c>
      <c r="D497" t="inlineStr">
        <is>
          <t>DALARNAS LÄN</t>
        </is>
      </c>
      <c r="E497" t="inlineStr">
        <is>
          <t>LEKSAND</t>
        </is>
      </c>
      <c r="G497" t="n">
        <v>2.2</v>
      </c>
      <c r="H497" t="n">
        <v>0</v>
      </c>
      <c r="I497" t="n">
        <v>0</v>
      </c>
      <c r="J497" t="n">
        <v>0</v>
      </c>
      <c r="K497" t="n">
        <v>0</v>
      </c>
      <c r="L497" t="n">
        <v>0</v>
      </c>
      <c r="M497" t="n">
        <v>0</v>
      </c>
      <c r="N497" t="n">
        <v>0</v>
      </c>
      <c r="O497" t="n">
        <v>0</v>
      </c>
      <c r="P497" t="n">
        <v>0</v>
      </c>
      <c r="Q497" t="n">
        <v>0</v>
      </c>
      <c r="R497" s="2" t="inlineStr"/>
    </row>
    <row r="498" ht="15" customHeight="1">
      <c r="A498" t="inlineStr">
        <is>
          <t>A 26519-2026</t>
        </is>
      </c>
      <c r="B498" s="1" t="n">
        <v>46183</v>
      </c>
      <c r="C498" s="1" t="n">
        <v>46196</v>
      </c>
      <c r="D498" t="inlineStr">
        <is>
          <t>DALARNAS LÄN</t>
        </is>
      </c>
      <c r="E498" t="inlineStr">
        <is>
          <t>LEKSAND</t>
        </is>
      </c>
      <c r="F498" t="inlineStr">
        <is>
          <t>Bergvik skog väst AB</t>
        </is>
      </c>
      <c r="G498" t="n">
        <v>5</v>
      </c>
      <c r="H498" t="n">
        <v>0</v>
      </c>
      <c r="I498" t="n">
        <v>0</v>
      </c>
      <c r="J498" t="n">
        <v>0</v>
      </c>
      <c r="K498" t="n">
        <v>0</v>
      </c>
      <c r="L498" t="n">
        <v>0</v>
      </c>
      <c r="M498" t="n">
        <v>0</v>
      </c>
      <c r="N498" t="n">
        <v>0</v>
      </c>
      <c r="O498" t="n">
        <v>0</v>
      </c>
      <c r="P498" t="n">
        <v>0</v>
      </c>
      <c r="Q498" t="n">
        <v>0</v>
      </c>
      <c r="R498" s="2" t="inlineStr"/>
    </row>
    <row r="499" ht="15" customHeight="1">
      <c r="A499" t="inlineStr">
        <is>
          <t>A 16592-2023</t>
        </is>
      </c>
      <c r="B499" s="1" t="n">
        <v>45030</v>
      </c>
      <c r="C499" s="1" t="n">
        <v>46196</v>
      </c>
      <c r="D499" t="inlineStr">
        <is>
          <t>DALARNAS LÄN</t>
        </is>
      </c>
      <c r="E499" t="inlineStr">
        <is>
          <t>LEKSAND</t>
        </is>
      </c>
      <c r="G499" t="n">
        <v>11.5</v>
      </c>
      <c r="H499" t="n">
        <v>0</v>
      </c>
      <c r="I499" t="n">
        <v>0</v>
      </c>
      <c r="J499" t="n">
        <v>0</v>
      </c>
      <c r="K499" t="n">
        <v>0</v>
      </c>
      <c r="L499" t="n">
        <v>0</v>
      </c>
      <c r="M499" t="n">
        <v>0</v>
      </c>
      <c r="N499" t="n">
        <v>0</v>
      </c>
      <c r="O499" t="n">
        <v>0</v>
      </c>
      <c r="P499" t="n">
        <v>0</v>
      </c>
      <c r="Q499" t="n">
        <v>0</v>
      </c>
      <c r="R499" s="2" t="inlineStr"/>
    </row>
    <row r="500" ht="15" customHeight="1">
      <c r="A500" t="inlineStr">
        <is>
          <t>A 6028-2025</t>
        </is>
      </c>
      <c r="B500" s="1" t="n">
        <v>45695</v>
      </c>
      <c r="C500" s="1" t="n">
        <v>46196</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53243-2025</t>
        </is>
      </c>
      <c r="B501" s="1" t="n">
        <v>45958</v>
      </c>
      <c r="C501" s="1" t="n">
        <v>46196</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43735-2022</t>
        </is>
      </c>
      <c r="B502" s="1" t="n">
        <v>44837</v>
      </c>
      <c r="C502" s="1" t="n">
        <v>46196</v>
      </c>
      <c r="D502" t="inlineStr">
        <is>
          <t>DALARNAS LÄN</t>
        </is>
      </c>
      <c r="E502" t="inlineStr">
        <is>
          <t>LEKSAND</t>
        </is>
      </c>
      <c r="G502" t="n">
        <v>2.9</v>
      </c>
      <c r="H502" t="n">
        <v>0</v>
      </c>
      <c r="I502" t="n">
        <v>0</v>
      </c>
      <c r="J502" t="n">
        <v>0</v>
      </c>
      <c r="K502" t="n">
        <v>0</v>
      </c>
      <c r="L502" t="n">
        <v>0</v>
      </c>
      <c r="M502" t="n">
        <v>0</v>
      </c>
      <c r="N502" t="n">
        <v>0</v>
      </c>
      <c r="O502" t="n">
        <v>0</v>
      </c>
      <c r="P502" t="n">
        <v>0</v>
      </c>
      <c r="Q502" t="n">
        <v>0</v>
      </c>
      <c r="R502" s="2" t="inlineStr"/>
    </row>
    <row r="503" ht="15" customHeight="1">
      <c r="A503" t="inlineStr">
        <is>
          <t>A 26187-2026</t>
        </is>
      </c>
      <c r="B503" s="1" t="n">
        <v>46182</v>
      </c>
      <c r="C503" s="1" t="n">
        <v>46196</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26348-2026</t>
        </is>
      </c>
      <c r="B504" s="1" t="n">
        <v>46182</v>
      </c>
      <c r="C504" s="1" t="n">
        <v>46196</v>
      </c>
      <c r="D504" t="inlineStr">
        <is>
          <t>DALARNAS LÄN</t>
        </is>
      </c>
      <c r="E504" t="inlineStr">
        <is>
          <t>LEKSAND</t>
        </is>
      </c>
      <c r="G504" t="n">
        <v>1</v>
      </c>
      <c r="H504" t="n">
        <v>0</v>
      </c>
      <c r="I504" t="n">
        <v>0</v>
      </c>
      <c r="J504" t="n">
        <v>0</v>
      </c>
      <c r="K504" t="n">
        <v>0</v>
      </c>
      <c r="L504" t="n">
        <v>0</v>
      </c>
      <c r="M504" t="n">
        <v>0</v>
      </c>
      <c r="N504" t="n">
        <v>0</v>
      </c>
      <c r="O504" t="n">
        <v>0</v>
      </c>
      <c r="P504" t="n">
        <v>0</v>
      </c>
      <c r="Q504" t="n">
        <v>0</v>
      </c>
      <c r="R504" s="2" t="inlineStr"/>
    </row>
    <row r="505" ht="15" customHeight="1">
      <c r="A505" t="inlineStr">
        <is>
          <t>A 8211-2026</t>
        </is>
      </c>
      <c r="B505" s="1" t="n">
        <v>46064</v>
      </c>
      <c r="C505" s="1" t="n">
        <v>46196</v>
      </c>
      <c r="D505" t="inlineStr">
        <is>
          <t>DALARNAS LÄN</t>
        </is>
      </c>
      <c r="E505" t="inlineStr">
        <is>
          <t>LEKSAND</t>
        </is>
      </c>
      <c r="G505" t="n">
        <v>4.9</v>
      </c>
      <c r="H505" t="n">
        <v>0</v>
      </c>
      <c r="I505" t="n">
        <v>0</v>
      </c>
      <c r="J505" t="n">
        <v>0</v>
      </c>
      <c r="K505" t="n">
        <v>0</v>
      </c>
      <c r="L505" t="n">
        <v>0</v>
      </c>
      <c r="M505" t="n">
        <v>0</v>
      </c>
      <c r="N505" t="n">
        <v>0</v>
      </c>
      <c r="O505" t="n">
        <v>0</v>
      </c>
      <c r="P505" t="n">
        <v>0</v>
      </c>
      <c r="Q505" t="n">
        <v>0</v>
      </c>
      <c r="R505" s="2" t="inlineStr"/>
    </row>
    <row r="506" ht="15" customHeight="1">
      <c r="A506" t="inlineStr">
        <is>
          <t>A 43220-2024</t>
        </is>
      </c>
      <c r="B506" s="1" t="n">
        <v>45567</v>
      </c>
      <c r="C506" s="1" t="n">
        <v>46196</v>
      </c>
      <c r="D506" t="inlineStr">
        <is>
          <t>DALARNAS LÄN</t>
        </is>
      </c>
      <c r="E506" t="inlineStr">
        <is>
          <t>LEKSAND</t>
        </is>
      </c>
      <c r="G506" t="n">
        <v>0.9</v>
      </c>
      <c r="H506" t="n">
        <v>0</v>
      </c>
      <c r="I506" t="n">
        <v>0</v>
      </c>
      <c r="J506" t="n">
        <v>0</v>
      </c>
      <c r="K506" t="n">
        <v>0</v>
      </c>
      <c r="L506" t="n">
        <v>0</v>
      </c>
      <c r="M506" t="n">
        <v>0</v>
      </c>
      <c r="N506" t="n">
        <v>0</v>
      </c>
      <c r="O506" t="n">
        <v>0</v>
      </c>
      <c r="P506" t="n">
        <v>0</v>
      </c>
      <c r="Q506" t="n">
        <v>0</v>
      </c>
      <c r="R506" s="2" t="inlineStr"/>
    </row>
    <row r="507" ht="15" customHeight="1">
      <c r="A507" t="inlineStr">
        <is>
          <t>A 23916-2026</t>
        </is>
      </c>
      <c r="B507" s="1" t="n">
        <v>46167</v>
      </c>
      <c r="C507" s="1" t="n">
        <v>46196</v>
      </c>
      <c r="D507" t="inlineStr">
        <is>
          <t>DALARNAS LÄN</t>
        </is>
      </c>
      <c r="E507" t="inlineStr">
        <is>
          <t>LEKSAND</t>
        </is>
      </c>
      <c r="F507" t="inlineStr">
        <is>
          <t>Bergvik skog väst AB</t>
        </is>
      </c>
      <c r="G507" t="n">
        <v>6.4</v>
      </c>
      <c r="H507" t="n">
        <v>0</v>
      </c>
      <c r="I507" t="n">
        <v>0</v>
      </c>
      <c r="J507" t="n">
        <v>0</v>
      </c>
      <c r="K507" t="n">
        <v>0</v>
      </c>
      <c r="L507" t="n">
        <v>0</v>
      </c>
      <c r="M507" t="n">
        <v>0</v>
      </c>
      <c r="N507" t="n">
        <v>0</v>
      </c>
      <c r="O507" t="n">
        <v>0</v>
      </c>
      <c r="P507" t="n">
        <v>0</v>
      </c>
      <c r="Q507" t="n">
        <v>0</v>
      </c>
      <c r="R507" s="2" t="inlineStr"/>
    </row>
    <row r="508" ht="15" customHeight="1">
      <c r="A508" t="inlineStr">
        <is>
          <t>A 20541-2026</t>
        </is>
      </c>
      <c r="B508" s="1" t="n">
        <v>46140</v>
      </c>
      <c r="C508" s="1" t="n">
        <v>46196</v>
      </c>
      <c r="D508" t="inlineStr">
        <is>
          <t>DALARNAS LÄN</t>
        </is>
      </c>
      <c r="E508" t="inlineStr">
        <is>
          <t>LEKSAND</t>
        </is>
      </c>
      <c r="G508" t="n">
        <v>3</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46196</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25523-2026</t>
        </is>
      </c>
      <c r="B510" s="1" t="n">
        <v>46177</v>
      </c>
      <c r="C510" s="1" t="n">
        <v>46196</v>
      </c>
      <c r="D510" t="inlineStr">
        <is>
          <t>DALARNAS LÄN</t>
        </is>
      </c>
      <c r="E510" t="inlineStr">
        <is>
          <t>LEKSAND</t>
        </is>
      </c>
      <c r="F510" t="inlineStr">
        <is>
          <t>Bergvik skog väst AB</t>
        </is>
      </c>
      <c r="G510" t="n">
        <v>3.3</v>
      </c>
      <c r="H510" t="n">
        <v>0</v>
      </c>
      <c r="I510" t="n">
        <v>0</v>
      </c>
      <c r="J510" t="n">
        <v>0</v>
      </c>
      <c r="K510" t="n">
        <v>0</v>
      </c>
      <c r="L510" t="n">
        <v>0</v>
      </c>
      <c r="M510" t="n">
        <v>0</v>
      </c>
      <c r="N510" t="n">
        <v>0</v>
      </c>
      <c r="O510" t="n">
        <v>0</v>
      </c>
      <c r="P510" t="n">
        <v>0</v>
      </c>
      <c r="Q510" t="n">
        <v>0</v>
      </c>
      <c r="R510" s="2" t="inlineStr"/>
    </row>
    <row r="511" ht="15" customHeight="1">
      <c r="A511" t="inlineStr">
        <is>
          <t>A 25581-2026</t>
        </is>
      </c>
      <c r="B511" s="1" t="n">
        <v>46177</v>
      </c>
      <c r="C511" s="1" t="n">
        <v>46196</v>
      </c>
      <c r="D511" t="inlineStr">
        <is>
          <t>DALARNAS LÄN</t>
        </is>
      </c>
      <c r="E511" t="inlineStr">
        <is>
          <t>LEKSAND</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44469-2024</t>
        </is>
      </c>
      <c r="B512" s="1" t="n">
        <v>45574</v>
      </c>
      <c r="C512" s="1" t="n">
        <v>46196</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1149-2026</t>
        </is>
      </c>
      <c r="B513" s="1" t="n">
        <v>46030</v>
      </c>
      <c r="C513" s="1" t="n">
        <v>46196</v>
      </c>
      <c r="D513" t="inlineStr">
        <is>
          <t>DALARNAS LÄN</t>
        </is>
      </c>
      <c r="E513" t="inlineStr">
        <is>
          <t>LEKSAND</t>
        </is>
      </c>
      <c r="G513" t="n">
        <v>11.7</v>
      </c>
      <c r="H513" t="n">
        <v>0</v>
      </c>
      <c r="I513" t="n">
        <v>0</v>
      </c>
      <c r="J513" t="n">
        <v>0</v>
      </c>
      <c r="K513" t="n">
        <v>0</v>
      </c>
      <c r="L513" t="n">
        <v>0</v>
      </c>
      <c r="M513" t="n">
        <v>0</v>
      </c>
      <c r="N513" t="n">
        <v>0</v>
      </c>
      <c r="O513" t="n">
        <v>0</v>
      </c>
      <c r="P513" t="n">
        <v>0</v>
      </c>
      <c r="Q513" t="n">
        <v>0</v>
      </c>
      <c r="R513" s="2" t="inlineStr"/>
    </row>
    <row r="514" ht="15" customHeight="1">
      <c r="A514" t="inlineStr">
        <is>
          <t>A 20663-2026</t>
        </is>
      </c>
      <c r="B514" s="1" t="n">
        <v>46141</v>
      </c>
      <c r="C514" s="1" t="n">
        <v>46196</v>
      </c>
      <c r="D514" t="inlineStr">
        <is>
          <t>DALARNAS LÄN</t>
        </is>
      </c>
      <c r="E514" t="inlineStr">
        <is>
          <t>LEKSAND</t>
        </is>
      </c>
      <c r="F514" t="inlineStr">
        <is>
          <t>Bergvik skog väst AB</t>
        </is>
      </c>
      <c r="G514" t="n">
        <v>12.8</v>
      </c>
      <c r="H514" t="n">
        <v>0</v>
      </c>
      <c r="I514" t="n">
        <v>0</v>
      </c>
      <c r="J514" t="n">
        <v>0</v>
      </c>
      <c r="K514" t="n">
        <v>0</v>
      </c>
      <c r="L514" t="n">
        <v>0</v>
      </c>
      <c r="M514" t="n">
        <v>0</v>
      </c>
      <c r="N514" t="n">
        <v>0</v>
      </c>
      <c r="O514" t="n">
        <v>0</v>
      </c>
      <c r="P514" t="n">
        <v>0</v>
      </c>
      <c r="Q514" t="n">
        <v>0</v>
      </c>
      <c r="R514" s="2" t="inlineStr"/>
    </row>
    <row r="515" ht="15" customHeight="1">
      <c r="A515" t="inlineStr">
        <is>
          <t>A 16197-2024</t>
        </is>
      </c>
      <c r="B515" s="1" t="n">
        <v>45406</v>
      </c>
      <c r="C515" s="1" t="n">
        <v>46196</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2068-2026</t>
        </is>
      </c>
      <c r="B516" s="1" t="n">
        <v>46036</v>
      </c>
      <c r="C516" s="1" t="n">
        <v>46196</v>
      </c>
      <c r="D516" t="inlineStr">
        <is>
          <t>DALARNAS LÄN</t>
        </is>
      </c>
      <c r="E516" t="inlineStr">
        <is>
          <t>LEKSAND</t>
        </is>
      </c>
      <c r="F516" t="inlineStr">
        <is>
          <t>Övriga Aktiebolag</t>
        </is>
      </c>
      <c r="G516" t="n">
        <v>15.5</v>
      </c>
      <c r="H516" t="n">
        <v>0</v>
      </c>
      <c r="I516" t="n">
        <v>0</v>
      </c>
      <c r="J516" t="n">
        <v>0</v>
      </c>
      <c r="K516" t="n">
        <v>0</v>
      </c>
      <c r="L516" t="n">
        <v>0</v>
      </c>
      <c r="M516" t="n">
        <v>0</v>
      </c>
      <c r="N516" t="n">
        <v>0</v>
      </c>
      <c r="O516" t="n">
        <v>0</v>
      </c>
      <c r="P516" t="n">
        <v>0</v>
      </c>
      <c r="Q516" t="n">
        <v>0</v>
      </c>
      <c r="R516" s="2" t="inlineStr"/>
    </row>
    <row r="517" ht="15" customHeight="1">
      <c r="A517" t="inlineStr">
        <is>
          <t>A 26923-2026</t>
        </is>
      </c>
      <c r="B517" s="1" t="n">
        <v>46185</v>
      </c>
      <c r="C517" s="1" t="n">
        <v>46196</v>
      </c>
      <c r="D517" t="inlineStr">
        <is>
          <t>DALARNAS LÄN</t>
        </is>
      </c>
      <c r="E517" t="inlineStr">
        <is>
          <t>LEKSAND</t>
        </is>
      </c>
      <c r="F517" t="inlineStr">
        <is>
          <t>Bergvik skog väst AB</t>
        </is>
      </c>
      <c r="G517" t="n">
        <v>3.9</v>
      </c>
      <c r="H517" t="n">
        <v>0</v>
      </c>
      <c r="I517" t="n">
        <v>0</v>
      </c>
      <c r="J517" t="n">
        <v>0</v>
      </c>
      <c r="K517" t="n">
        <v>0</v>
      </c>
      <c r="L517" t="n">
        <v>0</v>
      </c>
      <c r="M517" t="n">
        <v>0</v>
      </c>
      <c r="N517" t="n">
        <v>0</v>
      </c>
      <c r="O517" t="n">
        <v>0</v>
      </c>
      <c r="P517" t="n">
        <v>0</v>
      </c>
      <c r="Q517" t="n">
        <v>0</v>
      </c>
      <c r="R517" s="2" t="inlineStr"/>
    </row>
    <row r="518" ht="15" customHeight="1">
      <c r="A518" t="inlineStr">
        <is>
          <t>A 22659-2026</t>
        </is>
      </c>
      <c r="B518" s="1" t="n">
        <v>46155</v>
      </c>
      <c r="C518" s="1" t="n">
        <v>46196</v>
      </c>
      <c r="D518" t="inlineStr">
        <is>
          <t>DALARNAS LÄN</t>
        </is>
      </c>
      <c r="E518" t="inlineStr">
        <is>
          <t>LEKSAND</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27201-2026</t>
        </is>
      </c>
      <c r="B519" s="1" t="n">
        <v>46188</v>
      </c>
      <c r="C519" s="1" t="n">
        <v>46196</v>
      </c>
      <c r="D519" t="inlineStr">
        <is>
          <t>DALARNAS LÄN</t>
        </is>
      </c>
      <c r="E519" t="inlineStr">
        <is>
          <t>LEKSAND</t>
        </is>
      </c>
      <c r="G519" t="n">
        <v>3.7</v>
      </c>
      <c r="H519" t="n">
        <v>0</v>
      </c>
      <c r="I519" t="n">
        <v>0</v>
      </c>
      <c r="J519" t="n">
        <v>0</v>
      </c>
      <c r="K519" t="n">
        <v>0</v>
      </c>
      <c r="L519" t="n">
        <v>0</v>
      </c>
      <c r="M519" t="n">
        <v>0</v>
      </c>
      <c r="N519" t="n">
        <v>0</v>
      </c>
      <c r="O519" t="n">
        <v>0</v>
      </c>
      <c r="P519" t="n">
        <v>0</v>
      </c>
      <c r="Q519" t="n">
        <v>0</v>
      </c>
      <c r="R519" s="2" t="inlineStr"/>
    </row>
    <row r="520" ht="15" customHeight="1">
      <c r="A520" t="inlineStr">
        <is>
          <t>A 21177-2026</t>
        </is>
      </c>
      <c r="B520" s="1" t="n">
        <v>46146</v>
      </c>
      <c r="C520" s="1" t="n">
        <v>46196</v>
      </c>
      <c r="D520" t="inlineStr">
        <is>
          <t>DALARNAS LÄN</t>
        </is>
      </c>
      <c r="E520" t="inlineStr">
        <is>
          <t>LEKSAND</t>
        </is>
      </c>
      <c r="G520" t="n">
        <v>1.8</v>
      </c>
      <c r="H520" t="n">
        <v>0</v>
      </c>
      <c r="I520" t="n">
        <v>0</v>
      </c>
      <c r="J520" t="n">
        <v>0</v>
      </c>
      <c r="K520" t="n">
        <v>0</v>
      </c>
      <c r="L520" t="n">
        <v>0</v>
      </c>
      <c r="M520" t="n">
        <v>0</v>
      </c>
      <c r="N520" t="n">
        <v>0</v>
      </c>
      <c r="O520" t="n">
        <v>0</v>
      </c>
      <c r="P520" t="n">
        <v>0</v>
      </c>
      <c r="Q520" t="n">
        <v>0</v>
      </c>
      <c r="R520" s="2" t="inlineStr"/>
    </row>
    <row r="521" ht="15" customHeight="1">
      <c r="A521" t="inlineStr">
        <is>
          <t>A 21250-2026</t>
        </is>
      </c>
      <c r="B521" s="1" t="n">
        <v>46147</v>
      </c>
      <c r="C521" s="1" t="n">
        <v>46196</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27848-2026</t>
        </is>
      </c>
      <c r="B522" s="1" t="n">
        <v>46191</v>
      </c>
      <c r="C522" s="1" t="n">
        <v>46196</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21563-2026</t>
        </is>
      </c>
      <c r="B523" s="1" t="n">
        <v>46148</v>
      </c>
      <c r="C523" s="1" t="n">
        <v>46196</v>
      </c>
      <c r="D523" t="inlineStr">
        <is>
          <t>DALARNAS LÄN</t>
        </is>
      </c>
      <c r="E523" t="inlineStr">
        <is>
          <t>LEKSAND</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27875-2026</t>
        </is>
      </c>
      <c r="B524" s="1" t="n">
        <v>46191</v>
      </c>
      <c r="C524" s="1" t="n">
        <v>46196</v>
      </c>
      <c r="D524" t="inlineStr">
        <is>
          <t>DALARNAS LÄN</t>
        </is>
      </c>
      <c r="E524" t="inlineStr">
        <is>
          <t>LEKSAND</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21751-2026</t>
        </is>
      </c>
      <c r="B525" s="1" t="n">
        <v>46149</v>
      </c>
      <c r="C525" s="1" t="n">
        <v>46196</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17357-2026</t>
        </is>
      </c>
      <c r="B526" s="1" t="n">
        <v>46119</v>
      </c>
      <c r="C526" s="1" t="n">
        <v>46196</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21627-2026</t>
        </is>
      </c>
      <c r="B527" s="1" t="n">
        <v>46149</v>
      </c>
      <c r="C527" s="1" t="n">
        <v>46196</v>
      </c>
      <c r="D527" t="inlineStr">
        <is>
          <t>DALARNAS LÄN</t>
        </is>
      </c>
      <c r="E527" t="inlineStr">
        <is>
          <t>LEKSAND</t>
        </is>
      </c>
      <c r="F527" t="inlineStr">
        <is>
          <t>Övriga Aktiebolag</t>
        </is>
      </c>
      <c r="G527" t="n">
        <v>1.2</v>
      </c>
      <c r="H527" t="n">
        <v>0</v>
      </c>
      <c r="I527" t="n">
        <v>0</v>
      </c>
      <c r="J527" t="n">
        <v>0</v>
      </c>
      <c r="K527" t="n">
        <v>0</v>
      </c>
      <c r="L527" t="n">
        <v>0</v>
      </c>
      <c r="M527" t="n">
        <v>0</v>
      </c>
      <c r="N527" t="n">
        <v>0</v>
      </c>
      <c r="O527" t="n">
        <v>0</v>
      </c>
      <c r="P527" t="n">
        <v>0</v>
      </c>
      <c r="Q527" t="n">
        <v>0</v>
      </c>
      <c r="R527" s="2" t="inlineStr"/>
    </row>
    <row r="528" ht="15" customHeight="1">
      <c r="A528" t="inlineStr">
        <is>
          <t>A 21544-2026</t>
        </is>
      </c>
      <c r="B528" s="1" t="n">
        <v>46148</v>
      </c>
      <c r="C528" s="1" t="n">
        <v>46196</v>
      </c>
      <c r="D528" t="inlineStr">
        <is>
          <t>DALARNAS LÄN</t>
        </is>
      </c>
      <c r="E528" t="inlineStr">
        <is>
          <t>LEKSAND</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27691-2026</t>
        </is>
      </c>
      <c r="B529" s="1" t="n">
        <v>46190</v>
      </c>
      <c r="C529" s="1" t="n">
        <v>46196</v>
      </c>
      <c r="D529" t="inlineStr">
        <is>
          <t>DALARNAS LÄN</t>
        </is>
      </c>
      <c r="E529" t="inlineStr">
        <is>
          <t>LEKSAND</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27859-2026</t>
        </is>
      </c>
      <c r="B530" s="1" t="n">
        <v>46191</v>
      </c>
      <c r="C530" s="1" t="n">
        <v>46196</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53464-2024</t>
        </is>
      </c>
      <c r="B531" s="1" t="n">
        <v>45611</v>
      </c>
      <c r="C531" s="1" t="n">
        <v>46196</v>
      </c>
      <c r="D531" t="inlineStr">
        <is>
          <t>DALARNAS LÄN</t>
        </is>
      </c>
      <c r="E531" t="inlineStr">
        <is>
          <t>LEKSAND</t>
        </is>
      </c>
      <c r="G531" t="n">
        <v>1.7</v>
      </c>
      <c r="H531" t="n">
        <v>0</v>
      </c>
      <c r="I531" t="n">
        <v>0</v>
      </c>
      <c r="J531" t="n">
        <v>0</v>
      </c>
      <c r="K531" t="n">
        <v>0</v>
      </c>
      <c r="L531" t="n">
        <v>0</v>
      </c>
      <c r="M531" t="n">
        <v>0</v>
      </c>
      <c r="N531" t="n">
        <v>0</v>
      </c>
      <c r="O531" t="n">
        <v>0</v>
      </c>
      <c r="P531" t="n">
        <v>0</v>
      </c>
      <c r="Q531" t="n">
        <v>0</v>
      </c>
      <c r="R531" s="2" t="inlineStr"/>
    </row>
    <row r="532" ht="15" customHeight="1">
      <c r="A532" t="inlineStr">
        <is>
          <t>A 21754-2026</t>
        </is>
      </c>
      <c r="B532" s="1" t="n">
        <v>46149</v>
      </c>
      <c r="C532" s="1" t="n">
        <v>46196</v>
      </c>
      <c r="D532" t="inlineStr">
        <is>
          <t>DALARNAS LÄN</t>
        </is>
      </c>
      <c r="E532" t="inlineStr">
        <is>
          <t>LEKSAND</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37508-2025</t>
        </is>
      </c>
      <c r="B533" s="1" t="n">
        <v>45877</v>
      </c>
      <c r="C533" s="1" t="n">
        <v>46196</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6658-2026</t>
        </is>
      </c>
      <c r="B534" s="1" t="n">
        <v>46056</v>
      </c>
      <c r="C534" s="1" t="n">
        <v>46196</v>
      </c>
      <c r="D534" t="inlineStr">
        <is>
          <t>DALARNAS LÄN</t>
        </is>
      </c>
      <c r="E534" t="inlineStr">
        <is>
          <t>LEKSAND</t>
        </is>
      </c>
      <c r="F534" t="inlineStr">
        <is>
          <t>Bergvik skog väst AB</t>
        </is>
      </c>
      <c r="G534" t="n">
        <v>25</v>
      </c>
      <c r="H534" t="n">
        <v>0</v>
      </c>
      <c r="I534" t="n">
        <v>0</v>
      </c>
      <c r="J534" t="n">
        <v>0</v>
      </c>
      <c r="K534" t="n">
        <v>0</v>
      </c>
      <c r="L534" t="n">
        <v>0</v>
      </c>
      <c r="M534" t="n">
        <v>0</v>
      </c>
      <c r="N534" t="n">
        <v>0</v>
      </c>
      <c r="O534" t="n">
        <v>0</v>
      </c>
      <c r="P534" t="n">
        <v>0</v>
      </c>
      <c r="Q534" t="n">
        <v>0</v>
      </c>
      <c r="R534" s="2" t="inlineStr"/>
    </row>
    <row r="535" ht="15" customHeight="1">
      <c r="A535" t="inlineStr">
        <is>
          <t>A 22202-2026</t>
        </is>
      </c>
      <c r="B535" s="1" t="n">
        <v>46153</v>
      </c>
      <c r="C535" s="1" t="n">
        <v>46196</v>
      </c>
      <c r="D535" t="inlineStr">
        <is>
          <t>DALARNAS LÄN</t>
        </is>
      </c>
      <c r="E535" t="inlineStr">
        <is>
          <t>LEKSAND</t>
        </is>
      </c>
      <c r="F535" t="inlineStr">
        <is>
          <t>Bergvik skog väst AB</t>
        </is>
      </c>
      <c r="G535" t="n">
        <v>7</v>
      </c>
      <c r="H535" t="n">
        <v>0</v>
      </c>
      <c r="I535" t="n">
        <v>0</v>
      </c>
      <c r="J535" t="n">
        <v>0</v>
      </c>
      <c r="K535" t="n">
        <v>0</v>
      </c>
      <c r="L535" t="n">
        <v>0</v>
      </c>
      <c r="M535" t="n">
        <v>0</v>
      </c>
      <c r="N535" t="n">
        <v>0</v>
      </c>
      <c r="O535" t="n">
        <v>0</v>
      </c>
      <c r="P535" t="n">
        <v>0</v>
      </c>
      <c r="Q535" t="n">
        <v>0</v>
      </c>
      <c r="R535" s="2" t="inlineStr"/>
    </row>
    <row r="536" ht="15" customHeight="1">
      <c r="A536" t="inlineStr">
        <is>
          <t>A 60170-2025</t>
        </is>
      </c>
      <c r="B536" s="1" t="n">
        <v>45994</v>
      </c>
      <c r="C536" s="1" t="n">
        <v>46196</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2853-2026</t>
        </is>
      </c>
      <c r="B537" s="1" t="n">
        <v>46038</v>
      </c>
      <c r="C537" s="1" t="n">
        <v>46196</v>
      </c>
      <c r="D537" t="inlineStr">
        <is>
          <t>DALARNAS LÄN</t>
        </is>
      </c>
      <c r="E537" t="inlineStr">
        <is>
          <t>LEKSAND</t>
        </is>
      </c>
      <c r="G537" t="n">
        <v>1.4</v>
      </c>
      <c r="H537" t="n">
        <v>0</v>
      </c>
      <c r="I537" t="n">
        <v>0</v>
      </c>
      <c r="J537" t="n">
        <v>0</v>
      </c>
      <c r="K537" t="n">
        <v>0</v>
      </c>
      <c r="L537" t="n">
        <v>0</v>
      </c>
      <c r="M537" t="n">
        <v>0</v>
      </c>
      <c r="N537" t="n">
        <v>0</v>
      </c>
      <c r="O537" t="n">
        <v>0</v>
      </c>
      <c r="P537" t="n">
        <v>0</v>
      </c>
      <c r="Q537" t="n">
        <v>0</v>
      </c>
      <c r="R537" s="2" t="inlineStr"/>
    </row>
    <row r="538" ht="15" customHeight="1">
      <c r="A538" t="inlineStr">
        <is>
          <t>A 32666-2023</t>
        </is>
      </c>
      <c r="B538" s="1" t="n">
        <v>45121</v>
      </c>
      <c r="C538" s="1" t="n">
        <v>46196</v>
      </c>
      <c r="D538" t="inlineStr">
        <is>
          <t>DALARNAS LÄN</t>
        </is>
      </c>
      <c r="E538" t="inlineStr">
        <is>
          <t>LEKSAND</t>
        </is>
      </c>
      <c r="G538" t="n">
        <v>9.9</v>
      </c>
      <c r="H538" t="n">
        <v>0</v>
      </c>
      <c r="I538" t="n">
        <v>0</v>
      </c>
      <c r="J538" t="n">
        <v>0</v>
      </c>
      <c r="K538" t="n">
        <v>0</v>
      </c>
      <c r="L538" t="n">
        <v>0</v>
      </c>
      <c r="M538" t="n">
        <v>0</v>
      </c>
      <c r="N538" t="n">
        <v>0</v>
      </c>
      <c r="O538" t="n">
        <v>0</v>
      </c>
      <c r="P538" t="n">
        <v>0</v>
      </c>
      <c r="Q538" t="n">
        <v>0</v>
      </c>
      <c r="R538" s="2" t="inlineStr"/>
    </row>
    <row r="539" ht="15" customHeight="1">
      <c r="A539" t="inlineStr">
        <is>
          <t>A 12988-2026</t>
        </is>
      </c>
      <c r="B539" s="1" t="n">
        <v>46092</v>
      </c>
      <c r="C539" s="1" t="n">
        <v>46196</v>
      </c>
      <c r="D539" t="inlineStr">
        <is>
          <t>DALARNAS LÄN</t>
        </is>
      </c>
      <c r="E539" t="inlineStr">
        <is>
          <t>LEKSAND</t>
        </is>
      </c>
      <c r="G539" t="n">
        <v>1.2</v>
      </c>
      <c r="H539" t="n">
        <v>0</v>
      </c>
      <c r="I539" t="n">
        <v>0</v>
      </c>
      <c r="J539" t="n">
        <v>0</v>
      </c>
      <c r="K539" t="n">
        <v>0</v>
      </c>
      <c r="L539" t="n">
        <v>0</v>
      </c>
      <c r="M539" t="n">
        <v>0</v>
      </c>
      <c r="N539" t="n">
        <v>0</v>
      </c>
      <c r="O539" t="n">
        <v>0</v>
      </c>
      <c r="P539" t="n">
        <v>0</v>
      </c>
      <c r="Q539" t="n">
        <v>0</v>
      </c>
      <c r="R539" s="2" t="inlineStr"/>
    </row>
    <row r="540" ht="15" customHeight="1">
      <c r="A540" t="inlineStr">
        <is>
          <t>A 22105-2026</t>
        </is>
      </c>
      <c r="B540" s="1" t="n">
        <v>46153</v>
      </c>
      <c r="C540" s="1" t="n">
        <v>46196</v>
      </c>
      <c r="D540" t="inlineStr">
        <is>
          <t>DALARNAS LÄN</t>
        </is>
      </c>
      <c r="E540" t="inlineStr">
        <is>
          <t>LEKSAND</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21856-2026</t>
        </is>
      </c>
      <c r="B541" s="1" t="n">
        <v>46150</v>
      </c>
      <c r="C541" s="1" t="n">
        <v>46196</v>
      </c>
      <c r="D541" t="inlineStr">
        <is>
          <t>DALARNAS LÄN</t>
        </is>
      </c>
      <c r="E541" t="inlineStr">
        <is>
          <t>LEKSAND</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46628-2024</t>
        </is>
      </c>
      <c r="B542" s="1" t="n">
        <v>45583</v>
      </c>
      <c r="C542" s="1" t="n">
        <v>46196</v>
      </c>
      <c r="D542" t="inlineStr">
        <is>
          <t>DALARNAS LÄN</t>
        </is>
      </c>
      <c r="E542" t="inlineStr">
        <is>
          <t>LEKSAND</t>
        </is>
      </c>
      <c r="G542" t="n">
        <v>0.2</v>
      </c>
      <c r="H542" t="n">
        <v>0</v>
      </c>
      <c r="I542" t="n">
        <v>0</v>
      </c>
      <c r="J542" t="n">
        <v>0</v>
      </c>
      <c r="K542" t="n">
        <v>0</v>
      </c>
      <c r="L542" t="n">
        <v>0</v>
      </c>
      <c r="M542" t="n">
        <v>0</v>
      </c>
      <c r="N542" t="n">
        <v>0</v>
      </c>
      <c r="O542" t="n">
        <v>0</v>
      </c>
      <c r="P542" t="n">
        <v>0</v>
      </c>
      <c r="Q542" t="n">
        <v>0</v>
      </c>
      <c r="R542" s="2" t="inlineStr"/>
    </row>
    <row r="543" ht="15" customHeight="1">
      <c r="A543" t="inlineStr">
        <is>
          <t>A 43231-2024</t>
        </is>
      </c>
      <c r="B543" s="1" t="n">
        <v>45567</v>
      </c>
      <c r="C543" s="1" t="n">
        <v>46196</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17533-2023</t>
        </is>
      </c>
      <c r="B544" s="1" t="n">
        <v>45036</v>
      </c>
      <c r="C544" s="1" t="n">
        <v>46196</v>
      </c>
      <c r="D544" t="inlineStr">
        <is>
          <t>DALARNAS LÄN</t>
        </is>
      </c>
      <c r="E544" t="inlineStr">
        <is>
          <t>LEKSAND</t>
        </is>
      </c>
      <c r="G544" t="n">
        <v>3</v>
      </c>
      <c r="H544" t="n">
        <v>0</v>
      </c>
      <c r="I544" t="n">
        <v>0</v>
      </c>
      <c r="J544" t="n">
        <v>0</v>
      </c>
      <c r="K544" t="n">
        <v>0</v>
      </c>
      <c r="L544" t="n">
        <v>0</v>
      </c>
      <c r="M544" t="n">
        <v>0</v>
      </c>
      <c r="N544" t="n">
        <v>0</v>
      </c>
      <c r="O544" t="n">
        <v>0</v>
      </c>
      <c r="P544" t="n">
        <v>0</v>
      </c>
      <c r="Q544" t="n">
        <v>0</v>
      </c>
      <c r="R544" s="2" t="inlineStr"/>
    </row>
    <row r="545" ht="15" customHeight="1">
      <c r="A545" t="inlineStr">
        <is>
          <t>A 54914-2024</t>
        </is>
      </c>
      <c r="B545" s="1" t="n">
        <v>45618</v>
      </c>
      <c r="C545" s="1" t="n">
        <v>46196</v>
      </c>
      <c r="D545" t="inlineStr">
        <is>
          <t>DALARNAS LÄN</t>
        </is>
      </c>
      <c r="E545" t="inlineStr">
        <is>
          <t>LEKSAND</t>
        </is>
      </c>
      <c r="G545" t="n">
        <v>1.7</v>
      </c>
      <c r="H545" t="n">
        <v>0</v>
      </c>
      <c r="I545" t="n">
        <v>0</v>
      </c>
      <c r="J545" t="n">
        <v>0</v>
      </c>
      <c r="K545" t="n">
        <v>0</v>
      </c>
      <c r="L545" t="n">
        <v>0</v>
      </c>
      <c r="M545" t="n">
        <v>0</v>
      </c>
      <c r="N545" t="n">
        <v>0</v>
      </c>
      <c r="O545" t="n">
        <v>0</v>
      </c>
      <c r="P545" t="n">
        <v>0</v>
      </c>
      <c r="Q545" t="n">
        <v>0</v>
      </c>
      <c r="R545" s="2" t="inlineStr"/>
    </row>
    <row r="546" ht="15" customHeight="1">
      <c r="A546" t="inlineStr">
        <is>
          <t>A 58244-2024</t>
        </is>
      </c>
      <c r="B546" s="1" t="n">
        <v>45631</v>
      </c>
      <c r="C546" s="1" t="n">
        <v>46196</v>
      </c>
      <c r="D546" t="inlineStr">
        <is>
          <t>DALARNAS LÄN</t>
        </is>
      </c>
      <c r="E546" t="inlineStr">
        <is>
          <t>LEKSAND</t>
        </is>
      </c>
      <c r="G546" t="n">
        <v>1.9</v>
      </c>
      <c r="H546" t="n">
        <v>0</v>
      </c>
      <c r="I546" t="n">
        <v>0</v>
      </c>
      <c r="J546" t="n">
        <v>0</v>
      </c>
      <c r="K546" t="n">
        <v>0</v>
      </c>
      <c r="L546" t="n">
        <v>0</v>
      </c>
      <c r="M546" t="n">
        <v>0</v>
      </c>
      <c r="N546" t="n">
        <v>0</v>
      </c>
      <c r="O546" t="n">
        <v>0</v>
      </c>
      <c r="P546" t="n">
        <v>0</v>
      </c>
      <c r="Q546" t="n">
        <v>0</v>
      </c>
      <c r="R546" s="2" t="inlineStr"/>
    </row>
    <row r="547" ht="15" customHeight="1">
      <c r="A547" t="inlineStr">
        <is>
          <t>A 61546-2021</t>
        </is>
      </c>
      <c r="B547" s="1" t="n">
        <v>44501</v>
      </c>
      <c r="C547" s="1" t="n">
        <v>46196</v>
      </c>
      <c r="D547" t="inlineStr">
        <is>
          <t>DALARNAS LÄN</t>
        </is>
      </c>
      <c r="E547" t="inlineStr">
        <is>
          <t>LEKSAND</t>
        </is>
      </c>
      <c r="G547" t="n">
        <v>3</v>
      </c>
      <c r="H547" t="n">
        <v>0</v>
      </c>
      <c r="I547" t="n">
        <v>0</v>
      </c>
      <c r="J547" t="n">
        <v>0</v>
      </c>
      <c r="K547" t="n">
        <v>0</v>
      </c>
      <c r="L547" t="n">
        <v>0</v>
      </c>
      <c r="M547" t="n">
        <v>0</v>
      </c>
      <c r="N547" t="n">
        <v>0</v>
      </c>
      <c r="O547" t="n">
        <v>0</v>
      </c>
      <c r="P547" t="n">
        <v>0</v>
      </c>
      <c r="Q547" t="n">
        <v>0</v>
      </c>
      <c r="R547" s="2" t="inlineStr"/>
    </row>
    <row r="548" ht="15" customHeight="1">
      <c r="A548" t="inlineStr">
        <is>
          <t>A 41046-2024</t>
        </is>
      </c>
      <c r="B548" s="1" t="n">
        <v>45559</v>
      </c>
      <c r="C548" s="1" t="n">
        <v>46196</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16005-2025</t>
        </is>
      </c>
      <c r="B549" s="1" t="n">
        <v>45749</v>
      </c>
      <c r="C549" s="1" t="n">
        <v>46196</v>
      </c>
      <c r="D549" t="inlineStr">
        <is>
          <t>DALARNAS LÄN</t>
        </is>
      </c>
      <c r="E549" t="inlineStr">
        <is>
          <t>LEKSAND</t>
        </is>
      </c>
      <c r="G549" t="n">
        <v>2.1</v>
      </c>
      <c r="H549" t="n">
        <v>0</v>
      </c>
      <c r="I549" t="n">
        <v>0</v>
      </c>
      <c r="J549" t="n">
        <v>0</v>
      </c>
      <c r="K549" t="n">
        <v>0</v>
      </c>
      <c r="L549" t="n">
        <v>0</v>
      </c>
      <c r="M549" t="n">
        <v>0</v>
      </c>
      <c r="N549" t="n">
        <v>0</v>
      </c>
      <c r="O549" t="n">
        <v>0</v>
      </c>
      <c r="P549" t="n">
        <v>0</v>
      </c>
      <c r="Q549" t="n">
        <v>0</v>
      </c>
      <c r="R549" s="2" t="inlineStr"/>
    </row>
    <row r="550" ht="15" customHeight="1">
      <c r="A550" t="inlineStr">
        <is>
          <t>A 5738-2023</t>
        </is>
      </c>
      <c r="B550" s="1" t="n">
        <v>44962</v>
      </c>
      <c r="C550" s="1" t="n">
        <v>46196</v>
      </c>
      <c r="D550" t="inlineStr">
        <is>
          <t>DALARNAS LÄN</t>
        </is>
      </c>
      <c r="E550" t="inlineStr">
        <is>
          <t>LEKSAND</t>
        </is>
      </c>
      <c r="G550" t="n">
        <v>0.2</v>
      </c>
      <c r="H550" t="n">
        <v>0</v>
      </c>
      <c r="I550" t="n">
        <v>0</v>
      </c>
      <c r="J550" t="n">
        <v>0</v>
      </c>
      <c r="K550" t="n">
        <v>0</v>
      </c>
      <c r="L550" t="n">
        <v>0</v>
      </c>
      <c r="M550" t="n">
        <v>0</v>
      </c>
      <c r="N550" t="n">
        <v>0</v>
      </c>
      <c r="O550" t="n">
        <v>0</v>
      </c>
      <c r="P550" t="n">
        <v>0</v>
      </c>
      <c r="Q550" t="n">
        <v>0</v>
      </c>
      <c r="R550" s="2" t="inlineStr"/>
    </row>
    <row r="551" ht="15" customHeight="1">
      <c r="A551" t="inlineStr">
        <is>
          <t>A 8940-2023</t>
        </is>
      </c>
      <c r="B551" s="1" t="n">
        <v>44974</v>
      </c>
      <c r="C551" s="1" t="n">
        <v>46196</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11128-2023</t>
        </is>
      </c>
      <c r="B552" s="1" t="n">
        <v>44992</v>
      </c>
      <c r="C552" s="1" t="n">
        <v>46196</v>
      </c>
      <c r="D552" t="inlineStr">
        <is>
          <t>DALARNAS LÄN</t>
        </is>
      </c>
      <c r="E552" t="inlineStr">
        <is>
          <t>LEKSAND</t>
        </is>
      </c>
      <c r="G552" t="n">
        <v>1.5</v>
      </c>
      <c r="H552" t="n">
        <v>0</v>
      </c>
      <c r="I552" t="n">
        <v>0</v>
      </c>
      <c r="J552" t="n">
        <v>0</v>
      </c>
      <c r="K552" t="n">
        <v>0</v>
      </c>
      <c r="L552" t="n">
        <v>0</v>
      </c>
      <c r="M552" t="n">
        <v>0</v>
      </c>
      <c r="N552" t="n">
        <v>0</v>
      </c>
      <c r="O552" t="n">
        <v>0</v>
      </c>
      <c r="P552" t="n">
        <v>0</v>
      </c>
      <c r="Q552" t="n">
        <v>0</v>
      </c>
      <c r="R552" s="2" t="inlineStr"/>
    </row>
    <row r="553" ht="15" customHeight="1">
      <c r="A553" t="inlineStr">
        <is>
          <t>A 38001-2023</t>
        </is>
      </c>
      <c r="B553" s="1" t="n">
        <v>45160</v>
      </c>
      <c r="C553" s="1" t="n">
        <v>46196</v>
      </c>
      <c r="D553" t="inlineStr">
        <is>
          <t>DALARNAS LÄN</t>
        </is>
      </c>
      <c r="E553" t="inlineStr">
        <is>
          <t>LEKSAND</t>
        </is>
      </c>
      <c r="G553" t="n">
        <v>3.6</v>
      </c>
      <c r="H553" t="n">
        <v>0</v>
      </c>
      <c r="I553" t="n">
        <v>0</v>
      </c>
      <c r="J553" t="n">
        <v>0</v>
      </c>
      <c r="K553" t="n">
        <v>0</v>
      </c>
      <c r="L553" t="n">
        <v>0</v>
      </c>
      <c r="M553" t="n">
        <v>0</v>
      </c>
      <c r="N553" t="n">
        <v>0</v>
      </c>
      <c r="O553" t="n">
        <v>0</v>
      </c>
      <c r="P553" t="n">
        <v>0</v>
      </c>
      <c r="Q553" t="n">
        <v>0</v>
      </c>
      <c r="R553" s="2" t="inlineStr"/>
    </row>
    <row r="554" ht="15" customHeight="1">
      <c r="A554" t="inlineStr">
        <is>
          <t>A 47673-2023</t>
        </is>
      </c>
      <c r="B554" s="1" t="n">
        <v>45203</v>
      </c>
      <c r="C554" s="1" t="n">
        <v>46196</v>
      </c>
      <c r="D554" t="inlineStr">
        <is>
          <t>DALARNAS LÄN</t>
        </is>
      </c>
      <c r="E554" t="inlineStr">
        <is>
          <t>LEKSAND</t>
        </is>
      </c>
      <c r="G554" t="n">
        <v>2</v>
      </c>
      <c r="H554" t="n">
        <v>0</v>
      </c>
      <c r="I554" t="n">
        <v>0</v>
      </c>
      <c r="J554" t="n">
        <v>0</v>
      </c>
      <c r="K554" t="n">
        <v>0</v>
      </c>
      <c r="L554" t="n">
        <v>0</v>
      </c>
      <c r="M554" t="n">
        <v>0</v>
      </c>
      <c r="N554" t="n">
        <v>0</v>
      </c>
      <c r="O554" t="n">
        <v>0</v>
      </c>
      <c r="P554" t="n">
        <v>0</v>
      </c>
      <c r="Q554" t="n">
        <v>0</v>
      </c>
      <c r="R554" s="2" t="inlineStr"/>
    </row>
    <row r="555" ht="15" customHeight="1">
      <c r="A555" t="inlineStr">
        <is>
          <t>A 19820-2024</t>
        </is>
      </c>
      <c r="B555" s="1" t="n">
        <v>45433</v>
      </c>
      <c r="C555" s="1" t="n">
        <v>46196</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19823-2024</t>
        </is>
      </c>
      <c r="B556" s="1" t="n">
        <v>45433</v>
      </c>
      <c r="C556" s="1" t="n">
        <v>46196</v>
      </c>
      <c r="D556" t="inlineStr">
        <is>
          <t>DALARNAS LÄN</t>
        </is>
      </c>
      <c r="E556" t="inlineStr">
        <is>
          <t>LEKSAND</t>
        </is>
      </c>
      <c r="G556" t="n">
        <v>0.3</v>
      </c>
      <c r="H556" t="n">
        <v>0</v>
      </c>
      <c r="I556" t="n">
        <v>0</v>
      </c>
      <c r="J556" t="n">
        <v>0</v>
      </c>
      <c r="K556" t="n">
        <v>0</v>
      </c>
      <c r="L556" t="n">
        <v>0</v>
      </c>
      <c r="M556" t="n">
        <v>0</v>
      </c>
      <c r="N556" t="n">
        <v>0</v>
      </c>
      <c r="O556" t="n">
        <v>0</v>
      </c>
      <c r="P556" t="n">
        <v>0</v>
      </c>
      <c r="Q556" t="n">
        <v>0</v>
      </c>
      <c r="R556" s="2" t="inlineStr"/>
    </row>
    <row r="557" ht="15" customHeight="1">
      <c r="A557" t="inlineStr">
        <is>
          <t>A 7653-2025</t>
        </is>
      </c>
      <c r="B557" s="1" t="n">
        <v>45705</v>
      </c>
      <c r="C557" s="1" t="n">
        <v>46196</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6039-2023</t>
        </is>
      </c>
      <c r="B558" s="1" t="n">
        <v>44959</v>
      </c>
      <c r="C558" s="1" t="n">
        <v>46196</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6758-2024</t>
        </is>
      </c>
      <c r="B559" s="1" t="n">
        <v>45342</v>
      </c>
      <c r="C559" s="1" t="n">
        <v>46196</v>
      </c>
      <c r="D559" t="inlineStr">
        <is>
          <t>DALARNAS LÄN</t>
        </is>
      </c>
      <c r="E559" t="inlineStr">
        <is>
          <t>LEKSAND</t>
        </is>
      </c>
      <c r="F559" t="inlineStr">
        <is>
          <t>Bergvik skog väst AB</t>
        </is>
      </c>
      <c r="G559" t="n">
        <v>6.2</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46196</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30998-2023</t>
        </is>
      </c>
      <c r="B561" s="1" t="n">
        <v>45113</v>
      </c>
      <c r="C561" s="1" t="n">
        <v>46196</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31254-2023</t>
        </is>
      </c>
      <c r="B562" s="1" t="n">
        <v>45114</v>
      </c>
      <c r="C562" s="1" t="n">
        <v>46196</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23283-2024</t>
        </is>
      </c>
      <c r="B563" s="1" t="n">
        <v>45453</v>
      </c>
      <c r="C563" s="1" t="n">
        <v>46196</v>
      </c>
      <c r="D563" t="inlineStr">
        <is>
          <t>DALARNAS LÄN</t>
        </is>
      </c>
      <c r="E563" t="inlineStr">
        <is>
          <t>LEKSAND</t>
        </is>
      </c>
      <c r="G563" t="n">
        <v>0.9</v>
      </c>
      <c r="H563" t="n">
        <v>0</v>
      </c>
      <c r="I563" t="n">
        <v>0</v>
      </c>
      <c r="J563" t="n">
        <v>0</v>
      </c>
      <c r="K563" t="n">
        <v>0</v>
      </c>
      <c r="L563" t="n">
        <v>0</v>
      </c>
      <c r="M563" t="n">
        <v>0</v>
      </c>
      <c r="N563" t="n">
        <v>0</v>
      </c>
      <c r="O563" t="n">
        <v>0</v>
      </c>
      <c r="P563" t="n">
        <v>0</v>
      </c>
      <c r="Q563" t="n">
        <v>0</v>
      </c>
      <c r="R563" s="2" t="inlineStr"/>
    </row>
    <row r="564" ht="15" customHeight="1">
      <c r="A564" t="inlineStr">
        <is>
          <t>A 39807-2024</t>
        </is>
      </c>
      <c r="B564" s="1" t="n">
        <v>45553</v>
      </c>
      <c r="C564" s="1" t="n">
        <v>46196</v>
      </c>
      <c r="D564" t="inlineStr">
        <is>
          <t>DALARNAS LÄN</t>
        </is>
      </c>
      <c r="E564" t="inlineStr">
        <is>
          <t>LEKSAND</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16611-2024</t>
        </is>
      </c>
      <c r="B565" s="1" t="n">
        <v>45408</v>
      </c>
      <c r="C565" s="1" t="n">
        <v>46196</v>
      </c>
      <c r="D565" t="inlineStr">
        <is>
          <t>DALARNAS LÄN</t>
        </is>
      </c>
      <c r="E565" t="inlineStr">
        <is>
          <t>LEKSAND</t>
        </is>
      </c>
      <c r="G565" t="n">
        <v>5.9</v>
      </c>
      <c r="H565" t="n">
        <v>0</v>
      </c>
      <c r="I565" t="n">
        <v>0</v>
      </c>
      <c r="J565" t="n">
        <v>0</v>
      </c>
      <c r="K565" t="n">
        <v>0</v>
      </c>
      <c r="L565" t="n">
        <v>0</v>
      </c>
      <c r="M565" t="n">
        <v>0</v>
      </c>
      <c r="N565" t="n">
        <v>0</v>
      </c>
      <c r="O565" t="n">
        <v>0</v>
      </c>
      <c r="P565" t="n">
        <v>0</v>
      </c>
      <c r="Q565" t="n">
        <v>0</v>
      </c>
      <c r="R565" s="2" t="inlineStr"/>
    </row>
    <row r="566" ht="15" customHeight="1">
      <c r="A566" t="inlineStr">
        <is>
          <t>A 45768-2023</t>
        </is>
      </c>
      <c r="B566" s="1" t="n">
        <v>45195</v>
      </c>
      <c r="C566" s="1" t="n">
        <v>46196</v>
      </c>
      <c r="D566" t="inlineStr">
        <is>
          <t>DALARNAS LÄN</t>
        </is>
      </c>
      <c r="E566" t="inlineStr">
        <is>
          <t>LEKSAND</t>
        </is>
      </c>
      <c r="G566" t="n">
        <v>0.4</v>
      </c>
      <c r="H566" t="n">
        <v>0</v>
      </c>
      <c r="I566" t="n">
        <v>0</v>
      </c>
      <c r="J566" t="n">
        <v>0</v>
      </c>
      <c r="K566" t="n">
        <v>0</v>
      </c>
      <c r="L566" t="n">
        <v>0</v>
      </c>
      <c r="M566" t="n">
        <v>0</v>
      </c>
      <c r="N566" t="n">
        <v>0</v>
      </c>
      <c r="O566" t="n">
        <v>0</v>
      </c>
      <c r="P566" t="n">
        <v>0</v>
      </c>
      <c r="Q566" t="n">
        <v>0</v>
      </c>
      <c r="R566" s="2" t="inlineStr"/>
    </row>
    <row r="567" ht="15" customHeight="1">
      <c r="A567" t="inlineStr">
        <is>
          <t>A 25038-2023</t>
        </is>
      </c>
      <c r="B567" s="1" t="n">
        <v>45085</v>
      </c>
      <c r="C567" s="1" t="n">
        <v>46196</v>
      </c>
      <c r="D567" t="inlineStr">
        <is>
          <t>DALARNAS LÄN</t>
        </is>
      </c>
      <c r="E567" t="inlineStr">
        <is>
          <t>LEKSAND</t>
        </is>
      </c>
      <c r="G567" t="n">
        <v>0.7</v>
      </c>
      <c r="H567" t="n">
        <v>0</v>
      </c>
      <c r="I567" t="n">
        <v>0</v>
      </c>
      <c r="J567" t="n">
        <v>0</v>
      </c>
      <c r="K567" t="n">
        <v>0</v>
      </c>
      <c r="L567" t="n">
        <v>0</v>
      </c>
      <c r="M567" t="n">
        <v>0</v>
      </c>
      <c r="N567" t="n">
        <v>0</v>
      </c>
      <c r="O567" t="n">
        <v>0</v>
      </c>
      <c r="P567" t="n">
        <v>0</v>
      </c>
      <c r="Q567" t="n">
        <v>0</v>
      </c>
      <c r="R567" s="2" t="inlineStr"/>
    </row>
    <row r="568" ht="15" customHeight="1">
      <c r="A568" t="inlineStr">
        <is>
          <t>A 11277-2025</t>
        </is>
      </c>
      <c r="B568" s="1" t="n">
        <v>45726</v>
      </c>
      <c r="C568" s="1" t="n">
        <v>46196</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5570-2024</t>
        </is>
      </c>
      <c r="B569" s="1" t="n">
        <v>45334</v>
      </c>
      <c r="C569" s="1" t="n">
        <v>46196</v>
      </c>
      <c r="D569" t="inlineStr">
        <is>
          <t>DALARNAS LÄN</t>
        </is>
      </c>
      <c r="E569" t="inlineStr">
        <is>
          <t>LEKSAND</t>
        </is>
      </c>
      <c r="G569" t="n">
        <v>0.3</v>
      </c>
      <c r="H569" t="n">
        <v>0</v>
      </c>
      <c r="I569" t="n">
        <v>0</v>
      </c>
      <c r="J569" t="n">
        <v>0</v>
      </c>
      <c r="K569" t="n">
        <v>0</v>
      </c>
      <c r="L569" t="n">
        <v>0</v>
      </c>
      <c r="M569" t="n">
        <v>0</v>
      </c>
      <c r="N569" t="n">
        <v>0</v>
      </c>
      <c r="O569" t="n">
        <v>0</v>
      </c>
      <c r="P569" t="n">
        <v>0</v>
      </c>
      <c r="Q569" t="n">
        <v>0</v>
      </c>
      <c r="R569" s="2" t="inlineStr"/>
    </row>
    <row r="570" ht="15" customHeight="1">
      <c r="A570" t="inlineStr">
        <is>
          <t>A 11403-2023</t>
        </is>
      </c>
      <c r="B570" s="1" t="n">
        <v>44993</v>
      </c>
      <c r="C570" s="1" t="n">
        <v>46196</v>
      </c>
      <c r="D570" t="inlineStr">
        <is>
          <t>DALARNAS LÄN</t>
        </is>
      </c>
      <c r="E570" t="inlineStr">
        <is>
          <t>LEKSAND</t>
        </is>
      </c>
      <c r="G570" t="n">
        <v>0.1</v>
      </c>
      <c r="H570" t="n">
        <v>0</v>
      </c>
      <c r="I570" t="n">
        <v>0</v>
      </c>
      <c r="J570" t="n">
        <v>0</v>
      </c>
      <c r="K570" t="n">
        <v>0</v>
      </c>
      <c r="L570" t="n">
        <v>0</v>
      </c>
      <c r="M570" t="n">
        <v>0</v>
      </c>
      <c r="N570" t="n">
        <v>0</v>
      </c>
      <c r="O570" t="n">
        <v>0</v>
      </c>
      <c r="P570" t="n">
        <v>0</v>
      </c>
      <c r="Q570" t="n">
        <v>0</v>
      </c>
      <c r="R570" s="2" t="inlineStr"/>
    </row>
    <row r="571" ht="15" customHeight="1">
      <c r="A571" t="inlineStr">
        <is>
          <t>A 3737-2023</t>
        </is>
      </c>
      <c r="B571" s="1" t="n">
        <v>44951</v>
      </c>
      <c r="C571" s="1" t="n">
        <v>46196</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43237-2024</t>
        </is>
      </c>
      <c r="B572" s="1" t="n">
        <v>45567</v>
      </c>
      <c r="C572" s="1" t="n">
        <v>46196</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7894-2025</t>
        </is>
      </c>
      <c r="B573" s="1" t="n">
        <v>45707</v>
      </c>
      <c r="C573" s="1" t="n">
        <v>46196</v>
      </c>
      <c r="D573" t="inlineStr">
        <is>
          <t>DALARNAS LÄN</t>
        </is>
      </c>
      <c r="E573" t="inlineStr">
        <is>
          <t>LEKSAND</t>
        </is>
      </c>
      <c r="G573" t="n">
        <v>1.6</v>
      </c>
      <c r="H573" t="n">
        <v>0</v>
      </c>
      <c r="I573" t="n">
        <v>0</v>
      </c>
      <c r="J573" t="n">
        <v>0</v>
      </c>
      <c r="K573" t="n">
        <v>0</v>
      </c>
      <c r="L573" t="n">
        <v>0</v>
      </c>
      <c r="M573" t="n">
        <v>0</v>
      </c>
      <c r="N573" t="n">
        <v>0</v>
      </c>
      <c r="O573" t="n">
        <v>0</v>
      </c>
      <c r="P573" t="n">
        <v>0</v>
      </c>
      <c r="Q573" t="n">
        <v>0</v>
      </c>
      <c r="R573" s="2" t="inlineStr"/>
    </row>
    <row r="574" ht="15" customHeight="1">
      <c r="A574" t="inlineStr">
        <is>
          <t>A 28965-2023</t>
        </is>
      </c>
      <c r="B574" s="1" t="n">
        <v>45104</v>
      </c>
      <c r="C574" s="1" t="n">
        <v>46196</v>
      </c>
      <c r="D574" t="inlineStr">
        <is>
          <t>DALARNAS LÄN</t>
        </is>
      </c>
      <c r="E574" t="inlineStr">
        <is>
          <t>LEKSAND</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16293-2025</t>
        </is>
      </c>
      <c r="B575" s="1" t="n">
        <v>45751</v>
      </c>
      <c r="C575" s="1" t="n">
        <v>46196</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11678-2023</t>
        </is>
      </c>
      <c r="B576" s="1" t="n">
        <v>44994</v>
      </c>
      <c r="C576" s="1" t="n">
        <v>46196</v>
      </c>
      <c r="D576" t="inlineStr">
        <is>
          <t>DALARNAS LÄN</t>
        </is>
      </c>
      <c r="E576" t="inlineStr">
        <is>
          <t>LEKSAND</t>
        </is>
      </c>
      <c r="G576" t="n">
        <v>0.9</v>
      </c>
      <c r="H576" t="n">
        <v>0</v>
      </c>
      <c r="I576" t="n">
        <v>0</v>
      </c>
      <c r="J576" t="n">
        <v>0</v>
      </c>
      <c r="K576" t="n">
        <v>0</v>
      </c>
      <c r="L576" t="n">
        <v>0</v>
      </c>
      <c r="M576" t="n">
        <v>0</v>
      </c>
      <c r="N576" t="n">
        <v>0</v>
      </c>
      <c r="O576" t="n">
        <v>0</v>
      </c>
      <c r="P576" t="n">
        <v>0</v>
      </c>
      <c r="Q576" t="n">
        <v>0</v>
      </c>
      <c r="R576" s="2" t="inlineStr"/>
    </row>
    <row r="577" ht="15" customHeight="1">
      <c r="A577" t="inlineStr">
        <is>
          <t>A 8755-2023</t>
        </is>
      </c>
      <c r="B577" s="1" t="n">
        <v>44978</v>
      </c>
      <c r="C577" s="1" t="n">
        <v>46196</v>
      </c>
      <c r="D577" t="inlineStr">
        <is>
          <t>DALARNAS LÄN</t>
        </is>
      </c>
      <c r="E577" t="inlineStr">
        <is>
          <t>LEKSAND</t>
        </is>
      </c>
      <c r="G577" t="n">
        <v>2.3</v>
      </c>
      <c r="H577" t="n">
        <v>0</v>
      </c>
      <c r="I577" t="n">
        <v>0</v>
      </c>
      <c r="J577" t="n">
        <v>0</v>
      </c>
      <c r="K577" t="n">
        <v>0</v>
      </c>
      <c r="L577" t="n">
        <v>0</v>
      </c>
      <c r="M577" t="n">
        <v>0</v>
      </c>
      <c r="N577" t="n">
        <v>0</v>
      </c>
      <c r="O577" t="n">
        <v>0</v>
      </c>
      <c r="P577" t="n">
        <v>0</v>
      </c>
      <c r="Q577" t="n">
        <v>0</v>
      </c>
      <c r="R577" s="2" t="inlineStr"/>
    </row>
    <row r="578" ht="15" customHeight="1">
      <c r="A578" t="inlineStr">
        <is>
          <t>A 46505-2023</t>
        </is>
      </c>
      <c r="B578" s="1" t="n">
        <v>45197</v>
      </c>
      <c r="C578" s="1" t="n">
        <v>46196</v>
      </c>
      <c r="D578" t="inlineStr">
        <is>
          <t>DALARNAS LÄN</t>
        </is>
      </c>
      <c r="E578" t="inlineStr">
        <is>
          <t>LEKSAND</t>
        </is>
      </c>
      <c r="G578" t="n">
        <v>2.3</v>
      </c>
      <c r="H578" t="n">
        <v>0</v>
      </c>
      <c r="I578" t="n">
        <v>0</v>
      </c>
      <c r="J578" t="n">
        <v>0</v>
      </c>
      <c r="K578" t="n">
        <v>0</v>
      </c>
      <c r="L578" t="n">
        <v>0</v>
      </c>
      <c r="M578" t="n">
        <v>0</v>
      </c>
      <c r="N578" t="n">
        <v>0</v>
      </c>
      <c r="O578" t="n">
        <v>0</v>
      </c>
      <c r="P578" t="n">
        <v>0</v>
      </c>
      <c r="Q578" t="n">
        <v>0</v>
      </c>
      <c r="R578" s="2" t="inlineStr"/>
    </row>
    <row r="579" ht="15" customHeight="1">
      <c r="A579" t="inlineStr">
        <is>
          <t>A 58619-2022</t>
        </is>
      </c>
      <c r="B579" s="1" t="n">
        <v>44902</v>
      </c>
      <c r="C579" s="1" t="n">
        <v>46196</v>
      </c>
      <c r="D579" t="inlineStr">
        <is>
          <t>DALARNAS LÄN</t>
        </is>
      </c>
      <c r="E579" t="inlineStr">
        <is>
          <t>LEKSAND</t>
        </is>
      </c>
      <c r="G579" t="n">
        <v>0.9</v>
      </c>
      <c r="H579" t="n">
        <v>0</v>
      </c>
      <c r="I579" t="n">
        <v>0</v>
      </c>
      <c r="J579" t="n">
        <v>0</v>
      </c>
      <c r="K579" t="n">
        <v>0</v>
      </c>
      <c r="L579" t="n">
        <v>0</v>
      </c>
      <c r="M579" t="n">
        <v>0</v>
      </c>
      <c r="N579" t="n">
        <v>0</v>
      </c>
      <c r="O579" t="n">
        <v>0</v>
      </c>
      <c r="P579" t="n">
        <v>0</v>
      </c>
      <c r="Q579" t="n">
        <v>0</v>
      </c>
      <c r="R579" s="2" t="inlineStr"/>
    </row>
    <row r="580" ht="15" customHeight="1">
      <c r="A580" t="inlineStr">
        <is>
          <t>A 8045-2024</t>
        </is>
      </c>
      <c r="B580" s="1" t="n">
        <v>45351</v>
      </c>
      <c r="C580" s="1" t="n">
        <v>46196</v>
      </c>
      <c r="D580" t="inlineStr">
        <is>
          <t>DALARNAS LÄN</t>
        </is>
      </c>
      <c r="E580" t="inlineStr">
        <is>
          <t>LEKSAND</t>
        </is>
      </c>
      <c r="G580" t="n">
        <v>6.7</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46196</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1946-2024</t>
        </is>
      </c>
      <c r="B582" s="1" t="n">
        <v>45308</v>
      </c>
      <c r="C582" s="1" t="n">
        <v>46196</v>
      </c>
      <c r="D582" t="inlineStr">
        <is>
          <t>DALARNAS LÄN</t>
        </is>
      </c>
      <c r="E582" t="inlineStr">
        <is>
          <t>LEKSAND</t>
        </is>
      </c>
      <c r="G582" t="n">
        <v>2.3</v>
      </c>
      <c r="H582" t="n">
        <v>0</v>
      </c>
      <c r="I582" t="n">
        <v>0</v>
      </c>
      <c r="J582" t="n">
        <v>0</v>
      </c>
      <c r="K582" t="n">
        <v>0</v>
      </c>
      <c r="L582" t="n">
        <v>0</v>
      </c>
      <c r="M582" t="n">
        <v>0</v>
      </c>
      <c r="N582" t="n">
        <v>0</v>
      </c>
      <c r="O582" t="n">
        <v>0</v>
      </c>
      <c r="P582" t="n">
        <v>0</v>
      </c>
      <c r="Q582" t="n">
        <v>0</v>
      </c>
      <c r="R582" s="2" t="inlineStr"/>
    </row>
    <row r="583" ht="15" customHeight="1">
      <c r="A583" t="inlineStr">
        <is>
          <t>A 11015-2022</t>
        </is>
      </c>
      <c r="B583" s="1" t="n">
        <v>44628</v>
      </c>
      <c r="C583" s="1" t="n">
        <v>46196</v>
      </c>
      <c r="D583" t="inlineStr">
        <is>
          <t>DALARNAS LÄN</t>
        </is>
      </c>
      <c r="E583" t="inlineStr">
        <is>
          <t>LEKSAND</t>
        </is>
      </c>
      <c r="G583" t="n">
        <v>1.4</v>
      </c>
      <c r="H583" t="n">
        <v>0</v>
      </c>
      <c r="I583" t="n">
        <v>0</v>
      </c>
      <c r="J583" t="n">
        <v>0</v>
      </c>
      <c r="K583" t="n">
        <v>0</v>
      </c>
      <c r="L583" t="n">
        <v>0</v>
      </c>
      <c r="M583" t="n">
        <v>0</v>
      </c>
      <c r="N583" t="n">
        <v>0</v>
      </c>
      <c r="O583" t="n">
        <v>0</v>
      </c>
      <c r="P583" t="n">
        <v>0</v>
      </c>
      <c r="Q583" t="n">
        <v>0</v>
      </c>
      <c r="R583" s="2" t="inlineStr"/>
    </row>
    <row r="584" ht="15" customHeight="1">
      <c r="A584" t="inlineStr">
        <is>
          <t>A 40752-2024</t>
        </is>
      </c>
      <c r="B584" s="1" t="n">
        <v>45558</v>
      </c>
      <c r="C584" s="1" t="n">
        <v>46196</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15882-2023</t>
        </is>
      </c>
      <c r="B585" s="1" t="n">
        <v>45022</v>
      </c>
      <c r="C585" s="1" t="n">
        <v>46196</v>
      </c>
      <c r="D585" t="inlineStr">
        <is>
          <t>DALARNAS LÄN</t>
        </is>
      </c>
      <c r="E585" t="inlineStr">
        <is>
          <t>LEKSAND</t>
        </is>
      </c>
      <c r="G585" t="n">
        <v>0.1</v>
      </c>
      <c r="H585" t="n">
        <v>0</v>
      </c>
      <c r="I585" t="n">
        <v>0</v>
      </c>
      <c r="J585" t="n">
        <v>0</v>
      </c>
      <c r="K585" t="n">
        <v>0</v>
      </c>
      <c r="L585" t="n">
        <v>0</v>
      </c>
      <c r="M585" t="n">
        <v>0</v>
      </c>
      <c r="N585" t="n">
        <v>0</v>
      </c>
      <c r="O585" t="n">
        <v>0</v>
      </c>
      <c r="P585" t="n">
        <v>0</v>
      </c>
      <c r="Q585" t="n">
        <v>0</v>
      </c>
      <c r="R585" s="2" t="inlineStr"/>
    </row>
    <row r="586" ht="15" customHeight="1">
      <c r="A586" t="inlineStr">
        <is>
          <t>A 5583-2024</t>
        </is>
      </c>
      <c r="B586" s="1" t="n">
        <v>45334</v>
      </c>
      <c r="C586" s="1" t="n">
        <v>46196</v>
      </c>
      <c r="D586" t="inlineStr">
        <is>
          <t>DALARNAS LÄN</t>
        </is>
      </c>
      <c r="E586" t="inlineStr">
        <is>
          <t>LEKSAND</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56950-2024</t>
        </is>
      </c>
      <c r="B587" s="1" t="n">
        <v>45625</v>
      </c>
      <c r="C587" s="1" t="n">
        <v>46196</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43693-2022</t>
        </is>
      </c>
      <c r="B588" s="1" t="n">
        <v>44837</v>
      </c>
      <c r="C588" s="1" t="n">
        <v>46196</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3352-2024</t>
        </is>
      </c>
      <c r="B589" s="1" t="n">
        <v>45317</v>
      </c>
      <c r="C589" s="1" t="n">
        <v>46196</v>
      </c>
      <c r="D589" t="inlineStr">
        <is>
          <t>DALARNAS LÄN</t>
        </is>
      </c>
      <c r="E589" t="inlineStr">
        <is>
          <t>LEKSAND</t>
        </is>
      </c>
      <c r="G589" t="n">
        <v>1.2</v>
      </c>
      <c r="H589" t="n">
        <v>0</v>
      </c>
      <c r="I589" t="n">
        <v>0</v>
      </c>
      <c r="J589" t="n">
        <v>0</v>
      </c>
      <c r="K589" t="n">
        <v>0</v>
      </c>
      <c r="L589" t="n">
        <v>0</v>
      </c>
      <c r="M589" t="n">
        <v>0</v>
      </c>
      <c r="N589" t="n">
        <v>0</v>
      </c>
      <c r="O589" t="n">
        <v>0</v>
      </c>
      <c r="P589" t="n">
        <v>0</v>
      </c>
      <c r="Q589" t="n">
        <v>0</v>
      </c>
      <c r="R589" s="2" t="inlineStr"/>
    </row>
    <row r="590" ht="15" customHeight="1">
      <c r="A590" t="inlineStr">
        <is>
          <t>A 13165-2023</t>
        </is>
      </c>
      <c r="B590" s="1" t="n">
        <v>45002</v>
      </c>
      <c r="C590" s="1" t="n">
        <v>46196</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39620-2024</t>
        </is>
      </c>
      <c r="B591" s="1" t="n">
        <v>45552</v>
      </c>
      <c r="C591" s="1" t="n">
        <v>46196</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30204-2024</t>
        </is>
      </c>
      <c r="B592" s="1" t="n">
        <v>45490</v>
      </c>
      <c r="C592" s="1" t="n">
        <v>46196</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6050-2023</t>
        </is>
      </c>
      <c r="B593" s="1" t="n">
        <v>44959</v>
      </c>
      <c r="C593" s="1" t="n">
        <v>46196</v>
      </c>
      <c r="D593" t="inlineStr">
        <is>
          <t>DALARNAS LÄN</t>
        </is>
      </c>
      <c r="E593" t="inlineStr">
        <is>
          <t>LEKSAND</t>
        </is>
      </c>
      <c r="G593" t="n">
        <v>6.2</v>
      </c>
      <c r="H593" t="n">
        <v>0</v>
      </c>
      <c r="I593" t="n">
        <v>0</v>
      </c>
      <c r="J593" t="n">
        <v>0</v>
      </c>
      <c r="K593" t="n">
        <v>0</v>
      </c>
      <c r="L593" t="n">
        <v>0</v>
      </c>
      <c r="M593" t="n">
        <v>0</v>
      </c>
      <c r="N593" t="n">
        <v>0</v>
      </c>
      <c r="O593" t="n">
        <v>0</v>
      </c>
      <c r="P593" t="n">
        <v>0</v>
      </c>
      <c r="Q593" t="n">
        <v>0</v>
      </c>
      <c r="R593" s="2" t="inlineStr"/>
    </row>
    <row r="594" ht="15" customHeight="1">
      <c r="A594" t="inlineStr">
        <is>
          <t>A 17730-2024</t>
        </is>
      </c>
      <c r="B594" s="1" t="n">
        <v>45418</v>
      </c>
      <c r="C594" s="1" t="n">
        <v>46196</v>
      </c>
      <c r="D594" t="inlineStr">
        <is>
          <t>DALARNAS LÄN</t>
        </is>
      </c>
      <c r="E594" t="inlineStr">
        <is>
          <t>LEKSAND</t>
        </is>
      </c>
      <c r="G594" t="n">
        <v>2.4</v>
      </c>
      <c r="H594" t="n">
        <v>0</v>
      </c>
      <c r="I594" t="n">
        <v>0</v>
      </c>
      <c r="J594" t="n">
        <v>0</v>
      </c>
      <c r="K594" t="n">
        <v>0</v>
      </c>
      <c r="L594" t="n">
        <v>0</v>
      </c>
      <c r="M594" t="n">
        <v>0</v>
      </c>
      <c r="N594" t="n">
        <v>0</v>
      </c>
      <c r="O594" t="n">
        <v>0</v>
      </c>
      <c r="P594" t="n">
        <v>0</v>
      </c>
      <c r="Q594" t="n">
        <v>0</v>
      </c>
      <c r="R594" s="2" t="inlineStr"/>
    </row>
    <row r="595" ht="15" customHeight="1">
      <c r="A595" t="inlineStr">
        <is>
          <t>A 7759-2025</t>
        </is>
      </c>
      <c r="B595" s="1" t="n">
        <v>45706</v>
      </c>
      <c r="C595" s="1" t="n">
        <v>46196</v>
      </c>
      <c r="D595" t="inlineStr">
        <is>
          <t>DALARNAS LÄN</t>
        </is>
      </c>
      <c r="E595" t="inlineStr">
        <is>
          <t>LEKSAND</t>
        </is>
      </c>
      <c r="G595" t="n">
        <v>3.3</v>
      </c>
      <c r="H595" t="n">
        <v>0</v>
      </c>
      <c r="I595" t="n">
        <v>0</v>
      </c>
      <c r="J595" t="n">
        <v>0</v>
      </c>
      <c r="K595" t="n">
        <v>0</v>
      </c>
      <c r="L595" t="n">
        <v>0</v>
      </c>
      <c r="M595" t="n">
        <v>0</v>
      </c>
      <c r="N595" t="n">
        <v>0</v>
      </c>
      <c r="O595" t="n">
        <v>0</v>
      </c>
      <c r="P595" t="n">
        <v>0</v>
      </c>
      <c r="Q595" t="n">
        <v>0</v>
      </c>
      <c r="R595" s="2" t="inlineStr"/>
    </row>
    <row r="596" ht="15" customHeight="1">
      <c r="A596" t="inlineStr">
        <is>
          <t>A 12356-2023</t>
        </is>
      </c>
      <c r="B596" s="1" t="n">
        <v>44998</v>
      </c>
      <c r="C596" s="1" t="n">
        <v>46196</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12363-2023</t>
        </is>
      </c>
      <c r="B597" s="1" t="n">
        <v>44998</v>
      </c>
      <c r="C597" s="1" t="n">
        <v>46196</v>
      </c>
      <c r="D597" t="inlineStr">
        <is>
          <t>DALARNAS LÄN</t>
        </is>
      </c>
      <c r="E597" t="inlineStr">
        <is>
          <t>LEKSAND</t>
        </is>
      </c>
      <c r="G597" t="n">
        <v>10</v>
      </c>
      <c r="H597" t="n">
        <v>0</v>
      </c>
      <c r="I597" t="n">
        <v>0</v>
      </c>
      <c r="J597" t="n">
        <v>0</v>
      </c>
      <c r="K597" t="n">
        <v>0</v>
      </c>
      <c r="L597" t="n">
        <v>0</v>
      </c>
      <c r="M597" t="n">
        <v>0</v>
      </c>
      <c r="N597" t="n">
        <v>0</v>
      </c>
      <c r="O597" t="n">
        <v>0</v>
      </c>
      <c r="P597" t="n">
        <v>0</v>
      </c>
      <c r="Q597" t="n">
        <v>0</v>
      </c>
      <c r="R597" s="2" t="inlineStr"/>
    </row>
    <row r="598" ht="15" customHeight="1">
      <c r="A598" t="inlineStr">
        <is>
          <t>A 55015-2024</t>
        </is>
      </c>
      <c r="B598" s="1" t="n">
        <v>45621</v>
      </c>
      <c r="C598" s="1" t="n">
        <v>46196</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28674-2024</t>
        </is>
      </c>
      <c r="B599" s="1" t="n">
        <v>45478</v>
      </c>
      <c r="C599" s="1" t="n">
        <v>46196</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56283-2024</t>
        </is>
      </c>
      <c r="B600" s="1" t="n">
        <v>45624</v>
      </c>
      <c r="C600" s="1" t="n">
        <v>46196</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11092-2023</t>
        </is>
      </c>
      <c r="B601" s="1" t="n">
        <v>44992</v>
      </c>
      <c r="C601" s="1" t="n">
        <v>46196</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28578-2023</t>
        </is>
      </c>
      <c r="B602" s="1" t="n">
        <v>45103</v>
      </c>
      <c r="C602" s="1" t="n">
        <v>46196</v>
      </c>
      <c r="D602" t="inlineStr">
        <is>
          <t>DALARNAS LÄN</t>
        </is>
      </c>
      <c r="E602" t="inlineStr">
        <is>
          <t>LEKSAND</t>
        </is>
      </c>
      <c r="G602" t="n">
        <v>4.4</v>
      </c>
      <c r="H602" t="n">
        <v>0</v>
      </c>
      <c r="I602" t="n">
        <v>0</v>
      </c>
      <c r="J602" t="n">
        <v>0</v>
      </c>
      <c r="K602" t="n">
        <v>0</v>
      </c>
      <c r="L602" t="n">
        <v>0</v>
      </c>
      <c r="M602" t="n">
        <v>0</v>
      </c>
      <c r="N602" t="n">
        <v>0</v>
      </c>
      <c r="O602" t="n">
        <v>0</v>
      </c>
      <c r="P602" t="n">
        <v>0</v>
      </c>
      <c r="Q602" t="n">
        <v>0</v>
      </c>
      <c r="R602" s="2" t="inlineStr"/>
    </row>
    <row r="603" ht="15" customHeight="1">
      <c r="A603" t="inlineStr">
        <is>
          <t>A 19371-2024</t>
        </is>
      </c>
      <c r="B603" s="1" t="n">
        <v>45429</v>
      </c>
      <c r="C603" s="1" t="n">
        <v>46196</v>
      </c>
      <c r="D603" t="inlineStr">
        <is>
          <t>DALARNAS LÄN</t>
        </is>
      </c>
      <c r="E603" t="inlineStr">
        <is>
          <t>LEKSAND</t>
        </is>
      </c>
      <c r="G603" t="n">
        <v>0.6</v>
      </c>
      <c r="H603" t="n">
        <v>0</v>
      </c>
      <c r="I603" t="n">
        <v>0</v>
      </c>
      <c r="J603" t="n">
        <v>0</v>
      </c>
      <c r="K603" t="n">
        <v>0</v>
      </c>
      <c r="L603" t="n">
        <v>0</v>
      </c>
      <c r="M603" t="n">
        <v>0</v>
      </c>
      <c r="N603" t="n">
        <v>0</v>
      </c>
      <c r="O603" t="n">
        <v>0</v>
      </c>
      <c r="P603" t="n">
        <v>0</v>
      </c>
      <c r="Q603" t="n">
        <v>0</v>
      </c>
      <c r="R603" s="2" t="inlineStr"/>
    </row>
    <row r="604" ht="15" customHeight="1">
      <c r="A604" t="inlineStr">
        <is>
          <t>A 54911-2024</t>
        </is>
      </c>
      <c r="B604" s="1" t="n">
        <v>45618</v>
      </c>
      <c r="C604" s="1" t="n">
        <v>46196</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40193-2024</t>
        </is>
      </c>
      <c r="B605" s="1" t="n">
        <v>45554</v>
      </c>
      <c r="C605" s="1" t="n">
        <v>46196</v>
      </c>
      <c r="D605" t="inlineStr">
        <is>
          <t>DALARNAS LÄN</t>
        </is>
      </c>
      <c r="E605" t="inlineStr">
        <is>
          <t>LEKSAND</t>
        </is>
      </c>
      <c r="F605" t="inlineStr">
        <is>
          <t>Övriga statliga verk och myndigheter</t>
        </is>
      </c>
      <c r="G605" t="n">
        <v>1</v>
      </c>
      <c r="H605" t="n">
        <v>0</v>
      </c>
      <c r="I605" t="n">
        <v>0</v>
      </c>
      <c r="J605" t="n">
        <v>0</v>
      </c>
      <c r="K605" t="n">
        <v>0</v>
      </c>
      <c r="L605" t="n">
        <v>0</v>
      </c>
      <c r="M605" t="n">
        <v>0</v>
      </c>
      <c r="N605" t="n">
        <v>0</v>
      </c>
      <c r="O605" t="n">
        <v>0</v>
      </c>
      <c r="P605" t="n">
        <v>0</v>
      </c>
      <c r="Q605" t="n">
        <v>0</v>
      </c>
      <c r="R605" s="2" t="inlineStr"/>
    </row>
    <row r="606" ht="15" customHeight="1">
      <c r="A606" t="inlineStr">
        <is>
          <t>A 39558-2023</t>
        </is>
      </c>
      <c r="B606" s="1" t="n">
        <v>45167</v>
      </c>
      <c r="C606" s="1" t="n">
        <v>46196</v>
      </c>
      <c r="D606" t="inlineStr">
        <is>
          <t>DALARNAS LÄN</t>
        </is>
      </c>
      <c r="E606" t="inlineStr">
        <is>
          <t>LEKSAND</t>
        </is>
      </c>
      <c r="G606" t="n">
        <v>39.9</v>
      </c>
      <c r="H606" t="n">
        <v>0</v>
      </c>
      <c r="I606" t="n">
        <v>0</v>
      </c>
      <c r="J606" t="n">
        <v>0</v>
      </c>
      <c r="K606" t="n">
        <v>0</v>
      </c>
      <c r="L606" t="n">
        <v>0</v>
      </c>
      <c r="M606" t="n">
        <v>0</v>
      </c>
      <c r="N606" t="n">
        <v>0</v>
      </c>
      <c r="O606" t="n">
        <v>0</v>
      </c>
      <c r="P606" t="n">
        <v>0</v>
      </c>
      <c r="Q606" t="n">
        <v>0</v>
      </c>
      <c r="R606" s="2" t="inlineStr"/>
    </row>
    <row r="607" ht="15" customHeight="1">
      <c r="A607" t="inlineStr">
        <is>
          <t>A 9138-2023</t>
        </is>
      </c>
      <c r="B607" s="1" t="n">
        <v>44974</v>
      </c>
      <c r="C607" s="1" t="n">
        <v>46196</v>
      </c>
      <c r="D607" t="inlineStr">
        <is>
          <t>DALARNAS LÄN</t>
        </is>
      </c>
      <c r="E607" t="inlineStr">
        <is>
          <t>LEKSAND</t>
        </is>
      </c>
      <c r="G607" t="n">
        <v>4.6</v>
      </c>
      <c r="H607" t="n">
        <v>0</v>
      </c>
      <c r="I607" t="n">
        <v>0</v>
      </c>
      <c r="J607" t="n">
        <v>0</v>
      </c>
      <c r="K607" t="n">
        <v>0</v>
      </c>
      <c r="L607" t="n">
        <v>0</v>
      </c>
      <c r="M607" t="n">
        <v>0</v>
      </c>
      <c r="N607" t="n">
        <v>0</v>
      </c>
      <c r="O607" t="n">
        <v>0</v>
      </c>
      <c r="P607" t="n">
        <v>0</v>
      </c>
      <c r="Q607" t="n">
        <v>0</v>
      </c>
      <c r="R607" s="2" t="inlineStr"/>
    </row>
    <row r="608" ht="15" customHeight="1">
      <c r="A608" t="inlineStr">
        <is>
          <t>A 9141-2023</t>
        </is>
      </c>
      <c r="B608" s="1" t="n">
        <v>44974</v>
      </c>
      <c r="C608" s="1" t="n">
        <v>46196</v>
      </c>
      <c r="D608" t="inlineStr">
        <is>
          <t>DALARNAS LÄN</t>
        </is>
      </c>
      <c r="E608" t="inlineStr">
        <is>
          <t>LEKSAND</t>
        </is>
      </c>
      <c r="G608" t="n">
        <v>1.9</v>
      </c>
      <c r="H608" t="n">
        <v>0</v>
      </c>
      <c r="I608" t="n">
        <v>0</v>
      </c>
      <c r="J608" t="n">
        <v>0</v>
      </c>
      <c r="K608" t="n">
        <v>0</v>
      </c>
      <c r="L608" t="n">
        <v>0</v>
      </c>
      <c r="M608" t="n">
        <v>0</v>
      </c>
      <c r="N608" t="n">
        <v>0</v>
      </c>
      <c r="O608" t="n">
        <v>0</v>
      </c>
      <c r="P608" t="n">
        <v>0</v>
      </c>
      <c r="Q608" t="n">
        <v>0</v>
      </c>
      <c r="R608" s="2" t="inlineStr"/>
    </row>
    <row r="609" ht="15" customHeight="1">
      <c r="A609" t="inlineStr">
        <is>
          <t>A 2630-2025</t>
        </is>
      </c>
      <c r="B609" s="1" t="n">
        <v>45675</v>
      </c>
      <c r="C609" s="1" t="n">
        <v>46196</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11678-2025</t>
        </is>
      </c>
      <c r="B610" s="1" t="n">
        <v>45726</v>
      </c>
      <c r="C610" s="1" t="n">
        <v>46196</v>
      </c>
      <c r="D610" t="inlineStr">
        <is>
          <t>DALARNAS LÄN</t>
        </is>
      </c>
      <c r="E610" t="inlineStr">
        <is>
          <t>LEKSAND</t>
        </is>
      </c>
      <c r="G610" t="n">
        <v>9.4</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46196</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30611-2023</t>
        </is>
      </c>
      <c r="B612" s="1" t="n">
        <v>45112</v>
      </c>
      <c r="C612" s="1" t="n">
        <v>46196</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10299-2024</t>
        </is>
      </c>
      <c r="B613" s="1" t="n">
        <v>45365</v>
      </c>
      <c r="C613" s="1" t="n">
        <v>46196</v>
      </c>
      <c r="D613" t="inlineStr">
        <is>
          <t>DALARNAS LÄN</t>
        </is>
      </c>
      <c r="E613" t="inlineStr">
        <is>
          <t>LEKSAND</t>
        </is>
      </c>
      <c r="G613" t="n">
        <v>3.6</v>
      </c>
      <c r="H613" t="n">
        <v>0</v>
      </c>
      <c r="I613" t="n">
        <v>0</v>
      </c>
      <c r="J613" t="n">
        <v>0</v>
      </c>
      <c r="K613" t="n">
        <v>0</v>
      </c>
      <c r="L613" t="n">
        <v>0</v>
      </c>
      <c r="M613" t="n">
        <v>0</v>
      </c>
      <c r="N613" t="n">
        <v>0</v>
      </c>
      <c r="O613" t="n">
        <v>0</v>
      </c>
      <c r="P613" t="n">
        <v>0</v>
      </c>
      <c r="Q613" t="n">
        <v>0</v>
      </c>
      <c r="R613" s="2" t="inlineStr"/>
    </row>
    <row r="614" ht="15" customHeight="1">
      <c r="A614" t="inlineStr">
        <is>
          <t>A 16135-2023</t>
        </is>
      </c>
      <c r="B614" s="1" t="n">
        <v>45027</v>
      </c>
      <c r="C614" s="1" t="n">
        <v>46196</v>
      </c>
      <c r="D614" t="inlineStr">
        <is>
          <t>DALARNAS LÄN</t>
        </is>
      </c>
      <c r="E614" t="inlineStr">
        <is>
          <t>LEKSAND</t>
        </is>
      </c>
      <c r="G614" t="n">
        <v>4.9</v>
      </c>
      <c r="H614" t="n">
        <v>0</v>
      </c>
      <c r="I614" t="n">
        <v>0</v>
      </c>
      <c r="J614" t="n">
        <v>0</v>
      </c>
      <c r="K614" t="n">
        <v>0</v>
      </c>
      <c r="L614" t="n">
        <v>0</v>
      </c>
      <c r="M614" t="n">
        <v>0</v>
      </c>
      <c r="N614" t="n">
        <v>0</v>
      </c>
      <c r="O614" t="n">
        <v>0</v>
      </c>
      <c r="P614" t="n">
        <v>0</v>
      </c>
      <c r="Q614" t="n">
        <v>0</v>
      </c>
      <c r="R614" s="2" t="inlineStr"/>
    </row>
    <row r="615" ht="15" customHeight="1">
      <c r="A615" t="inlineStr">
        <is>
          <t>A 59859-2023</t>
        </is>
      </c>
      <c r="B615" s="1" t="n">
        <v>45257</v>
      </c>
      <c r="C615" s="1" t="n">
        <v>46196</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39136-2023</t>
        </is>
      </c>
      <c r="B616" s="1" t="n">
        <v>45165</v>
      </c>
      <c r="C616" s="1" t="n">
        <v>46196</v>
      </c>
      <c r="D616" t="inlineStr">
        <is>
          <t>DALARNAS LÄN</t>
        </is>
      </c>
      <c r="E616" t="inlineStr">
        <is>
          <t>LEKSAND</t>
        </is>
      </c>
      <c r="G616" t="n">
        <v>0.3</v>
      </c>
      <c r="H616" t="n">
        <v>0</v>
      </c>
      <c r="I616" t="n">
        <v>0</v>
      </c>
      <c r="J616" t="n">
        <v>0</v>
      </c>
      <c r="K616" t="n">
        <v>0</v>
      </c>
      <c r="L616" t="n">
        <v>0</v>
      </c>
      <c r="M616" t="n">
        <v>0</v>
      </c>
      <c r="N616" t="n">
        <v>0</v>
      </c>
      <c r="O616" t="n">
        <v>0</v>
      </c>
      <c r="P616" t="n">
        <v>0</v>
      </c>
      <c r="Q616" t="n">
        <v>0</v>
      </c>
      <c r="R616" s="2" t="inlineStr"/>
    </row>
    <row r="617" ht="15" customHeight="1">
      <c r="A617" t="inlineStr">
        <is>
          <t>A 53193-2024</t>
        </is>
      </c>
      <c r="B617" s="1" t="n">
        <v>45610</v>
      </c>
      <c r="C617" s="1" t="n">
        <v>46196</v>
      </c>
      <c r="D617" t="inlineStr">
        <is>
          <t>DALARNAS LÄN</t>
        </is>
      </c>
      <c r="E617" t="inlineStr">
        <is>
          <t>LEKSAND</t>
        </is>
      </c>
      <c r="G617" t="n">
        <v>1.4</v>
      </c>
      <c r="H617" t="n">
        <v>0</v>
      </c>
      <c r="I617" t="n">
        <v>0</v>
      </c>
      <c r="J617" t="n">
        <v>0</v>
      </c>
      <c r="K617" t="n">
        <v>0</v>
      </c>
      <c r="L617" t="n">
        <v>0</v>
      </c>
      <c r="M617" t="n">
        <v>0</v>
      </c>
      <c r="N617" t="n">
        <v>0</v>
      </c>
      <c r="O617" t="n">
        <v>0</v>
      </c>
      <c r="P617" t="n">
        <v>0</v>
      </c>
      <c r="Q617" t="n">
        <v>0</v>
      </c>
      <c r="R617" s="2" t="inlineStr"/>
    </row>
    <row r="618" ht="15" customHeight="1">
      <c r="A618" t="inlineStr">
        <is>
          <t>A 14615-2024</t>
        </is>
      </c>
      <c r="B618" s="1" t="n">
        <v>45397</v>
      </c>
      <c r="C618" s="1" t="n">
        <v>46196</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23663-2024</t>
        </is>
      </c>
      <c r="B619" s="1" t="n">
        <v>45454</v>
      </c>
      <c r="C619" s="1" t="n">
        <v>46196</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40230-2023</t>
        </is>
      </c>
      <c r="B620" s="1" t="n">
        <v>45169</v>
      </c>
      <c r="C620" s="1" t="n">
        <v>46196</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11712-2025</t>
        </is>
      </c>
      <c r="B621" s="1" t="n">
        <v>45727</v>
      </c>
      <c r="C621" s="1" t="n">
        <v>46196</v>
      </c>
      <c r="D621" t="inlineStr">
        <is>
          <t>DALARNAS LÄN</t>
        </is>
      </c>
      <c r="E621" t="inlineStr">
        <is>
          <t>LEKSAND</t>
        </is>
      </c>
      <c r="G621" t="n">
        <v>6</v>
      </c>
      <c r="H621" t="n">
        <v>0</v>
      </c>
      <c r="I621" t="n">
        <v>0</v>
      </c>
      <c r="J621" t="n">
        <v>0</v>
      </c>
      <c r="K621" t="n">
        <v>0</v>
      </c>
      <c r="L621" t="n">
        <v>0</v>
      </c>
      <c r="M621" t="n">
        <v>0</v>
      </c>
      <c r="N621" t="n">
        <v>0</v>
      </c>
      <c r="O621" t="n">
        <v>0</v>
      </c>
      <c r="P621" t="n">
        <v>0</v>
      </c>
      <c r="Q621" t="n">
        <v>0</v>
      </c>
      <c r="R621" s="2" t="inlineStr"/>
    </row>
    <row r="622" ht="15" customHeight="1">
      <c r="A622" t="inlineStr">
        <is>
          <t>A 42230-2023</t>
        </is>
      </c>
      <c r="B622" s="1" t="n">
        <v>45180</v>
      </c>
      <c r="C622" s="1" t="n">
        <v>46196</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55643-2024</t>
        </is>
      </c>
      <c r="B623" s="1" t="n">
        <v>45621</v>
      </c>
      <c r="C623" s="1" t="n">
        <v>46196</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22281-2024</t>
        </is>
      </c>
      <c r="B624" s="1" t="n">
        <v>45446</v>
      </c>
      <c r="C624" s="1" t="n">
        <v>46196</v>
      </c>
      <c r="D624" t="inlineStr">
        <is>
          <t>DALARNAS LÄN</t>
        </is>
      </c>
      <c r="E624" t="inlineStr">
        <is>
          <t>LEKSAND</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56016-2024</t>
        </is>
      </c>
      <c r="B625" s="1" t="n">
        <v>45623</v>
      </c>
      <c r="C625" s="1" t="n">
        <v>46196</v>
      </c>
      <c r="D625" t="inlineStr">
        <is>
          <t>DALARNAS LÄN</t>
        </is>
      </c>
      <c r="E625" t="inlineStr">
        <is>
          <t>LEKSAND</t>
        </is>
      </c>
      <c r="G625" t="n">
        <v>6.1</v>
      </c>
      <c r="H625" t="n">
        <v>0</v>
      </c>
      <c r="I625" t="n">
        <v>0</v>
      </c>
      <c r="J625" t="n">
        <v>0</v>
      </c>
      <c r="K625" t="n">
        <v>0</v>
      </c>
      <c r="L625" t="n">
        <v>0</v>
      </c>
      <c r="M625" t="n">
        <v>0</v>
      </c>
      <c r="N625" t="n">
        <v>0</v>
      </c>
      <c r="O625" t="n">
        <v>0</v>
      </c>
      <c r="P625" t="n">
        <v>0</v>
      </c>
      <c r="Q625" t="n">
        <v>0</v>
      </c>
      <c r="R625" s="2" t="inlineStr"/>
    </row>
    <row r="626" ht="15" customHeight="1">
      <c r="A626" t="inlineStr">
        <is>
          <t>A 9857-2025</t>
        </is>
      </c>
      <c r="B626" s="1" t="n">
        <v>45716</v>
      </c>
      <c r="C626" s="1" t="n">
        <v>46196</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5873-2025</t>
        </is>
      </c>
      <c r="B627" s="1" t="n">
        <v>45695</v>
      </c>
      <c r="C627" s="1" t="n">
        <v>46196</v>
      </c>
      <c r="D627" t="inlineStr">
        <is>
          <t>DALARNAS LÄN</t>
        </is>
      </c>
      <c r="E627" t="inlineStr">
        <is>
          <t>LEKSAND</t>
        </is>
      </c>
      <c r="G627" t="n">
        <v>1.4</v>
      </c>
      <c r="H627" t="n">
        <v>0</v>
      </c>
      <c r="I627" t="n">
        <v>0</v>
      </c>
      <c r="J627" t="n">
        <v>0</v>
      </c>
      <c r="K627" t="n">
        <v>0</v>
      </c>
      <c r="L627" t="n">
        <v>0</v>
      </c>
      <c r="M627" t="n">
        <v>0</v>
      </c>
      <c r="N627" t="n">
        <v>0</v>
      </c>
      <c r="O627" t="n">
        <v>0</v>
      </c>
      <c r="P627" t="n">
        <v>0</v>
      </c>
      <c r="Q627" t="n">
        <v>0</v>
      </c>
      <c r="R627" s="2" t="inlineStr"/>
    </row>
    <row r="628" ht="15" customHeight="1">
      <c r="A628" t="inlineStr">
        <is>
          <t>A 30994-2023</t>
        </is>
      </c>
      <c r="B628" s="1" t="n">
        <v>45113</v>
      </c>
      <c r="C628" s="1" t="n">
        <v>46196</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33306-2023</t>
        </is>
      </c>
      <c r="B629" s="1" t="n">
        <v>45127</v>
      </c>
      <c r="C629" s="1" t="n">
        <v>46196</v>
      </c>
      <c r="D629" t="inlineStr">
        <is>
          <t>DALARNAS LÄN</t>
        </is>
      </c>
      <c r="E629" t="inlineStr">
        <is>
          <t>LEKSAND</t>
        </is>
      </c>
      <c r="G629" t="n">
        <v>2.2</v>
      </c>
      <c r="H629" t="n">
        <v>0</v>
      </c>
      <c r="I629" t="n">
        <v>0</v>
      </c>
      <c r="J629" t="n">
        <v>0</v>
      </c>
      <c r="K629" t="n">
        <v>0</v>
      </c>
      <c r="L629" t="n">
        <v>0</v>
      </c>
      <c r="M629" t="n">
        <v>0</v>
      </c>
      <c r="N629" t="n">
        <v>0</v>
      </c>
      <c r="O629" t="n">
        <v>0</v>
      </c>
      <c r="P629" t="n">
        <v>0</v>
      </c>
      <c r="Q629" t="n">
        <v>0</v>
      </c>
      <c r="R629" s="2" t="inlineStr"/>
    </row>
    <row r="630" ht="15" customHeight="1">
      <c r="A630" t="inlineStr">
        <is>
          <t>A 33316-2023</t>
        </is>
      </c>
      <c r="B630" s="1" t="n">
        <v>45127</v>
      </c>
      <c r="C630" s="1" t="n">
        <v>46196</v>
      </c>
      <c r="D630" t="inlineStr">
        <is>
          <t>DALARNAS LÄN</t>
        </is>
      </c>
      <c r="E630" t="inlineStr">
        <is>
          <t>LEKSAND</t>
        </is>
      </c>
      <c r="G630" t="n">
        <v>8.9</v>
      </c>
      <c r="H630" t="n">
        <v>0</v>
      </c>
      <c r="I630" t="n">
        <v>0</v>
      </c>
      <c r="J630" t="n">
        <v>0</v>
      </c>
      <c r="K630" t="n">
        <v>0</v>
      </c>
      <c r="L630" t="n">
        <v>0</v>
      </c>
      <c r="M630" t="n">
        <v>0</v>
      </c>
      <c r="N630" t="n">
        <v>0</v>
      </c>
      <c r="O630" t="n">
        <v>0</v>
      </c>
      <c r="P630" t="n">
        <v>0</v>
      </c>
      <c r="Q630" t="n">
        <v>0</v>
      </c>
      <c r="R630" s="2" t="inlineStr"/>
    </row>
    <row r="631" ht="15" customHeight="1">
      <c r="A631" t="inlineStr">
        <is>
          <t>A 37832-2023</t>
        </is>
      </c>
      <c r="B631" s="1" t="n">
        <v>45160</v>
      </c>
      <c r="C631" s="1" t="n">
        <v>46196</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33310-2023</t>
        </is>
      </c>
      <c r="B632" s="1" t="n">
        <v>45127</v>
      </c>
      <c r="C632" s="1" t="n">
        <v>46196</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54844-2021</t>
        </is>
      </c>
      <c r="B633" s="1" t="n">
        <v>44474</v>
      </c>
      <c r="C633" s="1" t="n">
        <v>46196</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471-2025</t>
        </is>
      </c>
      <c r="B634" s="1" t="n">
        <v>45664</v>
      </c>
      <c r="C634" s="1" t="n">
        <v>46196</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52293-2024</t>
        </is>
      </c>
      <c r="B635" s="1" t="n">
        <v>45608</v>
      </c>
      <c r="C635" s="1" t="n">
        <v>46196</v>
      </c>
      <c r="D635" t="inlineStr">
        <is>
          <t>DALARNAS LÄN</t>
        </is>
      </c>
      <c r="E635" t="inlineStr">
        <is>
          <t>LEKSAND</t>
        </is>
      </c>
      <c r="G635" t="n">
        <v>1.6</v>
      </c>
      <c r="H635" t="n">
        <v>0</v>
      </c>
      <c r="I635" t="n">
        <v>0</v>
      </c>
      <c r="J635" t="n">
        <v>0</v>
      </c>
      <c r="K635" t="n">
        <v>0</v>
      </c>
      <c r="L635" t="n">
        <v>0</v>
      </c>
      <c r="M635" t="n">
        <v>0</v>
      </c>
      <c r="N635" t="n">
        <v>0</v>
      </c>
      <c r="O635" t="n">
        <v>0</v>
      </c>
      <c r="P635" t="n">
        <v>0</v>
      </c>
      <c r="Q635" t="n">
        <v>0</v>
      </c>
      <c r="R635" s="2" t="inlineStr"/>
    </row>
    <row r="636" ht="15" customHeight="1">
      <c r="A636" t="inlineStr">
        <is>
          <t>A 1182-2025</t>
        </is>
      </c>
      <c r="B636" s="1" t="n">
        <v>45667</v>
      </c>
      <c r="C636" s="1" t="n">
        <v>46196</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46665-2023</t>
        </is>
      </c>
      <c r="B637" s="1" t="n">
        <v>45198</v>
      </c>
      <c r="C637" s="1" t="n">
        <v>46196</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56943-2024</t>
        </is>
      </c>
      <c r="B638" s="1" t="n">
        <v>45625</v>
      </c>
      <c r="C638" s="1" t="n">
        <v>46196</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60715-2022</t>
        </is>
      </c>
      <c r="B639" s="1" t="n">
        <v>44912</v>
      </c>
      <c r="C639" s="1" t="n">
        <v>46196</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15619-2025</t>
        </is>
      </c>
      <c r="B640" s="1" t="n">
        <v>45747</v>
      </c>
      <c r="C640" s="1" t="n">
        <v>46196</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21954-2023</t>
        </is>
      </c>
      <c r="B641" s="1" t="n">
        <v>45068</v>
      </c>
      <c r="C641" s="1" t="n">
        <v>46196</v>
      </c>
      <c r="D641" t="inlineStr">
        <is>
          <t>DALARNAS LÄN</t>
        </is>
      </c>
      <c r="E641" t="inlineStr">
        <is>
          <t>LEKSAND</t>
        </is>
      </c>
      <c r="G641" t="n">
        <v>0.8</v>
      </c>
      <c r="H641" t="n">
        <v>0</v>
      </c>
      <c r="I641" t="n">
        <v>0</v>
      </c>
      <c r="J641" t="n">
        <v>0</v>
      </c>
      <c r="K641" t="n">
        <v>0</v>
      </c>
      <c r="L641" t="n">
        <v>0</v>
      </c>
      <c r="M641" t="n">
        <v>0</v>
      </c>
      <c r="N641" t="n">
        <v>0</v>
      </c>
      <c r="O641" t="n">
        <v>0</v>
      </c>
      <c r="P641" t="n">
        <v>0</v>
      </c>
      <c r="Q641" t="n">
        <v>0</v>
      </c>
      <c r="R641" s="2" t="inlineStr"/>
    </row>
    <row r="642" ht="15" customHeight="1">
      <c r="A642" t="inlineStr">
        <is>
          <t>A 28128-2022</t>
        </is>
      </c>
      <c r="B642" s="1" t="n">
        <v>44746</v>
      </c>
      <c r="C642" s="1" t="n">
        <v>46196</v>
      </c>
      <c r="D642" t="inlineStr">
        <is>
          <t>DALARNAS LÄN</t>
        </is>
      </c>
      <c r="E642" t="inlineStr">
        <is>
          <t>LEKSAND</t>
        </is>
      </c>
      <c r="G642" t="n">
        <v>3.5</v>
      </c>
      <c r="H642" t="n">
        <v>0</v>
      </c>
      <c r="I642" t="n">
        <v>0</v>
      </c>
      <c r="J642" t="n">
        <v>0</v>
      </c>
      <c r="K642" t="n">
        <v>0</v>
      </c>
      <c r="L642" t="n">
        <v>0</v>
      </c>
      <c r="M642" t="n">
        <v>0</v>
      </c>
      <c r="N642" t="n">
        <v>0</v>
      </c>
      <c r="O642" t="n">
        <v>0</v>
      </c>
      <c r="P642" t="n">
        <v>0</v>
      </c>
      <c r="Q642" t="n">
        <v>0</v>
      </c>
      <c r="R642" s="2" t="inlineStr"/>
    </row>
    <row r="643" ht="15" customHeight="1">
      <c r="A643" t="inlineStr">
        <is>
          <t>A 61787-2022</t>
        </is>
      </c>
      <c r="B643" s="1" t="n">
        <v>44917</v>
      </c>
      <c r="C643" s="1" t="n">
        <v>46196</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61269-2022</t>
        </is>
      </c>
      <c r="B644" s="1" t="n">
        <v>44909</v>
      </c>
      <c r="C644" s="1" t="n">
        <v>46196</v>
      </c>
      <c r="D644" t="inlineStr">
        <is>
          <t>DALARNAS LÄN</t>
        </is>
      </c>
      <c r="E644" t="inlineStr">
        <is>
          <t>LEKSAND</t>
        </is>
      </c>
      <c r="G644" t="n">
        <v>4.2</v>
      </c>
      <c r="H644" t="n">
        <v>0</v>
      </c>
      <c r="I644" t="n">
        <v>0</v>
      </c>
      <c r="J644" t="n">
        <v>0</v>
      </c>
      <c r="K644" t="n">
        <v>0</v>
      </c>
      <c r="L644" t="n">
        <v>0</v>
      </c>
      <c r="M644" t="n">
        <v>0</v>
      </c>
      <c r="N644" t="n">
        <v>0</v>
      </c>
      <c r="O644" t="n">
        <v>0</v>
      </c>
      <c r="P644" t="n">
        <v>0</v>
      </c>
      <c r="Q644" t="n">
        <v>0</v>
      </c>
      <c r="R644" s="2" t="inlineStr"/>
    </row>
    <row r="645" ht="15" customHeight="1">
      <c r="A645" t="inlineStr">
        <is>
          <t>A 64933-2023</t>
        </is>
      </c>
      <c r="B645" s="1" t="n">
        <v>45282</v>
      </c>
      <c r="C645" s="1" t="n">
        <v>46196</v>
      </c>
      <c r="D645" t="inlineStr">
        <is>
          <t>DALARNAS LÄN</t>
        </is>
      </c>
      <c r="E645" t="inlineStr">
        <is>
          <t>LEKSAND</t>
        </is>
      </c>
      <c r="G645" t="n">
        <v>2.3</v>
      </c>
      <c r="H645" t="n">
        <v>0</v>
      </c>
      <c r="I645" t="n">
        <v>0</v>
      </c>
      <c r="J645" t="n">
        <v>0</v>
      </c>
      <c r="K645" t="n">
        <v>0</v>
      </c>
      <c r="L645" t="n">
        <v>0</v>
      </c>
      <c r="M645" t="n">
        <v>0</v>
      </c>
      <c r="N645" t="n">
        <v>0</v>
      </c>
      <c r="O645" t="n">
        <v>0</v>
      </c>
      <c r="P645" t="n">
        <v>0</v>
      </c>
      <c r="Q645" t="n">
        <v>0</v>
      </c>
      <c r="R645" s="2" t="inlineStr"/>
    </row>
    <row r="646" ht="15" customHeight="1">
      <c r="A646" t="inlineStr">
        <is>
          <t>A 34585-2024</t>
        </is>
      </c>
      <c r="B646" s="1" t="n">
        <v>45526</v>
      </c>
      <c r="C646" s="1" t="n">
        <v>46196</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10743-2024</t>
        </is>
      </c>
      <c r="B647" s="1" t="n">
        <v>45369</v>
      </c>
      <c r="C647" s="1" t="n">
        <v>46196</v>
      </c>
      <c r="D647" t="inlineStr">
        <is>
          <t>DALARNAS LÄN</t>
        </is>
      </c>
      <c r="E647" t="inlineStr">
        <is>
          <t>LEKSAND</t>
        </is>
      </c>
      <c r="G647" t="n">
        <v>2.7</v>
      </c>
      <c r="H647" t="n">
        <v>0</v>
      </c>
      <c r="I647" t="n">
        <v>0</v>
      </c>
      <c r="J647" t="n">
        <v>0</v>
      </c>
      <c r="K647" t="n">
        <v>0</v>
      </c>
      <c r="L647" t="n">
        <v>0</v>
      </c>
      <c r="M647" t="n">
        <v>0</v>
      </c>
      <c r="N647" t="n">
        <v>0</v>
      </c>
      <c r="O647" t="n">
        <v>0</v>
      </c>
      <c r="P647" t="n">
        <v>0</v>
      </c>
      <c r="Q647" t="n">
        <v>0</v>
      </c>
      <c r="R647" s="2" t="inlineStr"/>
    </row>
    <row r="648" ht="15" customHeight="1">
      <c r="A648" t="inlineStr">
        <is>
          <t>A 10771-2024</t>
        </is>
      </c>
      <c r="B648" s="1" t="n">
        <v>45369</v>
      </c>
      <c r="C648" s="1" t="n">
        <v>46196</v>
      </c>
      <c r="D648" t="inlineStr">
        <is>
          <t>DALARNAS LÄN</t>
        </is>
      </c>
      <c r="E648" t="inlineStr">
        <is>
          <t>LEKSAND</t>
        </is>
      </c>
      <c r="G648" t="n">
        <v>0.4</v>
      </c>
      <c r="H648" t="n">
        <v>0</v>
      </c>
      <c r="I648" t="n">
        <v>0</v>
      </c>
      <c r="J648" t="n">
        <v>0</v>
      </c>
      <c r="K648" t="n">
        <v>0</v>
      </c>
      <c r="L648" t="n">
        <v>0</v>
      </c>
      <c r="M648" t="n">
        <v>0</v>
      </c>
      <c r="N648" t="n">
        <v>0</v>
      </c>
      <c r="O648" t="n">
        <v>0</v>
      </c>
      <c r="P648" t="n">
        <v>0</v>
      </c>
      <c r="Q648" t="n">
        <v>0</v>
      </c>
      <c r="R648" s="2" t="inlineStr"/>
    </row>
    <row r="649" ht="15" customHeight="1">
      <c r="A649" t="inlineStr">
        <is>
          <t>A 16051-2023</t>
        </is>
      </c>
      <c r="B649" s="1" t="n">
        <v>45027</v>
      </c>
      <c r="C649" s="1" t="n">
        <v>46196</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46446-2023</t>
        </is>
      </c>
      <c r="B650" s="1" t="n">
        <v>45197</v>
      </c>
      <c r="C650" s="1" t="n">
        <v>46196</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52100-2024</t>
        </is>
      </c>
      <c r="B651" s="1" t="n">
        <v>45608</v>
      </c>
      <c r="C651" s="1" t="n">
        <v>46196</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53981-2024</t>
        </is>
      </c>
      <c r="B652" s="1" t="n">
        <v>45615</v>
      </c>
      <c r="C652" s="1" t="n">
        <v>46196</v>
      </c>
      <c r="D652" t="inlineStr">
        <is>
          <t>DALARNAS LÄN</t>
        </is>
      </c>
      <c r="E652" t="inlineStr">
        <is>
          <t>LEKSAND</t>
        </is>
      </c>
      <c r="G652" t="n">
        <v>5.4</v>
      </c>
      <c r="H652" t="n">
        <v>0</v>
      </c>
      <c r="I652" t="n">
        <v>0</v>
      </c>
      <c r="J652" t="n">
        <v>0</v>
      </c>
      <c r="K652" t="n">
        <v>0</v>
      </c>
      <c r="L652" t="n">
        <v>0</v>
      </c>
      <c r="M652" t="n">
        <v>0</v>
      </c>
      <c r="N652" t="n">
        <v>0</v>
      </c>
      <c r="O652" t="n">
        <v>0</v>
      </c>
      <c r="P652" t="n">
        <v>0</v>
      </c>
      <c r="Q652" t="n">
        <v>0</v>
      </c>
      <c r="R652" s="2" t="inlineStr"/>
    </row>
    <row r="653" ht="15" customHeight="1">
      <c r="A653" t="inlineStr">
        <is>
          <t>A 14504-2025</t>
        </is>
      </c>
      <c r="B653" s="1" t="n">
        <v>45741</v>
      </c>
      <c r="C653" s="1" t="n">
        <v>46196</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64516-2023</t>
        </is>
      </c>
      <c r="B654" s="1" t="n">
        <v>45280</v>
      </c>
      <c r="C654" s="1" t="n">
        <v>46196</v>
      </c>
      <c r="D654" t="inlineStr">
        <is>
          <t>DALARNAS LÄN</t>
        </is>
      </c>
      <c r="E654" t="inlineStr">
        <is>
          <t>LEKSAND</t>
        </is>
      </c>
      <c r="G654" t="n">
        <v>4.4</v>
      </c>
      <c r="H654" t="n">
        <v>0</v>
      </c>
      <c r="I654" t="n">
        <v>0</v>
      </c>
      <c r="J654" t="n">
        <v>0</v>
      </c>
      <c r="K654" t="n">
        <v>0</v>
      </c>
      <c r="L654" t="n">
        <v>0</v>
      </c>
      <c r="M654" t="n">
        <v>0</v>
      </c>
      <c r="N654" t="n">
        <v>0</v>
      </c>
      <c r="O654" t="n">
        <v>0</v>
      </c>
      <c r="P654" t="n">
        <v>0</v>
      </c>
      <c r="Q654" t="n">
        <v>0</v>
      </c>
      <c r="R654" s="2" t="inlineStr"/>
    </row>
    <row r="655" ht="15" customHeight="1">
      <c r="A655" t="inlineStr">
        <is>
          <t>A 45788-2021</t>
        </is>
      </c>
      <c r="B655" s="1" t="n">
        <v>44441</v>
      </c>
      <c r="C655" s="1" t="n">
        <v>46196</v>
      </c>
      <c r="D655" t="inlineStr">
        <is>
          <t>DALARNAS LÄN</t>
        </is>
      </c>
      <c r="E655" t="inlineStr">
        <is>
          <t>LEKSAND</t>
        </is>
      </c>
      <c r="G655" t="n">
        <v>3</v>
      </c>
      <c r="H655" t="n">
        <v>0</v>
      </c>
      <c r="I655" t="n">
        <v>0</v>
      </c>
      <c r="J655" t="n">
        <v>0</v>
      </c>
      <c r="K655" t="n">
        <v>0</v>
      </c>
      <c r="L655" t="n">
        <v>0</v>
      </c>
      <c r="M655" t="n">
        <v>0</v>
      </c>
      <c r="N655" t="n">
        <v>0</v>
      </c>
      <c r="O655" t="n">
        <v>0</v>
      </c>
      <c r="P655" t="n">
        <v>0</v>
      </c>
      <c r="Q655" t="n">
        <v>0</v>
      </c>
      <c r="R655" s="2" t="inlineStr"/>
    </row>
    <row r="656" ht="15" customHeight="1">
      <c r="A656" t="inlineStr">
        <is>
          <t>A 52977-2022</t>
        </is>
      </c>
      <c r="B656" s="1" t="n">
        <v>44875</v>
      </c>
      <c r="C656" s="1" t="n">
        <v>46196</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29157-2022</t>
        </is>
      </c>
      <c r="B657" s="1" t="n">
        <v>44750</v>
      </c>
      <c r="C657" s="1" t="n">
        <v>46196</v>
      </c>
      <c r="D657" t="inlineStr">
        <is>
          <t>DALARNAS LÄN</t>
        </is>
      </c>
      <c r="E657" t="inlineStr">
        <is>
          <t>LEKSAND</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11080-2023</t>
        </is>
      </c>
      <c r="B658" s="1" t="n">
        <v>44992</v>
      </c>
      <c r="C658" s="1" t="n">
        <v>46196</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320-2023</t>
        </is>
      </c>
      <c r="B659" s="1" t="n">
        <v>44929</v>
      </c>
      <c r="C659" s="1" t="n">
        <v>46196</v>
      </c>
      <c r="D659" t="inlineStr">
        <is>
          <t>DALARNAS LÄN</t>
        </is>
      </c>
      <c r="E659" t="inlineStr">
        <is>
          <t>LEKSAND</t>
        </is>
      </c>
      <c r="F659" t="inlineStr">
        <is>
          <t>Övriga Aktiebolag</t>
        </is>
      </c>
      <c r="G659" t="n">
        <v>5.4</v>
      </c>
      <c r="H659" t="n">
        <v>0</v>
      </c>
      <c r="I659" t="n">
        <v>0</v>
      </c>
      <c r="J659" t="n">
        <v>0</v>
      </c>
      <c r="K659" t="n">
        <v>0</v>
      </c>
      <c r="L659" t="n">
        <v>0</v>
      </c>
      <c r="M659" t="n">
        <v>0</v>
      </c>
      <c r="N659" t="n">
        <v>0</v>
      </c>
      <c r="O659" t="n">
        <v>0</v>
      </c>
      <c r="P659" t="n">
        <v>0</v>
      </c>
      <c r="Q659" t="n">
        <v>0</v>
      </c>
      <c r="R659" s="2" t="inlineStr"/>
    </row>
    <row r="660" ht="15" customHeight="1">
      <c r="A660" t="inlineStr">
        <is>
          <t>A 40181-2023</t>
        </is>
      </c>
      <c r="B660" s="1" t="n">
        <v>45169</v>
      </c>
      <c r="C660" s="1" t="n">
        <v>46196</v>
      </c>
      <c r="D660" t="inlineStr">
        <is>
          <t>DALARNAS LÄN</t>
        </is>
      </c>
      <c r="E660" t="inlineStr">
        <is>
          <t>LEKSAND</t>
        </is>
      </c>
      <c r="G660" t="n">
        <v>2.8</v>
      </c>
      <c r="H660" t="n">
        <v>0</v>
      </c>
      <c r="I660" t="n">
        <v>0</v>
      </c>
      <c r="J660" t="n">
        <v>0</v>
      </c>
      <c r="K660" t="n">
        <v>0</v>
      </c>
      <c r="L660" t="n">
        <v>0</v>
      </c>
      <c r="M660" t="n">
        <v>0</v>
      </c>
      <c r="N660" t="n">
        <v>0</v>
      </c>
      <c r="O660" t="n">
        <v>0</v>
      </c>
      <c r="P660" t="n">
        <v>0</v>
      </c>
      <c r="Q660" t="n">
        <v>0</v>
      </c>
      <c r="R660" s="2" t="inlineStr"/>
    </row>
    <row r="661" ht="15" customHeight="1">
      <c r="A661" t="inlineStr">
        <is>
          <t>A 63544-2023</t>
        </is>
      </c>
      <c r="B661" s="1" t="n">
        <v>45275</v>
      </c>
      <c r="C661" s="1" t="n">
        <v>46196</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58877-2023</t>
        </is>
      </c>
      <c r="B662" s="1" t="n">
        <v>45252</v>
      </c>
      <c r="C662" s="1" t="n">
        <v>46196</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51377-2023</t>
        </is>
      </c>
      <c r="B663" s="1" t="n">
        <v>45219</v>
      </c>
      <c r="C663" s="1" t="n">
        <v>46196</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52572-2024</t>
        </is>
      </c>
      <c r="B664" s="1" t="n">
        <v>45609</v>
      </c>
      <c r="C664" s="1" t="n">
        <v>46196</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41853-2023</t>
        </is>
      </c>
      <c r="B665" s="1" t="n">
        <v>45176</v>
      </c>
      <c r="C665" s="1" t="n">
        <v>46196</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27520-2023</t>
        </is>
      </c>
      <c r="B666" s="1" t="n">
        <v>45097</v>
      </c>
      <c r="C666" s="1" t="n">
        <v>46196</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49405-2024</t>
        </is>
      </c>
      <c r="B667" s="1" t="n">
        <v>45595</v>
      </c>
      <c r="C667" s="1" t="n">
        <v>46196</v>
      </c>
      <c r="D667" t="inlineStr">
        <is>
          <t>DALARNAS LÄN</t>
        </is>
      </c>
      <c r="E667" t="inlineStr">
        <is>
          <t>LEKSAND</t>
        </is>
      </c>
      <c r="G667" t="n">
        <v>0.7</v>
      </c>
      <c r="H667" t="n">
        <v>0</v>
      </c>
      <c r="I667" t="n">
        <v>0</v>
      </c>
      <c r="J667" t="n">
        <v>0</v>
      </c>
      <c r="K667" t="n">
        <v>0</v>
      </c>
      <c r="L667" t="n">
        <v>0</v>
      </c>
      <c r="M667" t="n">
        <v>0</v>
      </c>
      <c r="N667" t="n">
        <v>0</v>
      </c>
      <c r="O667" t="n">
        <v>0</v>
      </c>
      <c r="P667" t="n">
        <v>0</v>
      </c>
      <c r="Q667" t="n">
        <v>0</v>
      </c>
      <c r="R667" s="2" t="inlineStr"/>
    </row>
    <row r="668" ht="15" customHeight="1">
      <c r="A668" t="inlineStr">
        <is>
          <t>A 17078-2023</t>
        </is>
      </c>
      <c r="B668" s="1" t="n">
        <v>45034</v>
      </c>
      <c r="C668" s="1" t="n">
        <v>46196</v>
      </c>
      <c r="D668" t="inlineStr">
        <is>
          <t>DALARNAS LÄN</t>
        </is>
      </c>
      <c r="E668" t="inlineStr">
        <is>
          <t>LEKSAND</t>
        </is>
      </c>
      <c r="G668" t="n">
        <v>0.5</v>
      </c>
      <c r="H668" t="n">
        <v>0</v>
      </c>
      <c r="I668" t="n">
        <v>0</v>
      </c>
      <c r="J668" t="n">
        <v>0</v>
      </c>
      <c r="K668" t="n">
        <v>0</v>
      </c>
      <c r="L668" t="n">
        <v>0</v>
      </c>
      <c r="M668" t="n">
        <v>0</v>
      </c>
      <c r="N668" t="n">
        <v>0</v>
      </c>
      <c r="O668" t="n">
        <v>0</v>
      </c>
      <c r="P668" t="n">
        <v>0</v>
      </c>
      <c r="Q668" t="n">
        <v>0</v>
      </c>
      <c r="R668" s="2" t="inlineStr"/>
    </row>
    <row r="669" ht="15" customHeight="1">
      <c r="A669" t="inlineStr">
        <is>
          <t>A 45943-2022</t>
        </is>
      </c>
      <c r="B669" s="1" t="n">
        <v>44846</v>
      </c>
      <c r="C669" s="1" t="n">
        <v>46196</v>
      </c>
      <c r="D669" t="inlineStr">
        <is>
          <t>DALARNAS LÄN</t>
        </is>
      </c>
      <c r="E669" t="inlineStr">
        <is>
          <t>LEKSAND</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19550-2023</t>
        </is>
      </c>
      <c r="B670" s="1" t="n">
        <v>45049</v>
      </c>
      <c r="C670" s="1" t="n">
        <v>46196</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51480-2022</t>
        </is>
      </c>
      <c r="B671" s="1" t="n">
        <v>44869</v>
      </c>
      <c r="C671" s="1" t="n">
        <v>46196</v>
      </c>
      <c r="D671" t="inlineStr">
        <is>
          <t>DALARNAS LÄN</t>
        </is>
      </c>
      <c r="E671" t="inlineStr">
        <is>
          <t>LEKSAND</t>
        </is>
      </c>
      <c r="F671" t="inlineStr">
        <is>
          <t>Bergvik skog väst AB</t>
        </is>
      </c>
      <c r="G671" t="n">
        <v>1.7</v>
      </c>
      <c r="H671" t="n">
        <v>0</v>
      </c>
      <c r="I671" t="n">
        <v>0</v>
      </c>
      <c r="J671" t="n">
        <v>0</v>
      </c>
      <c r="K671" t="n">
        <v>0</v>
      </c>
      <c r="L671" t="n">
        <v>0</v>
      </c>
      <c r="M671" t="n">
        <v>0</v>
      </c>
      <c r="N671" t="n">
        <v>0</v>
      </c>
      <c r="O671" t="n">
        <v>0</v>
      </c>
      <c r="P671" t="n">
        <v>0</v>
      </c>
      <c r="Q671" t="n">
        <v>0</v>
      </c>
      <c r="R671" s="2" t="inlineStr"/>
    </row>
    <row r="672" ht="15" customHeight="1">
      <c r="A672" t="inlineStr">
        <is>
          <t>A 9105-2024</t>
        </is>
      </c>
      <c r="B672" s="1" t="n">
        <v>45357</v>
      </c>
      <c r="C672" s="1" t="n">
        <v>46196</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61225-2023</t>
        </is>
      </c>
      <c r="B673" s="1" t="n">
        <v>45264</v>
      </c>
      <c r="C673" s="1" t="n">
        <v>46196</v>
      </c>
      <c r="D673" t="inlineStr">
        <is>
          <t>DALARNAS LÄN</t>
        </is>
      </c>
      <c r="E673" t="inlineStr">
        <is>
          <t>LEKSAND</t>
        </is>
      </c>
      <c r="G673" t="n">
        <v>7</v>
      </c>
      <c r="H673" t="n">
        <v>0</v>
      </c>
      <c r="I673" t="n">
        <v>0</v>
      </c>
      <c r="J673" t="n">
        <v>0</v>
      </c>
      <c r="K673" t="n">
        <v>0</v>
      </c>
      <c r="L673" t="n">
        <v>0</v>
      </c>
      <c r="M673" t="n">
        <v>0</v>
      </c>
      <c r="N673" t="n">
        <v>0</v>
      </c>
      <c r="O673" t="n">
        <v>0</v>
      </c>
      <c r="P673" t="n">
        <v>0</v>
      </c>
      <c r="Q673" t="n">
        <v>0</v>
      </c>
      <c r="R673" s="2" t="inlineStr"/>
    </row>
    <row r="674" ht="15" customHeight="1">
      <c r="A674" t="inlineStr">
        <is>
          <t>A 30196-2023</t>
        </is>
      </c>
      <c r="B674" s="1" t="n">
        <v>45110</v>
      </c>
      <c r="C674" s="1" t="n">
        <v>46196</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10833-2023</t>
        </is>
      </c>
      <c r="B675" s="1" t="n">
        <v>44990</v>
      </c>
      <c r="C675" s="1" t="n">
        <v>46196</v>
      </c>
      <c r="D675" t="inlineStr">
        <is>
          <t>DALARNAS LÄN</t>
        </is>
      </c>
      <c r="E675" t="inlineStr">
        <is>
          <t>LEKSAND</t>
        </is>
      </c>
      <c r="G675" t="n">
        <v>1.7</v>
      </c>
      <c r="H675" t="n">
        <v>0</v>
      </c>
      <c r="I675" t="n">
        <v>0</v>
      </c>
      <c r="J675" t="n">
        <v>0</v>
      </c>
      <c r="K675" t="n">
        <v>0</v>
      </c>
      <c r="L675" t="n">
        <v>0</v>
      </c>
      <c r="M675" t="n">
        <v>0</v>
      </c>
      <c r="N675" t="n">
        <v>0</v>
      </c>
      <c r="O675" t="n">
        <v>0</v>
      </c>
      <c r="P675" t="n">
        <v>0</v>
      </c>
      <c r="Q675" t="n">
        <v>0</v>
      </c>
      <c r="R675" s="2" t="inlineStr"/>
    </row>
    <row r="676" ht="15" customHeight="1">
      <c r="A676" t="inlineStr">
        <is>
          <t>A 47121-2021</t>
        </is>
      </c>
      <c r="B676" s="1" t="n">
        <v>44446</v>
      </c>
      <c r="C676" s="1" t="n">
        <v>46196</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36444-2023</t>
        </is>
      </c>
      <c r="B677" s="1" t="n">
        <v>45152</v>
      </c>
      <c r="C677" s="1" t="n">
        <v>46196</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21402-2023</t>
        </is>
      </c>
      <c r="B678" s="1" t="n">
        <v>45061</v>
      </c>
      <c r="C678" s="1" t="n">
        <v>46196</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167-2023</t>
        </is>
      </c>
      <c r="B679" s="1" t="n">
        <v>44918</v>
      </c>
      <c r="C679" s="1" t="n">
        <v>46196</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31850-2024</t>
        </is>
      </c>
      <c r="B680" s="1" t="n">
        <v>45509</v>
      </c>
      <c r="C680" s="1" t="n">
        <v>46196</v>
      </c>
      <c r="D680" t="inlineStr">
        <is>
          <t>DALARNAS LÄN</t>
        </is>
      </c>
      <c r="E680" t="inlineStr">
        <is>
          <t>LEKSAND</t>
        </is>
      </c>
      <c r="G680" t="n">
        <v>0.5</v>
      </c>
      <c r="H680" t="n">
        <v>0</v>
      </c>
      <c r="I680" t="n">
        <v>0</v>
      </c>
      <c r="J680" t="n">
        <v>0</v>
      </c>
      <c r="K680" t="n">
        <v>0</v>
      </c>
      <c r="L680" t="n">
        <v>0</v>
      </c>
      <c r="M680" t="n">
        <v>0</v>
      </c>
      <c r="N680" t="n">
        <v>0</v>
      </c>
      <c r="O680" t="n">
        <v>0</v>
      </c>
      <c r="P680" t="n">
        <v>0</v>
      </c>
      <c r="Q680" t="n">
        <v>0</v>
      </c>
      <c r="R680" s="2" t="inlineStr"/>
    </row>
    <row r="681" ht="15" customHeight="1">
      <c r="A681" t="inlineStr">
        <is>
          <t>A 27244-2023</t>
        </is>
      </c>
      <c r="B681" s="1" t="n">
        <v>45096</v>
      </c>
      <c r="C681" s="1" t="n">
        <v>46196</v>
      </c>
      <c r="D681" t="inlineStr">
        <is>
          <t>DALARNAS LÄN</t>
        </is>
      </c>
      <c r="E681" t="inlineStr">
        <is>
          <t>LEKSAND</t>
        </is>
      </c>
      <c r="G681" t="n">
        <v>5</v>
      </c>
      <c r="H681" t="n">
        <v>0</v>
      </c>
      <c r="I681" t="n">
        <v>0</v>
      </c>
      <c r="J681" t="n">
        <v>0</v>
      </c>
      <c r="K681" t="n">
        <v>0</v>
      </c>
      <c r="L681" t="n">
        <v>0</v>
      </c>
      <c r="M681" t="n">
        <v>0</v>
      </c>
      <c r="N681" t="n">
        <v>0</v>
      </c>
      <c r="O681" t="n">
        <v>0</v>
      </c>
      <c r="P681" t="n">
        <v>0</v>
      </c>
      <c r="Q681" t="n">
        <v>0</v>
      </c>
      <c r="R681" s="2" t="inlineStr"/>
    </row>
    <row r="682" ht="15" customHeight="1">
      <c r="A682" t="inlineStr">
        <is>
          <t>A 12290-2024</t>
        </is>
      </c>
      <c r="B682" s="1" t="n">
        <v>45378</v>
      </c>
      <c r="C682" s="1" t="n">
        <v>46196</v>
      </c>
      <c r="D682" t="inlineStr">
        <is>
          <t>DALARNAS LÄN</t>
        </is>
      </c>
      <c r="E682" t="inlineStr">
        <is>
          <t>LEKSAND</t>
        </is>
      </c>
      <c r="G682" t="n">
        <v>2.5</v>
      </c>
      <c r="H682" t="n">
        <v>0</v>
      </c>
      <c r="I682" t="n">
        <v>0</v>
      </c>
      <c r="J682" t="n">
        <v>0</v>
      </c>
      <c r="K682" t="n">
        <v>0</v>
      </c>
      <c r="L682" t="n">
        <v>0</v>
      </c>
      <c r="M682" t="n">
        <v>0</v>
      </c>
      <c r="N682" t="n">
        <v>0</v>
      </c>
      <c r="O682" t="n">
        <v>0</v>
      </c>
      <c r="P682" t="n">
        <v>0</v>
      </c>
      <c r="Q682" t="n">
        <v>0</v>
      </c>
      <c r="R682" s="2" t="inlineStr"/>
    </row>
    <row r="683" ht="15" customHeight="1">
      <c r="A683" t="inlineStr">
        <is>
          <t>A 17606-2024</t>
        </is>
      </c>
      <c r="B683" s="1" t="n">
        <v>45415</v>
      </c>
      <c r="C683" s="1" t="n">
        <v>46196</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39819-2024</t>
        </is>
      </c>
      <c r="B684" s="1" t="n">
        <v>45553</v>
      </c>
      <c r="C684" s="1" t="n">
        <v>46196</v>
      </c>
      <c r="D684" t="inlineStr">
        <is>
          <t>DALARNAS LÄN</t>
        </is>
      </c>
      <c r="E684" t="inlineStr">
        <is>
          <t>LEKSAND</t>
        </is>
      </c>
      <c r="F684" t="inlineStr">
        <is>
          <t>Bergvik skog väst AB</t>
        </is>
      </c>
      <c r="G684" t="n">
        <v>3.7</v>
      </c>
      <c r="H684" t="n">
        <v>0</v>
      </c>
      <c r="I684" t="n">
        <v>0</v>
      </c>
      <c r="J684" t="n">
        <v>0</v>
      </c>
      <c r="K684" t="n">
        <v>0</v>
      </c>
      <c r="L684" t="n">
        <v>0</v>
      </c>
      <c r="M684" t="n">
        <v>0</v>
      </c>
      <c r="N684" t="n">
        <v>0</v>
      </c>
      <c r="O684" t="n">
        <v>0</v>
      </c>
      <c r="P684" t="n">
        <v>0</v>
      </c>
      <c r="Q684" t="n">
        <v>0</v>
      </c>
      <c r="R684" s="2" t="inlineStr"/>
    </row>
    <row r="685" ht="15" customHeight="1">
      <c r="A685" t="inlineStr">
        <is>
          <t>A 36450-2023</t>
        </is>
      </c>
      <c r="B685" s="1" t="n">
        <v>45152</v>
      </c>
      <c r="C685" s="1" t="n">
        <v>46196</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19559-2023</t>
        </is>
      </c>
      <c r="B686" s="1" t="n">
        <v>45050</v>
      </c>
      <c r="C686" s="1" t="n">
        <v>46196</v>
      </c>
      <c r="D686" t="inlineStr">
        <is>
          <t>DALARNAS LÄN</t>
        </is>
      </c>
      <c r="E686" t="inlineStr">
        <is>
          <t>LEKSAND</t>
        </is>
      </c>
      <c r="G686" t="n">
        <v>0.1</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46196</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43142-2024</t>
        </is>
      </c>
      <c r="B688" s="1" t="n">
        <v>45567</v>
      </c>
      <c r="C688" s="1" t="n">
        <v>46196</v>
      </c>
      <c r="D688" t="inlineStr">
        <is>
          <t>DALARNAS LÄN</t>
        </is>
      </c>
      <c r="E688" t="inlineStr">
        <is>
          <t>LEKSAND</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53817-2023</t>
        </is>
      </c>
      <c r="B689" s="1" t="n">
        <v>45231</v>
      </c>
      <c r="C689" s="1" t="n">
        <v>46196</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62993-2023</t>
        </is>
      </c>
      <c r="B690" s="1" t="n">
        <v>45272</v>
      </c>
      <c r="C690" s="1" t="n">
        <v>46196</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17455-2022</t>
        </is>
      </c>
      <c r="B691" s="1" t="n">
        <v>44679</v>
      </c>
      <c r="C691" s="1" t="n">
        <v>46196</v>
      </c>
      <c r="D691" t="inlineStr">
        <is>
          <t>DALARNAS LÄN</t>
        </is>
      </c>
      <c r="E691" t="inlineStr">
        <is>
          <t>LEKSAND</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7417-2024</t>
        </is>
      </c>
      <c r="B692" s="1" t="n">
        <v>45345</v>
      </c>
      <c r="C692" s="1" t="n">
        <v>46196</v>
      </c>
      <c r="D692" t="inlineStr">
        <is>
          <t>DALARNAS LÄN</t>
        </is>
      </c>
      <c r="E692" t="inlineStr">
        <is>
          <t>LEKSAND</t>
        </is>
      </c>
      <c r="G692" t="n">
        <v>2.8</v>
      </c>
      <c r="H692" t="n">
        <v>0</v>
      </c>
      <c r="I692" t="n">
        <v>0</v>
      </c>
      <c r="J692" t="n">
        <v>0</v>
      </c>
      <c r="K692" t="n">
        <v>0</v>
      </c>
      <c r="L692" t="n">
        <v>0</v>
      </c>
      <c r="M692" t="n">
        <v>0</v>
      </c>
      <c r="N692" t="n">
        <v>0</v>
      </c>
      <c r="O692" t="n">
        <v>0</v>
      </c>
      <c r="P692" t="n">
        <v>0</v>
      </c>
      <c r="Q692" t="n">
        <v>0</v>
      </c>
      <c r="R692" s="2" t="inlineStr"/>
    </row>
    <row r="693" ht="15" customHeight="1">
      <c r="A693" t="inlineStr">
        <is>
          <t>A 4121-2024</t>
        </is>
      </c>
      <c r="B693" s="1" t="n">
        <v>45323</v>
      </c>
      <c r="C693" s="1" t="n">
        <v>46196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25921-2024</t>
        </is>
      </c>
      <c r="B694" s="1" t="n">
        <v>45467</v>
      </c>
      <c r="C694" s="1" t="n">
        <v>46196</v>
      </c>
      <c r="D694" t="inlineStr">
        <is>
          <t>DALARNAS LÄN</t>
        </is>
      </c>
      <c r="E694" t="inlineStr">
        <is>
          <t>LEKSAND</t>
        </is>
      </c>
      <c r="G694" t="n">
        <v>2.8</v>
      </c>
      <c r="H694" t="n">
        <v>0</v>
      </c>
      <c r="I694" t="n">
        <v>0</v>
      </c>
      <c r="J694" t="n">
        <v>0</v>
      </c>
      <c r="K694" t="n">
        <v>0</v>
      </c>
      <c r="L694" t="n">
        <v>0</v>
      </c>
      <c r="M694" t="n">
        <v>0</v>
      </c>
      <c r="N694" t="n">
        <v>0</v>
      </c>
      <c r="O694" t="n">
        <v>0</v>
      </c>
      <c r="P694" t="n">
        <v>0</v>
      </c>
      <c r="Q694" t="n">
        <v>0</v>
      </c>
      <c r="R694" s="2" t="inlineStr"/>
    </row>
    <row r="695" ht="15" customHeight="1">
      <c r="A695" t="inlineStr">
        <is>
          <t>A 41306-2024</t>
        </is>
      </c>
      <c r="B695" s="1" t="n">
        <v>45559</v>
      </c>
      <c r="C695" s="1" t="n">
        <v>46196</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17377-2025</t>
        </is>
      </c>
      <c r="B696" s="1" t="n">
        <v>45756</v>
      </c>
      <c r="C696" s="1" t="n">
        <v>46196</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13288-2023</t>
        </is>
      </c>
      <c r="B697" s="1" t="n">
        <v>45004</v>
      </c>
      <c r="C697" s="1" t="n">
        <v>46196</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17233-2023</t>
        </is>
      </c>
      <c r="B698" s="1" t="n">
        <v>45035</v>
      </c>
      <c r="C698" s="1" t="n">
        <v>46196</v>
      </c>
      <c r="D698" t="inlineStr">
        <is>
          <t>DALARNAS LÄN</t>
        </is>
      </c>
      <c r="E698" t="inlineStr">
        <is>
          <t>LEKSAND</t>
        </is>
      </c>
      <c r="G698" t="n">
        <v>1.6</v>
      </c>
      <c r="H698" t="n">
        <v>0</v>
      </c>
      <c r="I698" t="n">
        <v>0</v>
      </c>
      <c r="J698" t="n">
        <v>0</v>
      </c>
      <c r="K698" t="n">
        <v>0</v>
      </c>
      <c r="L698" t="n">
        <v>0</v>
      </c>
      <c r="M698" t="n">
        <v>0</v>
      </c>
      <c r="N698" t="n">
        <v>0</v>
      </c>
      <c r="O698" t="n">
        <v>0</v>
      </c>
      <c r="P698" t="n">
        <v>0</v>
      </c>
      <c r="Q698" t="n">
        <v>0</v>
      </c>
      <c r="R698" s="2" t="inlineStr"/>
    </row>
    <row r="699" ht="15" customHeight="1">
      <c r="A699" t="inlineStr">
        <is>
          <t>A 46931-2023</t>
        </is>
      </c>
      <c r="B699" s="1" t="n">
        <v>45201</v>
      </c>
      <c r="C699" s="1" t="n">
        <v>46196</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11740-2025</t>
        </is>
      </c>
      <c r="B700" s="1" t="n">
        <v>45727</v>
      </c>
      <c r="C700" s="1" t="n">
        <v>46196</v>
      </c>
      <c r="D700" t="inlineStr">
        <is>
          <t>DALARNAS LÄN</t>
        </is>
      </c>
      <c r="E700" t="inlineStr">
        <is>
          <t>LEKSAND</t>
        </is>
      </c>
      <c r="F700" t="inlineStr">
        <is>
          <t>Övriga Aktiebolag</t>
        </is>
      </c>
      <c r="G700" t="n">
        <v>1.3</v>
      </c>
      <c r="H700" t="n">
        <v>0</v>
      </c>
      <c r="I700" t="n">
        <v>0</v>
      </c>
      <c r="J700" t="n">
        <v>0</v>
      </c>
      <c r="K700" t="n">
        <v>0</v>
      </c>
      <c r="L700" t="n">
        <v>0</v>
      </c>
      <c r="M700" t="n">
        <v>0</v>
      </c>
      <c r="N700" t="n">
        <v>0</v>
      </c>
      <c r="O700" t="n">
        <v>0</v>
      </c>
      <c r="P700" t="n">
        <v>0</v>
      </c>
      <c r="Q700" t="n">
        <v>0</v>
      </c>
      <c r="R700" s="2" t="inlineStr"/>
    </row>
    <row r="701" ht="15" customHeight="1">
      <c r="A701" t="inlineStr">
        <is>
          <t>A 10373-2023</t>
        </is>
      </c>
      <c r="B701" s="1" t="n">
        <v>44987</v>
      </c>
      <c r="C701" s="1" t="n">
        <v>46196</v>
      </c>
      <c r="D701" t="inlineStr">
        <is>
          <t>DALARNAS LÄN</t>
        </is>
      </c>
      <c r="E701" t="inlineStr">
        <is>
          <t>LEKSAND</t>
        </is>
      </c>
      <c r="G701" t="n">
        <v>0.3</v>
      </c>
      <c r="H701" t="n">
        <v>0</v>
      </c>
      <c r="I701" t="n">
        <v>0</v>
      </c>
      <c r="J701" t="n">
        <v>0</v>
      </c>
      <c r="K701" t="n">
        <v>0</v>
      </c>
      <c r="L701" t="n">
        <v>0</v>
      </c>
      <c r="M701" t="n">
        <v>0</v>
      </c>
      <c r="N701" t="n">
        <v>0</v>
      </c>
      <c r="O701" t="n">
        <v>0</v>
      </c>
      <c r="P701" t="n">
        <v>0</v>
      </c>
      <c r="Q701" t="n">
        <v>0</v>
      </c>
      <c r="R701" s="2" t="inlineStr"/>
    </row>
    <row r="702" ht="15" customHeight="1">
      <c r="A702" t="inlineStr">
        <is>
          <t>A 2820-2024</t>
        </is>
      </c>
      <c r="B702" s="1" t="n">
        <v>45314</v>
      </c>
      <c r="C702" s="1" t="n">
        <v>46196</v>
      </c>
      <c r="D702" t="inlineStr">
        <is>
          <t>DALARNAS LÄN</t>
        </is>
      </c>
      <c r="E702" t="inlineStr">
        <is>
          <t>LEKSAND</t>
        </is>
      </c>
      <c r="G702" t="n">
        <v>1.7</v>
      </c>
      <c r="H702" t="n">
        <v>0</v>
      </c>
      <c r="I702" t="n">
        <v>0</v>
      </c>
      <c r="J702" t="n">
        <v>0</v>
      </c>
      <c r="K702" t="n">
        <v>0</v>
      </c>
      <c r="L702" t="n">
        <v>0</v>
      </c>
      <c r="M702" t="n">
        <v>0</v>
      </c>
      <c r="N702" t="n">
        <v>0</v>
      </c>
      <c r="O702" t="n">
        <v>0</v>
      </c>
      <c r="P702" t="n">
        <v>0</v>
      </c>
      <c r="Q702" t="n">
        <v>0</v>
      </c>
      <c r="R702" s="2" t="inlineStr"/>
    </row>
    <row r="703" ht="15" customHeight="1">
      <c r="A703" t="inlineStr">
        <is>
          <t>A 2822-2024</t>
        </is>
      </c>
      <c r="B703" s="1" t="n">
        <v>45314</v>
      </c>
      <c r="C703" s="1" t="n">
        <v>46196</v>
      </c>
      <c r="D703" t="inlineStr">
        <is>
          <t>DALARNAS LÄN</t>
        </is>
      </c>
      <c r="E703" t="inlineStr">
        <is>
          <t>LEKSAND</t>
        </is>
      </c>
      <c r="G703" t="n">
        <v>1.6</v>
      </c>
      <c r="H703" t="n">
        <v>0</v>
      </c>
      <c r="I703" t="n">
        <v>0</v>
      </c>
      <c r="J703" t="n">
        <v>0</v>
      </c>
      <c r="K703" t="n">
        <v>0</v>
      </c>
      <c r="L703" t="n">
        <v>0</v>
      </c>
      <c r="M703" t="n">
        <v>0</v>
      </c>
      <c r="N703" t="n">
        <v>0</v>
      </c>
      <c r="O703" t="n">
        <v>0</v>
      </c>
      <c r="P703" t="n">
        <v>0</v>
      </c>
      <c r="Q703" t="n">
        <v>0</v>
      </c>
      <c r="R703" s="2" t="inlineStr"/>
    </row>
    <row r="704" ht="15" customHeight="1">
      <c r="A704" t="inlineStr">
        <is>
          <t>A 37952-2024</t>
        </is>
      </c>
      <c r="B704" s="1" t="n">
        <v>45544</v>
      </c>
      <c r="C704" s="1" t="n">
        <v>46196</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46834-2023</t>
        </is>
      </c>
      <c r="B705" s="1" t="n">
        <v>45199</v>
      </c>
      <c r="C705" s="1" t="n">
        <v>46196</v>
      </c>
      <c r="D705" t="inlineStr">
        <is>
          <t>DALARNAS LÄN</t>
        </is>
      </c>
      <c r="E705" t="inlineStr">
        <is>
          <t>LEKSAND</t>
        </is>
      </c>
      <c r="G705" t="n">
        <v>16.3</v>
      </c>
      <c r="H705" t="n">
        <v>0</v>
      </c>
      <c r="I705" t="n">
        <v>0</v>
      </c>
      <c r="J705" t="n">
        <v>0</v>
      </c>
      <c r="K705" t="n">
        <v>0</v>
      </c>
      <c r="L705" t="n">
        <v>0</v>
      </c>
      <c r="M705" t="n">
        <v>0</v>
      </c>
      <c r="N705" t="n">
        <v>0</v>
      </c>
      <c r="O705" t="n">
        <v>0</v>
      </c>
      <c r="P705" t="n">
        <v>0</v>
      </c>
      <c r="Q705" t="n">
        <v>0</v>
      </c>
      <c r="R705" s="2" t="inlineStr"/>
    </row>
    <row r="706" ht="15" customHeight="1">
      <c r="A706" t="inlineStr">
        <is>
          <t>A 12851-2023</t>
        </is>
      </c>
      <c r="B706" s="1" t="n">
        <v>45001</v>
      </c>
      <c r="C706" s="1" t="n">
        <v>46196</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34482-2022</t>
        </is>
      </c>
      <c r="B707" s="1" t="n">
        <v>44792</v>
      </c>
      <c r="C707" s="1" t="n">
        <v>46196</v>
      </c>
      <c r="D707" t="inlineStr">
        <is>
          <t>DALARNAS LÄN</t>
        </is>
      </c>
      <c r="E707" t="inlineStr">
        <is>
          <t>LEKSAND</t>
        </is>
      </c>
      <c r="G707" t="n">
        <v>2.6</v>
      </c>
      <c r="H707" t="n">
        <v>0</v>
      </c>
      <c r="I707" t="n">
        <v>0</v>
      </c>
      <c r="J707" t="n">
        <v>0</v>
      </c>
      <c r="K707" t="n">
        <v>0</v>
      </c>
      <c r="L707" t="n">
        <v>0</v>
      </c>
      <c r="M707" t="n">
        <v>0</v>
      </c>
      <c r="N707" t="n">
        <v>0</v>
      </c>
      <c r="O707" t="n">
        <v>0</v>
      </c>
      <c r="P707" t="n">
        <v>0</v>
      </c>
      <c r="Q707" t="n">
        <v>0</v>
      </c>
      <c r="R707" s="2" t="inlineStr"/>
    </row>
    <row r="708" ht="15" customHeight="1">
      <c r="A708" t="inlineStr">
        <is>
          <t>A 5584-2024</t>
        </is>
      </c>
      <c r="B708" s="1" t="n">
        <v>45334</v>
      </c>
      <c r="C708" s="1" t="n">
        <v>46196</v>
      </c>
      <c r="D708" t="inlineStr">
        <is>
          <t>DALARNAS LÄN</t>
        </is>
      </c>
      <c r="E708" t="inlineStr">
        <is>
          <t>LEKSAND</t>
        </is>
      </c>
      <c r="F708" t="inlineStr">
        <is>
          <t>Kyrkan</t>
        </is>
      </c>
      <c r="G708" t="n">
        <v>0.4</v>
      </c>
      <c r="H708" t="n">
        <v>0</v>
      </c>
      <c r="I708" t="n">
        <v>0</v>
      </c>
      <c r="J708" t="n">
        <v>0</v>
      </c>
      <c r="K708" t="n">
        <v>0</v>
      </c>
      <c r="L708" t="n">
        <v>0</v>
      </c>
      <c r="M708" t="n">
        <v>0</v>
      </c>
      <c r="N708" t="n">
        <v>0</v>
      </c>
      <c r="O708" t="n">
        <v>0</v>
      </c>
      <c r="P708" t="n">
        <v>0</v>
      </c>
      <c r="Q708" t="n">
        <v>0</v>
      </c>
      <c r="R708" s="2" t="inlineStr"/>
    </row>
    <row r="709" ht="15" customHeight="1">
      <c r="A709" t="inlineStr">
        <is>
          <t>A 51860-2024</t>
        </is>
      </c>
      <c r="B709" s="1" t="n">
        <v>45607</v>
      </c>
      <c r="C709" s="1" t="n">
        <v>46196</v>
      </c>
      <c r="D709" t="inlineStr">
        <is>
          <t>DALARNAS LÄN</t>
        </is>
      </c>
      <c r="E709" t="inlineStr">
        <is>
          <t>LEKSAND</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22681-2022</t>
        </is>
      </c>
      <c r="B710" s="1" t="n">
        <v>44714</v>
      </c>
      <c r="C710" s="1" t="n">
        <v>46196</v>
      </c>
      <c r="D710" t="inlineStr">
        <is>
          <t>DALARNAS LÄN</t>
        </is>
      </c>
      <c r="E710" t="inlineStr">
        <is>
          <t>LEKSAND</t>
        </is>
      </c>
      <c r="F710" t="inlineStr">
        <is>
          <t>Bergvik skog väst AB</t>
        </is>
      </c>
      <c r="G710" t="n">
        <v>2.8</v>
      </c>
      <c r="H710" t="n">
        <v>0</v>
      </c>
      <c r="I710" t="n">
        <v>0</v>
      </c>
      <c r="J710" t="n">
        <v>0</v>
      </c>
      <c r="K710" t="n">
        <v>0</v>
      </c>
      <c r="L710" t="n">
        <v>0</v>
      </c>
      <c r="M710" t="n">
        <v>0</v>
      </c>
      <c r="N710" t="n">
        <v>0</v>
      </c>
      <c r="O710" t="n">
        <v>0</v>
      </c>
      <c r="P710" t="n">
        <v>0</v>
      </c>
      <c r="Q710" t="n">
        <v>0</v>
      </c>
      <c r="R710" s="2" t="inlineStr"/>
    </row>
    <row r="711" ht="15" customHeight="1">
      <c r="A711" t="inlineStr">
        <is>
          <t>A 33198-2022</t>
        </is>
      </c>
      <c r="B711" s="1" t="n">
        <v>44785</v>
      </c>
      <c r="C711" s="1" t="n">
        <v>46196</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9938-2023</t>
        </is>
      </c>
      <c r="B712" s="1" t="n">
        <v>44985</v>
      </c>
      <c r="C712" s="1" t="n">
        <v>46196</v>
      </c>
      <c r="D712" t="inlineStr">
        <is>
          <t>DALARNAS LÄN</t>
        </is>
      </c>
      <c r="E712" t="inlineStr">
        <is>
          <t>LEKSAND</t>
        </is>
      </c>
      <c r="G712" t="n">
        <v>3.1</v>
      </c>
      <c r="H712" t="n">
        <v>0</v>
      </c>
      <c r="I712" t="n">
        <v>0</v>
      </c>
      <c r="J712" t="n">
        <v>0</v>
      </c>
      <c r="K712" t="n">
        <v>0</v>
      </c>
      <c r="L712" t="n">
        <v>0</v>
      </c>
      <c r="M712" t="n">
        <v>0</v>
      </c>
      <c r="N712" t="n">
        <v>0</v>
      </c>
      <c r="O712" t="n">
        <v>0</v>
      </c>
      <c r="P712" t="n">
        <v>0</v>
      </c>
      <c r="Q712" t="n">
        <v>0</v>
      </c>
      <c r="R712" s="2" t="inlineStr"/>
    </row>
    <row r="713" ht="15" customHeight="1">
      <c r="A713" t="inlineStr">
        <is>
          <t>A 31726-2024</t>
        </is>
      </c>
      <c r="B713" s="1" t="n">
        <v>45509</v>
      </c>
      <c r="C713" s="1" t="n">
        <v>46196</v>
      </c>
      <c r="D713" t="inlineStr">
        <is>
          <t>DALARNAS LÄN</t>
        </is>
      </c>
      <c r="E713" t="inlineStr">
        <is>
          <t>LEKSAND</t>
        </is>
      </c>
      <c r="G713" t="n">
        <v>1.1</v>
      </c>
      <c r="H713" t="n">
        <v>0</v>
      </c>
      <c r="I713" t="n">
        <v>0</v>
      </c>
      <c r="J713" t="n">
        <v>0</v>
      </c>
      <c r="K713" t="n">
        <v>0</v>
      </c>
      <c r="L713" t="n">
        <v>0</v>
      </c>
      <c r="M713" t="n">
        <v>0</v>
      </c>
      <c r="N713" t="n">
        <v>0</v>
      </c>
      <c r="O713" t="n">
        <v>0</v>
      </c>
      <c r="P713" t="n">
        <v>0</v>
      </c>
      <c r="Q713" t="n">
        <v>0</v>
      </c>
      <c r="R713" s="2" t="inlineStr"/>
    </row>
    <row r="714" ht="15" customHeight="1">
      <c r="A714" t="inlineStr">
        <is>
          <t>A 26957-2023</t>
        </is>
      </c>
      <c r="B714" s="1" t="n">
        <v>45093</v>
      </c>
      <c r="C714" s="1" t="n">
        <v>46196</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39595-2023</t>
        </is>
      </c>
      <c r="B715" s="1" t="n">
        <v>45167</v>
      </c>
      <c r="C715" s="1" t="n">
        <v>46196</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40642-2023</t>
        </is>
      </c>
      <c r="B716" s="1" t="n">
        <v>45169</v>
      </c>
      <c r="C716" s="1" t="n">
        <v>46196</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60095-2022</t>
        </is>
      </c>
      <c r="B717" s="1" t="n">
        <v>44909</v>
      </c>
      <c r="C717" s="1" t="n">
        <v>46196</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30595-2023</t>
        </is>
      </c>
      <c r="B718" s="1" t="n">
        <v>45112</v>
      </c>
      <c r="C718" s="1" t="n">
        <v>46196</v>
      </c>
      <c r="D718" t="inlineStr">
        <is>
          <t>DALARNAS LÄN</t>
        </is>
      </c>
      <c r="E718" t="inlineStr">
        <is>
          <t>LEKSAND</t>
        </is>
      </c>
      <c r="G718" t="n">
        <v>1.1</v>
      </c>
      <c r="H718" t="n">
        <v>0</v>
      </c>
      <c r="I718" t="n">
        <v>0</v>
      </c>
      <c r="J718" t="n">
        <v>0</v>
      </c>
      <c r="K718" t="n">
        <v>0</v>
      </c>
      <c r="L718" t="n">
        <v>0</v>
      </c>
      <c r="M718" t="n">
        <v>0</v>
      </c>
      <c r="N718" t="n">
        <v>0</v>
      </c>
      <c r="O718" t="n">
        <v>0</v>
      </c>
      <c r="P718" t="n">
        <v>0</v>
      </c>
      <c r="Q718" t="n">
        <v>0</v>
      </c>
      <c r="R718" s="2" t="inlineStr"/>
    </row>
    <row r="719" ht="15" customHeight="1">
      <c r="A719" t="inlineStr">
        <is>
          <t>A 40755-2024</t>
        </is>
      </c>
      <c r="B719" s="1" t="n">
        <v>45558</v>
      </c>
      <c r="C719" s="1" t="n">
        <v>46196</v>
      </c>
      <c r="D719" t="inlineStr">
        <is>
          <t>DALARNAS LÄN</t>
        </is>
      </c>
      <c r="E719" t="inlineStr">
        <is>
          <t>LEKSAND</t>
        </is>
      </c>
      <c r="G719" t="n">
        <v>0.8</v>
      </c>
      <c r="H719" t="n">
        <v>0</v>
      </c>
      <c r="I719" t="n">
        <v>0</v>
      </c>
      <c r="J719" t="n">
        <v>0</v>
      </c>
      <c r="K719" t="n">
        <v>0</v>
      </c>
      <c r="L719" t="n">
        <v>0</v>
      </c>
      <c r="M719" t="n">
        <v>0</v>
      </c>
      <c r="N719" t="n">
        <v>0</v>
      </c>
      <c r="O719" t="n">
        <v>0</v>
      </c>
      <c r="P719" t="n">
        <v>0</v>
      </c>
      <c r="Q719" t="n">
        <v>0</v>
      </c>
      <c r="R719" s="2" t="inlineStr"/>
    </row>
    <row r="720" ht="15" customHeight="1">
      <c r="A720" t="inlineStr">
        <is>
          <t>A 61680-2024</t>
        </is>
      </c>
      <c r="B720" s="1" t="n">
        <v>45647</v>
      </c>
      <c r="C720" s="1" t="n">
        <v>46196</v>
      </c>
      <c r="D720" t="inlineStr">
        <is>
          <t>DALARNAS LÄN</t>
        </is>
      </c>
      <c r="E720" t="inlineStr">
        <is>
          <t>LEKSAND</t>
        </is>
      </c>
      <c r="G720" t="n">
        <v>3.6</v>
      </c>
      <c r="H720" t="n">
        <v>0</v>
      </c>
      <c r="I720" t="n">
        <v>0</v>
      </c>
      <c r="J720" t="n">
        <v>0</v>
      </c>
      <c r="K720" t="n">
        <v>0</v>
      </c>
      <c r="L720" t="n">
        <v>0</v>
      </c>
      <c r="M720" t="n">
        <v>0</v>
      </c>
      <c r="N720" t="n">
        <v>0</v>
      </c>
      <c r="O720" t="n">
        <v>0</v>
      </c>
      <c r="P720" t="n">
        <v>0</v>
      </c>
      <c r="Q720" t="n">
        <v>0</v>
      </c>
      <c r="R720" s="2" t="inlineStr"/>
    </row>
    <row r="721" ht="15" customHeight="1">
      <c r="A721" t="inlineStr">
        <is>
          <t>A 62295-2023</t>
        </is>
      </c>
      <c r="B721" s="1" t="n">
        <v>45267</v>
      </c>
      <c r="C721" s="1" t="n">
        <v>46196</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15173-2025</t>
        </is>
      </c>
      <c r="B722" s="1" t="n">
        <v>45744</v>
      </c>
      <c r="C722" s="1" t="n">
        <v>46196</v>
      </c>
      <c r="D722" t="inlineStr">
        <is>
          <t>DALARNAS LÄN</t>
        </is>
      </c>
      <c r="E722" t="inlineStr">
        <is>
          <t>LEKSAND</t>
        </is>
      </c>
      <c r="G722" t="n">
        <v>0.3</v>
      </c>
      <c r="H722" t="n">
        <v>0</v>
      </c>
      <c r="I722" t="n">
        <v>0</v>
      </c>
      <c r="J722" t="n">
        <v>0</v>
      </c>
      <c r="K722" t="n">
        <v>0</v>
      </c>
      <c r="L722" t="n">
        <v>0</v>
      </c>
      <c r="M722" t="n">
        <v>0</v>
      </c>
      <c r="N722" t="n">
        <v>0</v>
      </c>
      <c r="O722" t="n">
        <v>0</v>
      </c>
      <c r="P722" t="n">
        <v>0</v>
      </c>
      <c r="Q722" t="n">
        <v>0</v>
      </c>
      <c r="R722" s="2" t="inlineStr"/>
    </row>
    <row r="723" ht="15" customHeight="1">
      <c r="A723" t="inlineStr">
        <is>
          <t>A 61054-2023</t>
        </is>
      </c>
      <c r="B723" s="1" t="n">
        <v>45261</v>
      </c>
      <c r="C723" s="1" t="n">
        <v>46196</v>
      </c>
      <c r="D723" t="inlineStr">
        <is>
          <t>DALARNAS LÄN</t>
        </is>
      </c>
      <c r="E723" t="inlineStr">
        <is>
          <t>LEKSAND</t>
        </is>
      </c>
      <c r="G723" t="n">
        <v>0.4</v>
      </c>
      <c r="H723" t="n">
        <v>0</v>
      </c>
      <c r="I723" t="n">
        <v>0</v>
      </c>
      <c r="J723" t="n">
        <v>0</v>
      </c>
      <c r="K723" t="n">
        <v>0</v>
      </c>
      <c r="L723" t="n">
        <v>0</v>
      </c>
      <c r="M723" t="n">
        <v>0</v>
      </c>
      <c r="N723" t="n">
        <v>0</v>
      </c>
      <c r="O723" t="n">
        <v>0</v>
      </c>
      <c r="P723" t="n">
        <v>0</v>
      </c>
      <c r="Q723" t="n">
        <v>0</v>
      </c>
      <c r="R723" s="2" t="inlineStr"/>
    </row>
    <row r="724" ht="15" customHeight="1">
      <c r="A724" t="inlineStr">
        <is>
          <t>A 61056-2023</t>
        </is>
      </c>
      <c r="B724" s="1" t="n">
        <v>45261</v>
      </c>
      <c r="C724" s="1" t="n">
        <v>46196</v>
      </c>
      <c r="D724" t="inlineStr">
        <is>
          <t>DALARNAS LÄN</t>
        </is>
      </c>
      <c r="E724" t="inlineStr">
        <is>
          <t>LEKSAND</t>
        </is>
      </c>
      <c r="G724" t="n">
        <v>0.3</v>
      </c>
      <c r="H724" t="n">
        <v>0</v>
      </c>
      <c r="I724" t="n">
        <v>0</v>
      </c>
      <c r="J724" t="n">
        <v>0</v>
      </c>
      <c r="K724" t="n">
        <v>0</v>
      </c>
      <c r="L724" t="n">
        <v>0</v>
      </c>
      <c r="M724" t="n">
        <v>0</v>
      </c>
      <c r="N724" t="n">
        <v>0</v>
      </c>
      <c r="O724" t="n">
        <v>0</v>
      </c>
      <c r="P724" t="n">
        <v>0</v>
      </c>
      <c r="Q724" t="n">
        <v>0</v>
      </c>
      <c r="R724" s="2" t="inlineStr"/>
    </row>
    <row r="725" ht="15" customHeight="1">
      <c r="A725" t="inlineStr">
        <is>
          <t>A 6846-2023</t>
        </is>
      </c>
      <c r="B725" s="1" t="n">
        <v>44967</v>
      </c>
      <c r="C725" s="1" t="n">
        <v>46196</v>
      </c>
      <c r="D725" t="inlineStr">
        <is>
          <t>DALARNAS LÄN</t>
        </is>
      </c>
      <c r="E725" t="inlineStr">
        <is>
          <t>LEKSAND</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1775-2022</t>
        </is>
      </c>
      <c r="B726" s="1" t="n">
        <v>44574</v>
      </c>
      <c r="C726" s="1" t="n">
        <v>46196</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56753-2023</t>
        </is>
      </c>
      <c r="B727" s="1" t="n">
        <v>45244</v>
      </c>
      <c r="C727" s="1" t="n">
        <v>46196</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53799-2023</t>
        </is>
      </c>
      <c r="B728" s="1" t="n">
        <v>45231</v>
      </c>
      <c r="C728" s="1" t="n">
        <v>46196</v>
      </c>
      <c r="D728" t="inlineStr">
        <is>
          <t>DALARNAS LÄN</t>
        </is>
      </c>
      <c r="E728" t="inlineStr">
        <is>
          <t>LEKSAND</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19590-2023</t>
        </is>
      </c>
      <c r="B729" s="1" t="n">
        <v>45049</v>
      </c>
      <c r="C729" s="1" t="n">
        <v>46196</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30000-2023</t>
        </is>
      </c>
      <c r="B730" s="1" t="n">
        <v>45109</v>
      </c>
      <c r="C730" s="1" t="n">
        <v>46196</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61933-2023</t>
        </is>
      </c>
      <c r="B731" s="1" t="n">
        <v>45266</v>
      </c>
      <c r="C731" s="1" t="n">
        <v>46196</v>
      </c>
      <c r="D731" t="inlineStr">
        <is>
          <t>DALARNAS LÄN</t>
        </is>
      </c>
      <c r="E731" t="inlineStr">
        <is>
          <t>LEKSAND</t>
        </is>
      </c>
      <c r="G731" t="n">
        <v>0.2</v>
      </c>
      <c r="H731" t="n">
        <v>0</v>
      </c>
      <c r="I731" t="n">
        <v>0</v>
      </c>
      <c r="J731" t="n">
        <v>0</v>
      </c>
      <c r="K731" t="n">
        <v>0</v>
      </c>
      <c r="L731" t="n">
        <v>0</v>
      </c>
      <c r="M731" t="n">
        <v>0</v>
      </c>
      <c r="N731" t="n">
        <v>0</v>
      </c>
      <c r="O731" t="n">
        <v>0</v>
      </c>
      <c r="P731" t="n">
        <v>0</v>
      </c>
      <c r="Q731" t="n">
        <v>0</v>
      </c>
      <c r="R731" s="2" t="inlineStr"/>
    </row>
    <row r="732" ht="15" customHeight="1">
      <c r="A732" t="inlineStr">
        <is>
          <t>A 49395-2024</t>
        </is>
      </c>
      <c r="B732" s="1" t="n">
        <v>45595</v>
      </c>
      <c r="C732" s="1" t="n">
        <v>46196</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481-2024</t>
        </is>
      </c>
      <c r="B733" s="1" t="n">
        <v>45298</v>
      </c>
      <c r="C733" s="1" t="n">
        <v>46196</v>
      </c>
      <c r="D733" t="inlineStr">
        <is>
          <t>DALARNAS LÄN</t>
        </is>
      </c>
      <c r="E733" t="inlineStr">
        <is>
          <t>LEKSAND</t>
        </is>
      </c>
      <c r="G733" t="n">
        <v>7</v>
      </c>
      <c r="H733" t="n">
        <v>0</v>
      </c>
      <c r="I733" t="n">
        <v>0</v>
      </c>
      <c r="J733" t="n">
        <v>0</v>
      </c>
      <c r="K733" t="n">
        <v>0</v>
      </c>
      <c r="L733" t="n">
        <v>0</v>
      </c>
      <c r="M733" t="n">
        <v>0</v>
      </c>
      <c r="N733" t="n">
        <v>0</v>
      </c>
      <c r="O733" t="n">
        <v>0</v>
      </c>
      <c r="P733" t="n">
        <v>0</v>
      </c>
      <c r="Q733" t="n">
        <v>0</v>
      </c>
      <c r="R733" s="2" t="inlineStr"/>
    </row>
    <row r="734" ht="15" customHeight="1">
      <c r="A734" t="inlineStr">
        <is>
          <t>A 50278-2023</t>
        </is>
      </c>
      <c r="B734" s="1" t="n">
        <v>45216</v>
      </c>
      <c r="C734" s="1" t="n">
        <v>46196</v>
      </c>
      <c r="D734" t="inlineStr">
        <is>
          <t>DALARNAS LÄN</t>
        </is>
      </c>
      <c r="E734" t="inlineStr">
        <is>
          <t>LEKSAND</t>
        </is>
      </c>
      <c r="G734" t="n">
        <v>0.4</v>
      </c>
      <c r="H734" t="n">
        <v>0</v>
      </c>
      <c r="I734" t="n">
        <v>0</v>
      </c>
      <c r="J734" t="n">
        <v>0</v>
      </c>
      <c r="K734" t="n">
        <v>0</v>
      </c>
      <c r="L734" t="n">
        <v>0</v>
      </c>
      <c r="M734" t="n">
        <v>0</v>
      </c>
      <c r="N734" t="n">
        <v>0</v>
      </c>
      <c r="O734" t="n">
        <v>0</v>
      </c>
      <c r="P734" t="n">
        <v>0</v>
      </c>
      <c r="Q734" t="n">
        <v>0</v>
      </c>
      <c r="R734" s="2" t="inlineStr"/>
    </row>
    <row r="735" ht="15" customHeight="1">
      <c r="A735" t="inlineStr">
        <is>
          <t>A 23323-2023</t>
        </is>
      </c>
      <c r="B735" s="1" t="n">
        <v>45076</v>
      </c>
      <c r="C735" s="1" t="n">
        <v>46196</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33072-2021</t>
        </is>
      </c>
      <c r="B736" s="1" t="n">
        <v>44375</v>
      </c>
      <c r="C736" s="1" t="n">
        <v>46196</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412-2024</t>
        </is>
      </c>
      <c r="B737" s="1" t="n">
        <v>45296</v>
      </c>
      <c r="C737" s="1" t="n">
        <v>46196</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56330-2022</t>
        </is>
      </c>
      <c r="B738" s="1" t="n">
        <v>44890</v>
      </c>
      <c r="C738" s="1" t="n">
        <v>46196</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59673-2023</t>
        </is>
      </c>
      <c r="B739" s="1" t="n">
        <v>45255</v>
      </c>
      <c r="C739" s="1" t="n">
        <v>46196</v>
      </c>
      <c r="D739" t="inlineStr">
        <is>
          <t>DALARNAS LÄN</t>
        </is>
      </c>
      <c r="E739" t="inlineStr">
        <is>
          <t>LEKSAND</t>
        </is>
      </c>
      <c r="G739" t="n">
        <v>12.2</v>
      </c>
      <c r="H739" t="n">
        <v>0</v>
      </c>
      <c r="I739" t="n">
        <v>0</v>
      </c>
      <c r="J739" t="n">
        <v>0</v>
      </c>
      <c r="K739" t="n">
        <v>0</v>
      </c>
      <c r="L739" t="n">
        <v>0</v>
      </c>
      <c r="M739" t="n">
        <v>0</v>
      </c>
      <c r="N739" t="n">
        <v>0</v>
      </c>
      <c r="O739" t="n">
        <v>0</v>
      </c>
      <c r="P739" t="n">
        <v>0</v>
      </c>
      <c r="Q739" t="n">
        <v>0</v>
      </c>
      <c r="R739" s="2" t="inlineStr"/>
    </row>
    <row r="740" ht="15" customHeight="1">
      <c r="A740" t="inlineStr">
        <is>
          <t>A 17726-2024</t>
        </is>
      </c>
      <c r="B740" s="1" t="n">
        <v>45418</v>
      </c>
      <c r="C740" s="1" t="n">
        <v>46196</v>
      </c>
      <c r="D740" t="inlineStr">
        <is>
          <t>DALARNAS LÄN</t>
        </is>
      </c>
      <c r="E740" t="inlineStr">
        <is>
          <t>LEKSAND</t>
        </is>
      </c>
      <c r="G740" t="n">
        <v>5.2</v>
      </c>
      <c r="H740" t="n">
        <v>0</v>
      </c>
      <c r="I740" t="n">
        <v>0</v>
      </c>
      <c r="J740" t="n">
        <v>0</v>
      </c>
      <c r="K740" t="n">
        <v>0</v>
      </c>
      <c r="L740" t="n">
        <v>0</v>
      </c>
      <c r="M740" t="n">
        <v>0</v>
      </c>
      <c r="N740" t="n">
        <v>0</v>
      </c>
      <c r="O740" t="n">
        <v>0</v>
      </c>
      <c r="P740" t="n">
        <v>0</v>
      </c>
      <c r="Q740" t="n">
        <v>0</v>
      </c>
      <c r="R740" s="2" t="inlineStr"/>
    </row>
    <row r="741" ht="15" customHeight="1">
      <c r="A741" t="inlineStr">
        <is>
          <t>A 32-2024</t>
        </is>
      </c>
      <c r="B741" s="1" t="n">
        <v>45293</v>
      </c>
      <c r="C741" s="1" t="n">
        <v>46196</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1719-2024</t>
        </is>
      </c>
      <c r="B742" s="1" t="n">
        <v>45307</v>
      </c>
      <c r="C742" s="1" t="n">
        <v>46196</v>
      </c>
      <c r="D742" t="inlineStr">
        <is>
          <t>DALARNAS LÄN</t>
        </is>
      </c>
      <c r="E742" t="inlineStr">
        <is>
          <t>LEKSAND</t>
        </is>
      </c>
      <c r="G742" t="n">
        <v>2.8</v>
      </c>
      <c r="H742" t="n">
        <v>0</v>
      </c>
      <c r="I742" t="n">
        <v>0</v>
      </c>
      <c r="J742" t="n">
        <v>0</v>
      </c>
      <c r="K742" t="n">
        <v>0</v>
      </c>
      <c r="L742" t="n">
        <v>0</v>
      </c>
      <c r="M742" t="n">
        <v>0</v>
      </c>
      <c r="N742" t="n">
        <v>0</v>
      </c>
      <c r="O742" t="n">
        <v>0</v>
      </c>
      <c r="P742" t="n">
        <v>0</v>
      </c>
      <c r="Q742" t="n">
        <v>0</v>
      </c>
      <c r="R742" s="2" t="inlineStr"/>
    </row>
    <row r="743" ht="15" customHeight="1">
      <c r="A743" t="inlineStr">
        <is>
          <t>A 33463-2023</t>
        </is>
      </c>
      <c r="B743" s="1" t="n">
        <v>45131</v>
      </c>
      <c r="C743" s="1" t="n">
        <v>46196</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12992-2022</t>
        </is>
      </c>
      <c r="B744" s="1" t="n">
        <v>44643</v>
      </c>
      <c r="C744" s="1" t="n">
        <v>46196</v>
      </c>
      <c r="D744" t="inlineStr">
        <is>
          <t>DALARNAS LÄN</t>
        </is>
      </c>
      <c r="E744" t="inlineStr">
        <is>
          <t>LEKSAND</t>
        </is>
      </c>
      <c r="G744" t="n">
        <v>1.5</v>
      </c>
      <c r="H744" t="n">
        <v>0</v>
      </c>
      <c r="I744" t="n">
        <v>0</v>
      </c>
      <c r="J744" t="n">
        <v>0</v>
      </c>
      <c r="K744" t="n">
        <v>0</v>
      </c>
      <c r="L744" t="n">
        <v>0</v>
      </c>
      <c r="M744" t="n">
        <v>0</v>
      </c>
      <c r="N744" t="n">
        <v>0</v>
      </c>
      <c r="O744" t="n">
        <v>0</v>
      </c>
      <c r="P744" t="n">
        <v>0</v>
      </c>
      <c r="Q744" t="n">
        <v>0</v>
      </c>
      <c r="R744" s="2" t="inlineStr"/>
    </row>
    <row r="745" ht="15" customHeight="1">
      <c r="A745" t="inlineStr">
        <is>
          <t>A 8211-2023</t>
        </is>
      </c>
      <c r="B745" s="1" t="n">
        <v>44974</v>
      </c>
      <c r="C745" s="1" t="n">
        <v>46196</v>
      </c>
      <c r="D745" t="inlineStr">
        <is>
          <t>DALARNAS LÄN</t>
        </is>
      </c>
      <c r="E745" t="inlineStr">
        <is>
          <t>LEKSAND</t>
        </is>
      </c>
      <c r="G745" t="n">
        <v>5.2</v>
      </c>
      <c r="H745" t="n">
        <v>0</v>
      </c>
      <c r="I745" t="n">
        <v>0</v>
      </c>
      <c r="J745" t="n">
        <v>0</v>
      </c>
      <c r="K745" t="n">
        <v>0</v>
      </c>
      <c r="L745" t="n">
        <v>0</v>
      </c>
      <c r="M745" t="n">
        <v>0</v>
      </c>
      <c r="N745" t="n">
        <v>0</v>
      </c>
      <c r="O745" t="n">
        <v>0</v>
      </c>
      <c r="P745" t="n">
        <v>0</v>
      </c>
      <c r="Q745" t="n">
        <v>0</v>
      </c>
      <c r="R745" s="2" t="inlineStr"/>
    </row>
    <row r="746" ht="15" customHeight="1">
      <c r="A746" t="inlineStr">
        <is>
          <t>A 50447-2023</t>
        </is>
      </c>
      <c r="B746" s="1" t="n">
        <v>45216</v>
      </c>
      <c r="C746" s="1" t="n">
        <v>46196</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46876-2023</t>
        </is>
      </c>
      <c r="B747" s="1" t="n">
        <v>45200</v>
      </c>
      <c r="C747" s="1" t="n">
        <v>46196</v>
      </c>
      <c r="D747" t="inlineStr">
        <is>
          <t>DALARNAS LÄN</t>
        </is>
      </c>
      <c r="E747" t="inlineStr">
        <is>
          <t>LEKSAND</t>
        </is>
      </c>
      <c r="G747" t="n">
        <v>2.4</v>
      </c>
      <c r="H747" t="n">
        <v>0</v>
      </c>
      <c r="I747" t="n">
        <v>0</v>
      </c>
      <c r="J747" t="n">
        <v>0</v>
      </c>
      <c r="K747" t="n">
        <v>0</v>
      </c>
      <c r="L747" t="n">
        <v>0</v>
      </c>
      <c r="M747" t="n">
        <v>0</v>
      </c>
      <c r="N747" t="n">
        <v>0</v>
      </c>
      <c r="O747" t="n">
        <v>0</v>
      </c>
      <c r="P747" t="n">
        <v>0</v>
      </c>
      <c r="Q747" t="n">
        <v>0</v>
      </c>
      <c r="R747" s="2" t="inlineStr"/>
    </row>
    <row r="748" ht="15" customHeight="1">
      <c r="A748" t="inlineStr">
        <is>
          <t>A 43470-2024</t>
        </is>
      </c>
      <c r="B748" s="1" t="n">
        <v>45568</v>
      </c>
      <c r="C748" s="1" t="n">
        <v>46196</v>
      </c>
      <c r="D748" t="inlineStr">
        <is>
          <t>DALARNAS LÄN</t>
        </is>
      </c>
      <c r="E748" t="inlineStr">
        <is>
          <t>LEKSAND</t>
        </is>
      </c>
      <c r="G748" t="n">
        <v>3.1</v>
      </c>
      <c r="H748" t="n">
        <v>0</v>
      </c>
      <c r="I748" t="n">
        <v>0</v>
      </c>
      <c r="J748" t="n">
        <v>0</v>
      </c>
      <c r="K748" t="n">
        <v>0</v>
      </c>
      <c r="L748" t="n">
        <v>0</v>
      </c>
      <c r="M748" t="n">
        <v>0</v>
      </c>
      <c r="N748" t="n">
        <v>0</v>
      </c>
      <c r="O748" t="n">
        <v>0</v>
      </c>
      <c r="P748" t="n">
        <v>0</v>
      </c>
      <c r="Q748" t="n">
        <v>0</v>
      </c>
      <c r="R748" s="2" t="inlineStr"/>
    </row>
    <row r="749" ht="15" customHeight="1">
      <c r="A749" t="inlineStr">
        <is>
          <t>A 11606-2025</t>
        </is>
      </c>
      <c r="B749" s="1" t="n">
        <v>45727</v>
      </c>
      <c r="C749" s="1" t="n">
        <v>46196</v>
      </c>
      <c r="D749" t="inlineStr">
        <is>
          <t>DALARNAS LÄN</t>
        </is>
      </c>
      <c r="E749" t="inlineStr">
        <is>
          <t>LEKSAND</t>
        </is>
      </c>
      <c r="G749" t="n">
        <v>2.3</v>
      </c>
      <c r="H749" t="n">
        <v>0</v>
      </c>
      <c r="I749" t="n">
        <v>0</v>
      </c>
      <c r="J749" t="n">
        <v>0</v>
      </c>
      <c r="K749" t="n">
        <v>0</v>
      </c>
      <c r="L749" t="n">
        <v>0</v>
      </c>
      <c r="M749" t="n">
        <v>0</v>
      </c>
      <c r="N749" t="n">
        <v>0</v>
      </c>
      <c r="O749" t="n">
        <v>0</v>
      </c>
      <c r="P749" t="n">
        <v>0</v>
      </c>
      <c r="Q749" t="n">
        <v>0</v>
      </c>
      <c r="R749" s="2" t="inlineStr"/>
    </row>
    <row r="750" ht="15" customHeight="1">
      <c r="A750" t="inlineStr">
        <is>
          <t>A 22683-2022</t>
        </is>
      </c>
      <c r="B750" s="1" t="n">
        <v>44714</v>
      </c>
      <c r="C750" s="1" t="n">
        <v>46196</v>
      </c>
      <c r="D750" t="inlineStr">
        <is>
          <t>DALARNAS LÄN</t>
        </is>
      </c>
      <c r="E750" t="inlineStr">
        <is>
          <t>LEKSAND</t>
        </is>
      </c>
      <c r="F750" t="inlineStr">
        <is>
          <t>Bergvik skog väst AB</t>
        </is>
      </c>
      <c r="G750" t="n">
        <v>3.4</v>
      </c>
      <c r="H750" t="n">
        <v>0</v>
      </c>
      <c r="I750" t="n">
        <v>0</v>
      </c>
      <c r="J750" t="n">
        <v>0</v>
      </c>
      <c r="K750" t="n">
        <v>0</v>
      </c>
      <c r="L750" t="n">
        <v>0</v>
      </c>
      <c r="M750" t="n">
        <v>0</v>
      </c>
      <c r="N750" t="n">
        <v>0</v>
      </c>
      <c r="O750" t="n">
        <v>0</v>
      </c>
      <c r="P750" t="n">
        <v>0</v>
      </c>
      <c r="Q750" t="n">
        <v>0</v>
      </c>
      <c r="R750" s="2" t="inlineStr"/>
    </row>
    <row r="751" ht="15" customHeight="1">
      <c r="A751" t="inlineStr">
        <is>
          <t>A 22517-2024</t>
        </is>
      </c>
      <c r="B751" s="1" t="n">
        <v>45447</v>
      </c>
      <c r="C751" s="1" t="n">
        <v>46196</v>
      </c>
      <c r="D751" t="inlineStr">
        <is>
          <t>DALARNAS LÄN</t>
        </is>
      </c>
      <c r="E751" t="inlineStr">
        <is>
          <t>LEKSAND</t>
        </is>
      </c>
      <c r="G751" t="n">
        <v>0.4</v>
      </c>
      <c r="H751" t="n">
        <v>0</v>
      </c>
      <c r="I751" t="n">
        <v>0</v>
      </c>
      <c r="J751" t="n">
        <v>0</v>
      </c>
      <c r="K751" t="n">
        <v>0</v>
      </c>
      <c r="L751" t="n">
        <v>0</v>
      </c>
      <c r="M751" t="n">
        <v>0</v>
      </c>
      <c r="N751" t="n">
        <v>0</v>
      </c>
      <c r="O751" t="n">
        <v>0</v>
      </c>
      <c r="P751" t="n">
        <v>0</v>
      </c>
      <c r="Q751" t="n">
        <v>0</v>
      </c>
      <c r="R751" s="2" t="inlineStr"/>
    </row>
    <row r="752" ht="15" customHeight="1">
      <c r="A752" t="inlineStr">
        <is>
          <t>A 61953-2023</t>
        </is>
      </c>
      <c r="B752" s="1" t="n">
        <v>45266</v>
      </c>
      <c r="C752" s="1" t="n">
        <v>46196</v>
      </c>
      <c r="D752" t="inlineStr">
        <is>
          <t>DALARNAS LÄN</t>
        </is>
      </c>
      <c r="E752" t="inlineStr">
        <is>
          <t>LEKSAND</t>
        </is>
      </c>
      <c r="G752" t="n">
        <v>0.1</v>
      </c>
      <c r="H752" t="n">
        <v>0</v>
      </c>
      <c r="I752" t="n">
        <v>0</v>
      </c>
      <c r="J752" t="n">
        <v>0</v>
      </c>
      <c r="K752" t="n">
        <v>0</v>
      </c>
      <c r="L752" t="n">
        <v>0</v>
      </c>
      <c r="M752" t="n">
        <v>0</v>
      </c>
      <c r="N752" t="n">
        <v>0</v>
      </c>
      <c r="O752" t="n">
        <v>0</v>
      </c>
      <c r="P752" t="n">
        <v>0</v>
      </c>
      <c r="Q752" t="n">
        <v>0</v>
      </c>
      <c r="R752" s="2" t="inlineStr"/>
    </row>
    <row r="753" ht="15" customHeight="1">
      <c r="A753" t="inlineStr">
        <is>
          <t>A 62133-2023</t>
        </is>
      </c>
      <c r="B753" s="1" t="n">
        <v>45267</v>
      </c>
      <c r="C753" s="1" t="n">
        <v>46196</v>
      </c>
      <c r="D753" t="inlineStr">
        <is>
          <t>DALARNAS LÄN</t>
        </is>
      </c>
      <c r="E753" t="inlineStr">
        <is>
          <t>LEKSAND</t>
        </is>
      </c>
      <c r="G753" t="n">
        <v>1.3</v>
      </c>
      <c r="H753" t="n">
        <v>0</v>
      </c>
      <c r="I753" t="n">
        <v>0</v>
      </c>
      <c r="J753" t="n">
        <v>0</v>
      </c>
      <c r="K753" t="n">
        <v>0</v>
      </c>
      <c r="L753" t="n">
        <v>0</v>
      </c>
      <c r="M753" t="n">
        <v>0</v>
      </c>
      <c r="N753" t="n">
        <v>0</v>
      </c>
      <c r="O753" t="n">
        <v>0</v>
      </c>
      <c r="P753" t="n">
        <v>0</v>
      </c>
      <c r="Q753" t="n">
        <v>0</v>
      </c>
      <c r="R753" s="2" t="inlineStr"/>
    </row>
    <row r="754" ht="15" customHeight="1">
      <c r="A754" t="inlineStr">
        <is>
          <t>A 10967-2023</t>
        </is>
      </c>
      <c r="B754" s="1" t="n">
        <v>44991</v>
      </c>
      <c r="C754" s="1" t="n">
        <v>46196</v>
      </c>
      <c r="D754" t="inlineStr">
        <is>
          <t>DALARNAS LÄN</t>
        </is>
      </c>
      <c r="E754" t="inlineStr">
        <is>
          <t>LEKSAND</t>
        </is>
      </c>
      <c r="G754" t="n">
        <v>0.5</v>
      </c>
      <c r="H754" t="n">
        <v>0</v>
      </c>
      <c r="I754" t="n">
        <v>0</v>
      </c>
      <c r="J754" t="n">
        <v>0</v>
      </c>
      <c r="K754" t="n">
        <v>0</v>
      </c>
      <c r="L754" t="n">
        <v>0</v>
      </c>
      <c r="M754" t="n">
        <v>0</v>
      </c>
      <c r="N754" t="n">
        <v>0</v>
      </c>
      <c r="O754" t="n">
        <v>0</v>
      </c>
      <c r="P754" t="n">
        <v>0</v>
      </c>
      <c r="Q754" t="n">
        <v>0</v>
      </c>
      <c r="R754" s="2" t="inlineStr"/>
    </row>
    <row r="755" ht="15" customHeight="1">
      <c r="A755" t="inlineStr">
        <is>
          <t>A 10974-2023</t>
        </is>
      </c>
      <c r="B755" s="1" t="n">
        <v>44991</v>
      </c>
      <c r="C755" s="1" t="n">
        <v>46196</v>
      </c>
      <c r="D755" t="inlineStr">
        <is>
          <t>DALARNAS LÄN</t>
        </is>
      </c>
      <c r="E755" t="inlineStr">
        <is>
          <t>LEKSAND</t>
        </is>
      </c>
      <c r="G755" t="n">
        <v>0.3</v>
      </c>
      <c r="H755" t="n">
        <v>0</v>
      </c>
      <c r="I755" t="n">
        <v>0</v>
      </c>
      <c r="J755" t="n">
        <v>0</v>
      </c>
      <c r="K755" t="n">
        <v>0</v>
      </c>
      <c r="L755" t="n">
        <v>0</v>
      </c>
      <c r="M755" t="n">
        <v>0</v>
      </c>
      <c r="N755" t="n">
        <v>0</v>
      </c>
      <c r="O755" t="n">
        <v>0</v>
      </c>
      <c r="P755" t="n">
        <v>0</v>
      </c>
      <c r="Q755" t="n">
        <v>0</v>
      </c>
      <c r="R755" s="2" t="inlineStr"/>
    </row>
    <row r="756" ht="15" customHeight="1">
      <c r="A756" t="inlineStr">
        <is>
          <t>A 47203-2023</t>
        </is>
      </c>
      <c r="B756" s="1" t="n">
        <v>45202</v>
      </c>
      <c r="C756" s="1" t="n">
        <v>46196</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19295-2024</t>
        </is>
      </c>
      <c r="B757" s="1" t="n">
        <v>45428</v>
      </c>
      <c r="C757" s="1" t="n">
        <v>46196</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20683-2025</t>
        </is>
      </c>
      <c r="B758" s="1" t="n">
        <v>45776</v>
      </c>
      <c r="C758" s="1" t="n">
        <v>46196</v>
      </c>
      <c r="D758" t="inlineStr">
        <is>
          <t>DALARNAS LÄN</t>
        </is>
      </c>
      <c r="E758" t="inlineStr">
        <is>
          <t>LEKSAND</t>
        </is>
      </c>
      <c r="F758" t="inlineStr">
        <is>
          <t>Bergvik skog väst AB</t>
        </is>
      </c>
      <c r="G758" t="n">
        <v>4.1</v>
      </c>
      <c r="H758" t="n">
        <v>0</v>
      </c>
      <c r="I758" t="n">
        <v>0</v>
      </c>
      <c r="J758" t="n">
        <v>0</v>
      </c>
      <c r="K758" t="n">
        <v>0</v>
      </c>
      <c r="L758" t="n">
        <v>0</v>
      </c>
      <c r="M758" t="n">
        <v>0</v>
      </c>
      <c r="N758" t="n">
        <v>0</v>
      </c>
      <c r="O758" t="n">
        <v>0</v>
      </c>
      <c r="P758" t="n">
        <v>0</v>
      </c>
      <c r="Q758" t="n">
        <v>0</v>
      </c>
      <c r="R758" s="2" t="inlineStr"/>
    </row>
    <row r="759" ht="15" customHeight="1">
      <c r="A759" t="inlineStr">
        <is>
          <t>A 21230-2025</t>
        </is>
      </c>
      <c r="B759" s="1" t="n">
        <v>45779</v>
      </c>
      <c r="C759" s="1" t="n">
        <v>46196</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40627-2023</t>
        </is>
      </c>
      <c r="B760" s="1" t="n">
        <v>45170</v>
      </c>
      <c r="C760" s="1" t="n">
        <v>46196</v>
      </c>
      <c r="D760" t="inlineStr">
        <is>
          <t>DALARNAS LÄN</t>
        </is>
      </c>
      <c r="E760" t="inlineStr">
        <is>
          <t>LEKSAND</t>
        </is>
      </c>
      <c r="F760" t="inlineStr">
        <is>
          <t>Bergvik skog väst AB</t>
        </is>
      </c>
      <c r="G760" t="n">
        <v>3.3</v>
      </c>
      <c r="H760" t="n">
        <v>0</v>
      </c>
      <c r="I760" t="n">
        <v>0</v>
      </c>
      <c r="J760" t="n">
        <v>0</v>
      </c>
      <c r="K760" t="n">
        <v>0</v>
      </c>
      <c r="L760" t="n">
        <v>0</v>
      </c>
      <c r="M760" t="n">
        <v>0</v>
      </c>
      <c r="N760" t="n">
        <v>0</v>
      </c>
      <c r="O760" t="n">
        <v>0</v>
      </c>
      <c r="P760" t="n">
        <v>0</v>
      </c>
      <c r="Q760" t="n">
        <v>0</v>
      </c>
      <c r="R760" s="2" t="inlineStr"/>
    </row>
    <row r="761">
      <c r="A761" t="inlineStr">
        <is>
          <t>A 11872-2024</t>
        </is>
      </c>
      <c r="B761" s="1" t="n">
        <v>45376</v>
      </c>
      <c r="C761" s="1" t="n">
        <v>46196</v>
      </c>
      <c r="D761" t="inlineStr">
        <is>
          <t>DALARNAS LÄN</t>
        </is>
      </c>
      <c r="E761" t="inlineStr">
        <is>
          <t>LEKSAND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2026-06-23T04:32:54Z</dcterms:created>
  <dcterms:modified xmlns:dcterms="http://purl.org/dc/terms/" xmlns:xsi="http://www.w3.org/2001/XMLSchema-instance" xsi:type="dcterms:W3CDTF">2026-06-23T04:32:55Z</dcterms:modified>
</cp:coreProperties>
</file>