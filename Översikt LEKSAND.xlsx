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45976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45976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45976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45976</v>
      </c>
      <c r="D13" t="inlineStr">
        <is>
          <t>DALARNAS LÄN</t>
        </is>
      </c>
      <c r="E13" t="inlineStr">
        <is>
          <t>LEKSAND</t>
        </is>
      </c>
      <c r="G13" t="n">
        <v>2.6</v>
      </c>
      <c r="H13" t="n">
        <v>2</v>
      </c>
      <c r="I13" t="n">
        <v>2</v>
      </c>
      <c r="J13" t="n">
        <v>3</v>
      </c>
      <c r="K13" t="n">
        <v>1</v>
      </c>
      <c r="L13" t="n">
        <v>0</v>
      </c>
      <c r="M13" t="n">
        <v>0</v>
      </c>
      <c r="N13" t="n">
        <v>0</v>
      </c>
      <c r="O13" t="n">
        <v>4</v>
      </c>
      <c r="P13" t="n">
        <v>1</v>
      </c>
      <c r="Q13" t="n">
        <v>6</v>
      </c>
      <c r="R13" s="2" t="inlineStr">
        <is>
          <t>Knärot
Garnlav
Rosenticka
Tretåig hackspett
Korallblylav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45976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45976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45976</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45976</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45976</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45976</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45976</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45976</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45976</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45976</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6778-2022</t>
        </is>
      </c>
      <c r="B24" s="1" t="n">
        <v>44602</v>
      </c>
      <c r="C24" s="1" t="n">
        <v>45976</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9408-2024</t>
        </is>
      </c>
      <c r="B25" s="1" t="n">
        <v>45358</v>
      </c>
      <c r="C25" s="1" t="n">
        <v>45976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18860-2025</t>
        </is>
      </c>
      <c r="B26" s="1" t="n">
        <v>45764.42738425926</v>
      </c>
      <c r="C26" s="1" t="n">
        <v>45976</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55519-2021</t>
        </is>
      </c>
      <c r="B27" s="1" t="n">
        <v>44475</v>
      </c>
      <c r="C27" s="1" t="n">
        <v>45976</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59111-2024</t>
        </is>
      </c>
      <c r="B28" s="1" t="n">
        <v>45637.36484953704</v>
      </c>
      <c r="C28" s="1" t="n">
        <v>45976</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45976</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45976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45976</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55633-2024</t>
        </is>
      </c>
      <c r="B32" s="1" t="n">
        <v>45621</v>
      </c>
      <c r="C32" s="1" t="n">
        <v>45976</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164-2024</t>
        </is>
      </c>
      <c r="B33" s="1" t="n">
        <v>45294.49954861111</v>
      </c>
      <c r="C33" s="1" t="n">
        <v>45976</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11218-2023</t>
        </is>
      </c>
      <c r="B34" s="1" t="n">
        <v>44992.62401620371</v>
      </c>
      <c r="C34" s="1" t="n">
        <v>45976</v>
      </c>
      <c r="D34" t="inlineStr">
        <is>
          <t>DALARNAS LÄN</t>
        </is>
      </c>
      <c r="E34" t="inlineStr">
        <is>
          <t>LEKSAND</t>
        </is>
      </c>
      <c r="G34" t="n">
        <v>2.6</v>
      </c>
      <c r="H34" t="n">
        <v>1</v>
      </c>
      <c r="I34" t="n">
        <v>0</v>
      </c>
      <c r="J34" t="n">
        <v>0</v>
      </c>
      <c r="K34" t="n">
        <v>1</v>
      </c>
      <c r="L34" t="n">
        <v>0</v>
      </c>
      <c r="M34" t="n">
        <v>0</v>
      </c>
      <c r="N34" t="n">
        <v>0</v>
      </c>
      <c r="O34" t="n">
        <v>1</v>
      </c>
      <c r="P34" t="n">
        <v>1</v>
      </c>
      <c r="Q34" t="n">
        <v>1</v>
      </c>
      <c r="R34" s="2" t="inlineStr">
        <is>
          <t>Knärot</t>
        </is>
      </c>
      <c r="S34">
        <f>HYPERLINK("https://klasma.github.io/Logging_2029/artfynd/A 11218-2023 artfynd.xlsx", "A 11218-2023")</f>
        <v/>
      </c>
      <c r="T34">
        <f>HYPERLINK("https://klasma.github.io/Logging_2029/kartor/A 11218-2023 karta.png", "A 11218-2023")</f>
        <v/>
      </c>
      <c r="U34">
        <f>HYPERLINK("https://klasma.github.io/Logging_2029/knärot/A 11218-2023 karta knärot.png", "A 11218-2023")</f>
        <v/>
      </c>
      <c r="V34">
        <f>HYPERLINK("https://klasma.github.io/Logging_2029/klagomål/A 11218-2023 FSC-klagomål.docx", "A 11218-2023")</f>
        <v/>
      </c>
      <c r="W34">
        <f>HYPERLINK("https://klasma.github.io/Logging_2029/klagomålsmail/A 11218-2023 FSC-klagomål mail.docx", "A 11218-2023")</f>
        <v/>
      </c>
      <c r="X34">
        <f>HYPERLINK("https://klasma.github.io/Logging_2029/tillsyn/A 11218-2023 tillsynsbegäran.docx", "A 11218-2023")</f>
        <v/>
      </c>
      <c r="Y34">
        <f>HYPERLINK("https://klasma.github.io/Logging_2029/tillsynsmail/A 11218-2023 tillsynsbegäran mail.docx", "A 11218-2023")</f>
        <v/>
      </c>
    </row>
    <row r="35" ht="15" customHeight="1">
      <c r="A35" t="inlineStr">
        <is>
          <t>A 41873-2022</t>
        </is>
      </c>
      <c r="B35" s="1" t="n">
        <v>44829</v>
      </c>
      <c r="C35" s="1" t="n">
        <v>45976</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26287-2023</t>
        </is>
      </c>
      <c r="B36" s="1" t="n">
        <v>45091</v>
      </c>
      <c r="C36" s="1" t="n">
        <v>45976</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59205-2023</t>
        </is>
      </c>
      <c r="B37" s="1" t="n">
        <v>45251</v>
      </c>
      <c r="C37" s="1" t="n">
        <v>45976</v>
      </c>
      <c r="D37" t="inlineStr">
        <is>
          <t>DALARNAS LÄN</t>
        </is>
      </c>
      <c r="E37" t="inlineStr">
        <is>
          <t>LEKSAND</t>
        </is>
      </c>
      <c r="G37" t="n">
        <v>1.9</v>
      </c>
      <c r="H37" t="n">
        <v>1</v>
      </c>
      <c r="I37" t="n">
        <v>0</v>
      </c>
      <c r="J37" t="n">
        <v>0</v>
      </c>
      <c r="K37" t="n">
        <v>0</v>
      </c>
      <c r="L37" t="n">
        <v>0</v>
      </c>
      <c r="M37" t="n">
        <v>0</v>
      </c>
      <c r="N37" t="n">
        <v>0</v>
      </c>
      <c r="O37" t="n">
        <v>0</v>
      </c>
      <c r="P37" t="n">
        <v>0</v>
      </c>
      <c r="Q37" t="n">
        <v>1</v>
      </c>
      <c r="R37" s="2" t="inlineStr">
        <is>
          <t>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6029-2025</t>
        </is>
      </c>
      <c r="B38" s="1" t="n">
        <v>45695</v>
      </c>
      <c r="C38" s="1" t="n">
        <v>45976</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4974-2025</t>
        </is>
      </c>
      <c r="B39" s="1" t="n">
        <v>45690.8478587963</v>
      </c>
      <c r="C39" s="1" t="n">
        <v>45976</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16735-2025</t>
        </is>
      </c>
      <c r="B40" s="1" t="n">
        <v>45754.54314814815</v>
      </c>
      <c r="C40" s="1" t="n">
        <v>45976</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16333-2023</t>
        </is>
      </c>
      <c r="B41" s="1" t="n">
        <v>45028</v>
      </c>
      <c r="C41" s="1" t="n">
        <v>45976</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53633-2024</t>
        </is>
      </c>
      <c r="B42" s="1" t="n">
        <v>45614.83726851852</v>
      </c>
      <c r="C42" s="1" t="n">
        <v>45976</v>
      </c>
      <c r="D42" t="inlineStr">
        <is>
          <t>DALARNAS LÄN</t>
        </is>
      </c>
      <c r="E42" t="inlineStr">
        <is>
          <t>LEKSAND</t>
        </is>
      </c>
      <c r="G42" t="n">
        <v>1.6</v>
      </c>
      <c r="H42" t="n">
        <v>1</v>
      </c>
      <c r="I42" t="n">
        <v>0</v>
      </c>
      <c r="J42" t="n">
        <v>1</v>
      </c>
      <c r="K42" t="n">
        <v>0</v>
      </c>
      <c r="L42" t="n">
        <v>0</v>
      </c>
      <c r="M42" t="n">
        <v>0</v>
      </c>
      <c r="N42" t="n">
        <v>0</v>
      </c>
      <c r="O42" t="n">
        <v>1</v>
      </c>
      <c r="P42" t="n">
        <v>0</v>
      </c>
      <c r="Q42" t="n">
        <v>1</v>
      </c>
      <c r="R42" s="2" t="inlineStr">
        <is>
          <t>Tretåig hackspett</t>
        </is>
      </c>
      <c r="S42">
        <f>HYPERLINK("https://klasma.github.io/Logging_2029/artfynd/A 53633-2024 artfynd.xlsx", "A 53633-2024")</f>
        <v/>
      </c>
      <c r="T42">
        <f>HYPERLINK("https://klasma.github.io/Logging_2029/kartor/A 53633-2024 karta.png", "A 53633-2024")</f>
        <v/>
      </c>
      <c r="V42">
        <f>HYPERLINK("https://klasma.github.io/Logging_2029/klagomål/A 53633-2024 FSC-klagomål.docx", "A 53633-2024")</f>
        <v/>
      </c>
      <c r="W42">
        <f>HYPERLINK("https://klasma.github.io/Logging_2029/klagomålsmail/A 53633-2024 FSC-klagomål mail.docx", "A 53633-2024")</f>
        <v/>
      </c>
      <c r="X42">
        <f>HYPERLINK("https://klasma.github.io/Logging_2029/tillsyn/A 53633-2024 tillsynsbegäran.docx", "A 53633-2024")</f>
        <v/>
      </c>
      <c r="Y42">
        <f>HYPERLINK("https://klasma.github.io/Logging_2029/tillsynsmail/A 53633-2024 tillsynsbegäran mail.docx", "A 53633-2024")</f>
        <v/>
      </c>
      <c r="Z42">
        <f>HYPERLINK("https://klasma.github.io/Logging_2029/fåglar/A 53633-2024 prioriterade fågelarter.docx", "A 53633-2024")</f>
        <v/>
      </c>
    </row>
    <row r="43" ht="15" customHeight="1">
      <c r="A43" t="inlineStr">
        <is>
          <t>A 52600-2024</t>
        </is>
      </c>
      <c r="B43" s="1" t="n">
        <v>45609</v>
      </c>
      <c r="C43" s="1" t="n">
        <v>45976</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31124-2024</t>
        </is>
      </c>
      <c r="B44" s="1" t="n">
        <v>45502.62886574074</v>
      </c>
      <c r="C44" s="1" t="n">
        <v>45976</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36778-2025</t>
        </is>
      </c>
      <c r="B45" s="1" t="n">
        <v>45873</v>
      </c>
      <c r="C45" s="1" t="n">
        <v>45976</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45375-2025</t>
        </is>
      </c>
      <c r="B46" s="1" t="n">
        <v>45922.39347222223</v>
      </c>
      <c r="C46" s="1" t="n">
        <v>45976</v>
      </c>
      <c r="D46" t="inlineStr">
        <is>
          <t>DALARNAS LÄN</t>
        </is>
      </c>
      <c r="E46" t="inlineStr">
        <is>
          <t>LEKSAND</t>
        </is>
      </c>
      <c r="G46" t="n">
        <v>4.3</v>
      </c>
      <c r="H46" t="n">
        <v>1</v>
      </c>
      <c r="I46" t="n">
        <v>0</v>
      </c>
      <c r="J46" t="n">
        <v>0</v>
      </c>
      <c r="K46" t="n">
        <v>0</v>
      </c>
      <c r="L46" t="n">
        <v>1</v>
      </c>
      <c r="M46" t="n">
        <v>0</v>
      </c>
      <c r="N46" t="n">
        <v>0</v>
      </c>
      <c r="O46" t="n">
        <v>1</v>
      </c>
      <c r="P46" t="n">
        <v>1</v>
      </c>
      <c r="Q46" t="n">
        <v>1</v>
      </c>
      <c r="R46" s="2" t="inlineStr">
        <is>
          <t>Mosippa</t>
        </is>
      </c>
      <c r="S46">
        <f>HYPERLINK("https://klasma.github.io/Logging_2029/artfynd/A 45375-2025 artfynd.xlsx", "A 45375-2025")</f>
        <v/>
      </c>
      <c r="T46">
        <f>HYPERLINK("https://klasma.github.io/Logging_2029/kartor/A 45375-2025 karta.png", "A 45375-2025")</f>
        <v/>
      </c>
      <c r="V46">
        <f>HYPERLINK("https://klasma.github.io/Logging_2029/klagomål/A 45375-2025 FSC-klagomål.docx", "A 45375-2025")</f>
        <v/>
      </c>
      <c r="W46">
        <f>HYPERLINK("https://klasma.github.io/Logging_2029/klagomålsmail/A 45375-2025 FSC-klagomål mail.docx", "A 45375-2025")</f>
        <v/>
      </c>
      <c r="X46">
        <f>HYPERLINK("https://klasma.github.io/Logging_2029/tillsyn/A 45375-2025 tillsynsbegäran.docx", "A 45375-2025")</f>
        <v/>
      </c>
      <c r="Y46">
        <f>HYPERLINK("https://klasma.github.io/Logging_2029/tillsynsmail/A 45375-2025 tillsynsbegäran mail.docx", "A 45375-2025")</f>
        <v/>
      </c>
    </row>
    <row r="47" ht="15" customHeight="1">
      <c r="A47" t="inlineStr">
        <is>
          <t>A 47601-2025</t>
        </is>
      </c>
      <c r="B47" s="1" t="n">
        <v>45931.46008101852</v>
      </c>
      <c r="C47" s="1" t="n">
        <v>45976</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31951-2025</t>
        </is>
      </c>
      <c r="B48" s="1" t="n">
        <v>45835.33481481481</v>
      </c>
      <c r="C48" s="1" t="n">
        <v>45976</v>
      </c>
      <c r="D48" t="inlineStr">
        <is>
          <t>DALARNAS LÄN</t>
        </is>
      </c>
      <c r="E48" t="inlineStr">
        <is>
          <t>LEKSAND</t>
        </is>
      </c>
      <c r="G48" t="n">
        <v>6.6</v>
      </c>
      <c r="H48" t="n">
        <v>1</v>
      </c>
      <c r="I48" t="n">
        <v>0</v>
      </c>
      <c r="J48" t="n">
        <v>0</v>
      </c>
      <c r="K48" t="n">
        <v>0</v>
      </c>
      <c r="L48" t="n">
        <v>0</v>
      </c>
      <c r="M48" t="n">
        <v>0</v>
      </c>
      <c r="N48" t="n">
        <v>0</v>
      </c>
      <c r="O48" t="n">
        <v>0</v>
      </c>
      <c r="P48" t="n">
        <v>0</v>
      </c>
      <c r="Q48" t="n">
        <v>1</v>
      </c>
      <c r="R48" s="2" t="inlineStr">
        <is>
          <t>Tjäder</t>
        </is>
      </c>
      <c r="S48">
        <f>HYPERLINK("https://klasma.github.io/Logging_2029/artfynd/A 31951-2025 artfynd.xlsx", "A 31951-2025")</f>
        <v/>
      </c>
      <c r="T48">
        <f>HYPERLINK("https://klasma.github.io/Logging_2029/kartor/A 31951-2025 karta.png", "A 31951-2025")</f>
        <v/>
      </c>
      <c r="V48">
        <f>HYPERLINK("https://klasma.github.io/Logging_2029/klagomål/A 31951-2025 FSC-klagomål.docx", "A 31951-2025")</f>
        <v/>
      </c>
      <c r="W48">
        <f>HYPERLINK("https://klasma.github.io/Logging_2029/klagomålsmail/A 31951-2025 FSC-klagomål mail.docx", "A 31951-2025")</f>
        <v/>
      </c>
      <c r="X48">
        <f>HYPERLINK("https://klasma.github.io/Logging_2029/tillsyn/A 31951-2025 tillsynsbegäran.docx", "A 31951-2025")</f>
        <v/>
      </c>
      <c r="Y48">
        <f>HYPERLINK("https://klasma.github.io/Logging_2029/tillsynsmail/A 31951-2025 tillsynsbegäran mail.docx", "A 31951-2025")</f>
        <v/>
      </c>
      <c r="Z48">
        <f>HYPERLINK("https://klasma.github.io/Logging_2029/fåglar/A 31951-2025 prioriterade fågelarter.docx", "A 31951-2025")</f>
        <v/>
      </c>
    </row>
    <row r="49" ht="15" customHeight="1">
      <c r="A49" t="inlineStr">
        <is>
          <t>A 34993-2025</t>
        </is>
      </c>
      <c r="B49" s="1" t="n">
        <v>45849.82383101852</v>
      </c>
      <c r="C49" s="1" t="n">
        <v>45976</v>
      </c>
      <c r="D49" t="inlineStr">
        <is>
          <t>DALARNAS LÄN</t>
        </is>
      </c>
      <c r="E49" t="inlineStr">
        <is>
          <t>LEKSAND</t>
        </is>
      </c>
      <c r="F49" t="inlineStr">
        <is>
          <t>Bergvik skog väst AB</t>
        </is>
      </c>
      <c r="G49" t="n">
        <v>4.6</v>
      </c>
      <c r="H49" t="n">
        <v>0</v>
      </c>
      <c r="I49" t="n">
        <v>1</v>
      </c>
      <c r="J49" t="n">
        <v>0</v>
      </c>
      <c r="K49" t="n">
        <v>0</v>
      </c>
      <c r="L49" t="n">
        <v>0</v>
      </c>
      <c r="M49" t="n">
        <v>0</v>
      </c>
      <c r="N49" t="n">
        <v>0</v>
      </c>
      <c r="O49" t="n">
        <v>0</v>
      </c>
      <c r="P49" t="n">
        <v>0</v>
      </c>
      <c r="Q49" t="n">
        <v>1</v>
      </c>
      <c r="R49" s="2" t="inlineStr">
        <is>
          <t>Mindre märgborre</t>
        </is>
      </c>
      <c r="S49">
        <f>HYPERLINK("https://klasma.github.io/Logging_2029/artfynd/A 34993-2025 artfynd.xlsx", "A 34993-2025")</f>
        <v/>
      </c>
      <c r="T49">
        <f>HYPERLINK("https://klasma.github.io/Logging_2029/kartor/A 34993-2025 karta.png", "A 34993-2025")</f>
        <v/>
      </c>
      <c r="V49">
        <f>HYPERLINK("https://klasma.github.io/Logging_2029/klagomål/A 34993-2025 FSC-klagomål.docx", "A 34993-2025")</f>
        <v/>
      </c>
      <c r="W49">
        <f>HYPERLINK("https://klasma.github.io/Logging_2029/klagomålsmail/A 34993-2025 FSC-klagomål mail.docx", "A 34993-2025")</f>
        <v/>
      </c>
      <c r="X49">
        <f>HYPERLINK("https://klasma.github.io/Logging_2029/tillsyn/A 34993-2025 tillsynsbegäran.docx", "A 34993-2025")</f>
        <v/>
      </c>
      <c r="Y49">
        <f>HYPERLINK("https://klasma.github.io/Logging_2029/tillsynsmail/A 34993-2025 tillsynsbegäran mail.docx", "A 34993-2025")</f>
        <v/>
      </c>
    </row>
    <row r="50" ht="15" customHeight="1">
      <c r="A50" t="inlineStr">
        <is>
          <t>A 34996-2025</t>
        </is>
      </c>
      <c r="B50" s="1" t="n">
        <v>45849.82798611111</v>
      </c>
      <c r="C50" s="1" t="n">
        <v>45976</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34996-2025 artfynd.xlsx", "A 34996-2025")</f>
        <v/>
      </c>
      <c r="T50">
        <f>HYPERLINK("https://klasma.github.io/Logging_2029/kartor/A 34996-2025 karta.png", "A 34996-2025")</f>
        <v/>
      </c>
      <c r="V50">
        <f>HYPERLINK("https://klasma.github.io/Logging_2029/klagomål/A 34996-2025 FSC-klagomål.docx", "A 34996-2025")</f>
        <v/>
      </c>
      <c r="W50">
        <f>HYPERLINK("https://klasma.github.io/Logging_2029/klagomålsmail/A 34996-2025 FSC-klagomål mail.docx", "A 34996-2025")</f>
        <v/>
      </c>
      <c r="X50">
        <f>HYPERLINK("https://klasma.github.io/Logging_2029/tillsyn/A 34996-2025 tillsynsbegäran.docx", "A 34996-2025")</f>
        <v/>
      </c>
      <c r="Y50">
        <f>HYPERLINK("https://klasma.github.io/Logging_2029/tillsynsmail/A 34996-2025 tillsynsbegäran mail.docx", "A 34996-2025")</f>
        <v/>
      </c>
    </row>
    <row r="51" ht="15" customHeight="1">
      <c r="A51" t="inlineStr">
        <is>
          <t>A 1078-2021</t>
        </is>
      </c>
      <c r="B51" s="1" t="n">
        <v>44207</v>
      </c>
      <c r="C51" s="1" t="n">
        <v>45976</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45976</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45976</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45976</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45976</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45976</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45976</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45976</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45976</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45976</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45976</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45976</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45976</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45976</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45976</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45976</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45976</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45976</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45976</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45976</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45976</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45976</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45976</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45976</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45976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18267-2021</t>
        </is>
      </c>
      <c r="B76" s="1" t="n">
        <v>44305</v>
      </c>
      <c r="C76" s="1" t="n">
        <v>45976</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45976</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45976</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45976</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45976</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45976</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45976</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45976</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45976</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45976</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45976</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45976</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19677-2021</t>
        </is>
      </c>
      <c r="B88" s="1" t="n">
        <v>44312</v>
      </c>
      <c r="C88" s="1" t="n">
        <v>45976</v>
      </c>
      <c r="D88" t="inlineStr">
        <is>
          <t>DALARNAS LÄN</t>
        </is>
      </c>
      <c r="E88" t="inlineStr">
        <is>
          <t>LEKSAND</t>
        </is>
      </c>
      <c r="F88" t="inlineStr">
        <is>
          <t>Bergvik skog väst AB</t>
        </is>
      </c>
      <c r="G88" t="n">
        <v>3.1</v>
      </c>
      <c r="H88" t="n">
        <v>0</v>
      </c>
      <c r="I88" t="n">
        <v>0</v>
      </c>
      <c r="J88" t="n">
        <v>0</v>
      </c>
      <c r="K88" t="n">
        <v>0</v>
      </c>
      <c r="L88" t="n">
        <v>0</v>
      </c>
      <c r="M88" t="n">
        <v>0</v>
      </c>
      <c r="N88" t="n">
        <v>0</v>
      </c>
      <c r="O88" t="n">
        <v>0</v>
      </c>
      <c r="P88" t="n">
        <v>0</v>
      </c>
      <c r="Q88" t="n">
        <v>0</v>
      </c>
      <c r="R88" s="2" t="inlineStr"/>
    </row>
    <row r="89" ht="15" customHeight="1">
      <c r="A89" t="inlineStr">
        <is>
          <t>A 50219-2022</t>
        </is>
      </c>
      <c r="B89" s="1" t="n">
        <v>44865.64244212963</v>
      </c>
      <c r="C89" s="1" t="n">
        <v>45976</v>
      </c>
      <c r="D89" t="inlineStr">
        <is>
          <t>DALARNAS LÄN</t>
        </is>
      </c>
      <c r="E89" t="inlineStr">
        <is>
          <t>LEKSAND</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32635-2021</t>
        </is>
      </c>
      <c r="B90" s="1" t="n">
        <v>44374</v>
      </c>
      <c r="C90" s="1" t="n">
        <v>45976</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45040-2021</t>
        </is>
      </c>
      <c r="B91" s="1" t="n">
        <v>44438</v>
      </c>
      <c r="C91" s="1" t="n">
        <v>45976</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38619-2021</t>
        </is>
      </c>
      <c r="B92" s="1" t="n">
        <v>44409</v>
      </c>
      <c r="C92" s="1" t="n">
        <v>45976</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8501-2022</t>
        </is>
      </c>
      <c r="B93" s="1" t="n">
        <v>44613.40672453704</v>
      </c>
      <c r="C93" s="1" t="n">
        <v>45976</v>
      </c>
      <c r="D93" t="inlineStr">
        <is>
          <t>DALARNAS LÄN</t>
        </is>
      </c>
      <c r="E93" t="inlineStr">
        <is>
          <t>LEKSAND</t>
        </is>
      </c>
      <c r="G93" t="n">
        <v>3</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45976</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30449-2022</t>
        </is>
      </c>
      <c r="B95" s="1" t="n">
        <v>44761.59276620371</v>
      </c>
      <c r="C95" s="1" t="n">
        <v>45976</v>
      </c>
      <c r="D95" t="inlineStr">
        <is>
          <t>DALARNAS LÄN</t>
        </is>
      </c>
      <c r="E95" t="inlineStr">
        <is>
          <t>LEKSAND</t>
        </is>
      </c>
      <c r="G95" t="n">
        <v>5.7</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45976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18040-2024</t>
        </is>
      </c>
      <c r="B97" s="1" t="n">
        <v>45420.36664351852</v>
      </c>
      <c r="C97" s="1" t="n">
        <v>45976</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45976</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46141-2022</t>
        </is>
      </c>
      <c r="B99" s="1" t="n">
        <v>44846</v>
      </c>
      <c r="C99" s="1" t="n">
        <v>45976</v>
      </c>
      <c r="D99" t="inlineStr">
        <is>
          <t>DALARNAS LÄN</t>
        </is>
      </c>
      <c r="E99" t="inlineStr">
        <is>
          <t>LEKSAND</t>
        </is>
      </c>
      <c r="G99" t="n">
        <v>2.8</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45976</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14616-2024</t>
        </is>
      </c>
      <c r="B101" s="1" t="n">
        <v>45397.2624537037</v>
      </c>
      <c r="C101" s="1" t="n">
        <v>45976</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40165-2022</t>
        </is>
      </c>
      <c r="B102" s="1" t="n">
        <v>44820.56857638889</v>
      </c>
      <c r="C102" s="1" t="n">
        <v>45976</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45976</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45976</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45976</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41840-2024</t>
        </is>
      </c>
      <c r="B106" s="1" t="n">
        <v>45561.42170138889</v>
      </c>
      <c r="C106" s="1" t="n">
        <v>45976</v>
      </c>
      <c r="D106" t="inlineStr">
        <is>
          <t>DALARNAS LÄN</t>
        </is>
      </c>
      <c r="E106" t="inlineStr">
        <is>
          <t>LEKSAND</t>
        </is>
      </c>
      <c r="G106" t="n">
        <v>0.4</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45976</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45976</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45976</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67307-2020</t>
        </is>
      </c>
      <c r="B110" s="1" t="n">
        <v>44181</v>
      </c>
      <c r="C110" s="1" t="n">
        <v>45976</v>
      </c>
      <c r="D110" t="inlineStr">
        <is>
          <t>DALARNAS LÄN</t>
        </is>
      </c>
      <c r="E110" t="inlineStr">
        <is>
          <t>LEKSAND</t>
        </is>
      </c>
      <c r="G110" t="n">
        <v>5.9</v>
      </c>
      <c r="H110" t="n">
        <v>0</v>
      </c>
      <c r="I110" t="n">
        <v>0</v>
      </c>
      <c r="J110" t="n">
        <v>0</v>
      </c>
      <c r="K110" t="n">
        <v>0</v>
      </c>
      <c r="L110" t="n">
        <v>0</v>
      </c>
      <c r="M110" t="n">
        <v>0</v>
      </c>
      <c r="N110" t="n">
        <v>0</v>
      </c>
      <c r="O110" t="n">
        <v>0</v>
      </c>
      <c r="P110" t="n">
        <v>0</v>
      </c>
      <c r="Q110" t="n">
        <v>0</v>
      </c>
      <c r="R110" s="2" t="inlineStr"/>
    </row>
    <row r="111" ht="15" customHeight="1">
      <c r="A111" t="inlineStr">
        <is>
          <t>A 28592-2023</t>
        </is>
      </c>
      <c r="B111" s="1" t="n">
        <v>45103</v>
      </c>
      <c r="C111" s="1" t="n">
        <v>45976</v>
      </c>
      <c r="D111" t="inlineStr">
        <is>
          <t>DALARNAS LÄN</t>
        </is>
      </c>
      <c r="E111" t="inlineStr">
        <is>
          <t>LEKSAND</t>
        </is>
      </c>
      <c r="G111" t="n">
        <v>0.5</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45976</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18484-2024</t>
        </is>
      </c>
      <c r="B113" s="1" t="n">
        <v>45425.52559027778</v>
      </c>
      <c r="C113" s="1" t="n">
        <v>45976</v>
      </c>
      <c r="D113" t="inlineStr">
        <is>
          <t>DALARNAS LÄN</t>
        </is>
      </c>
      <c r="E113" t="inlineStr">
        <is>
          <t>LEKSAND</t>
        </is>
      </c>
      <c r="G113" t="n">
        <v>2</v>
      </c>
      <c r="H113" t="n">
        <v>0</v>
      </c>
      <c r="I113" t="n">
        <v>0</v>
      </c>
      <c r="J113" t="n">
        <v>0</v>
      </c>
      <c r="K113" t="n">
        <v>0</v>
      </c>
      <c r="L113" t="n">
        <v>0</v>
      </c>
      <c r="M113" t="n">
        <v>0</v>
      </c>
      <c r="N113" t="n">
        <v>0</v>
      </c>
      <c r="O113" t="n">
        <v>0</v>
      </c>
      <c r="P113" t="n">
        <v>0</v>
      </c>
      <c r="Q113" t="n">
        <v>0</v>
      </c>
      <c r="R113" s="2" t="inlineStr"/>
    </row>
    <row r="114" ht="15" customHeight="1">
      <c r="A114" t="inlineStr">
        <is>
          <t>A 62279-2021</t>
        </is>
      </c>
      <c r="B114" s="1" t="n">
        <v>44503</v>
      </c>
      <c r="C114" s="1" t="n">
        <v>45976</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11418-2023</t>
        </is>
      </c>
      <c r="B115" s="1" t="n">
        <v>44993</v>
      </c>
      <c r="C115" s="1" t="n">
        <v>45976</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40407-2024</t>
        </is>
      </c>
      <c r="B116" s="1" t="n">
        <v>45555</v>
      </c>
      <c r="C116" s="1" t="n">
        <v>45976</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33180-2024</t>
        </is>
      </c>
      <c r="B117" s="1" t="n">
        <v>45518.44481481481</v>
      </c>
      <c r="C117" s="1" t="n">
        <v>45976</v>
      </c>
      <c r="D117" t="inlineStr">
        <is>
          <t>DALARNAS LÄN</t>
        </is>
      </c>
      <c r="E117" t="inlineStr">
        <is>
          <t>LEKSAND</t>
        </is>
      </c>
      <c r="G117" t="n">
        <v>7.6</v>
      </c>
      <c r="H117" t="n">
        <v>0</v>
      </c>
      <c r="I117" t="n">
        <v>0</v>
      </c>
      <c r="J117" t="n">
        <v>0</v>
      </c>
      <c r="K117" t="n">
        <v>0</v>
      </c>
      <c r="L117" t="n">
        <v>0</v>
      </c>
      <c r="M117" t="n">
        <v>0</v>
      </c>
      <c r="N117" t="n">
        <v>0</v>
      </c>
      <c r="O117" t="n">
        <v>0</v>
      </c>
      <c r="P117" t="n">
        <v>0</v>
      </c>
      <c r="Q117" t="n">
        <v>0</v>
      </c>
      <c r="R117" s="2" t="inlineStr"/>
    </row>
    <row r="118" ht="15" customHeight="1">
      <c r="A118" t="inlineStr">
        <is>
          <t>A 70099-2021</t>
        </is>
      </c>
      <c r="B118" s="1" t="n">
        <v>44533</v>
      </c>
      <c r="C118" s="1" t="n">
        <v>45976</v>
      </c>
      <c r="D118" t="inlineStr">
        <is>
          <t>DALARNAS LÄN</t>
        </is>
      </c>
      <c r="E118" t="inlineStr">
        <is>
          <t>LEKSAND</t>
        </is>
      </c>
      <c r="G118" t="n">
        <v>2.8</v>
      </c>
      <c r="H118" t="n">
        <v>0</v>
      </c>
      <c r="I118" t="n">
        <v>0</v>
      </c>
      <c r="J118" t="n">
        <v>0</v>
      </c>
      <c r="K118" t="n">
        <v>0</v>
      </c>
      <c r="L118" t="n">
        <v>0</v>
      </c>
      <c r="M118" t="n">
        <v>0</v>
      </c>
      <c r="N118" t="n">
        <v>0</v>
      </c>
      <c r="O118" t="n">
        <v>0</v>
      </c>
      <c r="P118" t="n">
        <v>0</v>
      </c>
      <c r="Q118" t="n">
        <v>0</v>
      </c>
      <c r="R118" s="2" t="inlineStr"/>
    </row>
    <row r="119" ht="15" customHeight="1">
      <c r="A119" t="inlineStr">
        <is>
          <t>A 27791-2023</t>
        </is>
      </c>
      <c r="B119" s="1" t="n">
        <v>45098</v>
      </c>
      <c r="C119" s="1" t="n">
        <v>45976</v>
      </c>
      <c r="D119" t="inlineStr">
        <is>
          <t>DALARNAS LÄN</t>
        </is>
      </c>
      <c r="E119" t="inlineStr">
        <is>
          <t>LEKSAND</t>
        </is>
      </c>
      <c r="G119" t="n">
        <v>1</v>
      </c>
      <c r="H119" t="n">
        <v>0</v>
      </c>
      <c r="I119" t="n">
        <v>0</v>
      </c>
      <c r="J119" t="n">
        <v>0</v>
      </c>
      <c r="K119" t="n">
        <v>0</v>
      </c>
      <c r="L119" t="n">
        <v>0</v>
      </c>
      <c r="M119" t="n">
        <v>0</v>
      </c>
      <c r="N119" t="n">
        <v>0</v>
      </c>
      <c r="O119" t="n">
        <v>0</v>
      </c>
      <c r="P119" t="n">
        <v>0</v>
      </c>
      <c r="Q119" t="n">
        <v>0</v>
      </c>
      <c r="R119" s="2" t="inlineStr"/>
    </row>
    <row r="120" ht="15" customHeight="1">
      <c r="A120" t="inlineStr">
        <is>
          <t>A 52801-2023</t>
        </is>
      </c>
      <c r="B120" s="1" t="n">
        <v>45219</v>
      </c>
      <c r="C120" s="1" t="n">
        <v>45976</v>
      </c>
      <c r="D120" t="inlineStr">
        <is>
          <t>DALARNAS LÄN</t>
        </is>
      </c>
      <c r="E120" t="inlineStr">
        <is>
          <t>LEKSAND</t>
        </is>
      </c>
      <c r="G120" t="n">
        <v>4.9</v>
      </c>
      <c r="H120" t="n">
        <v>0</v>
      </c>
      <c r="I120" t="n">
        <v>0</v>
      </c>
      <c r="J120" t="n">
        <v>0</v>
      </c>
      <c r="K120" t="n">
        <v>0</v>
      </c>
      <c r="L120" t="n">
        <v>0</v>
      </c>
      <c r="M120" t="n">
        <v>0</v>
      </c>
      <c r="N120" t="n">
        <v>0</v>
      </c>
      <c r="O120" t="n">
        <v>0</v>
      </c>
      <c r="P120" t="n">
        <v>0</v>
      </c>
      <c r="Q120" t="n">
        <v>0</v>
      </c>
      <c r="R120" s="2" t="inlineStr"/>
    </row>
    <row r="121" ht="15" customHeight="1">
      <c r="A121" t="inlineStr">
        <is>
          <t>A 9781-2024</t>
        </is>
      </c>
      <c r="B121" s="1" t="n">
        <v>45362.66299768518</v>
      </c>
      <c r="C121" s="1" t="n">
        <v>45976</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71817-2021</t>
        </is>
      </c>
      <c r="B122" s="1" t="n">
        <v>44543.59780092593</v>
      </c>
      <c r="C122" s="1" t="n">
        <v>45976</v>
      </c>
      <c r="D122" t="inlineStr">
        <is>
          <t>DALARNAS LÄN</t>
        </is>
      </c>
      <c r="E122" t="inlineStr">
        <is>
          <t>LEKSAND</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30175-2023</t>
        </is>
      </c>
      <c r="B123" s="1" t="n">
        <v>45110</v>
      </c>
      <c r="C123" s="1" t="n">
        <v>45976</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70026-2021</t>
        </is>
      </c>
      <c r="B124" s="1" t="n">
        <v>44533</v>
      </c>
      <c r="C124" s="1" t="n">
        <v>45976</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59103-2024</t>
        </is>
      </c>
      <c r="B125" s="1" t="n">
        <v>45637.34184027778</v>
      </c>
      <c r="C125" s="1" t="n">
        <v>45976</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43410-2021</t>
        </is>
      </c>
      <c r="B126" s="1" t="n">
        <v>44432.60814814815</v>
      </c>
      <c r="C126" s="1" t="n">
        <v>45976</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49581-2022</t>
        </is>
      </c>
      <c r="B127" s="1" t="n">
        <v>44862.36287037037</v>
      </c>
      <c r="C127" s="1" t="n">
        <v>45976</v>
      </c>
      <c r="D127" t="inlineStr">
        <is>
          <t>DALARNAS LÄN</t>
        </is>
      </c>
      <c r="E127" t="inlineStr">
        <is>
          <t>LEKSAND</t>
        </is>
      </c>
      <c r="G127" t="n">
        <v>1.8</v>
      </c>
      <c r="H127" t="n">
        <v>0</v>
      </c>
      <c r="I127" t="n">
        <v>0</v>
      </c>
      <c r="J127" t="n">
        <v>0</v>
      </c>
      <c r="K127" t="n">
        <v>0</v>
      </c>
      <c r="L127" t="n">
        <v>0</v>
      </c>
      <c r="M127" t="n">
        <v>0</v>
      </c>
      <c r="N127" t="n">
        <v>0</v>
      </c>
      <c r="O127" t="n">
        <v>0</v>
      </c>
      <c r="P127" t="n">
        <v>0</v>
      </c>
      <c r="Q127" t="n">
        <v>0</v>
      </c>
      <c r="R127" s="2" t="inlineStr"/>
    </row>
    <row r="128" ht="15" customHeight="1">
      <c r="A128" t="inlineStr">
        <is>
          <t>A 56153-2021</t>
        </is>
      </c>
      <c r="B128" s="1" t="n">
        <v>44477</v>
      </c>
      <c r="C128" s="1" t="n">
        <v>45976</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72155-2021</t>
        </is>
      </c>
      <c r="B129" s="1" t="n">
        <v>44543</v>
      </c>
      <c r="C129" s="1" t="n">
        <v>45976</v>
      </c>
      <c r="D129" t="inlineStr">
        <is>
          <t>DALARNAS LÄN</t>
        </is>
      </c>
      <c r="E129" t="inlineStr">
        <is>
          <t>LEKSAND</t>
        </is>
      </c>
      <c r="G129" t="n">
        <v>2.5</v>
      </c>
      <c r="H129" t="n">
        <v>0</v>
      </c>
      <c r="I129" t="n">
        <v>0</v>
      </c>
      <c r="J129" t="n">
        <v>0</v>
      </c>
      <c r="K129" t="n">
        <v>0</v>
      </c>
      <c r="L129" t="n">
        <v>0</v>
      </c>
      <c r="M129" t="n">
        <v>0</v>
      </c>
      <c r="N129" t="n">
        <v>0</v>
      </c>
      <c r="O129" t="n">
        <v>0</v>
      </c>
      <c r="P129" t="n">
        <v>0</v>
      </c>
      <c r="Q129" t="n">
        <v>0</v>
      </c>
      <c r="R129" s="2" t="inlineStr"/>
    </row>
    <row r="130" ht="15" customHeight="1">
      <c r="A130" t="inlineStr">
        <is>
          <t>A 35080-2022</t>
        </is>
      </c>
      <c r="B130" s="1" t="n">
        <v>44797</v>
      </c>
      <c r="C130" s="1" t="n">
        <v>45976</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70098-2021</t>
        </is>
      </c>
      <c r="B131" s="1" t="n">
        <v>44533</v>
      </c>
      <c r="C131" s="1" t="n">
        <v>45976</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11617-2024</t>
        </is>
      </c>
      <c r="B132" s="1" t="n">
        <v>45373.42898148148</v>
      </c>
      <c r="C132" s="1" t="n">
        <v>45976</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36956-2021</t>
        </is>
      </c>
      <c r="B133" s="1" t="n">
        <v>44393.55643518519</v>
      </c>
      <c r="C133" s="1" t="n">
        <v>45976</v>
      </c>
      <c r="D133" t="inlineStr">
        <is>
          <t>DALARNAS LÄN</t>
        </is>
      </c>
      <c r="E133" t="inlineStr">
        <is>
          <t>LEKSAND</t>
        </is>
      </c>
      <c r="G133" t="n">
        <v>4.1</v>
      </c>
      <c r="H133" t="n">
        <v>0</v>
      </c>
      <c r="I133" t="n">
        <v>0</v>
      </c>
      <c r="J133" t="n">
        <v>0</v>
      </c>
      <c r="K133" t="n">
        <v>0</v>
      </c>
      <c r="L133" t="n">
        <v>0</v>
      </c>
      <c r="M133" t="n">
        <v>0</v>
      </c>
      <c r="N133" t="n">
        <v>0</v>
      </c>
      <c r="O133" t="n">
        <v>0</v>
      </c>
      <c r="P133" t="n">
        <v>0</v>
      </c>
      <c r="Q133" t="n">
        <v>0</v>
      </c>
      <c r="R133" s="2" t="inlineStr"/>
    </row>
    <row r="134" ht="15" customHeight="1">
      <c r="A134" t="inlineStr">
        <is>
          <t>A 12857-2023</t>
        </is>
      </c>
      <c r="B134" s="1" t="n">
        <v>45001.5000462963</v>
      </c>
      <c r="C134" s="1" t="n">
        <v>45976</v>
      </c>
      <c r="D134" t="inlineStr">
        <is>
          <t>DALARNAS LÄN</t>
        </is>
      </c>
      <c r="E134" t="inlineStr">
        <is>
          <t>LEKSAND</t>
        </is>
      </c>
      <c r="G134" t="n">
        <v>0.2</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45976</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32072-2024</t>
        </is>
      </c>
      <c r="B136" s="1" t="n">
        <v>45510.98405092592</v>
      </c>
      <c r="C136" s="1" t="n">
        <v>45976</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46672-2022</t>
        </is>
      </c>
      <c r="B137" s="1" t="n">
        <v>44851</v>
      </c>
      <c r="C137" s="1" t="n">
        <v>45976</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59763-2023</t>
        </is>
      </c>
      <c r="B138" s="1" t="n">
        <v>45257</v>
      </c>
      <c r="C138" s="1" t="n">
        <v>45976</v>
      </c>
      <c r="D138" t="inlineStr">
        <is>
          <t>DALARNAS LÄN</t>
        </is>
      </c>
      <c r="E138" t="inlineStr">
        <is>
          <t>LEKSAND</t>
        </is>
      </c>
      <c r="G138" t="n">
        <v>1.6</v>
      </c>
      <c r="H138" t="n">
        <v>0</v>
      </c>
      <c r="I138" t="n">
        <v>0</v>
      </c>
      <c r="J138" t="n">
        <v>0</v>
      </c>
      <c r="K138" t="n">
        <v>0</v>
      </c>
      <c r="L138" t="n">
        <v>0</v>
      </c>
      <c r="M138" t="n">
        <v>0</v>
      </c>
      <c r="N138" t="n">
        <v>0</v>
      </c>
      <c r="O138" t="n">
        <v>0</v>
      </c>
      <c r="P138" t="n">
        <v>0</v>
      </c>
      <c r="Q138" t="n">
        <v>0</v>
      </c>
      <c r="R138" s="2" t="inlineStr"/>
    </row>
    <row r="139" ht="15" customHeight="1">
      <c r="A139" t="inlineStr">
        <is>
          <t>A 56299-2024</t>
        </is>
      </c>
      <c r="B139" s="1" t="n">
        <v>45624.68607638889</v>
      </c>
      <c r="C139" s="1" t="n">
        <v>45976</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17377-2025</t>
        </is>
      </c>
      <c r="B140" s="1" t="n">
        <v>45756.983125</v>
      </c>
      <c r="C140" s="1" t="n">
        <v>45976</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17483-2025</t>
        </is>
      </c>
      <c r="B141" s="1" t="n">
        <v>45757.49408564815</v>
      </c>
      <c r="C141" s="1" t="n">
        <v>45976</v>
      </c>
      <c r="D141" t="inlineStr">
        <is>
          <t>DALARNAS LÄN</t>
        </is>
      </c>
      <c r="E141" t="inlineStr">
        <is>
          <t>LEKSAND</t>
        </is>
      </c>
      <c r="G141" t="n">
        <v>4.1</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45976</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62306-2023</t>
        </is>
      </c>
      <c r="B143" s="1" t="n">
        <v>45266</v>
      </c>
      <c r="C143" s="1" t="n">
        <v>45976</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13288-2023</t>
        </is>
      </c>
      <c r="B144" s="1" t="n">
        <v>45004.8160300926</v>
      </c>
      <c r="C144" s="1" t="n">
        <v>45976</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31971-2024</t>
        </is>
      </c>
      <c r="B145" s="1" t="n">
        <v>45510.55171296297</v>
      </c>
      <c r="C145" s="1" t="n">
        <v>45976</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17233-2023</t>
        </is>
      </c>
      <c r="B146" s="1" t="n">
        <v>45035</v>
      </c>
      <c r="C146" s="1" t="n">
        <v>45976</v>
      </c>
      <c r="D146" t="inlineStr">
        <is>
          <t>DALARNAS LÄN</t>
        </is>
      </c>
      <c r="E146" t="inlineStr">
        <is>
          <t>LEKSAND</t>
        </is>
      </c>
      <c r="G146" t="n">
        <v>1.6</v>
      </c>
      <c r="H146" t="n">
        <v>0</v>
      </c>
      <c r="I146" t="n">
        <v>0</v>
      </c>
      <c r="J146" t="n">
        <v>0</v>
      </c>
      <c r="K146" t="n">
        <v>0</v>
      </c>
      <c r="L146" t="n">
        <v>0</v>
      </c>
      <c r="M146" t="n">
        <v>0</v>
      </c>
      <c r="N146" t="n">
        <v>0</v>
      </c>
      <c r="O146" t="n">
        <v>0</v>
      </c>
      <c r="P146" t="n">
        <v>0</v>
      </c>
      <c r="Q146" t="n">
        <v>0</v>
      </c>
      <c r="R146" s="2" t="inlineStr"/>
    </row>
    <row r="147" ht="15" customHeight="1">
      <c r="A147" t="inlineStr">
        <is>
          <t>A 46931-2023</t>
        </is>
      </c>
      <c r="B147" s="1" t="n">
        <v>45201</v>
      </c>
      <c r="C147" s="1" t="n">
        <v>45976</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18481-2024</t>
        </is>
      </c>
      <c r="B148" s="1" t="n">
        <v>45425.52193287037</v>
      </c>
      <c r="C148" s="1" t="n">
        <v>45976</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11740-2025</t>
        </is>
      </c>
      <c r="B149" s="1" t="n">
        <v>45727.62582175926</v>
      </c>
      <c r="C149" s="1" t="n">
        <v>45976</v>
      </c>
      <c r="D149" t="inlineStr">
        <is>
          <t>DALARNAS LÄN</t>
        </is>
      </c>
      <c r="E149" t="inlineStr">
        <is>
          <t>LEKSAND</t>
        </is>
      </c>
      <c r="F149" t="inlineStr">
        <is>
          <t>Övriga Aktiebolag</t>
        </is>
      </c>
      <c r="G149" t="n">
        <v>1.3</v>
      </c>
      <c r="H149" t="n">
        <v>0</v>
      </c>
      <c r="I149" t="n">
        <v>0</v>
      </c>
      <c r="J149" t="n">
        <v>0</v>
      </c>
      <c r="K149" t="n">
        <v>0</v>
      </c>
      <c r="L149" t="n">
        <v>0</v>
      </c>
      <c r="M149" t="n">
        <v>0</v>
      </c>
      <c r="N149" t="n">
        <v>0</v>
      </c>
      <c r="O149" t="n">
        <v>0</v>
      </c>
      <c r="P149" t="n">
        <v>0</v>
      </c>
      <c r="Q149" t="n">
        <v>0</v>
      </c>
      <c r="R149" s="2" t="inlineStr"/>
    </row>
    <row r="150" ht="15" customHeight="1">
      <c r="A150" t="inlineStr">
        <is>
          <t>A 8046-2024</t>
        </is>
      </c>
      <c r="B150" s="1" t="n">
        <v>45351.31555555556</v>
      </c>
      <c r="C150" s="1" t="n">
        <v>45976</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7827-2024</t>
        </is>
      </c>
      <c r="B151" s="1" t="n">
        <v>45349.7467824074</v>
      </c>
      <c r="C151" s="1" t="n">
        <v>45976</v>
      </c>
      <c r="D151" t="inlineStr">
        <is>
          <t>DALARNAS LÄN</t>
        </is>
      </c>
      <c r="E151" t="inlineStr">
        <is>
          <t>LEKSAND</t>
        </is>
      </c>
      <c r="G151" t="n">
        <v>2.2</v>
      </c>
      <c r="H151" t="n">
        <v>0</v>
      </c>
      <c r="I151" t="n">
        <v>0</v>
      </c>
      <c r="J151" t="n">
        <v>0</v>
      </c>
      <c r="K151" t="n">
        <v>0</v>
      </c>
      <c r="L151" t="n">
        <v>0</v>
      </c>
      <c r="M151" t="n">
        <v>0</v>
      </c>
      <c r="N151" t="n">
        <v>0</v>
      </c>
      <c r="O151" t="n">
        <v>0</v>
      </c>
      <c r="P151" t="n">
        <v>0</v>
      </c>
      <c r="Q151" t="n">
        <v>0</v>
      </c>
      <c r="R151" s="2" t="inlineStr"/>
    </row>
    <row r="152" ht="15" customHeight="1">
      <c r="A152" t="inlineStr">
        <is>
          <t>A 22388-2024</t>
        </is>
      </c>
      <c r="B152" s="1" t="n">
        <v>45446</v>
      </c>
      <c r="C152" s="1" t="n">
        <v>45976</v>
      </c>
      <c r="D152" t="inlineStr">
        <is>
          <t>DALARNAS LÄN</t>
        </is>
      </c>
      <c r="E152" t="inlineStr">
        <is>
          <t>LEKSAND</t>
        </is>
      </c>
      <c r="F152" t="inlineStr">
        <is>
          <t>Bergvik skog väst AB</t>
        </is>
      </c>
      <c r="G152" t="n">
        <v>5.3</v>
      </c>
      <c r="H152" t="n">
        <v>0</v>
      </c>
      <c r="I152" t="n">
        <v>0</v>
      </c>
      <c r="J152" t="n">
        <v>0</v>
      </c>
      <c r="K152" t="n">
        <v>0</v>
      </c>
      <c r="L152" t="n">
        <v>0</v>
      </c>
      <c r="M152" t="n">
        <v>0</v>
      </c>
      <c r="N152" t="n">
        <v>0</v>
      </c>
      <c r="O152" t="n">
        <v>0</v>
      </c>
      <c r="P152" t="n">
        <v>0</v>
      </c>
      <c r="Q152" t="n">
        <v>0</v>
      </c>
      <c r="R152" s="2" t="inlineStr"/>
    </row>
    <row r="153" ht="15" customHeight="1">
      <c r="A153" t="inlineStr">
        <is>
          <t>A 31728-2024</t>
        </is>
      </c>
      <c r="B153" s="1" t="n">
        <v>45509.34517361111</v>
      </c>
      <c r="C153" s="1" t="n">
        <v>45976</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48644-2023</t>
        </is>
      </c>
      <c r="B154" s="1" t="n">
        <v>45208.58997685185</v>
      </c>
      <c r="C154" s="1" t="n">
        <v>45976</v>
      </c>
      <c r="D154" t="inlineStr">
        <is>
          <t>DALARNAS LÄN</t>
        </is>
      </c>
      <c r="E154" t="inlineStr">
        <is>
          <t>LEKSAND</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43735-2022</t>
        </is>
      </c>
      <c r="B155" s="1" t="n">
        <v>44837.70210648148</v>
      </c>
      <c r="C155" s="1" t="n">
        <v>45976</v>
      </c>
      <c r="D155" t="inlineStr">
        <is>
          <t>DALARNAS LÄN</t>
        </is>
      </c>
      <c r="E155" t="inlineStr">
        <is>
          <t>LEKSAND</t>
        </is>
      </c>
      <c r="G155" t="n">
        <v>2.9</v>
      </c>
      <c r="H155" t="n">
        <v>0</v>
      </c>
      <c r="I155" t="n">
        <v>0</v>
      </c>
      <c r="J155" t="n">
        <v>0</v>
      </c>
      <c r="K155" t="n">
        <v>0</v>
      </c>
      <c r="L155" t="n">
        <v>0</v>
      </c>
      <c r="M155" t="n">
        <v>0</v>
      </c>
      <c r="N155" t="n">
        <v>0</v>
      </c>
      <c r="O155" t="n">
        <v>0</v>
      </c>
      <c r="P155" t="n">
        <v>0</v>
      </c>
      <c r="Q155" t="n">
        <v>0</v>
      </c>
      <c r="R155" s="2" t="inlineStr"/>
    </row>
    <row r="156" ht="15" customHeight="1">
      <c r="A156" t="inlineStr">
        <is>
          <t>A 20936-2023</t>
        </is>
      </c>
      <c r="B156" s="1" t="n">
        <v>45061</v>
      </c>
      <c r="C156" s="1" t="n">
        <v>45976</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44469-2024</t>
        </is>
      </c>
      <c r="B157" s="1" t="n">
        <v>45574</v>
      </c>
      <c r="C157" s="1" t="n">
        <v>45976</v>
      </c>
      <c r="D157" t="inlineStr">
        <is>
          <t>DALARNAS LÄN</t>
        </is>
      </c>
      <c r="E157" t="inlineStr">
        <is>
          <t>LEKSAND</t>
        </is>
      </c>
      <c r="G157" t="n">
        <v>2</v>
      </c>
      <c r="H157" t="n">
        <v>0</v>
      </c>
      <c r="I157" t="n">
        <v>0</v>
      </c>
      <c r="J157" t="n">
        <v>0</v>
      </c>
      <c r="K157" t="n">
        <v>0</v>
      </c>
      <c r="L157" t="n">
        <v>0</v>
      </c>
      <c r="M157" t="n">
        <v>0</v>
      </c>
      <c r="N157" t="n">
        <v>0</v>
      </c>
      <c r="O157" t="n">
        <v>0</v>
      </c>
      <c r="P157" t="n">
        <v>0</v>
      </c>
      <c r="Q157" t="n">
        <v>0</v>
      </c>
      <c r="R157" s="2" t="inlineStr"/>
    </row>
    <row r="158" ht="15" customHeight="1">
      <c r="A158" t="inlineStr">
        <is>
          <t>A 10373-2023</t>
        </is>
      </c>
      <c r="B158" s="1" t="n">
        <v>44987</v>
      </c>
      <c r="C158" s="1" t="n">
        <v>45976</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2820-2024</t>
        </is>
      </c>
      <c r="B159" s="1" t="n">
        <v>45314.76287037037</v>
      </c>
      <c r="C159" s="1" t="n">
        <v>45976</v>
      </c>
      <c r="D159" t="inlineStr">
        <is>
          <t>DALARNAS LÄN</t>
        </is>
      </c>
      <c r="E159" t="inlineStr">
        <is>
          <t>LEKSAND</t>
        </is>
      </c>
      <c r="G159" t="n">
        <v>1.7</v>
      </c>
      <c r="H159" t="n">
        <v>0</v>
      </c>
      <c r="I159" t="n">
        <v>0</v>
      </c>
      <c r="J159" t="n">
        <v>0</v>
      </c>
      <c r="K159" t="n">
        <v>0</v>
      </c>
      <c r="L159" t="n">
        <v>0</v>
      </c>
      <c r="M159" t="n">
        <v>0</v>
      </c>
      <c r="N159" t="n">
        <v>0</v>
      </c>
      <c r="O159" t="n">
        <v>0</v>
      </c>
      <c r="P159" t="n">
        <v>0</v>
      </c>
      <c r="Q159" t="n">
        <v>0</v>
      </c>
      <c r="R159" s="2" t="inlineStr"/>
    </row>
    <row r="160" ht="15" customHeight="1">
      <c r="A160" t="inlineStr">
        <is>
          <t>A 2822-2024</t>
        </is>
      </c>
      <c r="B160" s="1" t="n">
        <v>45314.76622685185</v>
      </c>
      <c r="C160" s="1" t="n">
        <v>45976</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53464-2024</t>
        </is>
      </c>
      <c r="B161" s="1" t="n">
        <v>45611</v>
      </c>
      <c r="C161" s="1" t="n">
        <v>45976</v>
      </c>
      <c r="D161" t="inlineStr">
        <is>
          <t>DALARNAS LÄN</t>
        </is>
      </c>
      <c r="E161" t="inlineStr">
        <is>
          <t>LEKSAND</t>
        </is>
      </c>
      <c r="G161" t="n">
        <v>1.7</v>
      </c>
      <c r="H161" t="n">
        <v>0</v>
      </c>
      <c r="I161" t="n">
        <v>0</v>
      </c>
      <c r="J161" t="n">
        <v>0</v>
      </c>
      <c r="K161" t="n">
        <v>0</v>
      </c>
      <c r="L161" t="n">
        <v>0</v>
      </c>
      <c r="M161" t="n">
        <v>0</v>
      </c>
      <c r="N161" t="n">
        <v>0</v>
      </c>
      <c r="O161" t="n">
        <v>0</v>
      </c>
      <c r="P161" t="n">
        <v>0</v>
      </c>
      <c r="Q161" t="n">
        <v>0</v>
      </c>
      <c r="R161" s="2" t="inlineStr"/>
    </row>
    <row r="162" ht="15" customHeight="1">
      <c r="A162" t="inlineStr">
        <is>
          <t>A 51677-2024</t>
        </is>
      </c>
      <c r="B162" s="1" t="n">
        <v>45607.30265046296</v>
      </c>
      <c r="C162" s="1" t="n">
        <v>45976</v>
      </c>
      <c r="D162" t="inlineStr">
        <is>
          <t>DALARNAS LÄN</t>
        </is>
      </c>
      <c r="E162" t="inlineStr">
        <is>
          <t>LEKSAND</t>
        </is>
      </c>
      <c r="G162" t="n">
        <v>3.4</v>
      </c>
      <c r="H162" t="n">
        <v>0</v>
      </c>
      <c r="I162" t="n">
        <v>0</v>
      </c>
      <c r="J162" t="n">
        <v>0</v>
      </c>
      <c r="K162" t="n">
        <v>0</v>
      </c>
      <c r="L162" t="n">
        <v>0</v>
      </c>
      <c r="M162" t="n">
        <v>0</v>
      </c>
      <c r="N162" t="n">
        <v>0</v>
      </c>
      <c r="O162" t="n">
        <v>0</v>
      </c>
      <c r="P162" t="n">
        <v>0</v>
      </c>
      <c r="Q162" t="n">
        <v>0</v>
      </c>
      <c r="R162" s="2" t="inlineStr"/>
    </row>
    <row r="163" ht="15" customHeight="1">
      <c r="A163" t="inlineStr">
        <is>
          <t>A 325-2023</t>
        </is>
      </c>
      <c r="B163" s="1" t="n">
        <v>44929</v>
      </c>
      <c r="C163" s="1" t="n">
        <v>45976</v>
      </c>
      <c r="D163" t="inlineStr">
        <is>
          <t>DALARNAS LÄN</t>
        </is>
      </c>
      <c r="E163" t="inlineStr">
        <is>
          <t>LEKSAND</t>
        </is>
      </c>
      <c r="F163" t="inlineStr">
        <is>
          <t>Övriga Aktiebolag</t>
        </is>
      </c>
      <c r="G163" t="n">
        <v>7.1</v>
      </c>
      <c r="H163" t="n">
        <v>0</v>
      </c>
      <c r="I163" t="n">
        <v>0</v>
      </c>
      <c r="J163" t="n">
        <v>0</v>
      </c>
      <c r="K163" t="n">
        <v>0</v>
      </c>
      <c r="L163" t="n">
        <v>0</v>
      </c>
      <c r="M163" t="n">
        <v>0</v>
      </c>
      <c r="N163" t="n">
        <v>0</v>
      </c>
      <c r="O163" t="n">
        <v>0</v>
      </c>
      <c r="P163" t="n">
        <v>0</v>
      </c>
      <c r="Q163" t="n">
        <v>0</v>
      </c>
      <c r="R163" s="2" t="inlineStr"/>
    </row>
    <row r="164" ht="15" customHeight="1">
      <c r="A164" t="inlineStr">
        <is>
          <t>A 37952-2024</t>
        </is>
      </c>
      <c r="B164" s="1" t="n">
        <v>45544.5200462963</v>
      </c>
      <c r="C164" s="1" t="n">
        <v>45976</v>
      </c>
      <c r="D164" t="inlineStr">
        <is>
          <t>DALARNAS LÄN</t>
        </is>
      </c>
      <c r="E164" t="inlineStr">
        <is>
          <t>LEKSAND</t>
        </is>
      </c>
      <c r="G164" t="n">
        <v>1</v>
      </c>
      <c r="H164" t="n">
        <v>0</v>
      </c>
      <c r="I164" t="n">
        <v>0</v>
      </c>
      <c r="J164" t="n">
        <v>0</v>
      </c>
      <c r="K164" t="n">
        <v>0</v>
      </c>
      <c r="L164" t="n">
        <v>0</v>
      </c>
      <c r="M164" t="n">
        <v>0</v>
      </c>
      <c r="N164" t="n">
        <v>0</v>
      </c>
      <c r="O164" t="n">
        <v>0</v>
      </c>
      <c r="P164" t="n">
        <v>0</v>
      </c>
      <c r="Q164" t="n">
        <v>0</v>
      </c>
      <c r="R164" s="2" t="inlineStr"/>
    </row>
    <row r="165" ht="15" customHeight="1">
      <c r="A165" t="inlineStr">
        <is>
          <t>A 46628-2024</t>
        </is>
      </c>
      <c r="B165" s="1" t="n">
        <v>45583.33195601852</v>
      </c>
      <c r="C165" s="1" t="n">
        <v>45976</v>
      </c>
      <c r="D165" t="inlineStr">
        <is>
          <t>DALARNAS LÄN</t>
        </is>
      </c>
      <c r="E165" t="inlineStr">
        <is>
          <t>LEKSAND</t>
        </is>
      </c>
      <c r="G165" t="n">
        <v>0.2</v>
      </c>
      <c r="H165" t="n">
        <v>0</v>
      </c>
      <c r="I165" t="n">
        <v>0</v>
      </c>
      <c r="J165" t="n">
        <v>0</v>
      </c>
      <c r="K165" t="n">
        <v>0</v>
      </c>
      <c r="L165" t="n">
        <v>0</v>
      </c>
      <c r="M165" t="n">
        <v>0</v>
      </c>
      <c r="N165" t="n">
        <v>0</v>
      </c>
      <c r="O165" t="n">
        <v>0</v>
      </c>
      <c r="P165" t="n">
        <v>0</v>
      </c>
      <c r="Q165" t="n">
        <v>0</v>
      </c>
      <c r="R165" s="2" t="inlineStr"/>
    </row>
    <row r="166" ht="15" customHeight="1">
      <c r="A166" t="inlineStr">
        <is>
          <t>A 43222-2024</t>
        </is>
      </c>
      <c r="B166" s="1" t="n">
        <v>45567.87177083334</v>
      </c>
      <c r="C166" s="1" t="n">
        <v>45976</v>
      </c>
      <c r="D166" t="inlineStr">
        <is>
          <t>DALARNAS LÄN</t>
        </is>
      </c>
      <c r="E166" t="inlineStr">
        <is>
          <t>LEKSAND</t>
        </is>
      </c>
      <c r="F166" t="inlineStr">
        <is>
          <t>Bergvik skog väst AB</t>
        </is>
      </c>
      <c r="G166" t="n">
        <v>8.6</v>
      </c>
      <c r="H166" t="n">
        <v>0</v>
      </c>
      <c r="I166" t="n">
        <v>0</v>
      </c>
      <c r="J166" t="n">
        <v>0</v>
      </c>
      <c r="K166" t="n">
        <v>0</v>
      </c>
      <c r="L166" t="n">
        <v>0</v>
      </c>
      <c r="M166" t="n">
        <v>0</v>
      </c>
      <c r="N166" t="n">
        <v>0</v>
      </c>
      <c r="O166" t="n">
        <v>0</v>
      </c>
      <c r="P166" t="n">
        <v>0</v>
      </c>
      <c r="Q166" t="n">
        <v>0</v>
      </c>
      <c r="R166" s="2" t="inlineStr"/>
    </row>
    <row r="167" ht="15" customHeight="1">
      <c r="A167" t="inlineStr">
        <is>
          <t>A 43231-2024</t>
        </is>
      </c>
      <c r="B167" s="1" t="n">
        <v>45567.89709490741</v>
      </c>
      <c r="C167" s="1" t="n">
        <v>45976</v>
      </c>
      <c r="D167" t="inlineStr">
        <is>
          <t>DALARNAS LÄN</t>
        </is>
      </c>
      <c r="E167" t="inlineStr">
        <is>
          <t>LEKSAND</t>
        </is>
      </c>
      <c r="G167" t="n">
        <v>1.9</v>
      </c>
      <c r="H167" t="n">
        <v>0</v>
      </c>
      <c r="I167" t="n">
        <v>0</v>
      </c>
      <c r="J167" t="n">
        <v>0</v>
      </c>
      <c r="K167" t="n">
        <v>0</v>
      </c>
      <c r="L167" t="n">
        <v>0</v>
      </c>
      <c r="M167" t="n">
        <v>0</v>
      </c>
      <c r="N167" t="n">
        <v>0</v>
      </c>
      <c r="O167" t="n">
        <v>0</v>
      </c>
      <c r="P167" t="n">
        <v>0</v>
      </c>
      <c r="Q167" t="n">
        <v>0</v>
      </c>
      <c r="R167" s="2" t="inlineStr"/>
    </row>
    <row r="168" ht="15" customHeight="1">
      <c r="A168" t="inlineStr">
        <is>
          <t>A 17533-2023</t>
        </is>
      </c>
      <c r="B168" s="1" t="n">
        <v>45036</v>
      </c>
      <c r="C168" s="1" t="n">
        <v>45976</v>
      </c>
      <c r="D168" t="inlineStr">
        <is>
          <t>DALARNAS LÄN</t>
        </is>
      </c>
      <c r="E168" t="inlineStr">
        <is>
          <t>LEKSAND</t>
        </is>
      </c>
      <c r="G168" t="n">
        <v>3</v>
      </c>
      <c r="H168" t="n">
        <v>0</v>
      </c>
      <c r="I168" t="n">
        <v>0</v>
      </c>
      <c r="J168" t="n">
        <v>0</v>
      </c>
      <c r="K168" t="n">
        <v>0</v>
      </c>
      <c r="L168" t="n">
        <v>0</v>
      </c>
      <c r="M168" t="n">
        <v>0</v>
      </c>
      <c r="N168" t="n">
        <v>0</v>
      </c>
      <c r="O168" t="n">
        <v>0</v>
      </c>
      <c r="P168" t="n">
        <v>0</v>
      </c>
      <c r="Q168" t="n">
        <v>0</v>
      </c>
      <c r="R168" s="2" t="inlineStr"/>
    </row>
    <row r="169" ht="15" customHeight="1">
      <c r="A169" t="inlineStr">
        <is>
          <t>A 54914-2024</t>
        </is>
      </c>
      <c r="B169" s="1" t="n">
        <v>45618.69380787037</v>
      </c>
      <c r="C169" s="1" t="n">
        <v>45976</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39921-2024</t>
        </is>
      </c>
      <c r="B170" s="1" t="n">
        <v>45553</v>
      </c>
      <c r="C170" s="1" t="n">
        <v>45976</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58244-2024</t>
        </is>
      </c>
      <c r="B171" s="1" t="n">
        <v>45631</v>
      </c>
      <c r="C171" s="1" t="n">
        <v>45976</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164-2023</t>
        </is>
      </c>
      <c r="B172" s="1" t="n">
        <v>44918</v>
      </c>
      <c r="C172" s="1" t="n">
        <v>45976</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59236-2024</t>
        </is>
      </c>
      <c r="B173" s="1" t="n">
        <v>45637.58795138889</v>
      </c>
      <c r="C173" s="1" t="n">
        <v>45976</v>
      </c>
      <c r="D173" t="inlineStr">
        <is>
          <t>DALARNAS LÄN</t>
        </is>
      </c>
      <c r="E173" t="inlineStr">
        <is>
          <t>LEKSAND</t>
        </is>
      </c>
      <c r="G173" t="n">
        <v>1.2</v>
      </c>
      <c r="H173" t="n">
        <v>0</v>
      </c>
      <c r="I173" t="n">
        <v>0</v>
      </c>
      <c r="J173" t="n">
        <v>0</v>
      </c>
      <c r="K173" t="n">
        <v>0</v>
      </c>
      <c r="L173" t="n">
        <v>0</v>
      </c>
      <c r="M173" t="n">
        <v>0</v>
      </c>
      <c r="N173" t="n">
        <v>0</v>
      </c>
      <c r="O173" t="n">
        <v>0</v>
      </c>
      <c r="P173" t="n">
        <v>0</v>
      </c>
      <c r="Q173" t="n">
        <v>0</v>
      </c>
      <c r="R173" s="2" t="inlineStr"/>
    </row>
    <row r="174" ht="15" customHeight="1">
      <c r="A174" t="inlineStr">
        <is>
          <t>A 15257-2025</t>
        </is>
      </c>
      <c r="B174" s="1" t="n">
        <v>45744</v>
      </c>
      <c r="C174" s="1" t="n">
        <v>45976</v>
      </c>
      <c r="D174" t="inlineStr">
        <is>
          <t>DALARNAS LÄN</t>
        </is>
      </c>
      <c r="E174" t="inlineStr">
        <is>
          <t>LEKSAND</t>
        </is>
      </c>
      <c r="G174" t="n">
        <v>0.9</v>
      </c>
      <c r="H174" t="n">
        <v>0</v>
      </c>
      <c r="I174" t="n">
        <v>0</v>
      </c>
      <c r="J174" t="n">
        <v>0</v>
      </c>
      <c r="K174" t="n">
        <v>0</v>
      </c>
      <c r="L174" t="n">
        <v>0</v>
      </c>
      <c r="M174" t="n">
        <v>0</v>
      </c>
      <c r="N174" t="n">
        <v>0</v>
      </c>
      <c r="O174" t="n">
        <v>0</v>
      </c>
      <c r="P174" t="n">
        <v>0</v>
      </c>
      <c r="Q174" t="n">
        <v>0</v>
      </c>
      <c r="R174" s="2" t="inlineStr"/>
    </row>
    <row r="175" ht="15" customHeight="1">
      <c r="A175" t="inlineStr">
        <is>
          <t>A 61546-2021</t>
        </is>
      </c>
      <c r="B175" s="1" t="n">
        <v>44501</v>
      </c>
      <c r="C175" s="1" t="n">
        <v>45976</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41046-2024</t>
        </is>
      </c>
      <c r="B176" s="1" t="n">
        <v>45559.36677083333</v>
      </c>
      <c r="C176" s="1" t="n">
        <v>45976</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46834-2023</t>
        </is>
      </c>
      <c r="B177" s="1" t="n">
        <v>45199.35668981481</v>
      </c>
      <c r="C177" s="1" t="n">
        <v>45976</v>
      </c>
      <c r="D177" t="inlineStr">
        <is>
          <t>DALARNAS LÄN</t>
        </is>
      </c>
      <c r="E177" t="inlineStr">
        <is>
          <t>LEKSAND</t>
        </is>
      </c>
      <c r="G177" t="n">
        <v>16.3</v>
      </c>
      <c r="H177" t="n">
        <v>0</v>
      </c>
      <c r="I177" t="n">
        <v>0</v>
      </c>
      <c r="J177" t="n">
        <v>0</v>
      </c>
      <c r="K177" t="n">
        <v>0</v>
      </c>
      <c r="L177" t="n">
        <v>0</v>
      </c>
      <c r="M177" t="n">
        <v>0</v>
      </c>
      <c r="N177" t="n">
        <v>0</v>
      </c>
      <c r="O177" t="n">
        <v>0</v>
      </c>
      <c r="P177" t="n">
        <v>0</v>
      </c>
      <c r="Q177" t="n">
        <v>0</v>
      </c>
      <c r="R177" s="2" t="inlineStr"/>
    </row>
    <row r="178" ht="15" customHeight="1">
      <c r="A178" t="inlineStr">
        <is>
          <t>A 37508-2025</t>
        </is>
      </c>
      <c r="B178" s="1" t="n">
        <v>45877.66282407408</v>
      </c>
      <c r="C178" s="1" t="n">
        <v>45976</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12851-2023</t>
        </is>
      </c>
      <c r="B179" s="1" t="n">
        <v>45001.49347222222</v>
      </c>
      <c r="C179" s="1" t="n">
        <v>45976</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33317-2023</t>
        </is>
      </c>
      <c r="B180" s="1" t="n">
        <v>45127.84586805556</v>
      </c>
      <c r="C180" s="1" t="n">
        <v>45976</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33318-2023</t>
        </is>
      </c>
      <c r="B181" s="1" t="n">
        <v>45127</v>
      </c>
      <c r="C181" s="1" t="n">
        <v>45976</v>
      </c>
      <c r="D181" t="inlineStr">
        <is>
          <t>DALARNAS LÄN</t>
        </is>
      </c>
      <c r="E181" t="inlineStr">
        <is>
          <t>LEKSAND</t>
        </is>
      </c>
      <c r="G181" t="n">
        <v>5.5</v>
      </c>
      <c r="H181" t="n">
        <v>0</v>
      </c>
      <c r="I181" t="n">
        <v>0</v>
      </c>
      <c r="J181" t="n">
        <v>0</v>
      </c>
      <c r="K181" t="n">
        <v>0</v>
      </c>
      <c r="L181" t="n">
        <v>0</v>
      </c>
      <c r="M181" t="n">
        <v>0</v>
      </c>
      <c r="N181" t="n">
        <v>0</v>
      </c>
      <c r="O181" t="n">
        <v>0</v>
      </c>
      <c r="P181" t="n">
        <v>0</v>
      </c>
      <c r="Q181" t="n">
        <v>0</v>
      </c>
      <c r="R181" s="2" t="inlineStr"/>
    </row>
    <row r="182" ht="15" customHeight="1">
      <c r="A182" t="inlineStr">
        <is>
          <t>A 27317-2021</t>
        </is>
      </c>
      <c r="B182" s="1" t="n">
        <v>44351</v>
      </c>
      <c r="C182" s="1" t="n">
        <v>45976</v>
      </c>
      <c r="D182" t="inlineStr">
        <is>
          <t>DALARNAS LÄN</t>
        </is>
      </c>
      <c r="E182" t="inlineStr">
        <is>
          <t>LEKSAND</t>
        </is>
      </c>
      <c r="G182" t="n">
        <v>1</v>
      </c>
      <c r="H182" t="n">
        <v>0</v>
      </c>
      <c r="I182" t="n">
        <v>0</v>
      </c>
      <c r="J182" t="n">
        <v>0</v>
      </c>
      <c r="K182" t="n">
        <v>0</v>
      </c>
      <c r="L182" t="n">
        <v>0</v>
      </c>
      <c r="M182" t="n">
        <v>0</v>
      </c>
      <c r="N182" t="n">
        <v>0</v>
      </c>
      <c r="O182" t="n">
        <v>0</v>
      </c>
      <c r="P182" t="n">
        <v>0</v>
      </c>
      <c r="Q182" t="n">
        <v>0</v>
      </c>
      <c r="R182" s="2" t="inlineStr"/>
    </row>
    <row r="183" ht="15" customHeight="1">
      <c r="A183" t="inlineStr">
        <is>
          <t>A 61055-2023</t>
        </is>
      </c>
      <c r="B183" s="1" t="n">
        <v>45261</v>
      </c>
      <c r="C183" s="1" t="n">
        <v>45976</v>
      </c>
      <c r="D183" t="inlineStr">
        <is>
          <t>DALARNAS LÄN</t>
        </is>
      </c>
      <c r="E183" t="inlineStr">
        <is>
          <t>LEKSAND</t>
        </is>
      </c>
      <c r="G183" t="n">
        <v>0.3</v>
      </c>
      <c r="H183" t="n">
        <v>0</v>
      </c>
      <c r="I183" t="n">
        <v>0</v>
      </c>
      <c r="J183" t="n">
        <v>0</v>
      </c>
      <c r="K183" t="n">
        <v>0</v>
      </c>
      <c r="L183" t="n">
        <v>0</v>
      </c>
      <c r="M183" t="n">
        <v>0</v>
      </c>
      <c r="N183" t="n">
        <v>0</v>
      </c>
      <c r="O183" t="n">
        <v>0</v>
      </c>
      <c r="P183" t="n">
        <v>0</v>
      </c>
      <c r="Q183" t="n">
        <v>0</v>
      </c>
      <c r="R183" s="2" t="inlineStr"/>
    </row>
    <row r="184" ht="15" customHeight="1">
      <c r="A184" t="inlineStr">
        <is>
          <t>A 34038-2024</t>
        </is>
      </c>
      <c r="B184" s="1" t="n">
        <v>45523.59578703704</v>
      </c>
      <c r="C184" s="1" t="n">
        <v>45976</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34041-2024</t>
        </is>
      </c>
      <c r="B185" s="1" t="n">
        <v>45523.59895833334</v>
      </c>
      <c r="C185" s="1" t="n">
        <v>45976</v>
      </c>
      <c r="D185" t="inlineStr">
        <is>
          <t>DALARNAS LÄN</t>
        </is>
      </c>
      <c r="E185" t="inlineStr">
        <is>
          <t>LEKSAND</t>
        </is>
      </c>
      <c r="G185" t="n">
        <v>4</v>
      </c>
      <c r="H185" t="n">
        <v>0</v>
      </c>
      <c r="I185" t="n">
        <v>0</v>
      </c>
      <c r="J185" t="n">
        <v>0</v>
      </c>
      <c r="K185" t="n">
        <v>0</v>
      </c>
      <c r="L185" t="n">
        <v>0</v>
      </c>
      <c r="M185" t="n">
        <v>0</v>
      </c>
      <c r="N185" t="n">
        <v>0</v>
      </c>
      <c r="O185" t="n">
        <v>0</v>
      </c>
      <c r="P185" t="n">
        <v>0</v>
      </c>
      <c r="Q185" t="n">
        <v>0</v>
      </c>
      <c r="R185" s="2" t="inlineStr"/>
    </row>
    <row r="186" ht="15" customHeight="1">
      <c r="A186" t="inlineStr">
        <is>
          <t>A 16005-2025</t>
        </is>
      </c>
      <c r="B186" s="1" t="n">
        <v>45749.59765046297</v>
      </c>
      <c r="C186" s="1" t="n">
        <v>45976</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12923-2025</t>
        </is>
      </c>
      <c r="B187" s="1" t="n">
        <v>45734.29193287037</v>
      </c>
      <c r="C187" s="1" t="n">
        <v>45976</v>
      </c>
      <c r="D187" t="inlineStr">
        <is>
          <t>DALARNAS LÄN</t>
        </is>
      </c>
      <c r="E187" t="inlineStr">
        <is>
          <t>LEKSAND</t>
        </is>
      </c>
      <c r="G187" t="n">
        <v>7.2</v>
      </c>
      <c r="H187" t="n">
        <v>0</v>
      </c>
      <c r="I187" t="n">
        <v>0</v>
      </c>
      <c r="J187" t="n">
        <v>0</v>
      </c>
      <c r="K187" t="n">
        <v>0</v>
      </c>
      <c r="L187" t="n">
        <v>0</v>
      </c>
      <c r="M187" t="n">
        <v>0</v>
      </c>
      <c r="N187" t="n">
        <v>0</v>
      </c>
      <c r="O187" t="n">
        <v>0</v>
      </c>
      <c r="P187" t="n">
        <v>0</v>
      </c>
      <c r="Q187" t="n">
        <v>0</v>
      </c>
      <c r="R187" s="2" t="inlineStr"/>
    </row>
    <row r="188" ht="15" customHeight="1">
      <c r="A188" t="inlineStr">
        <is>
          <t>A 5738-2023</t>
        </is>
      </c>
      <c r="B188" s="1" t="n">
        <v>44962</v>
      </c>
      <c r="C188" s="1" t="n">
        <v>45976</v>
      </c>
      <c r="D188" t="inlineStr">
        <is>
          <t>DALARNAS LÄN</t>
        </is>
      </c>
      <c r="E188" t="inlineStr">
        <is>
          <t>LEKSAND</t>
        </is>
      </c>
      <c r="G188" t="n">
        <v>0.2</v>
      </c>
      <c r="H188" t="n">
        <v>0</v>
      </c>
      <c r="I188" t="n">
        <v>0</v>
      </c>
      <c r="J188" t="n">
        <v>0</v>
      </c>
      <c r="K188" t="n">
        <v>0</v>
      </c>
      <c r="L188" t="n">
        <v>0</v>
      </c>
      <c r="M188" t="n">
        <v>0</v>
      </c>
      <c r="N188" t="n">
        <v>0</v>
      </c>
      <c r="O188" t="n">
        <v>0</v>
      </c>
      <c r="P188" t="n">
        <v>0</v>
      </c>
      <c r="Q188" t="n">
        <v>0</v>
      </c>
      <c r="R188" s="2" t="inlineStr"/>
    </row>
    <row r="189" ht="15" customHeight="1">
      <c r="A189" t="inlineStr">
        <is>
          <t>A 23896-2024</t>
        </is>
      </c>
      <c r="B189" s="1" t="n">
        <v>45455.6758449074</v>
      </c>
      <c r="C189" s="1" t="n">
        <v>45976</v>
      </c>
      <c r="D189" t="inlineStr">
        <is>
          <t>DALARNAS LÄN</t>
        </is>
      </c>
      <c r="E189" t="inlineStr">
        <is>
          <t>LEKSAND</t>
        </is>
      </c>
      <c r="F189" t="inlineStr">
        <is>
          <t>Övriga Aktiebolag</t>
        </is>
      </c>
      <c r="G189" t="n">
        <v>0.9</v>
      </c>
      <c r="H189" t="n">
        <v>0</v>
      </c>
      <c r="I189" t="n">
        <v>0</v>
      </c>
      <c r="J189" t="n">
        <v>0</v>
      </c>
      <c r="K189" t="n">
        <v>0</v>
      </c>
      <c r="L189" t="n">
        <v>0</v>
      </c>
      <c r="M189" t="n">
        <v>0</v>
      </c>
      <c r="N189" t="n">
        <v>0</v>
      </c>
      <c r="O189" t="n">
        <v>0</v>
      </c>
      <c r="P189" t="n">
        <v>0</v>
      </c>
      <c r="Q189" t="n">
        <v>0</v>
      </c>
      <c r="R189" s="2" t="inlineStr"/>
    </row>
    <row r="190" ht="15" customHeight="1">
      <c r="A190" t="inlineStr">
        <is>
          <t>A 8940-2023</t>
        </is>
      </c>
      <c r="B190" s="1" t="n">
        <v>44974</v>
      </c>
      <c r="C190" s="1" t="n">
        <v>45976</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11128-2023</t>
        </is>
      </c>
      <c r="B191" s="1" t="n">
        <v>44992</v>
      </c>
      <c r="C191" s="1" t="n">
        <v>45976</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34482-2022</t>
        </is>
      </c>
      <c r="B192" s="1" t="n">
        <v>44792</v>
      </c>
      <c r="C192" s="1" t="n">
        <v>45976</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1458-2024</t>
        </is>
      </c>
      <c r="B193" s="1" t="n">
        <v>45303</v>
      </c>
      <c r="C193" s="1" t="n">
        <v>45976</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1461-2024</t>
        </is>
      </c>
      <c r="B194" s="1" t="n">
        <v>45303</v>
      </c>
      <c r="C194" s="1" t="n">
        <v>45976</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37996-2025</t>
        </is>
      </c>
      <c r="B195" s="1" t="n">
        <v>45881.8299537037</v>
      </c>
      <c r="C195" s="1" t="n">
        <v>45976</v>
      </c>
      <c r="D195" t="inlineStr">
        <is>
          <t>DALARNAS LÄN</t>
        </is>
      </c>
      <c r="E195" t="inlineStr">
        <is>
          <t>LEKSAND</t>
        </is>
      </c>
      <c r="G195" t="n">
        <v>4.2</v>
      </c>
      <c r="H195" t="n">
        <v>0</v>
      </c>
      <c r="I195" t="n">
        <v>0</v>
      </c>
      <c r="J195" t="n">
        <v>0</v>
      </c>
      <c r="K195" t="n">
        <v>0</v>
      </c>
      <c r="L195" t="n">
        <v>0</v>
      </c>
      <c r="M195" t="n">
        <v>0</v>
      </c>
      <c r="N195" t="n">
        <v>0</v>
      </c>
      <c r="O195" t="n">
        <v>0</v>
      </c>
      <c r="P195" t="n">
        <v>0</v>
      </c>
      <c r="Q195" t="n">
        <v>0</v>
      </c>
      <c r="R195" s="2" t="inlineStr"/>
    </row>
    <row r="196" ht="15" customHeight="1">
      <c r="A196" t="inlineStr">
        <is>
          <t>A 5584-2024</t>
        </is>
      </c>
      <c r="B196" s="1" t="n">
        <v>45334</v>
      </c>
      <c r="C196" s="1" t="n">
        <v>45976</v>
      </c>
      <c r="D196" t="inlineStr">
        <is>
          <t>DALARNAS LÄN</t>
        </is>
      </c>
      <c r="E196" t="inlineStr">
        <is>
          <t>LEKSAND</t>
        </is>
      </c>
      <c r="F196" t="inlineStr">
        <is>
          <t>Kyrkan</t>
        </is>
      </c>
      <c r="G196" t="n">
        <v>0.4</v>
      </c>
      <c r="H196" t="n">
        <v>0</v>
      </c>
      <c r="I196" t="n">
        <v>0</v>
      </c>
      <c r="J196" t="n">
        <v>0</v>
      </c>
      <c r="K196" t="n">
        <v>0</v>
      </c>
      <c r="L196" t="n">
        <v>0</v>
      </c>
      <c r="M196" t="n">
        <v>0</v>
      </c>
      <c r="N196" t="n">
        <v>0</v>
      </c>
      <c r="O196" t="n">
        <v>0</v>
      </c>
      <c r="P196" t="n">
        <v>0</v>
      </c>
      <c r="Q196" t="n">
        <v>0</v>
      </c>
      <c r="R196" s="2" t="inlineStr"/>
    </row>
    <row r="197" ht="15" customHeight="1">
      <c r="A197" t="inlineStr">
        <is>
          <t>A 51860-2024</t>
        </is>
      </c>
      <c r="B197" s="1" t="n">
        <v>45607.54511574074</v>
      </c>
      <c r="C197" s="1" t="n">
        <v>45976</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row>
    <row r="198" ht="15" customHeight="1">
      <c r="A198" t="inlineStr">
        <is>
          <t>A 22681-2022</t>
        </is>
      </c>
      <c r="B198" s="1" t="n">
        <v>44714.50961805556</v>
      </c>
      <c r="C198" s="1" t="n">
        <v>45976</v>
      </c>
      <c r="D198" t="inlineStr">
        <is>
          <t>DALARNAS LÄN</t>
        </is>
      </c>
      <c r="E198" t="inlineStr">
        <is>
          <t>LEKSAND</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45976</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19296-2024</t>
        </is>
      </c>
      <c r="B200" s="1" t="n">
        <v>45428.69438657408</v>
      </c>
      <c r="C200" s="1" t="n">
        <v>45976</v>
      </c>
      <c r="D200" t="inlineStr">
        <is>
          <t>DALARNAS LÄN</t>
        </is>
      </c>
      <c r="E200" t="inlineStr">
        <is>
          <t>LEKSAND</t>
        </is>
      </c>
      <c r="G200" t="n">
        <v>2.4</v>
      </c>
      <c r="H200" t="n">
        <v>0</v>
      </c>
      <c r="I200" t="n">
        <v>0</v>
      </c>
      <c r="J200" t="n">
        <v>0</v>
      </c>
      <c r="K200" t="n">
        <v>0</v>
      </c>
      <c r="L200" t="n">
        <v>0</v>
      </c>
      <c r="M200" t="n">
        <v>0</v>
      </c>
      <c r="N200" t="n">
        <v>0</v>
      </c>
      <c r="O200" t="n">
        <v>0</v>
      </c>
      <c r="P200" t="n">
        <v>0</v>
      </c>
      <c r="Q200" t="n">
        <v>0</v>
      </c>
      <c r="R200" s="2" t="inlineStr"/>
    </row>
    <row r="201" ht="15" customHeight="1">
      <c r="A201" t="inlineStr">
        <is>
          <t>A 38001-2023</t>
        </is>
      </c>
      <c r="B201" s="1" t="n">
        <v>45160</v>
      </c>
      <c r="C201" s="1" t="n">
        <v>45976</v>
      </c>
      <c r="D201" t="inlineStr">
        <is>
          <t>DALARNAS LÄN</t>
        </is>
      </c>
      <c r="E201" t="inlineStr">
        <is>
          <t>LEKSAND</t>
        </is>
      </c>
      <c r="G201" t="n">
        <v>3.6</v>
      </c>
      <c r="H201" t="n">
        <v>0</v>
      </c>
      <c r="I201" t="n">
        <v>0</v>
      </c>
      <c r="J201" t="n">
        <v>0</v>
      </c>
      <c r="K201" t="n">
        <v>0</v>
      </c>
      <c r="L201" t="n">
        <v>0</v>
      </c>
      <c r="M201" t="n">
        <v>0</v>
      </c>
      <c r="N201" t="n">
        <v>0</v>
      </c>
      <c r="O201" t="n">
        <v>0</v>
      </c>
      <c r="P201" t="n">
        <v>0</v>
      </c>
      <c r="Q201" t="n">
        <v>0</v>
      </c>
      <c r="R201" s="2" t="inlineStr"/>
    </row>
    <row r="202" ht="15" customHeight="1">
      <c r="A202" t="inlineStr">
        <is>
          <t>A 47673-2023</t>
        </is>
      </c>
      <c r="B202" s="1" t="n">
        <v>45203</v>
      </c>
      <c r="C202" s="1" t="n">
        <v>45976</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1457-2024</t>
        </is>
      </c>
      <c r="B203" s="1" t="n">
        <v>45303</v>
      </c>
      <c r="C203" s="1" t="n">
        <v>45976</v>
      </c>
      <c r="D203" t="inlineStr">
        <is>
          <t>DALARNAS LÄN</t>
        </is>
      </c>
      <c r="E203" t="inlineStr">
        <is>
          <t>LEKSAND</t>
        </is>
      </c>
      <c r="G203" t="n">
        <v>4.4</v>
      </c>
      <c r="H203" t="n">
        <v>0</v>
      </c>
      <c r="I203" t="n">
        <v>0</v>
      </c>
      <c r="J203" t="n">
        <v>0</v>
      </c>
      <c r="K203" t="n">
        <v>0</v>
      </c>
      <c r="L203" t="n">
        <v>0</v>
      </c>
      <c r="M203" t="n">
        <v>0</v>
      </c>
      <c r="N203" t="n">
        <v>0</v>
      </c>
      <c r="O203" t="n">
        <v>0</v>
      </c>
      <c r="P203" t="n">
        <v>0</v>
      </c>
      <c r="Q203" t="n">
        <v>0</v>
      </c>
      <c r="R203" s="2" t="inlineStr"/>
    </row>
    <row r="204" ht="15" customHeight="1">
      <c r="A204" t="inlineStr">
        <is>
          <t>A 14865-2025</t>
        </is>
      </c>
      <c r="B204" s="1" t="n">
        <v>45743.43929398148</v>
      </c>
      <c r="C204" s="1" t="n">
        <v>45976</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28032-2024</t>
        </is>
      </c>
      <c r="B205" s="1" t="n">
        <v>45476.49346064815</v>
      </c>
      <c r="C205" s="1" t="n">
        <v>45976</v>
      </c>
      <c r="D205" t="inlineStr">
        <is>
          <t>DALARNAS LÄN</t>
        </is>
      </c>
      <c r="E205" t="inlineStr">
        <is>
          <t>LEKSAND</t>
        </is>
      </c>
      <c r="G205" t="n">
        <v>2</v>
      </c>
      <c r="H205" t="n">
        <v>0</v>
      </c>
      <c r="I205" t="n">
        <v>0</v>
      </c>
      <c r="J205" t="n">
        <v>0</v>
      </c>
      <c r="K205" t="n">
        <v>0</v>
      </c>
      <c r="L205" t="n">
        <v>0</v>
      </c>
      <c r="M205" t="n">
        <v>0</v>
      </c>
      <c r="N205" t="n">
        <v>0</v>
      </c>
      <c r="O205" t="n">
        <v>0</v>
      </c>
      <c r="P205" t="n">
        <v>0</v>
      </c>
      <c r="Q205" t="n">
        <v>0</v>
      </c>
      <c r="R205" s="2" t="inlineStr"/>
    </row>
    <row r="206" ht="15" customHeight="1">
      <c r="A206" t="inlineStr">
        <is>
          <t>A 19820-2024</t>
        </is>
      </c>
      <c r="B206" s="1" t="n">
        <v>45433.33907407407</v>
      </c>
      <c r="C206" s="1" t="n">
        <v>45976</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19823-2024</t>
        </is>
      </c>
      <c r="B207" s="1" t="n">
        <v>45433.34469907408</v>
      </c>
      <c r="C207" s="1" t="n">
        <v>45976</v>
      </c>
      <c r="D207" t="inlineStr">
        <is>
          <t>DALARNAS LÄN</t>
        </is>
      </c>
      <c r="E207" t="inlineStr">
        <is>
          <t>LEKSAND</t>
        </is>
      </c>
      <c r="G207" t="n">
        <v>0.3</v>
      </c>
      <c r="H207" t="n">
        <v>0</v>
      </c>
      <c r="I207" t="n">
        <v>0</v>
      </c>
      <c r="J207" t="n">
        <v>0</v>
      </c>
      <c r="K207" t="n">
        <v>0</v>
      </c>
      <c r="L207" t="n">
        <v>0</v>
      </c>
      <c r="M207" t="n">
        <v>0</v>
      </c>
      <c r="N207" t="n">
        <v>0</v>
      </c>
      <c r="O207" t="n">
        <v>0</v>
      </c>
      <c r="P207" t="n">
        <v>0</v>
      </c>
      <c r="Q207" t="n">
        <v>0</v>
      </c>
      <c r="R207" s="2" t="inlineStr"/>
    </row>
    <row r="208" ht="15" customHeight="1">
      <c r="A208" t="inlineStr">
        <is>
          <t>A 7653-2025</t>
        </is>
      </c>
      <c r="B208" s="1" t="n">
        <v>45705.95238425926</v>
      </c>
      <c r="C208" s="1" t="n">
        <v>45976</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6039-2023</t>
        </is>
      </c>
      <c r="B209" s="1" t="n">
        <v>44959</v>
      </c>
      <c r="C209" s="1" t="n">
        <v>45976</v>
      </c>
      <c r="D209" t="inlineStr">
        <is>
          <t>DALARNAS LÄN</t>
        </is>
      </c>
      <c r="E209" t="inlineStr">
        <is>
          <t>LEKSAND</t>
        </is>
      </c>
      <c r="G209" t="n">
        <v>1.3</v>
      </c>
      <c r="H209" t="n">
        <v>0</v>
      </c>
      <c r="I209" t="n">
        <v>0</v>
      </c>
      <c r="J209" t="n">
        <v>0</v>
      </c>
      <c r="K209" t="n">
        <v>0</v>
      </c>
      <c r="L209" t="n">
        <v>0</v>
      </c>
      <c r="M209" t="n">
        <v>0</v>
      </c>
      <c r="N209" t="n">
        <v>0</v>
      </c>
      <c r="O209" t="n">
        <v>0</v>
      </c>
      <c r="P209" t="n">
        <v>0</v>
      </c>
      <c r="Q209" t="n">
        <v>0</v>
      </c>
      <c r="R209" s="2" t="inlineStr"/>
    </row>
    <row r="210" ht="15" customHeight="1">
      <c r="A210" t="inlineStr">
        <is>
          <t>A 38090-2025</t>
        </is>
      </c>
      <c r="B210" s="1" t="n">
        <v>45882.48440972222</v>
      </c>
      <c r="C210" s="1" t="n">
        <v>45976</v>
      </c>
      <c r="D210" t="inlineStr">
        <is>
          <t>DALARNAS LÄN</t>
        </is>
      </c>
      <c r="E210" t="inlineStr">
        <is>
          <t>LEKSAND</t>
        </is>
      </c>
      <c r="G210" t="n">
        <v>1.6</v>
      </c>
      <c r="H210" t="n">
        <v>0</v>
      </c>
      <c r="I210" t="n">
        <v>0</v>
      </c>
      <c r="J210" t="n">
        <v>0</v>
      </c>
      <c r="K210" t="n">
        <v>0</v>
      </c>
      <c r="L210" t="n">
        <v>0</v>
      </c>
      <c r="M210" t="n">
        <v>0</v>
      </c>
      <c r="N210" t="n">
        <v>0</v>
      </c>
      <c r="O210" t="n">
        <v>0</v>
      </c>
      <c r="P210" t="n">
        <v>0</v>
      </c>
      <c r="Q210" t="n">
        <v>0</v>
      </c>
      <c r="R210" s="2" t="inlineStr"/>
    </row>
    <row r="211" ht="15" customHeight="1">
      <c r="A211" t="inlineStr">
        <is>
          <t>A 6758-2024</t>
        </is>
      </c>
      <c r="B211" s="1" t="n">
        <v>45342.46857638889</v>
      </c>
      <c r="C211" s="1" t="n">
        <v>45976</v>
      </c>
      <c r="D211" t="inlineStr">
        <is>
          <t>DALARNAS LÄN</t>
        </is>
      </c>
      <c r="E211" t="inlineStr">
        <is>
          <t>LEKSAND</t>
        </is>
      </c>
      <c r="F211" t="inlineStr">
        <is>
          <t>Bergvik skog väst AB</t>
        </is>
      </c>
      <c r="G211" t="n">
        <v>6.2</v>
      </c>
      <c r="H211" t="n">
        <v>0</v>
      </c>
      <c r="I211" t="n">
        <v>0</v>
      </c>
      <c r="J211" t="n">
        <v>0</v>
      </c>
      <c r="K211" t="n">
        <v>0</v>
      </c>
      <c r="L211" t="n">
        <v>0</v>
      </c>
      <c r="M211" t="n">
        <v>0</v>
      </c>
      <c r="N211" t="n">
        <v>0</v>
      </c>
      <c r="O211" t="n">
        <v>0</v>
      </c>
      <c r="P211" t="n">
        <v>0</v>
      </c>
      <c r="Q211" t="n">
        <v>0</v>
      </c>
      <c r="R211" s="2" t="inlineStr"/>
    </row>
    <row r="212" ht="15" customHeight="1">
      <c r="A212" t="inlineStr">
        <is>
          <t>A 18837-2023</t>
        </is>
      </c>
      <c r="B212" s="1" t="n">
        <v>45044.42940972222</v>
      </c>
      <c r="C212" s="1" t="n">
        <v>45976</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40007-2024</t>
        </is>
      </c>
      <c r="B213" s="1" t="n">
        <v>45553.6516550926</v>
      </c>
      <c r="C213" s="1" t="n">
        <v>45976</v>
      </c>
      <c r="D213" t="inlineStr">
        <is>
          <t>DALARNAS LÄN</t>
        </is>
      </c>
      <c r="E213" t="inlineStr">
        <is>
          <t>LEKSAND</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61288-2022</t>
        </is>
      </c>
      <c r="B214" s="1" t="n">
        <v>44915</v>
      </c>
      <c r="C214" s="1" t="n">
        <v>45976</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4257-2022</t>
        </is>
      </c>
      <c r="B215" s="1" t="n">
        <v>44588</v>
      </c>
      <c r="C215" s="1" t="n">
        <v>45976</v>
      </c>
      <c r="D215" t="inlineStr">
        <is>
          <t>DALARNAS LÄN</t>
        </is>
      </c>
      <c r="E215" t="inlineStr">
        <is>
          <t>LEKSAND</t>
        </is>
      </c>
      <c r="G215" t="n">
        <v>6.8</v>
      </c>
      <c r="H215" t="n">
        <v>0</v>
      </c>
      <c r="I215" t="n">
        <v>0</v>
      </c>
      <c r="J215" t="n">
        <v>0</v>
      </c>
      <c r="K215" t="n">
        <v>0</v>
      </c>
      <c r="L215" t="n">
        <v>0</v>
      </c>
      <c r="M215" t="n">
        <v>0</v>
      </c>
      <c r="N215" t="n">
        <v>0</v>
      </c>
      <c r="O215" t="n">
        <v>0</v>
      </c>
      <c r="P215" t="n">
        <v>0</v>
      </c>
      <c r="Q215" t="n">
        <v>0</v>
      </c>
      <c r="R215" s="2" t="inlineStr"/>
    </row>
    <row r="216" ht="15" customHeight="1">
      <c r="A216" t="inlineStr">
        <is>
          <t>A 1215-2024</t>
        </is>
      </c>
      <c r="B216" s="1" t="n">
        <v>45302</v>
      </c>
      <c r="C216" s="1" t="n">
        <v>45976</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33198-2022</t>
        </is>
      </c>
      <c r="B217" s="1" t="n">
        <v>44785.68597222222</v>
      </c>
      <c r="C217" s="1" t="n">
        <v>45976</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61502-2023</t>
        </is>
      </c>
      <c r="B218" s="1" t="n">
        <v>45264</v>
      </c>
      <c r="C218" s="1" t="n">
        <v>45976</v>
      </c>
      <c r="D218" t="inlineStr">
        <is>
          <t>DALARNAS LÄN</t>
        </is>
      </c>
      <c r="E218" t="inlineStr">
        <is>
          <t>LEKSAND</t>
        </is>
      </c>
      <c r="G218" t="n">
        <v>5.2</v>
      </c>
      <c r="H218" t="n">
        <v>0</v>
      </c>
      <c r="I218" t="n">
        <v>0</v>
      </c>
      <c r="J218" t="n">
        <v>0</v>
      </c>
      <c r="K218" t="n">
        <v>0</v>
      </c>
      <c r="L218" t="n">
        <v>0</v>
      </c>
      <c r="M218" t="n">
        <v>0</v>
      </c>
      <c r="N218" t="n">
        <v>0</v>
      </c>
      <c r="O218" t="n">
        <v>0</v>
      </c>
      <c r="P218" t="n">
        <v>0</v>
      </c>
      <c r="Q218" t="n">
        <v>0</v>
      </c>
      <c r="R218" s="2" t="inlineStr"/>
    </row>
    <row r="219" ht="15" customHeight="1">
      <c r="A219" t="inlineStr">
        <is>
          <t>A 9938-2023</t>
        </is>
      </c>
      <c r="B219" s="1" t="n">
        <v>44985</v>
      </c>
      <c r="C219" s="1" t="n">
        <v>45976</v>
      </c>
      <c r="D219" t="inlineStr">
        <is>
          <t>DALARNAS LÄN</t>
        </is>
      </c>
      <c r="E219" t="inlineStr">
        <is>
          <t>LEKSAND</t>
        </is>
      </c>
      <c r="G219" t="n">
        <v>3.1</v>
      </c>
      <c r="H219" t="n">
        <v>0</v>
      </c>
      <c r="I219" t="n">
        <v>0</v>
      </c>
      <c r="J219" t="n">
        <v>0</v>
      </c>
      <c r="K219" t="n">
        <v>0</v>
      </c>
      <c r="L219" t="n">
        <v>0</v>
      </c>
      <c r="M219" t="n">
        <v>0</v>
      </c>
      <c r="N219" t="n">
        <v>0</v>
      </c>
      <c r="O219" t="n">
        <v>0</v>
      </c>
      <c r="P219" t="n">
        <v>0</v>
      </c>
      <c r="Q219" t="n">
        <v>0</v>
      </c>
      <c r="R219" s="2" t="inlineStr"/>
    </row>
    <row r="220" ht="15" customHeight="1">
      <c r="A220" t="inlineStr">
        <is>
          <t>A 60040-2023</t>
        </is>
      </c>
      <c r="B220" s="1" t="n">
        <v>45256</v>
      </c>
      <c r="C220" s="1" t="n">
        <v>45976</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52059-2024</t>
        </is>
      </c>
      <c r="B221" s="1" t="n">
        <v>45608.35609953704</v>
      </c>
      <c r="C221" s="1" t="n">
        <v>45976</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21839-2022</t>
        </is>
      </c>
      <c r="B222" s="1" t="n">
        <v>44711</v>
      </c>
      <c r="C222" s="1" t="n">
        <v>45976</v>
      </c>
      <c r="D222" t="inlineStr">
        <is>
          <t>DALARNAS LÄN</t>
        </is>
      </c>
      <c r="E222" t="inlineStr">
        <is>
          <t>LEKSAND</t>
        </is>
      </c>
      <c r="F222" t="inlineStr">
        <is>
          <t>Bergvik skog väst AB</t>
        </is>
      </c>
      <c r="G222" t="n">
        <v>3</v>
      </c>
      <c r="H222" t="n">
        <v>0</v>
      </c>
      <c r="I222" t="n">
        <v>0</v>
      </c>
      <c r="J222" t="n">
        <v>0</v>
      </c>
      <c r="K222" t="n">
        <v>0</v>
      </c>
      <c r="L222" t="n">
        <v>0</v>
      </c>
      <c r="M222" t="n">
        <v>0</v>
      </c>
      <c r="N222" t="n">
        <v>0</v>
      </c>
      <c r="O222" t="n">
        <v>0</v>
      </c>
      <c r="P222" t="n">
        <v>0</v>
      </c>
      <c r="Q222" t="n">
        <v>0</v>
      </c>
      <c r="R222" s="2" t="inlineStr"/>
    </row>
    <row r="223" ht="15" customHeight="1">
      <c r="A223" t="inlineStr">
        <is>
          <t>A 28921-2023</t>
        </is>
      </c>
      <c r="B223" s="1" t="n">
        <v>45104</v>
      </c>
      <c r="C223" s="1" t="n">
        <v>45976</v>
      </c>
      <c r="D223" t="inlineStr">
        <is>
          <t>DALARNAS LÄN</t>
        </is>
      </c>
      <c r="E223" t="inlineStr">
        <is>
          <t>LEKSAND</t>
        </is>
      </c>
      <c r="G223" t="n">
        <v>4.4</v>
      </c>
      <c r="H223" t="n">
        <v>0</v>
      </c>
      <c r="I223" t="n">
        <v>0</v>
      </c>
      <c r="J223" t="n">
        <v>0</v>
      </c>
      <c r="K223" t="n">
        <v>0</v>
      </c>
      <c r="L223" t="n">
        <v>0</v>
      </c>
      <c r="M223" t="n">
        <v>0</v>
      </c>
      <c r="N223" t="n">
        <v>0</v>
      </c>
      <c r="O223" t="n">
        <v>0</v>
      </c>
      <c r="P223" t="n">
        <v>0</v>
      </c>
      <c r="Q223" t="n">
        <v>0</v>
      </c>
      <c r="R223" s="2" t="inlineStr"/>
    </row>
    <row r="224" ht="15" customHeight="1">
      <c r="A224" t="inlineStr">
        <is>
          <t>A 31726-2024</t>
        </is>
      </c>
      <c r="B224" s="1" t="n">
        <v>45509.33908564815</v>
      </c>
      <c r="C224" s="1" t="n">
        <v>45976</v>
      </c>
      <c r="D224" t="inlineStr">
        <is>
          <t>DALARNAS LÄN</t>
        </is>
      </c>
      <c r="E224" t="inlineStr">
        <is>
          <t>LEKSAND</t>
        </is>
      </c>
      <c r="G224" t="n">
        <v>1.1</v>
      </c>
      <c r="H224" t="n">
        <v>0</v>
      </c>
      <c r="I224" t="n">
        <v>0</v>
      </c>
      <c r="J224" t="n">
        <v>0</v>
      </c>
      <c r="K224" t="n">
        <v>0</v>
      </c>
      <c r="L224" t="n">
        <v>0</v>
      </c>
      <c r="M224" t="n">
        <v>0</v>
      </c>
      <c r="N224" t="n">
        <v>0</v>
      </c>
      <c r="O224" t="n">
        <v>0</v>
      </c>
      <c r="P224" t="n">
        <v>0</v>
      </c>
      <c r="Q224" t="n">
        <v>0</v>
      </c>
      <c r="R224" s="2" t="inlineStr"/>
    </row>
    <row r="225" ht="15" customHeight="1">
      <c r="A225" t="inlineStr">
        <is>
          <t>A 30998-2023</t>
        </is>
      </c>
      <c r="B225" s="1" t="n">
        <v>45113.54193287037</v>
      </c>
      <c r="C225" s="1" t="n">
        <v>45976</v>
      </c>
      <c r="D225" t="inlineStr">
        <is>
          <t>DALARNAS LÄN</t>
        </is>
      </c>
      <c r="E225" t="inlineStr">
        <is>
          <t>LEKSAND</t>
        </is>
      </c>
      <c r="G225" t="n">
        <v>0.5</v>
      </c>
      <c r="H225" t="n">
        <v>0</v>
      </c>
      <c r="I225" t="n">
        <v>0</v>
      </c>
      <c r="J225" t="n">
        <v>0</v>
      </c>
      <c r="K225" t="n">
        <v>0</v>
      </c>
      <c r="L225" t="n">
        <v>0</v>
      </c>
      <c r="M225" t="n">
        <v>0</v>
      </c>
      <c r="N225" t="n">
        <v>0</v>
      </c>
      <c r="O225" t="n">
        <v>0</v>
      </c>
      <c r="P225" t="n">
        <v>0</v>
      </c>
      <c r="Q225" t="n">
        <v>0</v>
      </c>
      <c r="R225" s="2" t="inlineStr"/>
    </row>
    <row r="226" ht="15" customHeight="1">
      <c r="A226" t="inlineStr">
        <is>
          <t>A 26957-2023</t>
        </is>
      </c>
      <c r="B226" s="1" t="n">
        <v>45093</v>
      </c>
      <c r="C226" s="1" t="n">
        <v>45976</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39595-2023</t>
        </is>
      </c>
      <c r="B227" s="1" t="n">
        <v>45167</v>
      </c>
      <c r="C227" s="1" t="n">
        <v>45976</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38498-2025</t>
        </is>
      </c>
      <c r="B228" s="1" t="n">
        <v>45884.3706712963</v>
      </c>
      <c r="C228" s="1" t="n">
        <v>45976</v>
      </c>
      <c r="D228" t="inlineStr">
        <is>
          <t>DALARNAS LÄN</t>
        </is>
      </c>
      <c r="E228" t="inlineStr">
        <is>
          <t>LEKSAND</t>
        </is>
      </c>
      <c r="G228" t="n">
        <v>2.1</v>
      </c>
      <c r="H228" t="n">
        <v>0</v>
      </c>
      <c r="I228" t="n">
        <v>0</v>
      </c>
      <c r="J228" t="n">
        <v>0</v>
      </c>
      <c r="K228" t="n">
        <v>0</v>
      </c>
      <c r="L228" t="n">
        <v>0</v>
      </c>
      <c r="M228" t="n">
        <v>0</v>
      </c>
      <c r="N228" t="n">
        <v>0</v>
      </c>
      <c r="O228" t="n">
        <v>0</v>
      </c>
      <c r="P228" t="n">
        <v>0</v>
      </c>
      <c r="Q228" t="n">
        <v>0</v>
      </c>
      <c r="R228" s="2" t="inlineStr"/>
    </row>
    <row r="229" ht="15" customHeight="1">
      <c r="A229" t="inlineStr">
        <is>
          <t>A 40642-2023</t>
        </is>
      </c>
      <c r="B229" s="1" t="n">
        <v>45169</v>
      </c>
      <c r="C229" s="1" t="n">
        <v>45976</v>
      </c>
      <c r="D229" t="inlineStr">
        <is>
          <t>DALARNAS LÄN</t>
        </is>
      </c>
      <c r="E229" t="inlineStr">
        <is>
          <t>LEKSAND</t>
        </is>
      </c>
      <c r="G229" t="n">
        <v>1.9</v>
      </c>
      <c r="H229" t="n">
        <v>0</v>
      </c>
      <c r="I229" t="n">
        <v>0</v>
      </c>
      <c r="J229" t="n">
        <v>0</v>
      </c>
      <c r="K229" t="n">
        <v>0</v>
      </c>
      <c r="L229" t="n">
        <v>0</v>
      </c>
      <c r="M229" t="n">
        <v>0</v>
      </c>
      <c r="N229" t="n">
        <v>0</v>
      </c>
      <c r="O229" t="n">
        <v>0</v>
      </c>
      <c r="P229" t="n">
        <v>0</v>
      </c>
      <c r="Q229" t="n">
        <v>0</v>
      </c>
      <c r="R229" s="2" t="inlineStr"/>
    </row>
    <row r="230" ht="15" customHeight="1">
      <c r="A230" t="inlineStr">
        <is>
          <t>A 31254-2023</t>
        </is>
      </c>
      <c r="B230" s="1" t="n">
        <v>45114</v>
      </c>
      <c r="C230" s="1" t="n">
        <v>45976</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55268-2024</t>
        </is>
      </c>
      <c r="B231" s="1" t="n">
        <v>45621.61266203703</v>
      </c>
      <c r="C231" s="1" t="n">
        <v>45976</v>
      </c>
      <c r="D231" t="inlineStr">
        <is>
          <t>DALARNAS LÄN</t>
        </is>
      </c>
      <c r="E231" t="inlineStr">
        <is>
          <t>LEKSAND</t>
        </is>
      </c>
      <c r="G231" t="n">
        <v>4.2</v>
      </c>
      <c r="H231" t="n">
        <v>0</v>
      </c>
      <c r="I231" t="n">
        <v>0</v>
      </c>
      <c r="J231" t="n">
        <v>0</v>
      </c>
      <c r="K231" t="n">
        <v>0</v>
      </c>
      <c r="L231" t="n">
        <v>0</v>
      </c>
      <c r="M231" t="n">
        <v>0</v>
      </c>
      <c r="N231" t="n">
        <v>0</v>
      </c>
      <c r="O231" t="n">
        <v>0</v>
      </c>
      <c r="P231" t="n">
        <v>0</v>
      </c>
      <c r="Q231" t="n">
        <v>0</v>
      </c>
      <c r="R231" s="2" t="inlineStr"/>
    </row>
    <row r="232" ht="15" customHeight="1">
      <c r="A232" t="inlineStr">
        <is>
          <t>A 8743-2023</t>
        </is>
      </c>
      <c r="B232" s="1" t="n">
        <v>44978</v>
      </c>
      <c r="C232" s="1" t="n">
        <v>45976</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15020-2023</t>
        </is>
      </c>
      <c r="B233" s="1" t="n">
        <v>45015.6196412037</v>
      </c>
      <c r="C233" s="1" t="n">
        <v>45976</v>
      </c>
      <c r="D233" t="inlineStr">
        <is>
          <t>DALARNAS LÄN</t>
        </is>
      </c>
      <c r="E233" t="inlineStr">
        <is>
          <t>LEKSAND</t>
        </is>
      </c>
      <c r="G233" t="n">
        <v>2.6</v>
      </c>
      <c r="H233" t="n">
        <v>0</v>
      </c>
      <c r="I233" t="n">
        <v>0</v>
      </c>
      <c r="J233" t="n">
        <v>0</v>
      </c>
      <c r="K233" t="n">
        <v>0</v>
      </c>
      <c r="L233" t="n">
        <v>0</v>
      </c>
      <c r="M233" t="n">
        <v>0</v>
      </c>
      <c r="N233" t="n">
        <v>0</v>
      </c>
      <c r="O233" t="n">
        <v>0</v>
      </c>
      <c r="P233" t="n">
        <v>0</v>
      </c>
      <c r="Q233" t="n">
        <v>0</v>
      </c>
      <c r="R233" s="2" t="inlineStr"/>
    </row>
    <row r="234" ht="15" customHeight="1">
      <c r="A234" t="inlineStr">
        <is>
          <t>A 23283-2024</t>
        </is>
      </c>
      <c r="B234" s="1" t="n">
        <v>45453</v>
      </c>
      <c r="C234" s="1" t="n">
        <v>45976</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57933-2024</t>
        </is>
      </c>
      <c r="B235" s="1" t="n">
        <v>45630</v>
      </c>
      <c r="C235" s="1" t="n">
        <v>45976</v>
      </c>
      <c r="D235" t="inlineStr">
        <is>
          <t>DALARNAS LÄN</t>
        </is>
      </c>
      <c r="E235" t="inlineStr">
        <is>
          <t>LEKSAND</t>
        </is>
      </c>
      <c r="G235" t="n">
        <v>1.1</v>
      </c>
      <c r="H235" t="n">
        <v>0</v>
      </c>
      <c r="I235" t="n">
        <v>0</v>
      </c>
      <c r="J235" t="n">
        <v>0</v>
      </c>
      <c r="K235" t="n">
        <v>0</v>
      </c>
      <c r="L235" t="n">
        <v>0</v>
      </c>
      <c r="M235" t="n">
        <v>0</v>
      </c>
      <c r="N235" t="n">
        <v>0</v>
      </c>
      <c r="O235" t="n">
        <v>0</v>
      </c>
      <c r="P235" t="n">
        <v>0</v>
      </c>
      <c r="Q235" t="n">
        <v>0</v>
      </c>
      <c r="R235" s="2" t="inlineStr"/>
    </row>
    <row r="236" ht="15" customHeight="1">
      <c r="A236" t="inlineStr">
        <is>
          <t>A 39807-2024</t>
        </is>
      </c>
      <c r="B236" s="1" t="n">
        <v>45553.35763888889</v>
      </c>
      <c r="C236" s="1" t="n">
        <v>45976</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60095-2022</t>
        </is>
      </c>
      <c r="B237" s="1" t="n">
        <v>44909</v>
      </c>
      <c r="C237" s="1" t="n">
        <v>45976</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30595-2023</t>
        </is>
      </c>
      <c r="B238" s="1" t="n">
        <v>45112</v>
      </c>
      <c r="C238" s="1" t="n">
        <v>45976</v>
      </c>
      <c r="D238" t="inlineStr">
        <is>
          <t>DALARNAS LÄN</t>
        </is>
      </c>
      <c r="E238" t="inlineStr">
        <is>
          <t>LEKSAND</t>
        </is>
      </c>
      <c r="G238" t="n">
        <v>1.1</v>
      </c>
      <c r="H238" t="n">
        <v>0</v>
      </c>
      <c r="I238" t="n">
        <v>0</v>
      </c>
      <c r="J238" t="n">
        <v>0</v>
      </c>
      <c r="K238" t="n">
        <v>0</v>
      </c>
      <c r="L238" t="n">
        <v>0</v>
      </c>
      <c r="M238" t="n">
        <v>0</v>
      </c>
      <c r="N238" t="n">
        <v>0</v>
      </c>
      <c r="O238" t="n">
        <v>0</v>
      </c>
      <c r="P238" t="n">
        <v>0</v>
      </c>
      <c r="Q238" t="n">
        <v>0</v>
      </c>
      <c r="R238" s="2" t="inlineStr"/>
    </row>
    <row r="239" ht="15" customHeight="1">
      <c r="A239" t="inlineStr">
        <is>
          <t>A 1463-2024</t>
        </is>
      </c>
      <c r="B239" s="1" t="n">
        <v>45303</v>
      </c>
      <c r="C239" s="1" t="n">
        <v>45976</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16611-2024</t>
        </is>
      </c>
      <c r="B240" s="1" t="n">
        <v>45408.55504629629</v>
      </c>
      <c r="C240" s="1" t="n">
        <v>45976</v>
      </c>
      <c r="D240" t="inlineStr">
        <is>
          <t>DALARNAS LÄN</t>
        </is>
      </c>
      <c r="E240" t="inlineStr">
        <is>
          <t>LEKSAND</t>
        </is>
      </c>
      <c r="G240" t="n">
        <v>5.9</v>
      </c>
      <c r="H240" t="n">
        <v>0</v>
      </c>
      <c r="I240" t="n">
        <v>0</v>
      </c>
      <c r="J240" t="n">
        <v>0</v>
      </c>
      <c r="K240" t="n">
        <v>0</v>
      </c>
      <c r="L240" t="n">
        <v>0</v>
      </c>
      <c r="M240" t="n">
        <v>0</v>
      </c>
      <c r="N240" t="n">
        <v>0</v>
      </c>
      <c r="O240" t="n">
        <v>0</v>
      </c>
      <c r="P240" t="n">
        <v>0</v>
      </c>
      <c r="Q240" t="n">
        <v>0</v>
      </c>
      <c r="R240" s="2" t="inlineStr"/>
    </row>
    <row r="241" ht="15" customHeight="1">
      <c r="A241" t="inlineStr">
        <is>
          <t>A 45768-2023</t>
        </is>
      </c>
      <c r="B241" s="1" t="n">
        <v>45195</v>
      </c>
      <c r="C241" s="1" t="n">
        <v>45976</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6519-2025</t>
        </is>
      </c>
      <c r="B242" s="1" t="n">
        <v>45699</v>
      </c>
      <c r="C242" s="1" t="n">
        <v>45976</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7897-2025</t>
        </is>
      </c>
      <c r="B243" s="1" t="n">
        <v>45707.30969907407</v>
      </c>
      <c r="C243" s="1" t="n">
        <v>45976</v>
      </c>
      <c r="D243" t="inlineStr">
        <is>
          <t>DALARNAS LÄN</t>
        </is>
      </c>
      <c r="E243" t="inlineStr">
        <is>
          <t>LEKSAND</t>
        </is>
      </c>
      <c r="G243" t="n">
        <v>3.1</v>
      </c>
      <c r="H243" t="n">
        <v>0</v>
      </c>
      <c r="I243" t="n">
        <v>0</v>
      </c>
      <c r="J243" t="n">
        <v>0</v>
      </c>
      <c r="K243" t="n">
        <v>0</v>
      </c>
      <c r="L243" t="n">
        <v>0</v>
      </c>
      <c r="M243" t="n">
        <v>0</v>
      </c>
      <c r="N243" t="n">
        <v>0</v>
      </c>
      <c r="O243" t="n">
        <v>0</v>
      </c>
      <c r="P243" t="n">
        <v>0</v>
      </c>
      <c r="Q243" t="n">
        <v>0</v>
      </c>
      <c r="R243" s="2" t="inlineStr"/>
    </row>
    <row r="244" ht="15" customHeight="1">
      <c r="A244" t="inlineStr">
        <is>
          <t>A 38721-2025</t>
        </is>
      </c>
      <c r="B244" s="1" t="n">
        <v>45886.83605324074</v>
      </c>
      <c r="C244" s="1" t="n">
        <v>45976</v>
      </c>
      <c r="D244" t="inlineStr">
        <is>
          <t>DALARNAS LÄN</t>
        </is>
      </c>
      <c r="E244" t="inlineStr">
        <is>
          <t>LEKSAND</t>
        </is>
      </c>
      <c r="G244" t="n">
        <v>1.3</v>
      </c>
      <c r="H244" t="n">
        <v>0</v>
      </c>
      <c r="I244" t="n">
        <v>0</v>
      </c>
      <c r="J244" t="n">
        <v>0</v>
      </c>
      <c r="K244" t="n">
        <v>0</v>
      </c>
      <c r="L244" t="n">
        <v>0</v>
      </c>
      <c r="M244" t="n">
        <v>0</v>
      </c>
      <c r="N244" t="n">
        <v>0</v>
      </c>
      <c r="O244" t="n">
        <v>0</v>
      </c>
      <c r="P244" t="n">
        <v>0</v>
      </c>
      <c r="Q244" t="n">
        <v>0</v>
      </c>
      <c r="R244" s="2" t="inlineStr"/>
    </row>
    <row r="245" ht="15" customHeight="1">
      <c r="A245" t="inlineStr">
        <is>
          <t>A 25025-2023</t>
        </is>
      </c>
      <c r="B245" s="1" t="n">
        <v>45085.92146990741</v>
      </c>
      <c r="C245" s="1" t="n">
        <v>45976</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25038-2023</t>
        </is>
      </c>
      <c r="B246" s="1" t="n">
        <v>45085</v>
      </c>
      <c r="C246" s="1" t="n">
        <v>45976</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40755-2024</t>
        </is>
      </c>
      <c r="B247" s="1" t="n">
        <v>45558.45815972222</v>
      </c>
      <c r="C247" s="1" t="n">
        <v>45976</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47640-2024</t>
        </is>
      </c>
      <c r="B248" s="1" t="n">
        <v>45588.36508101852</v>
      </c>
      <c r="C248" s="1" t="n">
        <v>45976</v>
      </c>
      <c r="D248" t="inlineStr">
        <is>
          <t>DALARNAS LÄN</t>
        </is>
      </c>
      <c r="E248" t="inlineStr">
        <is>
          <t>LEKSAND</t>
        </is>
      </c>
      <c r="G248" t="n">
        <v>9.1</v>
      </c>
      <c r="H248" t="n">
        <v>0</v>
      </c>
      <c r="I248" t="n">
        <v>0</v>
      </c>
      <c r="J248" t="n">
        <v>0</v>
      </c>
      <c r="K248" t="n">
        <v>0</v>
      </c>
      <c r="L248" t="n">
        <v>0</v>
      </c>
      <c r="M248" t="n">
        <v>0</v>
      </c>
      <c r="N248" t="n">
        <v>0</v>
      </c>
      <c r="O248" t="n">
        <v>0</v>
      </c>
      <c r="P248" t="n">
        <v>0</v>
      </c>
      <c r="Q248" t="n">
        <v>0</v>
      </c>
      <c r="R248" s="2" t="inlineStr"/>
    </row>
    <row r="249" ht="15" customHeight="1">
      <c r="A249" t="inlineStr">
        <is>
          <t>A 11277-2025</t>
        </is>
      </c>
      <c r="B249" s="1" t="n">
        <v>45726.41565972222</v>
      </c>
      <c r="C249" s="1" t="n">
        <v>45976</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61680-2024</t>
        </is>
      </c>
      <c r="B250" s="1" t="n">
        <v>45647.42890046296</v>
      </c>
      <c r="C250" s="1" t="n">
        <v>45976</v>
      </c>
      <c r="D250" t="inlineStr">
        <is>
          <t>DALARNAS LÄN</t>
        </is>
      </c>
      <c r="E250" t="inlineStr">
        <is>
          <t>LEKSAND</t>
        </is>
      </c>
      <c r="G250" t="n">
        <v>3.6</v>
      </c>
      <c r="H250" t="n">
        <v>0</v>
      </c>
      <c r="I250" t="n">
        <v>0</v>
      </c>
      <c r="J250" t="n">
        <v>0</v>
      </c>
      <c r="K250" t="n">
        <v>0</v>
      </c>
      <c r="L250" t="n">
        <v>0</v>
      </c>
      <c r="M250" t="n">
        <v>0</v>
      </c>
      <c r="N250" t="n">
        <v>0</v>
      </c>
      <c r="O250" t="n">
        <v>0</v>
      </c>
      <c r="P250" t="n">
        <v>0</v>
      </c>
      <c r="Q250" t="n">
        <v>0</v>
      </c>
      <c r="R250" s="2" t="inlineStr"/>
    </row>
    <row r="251" ht="15" customHeight="1">
      <c r="A251" t="inlineStr">
        <is>
          <t>A 5570-2024</t>
        </is>
      </c>
      <c r="B251" s="1" t="n">
        <v>45334</v>
      </c>
      <c r="C251" s="1" t="n">
        <v>45976</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54917-2024</t>
        </is>
      </c>
      <c r="B252" s="1" t="n">
        <v>45618.69581018519</v>
      </c>
      <c r="C252" s="1" t="n">
        <v>45976</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62295-2023</t>
        </is>
      </c>
      <c r="B253" s="1" t="n">
        <v>45267</v>
      </c>
      <c r="C253" s="1" t="n">
        <v>45976</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11403-2023</t>
        </is>
      </c>
      <c r="B254" s="1" t="n">
        <v>44993</v>
      </c>
      <c r="C254" s="1" t="n">
        <v>45976</v>
      </c>
      <c r="D254" t="inlineStr">
        <is>
          <t>DALARNAS LÄN</t>
        </is>
      </c>
      <c r="E254" t="inlineStr">
        <is>
          <t>LEKSAND</t>
        </is>
      </c>
      <c r="G254" t="n">
        <v>0.1</v>
      </c>
      <c r="H254" t="n">
        <v>0</v>
      </c>
      <c r="I254" t="n">
        <v>0</v>
      </c>
      <c r="J254" t="n">
        <v>0</v>
      </c>
      <c r="K254" t="n">
        <v>0</v>
      </c>
      <c r="L254" t="n">
        <v>0</v>
      </c>
      <c r="M254" t="n">
        <v>0</v>
      </c>
      <c r="N254" t="n">
        <v>0</v>
      </c>
      <c r="O254" t="n">
        <v>0</v>
      </c>
      <c r="P254" t="n">
        <v>0</v>
      </c>
      <c r="Q254" t="n">
        <v>0</v>
      </c>
      <c r="R254" s="2" t="inlineStr"/>
    </row>
    <row r="255" ht="15" customHeight="1">
      <c r="A255" t="inlineStr">
        <is>
          <t>A 15173-2025</t>
        </is>
      </c>
      <c r="B255" s="1" t="n">
        <v>45744.50858796296</v>
      </c>
      <c r="C255" s="1" t="n">
        <v>45976</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61054-2023</t>
        </is>
      </c>
      <c r="B256" s="1" t="n">
        <v>45261</v>
      </c>
      <c r="C256" s="1" t="n">
        <v>45976</v>
      </c>
      <c r="D256" t="inlineStr">
        <is>
          <t>DALARNAS LÄN</t>
        </is>
      </c>
      <c r="E256" t="inlineStr">
        <is>
          <t>LEKSAND</t>
        </is>
      </c>
      <c r="G256" t="n">
        <v>0.4</v>
      </c>
      <c r="H256" t="n">
        <v>0</v>
      </c>
      <c r="I256" t="n">
        <v>0</v>
      </c>
      <c r="J256" t="n">
        <v>0</v>
      </c>
      <c r="K256" t="n">
        <v>0</v>
      </c>
      <c r="L256" t="n">
        <v>0</v>
      </c>
      <c r="M256" t="n">
        <v>0</v>
      </c>
      <c r="N256" t="n">
        <v>0</v>
      </c>
      <c r="O256" t="n">
        <v>0</v>
      </c>
      <c r="P256" t="n">
        <v>0</v>
      </c>
      <c r="Q256" t="n">
        <v>0</v>
      </c>
      <c r="R256" s="2" t="inlineStr"/>
    </row>
    <row r="257" ht="15" customHeight="1">
      <c r="A257" t="inlineStr">
        <is>
          <t>A 61056-2023</t>
        </is>
      </c>
      <c r="B257" s="1" t="n">
        <v>45261</v>
      </c>
      <c r="C257" s="1" t="n">
        <v>45976</v>
      </c>
      <c r="D257" t="inlineStr">
        <is>
          <t>DALARNAS LÄN</t>
        </is>
      </c>
      <c r="E257" t="inlineStr">
        <is>
          <t>LEKSAND</t>
        </is>
      </c>
      <c r="G257" t="n">
        <v>0.3</v>
      </c>
      <c r="H257" t="n">
        <v>0</v>
      </c>
      <c r="I257" t="n">
        <v>0</v>
      </c>
      <c r="J257" t="n">
        <v>0</v>
      </c>
      <c r="K257" t="n">
        <v>0</v>
      </c>
      <c r="L257" t="n">
        <v>0</v>
      </c>
      <c r="M257" t="n">
        <v>0</v>
      </c>
      <c r="N257" t="n">
        <v>0</v>
      </c>
      <c r="O257" t="n">
        <v>0</v>
      </c>
      <c r="P257" t="n">
        <v>0</v>
      </c>
      <c r="Q257" t="n">
        <v>0</v>
      </c>
      <c r="R257" s="2" t="inlineStr"/>
    </row>
    <row r="258" ht="15" customHeight="1">
      <c r="A258" t="inlineStr">
        <is>
          <t>A 17759-2023</t>
        </is>
      </c>
      <c r="B258" s="1" t="n">
        <v>45037.48765046296</v>
      </c>
      <c r="C258" s="1" t="n">
        <v>45976</v>
      </c>
      <c r="D258" t="inlineStr">
        <is>
          <t>DALARNAS LÄN</t>
        </is>
      </c>
      <c r="E258" t="inlineStr">
        <is>
          <t>LEKSAND</t>
        </is>
      </c>
      <c r="G258" t="n">
        <v>2.1</v>
      </c>
      <c r="H258" t="n">
        <v>0</v>
      </c>
      <c r="I258" t="n">
        <v>0</v>
      </c>
      <c r="J258" t="n">
        <v>0</v>
      </c>
      <c r="K258" t="n">
        <v>0</v>
      </c>
      <c r="L258" t="n">
        <v>0</v>
      </c>
      <c r="M258" t="n">
        <v>0</v>
      </c>
      <c r="N258" t="n">
        <v>0</v>
      </c>
      <c r="O258" t="n">
        <v>0</v>
      </c>
      <c r="P258" t="n">
        <v>0</v>
      </c>
      <c r="Q258" t="n">
        <v>0</v>
      </c>
      <c r="R258" s="2" t="inlineStr"/>
    </row>
    <row r="259" ht="15" customHeight="1">
      <c r="A259" t="inlineStr">
        <is>
          <t>A 6846-2023</t>
        </is>
      </c>
      <c r="B259" s="1" t="n">
        <v>44967.43953703704</v>
      </c>
      <c r="C259" s="1" t="n">
        <v>45976</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60129-2023</t>
        </is>
      </c>
      <c r="B260" s="1" t="n">
        <v>45258.49056712963</v>
      </c>
      <c r="C260" s="1" t="n">
        <v>45976</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3737-2023</t>
        </is>
      </c>
      <c r="B261" s="1" t="n">
        <v>44951.42983796296</v>
      </c>
      <c r="C261" s="1" t="n">
        <v>45976</v>
      </c>
      <c r="D261" t="inlineStr">
        <is>
          <t>DALARNAS LÄN</t>
        </is>
      </c>
      <c r="E261" t="inlineStr">
        <is>
          <t>LEKSAND</t>
        </is>
      </c>
      <c r="G261" t="n">
        <v>3.1</v>
      </c>
      <c r="H261" t="n">
        <v>0</v>
      </c>
      <c r="I261" t="n">
        <v>0</v>
      </c>
      <c r="J261" t="n">
        <v>0</v>
      </c>
      <c r="K261" t="n">
        <v>0</v>
      </c>
      <c r="L261" t="n">
        <v>0</v>
      </c>
      <c r="M261" t="n">
        <v>0</v>
      </c>
      <c r="N261" t="n">
        <v>0</v>
      </c>
      <c r="O261" t="n">
        <v>0</v>
      </c>
      <c r="P261" t="n">
        <v>0</v>
      </c>
      <c r="Q261" t="n">
        <v>0</v>
      </c>
      <c r="R261" s="2" t="inlineStr"/>
    </row>
    <row r="262" ht="15" customHeight="1">
      <c r="A262" t="inlineStr">
        <is>
          <t>A 43237-2024</t>
        </is>
      </c>
      <c r="B262" s="1" t="n">
        <v>45567</v>
      </c>
      <c r="C262" s="1" t="n">
        <v>45976</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17413-2023</t>
        </is>
      </c>
      <c r="B263" s="1" t="n">
        <v>45035</v>
      </c>
      <c r="C263" s="1" t="n">
        <v>45976</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1775-2022</t>
        </is>
      </c>
      <c r="B264" s="1" t="n">
        <v>44574</v>
      </c>
      <c r="C264" s="1" t="n">
        <v>45976</v>
      </c>
      <c r="D264" t="inlineStr">
        <is>
          <t>DALARNAS LÄN</t>
        </is>
      </c>
      <c r="E264" t="inlineStr">
        <is>
          <t>LEKSAND</t>
        </is>
      </c>
      <c r="G264" t="n">
        <v>2</v>
      </c>
      <c r="H264" t="n">
        <v>0</v>
      </c>
      <c r="I264" t="n">
        <v>0</v>
      </c>
      <c r="J264" t="n">
        <v>0</v>
      </c>
      <c r="K264" t="n">
        <v>0</v>
      </c>
      <c r="L264" t="n">
        <v>0</v>
      </c>
      <c r="M264" t="n">
        <v>0</v>
      </c>
      <c r="N264" t="n">
        <v>0</v>
      </c>
      <c r="O264" t="n">
        <v>0</v>
      </c>
      <c r="P264" t="n">
        <v>0</v>
      </c>
      <c r="Q264" t="n">
        <v>0</v>
      </c>
      <c r="R264" s="2" t="inlineStr"/>
    </row>
    <row r="265" ht="15" customHeight="1">
      <c r="A265" t="inlineStr">
        <is>
          <t>A 23068-2024</t>
        </is>
      </c>
      <c r="B265" s="1" t="n">
        <v>45450.45521990741</v>
      </c>
      <c r="C265" s="1" t="n">
        <v>45976</v>
      </c>
      <c r="D265" t="inlineStr">
        <is>
          <t>DALARNAS LÄN</t>
        </is>
      </c>
      <c r="E265" t="inlineStr">
        <is>
          <t>LEKSAND</t>
        </is>
      </c>
      <c r="G265" t="n">
        <v>2.4</v>
      </c>
      <c r="H265" t="n">
        <v>0</v>
      </c>
      <c r="I265" t="n">
        <v>0</v>
      </c>
      <c r="J265" t="n">
        <v>0</v>
      </c>
      <c r="K265" t="n">
        <v>0</v>
      </c>
      <c r="L265" t="n">
        <v>0</v>
      </c>
      <c r="M265" t="n">
        <v>0</v>
      </c>
      <c r="N265" t="n">
        <v>0</v>
      </c>
      <c r="O265" t="n">
        <v>0</v>
      </c>
      <c r="P265" t="n">
        <v>0</v>
      </c>
      <c r="Q265" t="n">
        <v>0</v>
      </c>
      <c r="R265" s="2" t="inlineStr"/>
    </row>
    <row r="266" ht="15" customHeight="1">
      <c r="A266" t="inlineStr">
        <is>
          <t>A 56753-2023</t>
        </is>
      </c>
      <c r="B266" s="1" t="n">
        <v>45244.37094907407</v>
      </c>
      <c r="C266" s="1" t="n">
        <v>45976</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7894-2025</t>
        </is>
      </c>
      <c r="B267" s="1" t="n">
        <v>45707.30268518518</v>
      </c>
      <c r="C267" s="1" t="n">
        <v>45976</v>
      </c>
      <c r="D267" t="inlineStr">
        <is>
          <t>DALARNAS LÄN</t>
        </is>
      </c>
      <c r="E267" t="inlineStr">
        <is>
          <t>LEKSAND</t>
        </is>
      </c>
      <c r="G267" t="n">
        <v>1.6</v>
      </c>
      <c r="H267" t="n">
        <v>0</v>
      </c>
      <c r="I267" t="n">
        <v>0</v>
      </c>
      <c r="J267" t="n">
        <v>0</v>
      </c>
      <c r="K267" t="n">
        <v>0</v>
      </c>
      <c r="L267" t="n">
        <v>0</v>
      </c>
      <c r="M267" t="n">
        <v>0</v>
      </c>
      <c r="N267" t="n">
        <v>0</v>
      </c>
      <c r="O267" t="n">
        <v>0</v>
      </c>
      <c r="P267" t="n">
        <v>0</v>
      </c>
      <c r="Q267" t="n">
        <v>0</v>
      </c>
      <c r="R267" s="2" t="inlineStr"/>
    </row>
    <row r="268" ht="15" customHeight="1">
      <c r="A268" t="inlineStr">
        <is>
          <t>A 43077-2024</t>
        </is>
      </c>
      <c r="B268" s="1" t="n">
        <v>45567.50030092592</v>
      </c>
      <c r="C268" s="1" t="n">
        <v>45976</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57899-2024</t>
        </is>
      </c>
      <c r="B269" s="1" t="n">
        <v>45630</v>
      </c>
      <c r="C269" s="1" t="n">
        <v>45976</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60873-2023</t>
        </is>
      </c>
      <c r="B270" s="1" t="n">
        <v>45261.03266203704</v>
      </c>
      <c r="C270" s="1" t="n">
        <v>45976</v>
      </c>
      <c r="D270" t="inlineStr">
        <is>
          <t>DALARNAS LÄN</t>
        </is>
      </c>
      <c r="E270" t="inlineStr">
        <is>
          <t>LEKSAND</t>
        </is>
      </c>
      <c r="G270" t="n">
        <v>5.2</v>
      </c>
      <c r="H270" t="n">
        <v>0</v>
      </c>
      <c r="I270" t="n">
        <v>0</v>
      </c>
      <c r="J270" t="n">
        <v>0</v>
      </c>
      <c r="K270" t="n">
        <v>0</v>
      </c>
      <c r="L270" t="n">
        <v>0</v>
      </c>
      <c r="M270" t="n">
        <v>0</v>
      </c>
      <c r="N270" t="n">
        <v>0</v>
      </c>
      <c r="O270" t="n">
        <v>0</v>
      </c>
      <c r="P270" t="n">
        <v>0</v>
      </c>
      <c r="Q270" t="n">
        <v>0</v>
      </c>
      <c r="R270" s="2" t="inlineStr"/>
    </row>
    <row r="271" ht="15" customHeight="1">
      <c r="A271" t="inlineStr">
        <is>
          <t>A 28965-2023</t>
        </is>
      </c>
      <c r="B271" s="1" t="n">
        <v>45104</v>
      </c>
      <c r="C271" s="1" t="n">
        <v>45976</v>
      </c>
      <c r="D271" t="inlineStr">
        <is>
          <t>DALARNAS LÄN</t>
        </is>
      </c>
      <c r="E271" t="inlineStr">
        <is>
          <t>LEKSAND</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12581-2025</t>
        </is>
      </c>
      <c r="B272" s="1" t="n">
        <v>45732.62201388889</v>
      </c>
      <c r="C272" s="1" t="n">
        <v>45976</v>
      </c>
      <c r="D272" t="inlineStr">
        <is>
          <t>DALARNAS LÄN</t>
        </is>
      </c>
      <c r="E272" t="inlineStr">
        <is>
          <t>LEKSAND</t>
        </is>
      </c>
      <c r="G272" t="n">
        <v>5.1</v>
      </c>
      <c r="H272" t="n">
        <v>0</v>
      </c>
      <c r="I272" t="n">
        <v>0</v>
      </c>
      <c r="J272" t="n">
        <v>0</v>
      </c>
      <c r="K272" t="n">
        <v>0</v>
      </c>
      <c r="L272" t="n">
        <v>0</v>
      </c>
      <c r="M272" t="n">
        <v>0</v>
      </c>
      <c r="N272" t="n">
        <v>0</v>
      </c>
      <c r="O272" t="n">
        <v>0</v>
      </c>
      <c r="P272" t="n">
        <v>0</v>
      </c>
      <c r="Q272" t="n">
        <v>0</v>
      </c>
      <c r="R272" s="2" t="inlineStr"/>
    </row>
    <row r="273" ht="15" customHeight="1">
      <c r="A273" t="inlineStr">
        <is>
          <t>A 12620-2025</t>
        </is>
      </c>
      <c r="B273" s="1" t="n">
        <v>45733.35498842593</v>
      </c>
      <c r="C273" s="1" t="n">
        <v>45976</v>
      </c>
      <c r="D273" t="inlineStr">
        <is>
          <t>DALARNAS LÄN</t>
        </is>
      </c>
      <c r="E273" t="inlineStr">
        <is>
          <t>LEKSAND</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12623-2025</t>
        </is>
      </c>
      <c r="B274" s="1" t="n">
        <v>45733.36079861111</v>
      </c>
      <c r="C274" s="1" t="n">
        <v>45976</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72575-2021</t>
        </is>
      </c>
      <c r="B275" s="1" t="n">
        <v>44546</v>
      </c>
      <c r="C275" s="1" t="n">
        <v>45976</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72581-2021</t>
        </is>
      </c>
      <c r="B276" s="1" t="n">
        <v>44546.46354166666</v>
      </c>
      <c r="C276" s="1" t="n">
        <v>45976</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33143-2024</t>
        </is>
      </c>
      <c r="B277" s="1" t="n">
        <v>45518</v>
      </c>
      <c r="C277" s="1" t="n">
        <v>45976</v>
      </c>
      <c r="D277" t="inlineStr">
        <is>
          <t>DALARNAS LÄN</t>
        </is>
      </c>
      <c r="E277" t="inlineStr">
        <is>
          <t>LEKSAND</t>
        </is>
      </c>
      <c r="G277" t="n">
        <v>0.6</v>
      </c>
      <c r="H277" t="n">
        <v>0</v>
      </c>
      <c r="I277" t="n">
        <v>0</v>
      </c>
      <c r="J277" t="n">
        <v>0</v>
      </c>
      <c r="K277" t="n">
        <v>0</v>
      </c>
      <c r="L277" t="n">
        <v>0</v>
      </c>
      <c r="M277" t="n">
        <v>0</v>
      </c>
      <c r="N277" t="n">
        <v>0</v>
      </c>
      <c r="O277" t="n">
        <v>0</v>
      </c>
      <c r="P277" t="n">
        <v>0</v>
      </c>
      <c r="Q277" t="n">
        <v>0</v>
      </c>
      <c r="R277" s="2" t="inlineStr"/>
    </row>
    <row r="278" ht="15" customHeight="1">
      <c r="A278" t="inlineStr">
        <is>
          <t>A 27445-2024</t>
        </is>
      </c>
      <c r="B278" s="1" t="n">
        <v>45474.42474537037</v>
      </c>
      <c r="C278" s="1" t="n">
        <v>45976</v>
      </c>
      <c r="D278" t="inlineStr">
        <is>
          <t>DALARNAS LÄN</t>
        </is>
      </c>
      <c r="E278" t="inlineStr">
        <is>
          <t>LEKSAND</t>
        </is>
      </c>
      <c r="G278" t="n">
        <v>0.7</v>
      </c>
      <c r="H278" t="n">
        <v>0</v>
      </c>
      <c r="I278" t="n">
        <v>0</v>
      </c>
      <c r="J278" t="n">
        <v>0</v>
      </c>
      <c r="K278" t="n">
        <v>0</v>
      </c>
      <c r="L278" t="n">
        <v>0</v>
      </c>
      <c r="M278" t="n">
        <v>0</v>
      </c>
      <c r="N278" t="n">
        <v>0</v>
      </c>
      <c r="O278" t="n">
        <v>0</v>
      </c>
      <c r="P278" t="n">
        <v>0</v>
      </c>
      <c r="Q278" t="n">
        <v>0</v>
      </c>
      <c r="R278" s="2" t="inlineStr"/>
    </row>
    <row r="279" ht="15" customHeight="1">
      <c r="A279" t="inlineStr">
        <is>
          <t>A 16293-2025</t>
        </is>
      </c>
      <c r="B279" s="1" t="n">
        <v>45751.33447916667</v>
      </c>
      <c r="C279" s="1" t="n">
        <v>45976</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6027-2025</t>
        </is>
      </c>
      <c r="B280" s="1" t="n">
        <v>45695</v>
      </c>
      <c r="C280" s="1" t="n">
        <v>45976</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39569-2025</t>
        </is>
      </c>
      <c r="B281" s="1" t="n">
        <v>45890</v>
      </c>
      <c r="C281" s="1" t="n">
        <v>45976</v>
      </c>
      <c r="D281" t="inlineStr">
        <is>
          <t>DALARNAS LÄN</t>
        </is>
      </c>
      <c r="E281" t="inlineStr">
        <is>
          <t>LEKSAND</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39572-2025</t>
        </is>
      </c>
      <c r="B282" s="1" t="n">
        <v>45890</v>
      </c>
      <c r="C282" s="1" t="n">
        <v>45976</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39660-2025</t>
        </is>
      </c>
      <c r="B283" s="1" t="n">
        <v>45890.63006944444</v>
      </c>
      <c r="C283" s="1" t="n">
        <v>45976</v>
      </c>
      <c r="D283" t="inlineStr">
        <is>
          <t>DALARNAS LÄN</t>
        </is>
      </c>
      <c r="E283" t="inlineStr">
        <is>
          <t>LEKSAND</t>
        </is>
      </c>
      <c r="F283" t="inlineStr">
        <is>
          <t>Bergvik skog väst AB</t>
        </is>
      </c>
      <c r="G283" t="n">
        <v>5.8</v>
      </c>
      <c r="H283" t="n">
        <v>0</v>
      </c>
      <c r="I283" t="n">
        <v>0</v>
      </c>
      <c r="J283" t="n">
        <v>0</v>
      </c>
      <c r="K283" t="n">
        <v>0</v>
      </c>
      <c r="L283" t="n">
        <v>0</v>
      </c>
      <c r="M283" t="n">
        <v>0</v>
      </c>
      <c r="N283" t="n">
        <v>0</v>
      </c>
      <c r="O283" t="n">
        <v>0</v>
      </c>
      <c r="P283" t="n">
        <v>0</v>
      </c>
      <c r="Q283" t="n">
        <v>0</v>
      </c>
      <c r="R283" s="2" t="inlineStr"/>
    </row>
    <row r="284" ht="15" customHeight="1">
      <c r="A284" t="inlineStr">
        <is>
          <t>A 39693-2025</t>
        </is>
      </c>
      <c r="B284" s="1" t="n">
        <v>45890.68304398148</v>
      </c>
      <c r="C284" s="1" t="n">
        <v>45976</v>
      </c>
      <c r="D284" t="inlineStr">
        <is>
          <t>DALARNAS LÄN</t>
        </is>
      </c>
      <c r="E284" t="inlineStr">
        <is>
          <t>LEKSAND</t>
        </is>
      </c>
      <c r="G284" t="n">
        <v>3.1</v>
      </c>
      <c r="H284" t="n">
        <v>0</v>
      </c>
      <c r="I284" t="n">
        <v>0</v>
      </c>
      <c r="J284" t="n">
        <v>0</v>
      </c>
      <c r="K284" t="n">
        <v>0</v>
      </c>
      <c r="L284" t="n">
        <v>0</v>
      </c>
      <c r="M284" t="n">
        <v>0</v>
      </c>
      <c r="N284" t="n">
        <v>0</v>
      </c>
      <c r="O284" t="n">
        <v>0</v>
      </c>
      <c r="P284" t="n">
        <v>0</v>
      </c>
      <c r="Q284" t="n">
        <v>0</v>
      </c>
      <c r="R284" s="2" t="inlineStr"/>
    </row>
    <row r="285" ht="15" customHeight="1">
      <c r="A285" t="inlineStr">
        <is>
          <t>A 11678-2023</t>
        </is>
      </c>
      <c r="B285" s="1" t="n">
        <v>44994</v>
      </c>
      <c r="C285" s="1" t="n">
        <v>45976</v>
      </c>
      <c r="D285" t="inlineStr">
        <is>
          <t>DALARNAS LÄN</t>
        </is>
      </c>
      <c r="E285" t="inlineStr">
        <is>
          <t>LEKSAND</t>
        </is>
      </c>
      <c r="G285" t="n">
        <v>0.9</v>
      </c>
      <c r="H285" t="n">
        <v>0</v>
      </c>
      <c r="I285" t="n">
        <v>0</v>
      </c>
      <c r="J285" t="n">
        <v>0</v>
      </c>
      <c r="K285" t="n">
        <v>0</v>
      </c>
      <c r="L285" t="n">
        <v>0</v>
      </c>
      <c r="M285" t="n">
        <v>0</v>
      </c>
      <c r="N285" t="n">
        <v>0</v>
      </c>
      <c r="O285" t="n">
        <v>0</v>
      </c>
      <c r="P285" t="n">
        <v>0</v>
      </c>
      <c r="Q285" t="n">
        <v>0</v>
      </c>
      <c r="R285" s="2" t="inlineStr"/>
    </row>
    <row r="286" ht="15" customHeight="1">
      <c r="A286" t="inlineStr">
        <is>
          <t>A 39546-2025</t>
        </is>
      </c>
      <c r="B286" s="1" t="n">
        <v>45890.45706018519</v>
      </c>
      <c r="C286" s="1" t="n">
        <v>45976</v>
      </c>
      <c r="D286" t="inlineStr">
        <is>
          <t>DALARNAS LÄN</t>
        </is>
      </c>
      <c r="E286" t="inlineStr">
        <is>
          <t>LEKSAND</t>
        </is>
      </c>
      <c r="G286" t="n">
        <v>4.6</v>
      </c>
      <c r="H286" t="n">
        <v>0</v>
      </c>
      <c r="I286" t="n">
        <v>0</v>
      </c>
      <c r="J286" t="n">
        <v>0</v>
      </c>
      <c r="K286" t="n">
        <v>0</v>
      </c>
      <c r="L286" t="n">
        <v>0</v>
      </c>
      <c r="M286" t="n">
        <v>0</v>
      </c>
      <c r="N286" t="n">
        <v>0</v>
      </c>
      <c r="O286" t="n">
        <v>0</v>
      </c>
      <c r="P286" t="n">
        <v>0</v>
      </c>
      <c r="Q286" t="n">
        <v>0</v>
      </c>
      <c r="R286" s="2" t="inlineStr"/>
    </row>
    <row r="287" ht="15" customHeight="1">
      <c r="A287" t="inlineStr">
        <is>
          <t>A 39516-2025</t>
        </is>
      </c>
      <c r="B287" s="1" t="n">
        <v>45890.42633101852</v>
      </c>
      <c r="C287" s="1" t="n">
        <v>45976</v>
      </c>
      <c r="D287" t="inlineStr">
        <is>
          <t>DALARNAS LÄN</t>
        </is>
      </c>
      <c r="E287" t="inlineStr">
        <is>
          <t>LEKSAND</t>
        </is>
      </c>
      <c r="G287" t="n">
        <v>3.6</v>
      </c>
      <c r="H287" t="n">
        <v>0</v>
      </c>
      <c r="I287" t="n">
        <v>0</v>
      </c>
      <c r="J287" t="n">
        <v>0</v>
      </c>
      <c r="K287" t="n">
        <v>0</v>
      </c>
      <c r="L287" t="n">
        <v>0</v>
      </c>
      <c r="M287" t="n">
        <v>0</v>
      </c>
      <c r="N287" t="n">
        <v>0</v>
      </c>
      <c r="O287" t="n">
        <v>0</v>
      </c>
      <c r="P287" t="n">
        <v>0</v>
      </c>
      <c r="Q287" t="n">
        <v>0</v>
      </c>
      <c r="R287" s="2" t="inlineStr"/>
    </row>
    <row r="288" ht="15" customHeight="1">
      <c r="A288" t="inlineStr">
        <is>
          <t>A 8755-2023</t>
        </is>
      </c>
      <c r="B288" s="1" t="n">
        <v>44978</v>
      </c>
      <c r="C288" s="1" t="n">
        <v>45976</v>
      </c>
      <c r="D288" t="inlineStr">
        <is>
          <t>DALARNAS LÄN</t>
        </is>
      </c>
      <c r="E288" t="inlineStr">
        <is>
          <t>LEKSAND</t>
        </is>
      </c>
      <c r="G288" t="n">
        <v>2.3</v>
      </c>
      <c r="H288" t="n">
        <v>0</v>
      </c>
      <c r="I288" t="n">
        <v>0</v>
      </c>
      <c r="J288" t="n">
        <v>0</v>
      </c>
      <c r="K288" t="n">
        <v>0</v>
      </c>
      <c r="L288" t="n">
        <v>0</v>
      </c>
      <c r="M288" t="n">
        <v>0</v>
      </c>
      <c r="N288" t="n">
        <v>0</v>
      </c>
      <c r="O288" t="n">
        <v>0</v>
      </c>
      <c r="P288" t="n">
        <v>0</v>
      </c>
      <c r="Q288" t="n">
        <v>0</v>
      </c>
      <c r="R288" s="2" t="inlineStr"/>
    </row>
    <row r="289" ht="15" customHeight="1">
      <c r="A289" t="inlineStr">
        <is>
          <t>A 41169-2024</t>
        </is>
      </c>
      <c r="B289" s="1" t="n">
        <v>45559.48637731482</v>
      </c>
      <c r="C289" s="1" t="n">
        <v>45976</v>
      </c>
      <c r="D289" t="inlineStr">
        <is>
          <t>DALARNAS LÄN</t>
        </is>
      </c>
      <c r="E289" t="inlineStr">
        <is>
          <t>LEKSAND</t>
        </is>
      </c>
      <c r="G289" t="n">
        <v>8.9</v>
      </c>
      <c r="H289" t="n">
        <v>0</v>
      </c>
      <c r="I289" t="n">
        <v>0</v>
      </c>
      <c r="J289" t="n">
        <v>0</v>
      </c>
      <c r="K289" t="n">
        <v>0</v>
      </c>
      <c r="L289" t="n">
        <v>0</v>
      </c>
      <c r="M289" t="n">
        <v>0</v>
      </c>
      <c r="N289" t="n">
        <v>0</v>
      </c>
      <c r="O289" t="n">
        <v>0</v>
      </c>
      <c r="P289" t="n">
        <v>0</v>
      </c>
      <c r="Q289" t="n">
        <v>0</v>
      </c>
      <c r="R289" s="2" t="inlineStr"/>
    </row>
    <row r="290" ht="15" customHeight="1">
      <c r="A290" t="inlineStr">
        <is>
          <t>A 5582-2024</t>
        </is>
      </c>
      <c r="B290" s="1" t="n">
        <v>45334</v>
      </c>
      <c r="C290" s="1" t="n">
        <v>45976</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53799-2023</t>
        </is>
      </c>
      <c r="B291" s="1" t="n">
        <v>45231.35564814815</v>
      </c>
      <c r="C291" s="1" t="n">
        <v>45976</v>
      </c>
      <c r="D291" t="inlineStr">
        <is>
          <t>DALARNAS LÄN</t>
        </is>
      </c>
      <c r="E291" t="inlineStr">
        <is>
          <t>LEKSAND</t>
        </is>
      </c>
      <c r="F291" t="inlineStr">
        <is>
          <t>Bergvik skog väst AB</t>
        </is>
      </c>
      <c r="G291" t="n">
        <v>0.9</v>
      </c>
      <c r="H291" t="n">
        <v>0</v>
      </c>
      <c r="I291" t="n">
        <v>0</v>
      </c>
      <c r="J291" t="n">
        <v>0</v>
      </c>
      <c r="K291" t="n">
        <v>0</v>
      </c>
      <c r="L291" t="n">
        <v>0</v>
      </c>
      <c r="M291" t="n">
        <v>0</v>
      </c>
      <c r="N291" t="n">
        <v>0</v>
      </c>
      <c r="O291" t="n">
        <v>0</v>
      </c>
      <c r="P291" t="n">
        <v>0</v>
      </c>
      <c r="Q291" t="n">
        <v>0</v>
      </c>
      <c r="R291" s="2" t="inlineStr"/>
    </row>
    <row r="292" ht="15" customHeight="1">
      <c r="A292" t="inlineStr">
        <is>
          <t>A 402-2024</t>
        </is>
      </c>
      <c r="B292" s="1" t="n">
        <v>45296.45545138889</v>
      </c>
      <c r="C292" s="1" t="n">
        <v>45976</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46505-2023</t>
        </is>
      </c>
      <c r="B293" s="1" t="n">
        <v>45197</v>
      </c>
      <c r="C293" s="1" t="n">
        <v>45976</v>
      </c>
      <c r="D293" t="inlineStr">
        <is>
          <t>DALARNAS LÄN</t>
        </is>
      </c>
      <c r="E293" t="inlineStr">
        <is>
          <t>LEKSAND</t>
        </is>
      </c>
      <c r="G293" t="n">
        <v>2.3</v>
      </c>
      <c r="H293" t="n">
        <v>0</v>
      </c>
      <c r="I293" t="n">
        <v>0</v>
      </c>
      <c r="J293" t="n">
        <v>0</v>
      </c>
      <c r="K293" t="n">
        <v>0</v>
      </c>
      <c r="L293" t="n">
        <v>0</v>
      </c>
      <c r="M293" t="n">
        <v>0</v>
      </c>
      <c r="N293" t="n">
        <v>0</v>
      </c>
      <c r="O293" t="n">
        <v>0</v>
      </c>
      <c r="P293" t="n">
        <v>0</v>
      </c>
      <c r="Q293" t="n">
        <v>0</v>
      </c>
      <c r="R293" s="2" t="inlineStr"/>
    </row>
    <row r="294" ht="15" customHeight="1">
      <c r="A294" t="inlineStr">
        <is>
          <t>A 49076-2025</t>
        </is>
      </c>
      <c r="B294" s="1" t="n">
        <v>45937.65601851852</v>
      </c>
      <c r="C294" s="1" t="n">
        <v>45976</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2517-2024</t>
        </is>
      </c>
      <c r="B295" s="1" t="n">
        <v>45313</v>
      </c>
      <c r="C295" s="1" t="n">
        <v>45976</v>
      </c>
      <c r="D295" t="inlineStr">
        <is>
          <t>DALARNAS LÄN</t>
        </is>
      </c>
      <c r="E295" t="inlineStr">
        <is>
          <t>LEKSAND</t>
        </is>
      </c>
      <c r="F295" t="inlineStr">
        <is>
          <t>Bergvik skog väst AB</t>
        </is>
      </c>
      <c r="G295" t="n">
        <v>4</v>
      </c>
      <c r="H295" t="n">
        <v>0</v>
      </c>
      <c r="I295" t="n">
        <v>0</v>
      </c>
      <c r="J295" t="n">
        <v>0</v>
      </c>
      <c r="K295" t="n">
        <v>0</v>
      </c>
      <c r="L295" t="n">
        <v>0</v>
      </c>
      <c r="M295" t="n">
        <v>0</v>
      </c>
      <c r="N295" t="n">
        <v>0</v>
      </c>
      <c r="O295" t="n">
        <v>0</v>
      </c>
      <c r="P295" t="n">
        <v>0</v>
      </c>
      <c r="Q295" t="n">
        <v>0</v>
      </c>
      <c r="R295" s="2" t="inlineStr"/>
    </row>
    <row r="296" ht="15" customHeight="1">
      <c r="A296" t="inlineStr">
        <is>
          <t>A 62130-2024</t>
        </is>
      </c>
      <c r="B296" s="1" t="n">
        <v>45656.61827546296</v>
      </c>
      <c r="C296" s="1" t="n">
        <v>45976</v>
      </c>
      <c r="D296" t="inlineStr">
        <is>
          <t>DALARNAS LÄN</t>
        </is>
      </c>
      <c r="E296" t="inlineStr">
        <is>
          <t>LEKSAND</t>
        </is>
      </c>
      <c r="G296" t="n">
        <v>11.4</v>
      </c>
      <c r="H296" t="n">
        <v>0</v>
      </c>
      <c r="I296" t="n">
        <v>0</v>
      </c>
      <c r="J296" t="n">
        <v>0</v>
      </c>
      <c r="K296" t="n">
        <v>0</v>
      </c>
      <c r="L296" t="n">
        <v>0</v>
      </c>
      <c r="M296" t="n">
        <v>0</v>
      </c>
      <c r="N296" t="n">
        <v>0</v>
      </c>
      <c r="O296" t="n">
        <v>0</v>
      </c>
      <c r="P296" t="n">
        <v>0</v>
      </c>
      <c r="Q296" t="n">
        <v>0</v>
      </c>
      <c r="R296" s="2" t="inlineStr"/>
    </row>
    <row r="297" ht="15" customHeight="1">
      <c r="A297" t="inlineStr">
        <is>
          <t>A 58619-2022</t>
        </is>
      </c>
      <c r="B297" s="1" t="n">
        <v>44902.59579861111</v>
      </c>
      <c r="C297" s="1" t="n">
        <v>45976</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48824-2025</t>
        </is>
      </c>
      <c r="B298" s="1" t="n">
        <v>45937.37949074074</v>
      </c>
      <c r="C298" s="1" t="n">
        <v>45976</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63513-2023</t>
        </is>
      </c>
      <c r="B299" s="1" t="n">
        <v>45274</v>
      </c>
      <c r="C299" s="1" t="n">
        <v>45976</v>
      </c>
      <c r="D299" t="inlineStr">
        <is>
          <t>DALARNAS LÄN</t>
        </is>
      </c>
      <c r="E299" t="inlineStr">
        <is>
          <t>LEKSAND</t>
        </is>
      </c>
      <c r="G299" t="n">
        <v>2.3</v>
      </c>
      <c r="H299" t="n">
        <v>0</v>
      </c>
      <c r="I299" t="n">
        <v>0</v>
      </c>
      <c r="J299" t="n">
        <v>0</v>
      </c>
      <c r="K299" t="n">
        <v>0</v>
      </c>
      <c r="L299" t="n">
        <v>0</v>
      </c>
      <c r="M299" t="n">
        <v>0</v>
      </c>
      <c r="N299" t="n">
        <v>0</v>
      </c>
      <c r="O299" t="n">
        <v>0</v>
      </c>
      <c r="P299" t="n">
        <v>0</v>
      </c>
      <c r="Q299" t="n">
        <v>0</v>
      </c>
      <c r="R299" s="2" t="inlineStr"/>
    </row>
    <row r="300" ht="15" customHeight="1">
      <c r="A300" t="inlineStr">
        <is>
          <t>A 59199-2024</t>
        </is>
      </c>
      <c r="B300" s="1" t="n">
        <v>45637</v>
      </c>
      <c r="C300" s="1" t="n">
        <v>45976</v>
      </c>
      <c r="D300" t="inlineStr">
        <is>
          <t>DALARNAS LÄN</t>
        </is>
      </c>
      <c r="E300" t="inlineStr">
        <is>
          <t>LEKSAND</t>
        </is>
      </c>
      <c r="G300" t="n">
        <v>5.4</v>
      </c>
      <c r="H300" t="n">
        <v>0</v>
      </c>
      <c r="I300" t="n">
        <v>0</v>
      </c>
      <c r="J300" t="n">
        <v>0</v>
      </c>
      <c r="K300" t="n">
        <v>0</v>
      </c>
      <c r="L300" t="n">
        <v>0</v>
      </c>
      <c r="M300" t="n">
        <v>0</v>
      </c>
      <c r="N300" t="n">
        <v>0</v>
      </c>
      <c r="O300" t="n">
        <v>0</v>
      </c>
      <c r="P300" t="n">
        <v>0</v>
      </c>
      <c r="Q300" t="n">
        <v>0</v>
      </c>
      <c r="R300" s="2" t="inlineStr"/>
    </row>
    <row r="301" ht="15" customHeight="1">
      <c r="A301" t="inlineStr">
        <is>
          <t>A 36932-2023</t>
        </is>
      </c>
      <c r="B301" s="1" t="n">
        <v>45154</v>
      </c>
      <c r="C301" s="1" t="n">
        <v>45976</v>
      </c>
      <c r="D301" t="inlineStr">
        <is>
          <t>DALARNAS LÄN</t>
        </is>
      </c>
      <c r="E301" t="inlineStr">
        <is>
          <t>LEKSAND</t>
        </is>
      </c>
      <c r="G301" t="n">
        <v>1.3</v>
      </c>
      <c r="H301" t="n">
        <v>0</v>
      </c>
      <c r="I301" t="n">
        <v>0</v>
      </c>
      <c r="J301" t="n">
        <v>0</v>
      </c>
      <c r="K301" t="n">
        <v>0</v>
      </c>
      <c r="L301" t="n">
        <v>0</v>
      </c>
      <c r="M301" t="n">
        <v>0</v>
      </c>
      <c r="N301" t="n">
        <v>0</v>
      </c>
      <c r="O301" t="n">
        <v>0</v>
      </c>
      <c r="P301" t="n">
        <v>0</v>
      </c>
      <c r="Q301" t="n">
        <v>0</v>
      </c>
      <c r="R301" s="2" t="inlineStr"/>
    </row>
    <row r="302" ht="15" customHeight="1">
      <c r="A302" t="inlineStr">
        <is>
          <t>A 2579-2022</t>
        </is>
      </c>
      <c r="B302" s="1" t="n">
        <v>44580</v>
      </c>
      <c r="C302" s="1" t="n">
        <v>45976</v>
      </c>
      <c r="D302" t="inlineStr">
        <is>
          <t>DALARNAS LÄN</t>
        </is>
      </c>
      <c r="E302" t="inlineStr">
        <is>
          <t>LEKSAND</t>
        </is>
      </c>
      <c r="G302" t="n">
        <v>0.3</v>
      </c>
      <c r="H302" t="n">
        <v>0</v>
      </c>
      <c r="I302" t="n">
        <v>0</v>
      </c>
      <c r="J302" t="n">
        <v>0</v>
      </c>
      <c r="K302" t="n">
        <v>0</v>
      </c>
      <c r="L302" t="n">
        <v>0</v>
      </c>
      <c r="M302" t="n">
        <v>0</v>
      </c>
      <c r="N302" t="n">
        <v>0</v>
      </c>
      <c r="O302" t="n">
        <v>0</v>
      </c>
      <c r="P302" t="n">
        <v>0</v>
      </c>
      <c r="Q302" t="n">
        <v>0</v>
      </c>
      <c r="R302" s="2" t="inlineStr"/>
    </row>
    <row r="303" ht="15" customHeight="1">
      <c r="A303" t="inlineStr">
        <is>
          <t>A 776-2021</t>
        </is>
      </c>
      <c r="B303" s="1" t="n">
        <v>44203</v>
      </c>
      <c r="C303" s="1" t="n">
        <v>45976</v>
      </c>
      <c r="D303" t="inlineStr">
        <is>
          <t>DALARNAS LÄN</t>
        </is>
      </c>
      <c r="E303" t="inlineStr">
        <is>
          <t>LEKSAND</t>
        </is>
      </c>
      <c r="G303" t="n">
        <v>21</v>
      </c>
      <c r="H303" t="n">
        <v>0</v>
      </c>
      <c r="I303" t="n">
        <v>0</v>
      </c>
      <c r="J303" t="n">
        <v>0</v>
      </c>
      <c r="K303" t="n">
        <v>0</v>
      </c>
      <c r="L303" t="n">
        <v>0</v>
      </c>
      <c r="M303" t="n">
        <v>0</v>
      </c>
      <c r="N303" t="n">
        <v>0</v>
      </c>
      <c r="O303" t="n">
        <v>0</v>
      </c>
      <c r="P303" t="n">
        <v>0</v>
      </c>
      <c r="Q303" t="n">
        <v>0</v>
      </c>
      <c r="R303" s="2" t="inlineStr"/>
    </row>
    <row r="304" ht="15" customHeight="1">
      <c r="A304" t="inlineStr">
        <is>
          <t>A 57013-2023</t>
        </is>
      </c>
      <c r="B304" s="1" t="n">
        <v>45244</v>
      </c>
      <c r="C304" s="1" t="n">
        <v>45976</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2140-2024</t>
        </is>
      </c>
      <c r="B305" s="1" t="n">
        <v>45309</v>
      </c>
      <c r="C305" s="1" t="n">
        <v>45976</v>
      </c>
      <c r="D305" t="inlineStr">
        <is>
          <t>DALARNAS LÄN</t>
        </is>
      </c>
      <c r="E305" t="inlineStr">
        <is>
          <t>LEKSAND</t>
        </is>
      </c>
      <c r="G305" t="n">
        <v>1.5</v>
      </c>
      <c r="H305" t="n">
        <v>0</v>
      </c>
      <c r="I305" t="n">
        <v>0</v>
      </c>
      <c r="J305" t="n">
        <v>0</v>
      </c>
      <c r="K305" t="n">
        <v>0</v>
      </c>
      <c r="L305" t="n">
        <v>0</v>
      </c>
      <c r="M305" t="n">
        <v>0</v>
      </c>
      <c r="N305" t="n">
        <v>0</v>
      </c>
      <c r="O305" t="n">
        <v>0</v>
      </c>
      <c r="P305" t="n">
        <v>0</v>
      </c>
      <c r="Q305" t="n">
        <v>0</v>
      </c>
      <c r="R305" s="2" t="inlineStr"/>
    </row>
    <row r="306" ht="15" customHeight="1">
      <c r="A306" t="inlineStr">
        <is>
          <t>A 23615-2024</t>
        </is>
      </c>
      <c r="B306" s="1" t="n">
        <v>45454.43050925926</v>
      </c>
      <c r="C306" s="1" t="n">
        <v>45976</v>
      </c>
      <c r="D306" t="inlineStr">
        <is>
          <t>DALARNAS LÄN</t>
        </is>
      </c>
      <c r="E306" t="inlineStr">
        <is>
          <t>LEKSAND</t>
        </is>
      </c>
      <c r="G306" t="n">
        <v>1.7</v>
      </c>
      <c r="H306" t="n">
        <v>0</v>
      </c>
      <c r="I306" t="n">
        <v>0</v>
      </c>
      <c r="J306" t="n">
        <v>0</v>
      </c>
      <c r="K306" t="n">
        <v>0</v>
      </c>
      <c r="L306" t="n">
        <v>0</v>
      </c>
      <c r="M306" t="n">
        <v>0</v>
      </c>
      <c r="N306" t="n">
        <v>0</v>
      </c>
      <c r="O306" t="n">
        <v>0</v>
      </c>
      <c r="P306" t="n">
        <v>0</v>
      </c>
      <c r="Q306" t="n">
        <v>0</v>
      </c>
      <c r="R306" s="2" t="inlineStr"/>
    </row>
    <row r="307" ht="15" customHeight="1">
      <c r="A307" t="inlineStr">
        <is>
          <t>A 19590-2023</t>
        </is>
      </c>
      <c r="B307" s="1" t="n">
        <v>45049</v>
      </c>
      <c r="C307" s="1" t="n">
        <v>45976</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30000-2023</t>
        </is>
      </c>
      <c r="B308" s="1" t="n">
        <v>45109.71128472222</v>
      </c>
      <c r="C308" s="1" t="n">
        <v>45976</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22349-2024</t>
        </is>
      </c>
      <c r="B309" s="1" t="n">
        <v>45446</v>
      </c>
      <c r="C309" s="1" t="n">
        <v>45976</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8045-2024</t>
        </is>
      </c>
      <c r="B310" s="1" t="n">
        <v>45351.31371527778</v>
      </c>
      <c r="C310" s="1" t="n">
        <v>45976</v>
      </c>
      <c r="D310" t="inlineStr">
        <is>
          <t>DALARNAS LÄN</t>
        </is>
      </c>
      <c r="E310" t="inlineStr">
        <is>
          <t>LEKSAND</t>
        </is>
      </c>
      <c r="G310" t="n">
        <v>6.7</v>
      </c>
      <c r="H310" t="n">
        <v>0</v>
      </c>
      <c r="I310" t="n">
        <v>0</v>
      </c>
      <c r="J310" t="n">
        <v>0</v>
      </c>
      <c r="K310" t="n">
        <v>0</v>
      </c>
      <c r="L310" t="n">
        <v>0</v>
      </c>
      <c r="M310" t="n">
        <v>0</v>
      </c>
      <c r="N310" t="n">
        <v>0</v>
      </c>
      <c r="O310" t="n">
        <v>0</v>
      </c>
      <c r="P310" t="n">
        <v>0</v>
      </c>
      <c r="Q310" t="n">
        <v>0</v>
      </c>
      <c r="R310" s="2" t="inlineStr"/>
    </row>
    <row r="311" ht="15" customHeight="1">
      <c r="A311" t="inlineStr">
        <is>
          <t>A 33001-2023</t>
        </is>
      </c>
      <c r="B311" s="1" t="n">
        <v>45125</v>
      </c>
      <c r="C311" s="1" t="n">
        <v>45976</v>
      </c>
      <c r="D311" t="inlineStr">
        <is>
          <t>DALARNAS LÄN</t>
        </is>
      </c>
      <c r="E311" t="inlineStr">
        <is>
          <t>LEKSAND</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61933-2023</t>
        </is>
      </c>
      <c r="B312" s="1" t="n">
        <v>45266</v>
      </c>
      <c r="C312" s="1" t="n">
        <v>45976</v>
      </c>
      <c r="D312" t="inlineStr">
        <is>
          <t>DALARNAS LÄN</t>
        </is>
      </c>
      <c r="E312" t="inlineStr">
        <is>
          <t>LEKSAND</t>
        </is>
      </c>
      <c r="G312" t="n">
        <v>0.2</v>
      </c>
      <c r="H312" t="n">
        <v>0</v>
      </c>
      <c r="I312" t="n">
        <v>0</v>
      </c>
      <c r="J312" t="n">
        <v>0</v>
      </c>
      <c r="K312" t="n">
        <v>0</v>
      </c>
      <c r="L312" t="n">
        <v>0</v>
      </c>
      <c r="M312" t="n">
        <v>0</v>
      </c>
      <c r="N312" t="n">
        <v>0</v>
      </c>
      <c r="O312" t="n">
        <v>0</v>
      </c>
      <c r="P312" t="n">
        <v>0</v>
      </c>
      <c r="Q312" t="n">
        <v>0</v>
      </c>
      <c r="R312" s="2" t="inlineStr"/>
    </row>
    <row r="313" ht="15" customHeight="1">
      <c r="A313" t="inlineStr">
        <is>
          <t>A 53717-2023</t>
        </is>
      </c>
      <c r="B313" s="1" t="n">
        <v>45230</v>
      </c>
      <c r="C313" s="1" t="n">
        <v>45976</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1946-2024</t>
        </is>
      </c>
      <c r="B314" s="1" t="n">
        <v>45308</v>
      </c>
      <c r="C314" s="1" t="n">
        <v>45976</v>
      </c>
      <c r="D314" t="inlineStr">
        <is>
          <t>DALARNAS LÄN</t>
        </is>
      </c>
      <c r="E314" t="inlineStr">
        <is>
          <t>LEKSAND</t>
        </is>
      </c>
      <c r="G314" t="n">
        <v>2.3</v>
      </c>
      <c r="H314" t="n">
        <v>0</v>
      </c>
      <c r="I314" t="n">
        <v>0</v>
      </c>
      <c r="J314" t="n">
        <v>0</v>
      </c>
      <c r="K314" t="n">
        <v>0</v>
      </c>
      <c r="L314" t="n">
        <v>0</v>
      </c>
      <c r="M314" t="n">
        <v>0</v>
      </c>
      <c r="N314" t="n">
        <v>0</v>
      </c>
      <c r="O314" t="n">
        <v>0</v>
      </c>
      <c r="P314" t="n">
        <v>0</v>
      </c>
      <c r="Q314" t="n">
        <v>0</v>
      </c>
      <c r="R314" s="2" t="inlineStr"/>
    </row>
    <row r="315" ht="15" customHeight="1">
      <c r="A315" t="inlineStr">
        <is>
          <t>A 48829-2025</t>
        </is>
      </c>
      <c r="B315" s="1" t="n">
        <v>45936</v>
      </c>
      <c r="C315" s="1" t="n">
        <v>45976</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41015-2024</t>
        </is>
      </c>
      <c r="B316" s="1" t="n">
        <v>45559.32537037037</v>
      </c>
      <c r="C316" s="1" t="n">
        <v>45976</v>
      </c>
      <c r="D316" t="inlineStr">
        <is>
          <t>DALARNAS LÄN</t>
        </is>
      </c>
      <c r="E316" t="inlineStr">
        <is>
          <t>LEKSAND</t>
        </is>
      </c>
      <c r="G316" t="n">
        <v>1.6</v>
      </c>
      <c r="H316" t="n">
        <v>0</v>
      </c>
      <c r="I316" t="n">
        <v>0</v>
      </c>
      <c r="J316" t="n">
        <v>0</v>
      </c>
      <c r="K316" t="n">
        <v>0</v>
      </c>
      <c r="L316" t="n">
        <v>0</v>
      </c>
      <c r="M316" t="n">
        <v>0</v>
      </c>
      <c r="N316" t="n">
        <v>0</v>
      </c>
      <c r="O316" t="n">
        <v>0</v>
      </c>
      <c r="P316" t="n">
        <v>0</v>
      </c>
      <c r="Q316" t="n">
        <v>0</v>
      </c>
      <c r="R316" s="2" t="inlineStr"/>
    </row>
    <row r="317" ht="15" customHeight="1">
      <c r="A317" t="inlineStr">
        <is>
          <t>A 18107-2025</t>
        </is>
      </c>
      <c r="B317" s="1" t="n">
        <v>45761.55939814815</v>
      </c>
      <c r="C317" s="1" t="n">
        <v>45976</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49395-2024</t>
        </is>
      </c>
      <c r="B318" s="1" t="n">
        <v>45595</v>
      </c>
      <c r="C318" s="1" t="n">
        <v>45976</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57925-2024</t>
        </is>
      </c>
      <c r="B319" s="1" t="n">
        <v>45630</v>
      </c>
      <c r="C319" s="1" t="n">
        <v>45976</v>
      </c>
      <c r="D319" t="inlineStr">
        <is>
          <t>DALARNAS LÄN</t>
        </is>
      </c>
      <c r="E319" t="inlineStr">
        <is>
          <t>LEKSAND</t>
        </is>
      </c>
      <c r="G319" t="n">
        <v>1.1</v>
      </c>
      <c r="H319" t="n">
        <v>0</v>
      </c>
      <c r="I319" t="n">
        <v>0</v>
      </c>
      <c r="J319" t="n">
        <v>0</v>
      </c>
      <c r="K319" t="n">
        <v>0</v>
      </c>
      <c r="L319" t="n">
        <v>0</v>
      </c>
      <c r="M319" t="n">
        <v>0</v>
      </c>
      <c r="N319" t="n">
        <v>0</v>
      </c>
      <c r="O319" t="n">
        <v>0</v>
      </c>
      <c r="P319" t="n">
        <v>0</v>
      </c>
      <c r="Q319" t="n">
        <v>0</v>
      </c>
      <c r="R319" s="2" t="inlineStr"/>
    </row>
    <row r="320" ht="15" customHeight="1">
      <c r="A320" t="inlineStr">
        <is>
          <t>A 11004-2023</t>
        </is>
      </c>
      <c r="B320" s="1" t="n">
        <v>44986</v>
      </c>
      <c r="C320" s="1" t="n">
        <v>45976</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32394-2024</t>
        </is>
      </c>
      <c r="B321" s="1" t="n">
        <v>45512.64349537037</v>
      </c>
      <c r="C321" s="1" t="n">
        <v>45976</v>
      </c>
      <c r="D321" t="inlineStr">
        <is>
          <t>DALARNAS LÄN</t>
        </is>
      </c>
      <c r="E321" t="inlineStr">
        <is>
          <t>LEKSAND</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32688-2024</t>
        </is>
      </c>
      <c r="B322" s="1" t="n">
        <v>45515.83091435185</v>
      </c>
      <c r="C322" s="1" t="n">
        <v>45976</v>
      </c>
      <c r="D322" t="inlineStr">
        <is>
          <t>DALARNAS LÄN</t>
        </is>
      </c>
      <c r="E322" t="inlineStr">
        <is>
          <t>LEKSAND</t>
        </is>
      </c>
      <c r="G322" t="n">
        <v>1.3</v>
      </c>
      <c r="H322" t="n">
        <v>0</v>
      </c>
      <c r="I322" t="n">
        <v>0</v>
      </c>
      <c r="J322" t="n">
        <v>0</v>
      </c>
      <c r="K322" t="n">
        <v>0</v>
      </c>
      <c r="L322" t="n">
        <v>0</v>
      </c>
      <c r="M322" t="n">
        <v>0</v>
      </c>
      <c r="N322" t="n">
        <v>0</v>
      </c>
      <c r="O322" t="n">
        <v>0</v>
      </c>
      <c r="P322" t="n">
        <v>0</v>
      </c>
      <c r="Q322" t="n">
        <v>0</v>
      </c>
      <c r="R322" s="2" t="inlineStr"/>
    </row>
    <row r="323" ht="15" customHeight="1">
      <c r="A323" t="inlineStr">
        <is>
          <t>A 11015-2022</t>
        </is>
      </c>
      <c r="B323" s="1" t="n">
        <v>44628.52340277778</v>
      </c>
      <c r="C323" s="1" t="n">
        <v>45976</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48421-2025</t>
        </is>
      </c>
      <c r="B324" s="1" t="n">
        <v>45934.67564814815</v>
      </c>
      <c r="C324" s="1" t="n">
        <v>45976</v>
      </c>
      <c r="D324" t="inlineStr">
        <is>
          <t>DALARNAS LÄN</t>
        </is>
      </c>
      <c r="E324" t="inlineStr">
        <is>
          <t>LEKSAND</t>
        </is>
      </c>
      <c r="G324" t="n">
        <v>2.2</v>
      </c>
      <c r="H324" t="n">
        <v>0</v>
      </c>
      <c r="I324" t="n">
        <v>0</v>
      </c>
      <c r="J324" t="n">
        <v>0</v>
      </c>
      <c r="K324" t="n">
        <v>0</v>
      </c>
      <c r="L324" t="n">
        <v>0</v>
      </c>
      <c r="M324" t="n">
        <v>0</v>
      </c>
      <c r="N324" t="n">
        <v>0</v>
      </c>
      <c r="O324" t="n">
        <v>0</v>
      </c>
      <c r="P324" t="n">
        <v>0</v>
      </c>
      <c r="Q324" t="n">
        <v>0</v>
      </c>
      <c r="R324" s="2" t="inlineStr"/>
    </row>
    <row r="325" ht="15" customHeight="1">
      <c r="A325" t="inlineStr">
        <is>
          <t>A 43419-2024</t>
        </is>
      </c>
      <c r="B325" s="1" t="n">
        <v>45568</v>
      </c>
      <c r="C325" s="1" t="n">
        <v>45976</v>
      </c>
      <c r="D325" t="inlineStr">
        <is>
          <t>DALARNAS LÄN</t>
        </is>
      </c>
      <c r="E325" t="inlineStr">
        <is>
          <t>LEKSAND</t>
        </is>
      </c>
      <c r="G325" t="n">
        <v>0.4</v>
      </c>
      <c r="H325" t="n">
        <v>0</v>
      </c>
      <c r="I325" t="n">
        <v>0</v>
      </c>
      <c r="J325" t="n">
        <v>0</v>
      </c>
      <c r="K325" t="n">
        <v>0</v>
      </c>
      <c r="L325" t="n">
        <v>0</v>
      </c>
      <c r="M325" t="n">
        <v>0</v>
      </c>
      <c r="N325" t="n">
        <v>0</v>
      </c>
      <c r="O325" t="n">
        <v>0</v>
      </c>
      <c r="P325" t="n">
        <v>0</v>
      </c>
      <c r="Q325" t="n">
        <v>0</v>
      </c>
      <c r="R325" s="2" t="inlineStr"/>
    </row>
    <row r="326" ht="15" customHeight="1">
      <c r="A326" t="inlineStr">
        <is>
          <t>A 40752-2024</t>
        </is>
      </c>
      <c r="B326" s="1" t="n">
        <v>45558.45638888889</v>
      </c>
      <c r="C326" s="1" t="n">
        <v>45976</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47854-2023</t>
        </is>
      </c>
      <c r="B327" s="1" t="n">
        <v>45198</v>
      </c>
      <c r="C327" s="1" t="n">
        <v>45976</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15882-2023</t>
        </is>
      </c>
      <c r="B328" s="1" t="n">
        <v>45022</v>
      </c>
      <c r="C328" s="1" t="n">
        <v>45976</v>
      </c>
      <c r="D328" t="inlineStr">
        <is>
          <t>DALARNAS LÄN</t>
        </is>
      </c>
      <c r="E328" t="inlineStr">
        <is>
          <t>LEKSAND</t>
        </is>
      </c>
      <c r="G328" t="n">
        <v>0.1</v>
      </c>
      <c r="H328" t="n">
        <v>0</v>
      </c>
      <c r="I328" t="n">
        <v>0</v>
      </c>
      <c r="J328" t="n">
        <v>0</v>
      </c>
      <c r="K328" t="n">
        <v>0</v>
      </c>
      <c r="L328" t="n">
        <v>0</v>
      </c>
      <c r="M328" t="n">
        <v>0</v>
      </c>
      <c r="N328" t="n">
        <v>0</v>
      </c>
      <c r="O328" t="n">
        <v>0</v>
      </c>
      <c r="P328" t="n">
        <v>0</v>
      </c>
      <c r="Q328" t="n">
        <v>0</v>
      </c>
      <c r="R328" s="2" t="inlineStr"/>
    </row>
    <row r="329" ht="15" customHeight="1">
      <c r="A329" t="inlineStr">
        <is>
          <t>A 481-2024</t>
        </is>
      </c>
      <c r="B329" s="1" t="n">
        <v>45298</v>
      </c>
      <c r="C329" s="1" t="n">
        <v>45976</v>
      </c>
      <c r="D329" t="inlineStr">
        <is>
          <t>DALARNAS LÄN</t>
        </is>
      </c>
      <c r="E329" t="inlineStr">
        <is>
          <t>LEKSAND</t>
        </is>
      </c>
      <c r="G329" t="n">
        <v>7</v>
      </c>
      <c r="H329" t="n">
        <v>0</v>
      </c>
      <c r="I329" t="n">
        <v>0</v>
      </c>
      <c r="J329" t="n">
        <v>0</v>
      </c>
      <c r="K329" t="n">
        <v>0</v>
      </c>
      <c r="L329" t="n">
        <v>0</v>
      </c>
      <c r="M329" t="n">
        <v>0</v>
      </c>
      <c r="N329" t="n">
        <v>0</v>
      </c>
      <c r="O329" t="n">
        <v>0</v>
      </c>
      <c r="P329" t="n">
        <v>0</v>
      </c>
      <c r="Q329" t="n">
        <v>0</v>
      </c>
      <c r="R329" s="2" t="inlineStr"/>
    </row>
    <row r="330" ht="15" customHeight="1">
      <c r="A330" t="inlineStr">
        <is>
          <t>A 48922-2025</t>
        </is>
      </c>
      <c r="B330" s="1" t="n">
        <v>45937.50077546296</v>
      </c>
      <c r="C330" s="1" t="n">
        <v>45976</v>
      </c>
      <c r="D330" t="inlineStr">
        <is>
          <t>DALARNAS LÄN</t>
        </is>
      </c>
      <c r="E330" t="inlineStr">
        <is>
          <t>LEKSAND</t>
        </is>
      </c>
      <c r="G330" t="n">
        <v>1.3</v>
      </c>
      <c r="H330" t="n">
        <v>0</v>
      </c>
      <c r="I330" t="n">
        <v>0</v>
      </c>
      <c r="J330" t="n">
        <v>0</v>
      </c>
      <c r="K330" t="n">
        <v>0</v>
      </c>
      <c r="L330" t="n">
        <v>0</v>
      </c>
      <c r="M330" t="n">
        <v>0</v>
      </c>
      <c r="N330" t="n">
        <v>0</v>
      </c>
      <c r="O330" t="n">
        <v>0</v>
      </c>
      <c r="P330" t="n">
        <v>0</v>
      </c>
      <c r="Q330" t="n">
        <v>0</v>
      </c>
      <c r="R330" s="2" t="inlineStr"/>
    </row>
    <row r="331" ht="15" customHeight="1">
      <c r="A331" t="inlineStr">
        <is>
          <t>A 6778-2025</t>
        </is>
      </c>
      <c r="B331" s="1" t="n">
        <v>45700.64615740741</v>
      </c>
      <c r="C331" s="1" t="n">
        <v>45976</v>
      </c>
      <c r="D331" t="inlineStr">
        <is>
          <t>DALARNAS LÄN</t>
        </is>
      </c>
      <c r="E331" t="inlineStr">
        <is>
          <t>LEKSAND</t>
        </is>
      </c>
      <c r="G331" t="n">
        <v>2.4</v>
      </c>
      <c r="H331" t="n">
        <v>0</v>
      </c>
      <c r="I331" t="n">
        <v>0</v>
      </c>
      <c r="J331" t="n">
        <v>0</v>
      </c>
      <c r="K331" t="n">
        <v>0</v>
      </c>
      <c r="L331" t="n">
        <v>0</v>
      </c>
      <c r="M331" t="n">
        <v>0</v>
      </c>
      <c r="N331" t="n">
        <v>0</v>
      </c>
      <c r="O331" t="n">
        <v>0</v>
      </c>
      <c r="P331" t="n">
        <v>0</v>
      </c>
      <c r="Q331" t="n">
        <v>0</v>
      </c>
      <c r="R331" s="2" t="inlineStr"/>
    </row>
    <row r="332" ht="15" customHeight="1">
      <c r="A332" t="inlineStr">
        <is>
          <t>A 28633-2023</t>
        </is>
      </c>
      <c r="B332" s="1" t="n">
        <v>45103.61575231481</v>
      </c>
      <c r="C332" s="1" t="n">
        <v>45976</v>
      </c>
      <c r="D332" t="inlineStr">
        <is>
          <t>DALARNAS LÄN</t>
        </is>
      </c>
      <c r="E332" t="inlineStr">
        <is>
          <t>LEKSAND</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5583-2024</t>
        </is>
      </c>
      <c r="B333" s="1" t="n">
        <v>45334</v>
      </c>
      <c r="C333" s="1" t="n">
        <v>45976</v>
      </c>
      <c r="D333" t="inlineStr">
        <is>
          <t>DALARNAS LÄN</t>
        </is>
      </c>
      <c r="E333" t="inlineStr">
        <is>
          <t>LEKSAND</t>
        </is>
      </c>
      <c r="F333" t="inlineStr">
        <is>
          <t>Kyrkan</t>
        </is>
      </c>
      <c r="G333" t="n">
        <v>0.4</v>
      </c>
      <c r="H333" t="n">
        <v>0</v>
      </c>
      <c r="I333" t="n">
        <v>0</v>
      </c>
      <c r="J333" t="n">
        <v>0</v>
      </c>
      <c r="K333" t="n">
        <v>0</v>
      </c>
      <c r="L333" t="n">
        <v>0</v>
      </c>
      <c r="M333" t="n">
        <v>0</v>
      </c>
      <c r="N333" t="n">
        <v>0</v>
      </c>
      <c r="O333" t="n">
        <v>0</v>
      </c>
      <c r="P333" t="n">
        <v>0</v>
      </c>
      <c r="Q333" t="n">
        <v>0</v>
      </c>
      <c r="R333" s="2" t="inlineStr"/>
    </row>
    <row r="334" ht="15" customHeight="1">
      <c r="A334" t="inlineStr">
        <is>
          <t>A 56950-2024</t>
        </is>
      </c>
      <c r="B334" s="1" t="n">
        <v>45625</v>
      </c>
      <c r="C334" s="1" t="n">
        <v>45976</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9459-2023</t>
        </is>
      </c>
      <c r="B335" s="1" t="n">
        <v>44977</v>
      </c>
      <c r="C335" s="1" t="n">
        <v>45976</v>
      </c>
      <c r="D335" t="inlineStr">
        <is>
          <t>DALARNAS LÄN</t>
        </is>
      </c>
      <c r="E335" t="inlineStr">
        <is>
          <t>LEKSAND</t>
        </is>
      </c>
      <c r="G335" t="n">
        <v>1.1</v>
      </c>
      <c r="H335" t="n">
        <v>0</v>
      </c>
      <c r="I335" t="n">
        <v>0</v>
      </c>
      <c r="J335" t="n">
        <v>0</v>
      </c>
      <c r="K335" t="n">
        <v>0</v>
      </c>
      <c r="L335" t="n">
        <v>0</v>
      </c>
      <c r="M335" t="n">
        <v>0</v>
      </c>
      <c r="N335" t="n">
        <v>0</v>
      </c>
      <c r="O335" t="n">
        <v>0</v>
      </c>
      <c r="P335" t="n">
        <v>0</v>
      </c>
      <c r="Q335" t="n">
        <v>0</v>
      </c>
      <c r="R335" s="2" t="inlineStr"/>
    </row>
    <row r="336" ht="15" customHeight="1">
      <c r="A336" t="inlineStr">
        <is>
          <t>A 30198-2024</t>
        </is>
      </c>
      <c r="B336" s="1" t="n">
        <v>45490.34765046297</v>
      </c>
      <c r="C336" s="1" t="n">
        <v>45976</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59718-2023</t>
        </is>
      </c>
      <c r="B337" s="1" t="n">
        <v>45257</v>
      </c>
      <c r="C337" s="1" t="n">
        <v>45976</v>
      </c>
      <c r="D337" t="inlineStr">
        <is>
          <t>DALARNAS LÄN</t>
        </is>
      </c>
      <c r="E337" t="inlineStr">
        <is>
          <t>LEKSAND</t>
        </is>
      </c>
      <c r="G337" t="n">
        <v>2.2</v>
      </c>
      <c r="H337" t="n">
        <v>0</v>
      </c>
      <c r="I337" t="n">
        <v>0</v>
      </c>
      <c r="J337" t="n">
        <v>0</v>
      </c>
      <c r="K337" t="n">
        <v>0</v>
      </c>
      <c r="L337" t="n">
        <v>0</v>
      </c>
      <c r="M337" t="n">
        <v>0</v>
      </c>
      <c r="N337" t="n">
        <v>0</v>
      </c>
      <c r="O337" t="n">
        <v>0</v>
      </c>
      <c r="P337" t="n">
        <v>0</v>
      </c>
      <c r="Q337" t="n">
        <v>0</v>
      </c>
      <c r="R337" s="2" t="inlineStr"/>
    </row>
    <row r="338" ht="15" customHeight="1">
      <c r="A338" t="inlineStr">
        <is>
          <t>A 15120-2023</t>
        </is>
      </c>
      <c r="B338" s="1" t="n">
        <v>45016.46484953703</v>
      </c>
      <c r="C338" s="1" t="n">
        <v>45976</v>
      </c>
      <c r="D338" t="inlineStr">
        <is>
          <t>DALARNAS LÄN</t>
        </is>
      </c>
      <c r="E338" t="inlineStr">
        <is>
          <t>LEKSAND</t>
        </is>
      </c>
      <c r="G338" t="n">
        <v>2.7</v>
      </c>
      <c r="H338" t="n">
        <v>0</v>
      </c>
      <c r="I338" t="n">
        <v>0</v>
      </c>
      <c r="J338" t="n">
        <v>0</v>
      </c>
      <c r="K338" t="n">
        <v>0</v>
      </c>
      <c r="L338" t="n">
        <v>0</v>
      </c>
      <c r="M338" t="n">
        <v>0</v>
      </c>
      <c r="N338" t="n">
        <v>0</v>
      </c>
      <c r="O338" t="n">
        <v>0</v>
      </c>
      <c r="P338" t="n">
        <v>0</v>
      </c>
      <c r="Q338" t="n">
        <v>0</v>
      </c>
      <c r="R338" s="2" t="inlineStr"/>
    </row>
    <row r="339" ht="15" customHeight="1">
      <c r="A339" t="inlineStr">
        <is>
          <t>A 7395-2025</t>
        </is>
      </c>
      <c r="B339" s="1" t="n">
        <v>45705.34516203704</v>
      </c>
      <c r="C339" s="1" t="n">
        <v>45976</v>
      </c>
      <c r="D339" t="inlineStr">
        <is>
          <t>DALARNAS LÄN</t>
        </is>
      </c>
      <c r="E339" t="inlineStr">
        <is>
          <t>LEKSAND</t>
        </is>
      </c>
      <c r="G339" t="n">
        <v>1.8</v>
      </c>
      <c r="H339" t="n">
        <v>0</v>
      </c>
      <c r="I339" t="n">
        <v>0</v>
      </c>
      <c r="J339" t="n">
        <v>0</v>
      </c>
      <c r="K339" t="n">
        <v>0</v>
      </c>
      <c r="L339" t="n">
        <v>0</v>
      </c>
      <c r="M339" t="n">
        <v>0</v>
      </c>
      <c r="N339" t="n">
        <v>0</v>
      </c>
      <c r="O339" t="n">
        <v>0</v>
      </c>
      <c r="P339" t="n">
        <v>0</v>
      </c>
      <c r="Q339" t="n">
        <v>0</v>
      </c>
      <c r="R339" s="2" t="inlineStr"/>
    </row>
    <row r="340" ht="15" customHeight="1">
      <c r="A340" t="inlineStr">
        <is>
          <t>A 16744-2025</t>
        </is>
      </c>
      <c r="B340" s="1" t="n">
        <v>45754</v>
      </c>
      <c r="C340" s="1" t="n">
        <v>45976</v>
      </c>
      <c r="D340" t="inlineStr">
        <is>
          <t>DALARNAS LÄN</t>
        </is>
      </c>
      <c r="E340" t="inlineStr">
        <is>
          <t>LEKSAND</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43693-2022</t>
        </is>
      </c>
      <c r="B341" s="1" t="n">
        <v>44837.6369212963</v>
      </c>
      <c r="C341" s="1" t="n">
        <v>45976</v>
      </c>
      <c r="D341" t="inlineStr">
        <is>
          <t>DALARNAS LÄN</t>
        </is>
      </c>
      <c r="E341" t="inlineStr">
        <is>
          <t>LEKSAND</t>
        </is>
      </c>
      <c r="G341" t="n">
        <v>2.7</v>
      </c>
      <c r="H341" t="n">
        <v>0</v>
      </c>
      <c r="I341" t="n">
        <v>0</v>
      </c>
      <c r="J341" t="n">
        <v>0</v>
      </c>
      <c r="K341" t="n">
        <v>0</v>
      </c>
      <c r="L341" t="n">
        <v>0</v>
      </c>
      <c r="M341" t="n">
        <v>0</v>
      </c>
      <c r="N341" t="n">
        <v>0</v>
      </c>
      <c r="O341" t="n">
        <v>0</v>
      </c>
      <c r="P341" t="n">
        <v>0</v>
      </c>
      <c r="Q341" t="n">
        <v>0</v>
      </c>
      <c r="R341" s="2" t="inlineStr"/>
    </row>
    <row r="342" ht="15" customHeight="1">
      <c r="A342" t="inlineStr">
        <is>
          <t>A 11859-2024</t>
        </is>
      </c>
      <c r="B342" s="1" t="n">
        <v>45376.44569444445</v>
      </c>
      <c r="C342" s="1" t="n">
        <v>45976</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51320-2023</t>
        </is>
      </c>
      <c r="B343" s="1" t="n">
        <v>45219.57456018519</v>
      </c>
      <c r="C343" s="1" t="n">
        <v>45976</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28630-2023</t>
        </is>
      </c>
      <c r="B344" s="1" t="n">
        <v>45103.61003472222</v>
      </c>
      <c r="C344" s="1" t="n">
        <v>45976</v>
      </c>
      <c r="D344" t="inlineStr">
        <is>
          <t>DALARNAS LÄN</t>
        </is>
      </c>
      <c r="E344" t="inlineStr">
        <is>
          <t>LEKSAND</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30860-2024</t>
        </is>
      </c>
      <c r="B345" s="1" t="n">
        <v>45497.69108796296</v>
      </c>
      <c r="C345" s="1" t="n">
        <v>45976</v>
      </c>
      <c r="D345" t="inlineStr">
        <is>
          <t>DALARNAS LÄN</t>
        </is>
      </c>
      <c r="E345" t="inlineStr">
        <is>
          <t>LEKSAND</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30864-2024</t>
        </is>
      </c>
      <c r="B346" s="1" t="n">
        <v>45497.71550925926</v>
      </c>
      <c r="C346" s="1" t="n">
        <v>45976</v>
      </c>
      <c r="D346" t="inlineStr">
        <is>
          <t>DALARNAS LÄN</t>
        </is>
      </c>
      <c r="E346" t="inlineStr">
        <is>
          <t>LEKSAND</t>
        </is>
      </c>
      <c r="F346" t="inlineStr">
        <is>
          <t>Bergvik skog väst AB</t>
        </is>
      </c>
      <c r="G346" t="n">
        <v>2.3</v>
      </c>
      <c r="H346" t="n">
        <v>0</v>
      </c>
      <c r="I346" t="n">
        <v>0</v>
      </c>
      <c r="J346" t="n">
        <v>0</v>
      </c>
      <c r="K346" t="n">
        <v>0</v>
      </c>
      <c r="L346" t="n">
        <v>0</v>
      </c>
      <c r="M346" t="n">
        <v>0</v>
      </c>
      <c r="N346" t="n">
        <v>0</v>
      </c>
      <c r="O346" t="n">
        <v>0</v>
      </c>
      <c r="P346" t="n">
        <v>0</v>
      </c>
      <c r="Q346" t="n">
        <v>0</v>
      </c>
      <c r="R346" s="2" t="inlineStr"/>
    </row>
    <row r="347" ht="15" customHeight="1">
      <c r="A347" t="inlineStr">
        <is>
          <t>A 50278-2023</t>
        </is>
      </c>
      <c r="B347" s="1" t="n">
        <v>45216.43444444444</v>
      </c>
      <c r="C347" s="1" t="n">
        <v>45976</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5453-2025</t>
        </is>
      </c>
      <c r="B348" s="1" t="n">
        <v>45692.95231481481</v>
      </c>
      <c r="C348" s="1" t="n">
        <v>45976</v>
      </c>
      <c r="D348" t="inlineStr">
        <is>
          <t>DALARNAS LÄN</t>
        </is>
      </c>
      <c r="E348" t="inlineStr">
        <is>
          <t>LEKSAND</t>
        </is>
      </c>
      <c r="G348" t="n">
        <v>2.2</v>
      </c>
      <c r="H348" t="n">
        <v>0</v>
      </c>
      <c r="I348" t="n">
        <v>0</v>
      </c>
      <c r="J348" t="n">
        <v>0</v>
      </c>
      <c r="K348" t="n">
        <v>0</v>
      </c>
      <c r="L348" t="n">
        <v>0</v>
      </c>
      <c r="M348" t="n">
        <v>0</v>
      </c>
      <c r="N348" t="n">
        <v>0</v>
      </c>
      <c r="O348" t="n">
        <v>0</v>
      </c>
      <c r="P348" t="n">
        <v>0</v>
      </c>
      <c r="Q348" t="n">
        <v>0</v>
      </c>
      <c r="R348" s="2" t="inlineStr"/>
    </row>
    <row r="349" ht="15" customHeight="1">
      <c r="A349" t="inlineStr">
        <is>
          <t>A 3352-2024</t>
        </is>
      </c>
      <c r="B349" s="1" t="n">
        <v>45317</v>
      </c>
      <c r="C349" s="1" t="n">
        <v>45976</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52755-2024</t>
        </is>
      </c>
      <c r="B350" s="1" t="n">
        <v>45610.50217592593</v>
      </c>
      <c r="C350" s="1" t="n">
        <v>45976</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40513-2025</t>
        </is>
      </c>
      <c r="B351" s="1" t="n">
        <v>45896.35100694445</v>
      </c>
      <c r="C351" s="1" t="n">
        <v>45976</v>
      </c>
      <c r="D351" t="inlineStr">
        <is>
          <t>DALARNAS LÄN</t>
        </is>
      </c>
      <c r="E351" t="inlineStr">
        <is>
          <t>LEKSAND</t>
        </is>
      </c>
      <c r="G351" t="n">
        <v>7.1</v>
      </c>
      <c r="H351" t="n">
        <v>0</v>
      </c>
      <c r="I351" t="n">
        <v>0</v>
      </c>
      <c r="J351" t="n">
        <v>0</v>
      </c>
      <c r="K351" t="n">
        <v>0</v>
      </c>
      <c r="L351" t="n">
        <v>0</v>
      </c>
      <c r="M351" t="n">
        <v>0</v>
      </c>
      <c r="N351" t="n">
        <v>0</v>
      </c>
      <c r="O351" t="n">
        <v>0</v>
      </c>
      <c r="P351" t="n">
        <v>0</v>
      </c>
      <c r="Q351" t="n">
        <v>0</v>
      </c>
      <c r="R351" s="2" t="inlineStr"/>
    </row>
    <row r="352" ht="15" customHeight="1">
      <c r="A352" t="inlineStr">
        <is>
          <t>A 13401-2023</t>
        </is>
      </c>
      <c r="B352" s="1" t="n">
        <v>45005</v>
      </c>
      <c r="C352" s="1" t="n">
        <v>45976</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61252-2023</t>
        </is>
      </c>
      <c r="B353" s="1" t="n">
        <v>45261</v>
      </c>
      <c r="C353" s="1" t="n">
        <v>45976</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13165-2023</t>
        </is>
      </c>
      <c r="B354" s="1" t="n">
        <v>45002.57731481481</v>
      </c>
      <c r="C354" s="1" t="n">
        <v>45976</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39620-2024</t>
        </is>
      </c>
      <c r="B355" s="1" t="n">
        <v>45552.43163194445</v>
      </c>
      <c r="C355" s="1" t="n">
        <v>45976</v>
      </c>
      <c r="D355" t="inlineStr">
        <is>
          <t>DALARNAS LÄN</t>
        </is>
      </c>
      <c r="E355" t="inlineStr">
        <is>
          <t>LEKSAND</t>
        </is>
      </c>
      <c r="G355" t="n">
        <v>2.3</v>
      </c>
      <c r="H355" t="n">
        <v>0</v>
      </c>
      <c r="I355" t="n">
        <v>0</v>
      </c>
      <c r="J355" t="n">
        <v>0</v>
      </c>
      <c r="K355" t="n">
        <v>0</v>
      </c>
      <c r="L355" t="n">
        <v>0</v>
      </c>
      <c r="M355" t="n">
        <v>0</v>
      </c>
      <c r="N355" t="n">
        <v>0</v>
      </c>
      <c r="O355" t="n">
        <v>0</v>
      </c>
      <c r="P355" t="n">
        <v>0</v>
      </c>
      <c r="Q355" t="n">
        <v>0</v>
      </c>
      <c r="R355" s="2" t="inlineStr"/>
    </row>
    <row r="356" ht="15" customHeight="1">
      <c r="A356" t="inlineStr">
        <is>
          <t>A 49212-2025</t>
        </is>
      </c>
      <c r="B356" s="1" t="n">
        <v>45938.43855324074</v>
      </c>
      <c r="C356" s="1" t="n">
        <v>45976</v>
      </c>
      <c r="D356" t="inlineStr">
        <is>
          <t>DALARNAS LÄN</t>
        </is>
      </c>
      <c r="E356" t="inlineStr">
        <is>
          <t>LEKSAND</t>
        </is>
      </c>
      <c r="G356" t="n">
        <v>2</v>
      </c>
      <c r="H356" t="n">
        <v>0</v>
      </c>
      <c r="I356" t="n">
        <v>0</v>
      </c>
      <c r="J356" t="n">
        <v>0</v>
      </c>
      <c r="K356" t="n">
        <v>0</v>
      </c>
      <c r="L356" t="n">
        <v>0</v>
      </c>
      <c r="M356" t="n">
        <v>0</v>
      </c>
      <c r="N356" t="n">
        <v>0</v>
      </c>
      <c r="O356" t="n">
        <v>0</v>
      </c>
      <c r="P356" t="n">
        <v>0</v>
      </c>
      <c r="Q356" t="n">
        <v>0</v>
      </c>
      <c r="R356" s="2" t="inlineStr"/>
    </row>
    <row r="357" ht="15" customHeight="1">
      <c r="A357" t="inlineStr">
        <is>
          <t>A 49209-2025</t>
        </is>
      </c>
      <c r="B357" s="1" t="n">
        <v>45938.43589120371</v>
      </c>
      <c r="C357" s="1" t="n">
        <v>45976</v>
      </c>
      <c r="D357" t="inlineStr">
        <is>
          <t>DALARNAS LÄN</t>
        </is>
      </c>
      <c r="E357" t="inlineStr">
        <is>
          <t>LEKSAND</t>
        </is>
      </c>
      <c r="G357" t="n">
        <v>4.8</v>
      </c>
      <c r="H357" t="n">
        <v>0</v>
      </c>
      <c r="I357" t="n">
        <v>0</v>
      </c>
      <c r="J357" t="n">
        <v>0</v>
      </c>
      <c r="K357" t="n">
        <v>0</v>
      </c>
      <c r="L357" t="n">
        <v>0</v>
      </c>
      <c r="M357" t="n">
        <v>0</v>
      </c>
      <c r="N357" t="n">
        <v>0</v>
      </c>
      <c r="O357" t="n">
        <v>0</v>
      </c>
      <c r="P357" t="n">
        <v>0</v>
      </c>
      <c r="Q357" t="n">
        <v>0</v>
      </c>
      <c r="R357" s="2" t="inlineStr"/>
    </row>
    <row r="358" ht="15" customHeight="1">
      <c r="A358" t="inlineStr">
        <is>
          <t>A 40517-2025</t>
        </is>
      </c>
      <c r="B358" s="1" t="n">
        <v>45896.36368055556</v>
      </c>
      <c r="C358" s="1" t="n">
        <v>45976</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49505-2025</t>
        </is>
      </c>
      <c r="B359" s="1" t="n">
        <v>45939.37564814815</v>
      </c>
      <c r="C359" s="1" t="n">
        <v>45976</v>
      </c>
      <c r="D359" t="inlineStr">
        <is>
          <t>DALARNAS LÄN</t>
        </is>
      </c>
      <c r="E359" t="inlineStr">
        <is>
          <t>LEKSAND</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30204-2024</t>
        </is>
      </c>
      <c r="B360" s="1" t="n">
        <v>45490.35402777778</v>
      </c>
      <c r="C360" s="1" t="n">
        <v>45976</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45976</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17730-2024</t>
        </is>
      </c>
      <c r="B362" s="1" t="n">
        <v>45418</v>
      </c>
      <c r="C362" s="1" t="n">
        <v>45976</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23323-2023</t>
        </is>
      </c>
      <c r="B363" s="1" t="n">
        <v>45076</v>
      </c>
      <c r="C363" s="1" t="n">
        <v>45976</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45512-2023</t>
        </is>
      </c>
      <c r="B364" s="1" t="n">
        <v>45194.49178240741</v>
      </c>
      <c r="C364" s="1" t="n">
        <v>45976</v>
      </c>
      <c r="D364" t="inlineStr">
        <is>
          <t>DALARNAS LÄN</t>
        </is>
      </c>
      <c r="E364" t="inlineStr">
        <is>
          <t>LEKSAND</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41487-2025</t>
        </is>
      </c>
      <c r="B365" s="1" t="n">
        <v>45901.4815625</v>
      </c>
      <c r="C365" s="1" t="n">
        <v>45976</v>
      </c>
      <c r="D365" t="inlineStr">
        <is>
          <t>DALARNAS LÄN</t>
        </is>
      </c>
      <c r="E365" t="inlineStr">
        <is>
          <t>LEKSAND</t>
        </is>
      </c>
      <c r="F365" t="inlineStr">
        <is>
          <t>Bergvik skog väst AB</t>
        </is>
      </c>
      <c r="G365" t="n">
        <v>7.3</v>
      </c>
      <c r="H365" t="n">
        <v>0</v>
      </c>
      <c r="I365" t="n">
        <v>0</v>
      </c>
      <c r="J365" t="n">
        <v>0</v>
      </c>
      <c r="K365" t="n">
        <v>0</v>
      </c>
      <c r="L365" t="n">
        <v>0</v>
      </c>
      <c r="M365" t="n">
        <v>0</v>
      </c>
      <c r="N365" t="n">
        <v>0</v>
      </c>
      <c r="O365" t="n">
        <v>0</v>
      </c>
      <c r="P365" t="n">
        <v>0</v>
      </c>
      <c r="Q365" t="n">
        <v>0</v>
      </c>
      <c r="R365" s="2" t="inlineStr"/>
    </row>
    <row r="366" ht="15" customHeight="1">
      <c r="A366" t="inlineStr">
        <is>
          <t>A 17485-2025</t>
        </is>
      </c>
      <c r="B366" s="1" t="n">
        <v>45757.49976851852</v>
      </c>
      <c r="C366" s="1" t="n">
        <v>45976</v>
      </c>
      <c r="D366" t="inlineStr">
        <is>
          <t>DALARNAS LÄN</t>
        </is>
      </c>
      <c r="E366" t="inlineStr">
        <is>
          <t>LEKSAND</t>
        </is>
      </c>
      <c r="G366" t="n">
        <v>3.7</v>
      </c>
      <c r="H366" t="n">
        <v>0</v>
      </c>
      <c r="I366" t="n">
        <v>0</v>
      </c>
      <c r="J366" t="n">
        <v>0</v>
      </c>
      <c r="K366" t="n">
        <v>0</v>
      </c>
      <c r="L366" t="n">
        <v>0</v>
      </c>
      <c r="M366" t="n">
        <v>0</v>
      </c>
      <c r="N366" t="n">
        <v>0</v>
      </c>
      <c r="O366" t="n">
        <v>0</v>
      </c>
      <c r="P366" t="n">
        <v>0</v>
      </c>
      <c r="Q366" t="n">
        <v>0</v>
      </c>
      <c r="R366" s="2" t="inlineStr"/>
    </row>
    <row r="367" ht="15" customHeight="1">
      <c r="A367" t="inlineStr">
        <is>
          <t>A 18176-2024</t>
        </is>
      </c>
      <c r="B367" s="1" t="n">
        <v>45420.63901620371</v>
      </c>
      <c r="C367" s="1" t="n">
        <v>45976</v>
      </c>
      <c r="D367" t="inlineStr">
        <is>
          <t>DALARNAS LÄN</t>
        </is>
      </c>
      <c r="E367" t="inlineStr">
        <is>
          <t>LEKSAND</t>
        </is>
      </c>
      <c r="F367" t="inlineStr">
        <is>
          <t>Bergvik skog väst AB</t>
        </is>
      </c>
      <c r="G367" t="n">
        <v>0.9</v>
      </c>
      <c r="H367" t="n">
        <v>0</v>
      </c>
      <c r="I367" t="n">
        <v>0</v>
      </c>
      <c r="J367" t="n">
        <v>0</v>
      </c>
      <c r="K367" t="n">
        <v>0</v>
      </c>
      <c r="L367" t="n">
        <v>0</v>
      </c>
      <c r="M367" t="n">
        <v>0</v>
      </c>
      <c r="N367" t="n">
        <v>0</v>
      </c>
      <c r="O367" t="n">
        <v>0</v>
      </c>
      <c r="P367" t="n">
        <v>0</v>
      </c>
      <c r="Q367" t="n">
        <v>0</v>
      </c>
      <c r="R367" s="2" t="inlineStr"/>
    </row>
    <row r="368" ht="15" customHeight="1">
      <c r="A368" t="inlineStr">
        <is>
          <t>A 60024-2023</t>
        </is>
      </c>
      <c r="B368" s="1" t="n">
        <v>45258</v>
      </c>
      <c r="C368" s="1" t="n">
        <v>45976</v>
      </c>
      <c r="D368" t="inlineStr">
        <is>
          <t>DALARNAS LÄN</t>
        </is>
      </c>
      <c r="E368" t="inlineStr">
        <is>
          <t>LEKSAND</t>
        </is>
      </c>
      <c r="G368" t="n">
        <v>4.2</v>
      </c>
      <c r="H368" t="n">
        <v>0</v>
      </c>
      <c r="I368" t="n">
        <v>0</v>
      </c>
      <c r="J368" t="n">
        <v>0</v>
      </c>
      <c r="K368" t="n">
        <v>0</v>
      </c>
      <c r="L368" t="n">
        <v>0</v>
      </c>
      <c r="M368" t="n">
        <v>0</v>
      </c>
      <c r="N368" t="n">
        <v>0</v>
      </c>
      <c r="O368" t="n">
        <v>0</v>
      </c>
      <c r="P368" t="n">
        <v>0</v>
      </c>
      <c r="Q368" t="n">
        <v>0</v>
      </c>
      <c r="R368" s="2" t="inlineStr"/>
    </row>
    <row r="369" ht="15" customHeight="1">
      <c r="A369" t="inlineStr">
        <is>
          <t>A 41237-2025</t>
        </is>
      </c>
      <c r="B369" s="1" t="n">
        <v>45898.59570601852</v>
      </c>
      <c r="C369" s="1" t="n">
        <v>45976</v>
      </c>
      <c r="D369" t="inlineStr">
        <is>
          <t>DALARNAS LÄN</t>
        </is>
      </c>
      <c r="E369" t="inlineStr">
        <is>
          <t>LEKSAND</t>
        </is>
      </c>
      <c r="F369" t="inlineStr">
        <is>
          <t>Bergvik skog väst AB</t>
        </is>
      </c>
      <c r="G369" t="n">
        <v>1.4</v>
      </c>
      <c r="H369" t="n">
        <v>0</v>
      </c>
      <c r="I369" t="n">
        <v>0</v>
      </c>
      <c r="J369" t="n">
        <v>0</v>
      </c>
      <c r="K369" t="n">
        <v>0</v>
      </c>
      <c r="L369" t="n">
        <v>0</v>
      </c>
      <c r="M369" t="n">
        <v>0</v>
      </c>
      <c r="N369" t="n">
        <v>0</v>
      </c>
      <c r="O369" t="n">
        <v>0</v>
      </c>
      <c r="P369" t="n">
        <v>0</v>
      </c>
      <c r="Q369" t="n">
        <v>0</v>
      </c>
      <c r="R369" s="2" t="inlineStr"/>
    </row>
    <row r="370" ht="15" customHeight="1">
      <c r="A370" t="inlineStr">
        <is>
          <t>A 41248-2025</t>
        </is>
      </c>
      <c r="B370" s="1" t="n">
        <v>45898.60199074074</v>
      </c>
      <c r="C370" s="1" t="n">
        <v>45976</v>
      </c>
      <c r="D370" t="inlineStr">
        <is>
          <t>DALARNAS LÄN</t>
        </is>
      </c>
      <c r="E370" t="inlineStr">
        <is>
          <t>LEKSAND</t>
        </is>
      </c>
      <c r="F370" t="inlineStr">
        <is>
          <t>Bergvik skog väst AB</t>
        </is>
      </c>
      <c r="G370" t="n">
        <v>2.5</v>
      </c>
      <c r="H370" t="n">
        <v>0</v>
      </c>
      <c r="I370" t="n">
        <v>0</v>
      </c>
      <c r="J370" t="n">
        <v>0</v>
      </c>
      <c r="K370" t="n">
        <v>0</v>
      </c>
      <c r="L370" t="n">
        <v>0</v>
      </c>
      <c r="M370" t="n">
        <v>0</v>
      </c>
      <c r="N370" t="n">
        <v>0</v>
      </c>
      <c r="O370" t="n">
        <v>0</v>
      </c>
      <c r="P370" t="n">
        <v>0</v>
      </c>
      <c r="Q370" t="n">
        <v>0</v>
      </c>
      <c r="R370" s="2" t="inlineStr"/>
    </row>
    <row r="371" ht="15" customHeight="1">
      <c r="A371" t="inlineStr">
        <is>
          <t>A 19330-2025</t>
        </is>
      </c>
      <c r="B371" s="1" t="n">
        <v>45769</v>
      </c>
      <c r="C371" s="1" t="n">
        <v>45976</v>
      </c>
      <c r="D371" t="inlineStr">
        <is>
          <t>DALARNAS LÄN</t>
        </is>
      </c>
      <c r="E371" t="inlineStr">
        <is>
          <t>LEKSAND</t>
        </is>
      </c>
      <c r="G371" t="n">
        <v>1.6</v>
      </c>
      <c r="H371" t="n">
        <v>0</v>
      </c>
      <c r="I371" t="n">
        <v>0</v>
      </c>
      <c r="J371" t="n">
        <v>0</v>
      </c>
      <c r="K371" t="n">
        <v>0</v>
      </c>
      <c r="L371" t="n">
        <v>0</v>
      </c>
      <c r="M371" t="n">
        <v>0</v>
      </c>
      <c r="N371" t="n">
        <v>0</v>
      </c>
      <c r="O371" t="n">
        <v>0</v>
      </c>
      <c r="P371" t="n">
        <v>0</v>
      </c>
      <c r="Q371" t="n">
        <v>0</v>
      </c>
      <c r="R371" s="2" t="inlineStr"/>
    </row>
    <row r="372" ht="15" customHeight="1">
      <c r="A372" t="inlineStr">
        <is>
          <t>A 20946-2023</t>
        </is>
      </c>
      <c r="B372" s="1" t="n">
        <v>45061</v>
      </c>
      <c r="C372" s="1" t="n">
        <v>45976</v>
      </c>
      <c r="D372" t="inlineStr">
        <is>
          <t>DALARNAS LÄN</t>
        </is>
      </c>
      <c r="E372" t="inlineStr">
        <is>
          <t>LEKSAND</t>
        </is>
      </c>
      <c r="G372" t="n">
        <v>2.7</v>
      </c>
      <c r="H372" t="n">
        <v>0</v>
      </c>
      <c r="I372" t="n">
        <v>0</v>
      </c>
      <c r="J372" t="n">
        <v>0</v>
      </c>
      <c r="K372" t="n">
        <v>0</v>
      </c>
      <c r="L372" t="n">
        <v>0</v>
      </c>
      <c r="M372" t="n">
        <v>0</v>
      </c>
      <c r="N372" t="n">
        <v>0</v>
      </c>
      <c r="O372" t="n">
        <v>0</v>
      </c>
      <c r="P372" t="n">
        <v>0</v>
      </c>
      <c r="Q372" t="n">
        <v>0</v>
      </c>
      <c r="R372" s="2" t="inlineStr"/>
    </row>
    <row r="373" ht="15" customHeight="1">
      <c r="A373" t="inlineStr">
        <is>
          <t>A 59826-2023</t>
        </is>
      </c>
      <c r="B373" s="1" t="n">
        <v>45254</v>
      </c>
      <c r="C373" s="1" t="n">
        <v>45976</v>
      </c>
      <c r="D373" t="inlineStr">
        <is>
          <t>DALARNAS LÄN</t>
        </is>
      </c>
      <c r="E373" t="inlineStr">
        <is>
          <t>LEKSAND</t>
        </is>
      </c>
      <c r="G373" t="n">
        <v>1.1</v>
      </c>
      <c r="H373" t="n">
        <v>0</v>
      </c>
      <c r="I373" t="n">
        <v>0</v>
      </c>
      <c r="J373" t="n">
        <v>0</v>
      </c>
      <c r="K373" t="n">
        <v>0</v>
      </c>
      <c r="L373" t="n">
        <v>0</v>
      </c>
      <c r="M373" t="n">
        <v>0</v>
      </c>
      <c r="N373" t="n">
        <v>0</v>
      </c>
      <c r="O373" t="n">
        <v>0</v>
      </c>
      <c r="P373" t="n">
        <v>0</v>
      </c>
      <c r="Q373" t="n">
        <v>0</v>
      </c>
      <c r="R373" s="2" t="inlineStr"/>
    </row>
    <row r="374" ht="15" customHeight="1">
      <c r="A374" t="inlineStr">
        <is>
          <t>A 34039-2024</t>
        </is>
      </c>
      <c r="B374" s="1" t="n">
        <v>45523.5974537037</v>
      </c>
      <c r="C374" s="1" t="n">
        <v>45976</v>
      </c>
      <c r="D374" t="inlineStr">
        <is>
          <t>DALARNAS LÄN</t>
        </is>
      </c>
      <c r="E374" t="inlineStr">
        <is>
          <t>LEKSAND</t>
        </is>
      </c>
      <c r="G374" t="n">
        <v>7.1</v>
      </c>
      <c r="H374" t="n">
        <v>0</v>
      </c>
      <c r="I374" t="n">
        <v>0</v>
      </c>
      <c r="J374" t="n">
        <v>0</v>
      </c>
      <c r="K374" t="n">
        <v>0</v>
      </c>
      <c r="L374" t="n">
        <v>0</v>
      </c>
      <c r="M374" t="n">
        <v>0</v>
      </c>
      <c r="N374" t="n">
        <v>0</v>
      </c>
      <c r="O374" t="n">
        <v>0</v>
      </c>
      <c r="P374" t="n">
        <v>0</v>
      </c>
      <c r="Q374" t="n">
        <v>0</v>
      </c>
      <c r="R374" s="2" t="inlineStr"/>
    </row>
    <row r="375" ht="15" customHeight="1">
      <c r="A375" t="inlineStr">
        <is>
          <t>A 28913-2024</t>
        </is>
      </c>
      <c r="B375" s="1" t="n">
        <v>45480.75318287037</v>
      </c>
      <c r="C375" s="1" t="n">
        <v>45976</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7759-2025</t>
        </is>
      </c>
      <c r="B376" s="1" t="n">
        <v>45706.53827546296</v>
      </c>
      <c r="C376" s="1" t="n">
        <v>45976</v>
      </c>
      <c r="D376" t="inlineStr">
        <is>
          <t>DALARNAS LÄN</t>
        </is>
      </c>
      <c r="E376" t="inlineStr">
        <is>
          <t>LEKSAND</t>
        </is>
      </c>
      <c r="G376" t="n">
        <v>3.3</v>
      </c>
      <c r="H376" t="n">
        <v>0</v>
      </c>
      <c r="I376" t="n">
        <v>0</v>
      </c>
      <c r="J376" t="n">
        <v>0</v>
      </c>
      <c r="K376" t="n">
        <v>0</v>
      </c>
      <c r="L376" t="n">
        <v>0</v>
      </c>
      <c r="M376" t="n">
        <v>0</v>
      </c>
      <c r="N376" t="n">
        <v>0</v>
      </c>
      <c r="O376" t="n">
        <v>0</v>
      </c>
      <c r="P376" t="n">
        <v>0</v>
      </c>
      <c r="Q376" t="n">
        <v>0</v>
      </c>
      <c r="R376" s="2" t="inlineStr"/>
    </row>
    <row r="377" ht="15" customHeight="1">
      <c r="A377" t="inlineStr">
        <is>
          <t>A 14617-2024</t>
        </is>
      </c>
      <c r="B377" s="1" t="n">
        <v>45397</v>
      </c>
      <c r="C377" s="1" t="n">
        <v>45976</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60945-2024</t>
        </is>
      </c>
      <c r="B378" s="1" t="n">
        <v>45645.37893518519</v>
      </c>
      <c r="C378" s="1" t="n">
        <v>45976</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60692-2023</t>
        </is>
      </c>
      <c r="B379" s="1" t="n">
        <v>45260.50008101852</v>
      </c>
      <c r="C379" s="1" t="n">
        <v>45976</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45976</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33072-2021</t>
        </is>
      </c>
      <c r="B381" s="1" t="n">
        <v>44375</v>
      </c>
      <c r="C381" s="1" t="n">
        <v>45976</v>
      </c>
      <c r="D381" t="inlineStr">
        <is>
          <t>DALARNAS LÄN</t>
        </is>
      </c>
      <c r="E381" t="inlineStr">
        <is>
          <t>LEKSAND</t>
        </is>
      </c>
      <c r="G381" t="n">
        <v>1.2</v>
      </c>
      <c r="H381" t="n">
        <v>0</v>
      </c>
      <c r="I381" t="n">
        <v>0</v>
      </c>
      <c r="J381" t="n">
        <v>0</v>
      </c>
      <c r="K381" t="n">
        <v>0</v>
      </c>
      <c r="L381" t="n">
        <v>0</v>
      </c>
      <c r="M381" t="n">
        <v>0</v>
      </c>
      <c r="N381" t="n">
        <v>0</v>
      </c>
      <c r="O381" t="n">
        <v>0</v>
      </c>
      <c r="P381" t="n">
        <v>0</v>
      </c>
      <c r="Q381" t="n">
        <v>0</v>
      </c>
      <c r="R381" s="2" t="inlineStr"/>
    </row>
    <row r="382" ht="15" customHeight="1">
      <c r="A382" t="inlineStr">
        <is>
          <t>A 412-2024</t>
        </is>
      </c>
      <c r="B382" s="1" t="n">
        <v>45296</v>
      </c>
      <c r="C382" s="1" t="n">
        <v>45976</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12356-2023</t>
        </is>
      </c>
      <c r="B383" s="1" t="n">
        <v>44998</v>
      </c>
      <c r="C383" s="1" t="n">
        <v>45976</v>
      </c>
      <c r="D383" t="inlineStr">
        <is>
          <t>DALARNAS LÄN</t>
        </is>
      </c>
      <c r="E383" t="inlineStr">
        <is>
          <t>LEKSAND</t>
        </is>
      </c>
      <c r="G383" t="n">
        <v>1.6</v>
      </c>
      <c r="H383" t="n">
        <v>0</v>
      </c>
      <c r="I383" t="n">
        <v>0</v>
      </c>
      <c r="J383" t="n">
        <v>0</v>
      </c>
      <c r="K383" t="n">
        <v>0</v>
      </c>
      <c r="L383" t="n">
        <v>0</v>
      </c>
      <c r="M383" t="n">
        <v>0</v>
      </c>
      <c r="N383" t="n">
        <v>0</v>
      </c>
      <c r="O383" t="n">
        <v>0</v>
      </c>
      <c r="P383" t="n">
        <v>0</v>
      </c>
      <c r="Q383" t="n">
        <v>0</v>
      </c>
      <c r="R383" s="2" t="inlineStr"/>
    </row>
    <row r="384" ht="15" customHeight="1">
      <c r="A384" t="inlineStr">
        <is>
          <t>A 12363-2023</t>
        </is>
      </c>
      <c r="B384" s="1" t="n">
        <v>44998</v>
      </c>
      <c r="C384" s="1" t="n">
        <v>45976</v>
      </c>
      <c r="D384" t="inlineStr">
        <is>
          <t>DALARNAS LÄN</t>
        </is>
      </c>
      <c r="E384" t="inlineStr">
        <is>
          <t>LEKSAND</t>
        </is>
      </c>
      <c r="G384" t="n">
        <v>10</v>
      </c>
      <c r="H384" t="n">
        <v>0</v>
      </c>
      <c r="I384" t="n">
        <v>0</v>
      </c>
      <c r="J384" t="n">
        <v>0</v>
      </c>
      <c r="K384" t="n">
        <v>0</v>
      </c>
      <c r="L384" t="n">
        <v>0</v>
      </c>
      <c r="M384" t="n">
        <v>0</v>
      </c>
      <c r="N384" t="n">
        <v>0</v>
      </c>
      <c r="O384" t="n">
        <v>0</v>
      </c>
      <c r="P384" t="n">
        <v>0</v>
      </c>
      <c r="Q384" t="n">
        <v>0</v>
      </c>
      <c r="R384" s="2" t="inlineStr"/>
    </row>
    <row r="385" ht="15" customHeight="1">
      <c r="A385" t="inlineStr">
        <is>
          <t>A 44491-2023</t>
        </is>
      </c>
      <c r="B385" s="1" t="n">
        <v>45183</v>
      </c>
      <c r="C385" s="1" t="n">
        <v>45976</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41308-2025</t>
        </is>
      </c>
      <c r="B386" s="1" t="n">
        <v>45898</v>
      </c>
      <c r="C386" s="1" t="n">
        <v>45976</v>
      </c>
      <c r="D386" t="inlineStr">
        <is>
          <t>DALARNAS LÄN</t>
        </is>
      </c>
      <c r="E386" t="inlineStr">
        <is>
          <t>LEKSAND</t>
        </is>
      </c>
      <c r="F386" t="inlineStr">
        <is>
          <t>Bergvik skog väst AB</t>
        </is>
      </c>
      <c r="G386" t="n">
        <v>6.7</v>
      </c>
      <c r="H386" t="n">
        <v>0</v>
      </c>
      <c r="I386" t="n">
        <v>0</v>
      </c>
      <c r="J386" t="n">
        <v>0</v>
      </c>
      <c r="K386" t="n">
        <v>0</v>
      </c>
      <c r="L386" t="n">
        <v>0</v>
      </c>
      <c r="M386" t="n">
        <v>0</v>
      </c>
      <c r="N386" t="n">
        <v>0</v>
      </c>
      <c r="O386" t="n">
        <v>0</v>
      </c>
      <c r="P386" t="n">
        <v>0</v>
      </c>
      <c r="Q386" t="n">
        <v>0</v>
      </c>
      <c r="R386" s="2" t="inlineStr"/>
    </row>
    <row r="387" ht="15" customHeight="1">
      <c r="A387" t="inlineStr">
        <is>
          <t>A 60920-2020</t>
        </is>
      </c>
      <c r="B387" s="1" t="n">
        <v>44153</v>
      </c>
      <c r="C387" s="1" t="n">
        <v>45976</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61614-2023</t>
        </is>
      </c>
      <c r="B388" s="1" t="n">
        <v>45261</v>
      </c>
      <c r="C388" s="1" t="n">
        <v>45976</v>
      </c>
      <c r="D388" t="inlineStr">
        <is>
          <t>DALARNAS LÄN</t>
        </is>
      </c>
      <c r="E388" t="inlineStr">
        <is>
          <t>LEKSAND</t>
        </is>
      </c>
      <c r="G388" t="n">
        <v>0.8</v>
      </c>
      <c r="H388" t="n">
        <v>0</v>
      </c>
      <c r="I388" t="n">
        <v>0</v>
      </c>
      <c r="J388" t="n">
        <v>0</v>
      </c>
      <c r="K388" t="n">
        <v>0</v>
      </c>
      <c r="L388" t="n">
        <v>0</v>
      </c>
      <c r="M388" t="n">
        <v>0</v>
      </c>
      <c r="N388" t="n">
        <v>0</v>
      </c>
      <c r="O388" t="n">
        <v>0</v>
      </c>
      <c r="P388" t="n">
        <v>0</v>
      </c>
      <c r="Q388" t="n">
        <v>0</v>
      </c>
      <c r="R388" s="2" t="inlineStr"/>
    </row>
    <row r="389" ht="15" customHeight="1">
      <c r="A389" t="inlineStr">
        <is>
          <t>A 55015-2024</t>
        </is>
      </c>
      <c r="B389" s="1" t="n">
        <v>45621.35554398148</v>
      </c>
      <c r="C389" s="1" t="n">
        <v>45976</v>
      </c>
      <c r="D389" t="inlineStr">
        <is>
          <t>DALARNAS LÄN</t>
        </is>
      </c>
      <c r="E389" t="inlineStr">
        <is>
          <t>LEKSAND</t>
        </is>
      </c>
      <c r="G389" t="n">
        <v>0.6</v>
      </c>
      <c r="H389" t="n">
        <v>0</v>
      </c>
      <c r="I389" t="n">
        <v>0</v>
      </c>
      <c r="J389" t="n">
        <v>0</v>
      </c>
      <c r="K389" t="n">
        <v>0</v>
      </c>
      <c r="L389" t="n">
        <v>0</v>
      </c>
      <c r="M389" t="n">
        <v>0</v>
      </c>
      <c r="N389" t="n">
        <v>0</v>
      </c>
      <c r="O389" t="n">
        <v>0</v>
      </c>
      <c r="P389" t="n">
        <v>0</v>
      </c>
      <c r="Q389" t="n">
        <v>0</v>
      </c>
      <c r="R389" s="2" t="inlineStr"/>
    </row>
    <row r="390" ht="15" customHeight="1">
      <c r="A390" t="inlineStr">
        <is>
          <t>A 28674-2024</t>
        </is>
      </c>
      <c r="B390" s="1" t="n">
        <v>45478.47863425926</v>
      </c>
      <c r="C390" s="1" t="n">
        <v>45976</v>
      </c>
      <c r="D390" t="inlineStr">
        <is>
          <t>DALARNAS LÄN</t>
        </is>
      </c>
      <c r="E390" t="inlineStr">
        <is>
          <t>LEKSAND</t>
        </is>
      </c>
      <c r="G390" t="n">
        <v>4.9</v>
      </c>
      <c r="H390" t="n">
        <v>0</v>
      </c>
      <c r="I390" t="n">
        <v>0</v>
      </c>
      <c r="J390" t="n">
        <v>0</v>
      </c>
      <c r="K390" t="n">
        <v>0</v>
      </c>
      <c r="L390" t="n">
        <v>0</v>
      </c>
      <c r="M390" t="n">
        <v>0</v>
      </c>
      <c r="N390" t="n">
        <v>0</v>
      </c>
      <c r="O390" t="n">
        <v>0</v>
      </c>
      <c r="P390" t="n">
        <v>0</v>
      </c>
      <c r="Q390" t="n">
        <v>0</v>
      </c>
      <c r="R390" s="2" t="inlineStr"/>
    </row>
    <row r="391" ht="15" customHeight="1">
      <c r="A391" t="inlineStr">
        <is>
          <t>A 16231-2021</t>
        </is>
      </c>
      <c r="B391" s="1" t="n">
        <v>44292</v>
      </c>
      <c r="C391" s="1" t="n">
        <v>45976</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51857-2022</t>
        </is>
      </c>
      <c r="B392" s="1" t="n">
        <v>44867</v>
      </c>
      <c r="C392" s="1" t="n">
        <v>45976</v>
      </c>
      <c r="D392" t="inlineStr">
        <is>
          <t>DALARNAS LÄN</t>
        </is>
      </c>
      <c r="E392" t="inlineStr">
        <is>
          <t>LEKSAND</t>
        </is>
      </c>
      <c r="G392" t="n">
        <v>1.2</v>
      </c>
      <c r="H392" t="n">
        <v>0</v>
      </c>
      <c r="I392" t="n">
        <v>0</v>
      </c>
      <c r="J392" t="n">
        <v>0</v>
      </c>
      <c r="K392" t="n">
        <v>0</v>
      </c>
      <c r="L392" t="n">
        <v>0</v>
      </c>
      <c r="M392" t="n">
        <v>0</v>
      </c>
      <c r="N392" t="n">
        <v>0</v>
      </c>
      <c r="O392" t="n">
        <v>0</v>
      </c>
      <c r="P392" t="n">
        <v>0</v>
      </c>
      <c r="Q392" t="n">
        <v>0</v>
      </c>
      <c r="R392" s="2" t="inlineStr"/>
    </row>
    <row r="393" ht="15" customHeight="1">
      <c r="A393" t="inlineStr">
        <is>
          <t>A 56283-2024</t>
        </is>
      </c>
      <c r="B393" s="1" t="n">
        <v>45624.67864583333</v>
      </c>
      <c r="C393" s="1" t="n">
        <v>45976</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41335-2025</t>
        </is>
      </c>
      <c r="B394" s="1" t="n">
        <v>45899.36747685185</v>
      </c>
      <c r="C394" s="1" t="n">
        <v>45976</v>
      </c>
      <c r="D394" t="inlineStr">
        <is>
          <t>DALARNAS LÄN</t>
        </is>
      </c>
      <c r="E394" t="inlineStr">
        <is>
          <t>LEKSAND</t>
        </is>
      </c>
      <c r="G394" t="n">
        <v>5.9</v>
      </c>
      <c r="H394" t="n">
        <v>0</v>
      </c>
      <c r="I394" t="n">
        <v>0</v>
      </c>
      <c r="J394" t="n">
        <v>0</v>
      </c>
      <c r="K394" t="n">
        <v>0</v>
      </c>
      <c r="L394" t="n">
        <v>0</v>
      </c>
      <c r="M394" t="n">
        <v>0</v>
      </c>
      <c r="N394" t="n">
        <v>0</v>
      </c>
      <c r="O394" t="n">
        <v>0</v>
      </c>
      <c r="P394" t="n">
        <v>0</v>
      </c>
      <c r="Q394" t="n">
        <v>0</v>
      </c>
      <c r="R394" s="2" t="inlineStr"/>
    </row>
    <row r="395" ht="15" customHeight="1">
      <c r="A395" t="inlineStr">
        <is>
          <t>A 1267-2025</t>
        </is>
      </c>
      <c r="B395" s="1" t="n">
        <v>45667</v>
      </c>
      <c r="C395" s="1" t="n">
        <v>45976</v>
      </c>
      <c r="D395" t="inlineStr">
        <is>
          <t>DALARNAS LÄN</t>
        </is>
      </c>
      <c r="E395" t="inlineStr">
        <is>
          <t>LEKSAND</t>
        </is>
      </c>
      <c r="G395" t="n">
        <v>0.8</v>
      </c>
      <c r="H395" t="n">
        <v>0</v>
      </c>
      <c r="I395" t="n">
        <v>0</v>
      </c>
      <c r="J395" t="n">
        <v>0</v>
      </c>
      <c r="K395" t="n">
        <v>0</v>
      </c>
      <c r="L395" t="n">
        <v>0</v>
      </c>
      <c r="M395" t="n">
        <v>0</v>
      </c>
      <c r="N395" t="n">
        <v>0</v>
      </c>
      <c r="O395" t="n">
        <v>0</v>
      </c>
      <c r="P395" t="n">
        <v>0</v>
      </c>
      <c r="Q395" t="n">
        <v>0</v>
      </c>
      <c r="R395" s="2" t="inlineStr"/>
    </row>
    <row r="396" ht="15" customHeight="1">
      <c r="A396" t="inlineStr">
        <is>
          <t>A 56330-2022</t>
        </is>
      </c>
      <c r="B396" s="1" t="n">
        <v>44890.62630787037</v>
      </c>
      <c r="C396" s="1" t="n">
        <v>45976</v>
      </c>
      <c r="D396" t="inlineStr">
        <is>
          <t>DALARNAS LÄN</t>
        </is>
      </c>
      <c r="E396" t="inlineStr">
        <is>
          <t>LEKSAND</t>
        </is>
      </c>
      <c r="G396" t="n">
        <v>4.9</v>
      </c>
      <c r="H396" t="n">
        <v>0</v>
      </c>
      <c r="I396" t="n">
        <v>0</v>
      </c>
      <c r="J396" t="n">
        <v>0</v>
      </c>
      <c r="K396" t="n">
        <v>0</v>
      </c>
      <c r="L396" t="n">
        <v>0</v>
      </c>
      <c r="M396" t="n">
        <v>0</v>
      </c>
      <c r="N396" t="n">
        <v>0</v>
      </c>
      <c r="O396" t="n">
        <v>0</v>
      </c>
      <c r="P396" t="n">
        <v>0</v>
      </c>
      <c r="Q396" t="n">
        <v>0</v>
      </c>
      <c r="R396" s="2" t="inlineStr"/>
    </row>
    <row r="397" ht="15" customHeight="1">
      <c r="A397" t="inlineStr">
        <is>
          <t>A 53122-2023</t>
        </is>
      </c>
      <c r="B397" s="1" t="n">
        <v>45228</v>
      </c>
      <c r="C397" s="1" t="n">
        <v>45976</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41380-2025</t>
        </is>
      </c>
      <c r="B398" s="1" t="n">
        <v>45900.92826388889</v>
      </c>
      <c r="C398" s="1" t="n">
        <v>45976</v>
      </c>
      <c r="D398" t="inlineStr">
        <is>
          <t>DALARNAS LÄN</t>
        </is>
      </c>
      <c r="E398" t="inlineStr">
        <is>
          <t>LEKSAND</t>
        </is>
      </c>
      <c r="G398" t="n">
        <v>1.4</v>
      </c>
      <c r="H398" t="n">
        <v>0</v>
      </c>
      <c r="I398" t="n">
        <v>0</v>
      </c>
      <c r="J398" t="n">
        <v>0</v>
      </c>
      <c r="K398" t="n">
        <v>0</v>
      </c>
      <c r="L398" t="n">
        <v>0</v>
      </c>
      <c r="M398" t="n">
        <v>0</v>
      </c>
      <c r="N398" t="n">
        <v>0</v>
      </c>
      <c r="O398" t="n">
        <v>0</v>
      </c>
      <c r="P398" t="n">
        <v>0</v>
      </c>
      <c r="Q398" t="n">
        <v>0</v>
      </c>
      <c r="R398" s="2" t="inlineStr"/>
    </row>
    <row r="399" ht="15" customHeight="1">
      <c r="A399" t="inlineStr">
        <is>
          <t>A 59673-2023</t>
        </is>
      </c>
      <c r="B399" s="1" t="n">
        <v>45255.44603009259</v>
      </c>
      <c r="C399" s="1" t="n">
        <v>45976</v>
      </c>
      <c r="D399" t="inlineStr">
        <is>
          <t>DALARNAS LÄN</t>
        </is>
      </c>
      <c r="E399" t="inlineStr">
        <is>
          <t>LEKSAND</t>
        </is>
      </c>
      <c r="G399" t="n">
        <v>12.2</v>
      </c>
      <c r="H399" t="n">
        <v>0</v>
      </c>
      <c r="I399" t="n">
        <v>0</v>
      </c>
      <c r="J399" t="n">
        <v>0</v>
      </c>
      <c r="K399" t="n">
        <v>0</v>
      </c>
      <c r="L399" t="n">
        <v>0</v>
      </c>
      <c r="M399" t="n">
        <v>0</v>
      </c>
      <c r="N399" t="n">
        <v>0</v>
      </c>
      <c r="O399" t="n">
        <v>0</v>
      </c>
      <c r="P399" t="n">
        <v>0</v>
      </c>
      <c r="Q399" t="n">
        <v>0</v>
      </c>
      <c r="R399" s="2" t="inlineStr"/>
    </row>
    <row r="400" ht="15" customHeight="1">
      <c r="A400" t="inlineStr">
        <is>
          <t>A 17726-2024</t>
        </is>
      </c>
      <c r="B400" s="1" t="n">
        <v>45418.55609953704</v>
      </c>
      <c r="C400" s="1" t="n">
        <v>45976</v>
      </c>
      <c r="D400" t="inlineStr">
        <is>
          <t>DALARNAS LÄN</t>
        </is>
      </c>
      <c r="E400" t="inlineStr">
        <is>
          <t>LEKSAND</t>
        </is>
      </c>
      <c r="G400" t="n">
        <v>5.2</v>
      </c>
      <c r="H400" t="n">
        <v>0</v>
      </c>
      <c r="I400" t="n">
        <v>0</v>
      </c>
      <c r="J400" t="n">
        <v>0</v>
      </c>
      <c r="K400" t="n">
        <v>0</v>
      </c>
      <c r="L400" t="n">
        <v>0</v>
      </c>
      <c r="M400" t="n">
        <v>0</v>
      </c>
      <c r="N400" t="n">
        <v>0</v>
      </c>
      <c r="O400" t="n">
        <v>0</v>
      </c>
      <c r="P400" t="n">
        <v>0</v>
      </c>
      <c r="Q400" t="n">
        <v>0</v>
      </c>
      <c r="R400" s="2" t="inlineStr"/>
    </row>
    <row r="401" ht="15" customHeight="1">
      <c r="A401" t="inlineStr">
        <is>
          <t>A 32-2024</t>
        </is>
      </c>
      <c r="B401" s="1" t="n">
        <v>45293</v>
      </c>
      <c r="C401" s="1" t="n">
        <v>45976</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1719-2024</t>
        </is>
      </c>
      <c r="B402" s="1" t="n">
        <v>45307</v>
      </c>
      <c r="C402" s="1" t="n">
        <v>45976</v>
      </c>
      <c r="D402" t="inlineStr">
        <is>
          <t>DALARNAS LÄN</t>
        </is>
      </c>
      <c r="E402" t="inlineStr">
        <is>
          <t>LEKSAND</t>
        </is>
      </c>
      <c r="G402" t="n">
        <v>2.8</v>
      </c>
      <c r="H402" t="n">
        <v>0</v>
      </c>
      <c r="I402" t="n">
        <v>0</v>
      </c>
      <c r="J402" t="n">
        <v>0</v>
      </c>
      <c r="K402" t="n">
        <v>0</v>
      </c>
      <c r="L402" t="n">
        <v>0</v>
      </c>
      <c r="M402" t="n">
        <v>0</v>
      </c>
      <c r="N402" t="n">
        <v>0</v>
      </c>
      <c r="O402" t="n">
        <v>0</v>
      </c>
      <c r="P402" t="n">
        <v>0</v>
      </c>
      <c r="Q402" t="n">
        <v>0</v>
      </c>
      <c r="R402" s="2" t="inlineStr"/>
    </row>
    <row r="403" ht="15" customHeight="1">
      <c r="A403" t="inlineStr">
        <is>
          <t>A 33463-2023</t>
        </is>
      </c>
      <c r="B403" s="1" t="n">
        <v>45131</v>
      </c>
      <c r="C403" s="1" t="n">
        <v>45976</v>
      </c>
      <c r="D403" t="inlineStr">
        <is>
          <t>DALARNAS LÄN</t>
        </is>
      </c>
      <c r="E403" t="inlineStr">
        <is>
          <t>LEKSAND</t>
        </is>
      </c>
      <c r="G403" t="n">
        <v>0.7</v>
      </c>
      <c r="H403" t="n">
        <v>0</v>
      </c>
      <c r="I403" t="n">
        <v>0</v>
      </c>
      <c r="J403" t="n">
        <v>0</v>
      </c>
      <c r="K403" t="n">
        <v>0</v>
      </c>
      <c r="L403" t="n">
        <v>0</v>
      </c>
      <c r="M403" t="n">
        <v>0</v>
      </c>
      <c r="N403" t="n">
        <v>0</v>
      </c>
      <c r="O403" t="n">
        <v>0</v>
      </c>
      <c r="P403" t="n">
        <v>0</v>
      </c>
      <c r="Q403" t="n">
        <v>0</v>
      </c>
      <c r="R403" s="2" t="inlineStr"/>
    </row>
    <row r="404" ht="15" customHeight="1">
      <c r="A404" t="inlineStr">
        <is>
          <t>A 55516-2024</t>
        </is>
      </c>
      <c r="B404" s="1" t="n">
        <v>45621</v>
      </c>
      <c r="C404" s="1" t="n">
        <v>45976</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12992-2022</t>
        </is>
      </c>
      <c r="B405" s="1" t="n">
        <v>44643</v>
      </c>
      <c r="C405" s="1" t="n">
        <v>45976</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11092-2023</t>
        </is>
      </c>
      <c r="B406" s="1" t="n">
        <v>44992</v>
      </c>
      <c r="C406" s="1" t="n">
        <v>45976</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23892-2025</t>
        </is>
      </c>
      <c r="B407" s="1" t="n">
        <v>45793</v>
      </c>
      <c r="C407" s="1" t="n">
        <v>45976</v>
      </c>
      <c r="D407" t="inlineStr">
        <is>
          <t>DALARNAS LÄN</t>
        </is>
      </c>
      <c r="E407" t="inlineStr">
        <is>
          <t>LEKSAND</t>
        </is>
      </c>
      <c r="F407" t="inlineStr">
        <is>
          <t>Kommuner</t>
        </is>
      </c>
      <c r="G407" t="n">
        <v>1.5</v>
      </c>
      <c r="H407" t="n">
        <v>0</v>
      </c>
      <c r="I407" t="n">
        <v>0</v>
      </c>
      <c r="J407" t="n">
        <v>0</v>
      </c>
      <c r="K407" t="n">
        <v>0</v>
      </c>
      <c r="L407" t="n">
        <v>0</v>
      </c>
      <c r="M407" t="n">
        <v>0</v>
      </c>
      <c r="N407" t="n">
        <v>0</v>
      </c>
      <c r="O407" t="n">
        <v>0</v>
      </c>
      <c r="P407" t="n">
        <v>0</v>
      </c>
      <c r="Q407" t="n">
        <v>0</v>
      </c>
      <c r="R407" s="2" t="inlineStr"/>
    </row>
    <row r="408" ht="15" customHeight="1">
      <c r="A408" t="inlineStr">
        <is>
          <t>A 28578-2023</t>
        </is>
      </c>
      <c r="B408" s="1" t="n">
        <v>45103</v>
      </c>
      <c r="C408" s="1" t="n">
        <v>45976</v>
      </c>
      <c r="D408" t="inlineStr">
        <is>
          <t>DALARNAS LÄN</t>
        </is>
      </c>
      <c r="E408" t="inlineStr">
        <is>
          <t>LEKSAND</t>
        </is>
      </c>
      <c r="G408" t="n">
        <v>4.4</v>
      </c>
      <c r="H408" t="n">
        <v>0</v>
      </c>
      <c r="I408" t="n">
        <v>0</v>
      </c>
      <c r="J408" t="n">
        <v>0</v>
      </c>
      <c r="K408" t="n">
        <v>0</v>
      </c>
      <c r="L408" t="n">
        <v>0</v>
      </c>
      <c r="M408" t="n">
        <v>0</v>
      </c>
      <c r="N408" t="n">
        <v>0</v>
      </c>
      <c r="O408" t="n">
        <v>0</v>
      </c>
      <c r="P408" t="n">
        <v>0</v>
      </c>
      <c r="Q408" t="n">
        <v>0</v>
      </c>
      <c r="R408" s="2" t="inlineStr"/>
    </row>
    <row r="409" ht="15" customHeight="1">
      <c r="A409" t="inlineStr">
        <is>
          <t>A 19371-2024</t>
        </is>
      </c>
      <c r="B409" s="1" t="n">
        <v>45429.34969907408</v>
      </c>
      <c r="C409" s="1" t="n">
        <v>45976</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54911-2024</t>
        </is>
      </c>
      <c r="B410" s="1" t="n">
        <v>45618.68929398148</v>
      </c>
      <c r="C410" s="1" t="n">
        <v>45976</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8211-2023</t>
        </is>
      </c>
      <c r="B411" s="1" t="n">
        <v>44974</v>
      </c>
      <c r="C411" s="1" t="n">
        <v>45976</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19700-2025</t>
        </is>
      </c>
      <c r="B412" s="1" t="n">
        <v>45771.32445601852</v>
      </c>
      <c r="C412" s="1" t="n">
        <v>45976</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40193-2024</t>
        </is>
      </c>
      <c r="B413" s="1" t="n">
        <v>45554.5734375</v>
      </c>
      <c r="C413" s="1" t="n">
        <v>45976</v>
      </c>
      <c r="D413" t="inlineStr">
        <is>
          <t>DALARNAS LÄN</t>
        </is>
      </c>
      <c r="E413" t="inlineStr">
        <is>
          <t>LEKSAND</t>
        </is>
      </c>
      <c r="F413" t="inlineStr">
        <is>
          <t>Övriga statliga verk och myndigheter</t>
        </is>
      </c>
      <c r="G413" t="n">
        <v>1</v>
      </c>
      <c r="H413" t="n">
        <v>0</v>
      </c>
      <c r="I413" t="n">
        <v>0</v>
      </c>
      <c r="J413" t="n">
        <v>0</v>
      </c>
      <c r="K413" t="n">
        <v>0</v>
      </c>
      <c r="L413" t="n">
        <v>0</v>
      </c>
      <c r="M413" t="n">
        <v>0</v>
      </c>
      <c r="N413" t="n">
        <v>0</v>
      </c>
      <c r="O413" t="n">
        <v>0</v>
      </c>
      <c r="P413" t="n">
        <v>0</v>
      </c>
      <c r="Q413" t="n">
        <v>0</v>
      </c>
      <c r="R413" s="2" t="inlineStr"/>
    </row>
    <row r="414" ht="15" customHeight="1">
      <c r="A414" t="inlineStr">
        <is>
          <t>A 39558-2023</t>
        </is>
      </c>
      <c r="B414" s="1" t="n">
        <v>45167.38664351852</v>
      </c>
      <c r="C414" s="1" t="n">
        <v>45976</v>
      </c>
      <c r="D414" t="inlineStr">
        <is>
          <t>DALARNAS LÄN</t>
        </is>
      </c>
      <c r="E414" t="inlineStr">
        <is>
          <t>LEKSAND</t>
        </is>
      </c>
      <c r="G414" t="n">
        <v>39.9</v>
      </c>
      <c r="H414" t="n">
        <v>0</v>
      </c>
      <c r="I414" t="n">
        <v>0</v>
      </c>
      <c r="J414" t="n">
        <v>0</v>
      </c>
      <c r="K414" t="n">
        <v>0</v>
      </c>
      <c r="L414" t="n">
        <v>0</v>
      </c>
      <c r="M414" t="n">
        <v>0</v>
      </c>
      <c r="N414" t="n">
        <v>0</v>
      </c>
      <c r="O414" t="n">
        <v>0</v>
      </c>
      <c r="P414" t="n">
        <v>0</v>
      </c>
      <c r="Q414" t="n">
        <v>0</v>
      </c>
      <c r="R414" s="2" t="inlineStr"/>
    </row>
    <row r="415" ht="15" customHeight="1">
      <c r="A415" t="inlineStr">
        <is>
          <t>A 42284-2025</t>
        </is>
      </c>
      <c r="B415" s="1" t="n">
        <v>45903</v>
      </c>
      <c r="C415" s="1" t="n">
        <v>45976</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50332-2025</t>
        </is>
      </c>
      <c r="B416" s="1" t="n">
        <v>45944.47092592593</v>
      </c>
      <c r="C416" s="1" t="n">
        <v>45976</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9138-2023</t>
        </is>
      </c>
      <c r="B417" s="1" t="n">
        <v>44974</v>
      </c>
      <c r="C417" s="1" t="n">
        <v>45976</v>
      </c>
      <c r="D417" t="inlineStr">
        <is>
          <t>DALARNAS LÄN</t>
        </is>
      </c>
      <c r="E417" t="inlineStr">
        <is>
          <t>LEKSAND</t>
        </is>
      </c>
      <c r="G417" t="n">
        <v>4.6</v>
      </c>
      <c r="H417" t="n">
        <v>0</v>
      </c>
      <c r="I417" t="n">
        <v>0</v>
      </c>
      <c r="J417" t="n">
        <v>0</v>
      </c>
      <c r="K417" t="n">
        <v>0</v>
      </c>
      <c r="L417" t="n">
        <v>0</v>
      </c>
      <c r="M417" t="n">
        <v>0</v>
      </c>
      <c r="N417" t="n">
        <v>0</v>
      </c>
      <c r="O417" t="n">
        <v>0</v>
      </c>
      <c r="P417" t="n">
        <v>0</v>
      </c>
      <c r="Q417" t="n">
        <v>0</v>
      </c>
      <c r="R417" s="2" t="inlineStr"/>
    </row>
    <row r="418" ht="15" customHeight="1">
      <c r="A418" t="inlineStr">
        <is>
          <t>A 9141-2023</t>
        </is>
      </c>
      <c r="B418" s="1" t="n">
        <v>44974</v>
      </c>
      <c r="C418" s="1" t="n">
        <v>45976</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2630-2025</t>
        </is>
      </c>
      <c r="B419" s="1" t="n">
        <v>45675.85865740741</v>
      </c>
      <c r="C419" s="1" t="n">
        <v>45976</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50447-2023</t>
        </is>
      </c>
      <c r="B420" s="1" t="n">
        <v>45216.72185185185</v>
      </c>
      <c r="C420" s="1" t="n">
        <v>45976</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15986-2025</t>
        </is>
      </c>
      <c r="B421" s="1" t="n">
        <v>45749.57331018519</v>
      </c>
      <c r="C421" s="1" t="n">
        <v>45976</v>
      </c>
      <c r="D421" t="inlineStr">
        <is>
          <t>DALARNAS LÄN</t>
        </is>
      </c>
      <c r="E421" t="inlineStr">
        <is>
          <t>LEKSAND</t>
        </is>
      </c>
      <c r="G421" t="n">
        <v>2.7</v>
      </c>
      <c r="H421" t="n">
        <v>0</v>
      </c>
      <c r="I421" t="n">
        <v>0</v>
      </c>
      <c r="J421" t="n">
        <v>0</v>
      </c>
      <c r="K421" t="n">
        <v>0</v>
      </c>
      <c r="L421" t="n">
        <v>0</v>
      </c>
      <c r="M421" t="n">
        <v>0</v>
      </c>
      <c r="N421" t="n">
        <v>0</v>
      </c>
      <c r="O421" t="n">
        <v>0</v>
      </c>
      <c r="P421" t="n">
        <v>0</v>
      </c>
      <c r="Q421" t="n">
        <v>0</v>
      </c>
      <c r="R421" s="2" t="inlineStr"/>
    </row>
    <row r="422" ht="15" customHeight="1">
      <c r="A422" t="inlineStr">
        <is>
          <t>A 46876-2023</t>
        </is>
      </c>
      <c r="B422" s="1" t="n">
        <v>45200</v>
      </c>
      <c r="C422" s="1" t="n">
        <v>45976</v>
      </c>
      <c r="D422" t="inlineStr">
        <is>
          <t>DALARNAS LÄN</t>
        </is>
      </c>
      <c r="E422" t="inlineStr">
        <is>
          <t>LEKSAND</t>
        </is>
      </c>
      <c r="G422" t="n">
        <v>2.4</v>
      </c>
      <c r="H422" t="n">
        <v>0</v>
      </c>
      <c r="I422" t="n">
        <v>0</v>
      </c>
      <c r="J422" t="n">
        <v>0</v>
      </c>
      <c r="K422" t="n">
        <v>0</v>
      </c>
      <c r="L422" t="n">
        <v>0</v>
      </c>
      <c r="M422" t="n">
        <v>0</v>
      </c>
      <c r="N422" t="n">
        <v>0</v>
      </c>
      <c r="O422" t="n">
        <v>0</v>
      </c>
      <c r="P422" t="n">
        <v>0</v>
      </c>
      <c r="Q422" t="n">
        <v>0</v>
      </c>
      <c r="R422" s="2" t="inlineStr"/>
    </row>
    <row r="423" ht="15" customHeight="1">
      <c r="A423" t="inlineStr">
        <is>
          <t>A 50704-2025</t>
        </is>
      </c>
      <c r="B423" s="1" t="n">
        <v>45946.27984953704</v>
      </c>
      <c r="C423" s="1" t="n">
        <v>45976</v>
      </c>
      <c r="D423" t="inlineStr">
        <is>
          <t>DALARNAS LÄN</t>
        </is>
      </c>
      <c r="E423" t="inlineStr">
        <is>
          <t>LEKSAND</t>
        </is>
      </c>
      <c r="G423" t="n">
        <v>2.1</v>
      </c>
      <c r="H423" t="n">
        <v>0</v>
      </c>
      <c r="I423" t="n">
        <v>0</v>
      </c>
      <c r="J423" t="n">
        <v>0</v>
      </c>
      <c r="K423" t="n">
        <v>0</v>
      </c>
      <c r="L423" t="n">
        <v>0</v>
      </c>
      <c r="M423" t="n">
        <v>0</v>
      </c>
      <c r="N423" t="n">
        <v>0</v>
      </c>
      <c r="O423" t="n">
        <v>0</v>
      </c>
      <c r="P423" t="n">
        <v>0</v>
      </c>
      <c r="Q423" t="n">
        <v>0</v>
      </c>
      <c r="R423" s="2" t="inlineStr"/>
    </row>
    <row r="424" ht="15" customHeight="1">
      <c r="A424" t="inlineStr">
        <is>
          <t>A 11678-2025</t>
        </is>
      </c>
      <c r="B424" s="1" t="n">
        <v>45726</v>
      </c>
      <c r="C424" s="1" t="n">
        <v>45976</v>
      </c>
      <c r="D424" t="inlineStr">
        <is>
          <t>DALARNAS LÄN</t>
        </is>
      </c>
      <c r="E424" t="inlineStr">
        <is>
          <t>LEKSAND</t>
        </is>
      </c>
      <c r="G424" t="n">
        <v>9.4</v>
      </c>
      <c r="H424" t="n">
        <v>0</v>
      </c>
      <c r="I424" t="n">
        <v>0</v>
      </c>
      <c r="J424" t="n">
        <v>0</v>
      </c>
      <c r="K424" t="n">
        <v>0</v>
      </c>
      <c r="L424" t="n">
        <v>0</v>
      </c>
      <c r="M424" t="n">
        <v>0</v>
      </c>
      <c r="N424" t="n">
        <v>0</v>
      </c>
      <c r="O424" t="n">
        <v>0</v>
      </c>
      <c r="P424" t="n">
        <v>0</v>
      </c>
      <c r="Q424" t="n">
        <v>0</v>
      </c>
      <c r="R424" s="2" t="inlineStr"/>
    </row>
    <row r="425" ht="15" customHeight="1">
      <c r="A425" t="inlineStr">
        <is>
          <t>A 12582-2025</t>
        </is>
      </c>
      <c r="B425" s="1" t="n">
        <v>45732.62988425926</v>
      </c>
      <c r="C425" s="1" t="n">
        <v>45976</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55512-2024</t>
        </is>
      </c>
      <c r="B426" s="1" t="n">
        <v>45621</v>
      </c>
      <c r="C426" s="1" t="n">
        <v>45976</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62161-2024</t>
        </is>
      </c>
      <c r="B427" s="1" t="n">
        <v>45656.86009259259</v>
      </c>
      <c r="C427" s="1" t="n">
        <v>45976</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42402-2025</t>
        </is>
      </c>
      <c r="B428" s="1" t="n">
        <v>45905.3753125</v>
      </c>
      <c r="C428" s="1" t="n">
        <v>45976</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43470-2024</t>
        </is>
      </c>
      <c r="B429" s="1" t="n">
        <v>45568</v>
      </c>
      <c r="C429" s="1" t="n">
        <v>45976</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1983-2025</t>
        </is>
      </c>
      <c r="B430" s="1" t="n">
        <v>45670</v>
      </c>
      <c r="C430" s="1" t="n">
        <v>45976</v>
      </c>
      <c r="D430" t="inlineStr">
        <is>
          <t>DALARNAS LÄN</t>
        </is>
      </c>
      <c r="E430" t="inlineStr">
        <is>
          <t>LEKSAND</t>
        </is>
      </c>
      <c r="G430" t="n">
        <v>1.5</v>
      </c>
      <c r="H430" t="n">
        <v>0</v>
      </c>
      <c r="I430" t="n">
        <v>0</v>
      </c>
      <c r="J430" t="n">
        <v>0</v>
      </c>
      <c r="K430" t="n">
        <v>0</v>
      </c>
      <c r="L430" t="n">
        <v>0</v>
      </c>
      <c r="M430" t="n">
        <v>0</v>
      </c>
      <c r="N430" t="n">
        <v>0</v>
      </c>
      <c r="O430" t="n">
        <v>0</v>
      </c>
      <c r="P430" t="n">
        <v>0</v>
      </c>
      <c r="Q430" t="n">
        <v>0</v>
      </c>
      <c r="R430" s="2" t="inlineStr"/>
    </row>
    <row r="431" ht="15" customHeight="1">
      <c r="A431" t="inlineStr">
        <is>
          <t>A 11606-2025</t>
        </is>
      </c>
      <c r="B431" s="1" t="n">
        <v>45727</v>
      </c>
      <c r="C431" s="1" t="n">
        <v>45976</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22683-2022</t>
        </is>
      </c>
      <c r="B432" s="1" t="n">
        <v>44714</v>
      </c>
      <c r="C432" s="1" t="n">
        <v>45976</v>
      </c>
      <c r="D432" t="inlineStr">
        <is>
          <t>DALARNAS LÄN</t>
        </is>
      </c>
      <c r="E432" t="inlineStr">
        <is>
          <t>LEKSAND</t>
        </is>
      </c>
      <c r="F432" t="inlineStr">
        <is>
          <t>Bergvik skog väst AB</t>
        </is>
      </c>
      <c r="G432" t="n">
        <v>3.4</v>
      </c>
      <c r="H432" t="n">
        <v>0</v>
      </c>
      <c r="I432" t="n">
        <v>0</v>
      </c>
      <c r="J432" t="n">
        <v>0</v>
      </c>
      <c r="K432" t="n">
        <v>0</v>
      </c>
      <c r="L432" t="n">
        <v>0</v>
      </c>
      <c r="M432" t="n">
        <v>0</v>
      </c>
      <c r="N432" t="n">
        <v>0</v>
      </c>
      <c r="O432" t="n">
        <v>0</v>
      </c>
      <c r="P432" t="n">
        <v>0</v>
      </c>
      <c r="Q432" t="n">
        <v>0</v>
      </c>
      <c r="R432" s="2" t="inlineStr"/>
    </row>
    <row r="433" ht="15" customHeight="1">
      <c r="A433" t="inlineStr">
        <is>
          <t>A 13161-2024</t>
        </is>
      </c>
      <c r="B433" s="1" t="n">
        <v>45386.38972222222</v>
      </c>
      <c r="C433" s="1" t="n">
        <v>45976</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61208-2023</t>
        </is>
      </c>
      <c r="B434" s="1" t="n">
        <v>45260</v>
      </c>
      <c r="C434" s="1" t="n">
        <v>45976</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26062-2024</t>
        </is>
      </c>
      <c r="B435" s="1" t="n">
        <v>45468.3509375</v>
      </c>
      <c r="C435" s="1" t="n">
        <v>45976</v>
      </c>
      <c r="D435" t="inlineStr">
        <is>
          <t>DALARNAS LÄN</t>
        </is>
      </c>
      <c r="E435" t="inlineStr">
        <is>
          <t>LEKSAND</t>
        </is>
      </c>
      <c r="F435" t="inlineStr">
        <is>
          <t>Övriga statliga verk och myndigheter</t>
        </is>
      </c>
      <c r="G435" t="n">
        <v>6.4</v>
      </c>
      <c r="H435" t="n">
        <v>0</v>
      </c>
      <c r="I435" t="n">
        <v>0</v>
      </c>
      <c r="J435" t="n">
        <v>0</v>
      </c>
      <c r="K435" t="n">
        <v>0</v>
      </c>
      <c r="L435" t="n">
        <v>0</v>
      </c>
      <c r="M435" t="n">
        <v>0</v>
      </c>
      <c r="N435" t="n">
        <v>0</v>
      </c>
      <c r="O435" t="n">
        <v>0</v>
      </c>
      <c r="P435" t="n">
        <v>0</v>
      </c>
      <c r="Q435" t="n">
        <v>0</v>
      </c>
      <c r="R435" s="2" t="inlineStr"/>
    </row>
    <row r="436" ht="15" customHeight="1">
      <c r="A436" t="inlineStr">
        <is>
          <t>A 59840-2024</t>
        </is>
      </c>
      <c r="B436" s="1" t="n">
        <v>45638</v>
      </c>
      <c r="C436" s="1" t="n">
        <v>45976</v>
      </c>
      <c r="D436" t="inlineStr">
        <is>
          <t>DALARNAS LÄN</t>
        </is>
      </c>
      <c r="E436" t="inlineStr">
        <is>
          <t>LEKSAND</t>
        </is>
      </c>
      <c r="G436" t="n">
        <v>0.6</v>
      </c>
      <c r="H436" t="n">
        <v>0</v>
      </c>
      <c r="I436" t="n">
        <v>0</v>
      </c>
      <c r="J436" t="n">
        <v>0</v>
      </c>
      <c r="K436" t="n">
        <v>0</v>
      </c>
      <c r="L436" t="n">
        <v>0</v>
      </c>
      <c r="M436" t="n">
        <v>0</v>
      </c>
      <c r="N436" t="n">
        <v>0</v>
      </c>
      <c r="O436" t="n">
        <v>0</v>
      </c>
      <c r="P436" t="n">
        <v>0</v>
      </c>
      <c r="Q436" t="n">
        <v>0</v>
      </c>
      <c r="R436" s="2" t="inlineStr"/>
    </row>
    <row r="437" ht="15" customHeight="1">
      <c r="A437" t="inlineStr">
        <is>
          <t>A 22517-2024</t>
        </is>
      </c>
      <c r="B437" s="1" t="n">
        <v>45447.40143518519</v>
      </c>
      <c r="C437" s="1" t="n">
        <v>45976</v>
      </c>
      <c r="D437" t="inlineStr">
        <is>
          <t>DALARNAS LÄN</t>
        </is>
      </c>
      <c r="E437" t="inlineStr">
        <is>
          <t>LEKSAND</t>
        </is>
      </c>
      <c r="G437" t="n">
        <v>0.4</v>
      </c>
      <c r="H437" t="n">
        <v>0</v>
      </c>
      <c r="I437" t="n">
        <v>0</v>
      </c>
      <c r="J437" t="n">
        <v>0</v>
      </c>
      <c r="K437" t="n">
        <v>0</v>
      </c>
      <c r="L437" t="n">
        <v>0</v>
      </c>
      <c r="M437" t="n">
        <v>0</v>
      </c>
      <c r="N437" t="n">
        <v>0</v>
      </c>
      <c r="O437" t="n">
        <v>0</v>
      </c>
      <c r="P437" t="n">
        <v>0</v>
      </c>
      <c r="Q437" t="n">
        <v>0</v>
      </c>
      <c r="R437" s="2" t="inlineStr"/>
    </row>
    <row r="438" ht="15" customHeight="1">
      <c r="A438" t="inlineStr">
        <is>
          <t>A 61953-2023</t>
        </is>
      </c>
      <c r="B438" s="1" t="n">
        <v>45266</v>
      </c>
      <c r="C438" s="1" t="n">
        <v>45976</v>
      </c>
      <c r="D438" t="inlineStr">
        <is>
          <t>DALARNAS LÄN</t>
        </is>
      </c>
      <c r="E438" t="inlineStr">
        <is>
          <t>LEKSAND</t>
        </is>
      </c>
      <c r="G438" t="n">
        <v>0.1</v>
      </c>
      <c r="H438" t="n">
        <v>0</v>
      </c>
      <c r="I438" t="n">
        <v>0</v>
      </c>
      <c r="J438" t="n">
        <v>0</v>
      </c>
      <c r="K438" t="n">
        <v>0</v>
      </c>
      <c r="L438" t="n">
        <v>0</v>
      </c>
      <c r="M438" t="n">
        <v>0</v>
      </c>
      <c r="N438" t="n">
        <v>0</v>
      </c>
      <c r="O438" t="n">
        <v>0</v>
      </c>
      <c r="P438" t="n">
        <v>0</v>
      </c>
      <c r="Q438" t="n">
        <v>0</v>
      </c>
      <c r="R438" s="2" t="inlineStr"/>
    </row>
    <row r="439" ht="15" customHeight="1">
      <c r="A439" t="inlineStr">
        <is>
          <t>A 16815-2025</t>
        </is>
      </c>
      <c r="B439" s="1" t="n">
        <v>45754</v>
      </c>
      <c r="C439" s="1" t="n">
        <v>45976</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16854-2025</t>
        </is>
      </c>
      <c r="B440" s="1" t="n">
        <v>45754.72883101852</v>
      </c>
      <c r="C440" s="1" t="n">
        <v>45976</v>
      </c>
      <c r="D440" t="inlineStr">
        <is>
          <t>DALARNAS LÄN</t>
        </is>
      </c>
      <c r="E440" t="inlineStr">
        <is>
          <t>LEKSAND</t>
        </is>
      </c>
      <c r="G440" t="n">
        <v>1.2</v>
      </c>
      <c r="H440" t="n">
        <v>0</v>
      </c>
      <c r="I440" t="n">
        <v>0</v>
      </c>
      <c r="J440" t="n">
        <v>0</v>
      </c>
      <c r="K440" t="n">
        <v>0</v>
      </c>
      <c r="L440" t="n">
        <v>0</v>
      </c>
      <c r="M440" t="n">
        <v>0</v>
      </c>
      <c r="N440" t="n">
        <v>0</v>
      </c>
      <c r="O440" t="n">
        <v>0</v>
      </c>
      <c r="P440" t="n">
        <v>0</v>
      </c>
      <c r="Q440" t="n">
        <v>0</v>
      </c>
      <c r="R440" s="2" t="inlineStr"/>
    </row>
    <row r="441" ht="15" customHeight="1">
      <c r="A441" t="inlineStr">
        <is>
          <t>A 33566-2023</t>
        </is>
      </c>
      <c r="B441" s="1" t="n">
        <v>45131.64390046296</v>
      </c>
      <c r="C441" s="1" t="n">
        <v>45976</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62116-2024</t>
        </is>
      </c>
      <c r="B442" s="1" t="n">
        <v>45646</v>
      </c>
      <c r="C442" s="1" t="n">
        <v>45976</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30169-2023</t>
        </is>
      </c>
      <c r="B443" s="1" t="n">
        <v>45110</v>
      </c>
      <c r="C443" s="1" t="n">
        <v>45976</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62133-2023</t>
        </is>
      </c>
      <c r="B444" s="1" t="n">
        <v>45267.35582175926</v>
      </c>
      <c r="C444" s="1" t="n">
        <v>45976</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30611-2023</t>
        </is>
      </c>
      <c r="B445" s="1" t="n">
        <v>45112</v>
      </c>
      <c r="C445" s="1" t="n">
        <v>45976</v>
      </c>
      <c r="D445" t="inlineStr">
        <is>
          <t>DALARNAS LÄN</t>
        </is>
      </c>
      <c r="E445" t="inlineStr">
        <is>
          <t>LEKSAND</t>
        </is>
      </c>
      <c r="G445" t="n">
        <v>3.1</v>
      </c>
      <c r="H445" t="n">
        <v>0</v>
      </c>
      <c r="I445" t="n">
        <v>0</v>
      </c>
      <c r="J445" t="n">
        <v>0</v>
      </c>
      <c r="K445" t="n">
        <v>0</v>
      </c>
      <c r="L445" t="n">
        <v>0</v>
      </c>
      <c r="M445" t="n">
        <v>0</v>
      </c>
      <c r="N445" t="n">
        <v>0</v>
      </c>
      <c r="O445" t="n">
        <v>0</v>
      </c>
      <c r="P445" t="n">
        <v>0</v>
      </c>
      <c r="Q445" t="n">
        <v>0</v>
      </c>
      <c r="R445" s="2" t="inlineStr"/>
    </row>
    <row r="446" ht="15" customHeight="1">
      <c r="A446" t="inlineStr">
        <is>
          <t>A 51663-2025</t>
        </is>
      </c>
      <c r="B446" s="1" t="n">
        <v>45951</v>
      </c>
      <c r="C446" s="1" t="n">
        <v>45976</v>
      </c>
      <c r="D446" t="inlineStr">
        <is>
          <t>DALARNAS LÄN</t>
        </is>
      </c>
      <c r="E446" t="inlineStr">
        <is>
          <t>LEKSAND</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40009-2024</t>
        </is>
      </c>
      <c r="B447" s="1" t="n">
        <v>45553.65361111111</v>
      </c>
      <c r="C447" s="1" t="n">
        <v>45976</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10967-2023</t>
        </is>
      </c>
      <c r="B448" s="1" t="n">
        <v>44991.58001157407</v>
      </c>
      <c r="C448" s="1" t="n">
        <v>45976</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10974-2023</t>
        </is>
      </c>
      <c r="B449" s="1" t="n">
        <v>44991.59049768518</v>
      </c>
      <c r="C449" s="1" t="n">
        <v>45976</v>
      </c>
      <c r="D449" t="inlineStr">
        <is>
          <t>DALARNAS LÄN</t>
        </is>
      </c>
      <c r="E449" t="inlineStr">
        <is>
          <t>LEKSAND</t>
        </is>
      </c>
      <c r="G449" t="n">
        <v>0.3</v>
      </c>
      <c r="H449" t="n">
        <v>0</v>
      </c>
      <c r="I449" t="n">
        <v>0</v>
      </c>
      <c r="J449" t="n">
        <v>0</v>
      </c>
      <c r="K449" t="n">
        <v>0</v>
      </c>
      <c r="L449" t="n">
        <v>0</v>
      </c>
      <c r="M449" t="n">
        <v>0</v>
      </c>
      <c r="N449" t="n">
        <v>0</v>
      </c>
      <c r="O449" t="n">
        <v>0</v>
      </c>
      <c r="P449" t="n">
        <v>0</v>
      </c>
      <c r="Q449" t="n">
        <v>0</v>
      </c>
      <c r="R449" s="2" t="inlineStr"/>
    </row>
    <row r="450" ht="15" customHeight="1">
      <c r="A450" t="inlineStr">
        <is>
          <t>A 13063-2023</t>
        </is>
      </c>
      <c r="B450" s="1" t="n">
        <v>45001</v>
      </c>
      <c r="C450" s="1" t="n">
        <v>45976</v>
      </c>
      <c r="D450" t="inlineStr">
        <is>
          <t>DALARNAS LÄN</t>
        </is>
      </c>
      <c r="E450" t="inlineStr">
        <is>
          <t>LEKSAND</t>
        </is>
      </c>
      <c r="G450" t="n">
        <v>1</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45976</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47203-2023</t>
        </is>
      </c>
      <c r="B452" s="1" t="n">
        <v>45202</v>
      </c>
      <c r="C452" s="1" t="n">
        <v>45976</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12621-2025</t>
        </is>
      </c>
      <c r="B453" s="1" t="n">
        <v>45733.3575</v>
      </c>
      <c r="C453" s="1" t="n">
        <v>45976</v>
      </c>
      <c r="D453" t="inlineStr">
        <is>
          <t>DALARNAS LÄN</t>
        </is>
      </c>
      <c r="E453" t="inlineStr">
        <is>
          <t>LEKSAND</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51768-2025</t>
        </is>
      </c>
      <c r="B454" s="1" t="n">
        <v>45951.64041666667</v>
      </c>
      <c r="C454" s="1" t="n">
        <v>45976</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42727-2024</t>
        </is>
      </c>
      <c r="B455" s="1" t="n">
        <v>45566</v>
      </c>
      <c r="C455" s="1" t="n">
        <v>45976</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54289-2023</t>
        </is>
      </c>
      <c r="B456" s="1" t="n">
        <v>45232.71193287037</v>
      </c>
      <c r="C456" s="1" t="n">
        <v>45976</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24714-2025</t>
        </is>
      </c>
      <c r="B457" s="1" t="n">
        <v>45798.96927083333</v>
      </c>
      <c r="C457" s="1" t="n">
        <v>45976</v>
      </c>
      <c r="D457" t="inlineStr">
        <is>
          <t>DALARNAS LÄN</t>
        </is>
      </c>
      <c r="E457" t="inlineStr">
        <is>
          <t>LEKSAND</t>
        </is>
      </c>
      <c r="F457" t="inlineStr">
        <is>
          <t>Bergvik skog väst AB</t>
        </is>
      </c>
      <c r="G457" t="n">
        <v>6.2</v>
      </c>
      <c r="H457" t="n">
        <v>0</v>
      </c>
      <c r="I457" t="n">
        <v>0</v>
      </c>
      <c r="J457" t="n">
        <v>0</v>
      </c>
      <c r="K457" t="n">
        <v>0</v>
      </c>
      <c r="L457" t="n">
        <v>0</v>
      </c>
      <c r="M457" t="n">
        <v>0</v>
      </c>
      <c r="N457" t="n">
        <v>0</v>
      </c>
      <c r="O457" t="n">
        <v>0</v>
      </c>
      <c r="P457" t="n">
        <v>0</v>
      </c>
      <c r="Q457" t="n">
        <v>0</v>
      </c>
      <c r="R457" s="2" t="inlineStr"/>
    </row>
    <row r="458" ht="15" customHeight="1">
      <c r="A458" t="inlineStr">
        <is>
          <t>A 11869-2024</t>
        </is>
      </c>
      <c r="B458" s="1" t="n">
        <v>45376.45800925926</v>
      </c>
      <c r="C458" s="1" t="n">
        <v>45976</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32666-2023</t>
        </is>
      </c>
      <c r="B459" s="1" t="n">
        <v>45121</v>
      </c>
      <c r="C459" s="1" t="n">
        <v>45976</v>
      </c>
      <c r="D459" t="inlineStr">
        <is>
          <t>DALARNAS LÄN</t>
        </is>
      </c>
      <c r="E459" t="inlineStr">
        <is>
          <t>LEKSAND</t>
        </is>
      </c>
      <c r="G459" t="n">
        <v>9.9</v>
      </c>
      <c r="H459" t="n">
        <v>0</v>
      </c>
      <c r="I459" t="n">
        <v>0</v>
      </c>
      <c r="J459" t="n">
        <v>0</v>
      </c>
      <c r="K459" t="n">
        <v>0</v>
      </c>
      <c r="L459" t="n">
        <v>0</v>
      </c>
      <c r="M459" t="n">
        <v>0</v>
      </c>
      <c r="N459" t="n">
        <v>0</v>
      </c>
      <c r="O459" t="n">
        <v>0</v>
      </c>
      <c r="P459" t="n">
        <v>0</v>
      </c>
      <c r="Q459" t="n">
        <v>0</v>
      </c>
      <c r="R459" s="2" t="inlineStr"/>
    </row>
    <row r="460" ht="15" customHeight="1">
      <c r="A460" t="inlineStr">
        <is>
          <t>A 5231-2024</t>
        </is>
      </c>
      <c r="B460" s="1" t="n">
        <v>45330</v>
      </c>
      <c r="C460" s="1" t="n">
        <v>45976</v>
      </c>
      <c r="D460" t="inlineStr">
        <is>
          <t>DALARNAS LÄN</t>
        </is>
      </c>
      <c r="E460" t="inlineStr">
        <is>
          <t>LEKSAND</t>
        </is>
      </c>
      <c r="F460" t="inlineStr">
        <is>
          <t>Bergvik skog väst AB</t>
        </is>
      </c>
      <c r="G460" t="n">
        <v>11.2</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45976</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19295-2024</t>
        </is>
      </c>
      <c r="B462" s="1" t="n">
        <v>45428.69106481481</v>
      </c>
      <c r="C462" s="1" t="n">
        <v>45976</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16197-2024</t>
        </is>
      </c>
      <c r="B463" s="1" t="n">
        <v>45406.70356481482</v>
      </c>
      <c r="C463" s="1" t="n">
        <v>45976</v>
      </c>
      <c r="D463" t="inlineStr">
        <is>
          <t>DALARNAS LÄN</t>
        </is>
      </c>
      <c r="E463" t="inlineStr">
        <is>
          <t>LEKSAND</t>
        </is>
      </c>
      <c r="G463" t="n">
        <v>2.4</v>
      </c>
      <c r="H463" t="n">
        <v>0</v>
      </c>
      <c r="I463" t="n">
        <v>0</v>
      </c>
      <c r="J463" t="n">
        <v>0</v>
      </c>
      <c r="K463" t="n">
        <v>0</v>
      </c>
      <c r="L463" t="n">
        <v>0</v>
      </c>
      <c r="M463" t="n">
        <v>0</v>
      </c>
      <c r="N463" t="n">
        <v>0</v>
      </c>
      <c r="O463" t="n">
        <v>0</v>
      </c>
      <c r="P463" t="n">
        <v>0</v>
      </c>
      <c r="Q463" t="n">
        <v>0</v>
      </c>
      <c r="R463" s="2" t="inlineStr"/>
    </row>
    <row r="464" ht="15" customHeight="1">
      <c r="A464" t="inlineStr">
        <is>
          <t>A 10299-2024</t>
        </is>
      </c>
      <c r="B464" s="1" t="n">
        <v>45365.50425925926</v>
      </c>
      <c r="C464" s="1" t="n">
        <v>45976</v>
      </c>
      <c r="D464" t="inlineStr">
        <is>
          <t>DALARNAS LÄN</t>
        </is>
      </c>
      <c r="E464" t="inlineStr">
        <is>
          <t>LEKSAND</t>
        </is>
      </c>
      <c r="G464" t="n">
        <v>3.6</v>
      </c>
      <c r="H464" t="n">
        <v>0</v>
      </c>
      <c r="I464" t="n">
        <v>0</v>
      </c>
      <c r="J464" t="n">
        <v>0</v>
      </c>
      <c r="K464" t="n">
        <v>0</v>
      </c>
      <c r="L464" t="n">
        <v>0</v>
      </c>
      <c r="M464" t="n">
        <v>0</v>
      </c>
      <c r="N464" t="n">
        <v>0</v>
      </c>
      <c r="O464" t="n">
        <v>0</v>
      </c>
      <c r="P464" t="n">
        <v>0</v>
      </c>
      <c r="Q464" t="n">
        <v>0</v>
      </c>
      <c r="R464" s="2" t="inlineStr"/>
    </row>
    <row r="465" ht="15" customHeight="1">
      <c r="A465" t="inlineStr">
        <is>
          <t>A 19618-2024</t>
        </is>
      </c>
      <c r="B465" s="1" t="n">
        <v>45432.32896990741</v>
      </c>
      <c r="C465" s="1" t="n">
        <v>45976</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54682-2023</t>
        </is>
      </c>
      <c r="B466" s="1" t="n">
        <v>45235.90439814814</v>
      </c>
      <c r="C466" s="1" t="n">
        <v>45976</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43158-2025</t>
        </is>
      </c>
      <c r="B467" s="1" t="n">
        <v>45910.35496527778</v>
      </c>
      <c r="C467" s="1" t="n">
        <v>45976</v>
      </c>
      <c r="D467" t="inlineStr">
        <is>
          <t>DALARNAS LÄN</t>
        </is>
      </c>
      <c r="E467" t="inlineStr">
        <is>
          <t>LEKSAND</t>
        </is>
      </c>
      <c r="G467" t="n">
        <v>1.9</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45027.63717592593</v>
      </c>
      <c r="C468" s="1" t="n">
        <v>45976</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5847-2025</t>
        </is>
      </c>
      <c r="B469" s="1" t="n">
        <v>45695.30824074074</v>
      </c>
      <c r="C469" s="1" t="n">
        <v>45976</v>
      </c>
      <c r="D469" t="inlineStr">
        <is>
          <t>DALARNAS LÄN</t>
        </is>
      </c>
      <c r="E469" t="inlineStr">
        <is>
          <t>LEKSAND</t>
        </is>
      </c>
      <c r="G469" t="n">
        <v>2.6</v>
      </c>
      <c r="H469" t="n">
        <v>0</v>
      </c>
      <c r="I469" t="n">
        <v>0</v>
      </c>
      <c r="J469" t="n">
        <v>0</v>
      </c>
      <c r="K469" t="n">
        <v>0</v>
      </c>
      <c r="L469" t="n">
        <v>0</v>
      </c>
      <c r="M469" t="n">
        <v>0</v>
      </c>
      <c r="N469" t="n">
        <v>0</v>
      </c>
      <c r="O469" t="n">
        <v>0</v>
      </c>
      <c r="P469" t="n">
        <v>0</v>
      </c>
      <c r="Q469" t="n">
        <v>0</v>
      </c>
      <c r="R469" s="2" t="inlineStr"/>
    </row>
    <row r="470" ht="15" customHeight="1">
      <c r="A470" t="inlineStr">
        <is>
          <t>A 20937-2025</t>
        </is>
      </c>
      <c r="B470" s="1" t="n">
        <v>45777.42769675926</v>
      </c>
      <c r="C470" s="1" t="n">
        <v>45976</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43629-2025</t>
        </is>
      </c>
      <c r="B471" s="1" t="n">
        <v>45911.70180555555</v>
      </c>
      <c r="C471" s="1" t="n">
        <v>45976</v>
      </c>
      <c r="D471" t="inlineStr">
        <is>
          <t>DALARNAS LÄN</t>
        </is>
      </c>
      <c r="E471" t="inlineStr">
        <is>
          <t>LEKSAND</t>
        </is>
      </c>
      <c r="G471" t="n">
        <v>2.1</v>
      </c>
      <c r="H471" t="n">
        <v>0</v>
      </c>
      <c r="I471" t="n">
        <v>0</v>
      </c>
      <c r="J471" t="n">
        <v>0</v>
      </c>
      <c r="K471" t="n">
        <v>0</v>
      </c>
      <c r="L471" t="n">
        <v>0</v>
      </c>
      <c r="M471" t="n">
        <v>0</v>
      </c>
      <c r="N471" t="n">
        <v>0</v>
      </c>
      <c r="O471" t="n">
        <v>0</v>
      </c>
      <c r="P471" t="n">
        <v>0</v>
      </c>
      <c r="Q471" t="n">
        <v>0</v>
      </c>
      <c r="R471" s="2" t="inlineStr"/>
    </row>
    <row r="472" ht="15" customHeight="1">
      <c r="A472" t="inlineStr">
        <is>
          <t>A 60878-2023</t>
        </is>
      </c>
      <c r="B472" s="1" t="n">
        <v>45259</v>
      </c>
      <c r="C472" s="1" t="n">
        <v>45976</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36262-2023</t>
        </is>
      </c>
      <c r="B473" s="1" t="n">
        <v>45151.9096875</v>
      </c>
      <c r="C473" s="1" t="n">
        <v>45976</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10367-2023</t>
        </is>
      </c>
      <c r="B474" s="1" t="n">
        <v>44987</v>
      </c>
      <c r="C474" s="1" t="n">
        <v>45976</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51926-2025</t>
        </is>
      </c>
      <c r="B475" s="1" t="n">
        <v>45952.49537037037</v>
      </c>
      <c r="C475" s="1" t="n">
        <v>45976</v>
      </c>
      <c r="D475" t="inlineStr">
        <is>
          <t>DALARNAS LÄN</t>
        </is>
      </c>
      <c r="E475" t="inlineStr">
        <is>
          <t>LEKSAND</t>
        </is>
      </c>
      <c r="G475" t="n">
        <v>2.3</v>
      </c>
      <c r="H475" t="n">
        <v>0</v>
      </c>
      <c r="I475" t="n">
        <v>0</v>
      </c>
      <c r="J475" t="n">
        <v>0</v>
      </c>
      <c r="K475" t="n">
        <v>0</v>
      </c>
      <c r="L475" t="n">
        <v>0</v>
      </c>
      <c r="M475" t="n">
        <v>0</v>
      </c>
      <c r="N475" t="n">
        <v>0</v>
      </c>
      <c r="O475" t="n">
        <v>0</v>
      </c>
      <c r="P475" t="n">
        <v>0</v>
      </c>
      <c r="Q475" t="n">
        <v>0</v>
      </c>
      <c r="R475" s="2" t="inlineStr"/>
    </row>
    <row r="476" ht="15" customHeight="1">
      <c r="A476" t="inlineStr">
        <is>
          <t>A 43628-2025</t>
        </is>
      </c>
      <c r="B476" s="1" t="n">
        <v>45911.70060185185</v>
      </c>
      <c r="C476" s="1" t="n">
        <v>45976</v>
      </c>
      <c r="D476" t="inlineStr">
        <is>
          <t>DALARNAS LÄN</t>
        </is>
      </c>
      <c r="E476" t="inlineStr">
        <is>
          <t>LEKSAND</t>
        </is>
      </c>
      <c r="G476" t="n">
        <v>1.4</v>
      </c>
      <c r="H476" t="n">
        <v>0</v>
      </c>
      <c r="I476" t="n">
        <v>0</v>
      </c>
      <c r="J476" t="n">
        <v>0</v>
      </c>
      <c r="K476" t="n">
        <v>0</v>
      </c>
      <c r="L476" t="n">
        <v>0</v>
      </c>
      <c r="M476" t="n">
        <v>0</v>
      </c>
      <c r="N476" t="n">
        <v>0</v>
      </c>
      <c r="O476" t="n">
        <v>0</v>
      </c>
      <c r="P476" t="n">
        <v>0</v>
      </c>
      <c r="Q476" t="n">
        <v>0</v>
      </c>
      <c r="R476" s="2" t="inlineStr"/>
    </row>
    <row r="477" ht="15" customHeight="1">
      <c r="A477" t="inlineStr">
        <is>
          <t>A 43607-2025</t>
        </is>
      </c>
      <c r="B477" s="1" t="n">
        <v>45911.66873842593</v>
      </c>
      <c r="C477" s="1" t="n">
        <v>45976</v>
      </c>
      <c r="D477" t="inlineStr">
        <is>
          <t>DALARNAS LÄN</t>
        </is>
      </c>
      <c r="E477" t="inlineStr">
        <is>
          <t>LEKSAND</t>
        </is>
      </c>
      <c r="G477" t="n">
        <v>7.3</v>
      </c>
      <c r="H477" t="n">
        <v>0</v>
      </c>
      <c r="I477" t="n">
        <v>0</v>
      </c>
      <c r="J477" t="n">
        <v>0</v>
      </c>
      <c r="K477" t="n">
        <v>0</v>
      </c>
      <c r="L477" t="n">
        <v>0</v>
      </c>
      <c r="M477" t="n">
        <v>0</v>
      </c>
      <c r="N477" t="n">
        <v>0</v>
      </c>
      <c r="O477" t="n">
        <v>0</v>
      </c>
      <c r="P477" t="n">
        <v>0</v>
      </c>
      <c r="Q477" t="n">
        <v>0</v>
      </c>
      <c r="R477" s="2" t="inlineStr"/>
    </row>
    <row r="478" ht="15" customHeight="1">
      <c r="A478" t="inlineStr">
        <is>
          <t>A 20683-2025</t>
        </is>
      </c>
      <c r="B478" s="1" t="n">
        <v>45776</v>
      </c>
      <c r="C478" s="1" t="n">
        <v>45976</v>
      </c>
      <c r="D478" t="inlineStr">
        <is>
          <t>DALARNAS LÄN</t>
        </is>
      </c>
      <c r="E478" t="inlineStr">
        <is>
          <t>LEKSAND</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43195-2025</t>
        </is>
      </c>
      <c r="B479" s="1" t="n">
        <v>45910.4294212963</v>
      </c>
      <c r="C479" s="1" t="n">
        <v>45976</v>
      </c>
      <c r="D479" t="inlineStr">
        <is>
          <t>DALARNAS LÄN</t>
        </is>
      </c>
      <c r="E479" t="inlineStr">
        <is>
          <t>LEKSAND</t>
        </is>
      </c>
      <c r="G479" t="n">
        <v>2.5</v>
      </c>
      <c r="H479" t="n">
        <v>0</v>
      </c>
      <c r="I479" t="n">
        <v>0</v>
      </c>
      <c r="J479" t="n">
        <v>0</v>
      </c>
      <c r="K479" t="n">
        <v>0</v>
      </c>
      <c r="L479" t="n">
        <v>0</v>
      </c>
      <c r="M479" t="n">
        <v>0</v>
      </c>
      <c r="N479" t="n">
        <v>0</v>
      </c>
      <c r="O479" t="n">
        <v>0</v>
      </c>
      <c r="P479" t="n">
        <v>0</v>
      </c>
      <c r="Q479" t="n">
        <v>0</v>
      </c>
      <c r="R479" s="2" t="inlineStr"/>
    </row>
    <row r="480" ht="15" customHeight="1">
      <c r="A480" t="inlineStr">
        <is>
          <t>A 59859-2023</t>
        </is>
      </c>
      <c r="B480" s="1" t="n">
        <v>45257</v>
      </c>
      <c r="C480" s="1" t="n">
        <v>45976</v>
      </c>
      <c r="D480" t="inlineStr">
        <is>
          <t>DALARNAS LÄN</t>
        </is>
      </c>
      <c r="E480" t="inlineStr">
        <is>
          <t>LEKSAND</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39136-2023</t>
        </is>
      </c>
      <c r="B481" s="1" t="n">
        <v>45165</v>
      </c>
      <c r="C481" s="1" t="n">
        <v>45976</v>
      </c>
      <c r="D481" t="inlineStr">
        <is>
          <t>DALARNAS LÄN</t>
        </is>
      </c>
      <c r="E481" t="inlineStr">
        <is>
          <t>LEKSAND</t>
        </is>
      </c>
      <c r="G481" t="n">
        <v>0.3</v>
      </c>
      <c r="H481" t="n">
        <v>0</v>
      </c>
      <c r="I481" t="n">
        <v>0</v>
      </c>
      <c r="J481" t="n">
        <v>0</v>
      </c>
      <c r="K481" t="n">
        <v>0</v>
      </c>
      <c r="L481" t="n">
        <v>0</v>
      </c>
      <c r="M481" t="n">
        <v>0</v>
      </c>
      <c r="N481" t="n">
        <v>0</v>
      </c>
      <c r="O481" t="n">
        <v>0</v>
      </c>
      <c r="P481" t="n">
        <v>0</v>
      </c>
      <c r="Q481" t="n">
        <v>0</v>
      </c>
      <c r="R481" s="2" t="inlineStr"/>
    </row>
    <row r="482" ht="15" customHeight="1">
      <c r="A482" t="inlineStr">
        <is>
          <t>A 43630-2025</t>
        </is>
      </c>
      <c r="B482" s="1" t="n">
        <v>45911.70278935185</v>
      </c>
      <c r="C482" s="1" t="n">
        <v>45976</v>
      </c>
      <c r="D482" t="inlineStr">
        <is>
          <t>DALARNAS LÄN</t>
        </is>
      </c>
      <c r="E482" t="inlineStr">
        <is>
          <t>LEKSAND</t>
        </is>
      </c>
      <c r="G482" t="n">
        <v>4.7</v>
      </c>
      <c r="H482" t="n">
        <v>0</v>
      </c>
      <c r="I482" t="n">
        <v>0</v>
      </c>
      <c r="J482" t="n">
        <v>0</v>
      </c>
      <c r="K482" t="n">
        <v>0</v>
      </c>
      <c r="L482" t="n">
        <v>0</v>
      </c>
      <c r="M482" t="n">
        <v>0</v>
      </c>
      <c r="N482" t="n">
        <v>0</v>
      </c>
      <c r="O482" t="n">
        <v>0</v>
      </c>
      <c r="P482" t="n">
        <v>0</v>
      </c>
      <c r="Q482" t="n">
        <v>0</v>
      </c>
      <c r="R482" s="2" t="inlineStr"/>
    </row>
    <row r="483" ht="15" customHeight="1">
      <c r="A483" t="inlineStr">
        <is>
          <t>A 53193-2024</t>
        </is>
      </c>
      <c r="B483" s="1" t="n">
        <v>45610</v>
      </c>
      <c r="C483" s="1" t="n">
        <v>45976</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30863-2024</t>
        </is>
      </c>
      <c r="B484" s="1" t="n">
        <v>45497.71074074074</v>
      </c>
      <c r="C484" s="1" t="n">
        <v>45976</v>
      </c>
      <c r="D484" t="inlineStr">
        <is>
          <t>DALARNAS LÄN</t>
        </is>
      </c>
      <c r="E484" t="inlineStr">
        <is>
          <t>LEKSAND</t>
        </is>
      </c>
      <c r="F484" t="inlineStr">
        <is>
          <t>Bergvik skog väst AB</t>
        </is>
      </c>
      <c r="G484" t="n">
        <v>0.6</v>
      </c>
      <c r="H484" t="n">
        <v>0</v>
      </c>
      <c r="I484" t="n">
        <v>0</v>
      </c>
      <c r="J484" t="n">
        <v>0</v>
      </c>
      <c r="K484" t="n">
        <v>0</v>
      </c>
      <c r="L484" t="n">
        <v>0</v>
      </c>
      <c r="M484" t="n">
        <v>0</v>
      </c>
      <c r="N484" t="n">
        <v>0</v>
      </c>
      <c r="O484" t="n">
        <v>0</v>
      </c>
      <c r="P484" t="n">
        <v>0</v>
      </c>
      <c r="Q484" t="n">
        <v>0</v>
      </c>
      <c r="R484" s="2" t="inlineStr"/>
    </row>
    <row r="485" ht="15" customHeight="1">
      <c r="A485" t="inlineStr">
        <is>
          <t>A 21230-2025</t>
        </is>
      </c>
      <c r="B485" s="1" t="n">
        <v>45779.54589120371</v>
      </c>
      <c r="C485" s="1" t="n">
        <v>45976</v>
      </c>
      <c r="D485" t="inlineStr">
        <is>
          <t>DALARNAS LÄN</t>
        </is>
      </c>
      <c r="E485" t="inlineStr">
        <is>
          <t>LEKSAND</t>
        </is>
      </c>
      <c r="G485" t="n">
        <v>0.5</v>
      </c>
      <c r="H485" t="n">
        <v>0</v>
      </c>
      <c r="I485" t="n">
        <v>0</v>
      </c>
      <c r="J485" t="n">
        <v>0</v>
      </c>
      <c r="K485" t="n">
        <v>0</v>
      </c>
      <c r="L485" t="n">
        <v>0</v>
      </c>
      <c r="M485" t="n">
        <v>0</v>
      </c>
      <c r="N485" t="n">
        <v>0</v>
      </c>
      <c r="O485" t="n">
        <v>0</v>
      </c>
      <c r="P485" t="n">
        <v>0</v>
      </c>
      <c r="Q485" t="n">
        <v>0</v>
      </c>
      <c r="R485" s="2" t="inlineStr"/>
    </row>
    <row r="486" ht="15" customHeight="1">
      <c r="A486" t="inlineStr">
        <is>
          <t>A 21193-2025</t>
        </is>
      </c>
      <c r="B486" s="1" t="n">
        <v>45779.46675925926</v>
      </c>
      <c r="C486" s="1" t="n">
        <v>45976</v>
      </c>
      <c r="D486" t="inlineStr">
        <is>
          <t>DALARNAS LÄN</t>
        </is>
      </c>
      <c r="E486" t="inlineStr">
        <is>
          <t>LEKSAND</t>
        </is>
      </c>
      <c r="G486" t="n">
        <v>3.7</v>
      </c>
      <c r="H486" t="n">
        <v>0</v>
      </c>
      <c r="I486" t="n">
        <v>0</v>
      </c>
      <c r="J486" t="n">
        <v>0</v>
      </c>
      <c r="K486" t="n">
        <v>0</v>
      </c>
      <c r="L486" t="n">
        <v>0</v>
      </c>
      <c r="M486" t="n">
        <v>0</v>
      </c>
      <c r="N486" t="n">
        <v>0</v>
      </c>
      <c r="O486" t="n">
        <v>0</v>
      </c>
      <c r="P486" t="n">
        <v>0</v>
      </c>
      <c r="Q486" t="n">
        <v>0</v>
      </c>
      <c r="R486" s="2" t="inlineStr"/>
    </row>
    <row r="487" ht="15" customHeight="1">
      <c r="A487" t="inlineStr">
        <is>
          <t>A 24481-2024</t>
        </is>
      </c>
      <c r="B487" s="1" t="n">
        <v>45459.36460648148</v>
      </c>
      <c r="C487" s="1" t="n">
        <v>45976</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51728-2025</t>
        </is>
      </c>
      <c r="B488" s="1" t="n">
        <v>45951</v>
      </c>
      <c r="C488" s="1" t="n">
        <v>45976</v>
      </c>
      <c r="D488" t="inlineStr">
        <is>
          <t>DALARNAS LÄN</t>
        </is>
      </c>
      <c r="E488" t="inlineStr">
        <is>
          <t>LEKSAND</t>
        </is>
      </c>
      <c r="F488" t="inlineStr">
        <is>
          <t>Bergvik skog väst AB</t>
        </is>
      </c>
      <c r="G488" t="n">
        <v>14.2</v>
      </c>
      <c r="H488" t="n">
        <v>0</v>
      </c>
      <c r="I488" t="n">
        <v>0</v>
      </c>
      <c r="J488" t="n">
        <v>0</v>
      </c>
      <c r="K488" t="n">
        <v>0</v>
      </c>
      <c r="L488" t="n">
        <v>0</v>
      </c>
      <c r="M488" t="n">
        <v>0</v>
      </c>
      <c r="N488" t="n">
        <v>0</v>
      </c>
      <c r="O488" t="n">
        <v>0</v>
      </c>
      <c r="P488" t="n">
        <v>0</v>
      </c>
      <c r="Q488" t="n">
        <v>0</v>
      </c>
      <c r="R488" s="2" t="inlineStr"/>
    </row>
    <row r="489" ht="15" customHeight="1">
      <c r="A489" t="inlineStr">
        <is>
          <t>A 14615-2024</t>
        </is>
      </c>
      <c r="B489" s="1" t="n">
        <v>45397.26047453703</v>
      </c>
      <c r="C489" s="1" t="n">
        <v>45976</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58495-2023</t>
        </is>
      </c>
      <c r="B490" s="1" t="n">
        <v>45251</v>
      </c>
      <c r="C490" s="1" t="n">
        <v>45976</v>
      </c>
      <c r="D490" t="inlineStr">
        <is>
          <t>DALARNAS LÄN</t>
        </is>
      </c>
      <c r="E490" t="inlineStr">
        <is>
          <t>LEKSAND</t>
        </is>
      </c>
      <c r="G490" t="n">
        <v>1.7</v>
      </c>
      <c r="H490" t="n">
        <v>0</v>
      </c>
      <c r="I490" t="n">
        <v>0</v>
      </c>
      <c r="J490" t="n">
        <v>0</v>
      </c>
      <c r="K490" t="n">
        <v>0</v>
      </c>
      <c r="L490" t="n">
        <v>0</v>
      </c>
      <c r="M490" t="n">
        <v>0</v>
      </c>
      <c r="N490" t="n">
        <v>0</v>
      </c>
      <c r="O490" t="n">
        <v>0</v>
      </c>
      <c r="P490" t="n">
        <v>0</v>
      </c>
      <c r="Q490" t="n">
        <v>0</v>
      </c>
      <c r="R490" s="2" t="inlineStr"/>
    </row>
    <row r="491" ht="15" customHeight="1">
      <c r="A491" t="inlineStr">
        <is>
          <t>A 23663-2024</t>
        </is>
      </c>
      <c r="B491" s="1" t="n">
        <v>45454.57049768518</v>
      </c>
      <c r="C491" s="1" t="n">
        <v>45976</v>
      </c>
      <c r="D491" t="inlineStr">
        <is>
          <t>DALARNAS LÄN</t>
        </is>
      </c>
      <c r="E491" t="inlineStr">
        <is>
          <t>LEKSAND</t>
        </is>
      </c>
      <c r="G491" t="n">
        <v>2.5</v>
      </c>
      <c r="H491" t="n">
        <v>0</v>
      </c>
      <c r="I491" t="n">
        <v>0</v>
      </c>
      <c r="J491" t="n">
        <v>0</v>
      </c>
      <c r="K491" t="n">
        <v>0</v>
      </c>
      <c r="L491" t="n">
        <v>0</v>
      </c>
      <c r="M491" t="n">
        <v>0</v>
      </c>
      <c r="N491" t="n">
        <v>0</v>
      </c>
      <c r="O491" t="n">
        <v>0</v>
      </c>
      <c r="P491" t="n">
        <v>0</v>
      </c>
      <c r="Q491" t="n">
        <v>0</v>
      </c>
      <c r="R491" s="2" t="inlineStr"/>
    </row>
    <row r="492" ht="15" customHeight="1">
      <c r="A492" t="inlineStr">
        <is>
          <t>A 40627-2023</t>
        </is>
      </c>
      <c r="B492" s="1" t="n">
        <v>45170</v>
      </c>
      <c r="C492" s="1" t="n">
        <v>45976</v>
      </c>
      <c r="D492" t="inlineStr">
        <is>
          <t>DALARNAS LÄN</t>
        </is>
      </c>
      <c r="E492" t="inlineStr">
        <is>
          <t>LEKSAND</t>
        </is>
      </c>
      <c r="F492" t="inlineStr">
        <is>
          <t>Bergvik skog väst AB</t>
        </is>
      </c>
      <c r="G492" t="n">
        <v>3.3</v>
      </c>
      <c r="H492" t="n">
        <v>0</v>
      </c>
      <c r="I492" t="n">
        <v>0</v>
      </c>
      <c r="J492" t="n">
        <v>0</v>
      </c>
      <c r="K492" t="n">
        <v>0</v>
      </c>
      <c r="L492" t="n">
        <v>0</v>
      </c>
      <c r="M492" t="n">
        <v>0</v>
      </c>
      <c r="N492" t="n">
        <v>0</v>
      </c>
      <c r="O492" t="n">
        <v>0</v>
      </c>
      <c r="P492" t="n">
        <v>0</v>
      </c>
      <c r="Q492" t="n">
        <v>0</v>
      </c>
      <c r="R492" s="2" t="inlineStr"/>
    </row>
    <row r="493" ht="15" customHeight="1">
      <c r="A493" t="inlineStr">
        <is>
          <t>A 43830-2025</t>
        </is>
      </c>
      <c r="B493" s="1" t="n">
        <v>45912</v>
      </c>
      <c r="C493" s="1" t="n">
        <v>45976</v>
      </c>
      <c r="D493" t="inlineStr">
        <is>
          <t>DALARNAS LÄN</t>
        </is>
      </c>
      <c r="E493" t="inlineStr">
        <is>
          <t>LEKSAND</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43888-2025</t>
        </is>
      </c>
      <c r="B494" s="1" t="n">
        <v>45912</v>
      </c>
      <c r="C494" s="1" t="n">
        <v>45976</v>
      </c>
      <c r="D494" t="inlineStr">
        <is>
          <t>DALARNAS LÄN</t>
        </is>
      </c>
      <c r="E494" t="inlineStr">
        <is>
          <t>LEKSAND</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21600-2025</t>
        </is>
      </c>
      <c r="B495" s="1" t="n">
        <v>45783.3521875</v>
      </c>
      <c r="C495" s="1" t="n">
        <v>45976</v>
      </c>
      <c r="D495" t="inlineStr">
        <is>
          <t>DALARNAS LÄN</t>
        </is>
      </c>
      <c r="E495" t="inlineStr">
        <is>
          <t>LEKSAND</t>
        </is>
      </c>
      <c r="G495" t="n">
        <v>7.7</v>
      </c>
      <c r="H495" t="n">
        <v>0</v>
      </c>
      <c r="I495" t="n">
        <v>0</v>
      </c>
      <c r="J495" t="n">
        <v>0</v>
      </c>
      <c r="K495" t="n">
        <v>0</v>
      </c>
      <c r="L495" t="n">
        <v>0</v>
      </c>
      <c r="M495" t="n">
        <v>0</v>
      </c>
      <c r="N495" t="n">
        <v>0</v>
      </c>
      <c r="O495" t="n">
        <v>0</v>
      </c>
      <c r="P495" t="n">
        <v>0</v>
      </c>
      <c r="Q495" t="n">
        <v>0</v>
      </c>
      <c r="R495" s="2" t="inlineStr"/>
    </row>
    <row r="496" ht="15" customHeight="1">
      <c r="A496" t="inlineStr">
        <is>
          <t>A 1519-2024</t>
        </is>
      </c>
      <c r="B496" s="1" t="n">
        <v>45306</v>
      </c>
      <c r="C496" s="1" t="n">
        <v>45976</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11872-2024</t>
        </is>
      </c>
      <c r="B497" s="1" t="n">
        <v>45376.46833333333</v>
      </c>
      <c r="C497" s="1" t="n">
        <v>45976</v>
      </c>
      <c r="D497" t="inlineStr">
        <is>
          <t>DALARNAS LÄN</t>
        </is>
      </c>
      <c r="E497" t="inlineStr">
        <is>
          <t>LEKSAND</t>
        </is>
      </c>
      <c r="G497" t="n">
        <v>3.1</v>
      </c>
      <c r="H497" t="n">
        <v>0</v>
      </c>
      <c r="I497" t="n">
        <v>0</v>
      </c>
      <c r="J497" t="n">
        <v>0</v>
      </c>
      <c r="K497" t="n">
        <v>0</v>
      </c>
      <c r="L497" t="n">
        <v>0</v>
      </c>
      <c r="M497" t="n">
        <v>0</v>
      </c>
      <c r="N497" t="n">
        <v>0</v>
      </c>
      <c r="O497" t="n">
        <v>0</v>
      </c>
      <c r="P497" t="n">
        <v>0</v>
      </c>
      <c r="Q497" t="n">
        <v>0</v>
      </c>
      <c r="R497" s="2" t="inlineStr"/>
    </row>
    <row r="498" ht="15" customHeight="1">
      <c r="A498" t="inlineStr">
        <is>
          <t>A 43781-2025</t>
        </is>
      </c>
      <c r="B498" s="1" t="n">
        <v>45912.52229166667</v>
      </c>
      <c r="C498" s="1" t="n">
        <v>45976</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21457-2025</t>
        </is>
      </c>
      <c r="B499" s="1" t="n">
        <v>45782.55451388889</v>
      </c>
      <c r="C499" s="1" t="n">
        <v>45976</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19622-2024</t>
        </is>
      </c>
      <c r="B500" s="1" t="n">
        <v>45432.33592592592</v>
      </c>
      <c r="C500" s="1" t="n">
        <v>45976</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2694-2025</t>
        </is>
      </c>
      <c r="B501" s="1" t="n">
        <v>45677.38246527778</v>
      </c>
      <c r="C501" s="1" t="n">
        <v>45976</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28892-2022</t>
        </is>
      </c>
      <c r="B502" s="1" t="n">
        <v>44749</v>
      </c>
      <c r="C502" s="1" t="n">
        <v>45976</v>
      </c>
      <c r="D502" t="inlineStr">
        <is>
          <t>DALARNAS LÄN</t>
        </is>
      </c>
      <c r="E502" t="inlineStr">
        <is>
          <t>LEKSAND</t>
        </is>
      </c>
      <c r="F502" t="inlineStr">
        <is>
          <t>Bergvik skog väst AB</t>
        </is>
      </c>
      <c r="G502" t="n">
        <v>9.1</v>
      </c>
      <c r="H502" t="n">
        <v>0</v>
      </c>
      <c r="I502" t="n">
        <v>0</v>
      </c>
      <c r="J502" t="n">
        <v>0</v>
      </c>
      <c r="K502" t="n">
        <v>0</v>
      </c>
      <c r="L502" t="n">
        <v>0</v>
      </c>
      <c r="M502" t="n">
        <v>0</v>
      </c>
      <c r="N502" t="n">
        <v>0</v>
      </c>
      <c r="O502" t="n">
        <v>0</v>
      </c>
      <c r="P502" t="n">
        <v>0</v>
      </c>
      <c r="Q502" t="n">
        <v>0</v>
      </c>
      <c r="R502" s="2" t="inlineStr"/>
    </row>
    <row r="503" ht="15" customHeight="1">
      <c r="A503" t="inlineStr">
        <is>
          <t>A 52671-2025</t>
        </is>
      </c>
      <c r="B503" s="1" t="n">
        <v>45955.98113425926</v>
      </c>
      <c r="C503" s="1" t="n">
        <v>45976</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40230-2023</t>
        </is>
      </c>
      <c r="B504" s="1" t="n">
        <v>45169.46887731482</v>
      </c>
      <c r="C504" s="1" t="n">
        <v>45976</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44237-2025</t>
        </is>
      </c>
      <c r="B505" s="1" t="n">
        <v>45915.6677199074</v>
      </c>
      <c r="C505" s="1" t="n">
        <v>45976</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61554-2024</t>
        </is>
      </c>
      <c r="B506" s="1" t="n">
        <v>45646.60748842593</v>
      </c>
      <c r="C506" s="1" t="n">
        <v>45976</v>
      </c>
      <c r="D506" t="inlineStr">
        <is>
          <t>DALARNAS LÄN</t>
        </is>
      </c>
      <c r="E506" t="inlineStr">
        <is>
          <t>LEKSAND</t>
        </is>
      </c>
      <c r="G506" t="n">
        <v>2.6</v>
      </c>
      <c r="H506" t="n">
        <v>0</v>
      </c>
      <c r="I506" t="n">
        <v>0</v>
      </c>
      <c r="J506" t="n">
        <v>0</v>
      </c>
      <c r="K506" t="n">
        <v>0</v>
      </c>
      <c r="L506" t="n">
        <v>0</v>
      </c>
      <c r="M506" t="n">
        <v>0</v>
      </c>
      <c r="N506" t="n">
        <v>0</v>
      </c>
      <c r="O506" t="n">
        <v>0</v>
      </c>
      <c r="P506" t="n">
        <v>0</v>
      </c>
      <c r="Q506" t="n">
        <v>0</v>
      </c>
      <c r="R506" s="2" t="inlineStr"/>
    </row>
    <row r="507" ht="15" customHeight="1">
      <c r="A507" t="inlineStr">
        <is>
          <t>A 33593-2024</t>
        </is>
      </c>
      <c r="B507" s="1" t="n">
        <v>45520.36055555556</v>
      </c>
      <c r="C507" s="1" t="n">
        <v>45976</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43875-2025</t>
        </is>
      </c>
      <c r="B508" s="1" t="n">
        <v>45912.67685185185</v>
      </c>
      <c r="C508" s="1" t="n">
        <v>45976</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7778-2025</t>
        </is>
      </c>
      <c r="B509" s="1" t="n">
        <v>45706</v>
      </c>
      <c r="C509" s="1" t="n">
        <v>45976</v>
      </c>
      <c r="D509" t="inlineStr">
        <is>
          <t>DALARNAS LÄN</t>
        </is>
      </c>
      <c r="E509" t="inlineStr">
        <is>
          <t>LEKSAND</t>
        </is>
      </c>
      <c r="G509" t="n">
        <v>2.2</v>
      </c>
      <c r="H509" t="n">
        <v>0</v>
      </c>
      <c r="I509" t="n">
        <v>0</v>
      </c>
      <c r="J509" t="n">
        <v>0</v>
      </c>
      <c r="K509" t="n">
        <v>0</v>
      </c>
      <c r="L509" t="n">
        <v>0</v>
      </c>
      <c r="M509" t="n">
        <v>0</v>
      </c>
      <c r="N509" t="n">
        <v>0</v>
      </c>
      <c r="O509" t="n">
        <v>0</v>
      </c>
      <c r="P509" t="n">
        <v>0</v>
      </c>
      <c r="Q509" t="n">
        <v>0</v>
      </c>
      <c r="R509" s="2" t="inlineStr"/>
    </row>
    <row r="510" ht="15" customHeight="1">
      <c r="A510" t="inlineStr">
        <is>
          <t>A 11712-2025</t>
        </is>
      </c>
      <c r="B510" s="1" t="n">
        <v>45727</v>
      </c>
      <c r="C510" s="1" t="n">
        <v>45976</v>
      </c>
      <c r="D510" t="inlineStr">
        <is>
          <t>DALARNAS LÄN</t>
        </is>
      </c>
      <c r="E510" t="inlineStr">
        <is>
          <t>LEKSAND</t>
        </is>
      </c>
      <c r="G510" t="n">
        <v>6</v>
      </c>
      <c r="H510" t="n">
        <v>0</v>
      </c>
      <c r="I510" t="n">
        <v>0</v>
      </c>
      <c r="J510" t="n">
        <v>0</v>
      </c>
      <c r="K510" t="n">
        <v>0</v>
      </c>
      <c r="L510" t="n">
        <v>0</v>
      </c>
      <c r="M510" t="n">
        <v>0</v>
      </c>
      <c r="N510" t="n">
        <v>0</v>
      </c>
      <c r="O510" t="n">
        <v>0</v>
      </c>
      <c r="P510" t="n">
        <v>0</v>
      </c>
      <c r="Q510" t="n">
        <v>0</v>
      </c>
      <c r="R510" s="2" t="inlineStr"/>
    </row>
    <row r="511" ht="15" customHeight="1">
      <c r="A511" t="inlineStr">
        <is>
          <t>A 6030-2025</t>
        </is>
      </c>
      <c r="B511" s="1" t="n">
        <v>45695</v>
      </c>
      <c r="C511" s="1" t="n">
        <v>45976</v>
      </c>
      <c r="D511" t="inlineStr">
        <is>
          <t>DALARNAS LÄN</t>
        </is>
      </c>
      <c r="E511" t="inlineStr">
        <is>
          <t>LEKSAND</t>
        </is>
      </c>
      <c r="G511" t="n">
        <v>1.4</v>
      </c>
      <c r="H511" t="n">
        <v>0</v>
      </c>
      <c r="I511" t="n">
        <v>0</v>
      </c>
      <c r="J511" t="n">
        <v>0</v>
      </c>
      <c r="K511" t="n">
        <v>0</v>
      </c>
      <c r="L511" t="n">
        <v>0</v>
      </c>
      <c r="M511" t="n">
        <v>0</v>
      </c>
      <c r="N511" t="n">
        <v>0</v>
      </c>
      <c r="O511" t="n">
        <v>0</v>
      </c>
      <c r="P511" t="n">
        <v>0</v>
      </c>
      <c r="Q511" t="n">
        <v>0</v>
      </c>
      <c r="R511" s="2" t="inlineStr"/>
    </row>
    <row r="512" ht="15" customHeight="1">
      <c r="A512" t="inlineStr">
        <is>
          <t>A 42230-2023</t>
        </is>
      </c>
      <c r="B512" s="1" t="n">
        <v>45180</v>
      </c>
      <c r="C512" s="1" t="n">
        <v>45976</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22080-2025</t>
        </is>
      </c>
      <c r="B513" s="1" t="n">
        <v>45785</v>
      </c>
      <c r="C513" s="1" t="n">
        <v>45976</v>
      </c>
      <c r="D513" t="inlineStr">
        <is>
          <t>DALARNAS LÄN</t>
        </is>
      </c>
      <c r="E513" t="inlineStr">
        <is>
          <t>LEKSAND</t>
        </is>
      </c>
      <c r="G513" t="n">
        <v>7</v>
      </c>
      <c r="H513" t="n">
        <v>0</v>
      </c>
      <c r="I513" t="n">
        <v>0</v>
      </c>
      <c r="J513" t="n">
        <v>0</v>
      </c>
      <c r="K513" t="n">
        <v>0</v>
      </c>
      <c r="L513" t="n">
        <v>0</v>
      </c>
      <c r="M513" t="n">
        <v>0</v>
      </c>
      <c r="N513" t="n">
        <v>0</v>
      </c>
      <c r="O513" t="n">
        <v>0</v>
      </c>
      <c r="P513" t="n">
        <v>0</v>
      </c>
      <c r="Q513" t="n">
        <v>0</v>
      </c>
      <c r="R513" s="2" t="inlineStr"/>
    </row>
    <row r="514" ht="15" customHeight="1">
      <c r="A514" t="inlineStr">
        <is>
          <t>A 21916-2025</t>
        </is>
      </c>
      <c r="B514" s="1" t="n">
        <v>45784.50115740741</v>
      </c>
      <c r="C514" s="1" t="n">
        <v>45976</v>
      </c>
      <c r="D514" t="inlineStr">
        <is>
          <t>DALARNAS LÄN</t>
        </is>
      </c>
      <c r="E514" t="inlineStr">
        <is>
          <t>LEKSAND</t>
        </is>
      </c>
      <c r="G514" t="n">
        <v>2.6</v>
      </c>
      <c r="H514" t="n">
        <v>0</v>
      </c>
      <c r="I514" t="n">
        <v>0</v>
      </c>
      <c r="J514" t="n">
        <v>0</v>
      </c>
      <c r="K514" t="n">
        <v>0</v>
      </c>
      <c r="L514" t="n">
        <v>0</v>
      </c>
      <c r="M514" t="n">
        <v>0</v>
      </c>
      <c r="N514" t="n">
        <v>0</v>
      </c>
      <c r="O514" t="n">
        <v>0</v>
      </c>
      <c r="P514" t="n">
        <v>0</v>
      </c>
      <c r="Q514" t="n">
        <v>0</v>
      </c>
      <c r="R514" s="2" t="inlineStr"/>
    </row>
    <row r="515" ht="15" customHeight="1">
      <c r="A515" t="inlineStr">
        <is>
          <t>A 62307-2023</t>
        </is>
      </c>
      <c r="B515" s="1" t="n">
        <v>45266</v>
      </c>
      <c r="C515" s="1" t="n">
        <v>45976</v>
      </c>
      <c r="D515" t="inlineStr">
        <is>
          <t>DALARNAS LÄN</t>
        </is>
      </c>
      <c r="E515" t="inlineStr">
        <is>
          <t>LEKSAND</t>
        </is>
      </c>
      <c r="G515" t="n">
        <v>3.9</v>
      </c>
      <c r="H515" t="n">
        <v>0</v>
      </c>
      <c r="I515" t="n">
        <v>0</v>
      </c>
      <c r="J515" t="n">
        <v>0</v>
      </c>
      <c r="K515" t="n">
        <v>0</v>
      </c>
      <c r="L515" t="n">
        <v>0</v>
      </c>
      <c r="M515" t="n">
        <v>0</v>
      </c>
      <c r="N515" t="n">
        <v>0</v>
      </c>
      <c r="O515" t="n">
        <v>0</v>
      </c>
      <c r="P515" t="n">
        <v>0</v>
      </c>
      <c r="Q515" t="n">
        <v>0</v>
      </c>
      <c r="R515" s="2" t="inlineStr"/>
    </row>
    <row r="516" ht="15" customHeight="1">
      <c r="A516" t="inlineStr">
        <is>
          <t>A 44519-2025</t>
        </is>
      </c>
      <c r="B516" s="1" t="n">
        <v>45916.71483796297</v>
      </c>
      <c r="C516" s="1" t="n">
        <v>45976</v>
      </c>
      <c r="D516" t="inlineStr">
        <is>
          <t>DALARNAS LÄN</t>
        </is>
      </c>
      <c r="E516" t="inlineStr">
        <is>
          <t>LEKSAND</t>
        </is>
      </c>
      <c r="G516" t="n">
        <v>3.6</v>
      </c>
      <c r="H516" t="n">
        <v>0</v>
      </c>
      <c r="I516" t="n">
        <v>0</v>
      </c>
      <c r="J516" t="n">
        <v>0</v>
      </c>
      <c r="K516" t="n">
        <v>0</v>
      </c>
      <c r="L516" t="n">
        <v>0</v>
      </c>
      <c r="M516" t="n">
        <v>0</v>
      </c>
      <c r="N516" t="n">
        <v>0</v>
      </c>
      <c r="O516" t="n">
        <v>0</v>
      </c>
      <c r="P516" t="n">
        <v>0</v>
      </c>
      <c r="Q516" t="n">
        <v>0</v>
      </c>
      <c r="R516" s="2" t="inlineStr"/>
    </row>
    <row r="517" ht="15" customHeight="1">
      <c r="A517" t="inlineStr">
        <is>
          <t>A 53438-2025</t>
        </is>
      </c>
      <c r="B517" s="1" t="n">
        <v>45959.63711805556</v>
      </c>
      <c r="C517" s="1" t="n">
        <v>45976</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14967-2023</t>
        </is>
      </c>
      <c r="B518" s="1" t="n">
        <v>45015</v>
      </c>
      <c r="C518" s="1" t="n">
        <v>45976</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55643-2024</t>
        </is>
      </c>
      <c r="B519" s="1" t="n">
        <v>45621</v>
      </c>
      <c r="C519" s="1" t="n">
        <v>45976</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7861-2024</t>
        </is>
      </c>
      <c r="B520" s="1" t="n">
        <v>45350.30831018519</v>
      </c>
      <c r="C520" s="1" t="n">
        <v>45976</v>
      </c>
      <c r="D520" t="inlineStr">
        <is>
          <t>DALARNAS LÄN</t>
        </is>
      </c>
      <c r="E520" t="inlineStr">
        <is>
          <t>LEKSAND</t>
        </is>
      </c>
      <c r="G520" t="n">
        <v>1.8</v>
      </c>
      <c r="H520" t="n">
        <v>0</v>
      </c>
      <c r="I520" t="n">
        <v>0</v>
      </c>
      <c r="J520" t="n">
        <v>0</v>
      </c>
      <c r="K520" t="n">
        <v>0</v>
      </c>
      <c r="L520" t="n">
        <v>0</v>
      </c>
      <c r="M520" t="n">
        <v>0</v>
      </c>
      <c r="N520" t="n">
        <v>0</v>
      </c>
      <c r="O520" t="n">
        <v>0</v>
      </c>
      <c r="P520" t="n">
        <v>0</v>
      </c>
      <c r="Q520" t="n">
        <v>0</v>
      </c>
      <c r="R520" s="2" t="inlineStr"/>
    </row>
    <row r="521" ht="15" customHeight="1">
      <c r="A521" t="inlineStr">
        <is>
          <t>A 53243-2025</t>
        </is>
      </c>
      <c r="B521" s="1" t="n">
        <v>45958.6442824074</v>
      </c>
      <c r="C521" s="1" t="n">
        <v>45976</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36534-2024</t>
        </is>
      </c>
      <c r="B522" s="1" t="n">
        <v>45537.45143518518</v>
      </c>
      <c r="C522" s="1" t="n">
        <v>45976</v>
      </c>
      <c r="D522" t="inlineStr">
        <is>
          <t>DALARNAS LÄN</t>
        </is>
      </c>
      <c r="E522" t="inlineStr">
        <is>
          <t>LEKSAND</t>
        </is>
      </c>
      <c r="G522" t="n">
        <v>4</v>
      </c>
      <c r="H522" t="n">
        <v>0</v>
      </c>
      <c r="I522" t="n">
        <v>0</v>
      </c>
      <c r="J522" t="n">
        <v>0</v>
      </c>
      <c r="K522" t="n">
        <v>0</v>
      </c>
      <c r="L522" t="n">
        <v>0</v>
      </c>
      <c r="M522" t="n">
        <v>0</v>
      </c>
      <c r="N522" t="n">
        <v>0</v>
      </c>
      <c r="O522" t="n">
        <v>0</v>
      </c>
      <c r="P522" t="n">
        <v>0</v>
      </c>
      <c r="Q522" t="n">
        <v>0</v>
      </c>
      <c r="R522" s="2" t="inlineStr"/>
    </row>
    <row r="523" ht="15" customHeight="1">
      <c r="A523" t="inlineStr">
        <is>
          <t>A 22281-2024</t>
        </is>
      </c>
      <c r="B523" s="1" t="n">
        <v>45446.54756944445</v>
      </c>
      <c r="C523" s="1" t="n">
        <v>45976</v>
      </c>
      <c r="D523" t="inlineStr">
        <is>
          <t>DALARNAS LÄN</t>
        </is>
      </c>
      <c r="E523" t="inlineStr">
        <is>
          <t>LEKSAND</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22536-2025</t>
        </is>
      </c>
      <c r="B524" s="1" t="n">
        <v>45787.33037037037</v>
      </c>
      <c r="C524" s="1" t="n">
        <v>45976</v>
      </c>
      <c r="D524" t="inlineStr">
        <is>
          <t>DALARNAS LÄN</t>
        </is>
      </c>
      <c r="E524" t="inlineStr">
        <is>
          <t>LEKSAND</t>
        </is>
      </c>
      <c r="G524" t="n">
        <v>1.8</v>
      </c>
      <c r="H524" t="n">
        <v>0</v>
      </c>
      <c r="I524" t="n">
        <v>0</v>
      </c>
      <c r="J524" t="n">
        <v>0</v>
      </c>
      <c r="K524" t="n">
        <v>0</v>
      </c>
      <c r="L524" t="n">
        <v>0</v>
      </c>
      <c r="M524" t="n">
        <v>0</v>
      </c>
      <c r="N524" t="n">
        <v>0</v>
      </c>
      <c r="O524" t="n">
        <v>0</v>
      </c>
      <c r="P524" t="n">
        <v>0</v>
      </c>
      <c r="Q524" t="n">
        <v>0</v>
      </c>
      <c r="R524" s="2" t="inlineStr"/>
    </row>
    <row r="525" ht="15" customHeight="1">
      <c r="A525" t="inlineStr">
        <is>
          <t>A 17282-2025</t>
        </is>
      </c>
      <c r="B525" s="1" t="n">
        <v>45756.57114583333</v>
      </c>
      <c r="C525" s="1" t="n">
        <v>45976</v>
      </c>
      <c r="D525" t="inlineStr">
        <is>
          <t>DALARNAS LÄN</t>
        </is>
      </c>
      <c r="E525" t="inlineStr">
        <is>
          <t>LEKSAND</t>
        </is>
      </c>
      <c r="G525" t="n">
        <v>0.9</v>
      </c>
      <c r="H525" t="n">
        <v>0</v>
      </c>
      <c r="I525" t="n">
        <v>0</v>
      </c>
      <c r="J525" t="n">
        <v>0</v>
      </c>
      <c r="K525" t="n">
        <v>0</v>
      </c>
      <c r="L525" t="n">
        <v>0</v>
      </c>
      <c r="M525" t="n">
        <v>0</v>
      </c>
      <c r="N525" t="n">
        <v>0</v>
      </c>
      <c r="O525" t="n">
        <v>0</v>
      </c>
      <c r="P525" t="n">
        <v>0</v>
      </c>
      <c r="Q525" t="n">
        <v>0</v>
      </c>
      <c r="R525" s="2" t="inlineStr"/>
    </row>
    <row r="526" ht="15" customHeight="1">
      <c r="A526" t="inlineStr">
        <is>
          <t>A 56016-2024</t>
        </is>
      </c>
      <c r="B526" s="1" t="n">
        <v>45623.87737268519</v>
      </c>
      <c r="C526" s="1" t="n">
        <v>45976</v>
      </c>
      <c r="D526" t="inlineStr">
        <is>
          <t>DALARNAS LÄN</t>
        </is>
      </c>
      <c r="E526" t="inlineStr">
        <is>
          <t>LEKSAND</t>
        </is>
      </c>
      <c r="G526" t="n">
        <v>6.1</v>
      </c>
      <c r="H526" t="n">
        <v>0</v>
      </c>
      <c r="I526" t="n">
        <v>0</v>
      </c>
      <c r="J526" t="n">
        <v>0</v>
      </c>
      <c r="K526" t="n">
        <v>0</v>
      </c>
      <c r="L526" t="n">
        <v>0</v>
      </c>
      <c r="M526" t="n">
        <v>0</v>
      </c>
      <c r="N526" t="n">
        <v>0</v>
      </c>
      <c r="O526" t="n">
        <v>0</v>
      </c>
      <c r="P526" t="n">
        <v>0</v>
      </c>
      <c r="Q526" t="n">
        <v>0</v>
      </c>
      <c r="R526" s="2" t="inlineStr"/>
    </row>
    <row r="527" ht="15" customHeight="1">
      <c r="A527" t="inlineStr">
        <is>
          <t>A 53041-2025</t>
        </is>
      </c>
      <c r="B527" s="1" t="n">
        <v>45958.35487268519</v>
      </c>
      <c r="C527" s="1" t="n">
        <v>45976</v>
      </c>
      <c r="D527" t="inlineStr">
        <is>
          <t>DALARNAS LÄN</t>
        </is>
      </c>
      <c r="E527" t="inlineStr">
        <is>
          <t>LEKSAND</t>
        </is>
      </c>
      <c r="G527" t="n">
        <v>1.7</v>
      </c>
      <c r="H527" t="n">
        <v>0</v>
      </c>
      <c r="I527" t="n">
        <v>0</v>
      </c>
      <c r="J527" t="n">
        <v>0</v>
      </c>
      <c r="K527" t="n">
        <v>0</v>
      </c>
      <c r="L527" t="n">
        <v>0</v>
      </c>
      <c r="M527" t="n">
        <v>0</v>
      </c>
      <c r="N527" t="n">
        <v>0</v>
      </c>
      <c r="O527" t="n">
        <v>0</v>
      </c>
      <c r="P527" t="n">
        <v>0</v>
      </c>
      <c r="Q527" t="n">
        <v>0</v>
      </c>
      <c r="R527" s="2" t="inlineStr"/>
    </row>
    <row r="528" ht="15" customHeight="1">
      <c r="A528" t="inlineStr">
        <is>
          <t>A 9857-2025</t>
        </is>
      </c>
      <c r="B528" s="1" t="n">
        <v>45716.62609953704</v>
      </c>
      <c r="C528" s="1" t="n">
        <v>45976</v>
      </c>
      <c r="D528" t="inlineStr">
        <is>
          <t>DALARNAS LÄN</t>
        </is>
      </c>
      <c r="E528" t="inlineStr">
        <is>
          <t>LEKSAND</t>
        </is>
      </c>
      <c r="G528" t="n">
        <v>1.7</v>
      </c>
      <c r="H528" t="n">
        <v>0</v>
      </c>
      <c r="I528" t="n">
        <v>0</v>
      </c>
      <c r="J528" t="n">
        <v>0</v>
      </c>
      <c r="K528" t="n">
        <v>0</v>
      </c>
      <c r="L528" t="n">
        <v>0</v>
      </c>
      <c r="M528" t="n">
        <v>0</v>
      </c>
      <c r="N528" t="n">
        <v>0</v>
      </c>
      <c r="O528" t="n">
        <v>0</v>
      </c>
      <c r="P528" t="n">
        <v>0</v>
      </c>
      <c r="Q528" t="n">
        <v>0</v>
      </c>
      <c r="R528" s="2" t="inlineStr"/>
    </row>
    <row r="529" ht="15" customHeight="1">
      <c r="A529" t="inlineStr">
        <is>
          <t>A 60042-2023</t>
        </is>
      </c>
      <c r="B529" s="1" t="n">
        <v>45256</v>
      </c>
      <c r="C529" s="1" t="n">
        <v>45976</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44516-2025</t>
        </is>
      </c>
      <c r="B530" s="1" t="n">
        <v>45916.70982638889</v>
      </c>
      <c r="C530" s="1" t="n">
        <v>45976</v>
      </c>
      <c r="D530" t="inlineStr">
        <is>
          <t>DALARNAS LÄN</t>
        </is>
      </c>
      <c r="E530" t="inlineStr">
        <is>
          <t>LEKSAND</t>
        </is>
      </c>
      <c r="G530" t="n">
        <v>1.8</v>
      </c>
      <c r="H530" t="n">
        <v>0</v>
      </c>
      <c r="I530" t="n">
        <v>0</v>
      </c>
      <c r="J530" t="n">
        <v>0</v>
      </c>
      <c r="K530" t="n">
        <v>0</v>
      </c>
      <c r="L530" t="n">
        <v>0</v>
      </c>
      <c r="M530" t="n">
        <v>0</v>
      </c>
      <c r="N530" t="n">
        <v>0</v>
      </c>
      <c r="O530" t="n">
        <v>0</v>
      </c>
      <c r="P530" t="n">
        <v>0</v>
      </c>
      <c r="Q530" t="n">
        <v>0</v>
      </c>
      <c r="R530" s="2" t="inlineStr"/>
    </row>
    <row r="531" ht="15" customHeight="1">
      <c r="A531" t="inlineStr">
        <is>
          <t>A 5873-2025</t>
        </is>
      </c>
      <c r="B531" s="1" t="n">
        <v>45695.36715277778</v>
      </c>
      <c r="C531" s="1" t="n">
        <v>45976</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30994-2023</t>
        </is>
      </c>
      <c r="B532" s="1" t="n">
        <v>45113</v>
      </c>
      <c r="C532" s="1" t="n">
        <v>45976</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33306-2023</t>
        </is>
      </c>
      <c r="B533" s="1" t="n">
        <v>45127</v>
      </c>
      <c r="C533" s="1" t="n">
        <v>45976</v>
      </c>
      <c r="D533" t="inlineStr">
        <is>
          <t>DALARNAS LÄN</t>
        </is>
      </c>
      <c r="E533" t="inlineStr">
        <is>
          <t>LEKSAND</t>
        </is>
      </c>
      <c r="G533" t="n">
        <v>2.2</v>
      </c>
      <c r="H533" t="n">
        <v>0</v>
      </c>
      <c r="I533" t="n">
        <v>0</v>
      </c>
      <c r="J533" t="n">
        <v>0</v>
      </c>
      <c r="K533" t="n">
        <v>0</v>
      </c>
      <c r="L533" t="n">
        <v>0</v>
      </c>
      <c r="M533" t="n">
        <v>0</v>
      </c>
      <c r="N533" t="n">
        <v>0</v>
      </c>
      <c r="O533" t="n">
        <v>0</v>
      </c>
      <c r="P533" t="n">
        <v>0</v>
      </c>
      <c r="Q533" t="n">
        <v>0</v>
      </c>
      <c r="R533" s="2" t="inlineStr"/>
    </row>
    <row r="534" ht="15" customHeight="1">
      <c r="A534" t="inlineStr">
        <is>
          <t>A 33316-2023</t>
        </is>
      </c>
      <c r="B534" s="1" t="n">
        <v>45127</v>
      </c>
      <c r="C534" s="1" t="n">
        <v>45976</v>
      </c>
      <c r="D534" t="inlineStr">
        <is>
          <t>DALARNAS LÄN</t>
        </is>
      </c>
      <c r="E534" t="inlineStr">
        <is>
          <t>LEKSAND</t>
        </is>
      </c>
      <c r="G534" t="n">
        <v>8.9</v>
      </c>
      <c r="H534" t="n">
        <v>0</v>
      </c>
      <c r="I534" t="n">
        <v>0</v>
      </c>
      <c r="J534" t="n">
        <v>0</v>
      </c>
      <c r="K534" t="n">
        <v>0</v>
      </c>
      <c r="L534" t="n">
        <v>0</v>
      </c>
      <c r="M534" t="n">
        <v>0</v>
      </c>
      <c r="N534" t="n">
        <v>0</v>
      </c>
      <c r="O534" t="n">
        <v>0</v>
      </c>
      <c r="P534" t="n">
        <v>0</v>
      </c>
      <c r="Q534" t="n">
        <v>0</v>
      </c>
      <c r="R534" s="2" t="inlineStr"/>
    </row>
    <row r="535" ht="15" customHeight="1">
      <c r="A535" t="inlineStr">
        <is>
          <t>A 53190-2025</t>
        </is>
      </c>
      <c r="B535" s="1" t="n">
        <v>45958.56283564815</v>
      </c>
      <c r="C535" s="1" t="n">
        <v>45976</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37832-2023</t>
        </is>
      </c>
      <c r="B536" s="1" t="n">
        <v>45160.3479050926</v>
      </c>
      <c r="C536" s="1" t="n">
        <v>45976</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44672-2025</t>
        </is>
      </c>
      <c r="B537" s="1" t="n">
        <v>45917.56780092593</v>
      </c>
      <c r="C537" s="1" t="n">
        <v>45976</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34244-2024</t>
        </is>
      </c>
      <c r="B538" s="1" t="n">
        <v>45524.58349537037</v>
      </c>
      <c r="C538" s="1" t="n">
        <v>45976</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54015-2025</t>
        </is>
      </c>
      <c r="B539" s="1" t="n">
        <v>45961.64158564815</v>
      </c>
      <c r="C539" s="1" t="n">
        <v>45976</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53804-2025</t>
        </is>
      </c>
      <c r="B540" s="1" t="n">
        <v>45960.83247685185</v>
      </c>
      <c r="C540" s="1" t="n">
        <v>45976</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44948-2025</t>
        </is>
      </c>
      <c r="B541" s="1" t="n">
        <v>45918.60555555556</v>
      </c>
      <c r="C541" s="1" t="n">
        <v>45976</v>
      </c>
      <c r="D541" t="inlineStr">
        <is>
          <t>DALARNAS LÄN</t>
        </is>
      </c>
      <c r="E541" t="inlineStr">
        <is>
          <t>LEKSAND</t>
        </is>
      </c>
      <c r="G541" t="n">
        <v>5.1</v>
      </c>
      <c r="H541" t="n">
        <v>0</v>
      </c>
      <c r="I541" t="n">
        <v>0</v>
      </c>
      <c r="J541" t="n">
        <v>0</v>
      </c>
      <c r="K541" t="n">
        <v>0</v>
      </c>
      <c r="L541" t="n">
        <v>0</v>
      </c>
      <c r="M541" t="n">
        <v>0</v>
      </c>
      <c r="N541" t="n">
        <v>0</v>
      </c>
      <c r="O541" t="n">
        <v>0</v>
      </c>
      <c r="P541" t="n">
        <v>0</v>
      </c>
      <c r="Q541" t="n">
        <v>0</v>
      </c>
      <c r="R541" s="2" t="inlineStr"/>
    </row>
    <row r="542" ht="15" customHeight="1">
      <c r="A542" t="inlineStr">
        <is>
          <t>A 9143-2023</t>
        </is>
      </c>
      <c r="B542" s="1" t="n">
        <v>44974</v>
      </c>
      <c r="C542" s="1" t="n">
        <v>45976</v>
      </c>
      <c r="D542" t="inlineStr">
        <is>
          <t>DALARNAS LÄN</t>
        </is>
      </c>
      <c r="E542" t="inlineStr">
        <is>
          <t>LEKSAND</t>
        </is>
      </c>
      <c r="G542" t="n">
        <v>4.3</v>
      </c>
      <c r="H542" t="n">
        <v>0</v>
      </c>
      <c r="I542" t="n">
        <v>0</v>
      </c>
      <c r="J542" t="n">
        <v>0</v>
      </c>
      <c r="K542" t="n">
        <v>0</v>
      </c>
      <c r="L542" t="n">
        <v>0</v>
      </c>
      <c r="M542" t="n">
        <v>0</v>
      </c>
      <c r="N542" t="n">
        <v>0</v>
      </c>
      <c r="O542" t="n">
        <v>0</v>
      </c>
      <c r="P542" t="n">
        <v>0</v>
      </c>
      <c r="Q542" t="n">
        <v>0</v>
      </c>
      <c r="R542" s="2" t="inlineStr"/>
    </row>
    <row r="543" ht="15" customHeight="1">
      <c r="A543" t="inlineStr">
        <is>
          <t>A 33310-2023</t>
        </is>
      </c>
      <c r="B543" s="1" t="n">
        <v>45127.82231481482</v>
      </c>
      <c r="C543" s="1" t="n">
        <v>45976</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54844-2021</t>
        </is>
      </c>
      <c r="B544" s="1" t="n">
        <v>44474.30614583333</v>
      </c>
      <c r="C544" s="1" t="n">
        <v>45976</v>
      </c>
      <c r="D544" t="inlineStr">
        <is>
          <t>DALARNAS LÄN</t>
        </is>
      </c>
      <c r="E544" t="inlineStr">
        <is>
          <t>LEKSAND</t>
        </is>
      </c>
      <c r="G544" t="n">
        <v>1.9</v>
      </c>
      <c r="H544" t="n">
        <v>0</v>
      </c>
      <c r="I544" t="n">
        <v>0</v>
      </c>
      <c r="J544" t="n">
        <v>0</v>
      </c>
      <c r="K544" t="n">
        <v>0</v>
      </c>
      <c r="L544" t="n">
        <v>0</v>
      </c>
      <c r="M544" t="n">
        <v>0</v>
      </c>
      <c r="N544" t="n">
        <v>0</v>
      </c>
      <c r="O544" t="n">
        <v>0</v>
      </c>
      <c r="P544" t="n">
        <v>0</v>
      </c>
      <c r="Q544" t="n">
        <v>0</v>
      </c>
      <c r="R544" s="2" t="inlineStr"/>
    </row>
    <row r="545" ht="15" customHeight="1">
      <c r="A545" t="inlineStr">
        <is>
          <t>A 45101-2025</t>
        </is>
      </c>
      <c r="B545" s="1" t="n">
        <v>45919.39679398148</v>
      </c>
      <c r="C545" s="1" t="n">
        <v>45976</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57468-2023</t>
        </is>
      </c>
      <c r="B546" s="1" t="n">
        <v>45246</v>
      </c>
      <c r="C546" s="1" t="n">
        <v>45976</v>
      </c>
      <c r="D546" t="inlineStr">
        <is>
          <t>DALARNAS LÄN</t>
        </is>
      </c>
      <c r="E546" t="inlineStr">
        <is>
          <t>LEKSAND</t>
        </is>
      </c>
      <c r="G546" t="n">
        <v>4.6</v>
      </c>
      <c r="H546" t="n">
        <v>0</v>
      </c>
      <c r="I546" t="n">
        <v>0</v>
      </c>
      <c r="J546" t="n">
        <v>0</v>
      </c>
      <c r="K546" t="n">
        <v>0</v>
      </c>
      <c r="L546" t="n">
        <v>0</v>
      </c>
      <c r="M546" t="n">
        <v>0</v>
      </c>
      <c r="N546" t="n">
        <v>0</v>
      </c>
      <c r="O546" t="n">
        <v>0</v>
      </c>
      <c r="P546" t="n">
        <v>0</v>
      </c>
      <c r="Q546" t="n">
        <v>0</v>
      </c>
      <c r="R546" s="2" t="inlineStr"/>
    </row>
    <row r="547" ht="15" customHeight="1">
      <c r="A547" t="inlineStr">
        <is>
          <t>A 53619-2025</t>
        </is>
      </c>
      <c r="B547" s="1" t="n">
        <v>45960</v>
      </c>
      <c r="C547" s="1" t="n">
        <v>45976</v>
      </c>
      <c r="D547" t="inlineStr">
        <is>
          <t>DALARNAS LÄN</t>
        </is>
      </c>
      <c r="E547" t="inlineStr">
        <is>
          <t>LEKSAND</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471-2025</t>
        </is>
      </c>
      <c r="B548" s="1" t="n">
        <v>45664.43394675926</v>
      </c>
      <c r="C548" s="1" t="n">
        <v>45976</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53718-2025</t>
        </is>
      </c>
      <c r="B549" s="1" t="n">
        <v>45960.61840277778</v>
      </c>
      <c r="C549" s="1" t="n">
        <v>45976</v>
      </c>
      <c r="D549" t="inlineStr">
        <is>
          <t>DALARNAS LÄN</t>
        </is>
      </c>
      <c r="E549" t="inlineStr">
        <is>
          <t>LEKSAND</t>
        </is>
      </c>
      <c r="G549" t="n">
        <v>7.5</v>
      </c>
      <c r="H549" t="n">
        <v>0</v>
      </c>
      <c r="I549" t="n">
        <v>0</v>
      </c>
      <c r="J549" t="n">
        <v>0</v>
      </c>
      <c r="K549" t="n">
        <v>0</v>
      </c>
      <c r="L549" t="n">
        <v>0</v>
      </c>
      <c r="M549" t="n">
        <v>0</v>
      </c>
      <c r="N549" t="n">
        <v>0</v>
      </c>
      <c r="O549" t="n">
        <v>0</v>
      </c>
      <c r="P549" t="n">
        <v>0</v>
      </c>
      <c r="Q549" t="n">
        <v>0</v>
      </c>
      <c r="R549" s="2" t="inlineStr"/>
    </row>
    <row r="550" ht="15" customHeight="1">
      <c r="A550" t="inlineStr">
        <is>
          <t>A 22876-2025</t>
        </is>
      </c>
      <c r="B550" s="1" t="n">
        <v>45790.3728587963</v>
      </c>
      <c r="C550" s="1" t="n">
        <v>45976</v>
      </c>
      <c r="D550" t="inlineStr">
        <is>
          <t>DALARNAS LÄN</t>
        </is>
      </c>
      <c r="E550" t="inlineStr">
        <is>
          <t>LEKSAND</t>
        </is>
      </c>
      <c r="G550" t="n">
        <v>5.9</v>
      </c>
      <c r="H550" t="n">
        <v>0</v>
      </c>
      <c r="I550" t="n">
        <v>0</v>
      </c>
      <c r="J550" t="n">
        <v>0</v>
      </c>
      <c r="K550" t="n">
        <v>0</v>
      </c>
      <c r="L550" t="n">
        <v>0</v>
      </c>
      <c r="M550" t="n">
        <v>0</v>
      </c>
      <c r="N550" t="n">
        <v>0</v>
      </c>
      <c r="O550" t="n">
        <v>0</v>
      </c>
      <c r="P550" t="n">
        <v>0</v>
      </c>
      <c r="Q550" t="n">
        <v>0</v>
      </c>
      <c r="R550" s="2" t="inlineStr"/>
    </row>
    <row r="551" ht="15" customHeight="1">
      <c r="A551" t="inlineStr">
        <is>
          <t>A 49499-2024</t>
        </is>
      </c>
      <c r="B551" s="1" t="n">
        <v>45596</v>
      </c>
      <c r="C551" s="1" t="n">
        <v>45976</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53836-2025</t>
        </is>
      </c>
      <c r="B552" s="1" t="n">
        <v>45961.3475462963</v>
      </c>
      <c r="C552" s="1" t="n">
        <v>45976</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53838-2025</t>
        </is>
      </c>
      <c r="B553" s="1" t="n">
        <v>45961.34895833334</v>
      </c>
      <c r="C553" s="1" t="n">
        <v>45976</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44822-2024</t>
        </is>
      </c>
      <c r="B554" s="1" t="n">
        <v>45574.6646412037</v>
      </c>
      <c r="C554" s="1" t="n">
        <v>45976</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52293-2024</t>
        </is>
      </c>
      <c r="B555" s="1" t="n">
        <v>45608.71297453704</v>
      </c>
      <c r="C555" s="1" t="n">
        <v>45976</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1182-2025</t>
        </is>
      </c>
      <c r="B556" s="1" t="n">
        <v>45667.35712962963</v>
      </c>
      <c r="C556" s="1" t="n">
        <v>45976</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23058-2025</t>
        </is>
      </c>
      <c r="B557" s="1" t="n">
        <v>45790.78076388889</v>
      </c>
      <c r="C557" s="1" t="n">
        <v>45976</v>
      </c>
      <c r="D557" t="inlineStr">
        <is>
          <t>DALARNAS LÄN</t>
        </is>
      </c>
      <c r="E557" t="inlineStr">
        <is>
          <t>LEKSAND</t>
        </is>
      </c>
      <c r="G557" t="n">
        <v>6.7</v>
      </c>
      <c r="H557" t="n">
        <v>0</v>
      </c>
      <c r="I557" t="n">
        <v>0</v>
      </c>
      <c r="J557" t="n">
        <v>0</v>
      </c>
      <c r="K557" t="n">
        <v>0</v>
      </c>
      <c r="L557" t="n">
        <v>0</v>
      </c>
      <c r="M557" t="n">
        <v>0</v>
      </c>
      <c r="N557" t="n">
        <v>0</v>
      </c>
      <c r="O557" t="n">
        <v>0</v>
      </c>
      <c r="P557" t="n">
        <v>0</v>
      </c>
      <c r="Q557" t="n">
        <v>0</v>
      </c>
      <c r="R557" s="2" t="inlineStr"/>
    </row>
    <row r="558" ht="15" customHeight="1">
      <c r="A558" t="inlineStr">
        <is>
          <t>A 23076-2025</t>
        </is>
      </c>
      <c r="B558" s="1" t="n">
        <v>45790.90960648148</v>
      </c>
      <c r="C558" s="1" t="n">
        <v>45976</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54120-2025</t>
        </is>
      </c>
      <c r="B559" s="1" t="n">
        <v>45964.45040509259</v>
      </c>
      <c r="C559" s="1" t="n">
        <v>45976</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54125-2025</t>
        </is>
      </c>
      <c r="B560" s="1" t="n">
        <v>45964.45671296296</v>
      </c>
      <c r="C560" s="1" t="n">
        <v>45976</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46665-2023</t>
        </is>
      </c>
      <c r="B561" s="1" t="n">
        <v>45198.47399305556</v>
      </c>
      <c r="C561" s="1" t="n">
        <v>45976</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23855-2025</t>
        </is>
      </c>
      <c r="B562" s="1" t="n">
        <v>45793.65900462963</v>
      </c>
      <c r="C562" s="1" t="n">
        <v>45976</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56943-2024</t>
        </is>
      </c>
      <c r="B563" s="1" t="n">
        <v>45625</v>
      </c>
      <c r="C563" s="1" t="n">
        <v>45976</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60715-2022</t>
        </is>
      </c>
      <c r="B564" s="1" t="n">
        <v>44912</v>
      </c>
      <c r="C564" s="1" t="n">
        <v>45976</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23891-2025</t>
        </is>
      </c>
      <c r="B565" s="1" t="n">
        <v>45793</v>
      </c>
      <c r="C565" s="1" t="n">
        <v>45976</v>
      </c>
      <c r="D565" t="inlineStr">
        <is>
          <t>DALARNAS LÄN</t>
        </is>
      </c>
      <c r="E565" t="inlineStr">
        <is>
          <t>LEKSAND</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54293-2025</t>
        </is>
      </c>
      <c r="B566" s="1" t="n">
        <v>45964.86651620371</v>
      </c>
      <c r="C566" s="1" t="n">
        <v>45976</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54295-2025</t>
        </is>
      </c>
      <c r="B567" s="1" t="n">
        <v>45964.87122685185</v>
      </c>
      <c r="C567" s="1" t="n">
        <v>45976</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15619-2025</t>
        </is>
      </c>
      <c r="B568" s="1" t="n">
        <v>45747</v>
      </c>
      <c r="C568" s="1" t="n">
        <v>45976</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23517-2025</t>
        </is>
      </c>
      <c r="B569" s="1" t="n">
        <v>45792</v>
      </c>
      <c r="C569" s="1" t="n">
        <v>45976</v>
      </c>
      <c r="D569" t="inlineStr">
        <is>
          <t>DALARNAS LÄN</t>
        </is>
      </c>
      <c r="E569" t="inlineStr">
        <is>
          <t>LEKSAND</t>
        </is>
      </c>
      <c r="G569" t="n">
        <v>2.2</v>
      </c>
      <c r="H569" t="n">
        <v>0</v>
      </c>
      <c r="I569" t="n">
        <v>0</v>
      </c>
      <c r="J569" t="n">
        <v>0</v>
      </c>
      <c r="K569" t="n">
        <v>0</v>
      </c>
      <c r="L569" t="n">
        <v>0</v>
      </c>
      <c r="M569" t="n">
        <v>0</v>
      </c>
      <c r="N569" t="n">
        <v>0</v>
      </c>
      <c r="O569" t="n">
        <v>0</v>
      </c>
      <c r="P569" t="n">
        <v>0</v>
      </c>
      <c r="Q569" t="n">
        <v>0</v>
      </c>
      <c r="R569" s="2" t="inlineStr"/>
    </row>
    <row r="570" ht="15" customHeight="1">
      <c r="A570" t="inlineStr">
        <is>
          <t>A 21954-2023</t>
        </is>
      </c>
      <c r="B570" s="1" t="n">
        <v>45068</v>
      </c>
      <c r="C570" s="1" t="n">
        <v>45976</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14797-2025</t>
        </is>
      </c>
      <c r="B571" s="1" t="n">
        <v>45742.90363425926</v>
      </c>
      <c r="C571" s="1" t="n">
        <v>45976</v>
      </c>
      <c r="D571" t="inlineStr">
        <is>
          <t>DALARNAS LÄN</t>
        </is>
      </c>
      <c r="E571" t="inlineStr">
        <is>
          <t>LEKSAND</t>
        </is>
      </c>
      <c r="G571" t="n">
        <v>1.4</v>
      </c>
      <c r="H571" t="n">
        <v>0</v>
      </c>
      <c r="I571" t="n">
        <v>0</v>
      </c>
      <c r="J571" t="n">
        <v>0</v>
      </c>
      <c r="K571" t="n">
        <v>0</v>
      </c>
      <c r="L571" t="n">
        <v>0</v>
      </c>
      <c r="M571" t="n">
        <v>0</v>
      </c>
      <c r="N571" t="n">
        <v>0</v>
      </c>
      <c r="O571" t="n">
        <v>0</v>
      </c>
      <c r="P571" t="n">
        <v>0</v>
      </c>
      <c r="Q571" t="n">
        <v>0</v>
      </c>
      <c r="R571" s="2" t="inlineStr"/>
    </row>
    <row r="572" ht="15" customHeight="1">
      <c r="A572" t="inlineStr">
        <is>
          <t>A 45381-2025</t>
        </is>
      </c>
      <c r="B572" s="1" t="n">
        <v>45922.39989583333</v>
      </c>
      <c r="C572" s="1" t="n">
        <v>45976</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59751-2024</t>
        </is>
      </c>
      <c r="B573" s="1" t="n">
        <v>45638</v>
      </c>
      <c r="C573" s="1" t="n">
        <v>45976</v>
      </c>
      <c r="D573" t="inlineStr">
        <is>
          <t>DALARNAS LÄN</t>
        </is>
      </c>
      <c r="E573" t="inlineStr">
        <is>
          <t>LEKSAND</t>
        </is>
      </c>
      <c r="G573" t="n">
        <v>5.2</v>
      </c>
      <c r="H573" t="n">
        <v>0</v>
      </c>
      <c r="I573" t="n">
        <v>0</v>
      </c>
      <c r="J573" t="n">
        <v>0</v>
      </c>
      <c r="K573" t="n">
        <v>0</v>
      </c>
      <c r="L573" t="n">
        <v>0</v>
      </c>
      <c r="M573" t="n">
        <v>0</v>
      </c>
      <c r="N573" t="n">
        <v>0</v>
      </c>
      <c r="O573" t="n">
        <v>0</v>
      </c>
      <c r="P573" t="n">
        <v>0</v>
      </c>
      <c r="Q573" t="n">
        <v>0</v>
      </c>
      <c r="R573" s="2" t="inlineStr"/>
    </row>
    <row r="574" ht="15" customHeight="1">
      <c r="A574" t="inlineStr">
        <is>
          <t>A 28128-2022</t>
        </is>
      </c>
      <c r="B574" s="1" t="n">
        <v>44746.50628472222</v>
      </c>
      <c r="C574" s="1" t="n">
        <v>45976</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61787-2022</t>
        </is>
      </c>
      <c r="B575" s="1" t="n">
        <v>44917</v>
      </c>
      <c r="C575" s="1" t="n">
        <v>45976</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24187-2025</t>
        </is>
      </c>
      <c r="B576" s="1" t="n">
        <v>45796</v>
      </c>
      <c r="C576" s="1" t="n">
        <v>45976</v>
      </c>
      <c r="D576" t="inlineStr">
        <is>
          <t>DALARNAS LÄN</t>
        </is>
      </c>
      <c r="E576" t="inlineStr">
        <is>
          <t>LEKSAND</t>
        </is>
      </c>
      <c r="G576" t="n">
        <v>2.1</v>
      </c>
      <c r="H576" t="n">
        <v>0</v>
      </c>
      <c r="I576" t="n">
        <v>0</v>
      </c>
      <c r="J576" t="n">
        <v>0</v>
      </c>
      <c r="K576" t="n">
        <v>0</v>
      </c>
      <c r="L576" t="n">
        <v>0</v>
      </c>
      <c r="M576" t="n">
        <v>0</v>
      </c>
      <c r="N576" t="n">
        <v>0</v>
      </c>
      <c r="O576" t="n">
        <v>0</v>
      </c>
      <c r="P576" t="n">
        <v>0</v>
      </c>
      <c r="Q576" t="n">
        <v>0</v>
      </c>
      <c r="R576" s="2" t="inlineStr"/>
    </row>
    <row r="577" ht="15" customHeight="1">
      <c r="A577" t="inlineStr">
        <is>
          <t>A 24188-2025</t>
        </is>
      </c>
      <c r="B577" s="1" t="n">
        <v>45796</v>
      </c>
      <c r="C577" s="1" t="n">
        <v>45976</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45300-2025</t>
        </is>
      </c>
      <c r="B578" s="1" t="n">
        <v>45921.30490740741</v>
      </c>
      <c r="C578" s="1" t="n">
        <v>45976</v>
      </c>
      <c r="D578" t="inlineStr">
        <is>
          <t>DALARNAS LÄN</t>
        </is>
      </c>
      <c r="E578" t="inlineStr">
        <is>
          <t>LEKSAND</t>
        </is>
      </c>
      <c r="G578" t="n">
        <v>2.3</v>
      </c>
      <c r="H578" t="n">
        <v>0</v>
      </c>
      <c r="I578" t="n">
        <v>0</v>
      </c>
      <c r="J578" t="n">
        <v>0</v>
      </c>
      <c r="K578" t="n">
        <v>0</v>
      </c>
      <c r="L578" t="n">
        <v>0</v>
      </c>
      <c r="M578" t="n">
        <v>0</v>
      </c>
      <c r="N578" t="n">
        <v>0</v>
      </c>
      <c r="O578" t="n">
        <v>0</v>
      </c>
      <c r="P578" t="n">
        <v>0</v>
      </c>
      <c r="Q578" t="n">
        <v>0</v>
      </c>
      <c r="R578" s="2" t="inlineStr"/>
    </row>
    <row r="579" ht="15" customHeight="1">
      <c r="A579" t="inlineStr">
        <is>
          <t>A 45318-2025</t>
        </is>
      </c>
      <c r="B579" s="1" t="n">
        <v>45921.85230324074</v>
      </c>
      <c r="C579" s="1" t="n">
        <v>45976</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7450-2023</t>
        </is>
      </c>
      <c r="B580" s="1" t="n">
        <v>44971</v>
      </c>
      <c r="C580" s="1" t="n">
        <v>45976</v>
      </c>
      <c r="D580" t="inlineStr">
        <is>
          <t>DALARNAS LÄN</t>
        </is>
      </c>
      <c r="E580" t="inlineStr">
        <is>
          <t>LEKSAND</t>
        </is>
      </c>
      <c r="G580" t="n">
        <v>3</v>
      </c>
      <c r="H580" t="n">
        <v>0</v>
      </c>
      <c r="I580" t="n">
        <v>0</v>
      </c>
      <c r="J580" t="n">
        <v>0</v>
      </c>
      <c r="K580" t="n">
        <v>0</v>
      </c>
      <c r="L580" t="n">
        <v>0</v>
      </c>
      <c r="M580" t="n">
        <v>0</v>
      </c>
      <c r="N580" t="n">
        <v>0</v>
      </c>
      <c r="O580" t="n">
        <v>0</v>
      </c>
      <c r="P580" t="n">
        <v>0</v>
      </c>
      <c r="Q580" t="n">
        <v>0</v>
      </c>
      <c r="R580" s="2" t="inlineStr"/>
    </row>
    <row r="581" ht="15" customHeight="1">
      <c r="A581" t="inlineStr">
        <is>
          <t>A 24373-2025</t>
        </is>
      </c>
      <c r="B581" s="1" t="n">
        <v>45797.61113425926</v>
      </c>
      <c r="C581" s="1" t="n">
        <v>45976</v>
      </c>
      <c r="D581" t="inlineStr">
        <is>
          <t>DALARNAS LÄN</t>
        </is>
      </c>
      <c r="E581" t="inlineStr">
        <is>
          <t>LEKSAND</t>
        </is>
      </c>
      <c r="G581" t="n">
        <v>2.4</v>
      </c>
      <c r="H581" t="n">
        <v>0</v>
      </c>
      <c r="I581" t="n">
        <v>0</v>
      </c>
      <c r="J581" t="n">
        <v>0</v>
      </c>
      <c r="K581" t="n">
        <v>0</v>
      </c>
      <c r="L581" t="n">
        <v>0</v>
      </c>
      <c r="M581" t="n">
        <v>0</v>
      </c>
      <c r="N581" t="n">
        <v>0</v>
      </c>
      <c r="O581" t="n">
        <v>0</v>
      </c>
      <c r="P581" t="n">
        <v>0</v>
      </c>
      <c r="Q581" t="n">
        <v>0</v>
      </c>
      <c r="R581" s="2" t="inlineStr"/>
    </row>
    <row r="582" ht="15" customHeight="1">
      <c r="A582" t="inlineStr">
        <is>
          <t>A 54440-2025</t>
        </is>
      </c>
      <c r="B582" s="1" t="n">
        <v>45965.50385416667</v>
      </c>
      <c r="C582" s="1" t="n">
        <v>45976</v>
      </c>
      <c r="D582" t="inlineStr">
        <is>
          <t>DALARNAS LÄN</t>
        </is>
      </c>
      <c r="E582" t="inlineStr">
        <is>
          <t>LEKSAND</t>
        </is>
      </c>
      <c r="F582" t="inlineStr">
        <is>
          <t>Bergvik skog väst AB</t>
        </is>
      </c>
      <c r="G582" t="n">
        <v>2.1</v>
      </c>
      <c r="H582" t="n">
        <v>0</v>
      </c>
      <c r="I582" t="n">
        <v>0</v>
      </c>
      <c r="J582" t="n">
        <v>0</v>
      </c>
      <c r="K582" t="n">
        <v>0</v>
      </c>
      <c r="L582" t="n">
        <v>0</v>
      </c>
      <c r="M582" t="n">
        <v>0</v>
      </c>
      <c r="N582" t="n">
        <v>0</v>
      </c>
      <c r="O582" t="n">
        <v>0</v>
      </c>
      <c r="P582" t="n">
        <v>0</v>
      </c>
      <c r="Q582" t="n">
        <v>0</v>
      </c>
      <c r="R582" s="2" t="inlineStr"/>
    </row>
    <row r="583" ht="15" customHeight="1">
      <c r="A583" t="inlineStr">
        <is>
          <t>A 22646-2025</t>
        </is>
      </c>
      <c r="B583" s="1" t="n">
        <v>45786</v>
      </c>
      <c r="C583" s="1" t="n">
        <v>45976</v>
      </c>
      <c r="D583" t="inlineStr">
        <is>
          <t>DALARNAS LÄN</t>
        </is>
      </c>
      <c r="E583" t="inlineStr">
        <is>
          <t>LEKSAND</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24919-2024</t>
        </is>
      </c>
      <c r="B584" s="1" t="n">
        <v>45461.60636574074</v>
      </c>
      <c r="C584" s="1" t="n">
        <v>45976</v>
      </c>
      <c r="D584" t="inlineStr">
        <is>
          <t>DALARNAS LÄN</t>
        </is>
      </c>
      <c r="E584" t="inlineStr">
        <is>
          <t>LEKSAND</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56211-2023</t>
        </is>
      </c>
      <c r="B585" s="1" t="n">
        <v>45240</v>
      </c>
      <c r="C585" s="1" t="n">
        <v>45976</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24369-2025</t>
        </is>
      </c>
      <c r="B586" s="1" t="n">
        <v>45797.60731481481</v>
      </c>
      <c r="C586" s="1" t="n">
        <v>45976</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54494-2025</t>
        </is>
      </c>
      <c r="B587" s="1" t="n">
        <v>45965.59965277778</v>
      </c>
      <c r="C587" s="1" t="n">
        <v>45976</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24715-2025</t>
        </is>
      </c>
      <c r="B588" s="1" t="n">
        <v>45798.97899305556</v>
      </c>
      <c r="C588" s="1" t="n">
        <v>45976</v>
      </c>
      <c r="D588" t="inlineStr">
        <is>
          <t>DALARNAS LÄN</t>
        </is>
      </c>
      <c r="E588" t="inlineStr">
        <is>
          <t>LEKSAND</t>
        </is>
      </c>
      <c r="G588" t="n">
        <v>8.4</v>
      </c>
      <c r="H588" t="n">
        <v>0</v>
      </c>
      <c r="I588" t="n">
        <v>0</v>
      </c>
      <c r="J588" t="n">
        <v>0</v>
      </c>
      <c r="K588" t="n">
        <v>0</v>
      </c>
      <c r="L588" t="n">
        <v>0</v>
      </c>
      <c r="M588" t="n">
        <v>0</v>
      </c>
      <c r="N588" t="n">
        <v>0</v>
      </c>
      <c r="O588" t="n">
        <v>0</v>
      </c>
      <c r="P588" t="n">
        <v>0</v>
      </c>
      <c r="Q588" t="n">
        <v>0</v>
      </c>
      <c r="R588" s="2" t="inlineStr"/>
    </row>
    <row r="589" ht="15" customHeight="1">
      <c r="A589" t="inlineStr">
        <is>
          <t>A 40868-2024</t>
        </is>
      </c>
      <c r="B589" s="1" t="n">
        <v>45558</v>
      </c>
      <c r="C589" s="1" t="n">
        <v>45976</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61269-2022</t>
        </is>
      </c>
      <c r="B590" s="1" t="n">
        <v>44909</v>
      </c>
      <c r="C590" s="1" t="n">
        <v>45976</v>
      </c>
      <c r="D590" t="inlineStr">
        <is>
          <t>DALARNAS LÄN</t>
        </is>
      </c>
      <c r="E590" t="inlineStr">
        <is>
          <t>LEKSAND</t>
        </is>
      </c>
      <c r="G590" t="n">
        <v>4.2</v>
      </c>
      <c r="H590" t="n">
        <v>0</v>
      </c>
      <c r="I590" t="n">
        <v>0</v>
      </c>
      <c r="J590" t="n">
        <v>0</v>
      </c>
      <c r="K590" t="n">
        <v>0</v>
      </c>
      <c r="L590" t="n">
        <v>0</v>
      </c>
      <c r="M590" t="n">
        <v>0</v>
      </c>
      <c r="N590" t="n">
        <v>0</v>
      </c>
      <c r="O590" t="n">
        <v>0</v>
      </c>
      <c r="P590" t="n">
        <v>0</v>
      </c>
      <c r="Q590" t="n">
        <v>0</v>
      </c>
      <c r="R590" s="2" t="inlineStr"/>
    </row>
    <row r="591" ht="15" customHeight="1">
      <c r="A591" t="inlineStr">
        <is>
          <t>A 64933-2023</t>
        </is>
      </c>
      <c r="B591" s="1" t="n">
        <v>45282</v>
      </c>
      <c r="C591" s="1" t="n">
        <v>45976</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46176-2025</t>
        </is>
      </c>
      <c r="B592" s="1" t="n">
        <v>45924.65101851852</v>
      </c>
      <c r="C592" s="1" t="n">
        <v>45976</v>
      </c>
      <c r="D592" t="inlineStr">
        <is>
          <t>DALARNAS LÄN</t>
        </is>
      </c>
      <c r="E592" t="inlineStr">
        <is>
          <t>LEKSAND</t>
        </is>
      </c>
      <c r="G592" t="n">
        <v>2.4</v>
      </c>
      <c r="H592" t="n">
        <v>0</v>
      </c>
      <c r="I592" t="n">
        <v>0</v>
      </c>
      <c r="J592" t="n">
        <v>0</v>
      </c>
      <c r="K592" t="n">
        <v>0</v>
      </c>
      <c r="L592" t="n">
        <v>0</v>
      </c>
      <c r="M592" t="n">
        <v>0</v>
      </c>
      <c r="N592" t="n">
        <v>0</v>
      </c>
      <c r="O592" t="n">
        <v>0</v>
      </c>
      <c r="P592" t="n">
        <v>0</v>
      </c>
      <c r="Q592" t="n">
        <v>0</v>
      </c>
      <c r="R592" s="2" t="inlineStr"/>
    </row>
    <row r="593" ht="15" customHeight="1">
      <c r="A593" t="inlineStr">
        <is>
          <t>A 54779-2025</t>
        </is>
      </c>
      <c r="B593" s="1" t="n">
        <v>45966.61672453704</v>
      </c>
      <c r="C593" s="1" t="n">
        <v>45976</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54815-2025</t>
        </is>
      </c>
      <c r="B594" s="1" t="n">
        <v>45966.65237268519</v>
      </c>
      <c r="C594" s="1" t="n">
        <v>45976</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24003-2024</t>
        </is>
      </c>
      <c r="B595" s="1" t="n">
        <v>45456.39003472222</v>
      </c>
      <c r="C595" s="1" t="n">
        <v>45976</v>
      </c>
      <c r="D595" t="inlineStr">
        <is>
          <t>DALARNAS LÄN</t>
        </is>
      </c>
      <c r="E595" t="inlineStr">
        <is>
          <t>LEKSAND</t>
        </is>
      </c>
      <c r="F595" t="inlineStr">
        <is>
          <t>Bergvik skog väst AB</t>
        </is>
      </c>
      <c r="G595" t="n">
        <v>3.2</v>
      </c>
      <c r="H595" t="n">
        <v>0</v>
      </c>
      <c r="I595" t="n">
        <v>0</v>
      </c>
      <c r="J595" t="n">
        <v>0</v>
      </c>
      <c r="K595" t="n">
        <v>0</v>
      </c>
      <c r="L595" t="n">
        <v>0</v>
      </c>
      <c r="M595" t="n">
        <v>0</v>
      </c>
      <c r="N595" t="n">
        <v>0</v>
      </c>
      <c r="O595" t="n">
        <v>0</v>
      </c>
      <c r="P595" t="n">
        <v>0</v>
      </c>
      <c r="Q595" t="n">
        <v>0</v>
      </c>
      <c r="R595" s="2" t="inlineStr"/>
    </row>
    <row r="596" ht="15" customHeight="1">
      <c r="A596" t="inlineStr">
        <is>
          <t>A 46405-2025</t>
        </is>
      </c>
      <c r="B596" s="1" t="n">
        <v>45925.56306712963</v>
      </c>
      <c r="C596" s="1" t="n">
        <v>45976</v>
      </c>
      <c r="D596" t="inlineStr">
        <is>
          <t>DALARNAS LÄN</t>
        </is>
      </c>
      <c r="E596" t="inlineStr">
        <is>
          <t>LEKSAND</t>
        </is>
      </c>
      <c r="G596" t="n">
        <v>5.7</v>
      </c>
      <c r="H596" t="n">
        <v>0</v>
      </c>
      <c r="I596" t="n">
        <v>0</v>
      </c>
      <c r="J596" t="n">
        <v>0</v>
      </c>
      <c r="K596" t="n">
        <v>0</v>
      </c>
      <c r="L596" t="n">
        <v>0</v>
      </c>
      <c r="M596" t="n">
        <v>0</v>
      </c>
      <c r="N596" t="n">
        <v>0</v>
      </c>
      <c r="O596" t="n">
        <v>0</v>
      </c>
      <c r="P596" t="n">
        <v>0</v>
      </c>
      <c r="Q596" t="n">
        <v>0</v>
      </c>
      <c r="R596" s="2" t="inlineStr"/>
    </row>
    <row r="597" ht="15" customHeight="1">
      <c r="A597" t="inlineStr">
        <is>
          <t>A 46483-2025</t>
        </is>
      </c>
      <c r="B597" s="1" t="n">
        <v>45925.70248842592</v>
      </c>
      <c r="C597" s="1" t="n">
        <v>45976</v>
      </c>
      <c r="D597" t="inlineStr">
        <is>
          <t>DALARNAS LÄN</t>
        </is>
      </c>
      <c r="E597" t="inlineStr">
        <is>
          <t>LEKSAND</t>
        </is>
      </c>
      <c r="G597" t="n">
        <v>3.6</v>
      </c>
      <c r="H597" t="n">
        <v>0</v>
      </c>
      <c r="I597" t="n">
        <v>0</v>
      </c>
      <c r="J597" t="n">
        <v>0</v>
      </c>
      <c r="K597" t="n">
        <v>0</v>
      </c>
      <c r="L597" t="n">
        <v>0</v>
      </c>
      <c r="M597" t="n">
        <v>0</v>
      </c>
      <c r="N597" t="n">
        <v>0</v>
      </c>
      <c r="O597" t="n">
        <v>0</v>
      </c>
      <c r="P597" t="n">
        <v>0</v>
      </c>
      <c r="Q597" t="n">
        <v>0</v>
      </c>
      <c r="R597" s="2" t="inlineStr"/>
    </row>
    <row r="598" ht="15" customHeight="1">
      <c r="A598" t="inlineStr">
        <is>
          <t>A 34585-2024</t>
        </is>
      </c>
      <c r="B598" s="1" t="n">
        <v>45526.37697916666</v>
      </c>
      <c r="C598" s="1" t="n">
        <v>45976</v>
      </c>
      <c r="D598" t="inlineStr">
        <is>
          <t>DALARNAS LÄN</t>
        </is>
      </c>
      <c r="E598" t="inlineStr">
        <is>
          <t>LEKSAND</t>
        </is>
      </c>
      <c r="G598" t="n">
        <v>0.9</v>
      </c>
      <c r="H598" t="n">
        <v>0</v>
      </c>
      <c r="I598" t="n">
        <v>0</v>
      </c>
      <c r="J598" t="n">
        <v>0</v>
      </c>
      <c r="K598" t="n">
        <v>0</v>
      </c>
      <c r="L598" t="n">
        <v>0</v>
      </c>
      <c r="M598" t="n">
        <v>0</v>
      </c>
      <c r="N598" t="n">
        <v>0</v>
      </c>
      <c r="O598" t="n">
        <v>0</v>
      </c>
      <c r="P598" t="n">
        <v>0</v>
      </c>
      <c r="Q598" t="n">
        <v>0</v>
      </c>
      <c r="R598" s="2" t="inlineStr"/>
    </row>
    <row r="599" ht="15" customHeight="1">
      <c r="A599" t="inlineStr">
        <is>
          <t>A 10743-2024</t>
        </is>
      </c>
      <c r="B599" s="1" t="n">
        <v>45369.52167824074</v>
      </c>
      <c r="C599" s="1" t="n">
        <v>45976</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10771-2024</t>
        </is>
      </c>
      <c r="B600" s="1" t="n">
        <v>45369.57342592593</v>
      </c>
      <c r="C600" s="1" t="n">
        <v>45976</v>
      </c>
      <c r="D600" t="inlineStr">
        <is>
          <t>DALARNAS LÄN</t>
        </is>
      </c>
      <c r="E600" t="inlineStr">
        <is>
          <t>LEKSAND</t>
        </is>
      </c>
      <c r="G600" t="n">
        <v>0.4</v>
      </c>
      <c r="H600" t="n">
        <v>0</v>
      </c>
      <c r="I600" t="n">
        <v>0</v>
      </c>
      <c r="J600" t="n">
        <v>0</v>
      </c>
      <c r="K600" t="n">
        <v>0</v>
      </c>
      <c r="L600" t="n">
        <v>0</v>
      </c>
      <c r="M600" t="n">
        <v>0</v>
      </c>
      <c r="N600" t="n">
        <v>0</v>
      </c>
      <c r="O600" t="n">
        <v>0</v>
      </c>
      <c r="P600" t="n">
        <v>0</v>
      </c>
      <c r="Q600" t="n">
        <v>0</v>
      </c>
      <c r="R600" s="2" t="inlineStr"/>
    </row>
    <row r="601" ht="15" customHeight="1">
      <c r="A601" t="inlineStr">
        <is>
          <t>A 25610-2025</t>
        </is>
      </c>
      <c r="B601" s="1" t="n">
        <v>45803.56033564815</v>
      </c>
      <c r="C601" s="1" t="n">
        <v>45976</v>
      </c>
      <c r="D601" t="inlineStr">
        <is>
          <t>DALARNAS LÄN</t>
        </is>
      </c>
      <c r="E601" t="inlineStr">
        <is>
          <t>LEKSAND</t>
        </is>
      </c>
      <c r="G601" t="n">
        <v>5.2</v>
      </c>
      <c r="H601" t="n">
        <v>0</v>
      </c>
      <c r="I601" t="n">
        <v>0</v>
      </c>
      <c r="J601" t="n">
        <v>0</v>
      </c>
      <c r="K601" t="n">
        <v>0</v>
      </c>
      <c r="L601" t="n">
        <v>0</v>
      </c>
      <c r="M601" t="n">
        <v>0</v>
      </c>
      <c r="N601" t="n">
        <v>0</v>
      </c>
      <c r="O601" t="n">
        <v>0</v>
      </c>
      <c r="P601" t="n">
        <v>0</v>
      </c>
      <c r="Q601" t="n">
        <v>0</v>
      </c>
      <c r="R601" s="2" t="inlineStr"/>
    </row>
    <row r="602" ht="15" customHeight="1">
      <c r="A602" t="inlineStr">
        <is>
          <t>A 25105-2025</t>
        </is>
      </c>
      <c r="B602" s="1" t="n">
        <v>45800.34751157407</v>
      </c>
      <c r="C602" s="1" t="n">
        <v>45976</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54752-2025</t>
        </is>
      </c>
      <c r="B603" s="1" t="n">
        <v>45966.5916087963</v>
      </c>
      <c r="C603" s="1" t="n">
        <v>45976</v>
      </c>
      <c r="D603" t="inlineStr">
        <is>
          <t>DALARNAS LÄN</t>
        </is>
      </c>
      <c r="E603" t="inlineStr">
        <is>
          <t>LEKSAND</t>
        </is>
      </c>
      <c r="G603" t="n">
        <v>0.3</v>
      </c>
      <c r="H603" t="n">
        <v>0</v>
      </c>
      <c r="I603" t="n">
        <v>0</v>
      </c>
      <c r="J603" t="n">
        <v>0</v>
      </c>
      <c r="K603" t="n">
        <v>0</v>
      </c>
      <c r="L603" t="n">
        <v>0</v>
      </c>
      <c r="M603" t="n">
        <v>0</v>
      </c>
      <c r="N603" t="n">
        <v>0</v>
      </c>
      <c r="O603" t="n">
        <v>0</v>
      </c>
      <c r="P603" t="n">
        <v>0</v>
      </c>
      <c r="Q603" t="n">
        <v>0</v>
      </c>
      <c r="R603" s="2" t="inlineStr"/>
    </row>
    <row r="604" ht="15" customHeight="1">
      <c r="A604" t="inlineStr">
        <is>
          <t>A 54767-2025</t>
        </is>
      </c>
      <c r="B604" s="1" t="n">
        <v>45966.60414351852</v>
      </c>
      <c r="C604" s="1" t="n">
        <v>45976</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54785-2025</t>
        </is>
      </c>
      <c r="B605" s="1" t="n">
        <v>45966.62619212963</v>
      </c>
      <c r="C605" s="1" t="n">
        <v>45976</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54805-2025</t>
        </is>
      </c>
      <c r="B606" s="1" t="n">
        <v>45966.64165509259</v>
      </c>
      <c r="C606" s="1" t="n">
        <v>45976</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25096-2025</t>
        </is>
      </c>
      <c r="B607" s="1" t="n">
        <v>45800.33868055556</v>
      </c>
      <c r="C607" s="1" t="n">
        <v>45976</v>
      </c>
      <c r="D607" t="inlineStr">
        <is>
          <t>DALARNAS LÄN</t>
        </is>
      </c>
      <c r="E607" t="inlineStr">
        <is>
          <t>LEKSAND</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56941-2024</t>
        </is>
      </c>
      <c r="B608" s="1" t="n">
        <v>45625</v>
      </c>
      <c r="C608" s="1" t="n">
        <v>45976</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54677-2025</t>
        </is>
      </c>
      <c r="B609" s="1" t="n">
        <v>45966</v>
      </c>
      <c r="C609" s="1" t="n">
        <v>45976</v>
      </c>
      <c r="D609" t="inlineStr">
        <is>
          <t>DALARNAS LÄN</t>
        </is>
      </c>
      <c r="E609" t="inlineStr">
        <is>
          <t>LEKSAND</t>
        </is>
      </c>
      <c r="G609" t="n">
        <v>0.5</v>
      </c>
      <c r="H609" t="n">
        <v>0</v>
      </c>
      <c r="I609" t="n">
        <v>0</v>
      </c>
      <c r="J609" t="n">
        <v>0</v>
      </c>
      <c r="K609" t="n">
        <v>0</v>
      </c>
      <c r="L609" t="n">
        <v>0</v>
      </c>
      <c r="M609" t="n">
        <v>0</v>
      </c>
      <c r="N609" t="n">
        <v>0</v>
      </c>
      <c r="O609" t="n">
        <v>0</v>
      </c>
      <c r="P609" t="n">
        <v>0</v>
      </c>
      <c r="Q609" t="n">
        <v>0</v>
      </c>
      <c r="R609" s="2" t="inlineStr"/>
    </row>
    <row r="610" ht="15" customHeight="1">
      <c r="A610" t="inlineStr">
        <is>
          <t>A 31255-2023</t>
        </is>
      </c>
      <c r="B610" s="1" t="n">
        <v>45114.36729166667</v>
      </c>
      <c r="C610" s="1" t="n">
        <v>45976</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16051-2023</t>
        </is>
      </c>
      <c r="B611" s="1" t="n">
        <v>45027</v>
      </c>
      <c r="C611" s="1" t="n">
        <v>45976</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63514-2023</t>
        </is>
      </c>
      <c r="B612" s="1" t="n">
        <v>45274</v>
      </c>
      <c r="C612" s="1" t="n">
        <v>45976</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2311-2021</t>
        </is>
      </c>
      <c r="B613" s="1" t="n">
        <v>44213</v>
      </c>
      <c r="C613" s="1" t="n">
        <v>45976</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47068-2025</t>
        </is>
      </c>
      <c r="B614" s="1" t="n">
        <v>45929.63511574074</v>
      </c>
      <c r="C614" s="1" t="n">
        <v>45976</v>
      </c>
      <c r="D614" t="inlineStr">
        <is>
          <t>DALARNAS LÄN</t>
        </is>
      </c>
      <c r="E614" t="inlineStr">
        <is>
          <t>LEKSAND</t>
        </is>
      </c>
      <c r="G614" t="n">
        <v>3.4</v>
      </c>
      <c r="H614" t="n">
        <v>0</v>
      </c>
      <c r="I614" t="n">
        <v>0</v>
      </c>
      <c r="J614" t="n">
        <v>0</v>
      </c>
      <c r="K614" t="n">
        <v>0</v>
      </c>
      <c r="L614" t="n">
        <v>0</v>
      </c>
      <c r="M614" t="n">
        <v>0</v>
      </c>
      <c r="N614" t="n">
        <v>0</v>
      </c>
      <c r="O614" t="n">
        <v>0</v>
      </c>
      <c r="P614" t="n">
        <v>0</v>
      </c>
      <c r="Q614" t="n">
        <v>0</v>
      </c>
      <c r="R614" s="2" t="inlineStr"/>
    </row>
    <row r="615" ht="15" customHeight="1">
      <c r="A615" t="inlineStr">
        <is>
          <t>A 55493-2025</t>
        </is>
      </c>
      <c r="B615" s="1" t="n">
        <v>45971.57913194445</v>
      </c>
      <c r="C615" s="1" t="n">
        <v>45976</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45197.59344907408</v>
      </c>
      <c r="C616" s="1" t="n">
        <v>45976</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52100-2024</t>
        </is>
      </c>
      <c r="B617" s="1" t="n">
        <v>45608.41634259259</v>
      </c>
      <c r="C617" s="1" t="n">
        <v>45976</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46949-2025</t>
        </is>
      </c>
      <c r="B618" s="1" t="n">
        <v>45929.46811342592</v>
      </c>
      <c r="C618" s="1" t="n">
        <v>45976</v>
      </c>
      <c r="D618" t="inlineStr">
        <is>
          <t>DALARNAS LÄN</t>
        </is>
      </c>
      <c r="E618" t="inlineStr">
        <is>
          <t>LEKSAND</t>
        </is>
      </c>
      <c r="G618" t="n">
        <v>5</v>
      </c>
      <c r="H618" t="n">
        <v>0</v>
      </c>
      <c r="I618" t="n">
        <v>0</v>
      </c>
      <c r="J618" t="n">
        <v>0</v>
      </c>
      <c r="K618" t="n">
        <v>0</v>
      </c>
      <c r="L618" t="n">
        <v>0</v>
      </c>
      <c r="M618" t="n">
        <v>0</v>
      </c>
      <c r="N618" t="n">
        <v>0</v>
      </c>
      <c r="O618" t="n">
        <v>0</v>
      </c>
      <c r="P618" t="n">
        <v>0</v>
      </c>
      <c r="Q618" t="n">
        <v>0</v>
      </c>
      <c r="R618" s="2" t="inlineStr"/>
    </row>
    <row r="619" ht="15" customHeight="1">
      <c r="A619" t="inlineStr">
        <is>
          <t>A 53981-2024</t>
        </is>
      </c>
      <c r="B619" s="1" t="n">
        <v>45615</v>
      </c>
      <c r="C619" s="1" t="n">
        <v>45976</v>
      </c>
      <c r="D619" t="inlineStr">
        <is>
          <t>DALARNAS LÄN</t>
        </is>
      </c>
      <c r="E619" t="inlineStr">
        <is>
          <t>LEKSAND</t>
        </is>
      </c>
      <c r="G619" t="n">
        <v>5.4</v>
      </c>
      <c r="H619" t="n">
        <v>0</v>
      </c>
      <c r="I619" t="n">
        <v>0</v>
      </c>
      <c r="J619" t="n">
        <v>0</v>
      </c>
      <c r="K619" t="n">
        <v>0</v>
      </c>
      <c r="L619" t="n">
        <v>0</v>
      </c>
      <c r="M619" t="n">
        <v>0</v>
      </c>
      <c r="N619" t="n">
        <v>0</v>
      </c>
      <c r="O619" t="n">
        <v>0</v>
      </c>
      <c r="P619" t="n">
        <v>0</v>
      </c>
      <c r="Q619" t="n">
        <v>0</v>
      </c>
      <c r="R619" s="2" t="inlineStr"/>
    </row>
    <row r="620" ht="15" customHeight="1">
      <c r="A620" t="inlineStr">
        <is>
          <t>A 34033-2024</t>
        </is>
      </c>
      <c r="B620" s="1" t="n">
        <v>45523.59265046296</v>
      </c>
      <c r="C620" s="1" t="n">
        <v>45976</v>
      </c>
      <c r="D620" t="inlineStr">
        <is>
          <t>DALARNAS LÄN</t>
        </is>
      </c>
      <c r="E620" t="inlineStr">
        <is>
          <t>LEKSAND</t>
        </is>
      </c>
      <c r="G620" t="n">
        <v>2.6</v>
      </c>
      <c r="H620" t="n">
        <v>0</v>
      </c>
      <c r="I620" t="n">
        <v>0</v>
      </c>
      <c r="J620" t="n">
        <v>0</v>
      </c>
      <c r="K620" t="n">
        <v>0</v>
      </c>
      <c r="L620" t="n">
        <v>0</v>
      </c>
      <c r="M620" t="n">
        <v>0</v>
      </c>
      <c r="N620" t="n">
        <v>0</v>
      </c>
      <c r="O620" t="n">
        <v>0</v>
      </c>
      <c r="P620" t="n">
        <v>0</v>
      </c>
      <c r="Q620" t="n">
        <v>0</v>
      </c>
      <c r="R620" s="2" t="inlineStr"/>
    </row>
    <row r="621" ht="15" customHeight="1">
      <c r="A621" t="inlineStr">
        <is>
          <t>A 26423-2025</t>
        </is>
      </c>
      <c r="B621" s="1" t="n">
        <v>45807.37829861111</v>
      </c>
      <c r="C621" s="1" t="n">
        <v>45976</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26386-2025</t>
        </is>
      </c>
      <c r="B622" s="1" t="n">
        <v>45806</v>
      </c>
      <c r="C622" s="1" t="n">
        <v>45976</v>
      </c>
      <c r="D622" t="inlineStr">
        <is>
          <t>DALARNAS LÄN</t>
        </is>
      </c>
      <c r="E622" t="inlineStr">
        <is>
          <t>LEKSAND</t>
        </is>
      </c>
      <c r="F622" t="inlineStr">
        <is>
          <t>Bergvik skog väst AB</t>
        </is>
      </c>
      <c r="G622" t="n">
        <v>26.3</v>
      </c>
      <c r="H622" t="n">
        <v>0</v>
      </c>
      <c r="I622" t="n">
        <v>0</v>
      </c>
      <c r="J622" t="n">
        <v>0</v>
      </c>
      <c r="K622" t="n">
        <v>0</v>
      </c>
      <c r="L622" t="n">
        <v>0</v>
      </c>
      <c r="M622" t="n">
        <v>0</v>
      </c>
      <c r="N622" t="n">
        <v>0</v>
      </c>
      <c r="O622" t="n">
        <v>0</v>
      </c>
      <c r="P622" t="n">
        <v>0</v>
      </c>
      <c r="Q622" t="n">
        <v>0</v>
      </c>
      <c r="R622" s="2" t="inlineStr"/>
    </row>
    <row r="623" ht="15" customHeight="1">
      <c r="A623" t="inlineStr">
        <is>
          <t>A 46978-2025</t>
        </is>
      </c>
      <c r="B623" s="1" t="n">
        <v>45929.51811342593</v>
      </c>
      <c r="C623" s="1" t="n">
        <v>45976</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14504-2025</t>
        </is>
      </c>
      <c r="B624" s="1" t="n">
        <v>45741</v>
      </c>
      <c r="C624" s="1" t="n">
        <v>45976</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25329-2022</t>
        </is>
      </c>
      <c r="B625" s="1" t="n">
        <v>44731.8799537037</v>
      </c>
      <c r="C625" s="1" t="n">
        <v>45976</v>
      </c>
      <c r="D625" t="inlineStr">
        <is>
          <t>DALARNAS LÄN</t>
        </is>
      </c>
      <c r="E625" t="inlineStr">
        <is>
          <t>LEKSAND</t>
        </is>
      </c>
      <c r="G625" t="n">
        <v>1.4</v>
      </c>
      <c r="H625" t="n">
        <v>0</v>
      </c>
      <c r="I625" t="n">
        <v>0</v>
      </c>
      <c r="J625" t="n">
        <v>0</v>
      </c>
      <c r="K625" t="n">
        <v>0</v>
      </c>
      <c r="L625" t="n">
        <v>0</v>
      </c>
      <c r="M625" t="n">
        <v>0</v>
      </c>
      <c r="N625" t="n">
        <v>0</v>
      </c>
      <c r="O625" t="n">
        <v>0</v>
      </c>
      <c r="P625" t="n">
        <v>0</v>
      </c>
      <c r="Q625" t="n">
        <v>0</v>
      </c>
      <c r="R625" s="2" t="inlineStr"/>
    </row>
    <row r="626" ht="15" customHeight="1">
      <c r="A626" t="inlineStr">
        <is>
          <t>A 64516-2023</t>
        </is>
      </c>
      <c r="B626" s="1" t="n">
        <v>45280</v>
      </c>
      <c r="C626" s="1" t="n">
        <v>45976</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27323-2025</t>
        </is>
      </c>
      <c r="B627" s="1" t="n">
        <v>45812.60392361111</v>
      </c>
      <c r="C627" s="1" t="n">
        <v>45976</v>
      </c>
      <c r="D627" t="inlineStr">
        <is>
          <t>DALARNAS LÄN</t>
        </is>
      </c>
      <c r="E627" t="inlineStr">
        <is>
          <t>LEKSAND</t>
        </is>
      </c>
      <c r="F627" t="inlineStr">
        <is>
          <t>Bergvik skog väst AB</t>
        </is>
      </c>
      <c r="G627" t="n">
        <v>1.2</v>
      </c>
      <c r="H627" t="n">
        <v>0</v>
      </c>
      <c r="I627" t="n">
        <v>0</v>
      </c>
      <c r="J627" t="n">
        <v>0</v>
      </c>
      <c r="K627" t="n">
        <v>0</v>
      </c>
      <c r="L627" t="n">
        <v>0</v>
      </c>
      <c r="M627" t="n">
        <v>0</v>
      </c>
      <c r="N627" t="n">
        <v>0</v>
      </c>
      <c r="O627" t="n">
        <v>0</v>
      </c>
      <c r="P627" t="n">
        <v>0</v>
      </c>
      <c r="Q627" t="n">
        <v>0</v>
      </c>
      <c r="R627" s="2" t="inlineStr"/>
    </row>
    <row r="628" ht="15" customHeight="1">
      <c r="A628" t="inlineStr">
        <is>
          <t>A 45788-2021</t>
        </is>
      </c>
      <c r="B628" s="1" t="n">
        <v>44441</v>
      </c>
      <c r="C628" s="1" t="n">
        <v>45976</v>
      </c>
      <c r="D628" t="inlineStr">
        <is>
          <t>DALARNAS LÄN</t>
        </is>
      </c>
      <c r="E628" t="inlineStr">
        <is>
          <t>LEKSAND</t>
        </is>
      </c>
      <c r="G628" t="n">
        <v>3</v>
      </c>
      <c r="H628" t="n">
        <v>0</v>
      </c>
      <c r="I628" t="n">
        <v>0</v>
      </c>
      <c r="J628" t="n">
        <v>0</v>
      </c>
      <c r="K628" t="n">
        <v>0</v>
      </c>
      <c r="L628" t="n">
        <v>0</v>
      </c>
      <c r="M628" t="n">
        <v>0</v>
      </c>
      <c r="N628" t="n">
        <v>0</v>
      </c>
      <c r="O628" t="n">
        <v>0</v>
      </c>
      <c r="P628" t="n">
        <v>0</v>
      </c>
      <c r="Q628" t="n">
        <v>0</v>
      </c>
      <c r="R628" s="2" t="inlineStr"/>
    </row>
    <row r="629" ht="15" customHeight="1">
      <c r="A629" t="inlineStr">
        <is>
          <t>A 27262-2025</t>
        </is>
      </c>
      <c r="B629" s="1" t="n">
        <v>45812</v>
      </c>
      <c r="C629" s="1" t="n">
        <v>45976</v>
      </c>
      <c r="D629" t="inlineStr">
        <is>
          <t>DALARNAS LÄN</t>
        </is>
      </c>
      <c r="E629" t="inlineStr">
        <is>
          <t>LEKSAND</t>
        </is>
      </c>
      <c r="F629" t="inlineStr">
        <is>
          <t>Bergvik skog väst AB</t>
        </is>
      </c>
      <c r="G629" t="n">
        <v>7.7</v>
      </c>
      <c r="H629" t="n">
        <v>0</v>
      </c>
      <c r="I629" t="n">
        <v>0</v>
      </c>
      <c r="J629" t="n">
        <v>0</v>
      </c>
      <c r="K629" t="n">
        <v>0</v>
      </c>
      <c r="L629" t="n">
        <v>0</v>
      </c>
      <c r="M629" t="n">
        <v>0</v>
      </c>
      <c r="N629" t="n">
        <v>0</v>
      </c>
      <c r="O629" t="n">
        <v>0</v>
      </c>
      <c r="P629" t="n">
        <v>0</v>
      </c>
      <c r="Q629" t="n">
        <v>0</v>
      </c>
      <c r="R629" s="2" t="inlineStr"/>
    </row>
    <row r="630" ht="15" customHeight="1">
      <c r="A630" t="inlineStr">
        <is>
          <t>A 52977-2022</t>
        </is>
      </c>
      <c r="B630" s="1" t="n">
        <v>44875</v>
      </c>
      <c r="C630" s="1" t="n">
        <v>45976</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27332-2025</t>
        </is>
      </c>
      <c r="B631" s="1" t="n">
        <v>45812.61265046296</v>
      </c>
      <c r="C631" s="1" t="n">
        <v>45976</v>
      </c>
      <c r="D631" t="inlineStr">
        <is>
          <t>DALARNAS LÄN</t>
        </is>
      </c>
      <c r="E631" t="inlineStr">
        <is>
          <t>LEKSAND</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27183-2025</t>
        </is>
      </c>
      <c r="B632" s="1" t="n">
        <v>45812.36097222222</v>
      </c>
      <c r="C632" s="1" t="n">
        <v>45976</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27680-2025</t>
        </is>
      </c>
      <c r="B633" s="1" t="n">
        <v>45813.64618055556</v>
      </c>
      <c r="C633" s="1" t="n">
        <v>45976</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43221-2024</t>
        </is>
      </c>
      <c r="B634" s="1" t="n">
        <v>45567.86695601852</v>
      </c>
      <c r="C634" s="1" t="n">
        <v>45976</v>
      </c>
      <c r="D634" t="inlineStr">
        <is>
          <t>DALARNAS LÄN</t>
        </is>
      </c>
      <c r="E634" t="inlineStr">
        <is>
          <t>LEKSAND</t>
        </is>
      </c>
      <c r="G634" t="n">
        <v>1.1</v>
      </c>
      <c r="H634" t="n">
        <v>0</v>
      </c>
      <c r="I634" t="n">
        <v>0</v>
      </c>
      <c r="J634" t="n">
        <v>0</v>
      </c>
      <c r="K634" t="n">
        <v>0</v>
      </c>
      <c r="L634" t="n">
        <v>0</v>
      </c>
      <c r="M634" t="n">
        <v>0</v>
      </c>
      <c r="N634" t="n">
        <v>0</v>
      </c>
      <c r="O634" t="n">
        <v>0</v>
      </c>
      <c r="P634" t="n">
        <v>0</v>
      </c>
      <c r="Q634" t="n">
        <v>0</v>
      </c>
      <c r="R634" s="2" t="inlineStr"/>
    </row>
    <row r="635" ht="15" customHeight="1">
      <c r="A635" t="inlineStr">
        <is>
          <t>A 55784-2025</t>
        </is>
      </c>
      <c r="B635" s="1" t="n">
        <v>45972.63765046297</v>
      </c>
      <c r="C635" s="1" t="n">
        <v>45976</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27682-2025</t>
        </is>
      </c>
      <c r="B636" s="1" t="n">
        <v>45813.64782407408</v>
      </c>
      <c r="C636" s="1" t="n">
        <v>45976</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27705-2025</t>
        </is>
      </c>
      <c r="B637" s="1" t="n">
        <v>45813</v>
      </c>
      <c r="C637" s="1" t="n">
        <v>45976</v>
      </c>
      <c r="D637" t="inlineStr">
        <is>
          <t>DALARNAS LÄN</t>
        </is>
      </c>
      <c r="E637" t="inlineStr">
        <is>
          <t>LEKSAND</t>
        </is>
      </c>
      <c r="G637" t="n">
        <v>0.8</v>
      </c>
      <c r="H637" t="n">
        <v>0</v>
      </c>
      <c r="I637" t="n">
        <v>0</v>
      </c>
      <c r="J637" t="n">
        <v>0</v>
      </c>
      <c r="K637" t="n">
        <v>0</v>
      </c>
      <c r="L637" t="n">
        <v>0</v>
      </c>
      <c r="M637" t="n">
        <v>0</v>
      </c>
      <c r="N637" t="n">
        <v>0</v>
      </c>
      <c r="O637" t="n">
        <v>0</v>
      </c>
      <c r="P637" t="n">
        <v>0</v>
      </c>
      <c r="Q637" t="n">
        <v>0</v>
      </c>
      <c r="R637" s="2" t="inlineStr"/>
    </row>
    <row r="638" ht="15" customHeight="1">
      <c r="A638" t="inlineStr">
        <is>
          <t>A 27329-2025</t>
        </is>
      </c>
      <c r="B638" s="1" t="n">
        <v>45812.60864583333</v>
      </c>
      <c r="C638" s="1" t="n">
        <v>45976</v>
      </c>
      <c r="D638" t="inlineStr">
        <is>
          <t>DALARNAS LÄN</t>
        </is>
      </c>
      <c r="E638" t="inlineStr">
        <is>
          <t>LEKSAND</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54789-2025</t>
        </is>
      </c>
      <c r="B639" s="1" t="n">
        <v>45966</v>
      </c>
      <c r="C639" s="1" t="n">
        <v>45976</v>
      </c>
      <c r="D639" t="inlineStr">
        <is>
          <t>DALARNAS LÄN</t>
        </is>
      </c>
      <c r="E639" t="inlineStr">
        <is>
          <t>LEKSAND</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17589-2025</t>
        </is>
      </c>
      <c r="B640" s="1" t="n">
        <v>45757.67844907408</v>
      </c>
      <c r="C640" s="1" t="n">
        <v>45976</v>
      </c>
      <c r="D640" t="inlineStr">
        <is>
          <t>DALARNAS LÄN</t>
        </is>
      </c>
      <c r="E640" t="inlineStr">
        <is>
          <t>LEKSAND</t>
        </is>
      </c>
      <c r="G640" t="n">
        <v>5.8</v>
      </c>
      <c r="H640" t="n">
        <v>0</v>
      </c>
      <c r="I640" t="n">
        <v>0</v>
      </c>
      <c r="J640" t="n">
        <v>0</v>
      </c>
      <c r="K640" t="n">
        <v>0</v>
      </c>
      <c r="L640" t="n">
        <v>0</v>
      </c>
      <c r="M640" t="n">
        <v>0</v>
      </c>
      <c r="N640" t="n">
        <v>0</v>
      </c>
      <c r="O640" t="n">
        <v>0</v>
      </c>
      <c r="P640" t="n">
        <v>0</v>
      </c>
      <c r="Q640" t="n">
        <v>0</v>
      </c>
      <c r="R640" s="2" t="inlineStr"/>
    </row>
    <row r="641" ht="15" customHeight="1">
      <c r="A641" t="inlineStr">
        <is>
          <t>A 29157-2022</t>
        </is>
      </c>
      <c r="B641" s="1" t="n">
        <v>44750.48355324074</v>
      </c>
      <c r="C641" s="1" t="n">
        <v>45976</v>
      </c>
      <c r="D641" t="inlineStr">
        <is>
          <t>DALARNAS LÄN</t>
        </is>
      </c>
      <c r="E641" t="inlineStr">
        <is>
          <t>LEKSAND</t>
        </is>
      </c>
      <c r="F641" t="inlineStr">
        <is>
          <t>Bergvik skog väst AB</t>
        </is>
      </c>
      <c r="G641" t="n">
        <v>2.7</v>
      </c>
      <c r="H641" t="n">
        <v>0</v>
      </c>
      <c r="I641" t="n">
        <v>0</v>
      </c>
      <c r="J641" t="n">
        <v>0</v>
      </c>
      <c r="K641" t="n">
        <v>0</v>
      </c>
      <c r="L641" t="n">
        <v>0</v>
      </c>
      <c r="M641" t="n">
        <v>0</v>
      </c>
      <c r="N641" t="n">
        <v>0</v>
      </c>
      <c r="O641" t="n">
        <v>0</v>
      </c>
      <c r="P641" t="n">
        <v>0</v>
      </c>
      <c r="Q641" t="n">
        <v>0</v>
      </c>
      <c r="R641" s="2" t="inlineStr"/>
    </row>
    <row r="642" ht="15" customHeight="1">
      <c r="A642" t="inlineStr">
        <is>
          <t>A 11080-2023</t>
        </is>
      </c>
      <c r="B642" s="1" t="n">
        <v>44992</v>
      </c>
      <c r="C642" s="1" t="n">
        <v>45976</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27984-2025</t>
        </is>
      </c>
      <c r="B643" s="1" t="n">
        <v>45817.57710648148</v>
      </c>
      <c r="C643" s="1" t="n">
        <v>45976</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320-2023</t>
        </is>
      </c>
      <c r="B644" s="1" t="n">
        <v>44929</v>
      </c>
      <c r="C644" s="1" t="n">
        <v>45976</v>
      </c>
      <c r="D644" t="inlineStr">
        <is>
          <t>DALARNAS LÄN</t>
        </is>
      </c>
      <c r="E644" t="inlineStr">
        <is>
          <t>LEKSAND</t>
        </is>
      </c>
      <c r="F644" t="inlineStr">
        <is>
          <t>Övriga Aktiebolag</t>
        </is>
      </c>
      <c r="G644" t="n">
        <v>5.4</v>
      </c>
      <c r="H644" t="n">
        <v>0</v>
      </c>
      <c r="I644" t="n">
        <v>0</v>
      </c>
      <c r="J644" t="n">
        <v>0</v>
      </c>
      <c r="K644" t="n">
        <v>0</v>
      </c>
      <c r="L644" t="n">
        <v>0</v>
      </c>
      <c r="M644" t="n">
        <v>0</v>
      </c>
      <c r="N644" t="n">
        <v>0</v>
      </c>
      <c r="O644" t="n">
        <v>0</v>
      </c>
      <c r="P644" t="n">
        <v>0</v>
      </c>
      <c r="Q644" t="n">
        <v>0</v>
      </c>
      <c r="R644" s="2" t="inlineStr"/>
    </row>
    <row r="645" ht="15" customHeight="1">
      <c r="A645" t="inlineStr">
        <is>
          <t>A 40181-2023</t>
        </is>
      </c>
      <c r="B645" s="1" t="n">
        <v>45169</v>
      </c>
      <c r="C645" s="1" t="n">
        <v>45976</v>
      </c>
      <c r="D645" t="inlineStr">
        <is>
          <t>DALARNAS LÄN</t>
        </is>
      </c>
      <c r="E645" t="inlineStr">
        <is>
          <t>LEKSAND</t>
        </is>
      </c>
      <c r="G645" t="n">
        <v>2.8</v>
      </c>
      <c r="H645" t="n">
        <v>0</v>
      </c>
      <c r="I645" t="n">
        <v>0</v>
      </c>
      <c r="J645" t="n">
        <v>0</v>
      </c>
      <c r="K645" t="n">
        <v>0</v>
      </c>
      <c r="L645" t="n">
        <v>0</v>
      </c>
      <c r="M645" t="n">
        <v>0</v>
      </c>
      <c r="N645" t="n">
        <v>0</v>
      </c>
      <c r="O645" t="n">
        <v>0</v>
      </c>
      <c r="P645" t="n">
        <v>0</v>
      </c>
      <c r="Q645" t="n">
        <v>0</v>
      </c>
      <c r="R645" s="2" t="inlineStr"/>
    </row>
    <row r="646" ht="15" customHeight="1">
      <c r="A646" t="inlineStr">
        <is>
          <t>A 56623-2025</t>
        </is>
      </c>
      <c r="B646" s="1" t="n">
        <v>45975.60164351852</v>
      </c>
      <c r="C646" s="1" t="n">
        <v>45976</v>
      </c>
      <c r="D646" t="inlineStr">
        <is>
          <t>DALARNAS LÄN</t>
        </is>
      </c>
      <c r="E646" t="inlineStr">
        <is>
          <t>LEKSAND</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56514-2025</t>
        </is>
      </c>
      <c r="B647" s="1" t="n">
        <v>45975.45502314815</v>
      </c>
      <c r="C647" s="1" t="n">
        <v>45976</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56161-2025</t>
        </is>
      </c>
      <c r="B648" s="1" t="n">
        <v>45974.37554398148</v>
      </c>
      <c r="C648" s="1" t="n">
        <v>45976</v>
      </c>
      <c r="D648" t="inlineStr">
        <is>
          <t>DALARNAS LÄN</t>
        </is>
      </c>
      <c r="E648" t="inlineStr">
        <is>
          <t>LEKSAND</t>
        </is>
      </c>
      <c r="G648" t="n">
        <v>2</v>
      </c>
      <c r="H648" t="n">
        <v>0</v>
      </c>
      <c r="I648" t="n">
        <v>0</v>
      </c>
      <c r="J648" t="n">
        <v>0</v>
      </c>
      <c r="K648" t="n">
        <v>0</v>
      </c>
      <c r="L648" t="n">
        <v>0</v>
      </c>
      <c r="M648" t="n">
        <v>0</v>
      </c>
      <c r="N648" t="n">
        <v>0</v>
      </c>
      <c r="O648" t="n">
        <v>0</v>
      </c>
      <c r="P648" t="n">
        <v>0</v>
      </c>
      <c r="Q648" t="n">
        <v>0</v>
      </c>
      <c r="R648" s="2" t="inlineStr"/>
    </row>
    <row r="649" ht="15" customHeight="1">
      <c r="A649" t="inlineStr">
        <is>
          <t>A 63544-2023</t>
        </is>
      </c>
      <c r="B649" s="1" t="n">
        <v>45275</v>
      </c>
      <c r="C649" s="1" t="n">
        <v>45976</v>
      </c>
      <c r="D649" t="inlineStr">
        <is>
          <t>DALARNAS LÄN</t>
        </is>
      </c>
      <c r="E649" t="inlineStr">
        <is>
          <t>LEKSAND</t>
        </is>
      </c>
      <c r="G649" t="n">
        <v>0.3</v>
      </c>
      <c r="H649" t="n">
        <v>0</v>
      </c>
      <c r="I649" t="n">
        <v>0</v>
      </c>
      <c r="J649" t="n">
        <v>0</v>
      </c>
      <c r="K649" t="n">
        <v>0</v>
      </c>
      <c r="L649" t="n">
        <v>0</v>
      </c>
      <c r="M649" t="n">
        <v>0</v>
      </c>
      <c r="N649" t="n">
        <v>0</v>
      </c>
      <c r="O649" t="n">
        <v>0</v>
      </c>
      <c r="P649" t="n">
        <v>0</v>
      </c>
      <c r="Q649" t="n">
        <v>0</v>
      </c>
      <c r="R649" s="2" t="inlineStr"/>
    </row>
    <row r="650" ht="15" customHeight="1">
      <c r="A650" t="inlineStr">
        <is>
          <t>A 28499-2025</t>
        </is>
      </c>
      <c r="B650" s="1" t="n">
        <v>45818</v>
      </c>
      <c r="C650" s="1" t="n">
        <v>45976</v>
      </c>
      <c r="D650" t="inlineStr">
        <is>
          <t>DALARNAS LÄN</t>
        </is>
      </c>
      <c r="E650" t="inlineStr">
        <is>
          <t>LEKSAND</t>
        </is>
      </c>
      <c r="G650" t="n">
        <v>0.7</v>
      </c>
      <c r="H650" t="n">
        <v>0</v>
      </c>
      <c r="I650" t="n">
        <v>0</v>
      </c>
      <c r="J650" t="n">
        <v>0</v>
      </c>
      <c r="K650" t="n">
        <v>0</v>
      </c>
      <c r="L650" t="n">
        <v>0</v>
      </c>
      <c r="M650" t="n">
        <v>0</v>
      </c>
      <c r="N650" t="n">
        <v>0</v>
      </c>
      <c r="O650" t="n">
        <v>0</v>
      </c>
      <c r="P650" t="n">
        <v>0</v>
      </c>
      <c r="Q650" t="n">
        <v>0</v>
      </c>
      <c r="R650" s="2" t="inlineStr"/>
    </row>
    <row r="651" ht="15" customHeight="1">
      <c r="A651" t="inlineStr">
        <is>
          <t>A 58877-2023</t>
        </is>
      </c>
      <c r="B651" s="1" t="n">
        <v>45252</v>
      </c>
      <c r="C651" s="1" t="n">
        <v>45976</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28483-2025</t>
        </is>
      </c>
      <c r="B652" s="1" t="n">
        <v>45818</v>
      </c>
      <c r="C652" s="1" t="n">
        <v>45976</v>
      </c>
      <c r="D652" t="inlineStr">
        <is>
          <t>DALARNAS LÄN</t>
        </is>
      </c>
      <c r="E652" t="inlineStr">
        <is>
          <t>LEKSAND</t>
        </is>
      </c>
      <c r="F652" t="inlineStr">
        <is>
          <t>Bergvik skog väst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28458-2025</t>
        </is>
      </c>
      <c r="B653" s="1" t="n">
        <v>45819.413125</v>
      </c>
      <c r="C653" s="1" t="n">
        <v>45976</v>
      </c>
      <c r="D653" t="inlineStr">
        <is>
          <t>DALARNAS LÄN</t>
        </is>
      </c>
      <c r="E653" t="inlineStr">
        <is>
          <t>LEKSAND</t>
        </is>
      </c>
      <c r="G653" t="n">
        <v>3</v>
      </c>
      <c r="H653" t="n">
        <v>0</v>
      </c>
      <c r="I653" t="n">
        <v>0</v>
      </c>
      <c r="J653" t="n">
        <v>0</v>
      </c>
      <c r="K653" t="n">
        <v>0</v>
      </c>
      <c r="L653" t="n">
        <v>0</v>
      </c>
      <c r="M653" t="n">
        <v>0</v>
      </c>
      <c r="N653" t="n">
        <v>0</v>
      </c>
      <c r="O653" t="n">
        <v>0</v>
      </c>
      <c r="P653" t="n">
        <v>0</v>
      </c>
      <c r="Q653" t="n">
        <v>0</v>
      </c>
      <c r="R653" s="2" t="inlineStr"/>
    </row>
    <row r="654" ht="15" customHeight="1">
      <c r="A654" t="inlineStr">
        <is>
          <t>A 51377-2023</t>
        </is>
      </c>
      <c r="B654" s="1" t="n">
        <v>45219</v>
      </c>
      <c r="C654" s="1" t="n">
        <v>45976</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56331-2025</t>
        </is>
      </c>
      <c r="B655" s="1" t="n">
        <v>45974.64157407408</v>
      </c>
      <c r="C655" s="1" t="n">
        <v>45976</v>
      </c>
      <c r="D655" t="inlineStr">
        <is>
          <t>DALARNAS LÄN</t>
        </is>
      </c>
      <c r="E655" t="inlineStr">
        <is>
          <t>LEKSAND</t>
        </is>
      </c>
      <c r="G655" t="n">
        <v>1.1</v>
      </c>
      <c r="H655" t="n">
        <v>0</v>
      </c>
      <c r="I655" t="n">
        <v>0</v>
      </c>
      <c r="J655" t="n">
        <v>0</v>
      </c>
      <c r="K655" t="n">
        <v>0</v>
      </c>
      <c r="L655" t="n">
        <v>0</v>
      </c>
      <c r="M655" t="n">
        <v>0</v>
      </c>
      <c r="N655" t="n">
        <v>0</v>
      </c>
      <c r="O655" t="n">
        <v>0</v>
      </c>
      <c r="P655" t="n">
        <v>0</v>
      </c>
      <c r="Q655" t="n">
        <v>0</v>
      </c>
      <c r="R655" s="2" t="inlineStr"/>
    </row>
    <row r="656" ht="15" customHeight="1">
      <c r="A656" t="inlineStr">
        <is>
          <t>A 28505-2025</t>
        </is>
      </c>
      <c r="B656" s="1" t="n">
        <v>45818</v>
      </c>
      <c r="C656" s="1" t="n">
        <v>45976</v>
      </c>
      <c r="D656" t="inlineStr">
        <is>
          <t>DALARNAS LÄN</t>
        </is>
      </c>
      <c r="E656" t="inlineStr">
        <is>
          <t>LEKSAND</t>
        </is>
      </c>
      <c r="G656" t="n">
        <v>0.8</v>
      </c>
      <c r="H656" t="n">
        <v>0</v>
      </c>
      <c r="I656" t="n">
        <v>0</v>
      </c>
      <c r="J656" t="n">
        <v>0</v>
      </c>
      <c r="K656" t="n">
        <v>0</v>
      </c>
      <c r="L656" t="n">
        <v>0</v>
      </c>
      <c r="M656" t="n">
        <v>0</v>
      </c>
      <c r="N656" t="n">
        <v>0</v>
      </c>
      <c r="O656" t="n">
        <v>0</v>
      </c>
      <c r="P656" t="n">
        <v>0</v>
      </c>
      <c r="Q656" t="n">
        <v>0</v>
      </c>
      <c r="R656" s="2" t="inlineStr"/>
    </row>
    <row r="657" ht="15" customHeight="1">
      <c r="A657" t="inlineStr">
        <is>
          <t>A 28488-2025</t>
        </is>
      </c>
      <c r="B657" s="1" t="n">
        <v>45818</v>
      </c>
      <c r="C657" s="1" t="n">
        <v>45976</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47976-2025</t>
        </is>
      </c>
      <c r="B658" s="1" t="n">
        <v>45932.60846064815</v>
      </c>
      <c r="C658" s="1" t="n">
        <v>45976</v>
      </c>
      <c r="D658" t="inlineStr">
        <is>
          <t>DALARNAS LÄN</t>
        </is>
      </c>
      <c r="E658" t="inlineStr">
        <is>
          <t>LEKSAND</t>
        </is>
      </c>
      <c r="F658" t="inlineStr">
        <is>
          <t>Bergvik skog väst AB</t>
        </is>
      </c>
      <c r="G658" t="n">
        <v>0.3</v>
      </c>
      <c r="H658" t="n">
        <v>0</v>
      </c>
      <c r="I658" t="n">
        <v>0</v>
      </c>
      <c r="J658" t="n">
        <v>0</v>
      </c>
      <c r="K658" t="n">
        <v>0</v>
      </c>
      <c r="L658" t="n">
        <v>0</v>
      </c>
      <c r="M658" t="n">
        <v>0</v>
      </c>
      <c r="N658" t="n">
        <v>0</v>
      </c>
      <c r="O658" t="n">
        <v>0</v>
      </c>
      <c r="P658" t="n">
        <v>0</v>
      </c>
      <c r="Q658" t="n">
        <v>0</v>
      </c>
      <c r="R658" s="2" t="inlineStr"/>
    </row>
    <row r="659" ht="15" customHeight="1">
      <c r="A659" t="inlineStr">
        <is>
          <t>A 47977-2025</t>
        </is>
      </c>
      <c r="B659" s="1" t="n">
        <v>45932.60920138889</v>
      </c>
      <c r="C659" s="1" t="n">
        <v>45976</v>
      </c>
      <c r="D659" t="inlineStr">
        <is>
          <t>DALARNAS LÄN</t>
        </is>
      </c>
      <c r="E659" t="inlineStr">
        <is>
          <t>LEKSAND</t>
        </is>
      </c>
      <c r="F659" t="inlineStr">
        <is>
          <t>Bergvik skog väst AB</t>
        </is>
      </c>
      <c r="G659" t="n">
        <v>0.2</v>
      </c>
      <c r="H659" t="n">
        <v>0</v>
      </c>
      <c r="I659" t="n">
        <v>0</v>
      </c>
      <c r="J659" t="n">
        <v>0</v>
      </c>
      <c r="K659" t="n">
        <v>0</v>
      </c>
      <c r="L659" t="n">
        <v>0</v>
      </c>
      <c r="M659" t="n">
        <v>0</v>
      </c>
      <c r="N659" t="n">
        <v>0</v>
      </c>
      <c r="O659" t="n">
        <v>0</v>
      </c>
      <c r="P659" t="n">
        <v>0</v>
      </c>
      <c r="Q659" t="n">
        <v>0</v>
      </c>
      <c r="R659" s="2" t="inlineStr"/>
    </row>
    <row r="660" ht="15" customHeight="1">
      <c r="A660" t="inlineStr">
        <is>
          <t>A 28770-2025</t>
        </is>
      </c>
      <c r="B660" s="1" t="n">
        <v>45820</v>
      </c>
      <c r="C660" s="1" t="n">
        <v>45976</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28985-2025</t>
        </is>
      </c>
      <c r="B661" s="1" t="n">
        <v>45821.36862268519</v>
      </c>
      <c r="C661" s="1" t="n">
        <v>45976</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52572-2024</t>
        </is>
      </c>
      <c r="B662" s="1" t="n">
        <v>45609.66488425926</v>
      </c>
      <c r="C662" s="1" t="n">
        <v>45976</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29553-2025</t>
        </is>
      </c>
      <c r="B663" s="1" t="n">
        <v>45825.35315972222</v>
      </c>
      <c r="C663" s="1" t="n">
        <v>45976</v>
      </c>
      <c r="D663" t="inlineStr">
        <is>
          <t>DALARNAS LÄN</t>
        </is>
      </c>
      <c r="E663" t="inlineStr">
        <is>
          <t>LEKSAND</t>
        </is>
      </c>
      <c r="G663" t="n">
        <v>1.8</v>
      </c>
      <c r="H663" t="n">
        <v>0</v>
      </c>
      <c r="I663" t="n">
        <v>0</v>
      </c>
      <c r="J663" t="n">
        <v>0</v>
      </c>
      <c r="K663" t="n">
        <v>0</v>
      </c>
      <c r="L663" t="n">
        <v>0</v>
      </c>
      <c r="M663" t="n">
        <v>0</v>
      </c>
      <c r="N663" t="n">
        <v>0</v>
      </c>
      <c r="O663" t="n">
        <v>0</v>
      </c>
      <c r="P663" t="n">
        <v>0</v>
      </c>
      <c r="Q663" t="n">
        <v>0</v>
      </c>
      <c r="R663" s="2" t="inlineStr"/>
    </row>
    <row r="664" ht="15" customHeight="1">
      <c r="A664" t="inlineStr">
        <is>
          <t>A 41853-2023</t>
        </is>
      </c>
      <c r="B664" s="1" t="n">
        <v>45176.62483796296</v>
      </c>
      <c r="C664" s="1" t="n">
        <v>45976</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27520-2023</t>
        </is>
      </c>
      <c r="B665" s="1" t="n">
        <v>45097</v>
      </c>
      <c r="C665" s="1" t="n">
        <v>45976</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55926-2024</t>
        </is>
      </c>
      <c r="B666" s="1" t="n">
        <v>45623.601875</v>
      </c>
      <c r="C666" s="1" t="n">
        <v>45976</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29005-2025</t>
        </is>
      </c>
      <c r="B667" s="1" t="n">
        <v>45821.39326388889</v>
      </c>
      <c r="C667" s="1" t="n">
        <v>45976</v>
      </c>
      <c r="D667" t="inlineStr">
        <is>
          <t>DALARNAS LÄN</t>
        </is>
      </c>
      <c r="E667" t="inlineStr">
        <is>
          <t>LEKSAND</t>
        </is>
      </c>
      <c r="G667" t="n">
        <v>2.1</v>
      </c>
      <c r="H667" t="n">
        <v>0</v>
      </c>
      <c r="I667" t="n">
        <v>0</v>
      </c>
      <c r="J667" t="n">
        <v>0</v>
      </c>
      <c r="K667" t="n">
        <v>0</v>
      </c>
      <c r="L667" t="n">
        <v>0</v>
      </c>
      <c r="M667" t="n">
        <v>0</v>
      </c>
      <c r="N667" t="n">
        <v>0</v>
      </c>
      <c r="O667" t="n">
        <v>0</v>
      </c>
      <c r="P667" t="n">
        <v>0</v>
      </c>
      <c r="Q667" t="n">
        <v>0</v>
      </c>
      <c r="R667" s="2" t="inlineStr"/>
    </row>
    <row r="668" ht="15" customHeight="1">
      <c r="A668" t="inlineStr">
        <is>
          <t>A 49405-2024</t>
        </is>
      </c>
      <c r="B668" s="1" t="n">
        <v>45595</v>
      </c>
      <c r="C668" s="1" t="n">
        <v>45976</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29729-2025</t>
        </is>
      </c>
      <c r="B669" s="1" t="n">
        <v>45825.58077546296</v>
      </c>
      <c r="C669" s="1" t="n">
        <v>45976</v>
      </c>
      <c r="D669" t="inlineStr">
        <is>
          <t>DALARNAS LÄN</t>
        </is>
      </c>
      <c r="E669" t="inlineStr">
        <is>
          <t>LEKSAND</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30254-2025</t>
        </is>
      </c>
      <c r="B670" s="1" t="n">
        <v>45827.42336805556</v>
      </c>
      <c r="C670" s="1" t="n">
        <v>45976</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56517-2025</t>
        </is>
      </c>
      <c r="B671" s="1" t="n">
        <v>45975.45777777778</v>
      </c>
      <c r="C671" s="1" t="n">
        <v>45976</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17078-2023</t>
        </is>
      </c>
      <c r="B672" s="1" t="n">
        <v>45034</v>
      </c>
      <c r="C672" s="1" t="n">
        <v>45976</v>
      </c>
      <c r="D672" t="inlineStr">
        <is>
          <t>DALARNAS LÄN</t>
        </is>
      </c>
      <c r="E672" t="inlineStr">
        <is>
          <t>LEKSAND</t>
        </is>
      </c>
      <c r="G672" t="n">
        <v>0.5</v>
      </c>
      <c r="H672" t="n">
        <v>0</v>
      </c>
      <c r="I672" t="n">
        <v>0</v>
      </c>
      <c r="J672" t="n">
        <v>0</v>
      </c>
      <c r="K672" t="n">
        <v>0</v>
      </c>
      <c r="L672" t="n">
        <v>0</v>
      </c>
      <c r="M672" t="n">
        <v>0</v>
      </c>
      <c r="N672" t="n">
        <v>0</v>
      </c>
      <c r="O672" t="n">
        <v>0</v>
      </c>
      <c r="P672" t="n">
        <v>0</v>
      </c>
      <c r="Q672" t="n">
        <v>0</v>
      </c>
      <c r="R672" s="2" t="inlineStr"/>
    </row>
    <row r="673" ht="15" customHeight="1">
      <c r="A673" t="inlineStr">
        <is>
          <t>A 11110-2023</t>
        </is>
      </c>
      <c r="B673" s="1" t="n">
        <v>44992</v>
      </c>
      <c r="C673" s="1" t="n">
        <v>45976</v>
      </c>
      <c r="D673" t="inlineStr">
        <is>
          <t>DALARNAS LÄN</t>
        </is>
      </c>
      <c r="E673" t="inlineStr">
        <is>
          <t>LEKSAND</t>
        </is>
      </c>
      <c r="G673" t="n">
        <v>11.2</v>
      </c>
      <c r="H673" t="n">
        <v>0</v>
      </c>
      <c r="I673" t="n">
        <v>0</v>
      </c>
      <c r="J673" t="n">
        <v>0</v>
      </c>
      <c r="K673" t="n">
        <v>0</v>
      </c>
      <c r="L673" t="n">
        <v>0</v>
      </c>
      <c r="M673" t="n">
        <v>0</v>
      </c>
      <c r="N673" t="n">
        <v>0</v>
      </c>
      <c r="O673" t="n">
        <v>0</v>
      </c>
      <c r="P673" t="n">
        <v>0</v>
      </c>
      <c r="Q673" t="n">
        <v>0</v>
      </c>
      <c r="R673" s="2" t="inlineStr"/>
    </row>
    <row r="674" ht="15" customHeight="1">
      <c r="A674" t="inlineStr">
        <is>
          <t>A 56059-2024</t>
        </is>
      </c>
      <c r="B674" s="1" t="n">
        <v>45624.36729166667</v>
      </c>
      <c r="C674" s="1" t="n">
        <v>45976</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45943-2022</t>
        </is>
      </c>
      <c r="B675" s="1" t="n">
        <v>44846.64418981481</v>
      </c>
      <c r="C675" s="1" t="n">
        <v>45976</v>
      </c>
      <c r="D675" t="inlineStr">
        <is>
          <t>DALARNAS LÄN</t>
        </is>
      </c>
      <c r="E675" t="inlineStr">
        <is>
          <t>LEKSAND</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7928-2023</t>
        </is>
      </c>
      <c r="B676" s="1" t="n">
        <v>44973</v>
      </c>
      <c r="C676" s="1" t="n">
        <v>45976</v>
      </c>
      <c r="D676" t="inlineStr">
        <is>
          <t>DALARNAS LÄN</t>
        </is>
      </c>
      <c r="E676" t="inlineStr">
        <is>
          <t>LEKSAND</t>
        </is>
      </c>
      <c r="G676" t="n">
        <v>1.9</v>
      </c>
      <c r="H676" t="n">
        <v>0</v>
      </c>
      <c r="I676" t="n">
        <v>0</v>
      </c>
      <c r="J676" t="n">
        <v>0</v>
      </c>
      <c r="K676" t="n">
        <v>0</v>
      </c>
      <c r="L676" t="n">
        <v>0</v>
      </c>
      <c r="M676" t="n">
        <v>0</v>
      </c>
      <c r="N676" t="n">
        <v>0</v>
      </c>
      <c r="O676" t="n">
        <v>0</v>
      </c>
      <c r="P676" t="n">
        <v>0</v>
      </c>
      <c r="Q676" t="n">
        <v>0</v>
      </c>
      <c r="R676" s="2" t="inlineStr"/>
    </row>
    <row r="677" ht="15" customHeight="1">
      <c r="A677" t="inlineStr">
        <is>
          <t>A 30920-2025</t>
        </is>
      </c>
      <c r="B677" s="1" t="n">
        <v>45832.38484953704</v>
      </c>
      <c r="C677" s="1" t="n">
        <v>45976</v>
      </c>
      <c r="D677" t="inlineStr">
        <is>
          <t>DALARNAS LÄN</t>
        </is>
      </c>
      <c r="E677" t="inlineStr">
        <is>
          <t>LEKSAND</t>
        </is>
      </c>
      <c r="G677" t="n">
        <v>1.9</v>
      </c>
      <c r="H677" t="n">
        <v>0</v>
      </c>
      <c r="I677" t="n">
        <v>0</v>
      </c>
      <c r="J677" t="n">
        <v>0</v>
      </c>
      <c r="K677" t="n">
        <v>0</v>
      </c>
      <c r="L677" t="n">
        <v>0</v>
      </c>
      <c r="M677" t="n">
        <v>0</v>
      </c>
      <c r="N677" t="n">
        <v>0</v>
      </c>
      <c r="O677" t="n">
        <v>0</v>
      </c>
      <c r="P677" t="n">
        <v>0</v>
      </c>
      <c r="Q677" t="n">
        <v>0</v>
      </c>
      <c r="R677" s="2" t="inlineStr"/>
    </row>
    <row r="678" ht="15" customHeight="1">
      <c r="A678" t="inlineStr">
        <is>
          <t>A 30969-2025</t>
        </is>
      </c>
      <c r="B678" s="1" t="n">
        <v>45832.45914351852</v>
      </c>
      <c r="C678" s="1" t="n">
        <v>45976</v>
      </c>
      <c r="D678" t="inlineStr">
        <is>
          <t>DALARNAS LÄN</t>
        </is>
      </c>
      <c r="E678" t="inlineStr">
        <is>
          <t>LEKSAND</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60113-2022</t>
        </is>
      </c>
      <c r="B679" s="1" t="n">
        <v>44909</v>
      </c>
      <c r="C679" s="1" t="n">
        <v>45976</v>
      </c>
      <c r="D679" t="inlineStr">
        <is>
          <t>DALARNAS LÄN</t>
        </is>
      </c>
      <c r="E679" t="inlineStr">
        <is>
          <t>LEKSAND</t>
        </is>
      </c>
      <c r="G679" t="n">
        <v>3.7</v>
      </c>
      <c r="H679" t="n">
        <v>0</v>
      </c>
      <c r="I679" t="n">
        <v>0</v>
      </c>
      <c r="J679" t="n">
        <v>0</v>
      </c>
      <c r="K679" t="n">
        <v>0</v>
      </c>
      <c r="L679" t="n">
        <v>0</v>
      </c>
      <c r="M679" t="n">
        <v>0</v>
      </c>
      <c r="N679" t="n">
        <v>0</v>
      </c>
      <c r="O679" t="n">
        <v>0</v>
      </c>
      <c r="P679" t="n">
        <v>0</v>
      </c>
      <c r="Q679" t="n">
        <v>0</v>
      </c>
      <c r="R679" s="2" t="inlineStr"/>
    </row>
    <row r="680" ht="15" customHeight="1">
      <c r="A680" t="inlineStr">
        <is>
          <t>A 30917-2025</t>
        </is>
      </c>
      <c r="B680" s="1" t="n">
        <v>45832.37989583334</v>
      </c>
      <c r="C680" s="1" t="n">
        <v>45976</v>
      </c>
      <c r="D680" t="inlineStr">
        <is>
          <t>DALARNAS LÄN</t>
        </is>
      </c>
      <c r="E680" t="inlineStr">
        <is>
          <t>LEKSAND</t>
        </is>
      </c>
      <c r="G680" t="n">
        <v>1.2</v>
      </c>
      <c r="H680" t="n">
        <v>0</v>
      </c>
      <c r="I680" t="n">
        <v>0</v>
      </c>
      <c r="J680" t="n">
        <v>0</v>
      </c>
      <c r="K680" t="n">
        <v>0</v>
      </c>
      <c r="L680" t="n">
        <v>0</v>
      </c>
      <c r="M680" t="n">
        <v>0</v>
      </c>
      <c r="N680" t="n">
        <v>0</v>
      </c>
      <c r="O680" t="n">
        <v>0</v>
      </c>
      <c r="P680" t="n">
        <v>0</v>
      </c>
      <c r="Q680" t="n">
        <v>0</v>
      </c>
      <c r="R680" s="2" t="inlineStr"/>
    </row>
    <row r="681" ht="15" customHeight="1">
      <c r="A681" t="inlineStr">
        <is>
          <t>A 19550-2023</t>
        </is>
      </c>
      <c r="B681" s="1" t="n">
        <v>45049</v>
      </c>
      <c r="C681" s="1" t="n">
        <v>45976</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31915-2024</t>
        </is>
      </c>
      <c r="B682" s="1" t="n">
        <v>45510.38956018518</v>
      </c>
      <c r="C682" s="1" t="n">
        <v>45976</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31619-2025</t>
        </is>
      </c>
      <c r="B683" s="1" t="n">
        <v>45833</v>
      </c>
      <c r="C683" s="1" t="n">
        <v>45976</v>
      </c>
      <c r="D683" t="inlineStr">
        <is>
          <t>DALARNAS LÄN</t>
        </is>
      </c>
      <c r="E683" t="inlineStr">
        <is>
          <t>LEKSAND</t>
        </is>
      </c>
      <c r="G683" t="n">
        <v>2.5</v>
      </c>
      <c r="H683" t="n">
        <v>0</v>
      </c>
      <c r="I683" t="n">
        <v>0</v>
      </c>
      <c r="J683" t="n">
        <v>0</v>
      </c>
      <c r="K683" t="n">
        <v>0</v>
      </c>
      <c r="L683" t="n">
        <v>0</v>
      </c>
      <c r="M683" t="n">
        <v>0</v>
      </c>
      <c r="N683" t="n">
        <v>0</v>
      </c>
      <c r="O683" t="n">
        <v>0</v>
      </c>
      <c r="P683" t="n">
        <v>0</v>
      </c>
      <c r="Q683" t="n">
        <v>0</v>
      </c>
      <c r="R683" s="2" t="inlineStr"/>
    </row>
    <row r="684" ht="15" customHeight="1">
      <c r="A684" t="inlineStr">
        <is>
          <t>A 30916-2025</t>
        </is>
      </c>
      <c r="B684" s="1" t="n">
        <v>45832.37885416667</v>
      </c>
      <c r="C684" s="1" t="n">
        <v>45976</v>
      </c>
      <c r="D684" t="inlineStr">
        <is>
          <t>DALARNAS LÄN</t>
        </is>
      </c>
      <c r="E684" t="inlineStr">
        <is>
          <t>LEKSAND</t>
        </is>
      </c>
      <c r="G684" t="n">
        <v>0.7</v>
      </c>
      <c r="H684" t="n">
        <v>0</v>
      </c>
      <c r="I684" t="n">
        <v>0</v>
      </c>
      <c r="J684" t="n">
        <v>0</v>
      </c>
      <c r="K684" t="n">
        <v>0</v>
      </c>
      <c r="L684" t="n">
        <v>0</v>
      </c>
      <c r="M684" t="n">
        <v>0</v>
      </c>
      <c r="N684" t="n">
        <v>0</v>
      </c>
      <c r="O684" t="n">
        <v>0</v>
      </c>
      <c r="P684" t="n">
        <v>0</v>
      </c>
      <c r="Q684" t="n">
        <v>0</v>
      </c>
      <c r="R684" s="2" t="inlineStr"/>
    </row>
    <row r="685" ht="15" customHeight="1">
      <c r="A685" t="inlineStr">
        <is>
          <t>A 31446-2025</t>
        </is>
      </c>
      <c r="B685" s="1" t="n">
        <v>45833</v>
      </c>
      <c r="C685" s="1" t="n">
        <v>45976</v>
      </c>
      <c r="D685" t="inlineStr">
        <is>
          <t>DALARNAS LÄN</t>
        </is>
      </c>
      <c r="E685" t="inlineStr">
        <is>
          <t>LEKSAND</t>
        </is>
      </c>
      <c r="G685" t="n">
        <v>1</v>
      </c>
      <c r="H685" t="n">
        <v>0</v>
      </c>
      <c r="I685" t="n">
        <v>0</v>
      </c>
      <c r="J685" t="n">
        <v>0</v>
      </c>
      <c r="K685" t="n">
        <v>0</v>
      </c>
      <c r="L685" t="n">
        <v>0</v>
      </c>
      <c r="M685" t="n">
        <v>0</v>
      </c>
      <c r="N685" t="n">
        <v>0</v>
      </c>
      <c r="O685" t="n">
        <v>0</v>
      </c>
      <c r="P685" t="n">
        <v>0</v>
      </c>
      <c r="Q685" t="n">
        <v>0</v>
      </c>
      <c r="R685" s="2" t="inlineStr"/>
    </row>
    <row r="686" ht="15" customHeight="1">
      <c r="A686" t="inlineStr">
        <is>
          <t>A 51480-2022</t>
        </is>
      </c>
      <c r="B686" s="1" t="n">
        <v>44869.57961805556</v>
      </c>
      <c r="C686" s="1" t="n">
        <v>45976</v>
      </c>
      <c r="D686" t="inlineStr">
        <is>
          <t>DALARNAS LÄN</t>
        </is>
      </c>
      <c r="E686" t="inlineStr">
        <is>
          <t>LEKSAND</t>
        </is>
      </c>
      <c r="F686" t="inlineStr">
        <is>
          <t>Bergvik skog väst AB</t>
        </is>
      </c>
      <c r="G686" t="n">
        <v>1.7</v>
      </c>
      <c r="H686" t="n">
        <v>0</v>
      </c>
      <c r="I686" t="n">
        <v>0</v>
      </c>
      <c r="J686" t="n">
        <v>0</v>
      </c>
      <c r="K686" t="n">
        <v>0</v>
      </c>
      <c r="L686" t="n">
        <v>0</v>
      </c>
      <c r="M686" t="n">
        <v>0</v>
      </c>
      <c r="N686" t="n">
        <v>0</v>
      </c>
      <c r="O686" t="n">
        <v>0</v>
      </c>
      <c r="P686" t="n">
        <v>0</v>
      </c>
      <c r="Q686" t="n">
        <v>0</v>
      </c>
      <c r="R686" s="2" t="inlineStr"/>
    </row>
    <row r="687" ht="15" customHeight="1">
      <c r="A687" t="inlineStr">
        <is>
          <t>A 30911-2025</t>
        </is>
      </c>
      <c r="B687" s="1" t="n">
        <v>45832.37547453704</v>
      </c>
      <c r="C687" s="1" t="n">
        <v>45976</v>
      </c>
      <c r="D687" t="inlineStr">
        <is>
          <t>DALARNAS LÄN</t>
        </is>
      </c>
      <c r="E687" t="inlineStr">
        <is>
          <t>LEKSAND</t>
        </is>
      </c>
      <c r="G687" t="n">
        <v>0.5</v>
      </c>
      <c r="H687" t="n">
        <v>0</v>
      </c>
      <c r="I687" t="n">
        <v>0</v>
      </c>
      <c r="J687" t="n">
        <v>0</v>
      </c>
      <c r="K687" t="n">
        <v>0</v>
      </c>
      <c r="L687" t="n">
        <v>0</v>
      </c>
      <c r="M687" t="n">
        <v>0</v>
      </c>
      <c r="N687" t="n">
        <v>0</v>
      </c>
      <c r="O687" t="n">
        <v>0</v>
      </c>
      <c r="P687" t="n">
        <v>0</v>
      </c>
      <c r="Q687" t="n">
        <v>0</v>
      </c>
      <c r="R687" s="2" t="inlineStr"/>
    </row>
    <row r="688" ht="15" customHeight="1">
      <c r="A688" t="inlineStr">
        <is>
          <t>A 31179-2025</t>
        </is>
      </c>
      <c r="B688" s="1" t="n">
        <v>45832.67648148148</v>
      </c>
      <c r="C688" s="1" t="n">
        <v>45976</v>
      </c>
      <c r="D688" t="inlineStr">
        <is>
          <t>DALARNAS LÄN</t>
        </is>
      </c>
      <c r="E688" t="inlineStr">
        <is>
          <t>LEKSAND</t>
        </is>
      </c>
      <c r="G688" t="n">
        <v>4.7</v>
      </c>
      <c r="H688" t="n">
        <v>0</v>
      </c>
      <c r="I688" t="n">
        <v>0</v>
      </c>
      <c r="J688" t="n">
        <v>0</v>
      </c>
      <c r="K688" t="n">
        <v>0</v>
      </c>
      <c r="L688" t="n">
        <v>0</v>
      </c>
      <c r="M688" t="n">
        <v>0</v>
      </c>
      <c r="N688" t="n">
        <v>0</v>
      </c>
      <c r="O688" t="n">
        <v>0</v>
      </c>
      <c r="P688" t="n">
        <v>0</v>
      </c>
      <c r="Q688" t="n">
        <v>0</v>
      </c>
      <c r="R688" s="2" t="inlineStr"/>
    </row>
    <row r="689" ht="15" customHeight="1">
      <c r="A689" t="inlineStr">
        <is>
          <t>A 31189-2025</t>
        </is>
      </c>
      <c r="B689" s="1" t="n">
        <v>45832.6799537037</v>
      </c>
      <c r="C689" s="1" t="n">
        <v>45976</v>
      </c>
      <c r="D689" t="inlineStr">
        <is>
          <t>DALARNAS LÄN</t>
        </is>
      </c>
      <c r="E689" t="inlineStr">
        <is>
          <t>LEKSAND</t>
        </is>
      </c>
      <c r="G689" t="n">
        <v>5</v>
      </c>
      <c r="H689" t="n">
        <v>0</v>
      </c>
      <c r="I689" t="n">
        <v>0</v>
      </c>
      <c r="J689" t="n">
        <v>0</v>
      </c>
      <c r="K689" t="n">
        <v>0</v>
      </c>
      <c r="L689" t="n">
        <v>0</v>
      </c>
      <c r="M689" t="n">
        <v>0</v>
      </c>
      <c r="N689" t="n">
        <v>0</v>
      </c>
      <c r="O689" t="n">
        <v>0</v>
      </c>
      <c r="P689" t="n">
        <v>0</v>
      </c>
      <c r="Q689" t="n">
        <v>0</v>
      </c>
      <c r="R689" s="2" t="inlineStr"/>
    </row>
    <row r="690" ht="15" customHeight="1">
      <c r="A690" t="inlineStr">
        <is>
          <t>A 30973-2025</t>
        </is>
      </c>
      <c r="B690" s="1" t="n">
        <v>45832.46300925926</v>
      </c>
      <c r="C690" s="1" t="n">
        <v>45976</v>
      </c>
      <c r="D690" t="inlineStr">
        <is>
          <t>DALARNAS LÄN</t>
        </is>
      </c>
      <c r="E690" t="inlineStr">
        <is>
          <t>LEKSAND</t>
        </is>
      </c>
      <c r="F690" t="inlineStr">
        <is>
          <t>Bergvik skog väst AB</t>
        </is>
      </c>
      <c r="G690" t="n">
        <v>3.1</v>
      </c>
      <c r="H690" t="n">
        <v>0</v>
      </c>
      <c r="I690" t="n">
        <v>0</v>
      </c>
      <c r="J690" t="n">
        <v>0</v>
      </c>
      <c r="K690" t="n">
        <v>0</v>
      </c>
      <c r="L690" t="n">
        <v>0</v>
      </c>
      <c r="M690" t="n">
        <v>0</v>
      </c>
      <c r="N690" t="n">
        <v>0</v>
      </c>
      <c r="O690" t="n">
        <v>0</v>
      </c>
      <c r="P690" t="n">
        <v>0</v>
      </c>
      <c r="Q690" t="n">
        <v>0</v>
      </c>
      <c r="R690" s="2" t="inlineStr"/>
    </row>
    <row r="691" ht="15" customHeight="1">
      <c r="A691" t="inlineStr">
        <is>
          <t>A 43220-2024</t>
        </is>
      </c>
      <c r="B691" s="1" t="n">
        <v>45567.86112268519</v>
      </c>
      <c r="C691" s="1" t="n">
        <v>45976</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31493-2025</t>
        </is>
      </c>
      <c r="B692" s="1" t="n">
        <v>45833</v>
      </c>
      <c r="C692" s="1" t="n">
        <v>45976</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31945-2025</t>
        </is>
      </c>
      <c r="B693" s="1" t="n">
        <v>45835</v>
      </c>
      <c r="C693" s="1" t="n">
        <v>45976</v>
      </c>
      <c r="D693" t="inlineStr">
        <is>
          <t>DALARNAS LÄN</t>
        </is>
      </c>
      <c r="E693" t="inlineStr">
        <is>
          <t>LEKSAND</t>
        </is>
      </c>
      <c r="G693" t="n">
        <v>0.8</v>
      </c>
      <c r="H693" t="n">
        <v>0</v>
      </c>
      <c r="I693" t="n">
        <v>0</v>
      </c>
      <c r="J693" t="n">
        <v>0</v>
      </c>
      <c r="K693" t="n">
        <v>0</v>
      </c>
      <c r="L693" t="n">
        <v>0</v>
      </c>
      <c r="M693" t="n">
        <v>0</v>
      </c>
      <c r="N693" t="n">
        <v>0</v>
      </c>
      <c r="O693" t="n">
        <v>0</v>
      </c>
      <c r="P693" t="n">
        <v>0</v>
      </c>
      <c r="Q693" t="n">
        <v>0</v>
      </c>
      <c r="R693" s="2" t="inlineStr"/>
    </row>
    <row r="694" ht="15" customHeight="1">
      <c r="A694" t="inlineStr">
        <is>
          <t>A 32104-2025</t>
        </is>
      </c>
      <c r="B694" s="1" t="n">
        <v>45835</v>
      </c>
      <c r="C694" s="1" t="n">
        <v>45976</v>
      </c>
      <c r="D694" t="inlineStr">
        <is>
          <t>DALARNAS LÄN</t>
        </is>
      </c>
      <c r="E694" t="inlineStr">
        <is>
          <t>LEKSAND</t>
        </is>
      </c>
      <c r="G694" t="n">
        <v>3.1</v>
      </c>
      <c r="H694" t="n">
        <v>0</v>
      </c>
      <c r="I694" t="n">
        <v>0</v>
      </c>
      <c r="J694" t="n">
        <v>0</v>
      </c>
      <c r="K694" t="n">
        <v>0</v>
      </c>
      <c r="L694" t="n">
        <v>0</v>
      </c>
      <c r="M694" t="n">
        <v>0</v>
      </c>
      <c r="N694" t="n">
        <v>0</v>
      </c>
      <c r="O694" t="n">
        <v>0</v>
      </c>
      <c r="P694" t="n">
        <v>0</v>
      </c>
      <c r="Q694" t="n">
        <v>0</v>
      </c>
      <c r="R694" s="2" t="inlineStr"/>
    </row>
    <row r="695" ht="15" customHeight="1">
      <c r="A695" t="inlineStr">
        <is>
          <t>A 49397-2024</t>
        </is>
      </c>
      <c r="B695" s="1" t="n">
        <v>45595</v>
      </c>
      <c r="C695" s="1" t="n">
        <v>45976</v>
      </c>
      <c r="D695" t="inlineStr">
        <is>
          <t>DALARNAS LÄN</t>
        </is>
      </c>
      <c r="E695" t="inlineStr">
        <is>
          <t>LEKSAND</t>
        </is>
      </c>
      <c r="G695" t="n">
        <v>4.3</v>
      </c>
      <c r="H695" t="n">
        <v>0</v>
      </c>
      <c r="I695" t="n">
        <v>0</v>
      </c>
      <c r="J695" t="n">
        <v>0</v>
      </c>
      <c r="K695" t="n">
        <v>0</v>
      </c>
      <c r="L695" t="n">
        <v>0</v>
      </c>
      <c r="M695" t="n">
        <v>0</v>
      </c>
      <c r="N695" t="n">
        <v>0</v>
      </c>
      <c r="O695" t="n">
        <v>0</v>
      </c>
      <c r="P695" t="n">
        <v>0</v>
      </c>
      <c r="Q695" t="n">
        <v>0</v>
      </c>
      <c r="R695" s="2" t="inlineStr"/>
    </row>
    <row r="696" ht="15" customHeight="1">
      <c r="A696" t="inlineStr">
        <is>
          <t>A 31787-2025</t>
        </is>
      </c>
      <c r="B696" s="1" t="n">
        <v>45834</v>
      </c>
      <c r="C696" s="1" t="n">
        <v>45976</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57907-2024</t>
        </is>
      </c>
      <c r="B697" s="1" t="n">
        <v>45630</v>
      </c>
      <c r="C697" s="1" t="n">
        <v>45976</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32301-2025</t>
        </is>
      </c>
      <c r="B698" s="1" t="n">
        <v>45835</v>
      </c>
      <c r="C698" s="1" t="n">
        <v>45976</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32653-2025</t>
        </is>
      </c>
      <c r="B699" s="1" t="n">
        <v>45838</v>
      </c>
      <c r="C699" s="1" t="n">
        <v>45976</v>
      </c>
      <c r="D699" t="inlineStr">
        <is>
          <t>DALARNAS LÄN</t>
        </is>
      </c>
      <c r="E699" t="inlineStr">
        <is>
          <t>LEKSAND</t>
        </is>
      </c>
      <c r="G699" t="n">
        <v>5.6</v>
      </c>
      <c r="H699" t="n">
        <v>0</v>
      </c>
      <c r="I699" t="n">
        <v>0</v>
      </c>
      <c r="J699" t="n">
        <v>0</v>
      </c>
      <c r="K699" t="n">
        <v>0</v>
      </c>
      <c r="L699" t="n">
        <v>0</v>
      </c>
      <c r="M699" t="n">
        <v>0</v>
      </c>
      <c r="N699" t="n">
        <v>0</v>
      </c>
      <c r="O699" t="n">
        <v>0</v>
      </c>
      <c r="P699" t="n">
        <v>0</v>
      </c>
      <c r="Q699" t="n">
        <v>0</v>
      </c>
      <c r="R699" s="2" t="inlineStr"/>
    </row>
    <row r="700" ht="15" customHeight="1">
      <c r="A700" t="inlineStr">
        <is>
          <t>A 32855-2025</t>
        </is>
      </c>
      <c r="B700" s="1" t="n">
        <v>45839.57643518518</v>
      </c>
      <c r="C700" s="1" t="n">
        <v>45976</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32661-2025</t>
        </is>
      </c>
      <c r="B701" s="1" t="n">
        <v>45838.67953703704</v>
      </c>
      <c r="C701" s="1" t="n">
        <v>45976</v>
      </c>
      <c r="D701" t="inlineStr">
        <is>
          <t>DALARNAS LÄN</t>
        </is>
      </c>
      <c r="E701" t="inlineStr">
        <is>
          <t>LEKSAND</t>
        </is>
      </c>
      <c r="G701" t="n">
        <v>0.8</v>
      </c>
      <c r="H701" t="n">
        <v>0</v>
      </c>
      <c r="I701" t="n">
        <v>0</v>
      </c>
      <c r="J701" t="n">
        <v>0</v>
      </c>
      <c r="K701" t="n">
        <v>0</v>
      </c>
      <c r="L701" t="n">
        <v>0</v>
      </c>
      <c r="M701" t="n">
        <v>0</v>
      </c>
      <c r="N701" t="n">
        <v>0</v>
      </c>
      <c r="O701" t="n">
        <v>0</v>
      </c>
      <c r="P701" t="n">
        <v>0</v>
      </c>
      <c r="Q701" t="n">
        <v>0</v>
      </c>
      <c r="R701" s="2" t="inlineStr"/>
    </row>
    <row r="702" ht="15" customHeight="1">
      <c r="A702" t="inlineStr">
        <is>
          <t>A 32593-2025</t>
        </is>
      </c>
      <c r="B702" s="1" t="n">
        <v>45838</v>
      </c>
      <c r="C702" s="1" t="n">
        <v>45976</v>
      </c>
      <c r="D702" t="inlineStr">
        <is>
          <t>DALARNAS LÄN</t>
        </is>
      </c>
      <c r="E702" t="inlineStr">
        <is>
          <t>LEKSAND</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32726-2025</t>
        </is>
      </c>
      <c r="B703" s="1" t="n">
        <v>45839.3969212963</v>
      </c>
      <c r="C703" s="1" t="n">
        <v>45976</v>
      </c>
      <c r="D703" t="inlineStr">
        <is>
          <t>DALARNAS LÄN</t>
        </is>
      </c>
      <c r="E703" t="inlineStr">
        <is>
          <t>LEKSAND</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33160-2025</t>
        </is>
      </c>
      <c r="B704" s="1" t="n">
        <v>45840</v>
      </c>
      <c r="C704" s="1" t="n">
        <v>45976</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9105-2024</t>
        </is>
      </c>
      <c r="B705" s="1" t="n">
        <v>45357</v>
      </c>
      <c r="C705" s="1" t="n">
        <v>45976</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33804-2025</t>
        </is>
      </c>
      <c r="B706" s="1" t="n">
        <v>45842</v>
      </c>
      <c r="C706" s="1" t="n">
        <v>45976</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24005-2024</t>
        </is>
      </c>
      <c r="B707" s="1" t="n">
        <v>45456.39239583333</v>
      </c>
      <c r="C707" s="1" t="n">
        <v>45976</v>
      </c>
      <c r="D707" t="inlineStr">
        <is>
          <t>DALARNAS LÄN</t>
        </is>
      </c>
      <c r="E707" t="inlineStr">
        <is>
          <t>LEKSAND</t>
        </is>
      </c>
      <c r="F707" t="inlineStr">
        <is>
          <t>Bergvik skog väst AB</t>
        </is>
      </c>
      <c r="G707" t="n">
        <v>3</v>
      </c>
      <c r="H707" t="n">
        <v>0</v>
      </c>
      <c r="I707" t="n">
        <v>0</v>
      </c>
      <c r="J707" t="n">
        <v>0</v>
      </c>
      <c r="K707" t="n">
        <v>0</v>
      </c>
      <c r="L707" t="n">
        <v>0</v>
      </c>
      <c r="M707" t="n">
        <v>0</v>
      </c>
      <c r="N707" t="n">
        <v>0</v>
      </c>
      <c r="O707" t="n">
        <v>0</v>
      </c>
      <c r="P707" t="n">
        <v>0</v>
      </c>
      <c r="Q707" t="n">
        <v>0</v>
      </c>
      <c r="R707" s="2" t="inlineStr"/>
    </row>
    <row r="708" ht="15" customHeight="1">
      <c r="A708" t="inlineStr">
        <is>
          <t>A 61225-2023</t>
        </is>
      </c>
      <c r="B708" s="1" t="n">
        <v>45264</v>
      </c>
      <c r="C708" s="1" t="n">
        <v>45976</v>
      </c>
      <c r="D708" t="inlineStr">
        <is>
          <t>DALARNAS LÄN</t>
        </is>
      </c>
      <c r="E708" t="inlineStr">
        <is>
          <t>LEKSAND</t>
        </is>
      </c>
      <c r="G708" t="n">
        <v>7</v>
      </c>
      <c r="H708" t="n">
        <v>0</v>
      </c>
      <c r="I708" t="n">
        <v>0</v>
      </c>
      <c r="J708" t="n">
        <v>0</v>
      </c>
      <c r="K708" t="n">
        <v>0</v>
      </c>
      <c r="L708" t="n">
        <v>0</v>
      </c>
      <c r="M708" t="n">
        <v>0</v>
      </c>
      <c r="N708" t="n">
        <v>0</v>
      </c>
      <c r="O708" t="n">
        <v>0</v>
      </c>
      <c r="P708" t="n">
        <v>0</v>
      </c>
      <c r="Q708" t="n">
        <v>0</v>
      </c>
      <c r="R708" s="2" t="inlineStr"/>
    </row>
    <row r="709" ht="15" customHeight="1">
      <c r="A709" t="inlineStr">
        <is>
          <t>A 15968-2025</t>
        </is>
      </c>
      <c r="B709" s="1" t="n">
        <v>45749.54818287037</v>
      </c>
      <c r="C709" s="1" t="n">
        <v>45976</v>
      </c>
      <c r="D709" t="inlineStr">
        <is>
          <t>DALARNAS LÄN</t>
        </is>
      </c>
      <c r="E709" t="inlineStr">
        <is>
          <t>LEKSAND</t>
        </is>
      </c>
      <c r="G709" t="n">
        <v>3.2</v>
      </c>
      <c r="H709" t="n">
        <v>0</v>
      </c>
      <c r="I709" t="n">
        <v>0</v>
      </c>
      <c r="J709" t="n">
        <v>0</v>
      </c>
      <c r="K709" t="n">
        <v>0</v>
      </c>
      <c r="L709" t="n">
        <v>0</v>
      </c>
      <c r="M709" t="n">
        <v>0</v>
      </c>
      <c r="N709" t="n">
        <v>0</v>
      </c>
      <c r="O709" t="n">
        <v>0</v>
      </c>
      <c r="P709" t="n">
        <v>0</v>
      </c>
      <c r="Q709" t="n">
        <v>0</v>
      </c>
      <c r="R709" s="2" t="inlineStr"/>
    </row>
    <row r="710" ht="15" customHeight="1">
      <c r="A710" t="inlineStr">
        <is>
          <t>A 30196-2023</t>
        </is>
      </c>
      <c r="B710" s="1" t="n">
        <v>45110</v>
      </c>
      <c r="C710" s="1" t="n">
        <v>45976</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10833-2023</t>
        </is>
      </c>
      <c r="B711" s="1" t="n">
        <v>44990</v>
      </c>
      <c r="C711" s="1" t="n">
        <v>45976</v>
      </c>
      <c r="D711" t="inlineStr">
        <is>
          <t>DALARNAS LÄN</t>
        </is>
      </c>
      <c r="E711" t="inlineStr">
        <is>
          <t>LEKSAND</t>
        </is>
      </c>
      <c r="G711" t="n">
        <v>1.7</v>
      </c>
      <c r="H711" t="n">
        <v>0</v>
      </c>
      <c r="I711" t="n">
        <v>0</v>
      </c>
      <c r="J711" t="n">
        <v>0</v>
      </c>
      <c r="K711" t="n">
        <v>0</v>
      </c>
      <c r="L711" t="n">
        <v>0</v>
      </c>
      <c r="M711" t="n">
        <v>0</v>
      </c>
      <c r="N711" t="n">
        <v>0</v>
      </c>
      <c r="O711" t="n">
        <v>0</v>
      </c>
      <c r="P711" t="n">
        <v>0</v>
      </c>
      <c r="Q711" t="n">
        <v>0</v>
      </c>
      <c r="R711" s="2" t="inlineStr"/>
    </row>
    <row r="712" ht="15" customHeight="1">
      <c r="A712" t="inlineStr">
        <is>
          <t>A 47121-2021</t>
        </is>
      </c>
      <c r="B712" s="1" t="n">
        <v>44446</v>
      </c>
      <c r="C712" s="1" t="n">
        <v>45976</v>
      </c>
      <c r="D712" t="inlineStr">
        <is>
          <t>DALARNAS LÄN</t>
        </is>
      </c>
      <c r="E712" t="inlineStr">
        <is>
          <t>LEKSAND</t>
        </is>
      </c>
      <c r="G712" t="n">
        <v>3.5</v>
      </c>
      <c r="H712" t="n">
        <v>0</v>
      </c>
      <c r="I712" t="n">
        <v>0</v>
      </c>
      <c r="J712" t="n">
        <v>0</v>
      </c>
      <c r="K712" t="n">
        <v>0</v>
      </c>
      <c r="L712" t="n">
        <v>0</v>
      </c>
      <c r="M712" t="n">
        <v>0</v>
      </c>
      <c r="N712" t="n">
        <v>0</v>
      </c>
      <c r="O712" t="n">
        <v>0</v>
      </c>
      <c r="P712" t="n">
        <v>0</v>
      </c>
      <c r="Q712" t="n">
        <v>0</v>
      </c>
      <c r="R712" s="2" t="inlineStr"/>
    </row>
    <row r="713" ht="15" customHeight="1">
      <c r="A713" t="inlineStr">
        <is>
          <t>A 36444-2023</t>
        </is>
      </c>
      <c r="B713" s="1" t="n">
        <v>45152.63138888889</v>
      </c>
      <c r="C713" s="1" t="n">
        <v>45976</v>
      </c>
      <c r="D713" t="inlineStr">
        <is>
          <t>DALARNAS LÄN</t>
        </is>
      </c>
      <c r="E713" t="inlineStr">
        <is>
          <t>LEKSAND</t>
        </is>
      </c>
      <c r="G713" t="n">
        <v>0.5</v>
      </c>
      <c r="H713" t="n">
        <v>0</v>
      </c>
      <c r="I713" t="n">
        <v>0</v>
      </c>
      <c r="J713" t="n">
        <v>0</v>
      </c>
      <c r="K713" t="n">
        <v>0</v>
      </c>
      <c r="L713" t="n">
        <v>0</v>
      </c>
      <c r="M713" t="n">
        <v>0</v>
      </c>
      <c r="N713" t="n">
        <v>0</v>
      </c>
      <c r="O713" t="n">
        <v>0</v>
      </c>
      <c r="P713" t="n">
        <v>0</v>
      </c>
      <c r="Q713" t="n">
        <v>0</v>
      </c>
      <c r="R713" s="2" t="inlineStr"/>
    </row>
    <row r="714" ht="15" customHeight="1">
      <c r="A714" t="inlineStr">
        <is>
          <t>A 21402-2023</t>
        </is>
      </c>
      <c r="B714" s="1" t="n">
        <v>45061</v>
      </c>
      <c r="C714" s="1" t="n">
        <v>45976</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34537-2025</t>
        </is>
      </c>
      <c r="B715" s="1" t="n">
        <v>45847</v>
      </c>
      <c r="C715" s="1" t="n">
        <v>45976</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31391-2024</t>
        </is>
      </c>
      <c r="B716" s="1" t="n">
        <v>45505.46616898148</v>
      </c>
      <c r="C716" s="1" t="n">
        <v>45976</v>
      </c>
      <c r="D716" t="inlineStr">
        <is>
          <t>DALARNAS LÄN</t>
        </is>
      </c>
      <c r="E716" t="inlineStr">
        <is>
          <t>LEKSAND</t>
        </is>
      </c>
      <c r="F716" t="inlineStr">
        <is>
          <t>Bergvik skog väst AB</t>
        </is>
      </c>
      <c r="G716" t="n">
        <v>2.7</v>
      </c>
      <c r="H716" t="n">
        <v>0</v>
      </c>
      <c r="I716" t="n">
        <v>0</v>
      </c>
      <c r="J716" t="n">
        <v>0</v>
      </c>
      <c r="K716" t="n">
        <v>0</v>
      </c>
      <c r="L716" t="n">
        <v>0</v>
      </c>
      <c r="M716" t="n">
        <v>0</v>
      </c>
      <c r="N716" t="n">
        <v>0</v>
      </c>
      <c r="O716" t="n">
        <v>0</v>
      </c>
      <c r="P716" t="n">
        <v>0</v>
      </c>
      <c r="Q716" t="n">
        <v>0</v>
      </c>
      <c r="R716" s="2" t="inlineStr"/>
    </row>
    <row r="717" ht="15" customHeight="1">
      <c r="A717" t="inlineStr">
        <is>
          <t>A 167-2023</t>
        </is>
      </c>
      <c r="B717" s="1" t="n">
        <v>44918</v>
      </c>
      <c r="C717" s="1" t="n">
        <v>45976</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34965-2025</t>
        </is>
      </c>
      <c r="B718" s="1" t="n">
        <v>45849</v>
      </c>
      <c r="C718" s="1" t="n">
        <v>45976</v>
      </c>
      <c r="D718" t="inlineStr">
        <is>
          <t>DALARNAS LÄN</t>
        </is>
      </c>
      <c r="E718" t="inlineStr">
        <is>
          <t>LEKSAND</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41896-2024</t>
        </is>
      </c>
      <c r="B719" s="1" t="n">
        <v>45561.51310185185</v>
      </c>
      <c r="C719" s="1" t="n">
        <v>45976</v>
      </c>
      <c r="D719" t="inlineStr">
        <is>
          <t>DALARNAS LÄN</t>
        </is>
      </c>
      <c r="E719" t="inlineStr">
        <is>
          <t>LEKSAND</t>
        </is>
      </c>
      <c r="F719" t="inlineStr">
        <is>
          <t>Bergvik skog väst AB</t>
        </is>
      </c>
      <c r="G719" t="n">
        <v>2.8</v>
      </c>
      <c r="H719" t="n">
        <v>0</v>
      </c>
      <c r="I719" t="n">
        <v>0</v>
      </c>
      <c r="J719" t="n">
        <v>0</v>
      </c>
      <c r="K719" t="n">
        <v>0</v>
      </c>
      <c r="L719" t="n">
        <v>0</v>
      </c>
      <c r="M719" t="n">
        <v>0</v>
      </c>
      <c r="N719" t="n">
        <v>0</v>
      </c>
      <c r="O719" t="n">
        <v>0</v>
      </c>
      <c r="P719" t="n">
        <v>0</v>
      </c>
      <c r="Q719" t="n">
        <v>0</v>
      </c>
      <c r="R719" s="2" t="inlineStr"/>
    </row>
    <row r="720" ht="15" customHeight="1">
      <c r="A720" t="inlineStr">
        <is>
          <t>A 34789-2025</t>
        </is>
      </c>
      <c r="B720" s="1" t="n">
        <v>45848</v>
      </c>
      <c r="C720" s="1" t="n">
        <v>45976</v>
      </c>
      <c r="D720" t="inlineStr">
        <is>
          <t>DALARNAS LÄN</t>
        </is>
      </c>
      <c r="E720" t="inlineStr">
        <is>
          <t>LEKSAND</t>
        </is>
      </c>
      <c r="F720" t="inlineStr">
        <is>
          <t>Bergvik skog väst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31850-2024</t>
        </is>
      </c>
      <c r="B721" s="1" t="n">
        <v>45509.67334490741</v>
      </c>
      <c r="C721" s="1" t="n">
        <v>45976</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34966-2025</t>
        </is>
      </c>
      <c r="B722" s="1" t="n">
        <v>45849</v>
      </c>
      <c r="C722" s="1" t="n">
        <v>45976</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27244-2023</t>
        </is>
      </c>
      <c r="B723" s="1" t="n">
        <v>45096</v>
      </c>
      <c r="C723" s="1" t="n">
        <v>45976</v>
      </c>
      <c r="D723" t="inlineStr">
        <is>
          <t>DALARNAS LÄN</t>
        </is>
      </c>
      <c r="E723" t="inlineStr">
        <is>
          <t>LEKSAND</t>
        </is>
      </c>
      <c r="G723" t="n">
        <v>5</v>
      </c>
      <c r="H723" t="n">
        <v>0</v>
      </c>
      <c r="I723" t="n">
        <v>0</v>
      </c>
      <c r="J723" t="n">
        <v>0</v>
      </c>
      <c r="K723" t="n">
        <v>0</v>
      </c>
      <c r="L723" t="n">
        <v>0</v>
      </c>
      <c r="M723" t="n">
        <v>0</v>
      </c>
      <c r="N723" t="n">
        <v>0</v>
      </c>
      <c r="O723" t="n">
        <v>0</v>
      </c>
      <c r="P723" t="n">
        <v>0</v>
      </c>
      <c r="Q723" t="n">
        <v>0</v>
      </c>
      <c r="R723" s="2" t="inlineStr"/>
    </row>
    <row r="724" ht="15" customHeight="1">
      <c r="A724" t="inlineStr">
        <is>
          <t>A 35094-2025</t>
        </is>
      </c>
      <c r="B724" s="1" t="n">
        <v>45852</v>
      </c>
      <c r="C724" s="1" t="n">
        <v>45976</v>
      </c>
      <c r="D724" t="inlineStr">
        <is>
          <t>DALARNAS LÄN</t>
        </is>
      </c>
      <c r="E724" t="inlineStr">
        <is>
          <t>LEKSAND</t>
        </is>
      </c>
      <c r="G724" t="n">
        <v>1.3</v>
      </c>
      <c r="H724" t="n">
        <v>0</v>
      </c>
      <c r="I724" t="n">
        <v>0</v>
      </c>
      <c r="J724" t="n">
        <v>0</v>
      </c>
      <c r="K724" t="n">
        <v>0</v>
      </c>
      <c r="L724" t="n">
        <v>0</v>
      </c>
      <c r="M724" t="n">
        <v>0</v>
      </c>
      <c r="N724" t="n">
        <v>0</v>
      </c>
      <c r="O724" t="n">
        <v>0</v>
      </c>
      <c r="P724" t="n">
        <v>0</v>
      </c>
      <c r="Q724" t="n">
        <v>0</v>
      </c>
      <c r="R724" s="2" t="inlineStr"/>
    </row>
    <row r="725" ht="15" customHeight="1">
      <c r="A725" t="inlineStr">
        <is>
          <t>A 3183-2025</t>
        </is>
      </c>
      <c r="B725" s="1" t="n">
        <v>45679.40298611111</v>
      </c>
      <c r="C725" s="1" t="n">
        <v>45976</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16592-2023</t>
        </is>
      </c>
      <c r="B726" s="1" t="n">
        <v>45030</v>
      </c>
      <c r="C726" s="1" t="n">
        <v>45976</v>
      </c>
      <c r="D726" t="inlineStr">
        <is>
          <t>DALARNAS LÄN</t>
        </is>
      </c>
      <c r="E726" t="inlineStr">
        <is>
          <t>LEKSAND</t>
        </is>
      </c>
      <c r="G726" t="n">
        <v>11.5</v>
      </c>
      <c r="H726" t="n">
        <v>0</v>
      </c>
      <c r="I726" t="n">
        <v>0</v>
      </c>
      <c r="J726" t="n">
        <v>0</v>
      </c>
      <c r="K726" t="n">
        <v>0</v>
      </c>
      <c r="L726" t="n">
        <v>0</v>
      </c>
      <c r="M726" t="n">
        <v>0</v>
      </c>
      <c r="N726" t="n">
        <v>0</v>
      </c>
      <c r="O726" t="n">
        <v>0</v>
      </c>
      <c r="P726" t="n">
        <v>0</v>
      </c>
      <c r="Q726" t="n">
        <v>0</v>
      </c>
      <c r="R726" s="2" t="inlineStr"/>
    </row>
    <row r="727" ht="15" customHeight="1">
      <c r="A727" t="inlineStr">
        <is>
          <t>A 12290-2024</t>
        </is>
      </c>
      <c r="B727" s="1" t="n">
        <v>45378.57877314815</v>
      </c>
      <c r="C727" s="1" t="n">
        <v>45976</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13705-2021</t>
        </is>
      </c>
      <c r="B728" s="1" t="n">
        <v>44274</v>
      </c>
      <c r="C728" s="1" t="n">
        <v>45976</v>
      </c>
      <c r="D728" t="inlineStr">
        <is>
          <t>DALARNAS LÄN</t>
        </is>
      </c>
      <c r="E728" t="inlineStr">
        <is>
          <t>LEKSAND</t>
        </is>
      </c>
      <c r="G728" t="n">
        <v>3.8</v>
      </c>
      <c r="H728" t="n">
        <v>0</v>
      </c>
      <c r="I728" t="n">
        <v>0</v>
      </c>
      <c r="J728" t="n">
        <v>0</v>
      </c>
      <c r="K728" t="n">
        <v>0</v>
      </c>
      <c r="L728" t="n">
        <v>0</v>
      </c>
      <c r="M728" t="n">
        <v>0</v>
      </c>
      <c r="N728" t="n">
        <v>0</v>
      </c>
      <c r="O728" t="n">
        <v>0</v>
      </c>
      <c r="P728" t="n">
        <v>0</v>
      </c>
      <c r="Q728" t="n">
        <v>0</v>
      </c>
      <c r="R728" s="2" t="inlineStr"/>
    </row>
    <row r="729" ht="15" customHeight="1">
      <c r="A729" t="inlineStr">
        <is>
          <t>A 17606-2024</t>
        </is>
      </c>
      <c r="B729" s="1" t="n">
        <v>45415</v>
      </c>
      <c r="C729" s="1" t="n">
        <v>45976</v>
      </c>
      <c r="D729" t="inlineStr">
        <is>
          <t>DALARNAS LÄN</t>
        </is>
      </c>
      <c r="E729" t="inlineStr">
        <is>
          <t>LEKSAND</t>
        </is>
      </c>
      <c r="G729" t="n">
        <v>0.6</v>
      </c>
      <c r="H729" t="n">
        <v>0</v>
      </c>
      <c r="I729" t="n">
        <v>0</v>
      </c>
      <c r="J729" t="n">
        <v>0</v>
      </c>
      <c r="K729" t="n">
        <v>0</v>
      </c>
      <c r="L729" t="n">
        <v>0</v>
      </c>
      <c r="M729" t="n">
        <v>0</v>
      </c>
      <c r="N729" t="n">
        <v>0</v>
      </c>
      <c r="O729" t="n">
        <v>0</v>
      </c>
      <c r="P729" t="n">
        <v>0</v>
      </c>
      <c r="Q729" t="n">
        <v>0</v>
      </c>
      <c r="R729" s="2" t="inlineStr"/>
    </row>
    <row r="730" ht="15" customHeight="1">
      <c r="A730" t="inlineStr">
        <is>
          <t>A 39819-2024</t>
        </is>
      </c>
      <c r="B730" s="1" t="n">
        <v>45553.38774305556</v>
      </c>
      <c r="C730" s="1" t="n">
        <v>45976</v>
      </c>
      <c r="D730" t="inlineStr">
        <is>
          <t>DALARNAS LÄN</t>
        </is>
      </c>
      <c r="E730" t="inlineStr">
        <is>
          <t>LEKSAND</t>
        </is>
      </c>
      <c r="F730" t="inlineStr">
        <is>
          <t>Bergvik skog väst AB</t>
        </is>
      </c>
      <c r="G730" t="n">
        <v>3.7</v>
      </c>
      <c r="H730" t="n">
        <v>0</v>
      </c>
      <c r="I730" t="n">
        <v>0</v>
      </c>
      <c r="J730" t="n">
        <v>0</v>
      </c>
      <c r="K730" t="n">
        <v>0</v>
      </c>
      <c r="L730" t="n">
        <v>0</v>
      </c>
      <c r="M730" t="n">
        <v>0</v>
      </c>
      <c r="N730" t="n">
        <v>0</v>
      </c>
      <c r="O730" t="n">
        <v>0</v>
      </c>
      <c r="P730" t="n">
        <v>0</v>
      </c>
      <c r="Q730" t="n">
        <v>0</v>
      </c>
      <c r="R730" s="2" t="inlineStr"/>
    </row>
    <row r="731" ht="15" customHeight="1">
      <c r="A731" t="inlineStr">
        <is>
          <t>A 35866-2025</t>
        </is>
      </c>
      <c r="B731" s="1" t="n">
        <v>45861</v>
      </c>
      <c r="C731" s="1" t="n">
        <v>45976</v>
      </c>
      <c r="D731" t="inlineStr">
        <is>
          <t>DALARNAS LÄN</t>
        </is>
      </c>
      <c r="E731" t="inlineStr">
        <is>
          <t>LEKSAND</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35746-2025</t>
        </is>
      </c>
      <c r="B732" s="1" t="n">
        <v>45860</v>
      </c>
      <c r="C732" s="1" t="n">
        <v>45976</v>
      </c>
      <c r="D732" t="inlineStr">
        <is>
          <t>DALARNAS LÄN</t>
        </is>
      </c>
      <c r="E732" t="inlineStr">
        <is>
          <t>LEKSAND</t>
        </is>
      </c>
      <c r="G732" t="n">
        <v>1.9</v>
      </c>
      <c r="H732" t="n">
        <v>0</v>
      </c>
      <c r="I732" t="n">
        <v>0</v>
      </c>
      <c r="J732" t="n">
        <v>0</v>
      </c>
      <c r="K732" t="n">
        <v>0</v>
      </c>
      <c r="L732" t="n">
        <v>0</v>
      </c>
      <c r="M732" t="n">
        <v>0</v>
      </c>
      <c r="N732" t="n">
        <v>0</v>
      </c>
      <c r="O732" t="n">
        <v>0</v>
      </c>
      <c r="P732" t="n">
        <v>0</v>
      </c>
      <c r="Q732" t="n">
        <v>0</v>
      </c>
      <c r="R732" s="2" t="inlineStr"/>
    </row>
    <row r="733" ht="15" customHeight="1">
      <c r="A733" t="inlineStr">
        <is>
          <t>A 41934-2025</t>
        </is>
      </c>
      <c r="B733" s="1" t="n">
        <v>45903.43556712963</v>
      </c>
      <c r="C733" s="1" t="n">
        <v>45976</v>
      </c>
      <c r="D733" t="inlineStr">
        <is>
          <t>DALARNAS LÄN</t>
        </is>
      </c>
      <c r="E733" t="inlineStr">
        <is>
          <t>LEKSAND</t>
        </is>
      </c>
      <c r="F733" t="inlineStr">
        <is>
          <t>Bergvik skog väst AB</t>
        </is>
      </c>
      <c r="G733" t="n">
        <v>3</v>
      </c>
      <c r="H733" t="n">
        <v>0</v>
      </c>
      <c r="I733" t="n">
        <v>0</v>
      </c>
      <c r="J733" t="n">
        <v>0</v>
      </c>
      <c r="K733" t="n">
        <v>0</v>
      </c>
      <c r="L733" t="n">
        <v>0</v>
      </c>
      <c r="M733" t="n">
        <v>0</v>
      </c>
      <c r="N733" t="n">
        <v>0</v>
      </c>
      <c r="O733" t="n">
        <v>0</v>
      </c>
      <c r="P733" t="n">
        <v>0</v>
      </c>
      <c r="Q733" t="n">
        <v>0</v>
      </c>
      <c r="R733" s="2" t="inlineStr"/>
    </row>
    <row r="734" ht="15" customHeight="1">
      <c r="A734" t="inlineStr">
        <is>
          <t>A 36450-2023</t>
        </is>
      </c>
      <c r="B734" s="1" t="n">
        <v>45152.64842592592</v>
      </c>
      <c r="C734" s="1" t="n">
        <v>45976</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36020-2025</t>
        </is>
      </c>
      <c r="B735" s="1" t="n">
        <v>45863</v>
      </c>
      <c r="C735" s="1" t="n">
        <v>45976</v>
      </c>
      <c r="D735" t="inlineStr">
        <is>
          <t>DALARNAS LÄN</t>
        </is>
      </c>
      <c r="E735" t="inlineStr">
        <is>
          <t>LEKSAND</t>
        </is>
      </c>
      <c r="F735" t="inlineStr">
        <is>
          <t>Bergvik skog väst AB</t>
        </is>
      </c>
      <c r="G735" t="n">
        <v>2.8</v>
      </c>
      <c r="H735" t="n">
        <v>0</v>
      </c>
      <c r="I735" t="n">
        <v>0</v>
      </c>
      <c r="J735" t="n">
        <v>0</v>
      </c>
      <c r="K735" t="n">
        <v>0</v>
      </c>
      <c r="L735" t="n">
        <v>0</v>
      </c>
      <c r="M735" t="n">
        <v>0</v>
      </c>
      <c r="N735" t="n">
        <v>0</v>
      </c>
      <c r="O735" t="n">
        <v>0</v>
      </c>
      <c r="P735" t="n">
        <v>0</v>
      </c>
      <c r="Q735" t="n">
        <v>0</v>
      </c>
      <c r="R735" s="2" t="inlineStr"/>
    </row>
    <row r="736" ht="15" customHeight="1">
      <c r="A736" t="inlineStr">
        <is>
          <t>A 19559-2023</t>
        </is>
      </c>
      <c r="B736" s="1" t="n">
        <v>45050</v>
      </c>
      <c r="C736" s="1" t="n">
        <v>45976</v>
      </c>
      <c r="D736" t="inlineStr">
        <is>
          <t>DALARNAS LÄN</t>
        </is>
      </c>
      <c r="E736" t="inlineStr">
        <is>
          <t>LEKSAND</t>
        </is>
      </c>
      <c r="G736" t="n">
        <v>0.1</v>
      </c>
      <c r="H736" t="n">
        <v>0</v>
      </c>
      <c r="I736" t="n">
        <v>0</v>
      </c>
      <c r="J736" t="n">
        <v>0</v>
      </c>
      <c r="K736" t="n">
        <v>0</v>
      </c>
      <c r="L736" t="n">
        <v>0</v>
      </c>
      <c r="M736" t="n">
        <v>0</v>
      </c>
      <c r="N736" t="n">
        <v>0</v>
      </c>
      <c r="O736" t="n">
        <v>0</v>
      </c>
      <c r="P736" t="n">
        <v>0</v>
      </c>
      <c r="Q736" t="n">
        <v>0</v>
      </c>
      <c r="R736" s="2" t="inlineStr"/>
    </row>
    <row r="737" ht="15" customHeight="1">
      <c r="A737" t="inlineStr">
        <is>
          <t>A 36017-2025</t>
        </is>
      </c>
      <c r="B737" s="1" t="n">
        <v>45863</v>
      </c>
      <c r="C737" s="1" t="n">
        <v>45976</v>
      </c>
      <c r="D737" t="inlineStr">
        <is>
          <t>DALARNAS LÄN</t>
        </is>
      </c>
      <c r="E737" t="inlineStr">
        <is>
          <t>LEKSAND</t>
        </is>
      </c>
      <c r="F737" t="inlineStr">
        <is>
          <t>Bergvik skog väst AB</t>
        </is>
      </c>
      <c r="G737" t="n">
        <v>17.9</v>
      </c>
      <c r="H737" t="n">
        <v>0</v>
      </c>
      <c r="I737" t="n">
        <v>0</v>
      </c>
      <c r="J737" t="n">
        <v>0</v>
      </c>
      <c r="K737" t="n">
        <v>0</v>
      </c>
      <c r="L737" t="n">
        <v>0</v>
      </c>
      <c r="M737" t="n">
        <v>0</v>
      </c>
      <c r="N737" t="n">
        <v>0</v>
      </c>
      <c r="O737" t="n">
        <v>0</v>
      </c>
      <c r="P737" t="n">
        <v>0</v>
      </c>
      <c r="Q737" t="n">
        <v>0</v>
      </c>
      <c r="R737" s="2" t="inlineStr"/>
    </row>
    <row r="738" ht="15" customHeight="1">
      <c r="A738" t="inlineStr">
        <is>
          <t>A 48721-2023</t>
        </is>
      </c>
      <c r="B738" s="1" t="n">
        <v>45203</v>
      </c>
      <c r="C738" s="1" t="n">
        <v>45976</v>
      </c>
      <c r="D738" t="inlineStr">
        <is>
          <t>DALARNAS LÄN</t>
        </is>
      </c>
      <c r="E738" t="inlineStr">
        <is>
          <t>LEKSAND</t>
        </is>
      </c>
      <c r="G738" t="n">
        <v>2.9</v>
      </c>
      <c r="H738" t="n">
        <v>0</v>
      </c>
      <c r="I738" t="n">
        <v>0</v>
      </c>
      <c r="J738" t="n">
        <v>0</v>
      </c>
      <c r="K738" t="n">
        <v>0</v>
      </c>
      <c r="L738" t="n">
        <v>0</v>
      </c>
      <c r="M738" t="n">
        <v>0</v>
      </c>
      <c r="N738" t="n">
        <v>0</v>
      </c>
      <c r="O738" t="n">
        <v>0</v>
      </c>
      <c r="P738" t="n">
        <v>0</v>
      </c>
      <c r="Q738" t="n">
        <v>0</v>
      </c>
      <c r="R738" s="2" t="inlineStr"/>
    </row>
    <row r="739" ht="15" customHeight="1">
      <c r="A739" t="inlineStr">
        <is>
          <t>A 43142-2024</t>
        </is>
      </c>
      <c r="B739" s="1" t="n">
        <v>45567.62144675926</v>
      </c>
      <c r="C739" s="1" t="n">
        <v>45976</v>
      </c>
      <c r="D739" t="inlineStr">
        <is>
          <t>DALARNAS LÄN</t>
        </is>
      </c>
      <c r="E739" t="inlineStr">
        <is>
          <t>LEKSAND</t>
        </is>
      </c>
      <c r="F739" t="inlineStr">
        <is>
          <t>Bergvik skog väst AB</t>
        </is>
      </c>
      <c r="G739" t="n">
        <v>2.9</v>
      </c>
      <c r="H739" t="n">
        <v>0</v>
      </c>
      <c r="I739" t="n">
        <v>0</v>
      </c>
      <c r="J739" t="n">
        <v>0</v>
      </c>
      <c r="K739" t="n">
        <v>0</v>
      </c>
      <c r="L739" t="n">
        <v>0</v>
      </c>
      <c r="M739" t="n">
        <v>0</v>
      </c>
      <c r="N739" t="n">
        <v>0</v>
      </c>
      <c r="O739" t="n">
        <v>0</v>
      </c>
      <c r="P739" t="n">
        <v>0</v>
      </c>
      <c r="Q739" t="n">
        <v>0</v>
      </c>
      <c r="R739" s="2" t="inlineStr"/>
    </row>
    <row r="740" ht="15" customHeight="1">
      <c r="A740" t="inlineStr">
        <is>
          <t>A 35998-2025</t>
        </is>
      </c>
      <c r="B740" s="1" t="n">
        <v>45863.51550925926</v>
      </c>
      <c r="C740" s="1" t="n">
        <v>45976</v>
      </c>
      <c r="D740" t="inlineStr">
        <is>
          <t>DALARNAS LÄN</t>
        </is>
      </c>
      <c r="E740" t="inlineStr">
        <is>
          <t>LEKSAND</t>
        </is>
      </c>
      <c r="G740" t="n">
        <v>2</v>
      </c>
      <c r="H740" t="n">
        <v>0</v>
      </c>
      <c r="I740" t="n">
        <v>0</v>
      </c>
      <c r="J740" t="n">
        <v>0</v>
      </c>
      <c r="K740" t="n">
        <v>0</v>
      </c>
      <c r="L740" t="n">
        <v>0</v>
      </c>
      <c r="M740" t="n">
        <v>0</v>
      </c>
      <c r="N740" t="n">
        <v>0</v>
      </c>
      <c r="O740" t="n">
        <v>0</v>
      </c>
      <c r="P740" t="n">
        <v>0</v>
      </c>
      <c r="Q740" t="n">
        <v>0</v>
      </c>
      <c r="R740" s="2" t="inlineStr"/>
    </row>
    <row r="741" ht="15" customHeight="1">
      <c r="A741" t="inlineStr">
        <is>
          <t>A 36021-2025</t>
        </is>
      </c>
      <c r="B741" s="1" t="n">
        <v>45863.72346064815</v>
      </c>
      <c r="C741" s="1" t="n">
        <v>45976</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1984-2025</t>
        </is>
      </c>
      <c r="B742" s="1" t="n">
        <v>45670</v>
      </c>
      <c r="C742" s="1" t="n">
        <v>45976</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1443-2024</t>
        </is>
      </c>
      <c r="B743" s="1" t="n">
        <v>45303</v>
      </c>
      <c r="C743" s="1" t="n">
        <v>45976</v>
      </c>
      <c r="D743" t="inlineStr">
        <is>
          <t>DALARNAS LÄN</t>
        </is>
      </c>
      <c r="E743" t="inlineStr">
        <is>
          <t>LEKSAND</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36190-2025</t>
        </is>
      </c>
      <c r="B744" s="1" t="n">
        <v>45867</v>
      </c>
      <c r="C744" s="1" t="n">
        <v>45976</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27446-2024</t>
        </is>
      </c>
      <c r="B745" s="1" t="n">
        <v>45474.42671296297</v>
      </c>
      <c r="C745" s="1" t="n">
        <v>45976</v>
      </c>
      <c r="D745" t="inlineStr">
        <is>
          <t>DALARNAS LÄN</t>
        </is>
      </c>
      <c r="E745" t="inlineStr">
        <is>
          <t>LEKSAND</t>
        </is>
      </c>
      <c r="G745" t="n">
        <v>2.9</v>
      </c>
      <c r="H745" t="n">
        <v>0</v>
      </c>
      <c r="I745" t="n">
        <v>0</v>
      </c>
      <c r="J745" t="n">
        <v>0</v>
      </c>
      <c r="K745" t="n">
        <v>0</v>
      </c>
      <c r="L745" t="n">
        <v>0</v>
      </c>
      <c r="M745" t="n">
        <v>0</v>
      </c>
      <c r="N745" t="n">
        <v>0</v>
      </c>
      <c r="O745" t="n">
        <v>0</v>
      </c>
      <c r="P745" t="n">
        <v>0</v>
      </c>
      <c r="Q745" t="n">
        <v>0</v>
      </c>
      <c r="R745" s="2" t="inlineStr"/>
    </row>
    <row r="746" ht="15" customHeight="1">
      <c r="A746" t="inlineStr">
        <is>
          <t>A 36540-2025</t>
        </is>
      </c>
      <c r="B746" s="1" t="n">
        <v>45869.63885416667</v>
      </c>
      <c r="C746" s="1" t="n">
        <v>45976</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53817-2023</t>
        </is>
      </c>
      <c r="B747" s="1" t="n">
        <v>45231.40488425926</v>
      </c>
      <c r="C747" s="1" t="n">
        <v>45976</v>
      </c>
      <c r="D747" t="inlineStr">
        <is>
          <t>DALARNAS LÄN</t>
        </is>
      </c>
      <c r="E747" t="inlineStr">
        <is>
          <t>LEKSAND</t>
        </is>
      </c>
      <c r="G747" t="n">
        <v>1.2</v>
      </c>
      <c r="H747" t="n">
        <v>0</v>
      </c>
      <c r="I747" t="n">
        <v>0</v>
      </c>
      <c r="J747" t="n">
        <v>0</v>
      </c>
      <c r="K747" t="n">
        <v>0</v>
      </c>
      <c r="L747" t="n">
        <v>0</v>
      </c>
      <c r="M747" t="n">
        <v>0</v>
      </c>
      <c r="N747" t="n">
        <v>0</v>
      </c>
      <c r="O747" t="n">
        <v>0</v>
      </c>
      <c r="P747" t="n">
        <v>0</v>
      </c>
      <c r="Q747" t="n">
        <v>0</v>
      </c>
      <c r="R747" s="2" t="inlineStr"/>
    </row>
    <row r="748" ht="15" customHeight="1">
      <c r="A748" t="inlineStr">
        <is>
          <t>A 62993-2023</t>
        </is>
      </c>
      <c r="B748" s="1" t="n">
        <v>45272</v>
      </c>
      <c r="C748" s="1" t="n">
        <v>45976</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17455-2022</t>
        </is>
      </c>
      <c r="B749" s="1" t="n">
        <v>44679.3775</v>
      </c>
      <c r="C749" s="1" t="n">
        <v>45976</v>
      </c>
      <c r="D749" t="inlineStr">
        <is>
          <t>DALARNAS LÄN</t>
        </is>
      </c>
      <c r="E749" t="inlineStr">
        <is>
          <t>LEKSAND</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7417-2024</t>
        </is>
      </c>
      <c r="B750" s="1" t="n">
        <v>45345.62378472222</v>
      </c>
      <c r="C750" s="1" t="n">
        <v>45976</v>
      </c>
      <c r="D750" t="inlineStr">
        <is>
          <t>DALARNAS LÄN</t>
        </is>
      </c>
      <c r="E750" t="inlineStr">
        <is>
          <t>LEKSAND</t>
        </is>
      </c>
      <c r="G750" t="n">
        <v>2.8</v>
      </c>
      <c r="H750" t="n">
        <v>0</v>
      </c>
      <c r="I750" t="n">
        <v>0</v>
      </c>
      <c r="J750" t="n">
        <v>0</v>
      </c>
      <c r="K750" t="n">
        <v>0</v>
      </c>
      <c r="L750" t="n">
        <v>0</v>
      </c>
      <c r="M750" t="n">
        <v>0</v>
      </c>
      <c r="N750" t="n">
        <v>0</v>
      </c>
      <c r="O750" t="n">
        <v>0</v>
      </c>
      <c r="P750" t="n">
        <v>0</v>
      </c>
      <c r="Q750" t="n">
        <v>0</v>
      </c>
      <c r="R750" s="2" t="inlineStr"/>
    </row>
    <row r="751" ht="15" customHeight="1">
      <c r="A751" t="inlineStr">
        <is>
          <t>A 5574-2024</t>
        </is>
      </c>
      <c r="B751" s="1" t="n">
        <v>45334</v>
      </c>
      <c r="C751" s="1" t="n">
        <v>45976</v>
      </c>
      <c r="D751" t="inlineStr">
        <is>
          <t>DALARNAS LÄN</t>
        </is>
      </c>
      <c r="E751" t="inlineStr">
        <is>
          <t>LEKSAND</t>
        </is>
      </c>
      <c r="G751" t="n">
        <v>0.4</v>
      </c>
      <c r="H751" t="n">
        <v>0</v>
      </c>
      <c r="I751" t="n">
        <v>0</v>
      </c>
      <c r="J751" t="n">
        <v>0</v>
      </c>
      <c r="K751" t="n">
        <v>0</v>
      </c>
      <c r="L751" t="n">
        <v>0</v>
      </c>
      <c r="M751" t="n">
        <v>0</v>
      </c>
      <c r="N751" t="n">
        <v>0</v>
      </c>
      <c r="O751" t="n">
        <v>0</v>
      </c>
      <c r="P751" t="n">
        <v>0</v>
      </c>
      <c r="Q751" t="n">
        <v>0</v>
      </c>
      <c r="R751" s="2" t="inlineStr"/>
    </row>
    <row r="752" ht="15" customHeight="1">
      <c r="A752" t="inlineStr">
        <is>
          <t>A 4121-2024</t>
        </is>
      </c>
      <c r="B752" s="1" t="n">
        <v>45323</v>
      </c>
      <c r="C752" s="1" t="n">
        <v>45976</v>
      </c>
      <c r="D752" t="inlineStr">
        <is>
          <t>DALARNAS LÄN</t>
        </is>
      </c>
      <c r="E752" t="inlineStr">
        <is>
          <t>LEKSAND</t>
        </is>
      </c>
      <c r="G752" t="n">
        <v>1.3</v>
      </c>
      <c r="H752" t="n">
        <v>0</v>
      </c>
      <c r="I752" t="n">
        <v>0</v>
      </c>
      <c r="J752" t="n">
        <v>0</v>
      </c>
      <c r="K752" t="n">
        <v>0</v>
      </c>
      <c r="L752" t="n">
        <v>0</v>
      </c>
      <c r="M752" t="n">
        <v>0</v>
      </c>
      <c r="N752" t="n">
        <v>0</v>
      </c>
      <c r="O752" t="n">
        <v>0</v>
      </c>
      <c r="P752" t="n">
        <v>0</v>
      </c>
      <c r="Q752" t="n">
        <v>0</v>
      </c>
      <c r="R752" s="2" t="inlineStr"/>
    </row>
    <row r="753" ht="15" customHeight="1">
      <c r="A753" t="inlineStr">
        <is>
          <t>A 57665-2023</t>
        </is>
      </c>
      <c r="B753" s="1" t="n">
        <v>45246</v>
      </c>
      <c r="C753" s="1" t="n">
        <v>45976</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30858-2024</t>
        </is>
      </c>
      <c r="B754" s="1" t="n">
        <v>45497.67601851852</v>
      </c>
      <c r="C754" s="1" t="n">
        <v>45976</v>
      </c>
      <c r="D754" t="inlineStr">
        <is>
          <t>DALARNAS LÄN</t>
        </is>
      </c>
      <c r="E754" t="inlineStr">
        <is>
          <t>LEKSAND</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25921-2024</t>
        </is>
      </c>
      <c r="B755" s="1" t="n">
        <v>45467.6053587963</v>
      </c>
      <c r="C755" s="1" t="n">
        <v>45976</v>
      </c>
      <c r="D755" t="inlineStr">
        <is>
          <t>DALARNAS LÄN</t>
        </is>
      </c>
      <c r="E755" t="inlineStr">
        <is>
          <t>LEKSAND</t>
        </is>
      </c>
      <c r="G755" t="n">
        <v>2.8</v>
      </c>
      <c r="H755" t="n">
        <v>0</v>
      </c>
      <c r="I755" t="n">
        <v>0</v>
      </c>
      <c r="J755" t="n">
        <v>0</v>
      </c>
      <c r="K755" t="n">
        <v>0</v>
      </c>
      <c r="L755" t="n">
        <v>0</v>
      </c>
      <c r="M755" t="n">
        <v>0</v>
      </c>
      <c r="N755" t="n">
        <v>0</v>
      </c>
      <c r="O755" t="n">
        <v>0</v>
      </c>
      <c r="P755" t="n">
        <v>0</v>
      </c>
      <c r="Q755" t="n">
        <v>0</v>
      </c>
      <c r="R755" s="2" t="inlineStr"/>
    </row>
    <row r="756">
      <c r="A756" t="inlineStr">
        <is>
          <t>A 41306-2024</t>
        </is>
      </c>
      <c r="B756" s="1" t="n">
        <v>45559.62550925926</v>
      </c>
      <c r="C756" s="1" t="n">
        <v>45976</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2025-11-15T10:13:07Z</dcterms:created>
  <dcterms:modified xmlns:dcterms="http://purl.org/dc/terms/" xmlns:xsi="http://www.w3.org/2001/XMLSchema-instance" xsi:type="dcterms:W3CDTF">2025-11-15T10:13:07Z</dcterms:modified>
</cp:coreProperties>
</file>