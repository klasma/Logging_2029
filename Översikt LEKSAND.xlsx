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45471</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45471</v>
      </c>
      <c r="D4" t="inlineStr">
        <is>
          <t>DALARNAS LÄN</t>
        </is>
      </c>
      <c r="E4" t="inlineStr">
        <is>
          <t>LEKSAND</t>
        </is>
      </c>
      <c r="G4" t="n">
        <v>6</v>
      </c>
      <c r="H4" t="n">
        <v>7</v>
      </c>
      <c r="I4" t="n">
        <v>6</v>
      </c>
      <c r="J4" t="n">
        <v>6</v>
      </c>
      <c r="K4" t="n">
        <v>1</v>
      </c>
      <c r="L4" t="n">
        <v>0</v>
      </c>
      <c r="M4" t="n">
        <v>0</v>
      </c>
      <c r="N4" t="n">
        <v>0</v>
      </c>
      <c r="O4" t="n">
        <v>7</v>
      </c>
      <c r="P4" t="n">
        <v>1</v>
      </c>
      <c r="Q4" t="n">
        <v>15</v>
      </c>
      <c r="R4" s="2" t="inlineStr">
        <is>
          <t>Knärot
Garnlav
Järpe
Spillkråka
Talltita
Tretåig hackspett
Ullticka
Bronshjon
Dropptaggsvamp
Gullgröppa
Luddlav
Mindre märgborre
Vedticka
Tjäder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45471</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45471</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45471</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45471</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45471</v>
      </c>
      <c r="D9" t="inlineStr">
        <is>
          <t>DALARNAS LÄN</t>
        </is>
      </c>
      <c r="E9" t="inlineStr">
        <is>
          <t>LEKSAND</t>
        </is>
      </c>
      <c r="G9" t="n">
        <v>0.9</v>
      </c>
      <c r="H9" t="n">
        <v>4</v>
      </c>
      <c r="I9" t="n">
        <v>0</v>
      </c>
      <c r="J9" t="n">
        <v>3</v>
      </c>
      <c r="K9" t="n">
        <v>1</v>
      </c>
      <c r="L9" t="n">
        <v>0</v>
      </c>
      <c r="M9" t="n">
        <v>0</v>
      </c>
      <c r="N9" t="n">
        <v>0</v>
      </c>
      <c r="O9" t="n">
        <v>4</v>
      </c>
      <c r="P9" t="n">
        <v>1</v>
      </c>
      <c r="Q9" t="n">
        <v>5</v>
      </c>
      <c r="R9" s="2" t="inlineStr">
        <is>
          <t>Knärot
Garnlav
Spillkråka
Talltita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43330-2022</t>
        </is>
      </c>
      <c r="B10" s="1" t="n">
        <v>44834</v>
      </c>
      <c r="C10" s="1" t="n">
        <v>45471</v>
      </c>
      <c r="D10" t="inlineStr">
        <is>
          <t>DALARNAS LÄN</t>
        </is>
      </c>
      <c r="E10" t="inlineStr">
        <is>
          <t>LEKSAND</t>
        </is>
      </c>
      <c r="F10" t="inlineStr">
        <is>
          <t>Bergvik skog väst AB</t>
        </is>
      </c>
      <c r="G10" t="n">
        <v>19.5</v>
      </c>
      <c r="H10" t="n">
        <v>2</v>
      </c>
      <c r="I10" t="n">
        <v>1</v>
      </c>
      <c r="J10" t="n">
        <v>1</v>
      </c>
      <c r="K10" t="n">
        <v>0</v>
      </c>
      <c r="L10" t="n">
        <v>0</v>
      </c>
      <c r="M10" t="n">
        <v>0</v>
      </c>
      <c r="N10" t="n">
        <v>0</v>
      </c>
      <c r="O10" t="n">
        <v>1</v>
      </c>
      <c r="P10" t="n">
        <v>0</v>
      </c>
      <c r="Q10" t="n">
        <v>4</v>
      </c>
      <c r="R10" s="2" t="inlineStr">
        <is>
          <t>Koralltaggsvamp
Svavelriska
Blåsippa
Revlummer</t>
        </is>
      </c>
      <c r="S10">
        <f>HYPERLINK("https://klasma.github.io/Logging_2029/artfynd/A 43330-2022 artfynd.xlsx", "A 43330-2022")</f>
        <v/>
      </c>
      <c r="T10">
        <f>HYPERLINK("https://klasma.github.io/Logging_2029/kartor/A 43330-2022 karta.png", "A 43330-2022")</f>
        <v/>
      </c>
      <c r="V10">
        <f>HYPERLINK("https://klasma.github.io/Logging_2029/klagomål/A 43330-2022 FSC-klagomål.docx", "A 43330-2022")</f>
        <v/>
      </c>
      <c r="W10">
        <f>HYPERLINK("https://klasma.github.io/Logging_2029/klagomålsmail/A 43330-2022 FSC-klagomål mail.docx", "A 43330-2022")</f>
        <v/>
      </c>
      <c r="X10">
        <f>HYPERLINK("https://klasma.github.io/Logging_2029/tillsyn/A 43330-2022 tillsynsbegäran.docx", "A 43330-2022")</f>
        <v/>
      </c>
      <c r="Y10">
        <f>HYPERLINK("https://klasma.github.io/Logging_2029/tillsynsmail/A 43330-2022 tillsynsbegäran mail.docx", "A 43330-2022")</f>
        <v/>
      </c>
    </row>
    <row r="11" ht="15" customHeight="1">
      <c r="A11" t="inlineStr">
        <is>
          <t>A 50359-2022</t>
        </is>
      </c>
      <c r="B11" s="1" t="n">
        <v>44866</v>
      </c>
      <c r="C11" s="1" t="n">
        <v>45471</v>
      </c>
      <c r="D11" t="inlineStr">
        <is>
          <t>DALARNAS LÄN</t>
        </is>
      </c>
      <c r="E11" t="inlineStr">
        <is>
          <t>LEKSAND</t>
        </is>
      </c>
      <c r="F11" t="inlineStr">
        <is>
          <t>Bergvik skog väst AB</t>
        </is>
      </c>
      <c r="G11" t="n">
        <v>3.2</v>
      </c>
      <c r="H11" t="n">
        <v>2</v>
      </c>
      <c r="I11" t="n">
        <v>0</v>
      </c>
      <c r="J11" t="n">
        <v>2</v>
      </c>
      <c r="K11" t="n">
        <v>1</v>
      </c>
      <c r="L11" t="n">
        <v>0</v>
      </c>
      <c r="M11" t="n">
        <v>0</v>
      </c>
      <c r="N11" t="n">
        <v>0</v>
      </c>
      <c r="O11" t="n">
        <v>3</v>
      </c>
      <c r="P11" t="n">
        <v>1</v>
      </c>
      <c r="Q11" t="n">
        <v>4</v>
      </c>
      <c r="R11" s="2" t="inlineStr">
        <is>
          <t>Knärot
Garnlav
Vitgrynig nållav
Nattviol</t>
        </is>
      </c>
      <c r="S11">
        <f>HYPERLINK("https://klasma.github.io/Logging_2029/artfynd/A 50359-2022 artfynd.xlsx", "A 50359-2022")</f>
        <v/>
      </c>
      <c r="T11">
        <f>HYPERLINK("https://klasma.github.io/Logging_2029/kartor/A 50359-2022 karta.png", "A 50359-2022")</f>
        <v/>
      </c>
      <c r="U11">
        <f>HYPERLINK("https://klasma.github.io/Logging_2029/knärot/A 50359-2022 karta knärot.png", "A 50359-2022")</f>
        <v/>
      </c>
      <c r="V11">
        <f>HYPERLINK("https://klasma.github.io/Logging_2029/klagomål/A 50359-2022 FSC-klagomål.docx", "A 50359-2022")</f>
        <v/>
      </c>
      <c r="W11">
        <f>HYPERLINK("https://klasma.github.io/Logging_2029/klagomålsmail/A 50359-2022 FSC-klagomål mail.docx", "A 50359-2022")</f>
        <v/>
      </c>
      <c r="X11">
        <f>HYPERLINK("https://klasma.github.io/Logging_2029/tillsyn/A 50359-2022 tillsynsbegäran.docx", "A 50359-2022")</f>
        <v/>
      </c>
      <c r="Y11">
        <f>HYPERLINK("https://klasma.github.io/Logging_2029/tillsynsmail/A 50359-2022 tillsynsbegäran mail.docx", "A 50359-2022")</f>
        <v/>
      </c>
    </row>
    <row r="12" ht="15" customHeight="1">
      <c r="A12" t="inlineStr">
        <is>
          <t>A 66933-2021</t>
        </is>
      </c>
      <c r="B12" s="1" t="n">
        <v>44522</v>
      </c>
      <c r="C12" s="1" t="n">
        <v>45471</v>
      </c>
      <c r="D12" t="inlineStr">
        <is>
          <t>DALARNAS LÄN</t>
        </is>
      </c>
      <c r="E12" t="inlineStr">
        <is>
          <t>LEKSAND</t>
        </is>
      </c>
      <c r="G12" t="n">
        <v>5.5</v>
      </c>
      <c r="H12" t="n">
        <v>3</v>
      </c>
      <c r="I12" t="n">
        <v>0</v>
      </c>
      <c r="J12" t="n">
        <v>2</v>
      </c>
      <c r="K12" t="n">
        <v>1</v>
      </c>
      <c r="L12" t="n">
        <v>0</v>
      </c>
      <c r="M12" t="n">
        <v>0</v>
      </c>
      <c r="N12" t="n">
        <v>0</v>
      </c>
      <c r="O12" t="n">
        <v>3</v>
      </c>
      <c r="P12" t="n">
        <v>1</v>
      </c>
      <c r="Q12" t="n">
        <v>3</v>
      </c>
      <c r="R12" s="2" t="inlineStr">
        <is>
          <t>Hussvala
Svartvit flugsnappare
Tretåig hackspett</t>
        </is>
      </c>
      <c r="S12">
        <f>HYPERLINK("https://klasma.github.io/Logging_2029/artfynd/A 66933-2021 artfynd.xlsx", "A 66933-2021")</f>
        <v/>
      </c>
      <c r="T12">
        <f>HYPERLINK("https://klasma.github.io/Logging_2029/kartor/A 66933-2021 karta.png", "A 66933-2021")</f>
        <v/>
      </c>
      <c r="V12">
        <f>HYPERLINK("https://klasma.github.io/Logging_2029/klagomål/A 66933-2021 FSC-klagomål.docx", "A 66933-2021")</f>
        <v/>
      </c>
      <c r="W12">
        <f>HYPERLINK("https://klasma.github.io/Logging_2029/klagomålsmail/A 66933-2021 FSC-klagomål mail.docx", "A 66933-2021")</f>
        <v/>
      </c>
      <c r="X12">
        <f>HYPERLINK("https://klasma.github.io/Logging_2029/tillsyn/A 66933-2021 tillsynsbegäran.docx", "A 66933-2021")</f>
        <v/>
      </c>
      <c r="Y12">
        <f>HYPERLINK("https://klasma.github.io/Logging_2029/tillsynsmail/A 66933-2021 tillsynsbegäran mail.docx", "A 66933-2021")</f>
        <v/>
      </c>
      <c r="Z12">
        <f>HYPERLINK("https://klasma.github.io/Logging_2029/fåglar/A 66933-2021 prioriterade fågelarter.docx", "A 66933-2021")</f>
        <v/>
      </c>
    </row>
    <row r="13" ht="15" customHeight="1">
      <c r="A13" t="inlineStr">
        <is>
          <t>A 51505-2022</t>
        </is>
      </c>
      <c r="B13" s="1" t="n">
        <v>44869</v>
      </c>
      <c r="C13" s="1" t="n">
        <v>45471</v>
      </c>
      <c r="D13" t="inlineStr">
        <is>
          <t>DALARNAS LÄN</t>
        </is>
      </c>
      <c r="E13" t="inlineStr">
        <is>
          <t>LEKSAND</t>
        </is>
      </c>
      <c r="F13" t="inlineStr">
        <is>
          <t>Bergvik skog väst AB</t>
        </is>
      </c>
      <c r="G13" t="n">
        <v>1.3</v>
      </c>
      <c r="H13" t="n">
        <v>0</v>
      </c>
      <c r="I13" t="n">
        <v>1</v>
      </c>
      <c r="J13" t="n">
        <v>2</v>
      </c>
      <c r="K13" t="n">
        <v>0</v>
      </c>
      <c r="L13" t="n">
        <v>0</v>
      </c>
      <c r="M13" t="n">
        <v>0</v>
      </c>
      <c r="N13" t="n">
        <v>0</v>
      </c>
      <c r="O13" t="n">
        <v>2</v>
      </c>
      <c r="P13" t="n">
        <v>0</v>
      </c>
      <c r="Q13" t="n">
        <v>3</v>
      </c>
      <c r="R13" s="2" t="inlineStr">
        <is>
          <t>Garnlav
Motaggsvamp
Bronshjon</t>
        </is>
      </c>
      <c r="S13">
        <f>HYPERLINK("https://klasma.github.io/Logging_2029/artfynd/A 51505-2022 artfynd.xlsx", "A 51505-2022")</f>
        <v/>
      </c>
      <c r="T13">
        <f>HYPERLINK("https://klasma.github.io/Logging_2029/kartor/A 51505-2022 karta.png", "A 51505-2022")</f>
        <v/>
      </c>
      <c r="V13">
        <f>HYPERLINK("https://klasma.github.io/Logging_2029/klagomål/A 51505-2022 FSC-klagomål.docx", "A 51505-2022")</f>
        <v/>
      </c>
      <c r="W13">
        <f>HYPERLINK("https://klasma.github.io/Logging_2029/klagomålsmail/A 51505-2022 FSC-klagomål mail.docx", "A 51505-2022")</f>
        <v/>
      </c>
      <c r="X13">
        <f>HYPERLINK("https://klasma.github.io/Logging_2029/tillsyn/A 51505-2022 tillsynsbegäran.docx", "A 51505-2022")</f>
        <v/>
      </c>
      <c r="Y13">
        <f>HYPERLINK("https://klasma.github.io/Logging_2029/tillsynsmail/A 51505-2022 tillsynsbegäran mail.docx", "A 51505-2022")</f>
        <v/>
      </c>
    </row>
    <row r="14" ht="15" customHeight="1">
      <c r="A14" t="inlineStr">
        <is>
          <t>A 37399-2023</t>
        </is>
      </c>
      <c r="B14" s="1" t="n">
        <v>45156</v>
      </c>
      <c r="C14" s="1" t="n">
        <v>45471</v>
      </c>
      <c r="D14" t="inlineStr">
        <is>
          <t>DALARNAS LÄN</t>
        </is>
      </c>
      <c r="E14" t="inlineStr">
        <is>
          <t>LEKSAND</t>
        </is>
      </c>
      <c r="G14" t="n">
        <v>10.7</v>
      </c>
      <c r="H14" t="n">
        <v>0</v>
      </c>
      <c r="I14" t="n">
        <v>1</v>
      </c>
      <c r="J14" t="n">
        <v>2</v>
      </c>
      <c r="K14" t="n">
        <v>0</v>
      </c>
      <c r="L14" t="n">
        <v>0</v>
      </c>
      <c r="M14" t="n">
        <v>0</v>
      </c>
      <c r="N14" t="n">
        <v>0</v>
      </c>
      <c r="O14" t="n">
        <v>2</v>
      </c>
      <c r="P14" t="n">
        <v>0</v>
      </c>
      <c r="Q14" t="n">
        <v>3</v>
      </c>
      <c r="R14" s="2" t="inlineStr">
        <is>
          <t>Doftskinn
Garnlav
Vedticka</t>
        </is>
      </c>
      <c r="S14">
        <f>HYPERLINK("https://klasma.github.io/Logging_2029/artfynd/A 37399-2023 artfynd.xlsx", "A 37399-2023")</f>
        <v/>
      </c>
      <c r="T14">
        <f>HYPERLINK("https://klasma.github.io/Logging_2029/kartor/A 37399-2023 karta.png", "A 37399-2023")</f>
        <v/>
      </c>
      <c r="V14">
        <f>HYPERLINK("https://klasma.github.io/Logging_2029/klagomål/A 37399-2023 FSC-klagomål.docx", "A 37399-2023")</f>
        <v/>
      </c>
      <c r="W14">
        <f>HYPERLINK("https://klasma.github.io/Logging_2029/klagomålsmail/A 37399-2023 FSC-klagomål mail.docx", "A 37399-2023")</f>
        <v/>
      </c>
      <c r="X14">
        <f>HYPERLINK("https://klasma.github.io/Logging_2029/tillsyn/A 37399-2023 tillsynsbegäran.docx", "A 37399-2023")</f>
        <v/>
      </c>
      <c r="Y14">
        <f>HYPERLINK("https://klasma.github.io/Logging_2029/tillsynsmail/A 37399-2023 tillsynsbegäran mail.docx", "A 37399-2023")</f>
        <v/>
      </c>
    </row>
    <row r="15" ht="15" customHeight="1">
      <c r="A15" t="inlineStr">
        <is>
          <t>A 47031-2023</t>
        </is>
      </c>
      <c r="B15" s="1" t="n">
        <v>45201</v>
      </c>
      <c r="C15" s="1" t="n">
        <v>45471</v>
      </c>
      <c r="D15" t="inlineStr">
        <is>
          <t>DALARNAS LÄN</t>
        </is>
      </c>
      <c r="E15" t="inlineStr">
        <is>
          <t>LEKSAND</t>
        </is>
      </c>
      <c r="G15" t="n">
        <v>5</v>
      </c>
      <c r="H15" t="n">
        <v>0</v>
      </c>
      <c r="I15" t="n">
        <v>0</v>
      </c>
      <c r="J15" t="n">
        <v>2</v>
      </c>
      <c r="K15" t="n">
        <v>1</v>
      </c>
      <c r="L15" t="n">
        <v>0</v>
      </c>
      <c r="M15" t="n">
        <v>0</v>
      </c>
      <c r="N15" t="n">
        <v>0</v>
      </c>
      <c r="O15" t="n">
        <v>3</v>
      </c>
      <c r="P15" t="n">
        <v>1</v>
      </c>
      <c r="Q15" t="n">
        <v>3</v>
      </c>
      <c r="R15" s="2" t="inlineStr">
        <is>
          <t>Rynkskinn
Stjärntagging
Ullticka</t>
        </is>
      </c>
      <c r="S15">
        <f>HYPERLINK("https://klasma.github.io/Logging_2029/artfynd/A 47031-2023 artfynd.xlsx", "A 47031-2023")</f>
        <v/>
      </c>
      <c r="T15">
        <f>HYPERLINK("https://klasma.github.io/Logging_2029/kartor/A 47031-2023 karta.png", "A 47031-2023")</f>
        <v/>
      </c>
      <c r="V15">
        <f>HYPERLINK("https://klasma.github.io/Logging_2029/klagomål/A 47031-2023 FSC-klagomål.docx", "A 47031-2023")</f>
        <v/>
      </c>
      <c r="W15">
        <f>HYPERLINK("https://klasma.github.io/Logging_2029/klagomålsmail/A 47031-2023 FSC-klagomål mail.docx", "A 47031-2023")</f>
        <v/>
      </c>
      <c r="X15">
        <f>HYPERLINK("https://klasma.github.io/Logging_2029/tillsyn/A 47031-2023 tillsynsbegäran.docx", "A 47031-2023")</f>
        <v/>
      </c>
      <c r="Y15">
        <f>HYPERLINK("https://klasma.github.io/Logging_2029/tillsynsmail/A 47031-2023 tillsynsbegäran mail.docx", "A 47031-2023")</f>
        <v/>
      </c>
    </row>
    <row r="16" ht="15" customHeight="1">
      <c r="A16" t="inlineStr">
        <is>
          <t>A 48172-2023</t>
        </is>
      </c>
      <c r="B16" s="1" t="n">
        <v>45205</v>
      </c>
      <c r="C16" s="1" t="n">
        <v>45471</v>
      </c>
      <c r="D16" t="inlineStr">
        <is>
          <t>DALARNAS LÄN</t>
        </is>
      </c>
      <c r="E16" t="inlineStr">
        <is>
          <t>LEKSAND</t>
        </is>
      </c>
      <c r="G16" t="n">
        <v>15.8</v>
      </c>
      <c r="H16" t="n">
        <v>1</v>
      </c>
      <c r="I16" t="n">
        <v>0</v>
      </c>
      <c r="J16" t="n">
        <v>3</v>
      </c>
      <c r="K16" t="n">
        <v>0</v>
      </c>
      <c r="L16" t="n">
        <v>0</v>
      </c>
      <c r="M16" t="n">
        <v>0</v>
      </c>
      <c r="N16" t="n">
        <v>0</v>
      </c>
      <c r="O16" t="n">
        <v>3</v>
      </c>
      <c r="P16" t="n">
        <v>0</v>
      </c>
      <c r="Q16" t="n">
        <v>3</v>
      </c>
      <c r="R16" s="2" t="inlineStr">
        <is>
          <t>Garnlav
Motaggsvamp
Spillkråka</t>
        </is>
      </c>
      <c r="S16">
        <f>HYPERLINK("https://klasma.github.io/Logging_2029/artfynd/A 48172-2023 artfynd.xlsx", "A 48172-2023")</f>
        <v/>
      </c>
      <c r="T16">
        <f>HYPERLINK("https://klasma.github.io/Logging_2029/kartor/A 48172-2023 karta.png", "A 48172-2023")</f>
        <v/>
      </c>
      <c r="V16">
        <f>HYPERLINK("https://klasma.github.io/Logging_2029/klagomål/A 48172-2023 FSC-klagomål.docx", "A 48172-2023")</f>
        <v/>
      </c>
      <c r="W16">
        <f>HYPERLINK("https://klasma.github.io/Logging_2029/klagomålsmail/A 48172-2023 FSC-klagomål mail.docx", "A 48172-2023")</f>
        <v/>
      </c>
      <c r="X16">
        <f>HYPERLINK("https://klasma.github.io/Logging_2029/tillsyn/A 48172-2023 tillsynsbegäran.docx", "A 48172-2023")</f>
        <v/>
      </c>
      <c r="Y16">
        <f>HYPERLINK("https://klasma.github.io/Logging_2029/tillsynsmail/A 48172-2023 tillsynsbegäran mail.docx", "A 48172-2023")</f>
        <v/>
      </c>
      <c r="Z16">
        <f>HYPERLINK("https://klasma.github.io/Logging_2029/fåglar/A 48172-2023 prioriterade fågelarter.docx", "A 48172-2023")</f>
        <v/>
      </c>
    </row>
    <row r="17" ht="15" customHeight="1">
      <c r="A17" t="inlineStr">
        <is>
          <t>A 57648-2023</t>
        </is>
      </c>
      <c r="B17" s="1" t="n">
        <v>45246</v>
      </c>
      <c r="C17" s="1" t="n">
        <v>45471</v>
      </c>
      <c r="D17" t="inlineStr">
        <is>
          <t>DALARNAS LÄN</t>
        </is>
      </c>
      <c r="E17" t="inlineStr">
        <is>
          <t>LEKSAND</t>
        </is>
      </c>
      <c r="G17" t="n">
        <v>4.2</v>
      </c>
      <c r="H17" t="n">
        <v>0</v>
      </c>
      <c r="I17" t="n">
        <v>1</v>
      </c>
      <c r="J17" t="n">
        <v>2</v>
      </c>
      <c r="K17" t="n">
        <v>0</v>
      </c>
      <c r="L17" t="n">
        <v>0</v>
      </c>
      <c r="M17" t="n">
        <v>0</v>
      </c>
      <c r="N17" t="n">
        <v>0</v>
      </c>
      <c r="O17" t="n">
        <v>2</v>
      </c>
      <c r="P17" t="n">
        <v>0</v>
      </c>
      <c r="Q17" t="n">
        <v>3</v>
      </c>
      <c r="R17" s="2" t="inlineStr">
        <is>
          <t>Granticka
Vitterspindling
Anisspindling</t>
        </is>
      </c>
      <c r="S17">
        <f>HYPERLINK("https://klasma.github.io/Logging_2029/artfynd/A 57648-2023 artfynd.xlsx", "A 57648-2023")</f>
        <v/>
      </c>
      <c r="T17">
        <f>HYPERLINK("https://klasma.github.io/Logging_2029/kartor/A 57648-2023 karta.png", "A 57648-2023")</f>
        <v/>
      </c>
      <c r="V17">
        <f>HYPERLINK("https://klasma.github.io/Logging_2029/klagomål/A 57648-2023 FSC-klagomål.docx", "A 57648-2023")</f>
        <v/>
      </c>
      <c r="W17">
        <f>HYPERLINK("https://klasma.github.io/Logging_2029/klagomålsmail/A 57648-2023 FSC-klagomål mail.docx", "A 57648-2023")</f>
        <v/>
      </c>
      <c r="X17">
        <f>HYPERLINK("https://klasma.github.io/Logging_2029/tillsyn/A 57648-2023 tillsynsbegäran.docx", "A 57648-2023")</f>
        <v/>
      </c>
      <c r="Y17">
        <f>HYPERLINK("https://klasma.github.io/Logging_2029/tillsynsmail/A 57648-2023 tillsynsbegäran mail.docx", "A 57648-2023")</f>
        <v/>
      </c>
    </row>
    <row r="18" ht="15" customHeight="1">
      <c r="A18" t="inlineStr">
        <is>
          <t>A 60948-2019</t>
        </is>
      </c>
      <c r="B18" s="1" t="n">
        <v>43780</v>
      </c>
      <c r="C18" s="1" t="n">
        <v>45471</v>
      </c>
      <c r="D18" t="inlineStr">
        <is>
          <t>DALARNAS LÄN</t>
        </is>
      </c>
      <c r="E18" t="inlineStr">
        <is>
          <t>LEKSAND</t>
        </is>
      </c>
      <c r="G18" t="n">
        <v>3.1</v>
      </c>
      <c r="H18" t="n">
        <v>2</v>
      </c>
      <c r="I18" t="n">
        <v>0</v>
      </c>
      <c r="J18" t="n">
        <v>0</v>
      </c>
      <c r="K18" t="n">
        <v>0</v>
      </c>
      <c r="L18" t="n">
        <v>0</v>
      </c>
      <c r="M18" t="n">
        <v>0</v>
      </c>
      <c r="N18" t="n">
        <v>0</v>
      </c>
      <c r="O18" t="n">
        <v>0</v>
      </c>
      <c r="P18" t="n">
        <v>0</v>
      </c>
      <c r="Q18" t="n">
        <v>2</v>
      </c>
      <c r="R18" s="2" t="inlineStr">
        <is>
          <t>Blåsippa
Revlummer</t>
        </is>
      </c>
      <c r="S18">
        <f>HYPERLINK("https://klasma.github.io/Logging_2029/artfynd/A 60948-2019 artfynd.xlsx", "A 60948-2019")</f>
        <v/>
      </c>
      <c r="T18">
        <f>HYPERLINK("https://klasma.github.io/Logging_2029/kartor/A 60948-2019 karta.png", "A 60948-2019")</f>
        <v/>
      </c>
      <c r="V18">
        <f>HYPERLINK("https://klasma.github.io/Logging_2029/klagomål/A 60948-2019 FSC-klagomål.docx", "A 60948-2019")</f>
        <v/>
      </c>
      <c r="W18">
        <f>HYPERLINK("https://klasma.github.io/Logging_2029/klagomålsmail/A 60948-2019 FSC-klagomål mail.docx", "A 60948-2019")</f>
        <v/>
      </c>
      <c r="X18">
        <f>HYPERLINK("https://klasma.github.io/Logging_2029/tillsyn/A 60948-2019 tillsynsbegäran.docx", "A 60948-2019")</f>
        <v/>
      </c>
      <c r="Y18">
        <f>HYPERLINK("https://klasma.github.io/Logging_2029/tillsynsmail/A 60948-2019 tillsynsbegäran mail.docx", "A 60948-2019")</f>
        <v/>
      </c>
    </row>
    <row r="19" ht="15" customHeight="1">
      <c r="A19" t="inlineStr">
        <is>
          <t>A 36900-2020</t>
        </is>
      </c>
      <c r="B19" s="1" t="n">
        <v>44053</v>
      </c>
      <c r="C19" s="1" t="n">
        <v>45471</v>
      </c>
      <c r="D19" t="inlineStr">
        <is>
          <t>DALARNAS LÄN</t>
        </is>
      </c>
      <c r="E19" t="inlineStr">
        <is>
          <t>LEKSAND</t>
        </is>
      </c>
      <c r="F19" t="inlineStr">
        <is>
          <t>Bergvik skog väst AB</t>
        </is>
      </c>
      <c r="G19" t="n">
        <v>2.9</v>
      </c>
      <c r="H19" t="n">
        <v>0</v>
      </c>
      <c r="I19" t="n">
        <v>1</v>
      </c>
      <c r="J19" t="n">
        <v>1</v>
      </c>
      <c r="K19" t="n">
        <v>0</v>
      </c>
      <c r="L19" t="n">
        <v>0</v>
      </c>
      <c r="M19" t="n">
        <v>0</v>
      </c>
      <c r="N19" t="n">
        <v>0</v>
      </c>
      <c r="O19" t="n">
        <v>1</v>
      </c>
      <c r="P19" t="n">
        <v>0</v>
      </c>
      <c r="Q19" t="n">
        <v>2</v>
      </c>
      <c r="R19" s="2" t="inlineStr">
        <is>
          <t>Vedskivlav
Mindre märgborre</t>
        </is>
      </c>
      <c r="S19">
        <f>HYPERLINK("https://klasma.github.io/Logging_2029/artfynd/A 36900-2020 artfynd.xlsx", "A 36900-2020")</f>
        <v/>
      </c>
      <c r="T19">
        <f>HYPERLINK("https://klasma.github.io/Logging_2029/kartor/A 36900-2020 karta.png", "A 36900-2020")</f>
        <v/>
      </c>
      <c r="V19">
        <f>HYPERLINK("https://klasma.github.io/Logging_2029/klagomål/A 36900-2020 FSC-klagomål.docx", "A 36900-2020")</f>
        <v/>
      </c>
      <c r="W19">
        <f>HYPERLINK("https://klasma.github.io/Logging_2029/klagomålsmail/A 36900-2020 FSC-klagomål mail.docx", "A 36900-2020")</f>
        <v/>
      </c>
      <c r="X19">
        <f>HYPERLINK("https://klasma.github.io/Logging_2029/tillsyn/A 36900-2020 tillsynsbegäran.docx", "A 36900-2020")</f>
        <v/>
      </c>
      <c r="Y19">
        <f>HYPERLINK("https://klasma.github.io/Logging_2029/tillsynsmail/A 36900-2020 tillsynsbegäran mail.docx", "A 36900-2020")</f>
        <v/>
      </c>
    </row>
    <row r="20" ht="15" customHeight="1">
      <c r="A20" t="inlineStr">
        <is>
          <t>A 55519-2021</t>
        </is>
      </c>
      <c r="B20" s="1" t="n">
        <v>44475</v>
      </c>
      <c r="C20" s="1" t="n">
        <v>45471</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6778-2022</t>
        </is>
      </c>
      <c r="B21" s="1" t="n">
        <v>44602</v>
      </c>
      <c r="C21" s="1" t="n">
        <v>45471</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41186-2023</t>
        </is>
      </c>
      <c r="B22" s="1" t="n">
        <v>45174</v>
      </c>
      <c r="C22" s="1" t="n">
        <v>45471</v>
      </c>
      <c r="D22" t="inlineStr">
        <is>
          <t>DALARNAS LÄN</t>
        </is>
      </c>
      <c r="E22" t="inlineStr">
        <is>
          <t>LEKSAND</t>
        </is>
      </c>
      <c r="G22" t="n">
        <v>2.3</v>
      </c>
      <c r="H22" t="n">
        <v>0</v>
      </c>
      <c r="I22" t="n">
        <v>0</v>
      </c>
      <c r="J22" t="n">
        <v>2</v>
      </c>
      <c r="K22" t="n">
        <v>0</v>
      </c>
      <c r="L22" t="n">
        <v>0</v>
      </c>
      <c r="M22" t="n">
        <v>0</v>
      </c>
      <c r="N22" t="n">
        <v>0</v>
      </c>
      <c r="O22" t="n">
        <v>2</v>
      </c>
      <c r="P22" t="n">
        <v>0</v>
      </c>
      <c r="Q22" t="n">
        <v>2</v>
      </c>
      <c r="R22" s="2" t="inlineStr">
        <is>
          <t>Tallticka
Ullticka</t>
        </is>
      </c>
      <c r="S22">
        <f>HYPERLINK("https://klasma.github.io/Logging_2029/artfynd/A 41186-2023 artfynd.xlsx", "A 41186-2023")</f>
        <v/>
      </c>
      <c r="T22">
        <f>HYPERLINK("https://klasma.github.io/Logging_2029/kartor/A 41186-2023 karta.png", "A 41186-2023")</f>
        <v/>
      </c>
      <c r="V22">
        <f>HYPERLINK("https://klasma.github.io/Logging_2029/klagomål/A 41186-2023 FSC-klagomål.docx", "A 41186-2023")</f>
        <v/>
      </c>
      <c r="W22">
        <f>HYPERLINK("https://klasma.github.io/Logging_2029/klagomålsmail/A 41186-2023 FSC-klagomål mail.docx", "A 41186-2023")</f>
        <v/>
      </c>
      <c r="X22">
        <f>HYPERLINK("https://klasma.github.io/Logging_2029/tillsyn/A 41186-2023 tillsynsbegäran.docx", "A 41186-2023")</f>
        <v/>
      </c>
      <c r="Y22">
        <f>HYPERLINK("https://klasma.github.io/Logging_2029/tillsynsmail/A 41186-2023 tillsynsbegäran mail.docx", "A 41186-2023")</f>
        <v/>
      </c>
    </row>
    <row r="23" ht="15" customHeight="1">
      <c r="A23" t="inlineStr">
        <is>
          <t>A 9408-2024</t>
        </is>
      </c>
      <c r="B23" s="1" t="n">
        <v>45358</v>
      </c>
      <c r="C23" s="1" t="n">
        <v>45471</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17915-2024</t>
        </is>
      </c>
      <c r="B24" s="1" t="n">
        <v>45419</v>
      </c>
      <c r="C24" s="1" t="n">
        <v>45471</v>
      </c>
      <c r="D24" t="inlineStr">
        <is>
          <t>DALARNAS LÄN</t>
        </is>
      </c>
      <c r="E24" t="inlineStr">
        <is>
          <t>LEKSAND</t>
        </is>
      </c>
      <c r="G24" t="n">
        <v>3.4</v>
      </c>
      <c r="H24" t="n">
        <v>2</v>
      </c>
      <c r="I24" t="n">
        <v>0</v>
      </c>
      <c r="J24" t="n">
        <v>0</v>
      </c>
      <c r="K24" t="n">
        <v>1</v>
      </c>
      <c r="L24" t="n">
        <v>0</v>
      </c>
      <c r="M24" t="n">
        <v>0</v>
      </c>
      <c r="N24" t="n">
        <v>0</v>
      </c>
      <c r="O24" t="n">
        <v>1</v>
      </c>
      <c r="P24" t="n">
        <v>1</v>
      </c>
      <c r="Q24" t="n">
        <v>2</v>
      </c>
      <c r="R24" s="2" t="inlineStr">
        <is>
          <t>Knärot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36549-2021</t>
        </is>
      </c>
      <c r="B25" s="1" t="n">
        <v>44391</v>
      </c>
      <c r="C25" s="1" t="n">
        <v>45471</v>
      </c>
      <c r="D25" t="inlineStr">
        <is>
          <t>DALARNAS LÄN</t>
        </is>
      </c>
      <c r="E25" t="inlineStr">
        <is>
          <t>LEKSAND</t>
        </is>
      </c>
      <c r="F25" t="inlineStr">
        <is>
          <t>Bergvik skog väst AB</t>
        </is>
      </c>
      <c r="G25" t="n">
        <v>5.9</v>
      </c>
      <c r="H25" t="n">
        <v>0</v>
      </c>
      <c r="I25" t="n">
        <v>1</v>
      </c>
      <c r="J25" t="n">
        <v>0</v>
      </c>
      <c r="K25" t="n">
        <v>0</v>
      </c>
      <c r="L25" t="n">
        <v>0</v>
      </c>
      <c r="M25" t="n">
        <v>0</v>
      </c>
      <c r="N25" t="n">
        <v>0</v>
      </c>
      <c r="O25" t="n">
        <v>0</v>
      </c>
      <c r="P25" t="n">
        <v>0</v>
      </c>
      <c r="Q25" t="n">
        <v>1</v>
      </c>
      <c r="R25" s="2" t="inlineStr">
        <is>
          <t>Dropptaggsvamp</t>
        </is>
      </c>
      <c r="S25">
        <f>HYPERLINK("https://klasma.github.io/Logging_2029/artfynd/A 36549-2021 artfynd.xlsx", "A 36549-2021")</f>
        <v/>
      </c>
      <c r="T25">
        <f>HYPERLINK("https://klasma.github.io/Logging_2029/kartor/A 36549-2021 karta.png", "A 36549-2021")</f>
        <v/>
      </c>
      <c r="V25">
        <f>HYPERLINK("https://klasma.github.io/Logging_2029/klagomål/A 36549-2021 FSC-klagomål.docx", "A 36549-2021")</f>
        <v/>
      </c>
      <c r="W25">
        <f>HYPERLINK("https://klasma.github.io/Logging_2029/klagomålsmail/A 36549-2021 FSC-klagomål mail.docx", "A 36549-2021")</f>
        <v/>
      </c>
      <c r="X25">
        <f>HYPERLINK("https://klasma.github.io/Logging_2029/tillsyn/A 36549-2021 tillsynsbegäran.docx", "A 36549-2021")</f>
        <v/>
      </c>
      <c r="Y25">
        <f>HYPERLINK("https://klasma.github.io/Logging_2029/tillsynsmail/A 36549-2021 tillsynsbegäran mail.docx", "A 36549-2021")</f>
        <v/>
      </c>
    </row>
    <row r="26" ht="15" customHeight="1">
      <c r="A26" t="inlineStr">
        <is>
          <t>A 41718-2021</t>
        </is>
      </c>
      <c r="B26" s="1" t="n">
        <v>44425</v>
      </c>
      <c r="C26" s="1" t="n">
        <v>45471</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41873-2022</t>
        </is>
      </c>
      <c r="B27" s="1" t="n">
        <v>44829</v>
      </c>
      <c r="C27" s="1" t="n">
        <v>45471</v>
      </c>
      <c r="D27" t="inlineStr">
        <is>
          <t>DALARNAS LÄN</t>
        </is>
      </c>
      <c r="E27" t="inlineStr">
        <is>
          <t>LEKSAND</t>
        </is>
      </c>
      <c r="G27" t="n">
        <v>2.1</v>
      </c>
      <c r="H27" t="n">
        <v>1</v>
      </c>
      <c r="I27" t="n">
        <v>0</v>
      </c>
      <c r="J27" t="n">
        <v>1</v>
      </c>
      <c r="K27" t="n">
        <v>0</v>
      </c>
      <c r="L27" t="n">
        <v>0</v>
      </c>
      <c r="M27" t="n">
        <v>0</v>
      </c>
      <c r="N27" t="n">
        <v>0</v>
      </c>
      <c r="O27" t="n">
        <v>1</v>
      </c>
      <c r="P27" t="n">
        <v>0</v>
      </c>
      <c r="Q27" t="n">
        <v>1</v>
      </c>
      <c r="R27" s="2" t="inlineStr">
        <is>
          <t>Spillkråka</t>
        </is>
      </c>
      <c r="S27">
        <f>HYPERLINK("https://klasma.github.io/Logging_2029/artfynd/A 41873-2022 artfynd.xlsx", "A 41873-2022")</f>
        <v/>
      </c>
      <c r="T27">
        <f>HYPERLINK("https://klasma.github.io/Logging_2029/kartor/A 41873-2022 karta.png", "A 41873-2022")</f>
        <v/>
      </c>
      <c r="V27">
        <f>HYPERLINK("https://klasma.github.io/Logging_2029/klagomål/A 41873-2022 FSC-klagomål.docx", "A 41873-2022")</f>
        <v/>
      </c>
      <c r="W27">
        <f>HYPERLINK("https://klasma.github.io/Logging_2029/klagomålsmail/A 41873-2022 FSC-klagomål mail.docx", "A 41873-2022")</f>
        <v/>
      </c>
      <c r="X27">
        <f>HYPERLINK("https://klasma.github.io/Logging_2029/tillsyn/A 41873-2022 tillsynsbegäran.docx", "A 41873-2022")</f>
        <v/>
      </c>
      <c r="Y27">
        <f>HYPERLINK("https://klasma.github.io/Logging_2029/tillsynsmail/A 41873-2022 tillsynsbegäran mail.docx", "A 41873-2022")</f>
        <v/>
      </c>
      <c r="Z27">
        <f>HYPERLINK("https://klasma.github.io/Logging_2029/fåglar/A 41873-2022 prioriterade fågelarter.docx", "A 41873-2022")</f>
        <v/>
      </c>
    </row>
    <row r="28" ht="15" customHeight="1">
      <c r="A28" t="inlineStr">
        <is>
          <t>A 50360-2022</t>
        </is>
      </c>
      <c r="B28" s="1" t="n">
        <v>44866</v>
      </c>
      <c r="C28" s="1" t="n">
        <v>45471</v>
      </c>
      <c r="D28" t="inlineStr">
        <is>
          <t>DALARNAS LÄN</t>
        </is>
      </c>
      <c r="E28" t="inlineStr">
        <is>
          <t>LEKSAND</t>
        </is>
      </c>
      <c r="F28" t="inlineStr">
        <is>
          <t>Bergvik skog väst AB</t>
        </is>
      </c>
      <c r="G28" t="n">
        <v>0.7</v>
      </c>
      <c r="H28" t="n">
        <v>1</v>
      </c>
      <c r="I28" t="n">
        <v>0</v>
      </c>
      <c r="J28" t="n">
        <v>0</v>
      </c>
      <c r="K28" t="n">
        <v>1</v>
      </c>
      <c r="L28" t="n">
        <v>0</v>
      </c>
      <c r="M28" t="n">
        <v>0</v>
      </c>
      <c r="N28" t="n">
        <v>0</v>
      </c>
      <c r="O28" t="n">
        <v>1</v>
      </c>
      <c r="P28" t="n">
        <v>1</v>
      </c>
      <c r="Q28" t="n">
        <v>1</v>
      </c>
      <c r="R28" s="2" t="inlineStr">
        <is>
          <t>Knärot</t>
        </is>
      </c>
      <c r="S28">
        <f>HYPERLINK("https://klasma.github.io/Logging_2029/artfynd/A 50360-2022 artfynd.xlsx", "A 50360-2022")</f>
        <v/>
      </c>
      <c r="T28">
        <f>HYPERLINK("https://klasma.github.io/Logging_2029/kartor/A 50360-2022 karta.png", "A 50360-2022")</f>
        <v/>
      </c>
      <c r="U28">
        <f>HYPERLINK("https://klasma.github.io/Logging_2029/knärot/A 50360-2022 karta knärot.png", "A 50360-2022")</f>
        <v/>
      </c>
      <c r="V28">
        <f>HYPERLINK("https://klasma.github.io/Logging_2029/klagomål/A 50360-2022 FSC-klagomål.docx", "A 50360-2022")</f>
        <v/>
      </c>
      <c r="W28">
        <f>HYPERLINK("https://klasma.github.io/Logging_2029/klagomålsmail/A 50360-2022 FSC-klagomål mail.docx", "A 50360-2022")</f>
        <v/>
      </c>
      <c r="X28">
        <f>HYPERLINK("https://klasma.github.io/Logging_2029/tillsyn/A 50360-2022 tillsynsbegäran.docx", "A 50360-2022")</f>
        <v/>
      </c>
      <c r="Y28">
        <f>HYPERLINK("https://klasma.github.io/Logging_2029/tillsynsmail/A 50360-2022 tillsynsbegäran mail.docx", "A 50360-2022")</f>
        <v/>
      </c>
    </row>
    <row r="29" ht="15" customHeight="1">
      <c r="A29" t="inlineStr">
        <is>
          <t>A 6977-2023</t>
        </is>
      </c>
      <c r="B29" s="1" t="n">
        <v>44967</v>
      </c>
      <c r="C29" s="1" t="n">
        <v>45471</v>
      </c>
      <c r="D29" t="inlineStr">
        <is>
          <t>DALARNAS LÄN</t>
        </is>
      </c>
      <c r="E29" t="inlineStr">
        <is>
          <t>LEKSAND</t>
        </is>
      </c>
      <c r="G29" t="n">
        <v>5</v>
      </c>
      <c r="H29" t="n">
        <v>0</v>
      </c>
      <c r="I29" t="n">
        <v>0</v>
      </c>
      <c r="J29" t="n">
        <v>1</v>
      </c>
      <c r="K29" t="n">
        <v>0</v>
      </c>
      <c r="L29" t="n">
        <v>0</v>
      </c>
      <c r="M29" t="n">
        <v>0</v>
      </c>
      <c r="N29" t="n">
        <v>0</v>
      </c>
      <c r="O29" t="n">
        <v>1</v>
      </c>
      <c r="P29" t="n">
        <v>0</v>
      </c>
      <c r="Q29" t="n">
        <v>1</v>
      </c>
      <c r="R29" s="2" t="inlineStr">
        <is>
          <t>Backstarr</t>
        </is>
      </c>
      <c r="S29">
        <f>HYPERLINK("https://klasma.github.io/Logging_2029/artfynd/A 6977-2023 artfynd.xlsx", "A 6977-2023")</f>
        <v/>
      </c>
      <c r="T29">
        <f>HYPERLINK("https://klasma.github.io/Logging_2029/kartor/A 6977-2023 karta.png", "A 6977-2023")</f>
        <v/>
      </c>
      <c r="V29">
        <f>HYPERLINK("https://klasma.github.io/Logging_2029/klagomål/A 6977-2023 FSC-klagomål.docx", "A 6977-2023")</f>
        <v/>
      </c>
      <c r="W29">
        <f>HYPERLINK("https://klasma.github.io/Logging_2029/klagomålsmail/A 6977-2023 FSC-klagomål mail.docx", "A 6977-2023")</f>
        <v/>
      </c>
      <c r="X29">
        <f>HYPERLINK("https://klasma.github.io/Logging_2029/tillsyn/A 6977-2023 tillsynsbegäran.docx", "A 6977-2023")</f>
        <v/>
      </c>
      <c r="Y29">
        <f>HYPERLINK("https://klasma.github.io/Logging_2029/tillsynsmail/A 6977-2023 tillsynsbegäran mail.docx", "A 6977-2023")</f>
        <v/>
      </c>
    </row>
    <row r="30" ht="15" customHeight="1">
      <c r="A30" t="inlineStr">
        <is>
          <t>A 8529-2023</t>
        </is>
      </c>
      <c r="B30" s="1" t="n">
        <v>44977</v>
      </c>
      <c r="C30" s="1" t="n">
        <v>45471</v>
      </c>
      <c r="D30" t="inlineStr">
        <is>
          <t>DALARNAS LÄN</t>
        </is>
      </c>
      <c r="E30" t="inlineStr">
        <is>
          <t>LEKSAND</t>
        </is>
      </c>
      <c r="G30" t="n">
        <v>2.7</v>
      </c>
      <c r="H30" t="n">
        <v>1</v>
      </c>
      <c r="I30" t="n">
        <v>0</v>
      </c>
      <c r="J30" t="n">
        <v>0</v>
      </c>
      <c r="K30" t="n">
        <v>1</v>
      </c>
      <c r="L30" t="n">
        <v>0</v>
      </c>
      <c r="M30" t="n">
        <v>0</v>
      </c>
      <c r="N30" t="n">
        <v>0</v>
      </c>
      <c r="O30" t="n">
        <v>1</v>
      </c>
      <c r="P30" t="n">
        <v>1</v>
      </c>
      <c r="Q30" t="n">
        <v>1</v>
      </c>
      <c r="R30" s="2" t="inlineStr">
        <is>
          <t>Knärot</t>
        </is>
      </c>
      <c r="S30">
        <f>HYPERLINK("https://klasma.github.io/Logging_2029/artfynd/A 8529-2023 artfynd.xlsx", "A 8529-2023")</f>
        <v/>
      </c>
      <c r="T30">
        <f>HYPERLINK("https://klasma.github.io/Logging_2029/kartor/A 8529-2023 karta.png", "A 8529-2023")</f>
        <v/>
      </c>
      <c r="U30">
        <f>HYPERLINK("https://klasma.github.io/Logging_2029/knärot/A 8529-2023 karta knärot.png", "A 8529-2023")</f>
        <v/>
      </c>
      <c r="V30">
        <f>HYPERLINK("https://klasma.github.io/Logging_2029/klagomål/A 8529-2023 FSC-klagomål.docx", "A 8529-2023")</f>
        <v/>
      </c>
      <c r="W30">
        <f>HYPERLINK("https://klasma.github.io/Logging_2029/klagomålsmail/A 8529-2023 FSC-klagomål mail.docx", "A 8529-2023")</f>
        <v/>
      </c>
      <c r="X30">
        <f>HYPERLINK("https://klasma.github.io/Logging_2029/tillsyn/A 8529-2023 tillsynsbegäran.docx", "A 8529-2023")</f>
        <v/>
      </c>
      <c r="Y30">
        <f>HYPERLINK("https://klasma.github.io/Logging_2029/tillsynsmail/A 8529-2023 tillsynsbegäran mail.docx", "A 8529-2023")</f>
        <v/>
      </c>
    </row>
    <row r="31" ht="15" customHeight="1">
      <c r="A31" t="inlineStr">
        <is>
          <t>A 11754-2023</t>
        </is>
      </c>
      <c r="B31" s="1" t="n">
        <v>44993</v>
      </c>
      <c r="C31" s="1" t="n">
        <v>45471</v>
      </c>
      <c r="D31" t="inlineStr">
        <is>
          <t>DALARNAS LÄN</t>
        </is>
      </c>
      <c r="E31" t="inlineStr">
        <is>
          <t>LEKSAND</t>
        </is>
      </c>
      <c r="G31" t="n">
        <v>4.7</v>
      </c>
      <c r="H31" t="n">
        <v>1</v>
      </c>
      <c r="I31" t="n">
        <v>0</v>
      </c>
      <c r="J31" t="n">
        <v>0</v>
      </c>
      <c r="K31" t="n">
        <v>1</v>
      </c>
      <c r="L31" t="n">
        <v>0</v>
      </c>
      <c r="M31" t="n">
        <v>0</v>
      </c>
      <c r="N31" t="n">
        <v>0</v>
      </c>
      <c r="O31" t="n">
        <v>1</v>
      </c>
      <c r="P31" t="n">
        <v>1</v>
      </c>
      <c r="Q31" t="n">
        <v>1</v>
      </c>
      <c r="R31" s="2" t="inlineStr">
        <is>
          <t>Knärot</t>
        </is>
      </c>
      <c r="S31">
        <f>HYPERLINK("https://klasma.github.io/Logging_2029/artfynd/A 11754-2023 artfynd.xlsx", "A 11754-2023")</f>
        <v/>
      </c>
      <c r="T31">
        <f>HYPERLINK("https://klasma.github.io/Logging_2029/kartor/A 11754-2023 karta.png", "A 11754-2023")</f>
        <v/>
      </c>
      <c r="U31">
        <f>HYPERLINK("https://klasma.github.io/Logging_2029/knärot/A 11754-2023 karta knärot.png", "A 11754-2023")</f>
        <v/>
      </c>
      <c r="V31">
        <f>HYPERLINK("https://klasma.github.io/Logging_2029/klagomål/A 11754-2023 FSC-klagomål.docx", "A 11754-2023")</f>
        <v/>
      </c>
      <c r="W31">
        <f>HYPERLINK("https://klasma.github.io/Logging_2029/klagomålsmail/A 11754-2023 FSC-klagomål mail.docx", "A 11754-2023")</f>
        <v/>
      </c>
      <c r="X31">
        <f>HYPERLINK("https://klasma.github.io/Logging_2029/tillsyn/A 11754-2023 tillsynsbegäran.docx", "A 11754-2023")</f>
        <v/>
      </c>
      <c r="Y31">
        <f>HYPERLINK("https://klasma.github.io/Logging_2029/tillsynsmail/A 11754-2023 tillsynsbegäran mail.docx", "A 11754-2023")</f>
        <v/>
      </c>
    </row>
    <row r="32" ht="15" customHeight="1">
      <c r="A32" t="inlineStr">
        <is>
          <t>A 15432-2023</t>
        </is>
      </c>
      <c r="B32" s="1" t="n">
        <v>45020</v>
      </c>
      <c r="C32" s="1" t="n">
        <v>45471</v>
      </c>
      <c r="D32" t="inlineStr">
        <is>
          <t>DALARNAS LÄN</t>
        </is>
      </c>
      <c r="E32" t="inlineStr">
        <is>
          <t>LEKSAND</t>
        </is>
      </c>
      <c r="G32" t="n">
        <v>2.5</v>
      </c>
      <c r="H32" t="n">
        <v>0</v>
      </c>
      <c r="I32" t="n">
        <v>1</v>
      </c>
      <c r="J32" t="n">
        <v>0</v>
      </c>
      <c r="K32" t="n">
        <v>0</v>
      </c>
      <c r="L32" t="n">
        <v>0</v>
      </c>
      <c r="M32" t="n">
        <v>0</v>
      </c>
      <c r="N32" t="n">
        <v>0</v>
      </c>
      <c r="O32" t="n">
        <v>0</v>
      </c>
      <c r="P32" t="n">
        <v>0</v>
      </c>
      <c r="Q32" t="n">
        <v>1</v>
      </c>
      <c r="R32" s="2" t="inlineStr">
        <is>
          <t>Mindre märgborre</t>
        </is>
      </c>
      <c r="S32">
        <f>HYPERLINK("https://klasma.github.io/Logging_2029/artfynd/A 15432-2023 artfynd.xlsx", "A 15432-2023")</f>
        <v/>
      </c>
      <c r="T32">
        <f>HYPERLINK("https://klasma.github.io/Logging_2029/kartor/A 15432-2023 karta.png", "A 15432-2023")</f>
        <v/>
      </c>
      <c r="V32">
        <f>HYPERLINK("https://klasma.github.io/Logging_2029/klagomål/A 15432-2023 FSC-klagomål.docx", "A 15432-2023")</f>
        <v/>
      </c>
      <c r="W32">
        <f>HYPERLINK("https://klasma.github.io/Logging_2029/klagomålsmail/A 15432-2023 FSC-klagomål mail.docx", "A 15432-2023")</f>
        <v/>
      </c>
      <c r="X32">
        <f>HYPERLINK("https://klasma.github.io/Logging_2029/tillsyn/A 15432-2023 tillsynsbegäran.docx", "A 15432-2023")</f>
        <v/>
      </c>
      <c r="Y32">
        <f>HYPERLINK("https://klasma.github.io/Logging_2029/tillsynsmail/A 15432-2023 tillsynsbegäran mail.docx", "A 15432-2023")</f>
        <v/>
      </c>
    </row>
    <row r="33" ht="15" customHeight="1">
      <c r="A33" t="inlineStr">
        <is>
          <t>A 15908-2023</t>
        </is>
      </c>
      <c r="B33" s="1" t="n">
        <v>45022</v>
      </c>
      <c r="C33" s="1" t="n">
        <v>45471</v>
      </c>
      <c r="D33" t="inlineStr">
        <is>
          <t>DALARNAS LÄN</t>
        </is>
      </c>
      <c r="E33" t="inlineStr">
        <is>
          <t>LEKSAND</t>
        </is>
      </c>
      <c r="G33" t="n">
        <v>2.4</v>
      </c>
      <c r="H33" t="n">
        <v>1</v>
      </c>
      <c r="I33" t="n">
        <v>0</v>
      </c>
      <c r="J33" t="n">
        <v>0</v>
      </c>
      <c r="K33" t="n">
        <v>0</v>
      </c>
      <c r="L33" t="n">
        <v>0</v>
      </c>
      <c r="M33" t="n">
        <v>0</v>
      </c>
      <c r="N33" t="n">
        <v>0</v>
      </c>
      <c r="O33" t="n">
        <v>0</v>
      </c>
      <c r="P33" t="n">
        <v>0</v>
      </c>
      <c r="Q33" t="n">
        <v>1</v>
      </c>
      <c r="R33" s="2" t="inlineStr">
        <is>
          <t>Blåsippa</t>
        </is>
      </c>
      <c r="S33">
        <f>HYPERLINK("https://klasma.github.io/Logging_2029/artfynd/A 15908-2023 artfynd.xlsx", "A 15908-2023")</f>
        <v/>
      </c>
      <c r="T33">
        <f>HYPERLINK("https://klasma.github.io/Logging_2029/kartor/A 15908-2023 karta.png", "A 15908-2023")</f>
        <v/>
      </c>
      <c r="V33">
        <f>HYPERLINK("https://klasma.github.io/Logging_2029/klagomål/A 15908-2023 FSC-klagomål.docx", "A 15908-2023")</f>
        <v/>
      </c>
      <c r="W33">
        <f>HYPERLINK("https://klasma.github.io/Logging_2029/klagomålsmail/A 15908-2023 FSC-klagomål mail.docx", "A 15908-2023")</f>
        <v/>
      </c>
      <c r="X33">
        <f>HYPERLINK("https://klasma.github.io/Logging_2029/tillsyn/A 15908-2023 tillsynsbegäran.docx", "A 15908-2023")</f>
        <v/>
      </c>
      <c r="Y33">
        <f>HYPERLINK("https://klasma.github.io/Logging_2029/tillsynsmail/A 15908-2023 tillsynsbegäran mail.docx", "A 15908-2023")</f>
        <v/>
      </c>
    </row>
    <row r="34" ht="15" customHeight="1">
      <c r="A34" t="inlineStr">
        <is>
          <t>A 17899-2023</t>
        </is>
      </c>
      <c r="B34" s="1" t="n">
        <v>45039</v>
      </c>
      <c r="C34" s="1" t="n">
        <v>45471</v>
      </c>
      <c r="D34" t="inlineStr">
        <is>
          <t>DALARNAS LÄN</t>
        </is>
      </c>
      <c r="E34" t="inlineStr">
        <is>
          <t>LEKSAND</t>
        </is>
      </c>
      <c r="G34" t="n">
        <v>1.9</v>
      </c>
      <c r="H34" t="n">
        <v>0</v>
      </c>
      <c r="I34" t="n">
        <v>0</v>
      </c>
      <c r="J34" t="n">
        <v>1</v>
      </c>
      <c r="K34" t="n">
        <v>0</v>
      </c>
      <c r="L34" t="n">
        <v>0</v>
      </c>
      <c r="M34" t="n">
        <v>0</v>
      </c>
      <c r="N34" t="n">
        <v>0</v>
      </c>
      <c r="O34" t="n">
        <v>1</v>
      </c>
      <c r="P34" t="n">
        <v>0</v>
      </c>
      <c r="Q34" t="n">
        <v>1</v>
      </c>
      <c r="R34" s="2" t="inlineStr">
        <is>
          <t>Grantaggsvamp</t>
        </is>
      </c>
      <c r="S34">
        <f>HYPERLINK("https://klasma.github.io/Logging_2029/artfynd/A 17899-2023 artfynd.xlsx", "A 17899-2023")</f>
        <v/>
      </c>
      <c r="T34">
        <f>HYPERLINK("https://klasma.github.io/Logging_2029/kartor/A 17899-2023 karta.png", "A 17899-2023")</f>
        <v/>
      </c>
      <c r="V34">
        <f>HYPERLINK("https://klasma.github.io/Logging_2029/klagomål/A 17899-2023 FSC-klagomål.docx", "A 17899-2023")</f>
        <v/>
      </c>
      <c r="W34">
        <f>HYPERLINK("https://klasma.github.io/Logging_2029/klagomålsmail/A 17899-2023 FSC-klagomål mail.docx", "A 17899-2023")</f>
        <v/>
      </c>
      <c r="X34">
        <f>HYPERLINK("https://klasma.github.io/Logging_2029/tillsyn/A 17899-2023 tillsynsbegäran.docx", "A 17899-2023")</f>
        <v/>
      </c>
      <c r="Y34">
        <f>HYPERLINK("https://klasma.github.io/Logging_2029/tillsynsmail/A 17899-2023 tillsynsbegäran mail.docx", "A 17899-2023")</f>
        <v/>
      </c>
    </row>
    <row r="35" ht="15" customHeight="1">
      <c r="A35" t="inlineStr">
        <is>
          <t>A 21419-2023</t>
        </is>
      </c>
      <c r="B35" s="1" t="n">
        <v>45061</v>
      </c>
      <c r="C35" s="1" t="n">
        <v>45471</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Nattviol</t>
        </is>
      </c>
      <c r="S35">
        <f>HYPERLINK("https://klasma.github.io/Logging_2029/artfynd/A 21419-2023 artfynd.xlsx", "A 21419-2023")</f>
        <v/>
      </c>
      <c r="T35">
        <f>HYPERLINK("https://klasma.github.io/Logging_2029/kartor/A 21419-2023 karta.png", "A 21419-2023")</f>
        <v/>
      </c>
      <c r="V35">
        <f>HYPERLINK("https://klasma.github.io/Logging_2029/klagomål/A 21419-2023 FSC-klagomål.docx", "A 21419-2023")</f>
        <v/>
      </c>
      <c r="W35">
        <f>HYPERLINK("https://klasma.github.io/Logging_2029/klagomålsmail/A 21419-2023 FSC-klagomål mail.docx", "A 21419-2023")</f>
        <v/>
      </c>
      <c r="X35">
        <f>HYPERLINK("https://klasma.github.io/Logging_2029/tillsyn/A 21419-2023 tillsynsbegäran.docx", "A 21419-2023")</f>
        <v/>
      </c>
      <c r="Y35">
        <f>HYPERLINK("https://klasma.github.io/Logging_2029/tillsynsmail/A 21419-2023 tillsynsbegäran mail.docx", "A 21419-2023")</f>
        <v/>
      </c>
    </row>
    <row r="36" ht="15" customHeight="1">
      <c r="A36" t="inlineStr">
        <is>
          <t>A 26287-2023</t>
        </is>
      </c>
      <c r="B36" s="1" t="n">
        <v>45091</v>
      </c>
      <c r="C36" s="1" t="n">
        <v>45471</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47803-2023</t>
        </is>
      </c>
      <c r="B37" s="1" t="n">
        <v>45204</v>
      </c>
      <c r="C37" s="1" t="n">
        <v>45471</v>
      </c>
      <c r="D37" t="inlineStr">
        <is>
          <t>DALARNAS LÄN</t>
        </is>
      </c>
      <c r="E37" t="inlineStr">
        <is>
          <t>LEKSAND</t>
        </is>
      </c>
      <c r="G37" t="n">
        <v>2</v>
      </c>
      <c r="H37" t="n">
        <v>1</v>
      </c>
      <c r="I37" t="n">
        <v>0</v>
      </c>
      <c r="J37" t="n">
        <v>0</v>
      </c>
      <c r="K37" t="n">
        <v>1</v>
      </c>
      <c r="L37" t="n">
        <v>0</v>
      </c>
      <c r="M37" t="n">
        <v>0</v>
      </c>
      <c r="N37" t="n">
        <v>0</v>
      </c>
      <c r="O37" t="n">
        <v>1</v>
      </c>
      <c r="P37" t="n">
        <v>1</v>
      </c>
      <c r="Q37" t="n">
        <v>1</v>
      </c>
      <c r="R37" s="2" t="inlineStr">
        <is>
          <t>Lappuggla</t>
        </is>
      </c>
      <c r="S37">
        <f>HYPERLINK("https://klasma.github.io/Logging_2029/artfynd/A 47803-2023 artfynd.xlsx", "A 47803-2023")</f>
        <v/>
      </c>
      <c r="T37">
        <f>HYPERLINK("https://klasma.github.io/Logging_2029/kartor/A 47803-2023 karta.png", "A 47803-2023")</f>
        <v/>
      </c>
      <c r="V37">
        <f>HYPERLINK("https://klasma.github.io/Logging_2029/klagomål/A 47803-2023 FSC-klagomål.docx", "A 47803-2023")</f>
        <v/>
      </c>
      <c r="W37">
        <f>HYPERLINK("https://klasma.github.io/Logging_2029/klagomålsmail/A 47803-2023 FSC-klagomål mail.docx", "A 47803-2023")</f>
        <v/>
      </c>
      <c r="X37">
        <f>HYPERLINK("https://klasma.github.io/Logging_2029/tillsyn/A 47803-2023 tillsynsbegäran.docx", "A 47803-2023")</f>
        <v/>
      </c>
      <c r="Y37">
        <f>HYPERLINK("https://klasma.github.io/Logging_2029/tillsynsmail/A 47803-2023 tillsynsbegäran mail.docx", "A 47803-2023")</f>
        <v/>
      </c>
      <c r="Z37">
        <f>HYPERLINK("https://klasma.github.io/Logging_2029/fåglar/A 47803-2023 prioriterade fågelarter.docx", "A 47803-2023")</f>
        <v/>
      </c>
    </row>
    <row r="38" ht="15" customHeight="1">
      <c r="A38" t="inlineStr">
        <is>
          <t>A 53262-2023</t>
        </is>
      </c>
      <c r="B38" s="1" t="n">
        <v>45229</v>
      </c>
      <c r="C38" s="1" t="n">
        <v>45471</v>
      </c>
      <c r="D38" t="inlineStr">
        <is>
          <t>DALARNAS LÄN</t>
        </is>
      </c>
      <c r="E38" t="inlineStr">
        <is>
          <t>LEKSAND</t>
        </is>
      </c>
      <c r="G38" t="n">
        <v>6.1</v>
      </c>
      <c r="H38" t="n">
        <v>1</v>
      </c>
      <c r="I38" t="n">
        <v>0</v>
      </c>
      <c r="J38" t="n">
        <v>0</v>
      </c>
      <c r="K38" t="n">
        <v>0</v>
      </c>
      <c r="L38" t="n">
        <v>1</v>
      </c>
      <c r="M38" t="n">
        <v>0</v>
      </c>
      <c r="N38" t="n">
        <v>0</v>
      </c>
      <c r="O38" t="n">
        <v>1</v>
      </c>
      <c r="P38" t="n">
        <v>1</v>
      </c>
      <c r="Q38" t="n">
        <v>1</v>
      </c>
      <c r="R38" s="2" t="inlineStr">
        <is>
          <t>Mosippa</t>
        </is>
      </c>
      <c r="S38">
        <f>HYPERLINK("https://klasma.github.io/Logging_2029/artfynd/A 53262-2023 artfynd.xlsx", "A 53262-2023")</f>
        <v/>
      </c>
      <c r="T38">
        <f>HYPERLINK("https://klasma.github.io/Logging_2029/kartor/A 53262-2023 karta.png", "A 53262-2023")</f>
        <v/>
      </c>
      <c r="V38">
        <f>HYPERLINK("https://klasma.github.io/Logging_2029/klagomål/A 53262-2023 FSC-klagomål.docx", "A 53262-2023")</f>
        <v/>
      </c>
      <c r="W38">
        <f>HYPERLINK("https://klasma.github.io/Logging_2029/klagomålsmail/A 53262-2023 FSC-klagomål mail.docx", "A 53262-2023")</f>
        <v/>
      </c>
      <c r="X38">
        <f>HYPERLINK("https://klasma.github.io/Logging_2029/tillsyn/A 53262-2023 tillsynsbegäran.docx", "A 53262-2023")</f>
        <v/>
      </c>
      <c r="Y38">
        <f>HYPERLINK("https://klasma.github.io/Logging_2029/tillsynsmail/A 53262-2023 tillsynsbegäran mail.docx", "A 53262-2023")</f>
        <v/>
      </c>
    </row>
    <row r="39" ht="15" customHeight="1">
      <c r="A39" t="inlineStr">
        <is>
          <t>A 59205-2023</t>
        </is>
      </c>
      <c r="B39" s="1" t="n">
        <v>45251</v>
      </c>
      <c r="C39" s="1" t="n">
        <v>45471</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60238-2023</t>
        </is>
      </c>
      <c r="B40" s="1" t="n">
        <v>45258</v>
      </c>
      <c r="C40" s="1" t="n">
        <v>45471</v>
      </c>
      <c r="D40" t="inlineStr">
        <is>
          <t>DALARNAS LÄN</t>
        </is>
      </c>
      <c r="E40" t="inlineStr">
        <is>
          <t>LEKSAND</t>
        </is>
      </c>
      <c r="G40" t="n">
        <v>3.2</v>
      </c>
      <c r="H40" t="n">
        <v>1</v>
      </c>
      <c r="I40" t="n">
        <v>0</v>
      </c>
      <c r="J40" t="n">
        <v>0</v>
      </c>
      <c r="K40" t="n">
        <v>0</v>
      </c>
      <c r="L40" t="n">
        <v>0</v>
      </c>
      <c r="M40" t="n">
        <v>0</v>
      </c>
      <c r="N40" t="n">
        <v>0</v>
      </c>
      <c r="O40" t="n">
        <v>0</v>
      </c>
      <c r="P40" t="n">
        <v>0</v>
      </c>
      <c r="Q40" t="n">
        <v>1</v>
      </c>
      <c r="R40" s="2" t="inlineStr">
        <is>
          <t>Blåsippa</t>
        </is>
      </c>
      <c r="S40">
        <f>HYPERLINK("https://klasma.github.io/Logging_2029/artfynd/A 60238-2023 artfynd.xlsx", "A 60238-2023")</f>
        <v/>
      </c>
      <c r="T40">
        <f>HYPERLINK("https://klasma.github.io/Logging_2029/kartor/A 60238-2023 karta.png", "A 60238-2023")</f>
        <v/>
      </c>
      <c r="V40">
        <f>HYPERLINK("https://klasma.github.io/Logging_2029/klagomål/A 60238-2023 FSC-klagomål.docx", "A 60238-2023")</f>
        <v/>
      </c>
      <c r="W40">
        <f>HYPERLINK("https://klasma.github.io/Logging_2029/klagomålsmail/A 60238-2023 FSC-klagomål mail.docx", "A 60238-2023")</f>
        <v/>
      </c>
      <c r="X40">
        <f>HYPERLINK("https://klasma.github.io/Logging_2029/tillsyn/A 60238-2023 tillsynsbegäran.docx", "A 60238-2023")</f>
        <v/>
      </c>
      <c r="Y40">
        <f>HYPERLINK("https://klasma.github.io/Logging_2029/tillsynsmail/A 60238-2023 tillsynsbegäran mail.docx", "A 60238-2023")</f>
        <v/>
      </c>
    </row>
    <row r="41" ht="15" customHeight="1">
      <c r="A41" t="inlineStr">
        <is>
          <t>A 164-2024</t>
        </is>
      </c>
      <c r="B41" s="1" t="n">
        <v>45294</v>
      </c>
      <c r="C41" s="1" t="n">
        <v>45471</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988-2024</t>
        </is>
      </c>
      <c r="B42" s="1" t="n">
        <v>45301</v>
      </c>
      <c r="C42" s="1" t="n">
        <v>45471</v>
      </c>
      <c r="D42" t="inlineStr">
        <is>
          <t>DALARNAS LÄN</t>
        </is>
      </c>
      <c r="E42" t="inlineStr">
        <is>
          <t>LEKSAND</t>
        </is>
      </c>
      <c r="G42" t="n">
        <v>2.2</v>
      </c>
      <c r="H42" t="n">
        <v>1</v>
      </c>
      <c r="I42" t="n">
        <v>0</v>
      </c>
      <c r="J42" t="n">
        <v>0</v>
      </c>
      <c r="K42" t="n">
        <v>0</v>
      </c>
      <c r="L42" t="n">
        <v>0</v>
      </c>
      <c r="M42" t="n">
        <v>0</v>
      </c>
      <c r="N42" t="n">
        <v>0</v>
      </c>
      <c r="O42" t="n">
        <v>0</v>
      </c>
      <c r="P42" t="n">
        <v>0</v>
      </c>
      <c r="Q42" t="n">
        <v>1</v>
      </c>
      <c r="R42" s="2" t="inlineStr">
        <is>
          <t>Nattviol</t>
        </is>
      </c>
      <c r="S42">
        <f>HYPERLINK("https://klasma.github.io/Logging_2029/artfynd/A 988-2024 artfynd.xlsx", "A 988-2024")</f>
        <v/>
      </c>
      <c r="T42">
        <f>HYPERLINK("https://klasma.github.io/Logging_2029/kartor/A 988-2024 karta.png", "A 988-2024")</f>
        <v/>
      </c>
      <c r="V42">
        <f>HYPERLINK("https://klasma.github.io/Logging_2029/klagomål/A 988-2024 FSC-klagomål.docx", "A 988-2024")</f>
        <v/>
      </c>
      <c r="W42">
        <f>HYPERLINK("https://klasma.github.io/Logging_2029/klagomålsmail/A 988-2024 FSC-klagomål mail.docx", "A 988-2024")</f>
        <v/>
      </c>
      <c r="X42">
        <f>HYPERLINK("https://klasma.github.io/Logging_2029/tillsyn/A 988-2024 tillsynsbegäran.docx", "A 988-2024")</f>
        <v/>
      </c>
      <c r="Y42">
        <f>HYPERLINK("https://klasma.github.io/Logging_2029/tillsynsmail/A 988-2024 tillsynsbegäran mail.docx", "A 988-2024")</f>
        <v/>
      </c>
    </row>
    <row r="43" ht="15" customHeight="1">
      <c r="A43" t="inlineStr">
        <is>
          <t>A 20794-2024</t>
        </is>
      </c>
      <c r="B43" s="1" t="n">
        <v>45438</v>
      </c>
      <c r="C43" s="1" t="n">
        <v>45471</v>
      </c>
      <c r="D43" t="inlineStr">
        <is>
          <t>DALARNAS LÄN</t>
        </is>
      </c>
      <c r="E43" t="inlineStr">
        <is>
          <t>LEKSAND</t>
        </is>
      </c>
      <c r="G43" t="n">
        <v>6.1</v>
      </c>
      <c r="H43" t="n">
        <v>1</v>
      </c>
      <c r="I43" t="n">
        <v>0</v>
      </c>
      <c r="J43" t="n">
        <v>1</v>
      </c>
      <c r="K43" t="n">
        <v>0</v>
      </c>
      <c r="L43" t="n">
        <v>0</v>
      </c>
      <c r="M43" t="n">
        <v>0</v>
      </c>
      <c r="N43" t="n">
        <v>0</v>
      </c>
      <c r="O43" t="n">
        <v>1</v>
      </c>
      <c r="P43" t="n">
        <v>0</v>
      </c>
      <c r="Q43" t="n">
        <v>1</v>
      </c>
      <c r="R43" s="2" t="inlineStr">
        <is>
          <t>Utter</t>
        </is>
      </c>
      <c r="S43">
        <f>HYPERLINK("https://klasma.github.io/Logging_2029/artfynd/A 20794-2024 artfynd.xlsx", "A 20794-2024")</f>
        <v/>
      </c>
      <c r="T43">
        <f>HYPERLINK("https://klasma.github.io/Logging_2029/kartor/A 20794-2024 karta.png", "A 20794-2024")</f>
        <v/>
      </c>
      <c r="V43">
        <f>HYPERLINK("https://klasma.github.io/Logging_2029/klagomål/A 20794-2024 FSC-klagomål.docx", "A 20794-2024")</f>
        <v/>
      </c>
      <c r="W43">
        <f>HYPERLINK("https://klasma.github.io/Logging_2029/klagomålsmail/A 20794-2024 FSC-klagomål mail.docx", "A 20794-2024")</f>
        <v/>
      </c>
      <c r="X43">
        <f>HYPERLINK("https://klasma.github.io/Logging_2029/tillsyn/A 20794-2024 tillsynsbegäran.docx", "A 20794-2024")</f>
        <v/>
      </c>
      <c r="Y43">
        <f>HYPERLINK("https://klasma.github.io/Logging_2029/tillsynsmail/A 20794-2024 tillsynsbegäran mail.docx", "A 20794-2024")</f>
        <v/>
      </c>
    </row>
    <row r="44" ht="15" customHeight="1">
      <c r="A44" t="inlineStr">
        <is>
          <t>A 17822-2019</t>
        </is>
      </c>
      <c r="B44" s="1" t="n">
        <v>43556</v>
      </c>
      <c r="C44" s="1" t="n">
        <v>45471</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17967-2019</t>
        </is>
      </c>
      <c r="B45" s="1" t="n">
        <v>43557</v>
      </c>
      <c r="C45" s="1" t="n">
        <v>45471</v>
      </c>
      <c r="D45" t="inlineStr">
        <is>
          <t>DALARNAS LÄN</t>
        </is>
      </c>
      <c r="E45" t="inlineStr">
        <is>
          <t>LEKSAND</t>
        </is>
      </c>
      <c r="G45" t="n">
        <v>0.6</v>
      </c>
      <c r="H45" t="n">
        <v>0</v>
      </c>
      <c r="I45" t="n">
        <v>0</v>
      </c>
      <c r="J45" t="n">
        <v>0</v>
      </c>
      <c r="K45" t="n">
        <v>0</v>
      </c>
      <c r="L45" t="n">
        <v>0</v>
      </c>
      <c r="M45" t="n">
        <v>0</v>
      </c>
      <c r="N45" t="n">
        <v>0</v>
      </c>
      <c r="O45" t="n">
        <v>0</v>
      </c>
      <c r="P45" t="n">
        <v>0</v>
      </c>
      <c r="Q45" t="n">
        <v>0</v>
      </c>
      <c r="R45" s="2" t="inlineStr"/>
    </row>
    <row r="46" ht="15" customHeight="1">
      <c r="A46" t="inlineStr">
        <is>
          <t>A 17970-2019</t>
        </is>
      </c>
      <c r="B46" s="1" t="n">
        <v>43557</v>
      </c>
      <c r="C46" s="1" t="n">
        <v>45471</v>
      </c>
      <c r="D46" t="inlineStr">
        <is>
          <t>DALARNAS LÄN</t>
        </is>
      </c>
      <c r="E46" t="inlineStr">
        <is>
          <t>LEKSAND</t>
        </is>
      </c>
      <c r="G46" t="n">
        <v>2.5</v>
      </c>
      <c r="H46" t="n">
        <v>0</v>
      </c>
      <c r="I46" t="n">
        <v>0</v>
      </c>
      <c r="J46" t="n">
        <v>0</v>
      </c>
      <c r="K46" t="n">
        <v>0</v>
      </c>
      <c r="L46" t="n">
        <v>0</v>
      </c>
      <c r="M46" t="n">
        <v>0</v>
      </c>
      <c r="N46" t="n">
        <v>0</v>
      </c>
      <c r="O46" t="n">
        <v>0</v>
      </c>
      <c r="P46" t="n">
        <v>0</v>
      </c>
      <c r="Q46" t="n">
        <v>0</v>
      </c>
      <c r="R46" s="2" t="inlineStr"/>
    </row>
    <row r="47" ht="15" customHeight="1">
      <c r="A47" t="inlineStr">
        <is>
          <t>A 18238-2019</t>
        </is>
      </c>
      <c r="B47" s="1" t="n">
        <v>43558</v>
      </c>
      <c r="C47" s="1" t="n">
        <v>45471</v>
      </c>
      <c r="D47" t="inlineStr">
        <is>
          <t>DALARNAS LÄN</t>
        </is>
      </c>
      <c r="E47" t="inlineStr">
        <is>
          <t>LEKSAND</t>
        </is>
      </c>
      <c r="G47" t="n">
        <v>3.3</v>
      </c>
      <c r="H47" t="n">
        <v>0</v>
      </c>
      <c r="I47" t="n">
        <v>0</v>
      </c>
      <c r="J47" t="n">
        <v>0</v>
      </c>
      <c r="K47" t="n">
        <v>0</v>
      </c>
      <c r="L47" t="n">
        <v>0</v>
      </c>
      <c r="M47" t="n">
        <v>0</v>
      </c>
      <c r="N47" t="n">
        <v>0</v>
      </c>
      <c r="O47" t="n">
        <v>0</v>
      </c>
      <c r="P47" t="n">
        <v>0</v>
      </c>
      <c r="Q47" t="n">
        <v>0</v>
      </c>
      <c r="R47" s="2" t="inlineStr"/>
    </row>
    <row r="48" ht="15" customHeight="1">
      <c r="A48" t="inlineStr">
        <is>
          <t>A 19703-2019</t>
        </is>
      </c>
      <c r="B48" s="1" t="n">
        <v>43566</v>
      </c>
      <c r="C48" s="1" t="n">
        <v>45471</v>
      </c>
      <c r="D48" t="inlineStr">
        <is>
          <t>DALARNAS LÄN</t>
        </is>
      </c>
      <c r="E48" t="inlineStr">
        <is>
          <t>LEKSAND</t>
        </is>
      </c>
      <c r="G48" t="n">
        <v>0.4</v>
      </c>
      <c r="H48" t="n">
        <v>0</v>
      </c>
      <c r="I48" t="n">
        <v>0</v>
      </c>
      <c r="J48" t="n">
        <v>0</v>
      </c>
      <c r="K48" t="n">
        <v>0</v>
      </c>
      <c r="L48" t="n">
        <v>0</v>
      </c>
      <c r="M48" t="n">
        <v>0</v>
      </c>
      <c r="N48" t="n">
        <v>0</v>
      </c>
      <c r="O48" t="n">
        <v>0</v>
      </c>
      <c r="P48" t="n">
        <v>0</v>
      </c>
      <c r="Q48" t="n">
        <v>0</v>
      </c>
      <c r="R48" s="2" t="inlineStr"/>
    </row>
    <row r="49" ht="15" customHeight="1">
      <c r="A49" t="inlineStr">
        <is>
          <t>A 19790-2019</t>
        </is>
      </c>
      <c r="B49" s="1" t="n">
        <v>43566</v>
      </c>
      <c r="C49" s="1" t="n">
        <v>45471</v>
      </c>
      <c r="D49" t="inlineStr">
        <is>
          <t>DALARNAS LÄN</t>
        </is>
      </c>
      <c r="E49" t="inlineStr">
        <is>
          <t>LEKSAND</t>
        </is>
      </c>
      <c r="G49" t="n">
        <v>11.4</v>
      </c>
      <c r="H49" t="n">
        <v>0</v>
      </c>
      <c r="I49" t="n">
        <v>0</v>
      </c>
      <c r="J49" t="n">
        <v>0</v>
      </c>
      <c r="K49" t="n">
        <v>0</v>
      </c>
      <c r="L49" t="n">
        <v>0</v>
      </c>
      <c r="M49" t="n">
        <v>0</v>
      </c>
      <c r="N49" t="n">
        <v>0</v>
      </c>
      <c r="O49" t="n">
        <v>0</v>
      </c>
      <c r="P49" t="n">
        <v>0</v>
      </c>
      <c r="Q49" t="n">
        <v>0</v>
      </c>
      <c r="R49" s="2" t="inlineStr"/>
    </row>
    <row r="50" ht="15" customHeight="1">
      <c r="A50" t="inlineStr">
        <is>
          <t>A 22975-2019</t>
        </is>
      </c>
      <c r="B50" s="1" t="n">
        <v>43591</v>
      </c>
      <c r="C50" s="1" t="n">
        <v>45471</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24300-2019</t>
        </is>
      </c>
      <c r="B51" s="1" t="n">
        <v>43598</v>
      </c>
      <c r="C51" s="1" t="n">
        <v>45471</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24051-2019</t>
        </is>
      </c>
      <c r="B52" s="1" t="n">
        <v>43598</v>
      </c>
      <c r="C52" s="1" t="n">
        <v>45471</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24542-2019</t>
        </is>
      </c>
      <c r="B53" s="1" t="n">
        <v>43600</v>
      </c>
      <c r="C53" s="1" t="n">
        <v>45471</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32532-2019</t>
        </is>
      </c>
      <c r="B54" s="1" t="n">
        <v>43646</v>
      </c>
      <c r="C54" s="1" t="n">
        <v>45471</v>
      </c>
      <c r="D54" t="inlineStr">
        <is>
          <t>DALARNAS LÄN</t>
        </is>
      </c>
      <c r="E54" t="inlineStr">
        <is>
          <t>LEKSAND</t>
        </is>
      </c>
      <c r="G54" t="n">
        <v>3.1</v>
      </c>
      <c r="H54" t="n">
        <v>0</v>
      </c>
      <c r="I54" t="n">
        <v>0</v>
      </c>
      <c r="J54" t="n">
        <v>0</v>
      </c>
      <c r="K54" t="n">
        <v>0</v>
      </c>
      <c r="L54" t="n">
        <v>0</v>
      </c>
      <c r="M54" t="n">
        <v>0</v>
      </c>
      <c r="N54" t="n">
        <v>0</v>
      </c>
      <c r="O54" t="n">
        <v>0</v>
      </c>
      <c r="P54" t="n">
        <v>0</v>
      </c>
      <c r="Q54" t="n">
        <v>0</v>
      </c>
      <c r="R54" s="2" t="inlineStr"/>
    </row>
    <row r="55" ht="15" customHeight="1">
      <c r="A55" t="inlineStr">
        <is>
          <t>A 33903-2019</t>
        </is>
      </c>
      <c r="B55" s="1" t="n">
        <v>43654</v>
      </c>
      <c r="C55" s="1" t="n">
        <v>45471</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36014-2019</t>
        </is>
      </c>
      <c r="B56" s="1" t="n">
        <v>43657</v>
      </c>
      <c r="C56" s="1" t="n">
        <v>45471</v>
      </c>
      <c r="D56" t="inlineStr">
        <is>
          <t>DALARNAS LÄN</t>
        </is>
      </c>
      <c r="E56" t="inlineStr">
        <is>
          <t>LEKSAND</t>
        </is>
      </c>
      <c r="G56" t="n">
        <v>1.8</v>
      </c>
      <c r="H56" t="n">
        <v>0</v>
      </c>
      <c r="I56" t="n">
        <v>0</v>
      </c>
      <c r="J56" t="n">
        <v>0</v>
      </c>
      <c r="K56" t="n">
        <v>0</v>
      </c>
      <c r="L56" t="n">
        <v>0</v>
      </c>
      <c r="M56" t="n">
        <v>0</v>
      </c>
      <c r="N56" t="n">
        <v>0</v>
      </c>
      <c r="O56" t="n">
        <v>0</v>
      </c>
      <c r="P56" t="n">
        <v>0</v>
      </c>
      <c r="Q56" t="n">
        <v>0</v>
      </c>
      <c r="R56" s="2" t="inlineStr"/>
    </row>
    <row r="57" ht="15" customHeight="1">
      <c r="A57" t="inlineStr">
        <is>
          <t>A 36023-2019</t>
        </is>
      </c>
      <c r="B57" s="1" t="n">
        <v>43657</v>
      </c>
      <c r="C57" s="1" t="n">
        <v>45471</v>
      </c>
      <c r="D57" t="inlineStr">
        <is>
          <t>DALARNAS LÄN</t>
        </is>
      </c>
      <c r="E57" t="inlineStr">
        <is>
          <t>LEKSAND</t>
        </is>
      </c>
      <c r="G57" t="n">
        <v>1.5</v>
      </c>
      <c r="H57" t="n">
        <v>0</v>
      </c>
      <c r="I57" t="n">
        <v>0</v>
      </c>
      <c r="J57" t="n">
        <v>0</v>
      </c>
      <c r="K57" t="n">
        <v>0</v>
      </c>
      <c r="L57" t="n">
        <v>0</v>
      </c>
      <c r="M57" t="n">
        <v>0</v>
      </c>
      <c r="N57" t="n">
        <v>0</v>
      </c>
      <c r="O57" t="n">
        <v>0</v>
      </c>
      <c r="P57" t="n">
        <v>0</v>
      </c>
      <c r="Q57" t="n">
        <v>0</v>
      </c>
      <c r="R57" s="2" t="inlineStr"/>
    </row>
    <row r="58" ht="15" customHeight="1">
      <c r="A58" t="inlineStr">
        <is>
          <t>A 36287-2019</t>
        </is>
      </c>
      <c r="B58" s="1" t="n">
        <v>43669</v>
      </c>
      <c r="C58" s="1" t="n">
        <v>45471</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37733-2019</t>
        </is>
      </c>
      <c r="B59" s="1" t="n">
        <v>43682</v>
      </c>
      <c r="C59" s="1" t="n">
        <v>45471</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37822-2019</t>
        </is>
      </c>
      <c r="B60" s="1" t="n">
        <v>43682</v>
      </c>
      <c r="C60" s="1" t="n">
        <v>45471</v>
      </c>
      <c r="D60" t="inlineStr">
        <is>
          <t>DALARNAS LÄN</t>
        </is>
      </c>
      <c r="E60" t="inlineStr">
        <is>
          <t>LEKSAND</t>
        </is>
      </c>
      <c r="G60" t="n">
        <v>8.9</v>
      </c>
      <c r="H60" t="n">
        <v>0</v>
      </c>
      <c r="I60" t="n">
        <v>0</v>
      </c>
      <c r="J60" t="n">
        <v>0</v>
      </c>
      <c r="K60" t="n">
        <v>0</v>
      </c>
      <c r="L60" t="n">
        <v>0</v>
      </c>
      <c r="M60" t="n">
        <v>0</v>
      </c>
      <c r="N60" t="n">
        <v>0</v>
      </c>
      <c r="O60" t="n">
        <v>0</v>
      </c>
      <c r="P60" t="n">
        <v>0</v>
      </c>
      <c r="Q60" t="n">
        <v>0</v>
      </c>
      <c r="R60" s="2" t="inlineStr"/>
    </row>
    <row r="61" ht="15" customHeight="1">
      <c r="A61" t="inlineStr">
        <is>
          <t>A 38350-2019</t>
        </is>
      </c>
      <c r="B61" s="1" t="n">
        <v>43685</v>
      </c>
      <c r="C61" s="1" t="n">
        <v>45471</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39025-2019</t>
        </is>
      </c>
      <c r="B62" s="1" t="n">
        <v>43689</v>
      </c>
      <c r="C62" s="1" t="n">
        <v>45471</v>
      </c>
      <c r="D62" t="inlineStr">
        <is>
          <t>DALARNAS LÄN</t>
        </is>
      </c>
      <c r="E62" t="inlineStr">
        <is>
          <t>LEKSAND</t>
        </is>
      </c>
      <c r="F62" t="inlineStr">
        <is>
          <t>Bergvik skog väst AB</t>
        </is>
      </c>
      <c r="G62" t="n">
        <v>10.1</v>
      </c>
      <c r="H62" t="n">
        <v>0</v>
      </c>
      <c r="I62" t="n">
        <v>0</v>
      </c>
      <c r="J62" t="n">
        <v>0</v>
      </c>
      <c r="K62" t="n">
        <v>0</v>
      </c>
      <c r="L62" t="n">
        <v>0</v>
      </c>
      <c r="M62" t="n">
        <v>0</v>
      </c>
      <c r="N62" t="n">
        <v>0</v>
      </c>
      <c r="O62" t="n">
        <v>0</v>
      </c>
      <c r="P62" t="n">
        <v>0</v>
      </c>
      <c r="Q62" t="n">
        <v>0</v>
      </c>
      <c r="R62" s="2" t="inlineStr"/>
    </row>
    <row r="63" ht="15" customHeight="1">
      <c r="A63" t="inlineStr">
        <is>
          <t>A 41329-2019</t>
        </is>
      </c>
      <c r="B63" s="1" t="n">
        <v>43698</v>
      </c>
      <c r="C63" s="1" t="n">
        <v>45471</v>
      </c>
      <c r="D63" t="inlineStr">
        <is>
          <t>DALARNAS LÄN</t>
        </is>
      </c>
      <c r="E63" t="inlineStr">
        <is>
          <t>LEKSAND</t>
        </is>
      </c>
      <c r="G63" t="n">
        <v>2</v>
      </c>
      <c r="H63" t="n">
        <v>0</v>
      </c>
      <c r="I63" t="n">
        <v>0</v>
      </c>
      <c r="J63" t="n">
        <v>0</v>
      </c>
      <c r="K63" t="n">
        <v>0</v>
      </c>
      <c r="L63" t="n">
        <v>0</v>
      </c>
      <c r="M63" t="n">
        <v>0</v>
      </c>
      <c r="N63" t="n">
        <v>0</v>
      </c>
      <c r="O63" t="n">
        <v>0</v>
      </c>
      <c r="P63" t="n">
        <v>0</v>
      </c>
      <c r="Q63" t="n">
        <v>0</v>
      </c>
      <c r="R63" s="2" t="inlineStr"/>
    </row>
    <row r="64" ht="15" customHeight="1">
      <c r="A64" t="inlineStr">
        <is>
          <t>A 43082-2019</t>
        </is>
      </c>
      <c r="B64" s="1" t="n">
        <v>43705</v>
      </c>
      <c r="C64" s="1" t="n">
        <v>45471</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43887-2019</t>
        </is>
      </c>
      <c r="B65" s="1" t="n">
        <v>43707</v>
      </c>
      <c r="C65" s="1" t="n">
        <v>45471</v>
      </c>
      <c r="D65" t="inlineStr">
        <is>
          <t>DALARNAS LÄN</t>
        </is>
      </c>
      <c r="E65" t="inlineStr">
        <is>
          <t>LEKSAND</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43884-2019</t>
        </is>
      </c>
      <c r="B66" s="1" t="n">
        <v>43707</v>
      </c>
      <c r="C66" s="1" t="n">
        <v>45471</v>
      </c>
      <c r="D66" t="inlineStr">
        <is>
          <t>DALARNAS LÄN</t>
        </is>
      </c>
      <c r="E66" t="inlineStr">
        <is>
          <t>LEKSAND</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44058-2019</t>
        </is>
      </c>
      <c r="B67" s="1" t="n">
        <v>43710</v>
      </c>
      <c r="C67" s="1" t="n">
        <v>45471</v>
      </c>
      <c r="D67" t="inlineStr">
        <is>
          <t>DALARNAS LÄN</t>
        </is>
      </c>
      <c r="E67" t="inlineStr">
        <is>
          <t>LEKSAND</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45526-2019</t>
        </is>
      </c>
      <c r="B68" s="1" t="n">
        <v>43714</v>
      </c>
      <c r="C68" s="1" t="n">
        <v>45471</v>
      </c>
      <c r="D68" t="inlineStr">
        <is>
          <t>DALARNAS LÄN</t>
        </is>
      </c>
      <c r="E68" t="inlineStr">
        <is>
          <t>LEKSAND</t>
        </is>
      </c>
      <c r="F68" t="inlineStr">
        <is>
          <t>Bergvik skog väst AB</t>
        </is>
      </c>
      <c r="G68" t="n">
        <v>5.9</v>
      </c>
      <c r="H68" t="n">
        <v>0</v>
      </c>
      <c r="I68" t="n">
        <v>0</v>
      </c>
      <c r="J68" t="n">
        <v>0</v>
      </c>
      <c r="K68" t="n">
        <v>0</v>
      </c>
      <c r="L68" t="n">
        <v>0</v>
      </c>
      <c r="M68" t="n">
        <v>0</v>
      </c>
      <c r="N68" t="n">
        <v>0</v>
      </c>
      <c r="O68" t="n">
        <v>0</v>
      </c>
      <c r="P68" t="n">
        <v>0</v>
      </c>
      <c r="Q68" t="n">
        <v>0</v>
      </c>
      <c r="R68" s="2" t="inlineStr"/>
    </row>
    <row r="69" ht="15" customHeight="1">
      <c r="A69" t="inlineStr">
        <is>
          <t>A 45572-2019</t>
        </is>
      </c>
      <c r="B69" s="1" t="n">
        <v>43716</v>
      </c>
      <c r="C69" s="1" t="n">
        <v>45471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46739-2019</t>
        </is>
      </c>
      <c r="B70" s="1" t="n">
        <v>43719</v>
      </c>
      <c r="C70" s="1" t="n">
        <v>45471</v>
      </c>
      <c r="D70" t="inlineStr">
        <is>
          <t>DALARNAS LÄN</t>
        </is>
      </c>
      <c r="E70" t="inlineStr">
        <is>
          <t>LEKSAND</t>
        </is>
      </c>
      <c r="G70" t="n">
        <v>0.6</v>
      </c>
      <c r="H70" t="n">
        <v>0</v>
      </c>
      <c r="I70" t="n">
        <v>0</v>
      </c>
      <c r="J70" t="n">
        <v>0</v>
      </c>
      <c r="K70" t="n">
        <v>0</v>
      </c>
      <c r="L70" t="n">
        <v>0</v>
      </c>
      <c r="M70" t="n">
        <v>0</v>
      </c>
      <c r="N70" t="n">
        <v>0</v>
      </c>
      <c r="O70" t="n">
        <v>0</v>
      </c>
      <c r="P70" t="n">
        <v>0</v>
      </c>
      <c r="Q70" t="n">
        <v>0</v>
      </c>
      <c r="R70" s="2" t="inlineStr"/>
    </row>
    <row r="71" ht="15" customHeight="1">
      <c r="A71" t="inlineStr">
        <is>
          <t>A 46740-2019</t>
        </is>
      </c>
      <c r="B71" s="1" t="n">
        <v>43719</v>
      </c>
      <c r="C71" s="1" t="n">
        <v>45471</v>
      </c>
      <c r="D71" t="inlineStr">
        <is>
          <t>DALARNAS LÄN</t>
        </is>
      </c>
      <c r="E71" t="inlineStr">
        <is>
          <t>LEKSAND</t>
        </is>
      </c>
      <c r="G71" t="n">
        <v>0.3</v>
      </c>
      <c r="H71" t="n">
        <v>0</v>
      </c>
      <c r="I71" t="n">
        <v>0</v>
      </c>
      <c r="J71" t="n">
        <v>0</v>
      </c>
      <c r="K71" t="n">
        <v>0</v>
      </c>
      <c r="L71" t="n">
        <v>0</v>
      </c>
      <c r="M71" t="n">
        <v>0</v>
      </c>
      <c r="N71" t="n">
        <v>0</v>
      </c>
      <c r="O71" t="n">
        <v>0</v>
      </c>
      <c r="P71" t="n">
        <v>0</v>
      </c>
      <c r="Q71" t="n">
        <v>0</v>
      </c>
      <c r="R71" s="2" t="inlineStr"/>
    </row>
    <row r="72" ht="15" customHeight="1">
      <c r="A72" t="inlineStr">
        <is>
          <t>A 47532-2019</t>
        </is>
      </c>
      <c r="B72" s="1" t="n">
        <v>43724</v>
      </c>
      <c r="C72" s="1" t="n">
        <v>45471</v>
      </c>
      <c r="D72" t="inlineStr">
        <is>
          <t>DALARNAS LÄN</t>
        </is>
      </c>
      <c r="E72" t="inlineStr">
        <is>
          <t>LEKSAND</t>
        </is>
      </c>
      <c r="G72" t="n">
        <v>2.3</v>
      </c>
      <c r="H72" t="n">
        <v>0</v>
      </c>
      <c r="I72" t="n">
        <v>0</v>
      </c>
      <c r="J72" t="n">
        <v>0</v>
      </c>
      <c r="K72" t="n">
        <v>0</v>
      </c>
      <c r="L72" t="n">
        <v>0</v>
      </c>
      <c r="M72" t="n">
        <v>0</v>
      </c>
      <c r="N72" t="n">
        <v>0</v>
      </c>
      <c r="O72" t="n">
        <v>0</v>
      </c>
      <c r="P72" t="n">
        <v>0</v>
      </c>
      <c r="Q72" t="n">
        <v>0</v>
      </c>
      <c r="R72" s="2" t="inlineStr"/>
    </row>
    <row r="73" ht="15" customHeight="1">
      <c r="A73" t="inlineStr">
        <is>
          <t>A 49132-2019</t>
        </is>
      </c>
      <c r="B73" s="1" t="n">
        <v>43728</v>
      </c>
      <c r="C73" s="1" t="n">
        <v>45471</v>
      </c>
      <c r="D73" t="inlineStr">
        <is>
          <t>DALARNAS LÄN</t>
        </is>
      </c>
      <c r="E73" t="inlineStr">
        <is>
          <t>LEKSAND</t>
        </is>
      </c>
      <c r="G73" t="n">
        <v>1.9</v>
      </c>
      <c r="H73" t="n">
        <v>0</v>
      </c>
      <c r="I73" t="n">
        <v>0</v>
      </c>
      <c r="J73" t="n">
        <v>0</v>
      </c>
      <c r="K73" t="n">
        <v>0</v>
      </c>
      <c r="L73" t="n">
        <v>0</v>
      </c>
      <c r="M73" t="n">
        <v>0</v>
      </c>
      <c r="N73" t="n">
        <v>0</v>
      </c>
      <c r="O73" t="n">
        <v>0</v>
      </c>
      <c r="P73" t="n">
        <v>0</v>
      </c>
      <c r="Q73" t="n">
        <v>0</v>
      </c>
      <c r="R73" s="2" t="inlineStr"/>
    </row>
    <row r="74" ht="15" customHeight="1">
      <c r="A74" t="inlineStr">
        <is>
          <t>A 51390-2019</t>
        </is>
      </c>
      <c r="B74" s="1" t="n">
        <v>43733</v>
      </c>
      <c r="C74" s="1" t="n">
        <v>45471</v>
      </c>
      <c r="D74" t="inlineStr">
        <is>
          <t>DALARNAS LÄN</t>
        </is>
      </c>
      <c r="E74" t="inlineStr">
        <is>
          <t>LEKSAND</t>
        </is>
      </c>
      <c r="G74" t="n">
        <v>4.7</v>
      </c>
      <c r="H74" t="n">
        <v>0</v>
      </c>
      <c r="I74" t="n">
        <v>0</v>
      </c>
      <c r="J74" t="n">
        <v>0</v>
      </c>
      <c r="K74" t="n">
        <v>0</v>
      </c>
      <c r="L74" t="n">
        <v>0</v>
      </c>
      <c r="M74" t="n">
        <v>0</v>
      </c>
      <c r="N74" t="n">
        <v>0</v>
      </c>
      <c r="O74" t="n">
        <v>0</v>
      </c>
      <c r="P74" t="n">
        <v>0</v>
      </c>
      <c r="Q74" t="n">
        <v>0</v>
      </c>
      <c r="R74" s="2" t="inlineStr"/>
    </row>
    <row r="75" ht="15" customHeight="1">
      <c r="A75" t="inlineStr">
        <is>
          <t>A 50532-2019</t>
        </is>
      </c>
      <c r="B75" s="1" t="n">
        <v>43735</v>
      </c>
      <c r="C75" s="1" t="n">
        <v>45471</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52130-2019</t>
        </is>
      </c>
      <c r="B76" s="1" t="n">
        <v>43735</v>
      </c>
      <c r="C76" s="1" t="n">
        <v>45471</v>
      </c>
      <c r="D76" t="inlineStr">
        <is>
          <t>DALARNAS LÄN</t>
        </is>
      </c>
      <c r="E76" t="inlineStr">
        <is>
          <t>LEKSAND</t>
        </is>
      </c>
      <c r="G76" t="n">
        <v>0.8</v>
      </c>
      <c r="H76" t="n">
        <v>0</v>
      </c>
      <c r="I76" t="n">
        <v>0</v>
      </c>
      <c r="J76" t="n">
        <v>0</v>
      </c>
      <c r="K76" t="n">
        <v>0</v>
      </c>
      <c r="L76" t="n">
        <v>0</v>
      </c>
      <c r="M76" t="n">
        <v>0</v>
      </c>
      <c r="N76" t="n">
        <v>0</v>
      </c>
      <c r="O76" t="n">
        <v>0</v>
      </c>
      <c r="P76" t="n">
        <v>0</v>
      </c>
      <c r="Q76" t="n">
        <v>0</v>
      </c>
      <c r="R76" s="2" t="inlineStr"/>
    </row>
    <row r="77" ht="15" customHeight="1">
      <c r="A77" t="inlineStr">
        <is>
          <t>A 52827-2019</t>
        </is>
      </c>
      <c r="B77" s="1" t="n">
        <v>43746</v>
      </c>
      <c r="C77" s="1" t="n">
        <v>45471</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52957-2019</t>
        </is>
      </c>
      <c r="B78" s="1" t="n">
        <v>43747</v>
      </c>
      <c r="C78" s="1" t="n">
        <v>45471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53553-2019</t>
        </is>
      </c>
      <c r="B79" s="1" t="n">
        <v>43749</v>
      </c>
      <c r="C79" s="1" t="n">
        <v>45471</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56844-2019</t>
        </is>
      </c>
      <c r="B80" s="1" t="n">
        <v>43765</v>
      </c>
      <c r="C80" s="1" t="n">
        <v>45471</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57221-2019</t>
        </is>
      </c>
      <c r="B81" s="1" t="n">
        <v>43767</v>
      </c>
      <c r="C81" s="1" t="n">
        <v>45471</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58237-2019</t>
        </is>
      </c>
      <c r="B82" s="1" t="n">
        <v>43770</v>
      </c>
      <c r="C82" s="1" t="n">
        <v>45471</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59714-2019</t>
        </is>
      </c>
      <c r="B83" s="1" t="n">
        <v>43776</v>
      </c>
      <c r="C83" s="1" t="n">
        <v>45471</v>
      </c>
      <c r="D83" t="inlineStr">
        <is>
          <t>DALARNAS LÄN</t>
        </is>
      </c>
      <c r="E83" t="inlineStr">
        <is>
          <t>LEKSAND</t>
        </is>
      </c>
      <c r="F83" t="inlineStr">
        <is>
          <t>Bergvik skog väst AB</t>
        </is>
      </c>
      <c r="G83" t="n">
        <v>4.8</v>
      </c>
      <c r="H83" t="n">
        <v>0</v>
      </c>
      <c r="I83" t="n">
        <v>0</v>
      </c>
      <c r="J83" t="n">
        <v>0</v>
      </c>
      <c r="K83" t="n">
        <v>0</v>
      </c>
      <c r="L83" t="n">
        <v>0</v>
      </c>
      <c r="M83" t="n">
        <v>0</v>
      </c>
      <c r="N83" t="n">
        <v>0</v>
      </c>
      <c r="O83" t="n">
        <v>0</v>
      </c>
      <c r="P83" t="n">
        <v>0</v>
      </c>
      <c r="Q83" t="n">
        <v>0</v>
      </c>
      <c r="R83" s="2" t="inlineStr"/>
    </row>
    <row r="84" ht="15" customHeight="1">
      <c r="A84" t="inlineStr">
        <is>
          <t>A 59721-2019</t>
        </is>
      </c>
      <c r="B84" s="1" t="n">
        <v>43776</v>
      </c>
      <c r="C84" s="1" t="n">
        <v>45471</v>
      </c>
      <c r="D84" t="inlineStr">
        <is>
          <t>DALARNAS LÄN</t>
        </is>
      </c>
      <c r="E84" t="inlineStr">
        <is>
          <t>LEKSAND</t>
        </is>
      </c>
      <c r="F84" t="inlineStr">
        <is>
          <t>Bergvik skog väst AB</t>
        </is>
      </c>
      <c r="G84" t="n">
        <v>4.8</v>
      </c>
      <c r="H84" t="n">
        <v>0</v>
      </c>
      <c r="I84" t="n">
        <v>0</v>
      </c>
      <c r="J84" t="n">
        <v>0</v>
      </c>
      <c r="K84" t="n">
        <v>0</v>
      </c>
      <c r="L84" t="n">
        <v>0</v>
      </c>
      <c r="M84" t="n">
        <v>0</v>
      </c>
      <c r="N84" t="n">
        <v>0</v>
      </c>
      <c r="O84" t="n">
        <v>0</v>
      </c>
      <c r="P84" t="n">
        <v>0</v>
      </c>
      <c r="Q84" t="n">
        <v>0</v>
      </c>
      <c r="R84" s="2" t="inlineStr"/>
    </row>
    <row r="85" ht="15" customHeight="1">
      <c r="A85" t="inlineStr">
        <is>
          <t>A 60809-2019</t>
        </is>
      </c>
      <c r="B85" s="1" t="n">
        <v>43780</v>
      </c>
      <c r="C85" s="1" t="n">
        <v>45471</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61111-2019</t>
        </is>
      </c>
      <c r="B86" s="1" t="n">
        <v>43782</v>
      </c>
      <c r="C86" s="1" t="n">
        <v>45471</v>
      </c>
      <c r="D86" t="inlineStr">
        <is>
          <t>DALARNAS LÄN</t>
        </is>
      </c>
      <c r="E86" t="inlineStr">
        <is>
          <t>LEKSAND</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61113-2019</t>
        </is>
      </c>
      <c r="B87" s="1" t="n">
        <v>43782</v>
      </c>
      <c r="C87" s="1" t="n">
        <v>45471</v>
      </c>
      <c r="D87" t="inlineStr">
        <is>
          <t>DALARNAS LÄN</t>
        </is>
      </c>
      <c r="E87" t="inlineStr">
        <is>
          <t>LEKSAND</t>
        </is>
      </c>
      <c r="F87" t="inlineStr">
        <is>
          <t>Bergvik skog väst AB</t>
        </is>
      </c>
      <c r="G87" t="n">
        <v>0.2</v>
      </c>
      <c r="H87" t="n">
        <v>0</v>
      </c>
      <c r="I87" t="n">
        <v>0</v>
      </c>
      <c r="J87" t="n">
        <v>0</v>
      </c>
      <c r="K87" t="n">
        <v>0</v>
      </c>
      <c r="L87" t="n">
        <v>0</v>
      </c>
      <c r="M87" t="n">
        <v>0</v>
      </c>
      <c r="N87" t="n">
        <v>0</v>
      </c>
      <c r="O87" t="n">
        <v>0</v>
      </c>
      <c r="P87" t="n">
        <v>0</v>
      </c>
      <c r="Q87" t="n">
        <v>0</v>
      </c>
      <c r="R87" s="2" t="inlineStr"/>
    </row>
    <row r="88" ht="15" customHeight="1">
      <c r="A88" t="inlineStr">
        <is>
          <t>A 64635-2019</t>
        </is>
      </c>
      <c r="B88" s="1" t="n">
        <v>43794</v>
      </c>
      <c r="C88" s="1" t="n">
        <v>45471</v>
      </c>
      <c r="D88" t="inlineStr">
        <is>
          <t>DALARNAS LÄN</t>
        </is>
      </c>
      <c r="E88" t="inlineStr">
        <is>
          <t>LEKSAND</t>
        </is>
      </c>
      <c r="G88" t="n">
        <v>5.4</v>
      </c>
      <c r="H88" t="n">
        <v>0</v>
      </c>
      <c r="I88" t="n">
        <v>0</v>
      </c>
      <c r="J88" t="n">
        <v>0</v>
      </c>
      <c r="K88" t="n">
        <v>0</v>
      </c>
      <c r="L88" t="n">
        <v>0</v>
      </c>
      <c r="M88" t="n">
        <v>0</v>
      </c>
      <c r="N88" t="n">
        <v>0</v>
      </c>
      <c r="O88" t="n">
        <v>0</v>
      </c>
      <c r="P88" t="n">
        <v>0</v>
      </c>
      <c r="Q88" t="n">
        <v>0</v>
      </c>
      <c r="R88" s="2" t="inlineStr"/>
    </row>
    <row r="89" ht="15" customHeight="1">
      <c r="A89" t="inlineStr">
        <is>
          <t>A 66288-2019</t>
        </is>
      </c>
      <c r="B89" s="1" t="n">
        <v>43808</v>
      </c>
      <c r="C89" s="1" t="n">
        <v>45471</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66822-2019</t>
        </is>
      </c>
      <c r="B90" s="1" t="n">
        <v>43810</v>
      </c>
      <c r="C90" s="1" t="n">
        <v>45471</v>
      </c>
      <c r="D90" t="inlineStr">
        <is>
          <t>DALARNAS LÄN</t>
        </is>
      </c>
      <c r="E90" t="inlineStr">
        <is>
          <t>LEKSAND</t>
        </is>
      </c>
      <c r="G90" t="n">
        <v>5.2</v>
      </c>
      <c r="H90" t="n">
        <v>0</v>
      </c>
      <c r="I90" t="n">
        <v>0</v>
      </c>
      <c r="J90" t="n">
        <v>0</v>
      </c>
      <c r="K90" t="n">
        <v>0</v>
      </c>
      <c r="L90" t="n">
        <v>0</v>
      </c>
      <c r="M90" t="n">
        <v>0</v>
      </c>
      <c r="N90" t="n">
        <v>0</v>
      </c>
      <c r="O90" t="n">
        <v>0</v>
      </c>
      <c r="P90" t="n">
        <v>0</v>
      </c>
      <c r="Q90" t="n">
        <v>0</v>
      </c>
      <c r="R90" s="2" t="inlineStr"/>
    </row>
    <row r="91" ht="15" customHeight="1">
      <c r="A91" t="inlineStr">
        <is>
          <t>A 67123-2019</t>
        </is>
      </c>
      <c r="B91" s="1" t="n">
        <v>43811</v>
      </c>
      <c r="C91" s="1" t="n">
        <v>45471</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68808-2019</t>
        </is>
      </c>
      <c r="B92" s="1" t="n">
        <v>43815</v>
      </c>
      <c r="C92" s="1" t="n">
        <v>45471</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1604-2020</t>
        </is>
      </c>
      <c r="B93" s="1" t="n">
        <v>43829</v>
      </c>
      <c r="C93" s="1" t="n">
        <v>45471</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1915-2020</t>
        </is>
      </c>
      <c r="B94" s="1" t="n">
        <v>43837</v>
      </c>
      <c r="C94" s="1" t="n">
        <v>45471</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1778-2020</t>
        </is>
      </c>
      <c r="B95" s="1" t="n">
        <v>43844</v>
      </c>
      <c r="C95" s="1" t="n">
        <v>45471</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2670-2020</t>
        </is>
      </c>
      <c r="B96" s="1" t="n">
        <v>43849</v>
      </c>
      <c r="C96" s="1" t="n">
        <v>45471</v>
      </c>
      <c r="D96" t="inlineStr">
        <is>
          <t>DALARNAS LÄN</t>
        </is>
      </c>
      <c r="E96" t="inlineStr">
        <is>
          <t>LEKSAND</t>
        </is>
      </c>
      <c r="G96" t="n">
        <v>2.4</v>
      </c>
      <c r="H96" t="n">
        <v>0</v>
      </c>
      <c r="I96" t="n">
        <v>0</v>
      </c>
      <c r="J96" t="n">
        <v>0</v>
      </c>
      <c r="K96" t="n">
        <v>0</v>
      </c>
      <c r="L96" t="n">
        <v>0</v>
      </c>
      <c r="M96" t="n">
        <v>0</v>
      </c>
      <c r="N96" t="n">
        <v>0</v>
      </c>
      <c r="O96" t="n">
        <v>0</v>
      </c>
      <c r="P96" t="n">
        <v>0</v>
      </c>
      <c r="Q96" t="n">
        <v>0</v>
      </c>
      <c r="R96" s="2" t="inlineStr"/>
    </row>
    <row r="97" ht="15" customHeight="1">
      <c r="A97" t="inlineStr">
        <is>
          <t>A 4479-2020</t>
        </is>
      </c>
      <c r="B97" s="1" t="n">
        <v>43850</v>
      </c>
      <c r="C97" s="1" t="n">
        <v>45471</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4004-2020</t>
        </is>
      </c>
      <c r="B98" s="1" t="n">
        <v>43856</v>
      </c>
      <c r="C98" s="1" t="n">
        <v>45471</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6002-2020</t>
        </is>
      </c>
      <c r="B99" s="1" t="n">
        <v>43864</v>
      </c>
      <c r="C99" s="1" t="n">
        <v>45471</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6017-2020</t>
        </is>
      </c>
      <c r="B100" s="1" t="n">
        <v>43864</v>
      </c>
      <c r="C100" s="1" t="n">
        <v>45471</v>
      </c>
      <c r="D100" t="inlineStr">
        <is>
          <t>DALARNAS LÄN</t>
        </is>
      </c>
      <c r="E100" t="inlineStr">
        <is>
          <t>LEKSAND</t>
        </is>
      </c>
      <c r="G100" t="n">
        <v>2.6</v>
      </c>
      <c r="H100" t="n">
        <v>0</v>
      </c>
      <c r="I100" t="n">
        <v>0</v>
      </c>
      <c r="J100" t="n">
        <v>0</v>
      </c>
      <c r="K100" t="n">
        <v>0</v>
      </c>
      <c r="L100" t="n">
        <v>0</v>
      </c>
      <c r="M100" t="n">
        <v>0</v>
      </c>
      <c r="N100" t="n">
        <v>0</v>
      </c>
      <c r="O100" t="n">
        <v>0</v>
      </c>
      <c r="P100" t="n">
        <v>0</v>
      </c>
      <c r="Q100" t="n">
        <v>0</v>
      </c>
      <c r="R100" s="2" t="inlineStr"/>
    </row>
    <row r="101" ht="15" customHeight="1">
      <c r="A101" t="inlineStr">
        <is>
          <t>A 6751-2020</t>
        </is>
      </c>
      <c r="B101" s="1" t="n">
        <v>43866</v>
      </c>
      <c r="C101" s="1" t="n">
        <v>45471</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7351-2020</t>
        </is>
      </c>
      <c r="B102" s="1" t="n">
        <v>43871</v>
      </c>
      <c r="C102" s="1" t="n">
        <v>45471</v>
      </c>
      <c r="D102" t="inlineStr">
        <is>
          <t>DALARNAS LÄN</t>
        </is>
      </c>
      <c r="E102" t="inlineStr">
        <is>
          <t>LEKSAND</t>
        </is>
      </c>
      <c r="F102" t="inlineStr">
        <is>
          <t>Bergvik skog väst AB</t>
        </is>
      </c>
      <c r="G102" t="n">
        <v>5.4</v>
      </c>
      <c r="H102" t="n">
        <v>0</v>
      </c>
      <c r="I102" t="n">
        <v>0</v>
      </c>
      <c r="J102" t="n">
        <v>0</v>
      </c>
      <c r="K102" t="n">
        <v>0</v>
      </c>
      <c r="L102" t="n">
        <v>0</v>
      </c>
      <c r="M102" t="n">
        <v>0</v>
      </c>
      <c r="N102" t="n">
        <v>0</v>
      </c>
      <c r="O102" t="n">
        <v>0</v>
      </c>
      <c r="P102" t="n">
        <v>0</v>
      </c>
      <c r="Q102" t="n">
        <v>0</v>
      </c>
      <c r="R102" s="2" t="inlineStr"/>
    </row>
    <row r="103" ht="15" customHeight="1">
      <c r="A103" t="inlineStr">
        <is>
          <t>A 7868-2020</t>
        </is>
      </c>
      <c r="B103" s="1" t="n">
        <v>43873</v>
      </c>
      <c r="C103" s="1" t="n">
        <v>45471</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9710-2020</t>
        </is>
      </c>
      <c r="B104" s="1" t="n">
        <v>43881</v>
      </c>
      <c r="C104" s="1" t="n">
        <v>45471</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11372-2020</t>
        </is>
      </c>
      <c r="B105" s="1" t="n">
        <v>43892</v>
      </c>
      <c r="C105" s="1" t="n">
        <v>45471</v>
      </c>
      <c r="D105" t="inlineStr">
        <is>
          <t>DALARNAS LÄN</t>
        </is>
      </c>
      <c r="E105" t="inlineStr">
        <is>
          <t>LEKSAND</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12176-2020</t>
        </is>
      </c>
      <c r="B106" s="1" t="n">
        <v>43895</v>
      </c>
      <c r="C106" s="1" t="n">
        <v>45471</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12247-2020</t>
        </is>
      </c>
      <c r="B107" s="1" t="n">
        <v>43895</v>
      </c>
      <c r="C107" s="1" t="n">
        <v>45471</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13340-2020</t>
        </is>
      </c>
      <c r="B108" s="1" t="n">
        <v>43902</v>
      </c>
      <c r="C108" s="1" t="n">
        <v>45471</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13356-2020</t>
        </is>
      </c>
      <c r="B109" s="1" t="n">
        <v>43902</v>
      </c>
      <c r="C109" s="1" t="n">
        <v>45471</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13352-2020</t>
        </is>
      </c>
      <c r="B110" s="1" t="n">
        <v>43902</v>
      </c>
      <c r="C110" s="1" t="n">
        <v>45471</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15165-2020</t>
        </is>
      </c>
      <c r="B111" s="1" t="n">
        <v>43912</v>
      </c>
      <c r="C111" s="1" t="n">
        <v>45471</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16288-2020</t>
        </is>
      </c>
      <c r="B112" s="1" t="n">
        <v>43917</v>
      </c>
      <c r="C112" s="1" t="n">
        <v>45471</v>
      </c>
      <c r="D112" t="inlineStr">
        <is>
          <t>DALARNAS LÄN</t>
        </is>
      </c>
      <c r="E112" t="inlineStr">
        <is>
          <t>LEKSAND</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18803-2020</t>
        </is>
      </c>
      <c r="B113" s="1" t="n">
        <v>43933</v>
      </c>
      <c r="C113" s="1" t="n">
        <v>45471</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19361-2020</t>
        </is>
      </c>
      <c r="B114" s="1" t="n">
        <v>43938</v>
      </c>
      <c r="C114" s="1" t="n">
        <v>45471</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21141-2020</t>
        </is>
      </c>
      <c r="B115" s="1" t="n">
        <v>43951</v>
      </c>
      <c r="C115" s="1" t="n">
        <v>45471</v>
      </c>
      <c r="D115" t="inlineStr">
        <is>
          <t>DALARNAS LÄN</t>
        </is>
      </c>
      <c r="E115" t="inlineStr">
        <is>
          <t>LEKSAND</t>
        </is>
      </c>
      <c r="F115" t="inlineStr">
        <is>
          <t>Bergvik skog väst AB</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22718-2020</t>
        </is>
      </c>
      <c r="B116" s="1" t="n">
        <v>43964</v>
      </c>
      <c r="C116" s="1" t="n">
        <v>45471</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24207-2020</t>
        </is>
      </c>
      <c r="B117" s="1" t="n">
        <v>43973</v>
      </c>
      <c r="C117" s="1" t="n">
        <v>45471</v>
      </c>
      <c r="D117" t="inlineStr">
        <is>
          <t>DALARNAS LÄN</t>
        </is>
      </c>
      <c r="E117" t="inlineStr">
        <is>
          <t>LEKSAND</t>
        </is>
      </c>
      <c r="G117" t="n">
        <v>2.2</v>
      </c>
      <c r="H117" t="n">
        <v>0</v>
      </c>
      <c r="I117" t="n">
        <v>0</v>
      </c>
      <c r="J117" t="n">
        <v>0</v>
      </c>
      <c r="K117" t="n">
        <v>0</v>
      </c>
      <c r="L117" t="n">
        <v>0</v>
      </c>
      <c r="M117" t="n">
        <v>0</v>
      </c>
      <c r="N117" t="n">
        <v>0</v>
      </c>
      <c r="O117" t="n">
        <v>0</v>
      </c>
      <c r="P117" t="n">
        <v>0</v>
      </c>
      <c r="Q117" t="n">
        <v>0</v>
      </c>
      <c r="R117" s="2" t="inlineStr"/>
    </row>
    <row r="118" ht="15" customHeight="1">
      <c r="A118" t="inlineStr">
        <is>
          <t>A 25156-2020</t>
        </is>
      </c>
      <c r="B118" s="1" t="n">
        <v>43978</v>
      </c>
      <c r="C118" s="1" t="n">
        <v>45471</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25720-2020</t>
        </is>
      </c>
      <c r="B119" s="1" t="n">
        <v>43984</v>
      </c>
      <c r="C119" s="1" t="n">
        <v>45471</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25989-2020</t>
        </is>
      </c>
      <c r="B120" s="1" t="n">
        <v>43985</v>
      </c>
      <c r="C120" s="1" t="n">
        <v>45471</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26456-2020</t>
        </is>
      </c>
      <c r="B121" s="1" t="n">
        <v>43986</v>
      </c>
      <c r="C121" s="1" t="n">
        <v>45471</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26560-2020</t>
        </is>
      </c>
      <c r="B122" s="1" t="n">
        <v>43987</v>
      </c>
      <c r="C122" s="1" t="n">
        <v>45471</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28161-2020</t>
        </is>
      </c>
      <c r="B123" s="1" t="n">
        <v>43997</v>
      </c>
      <c r="C123" s="1" t="n">
        <v>45471</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28796-2020</t>
        </is>
      </c>
      <c r="B124" s="1" t="n">
        <v>44000</v>
      </c>
      <c r="C124" s="1" t="n">
        <v>45471</v>
      </c>
      <c r="D124" t="inlineStr">
        <is>
          <t>DALARNAS LÄN</t>
        </is>
      </c>
      <c r="E124" t="inlineStr">
        <is>
          <t>LEKSAND</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29089-2020</t>
        </is>
      </c>
      <c r="B125" s="1" t="n">
        <v>44002</v>
      </c>
      <c r="C125" s="1" t="n">
        <v>45471</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29088-2020</t>
        </is>
      </c>
      <c r="B126" s="1" t="n">
        <v>44002</v>
      </c>
      <c r="C126" s="1" t="n">
        <v>45471</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29672-2020</t>
        </is>
      </c>
      <c r="B127" s="1" t="n">
        <v>44005</v>
      </c>
      <c r="C127" s="1" t="n">
        <v>45471</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31629-2020</t>
        </is>
      </c>
      <c r="B128" s="1" t="n">
        <v>44013</v>
      </c>
      <c r="C128" s="1" t="n">
        <v>45471</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36306-2020</t>
        </is>
      </c>
      <c r="B129" s="1" t="n">
        <v>44049</v>
      </c>
      <c r="C129" s="1" t="n">
        <v>45471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37568-2020</t>
        </is>
      </c>
      <c r="B130" s="1" t="n">
        <v>44056</v>
      </c>
      <c r="C130" s="1" t="n">
        <v>45471</v>
      </c>
      <c r="D130" t="inlineStr">
        <is>
          <t>DALARNAS LÄN</t>
        </is>
      </c>
      <c r="E130" t="inlineStr">
        <is>
          <t>LEKSAND</t>
        </is>
      </c>
      <c r="G130" t="n">
        <v>3.4</v>
      </c>
      <c r="H130" t="n">
        <v>0</v>
      </c>
      <c r="I130" t="n">
        <v>0</v>
      </c>
      <c r="J130" t="n">
        <v>0</v>
      </c>
      <c r="K130" t="n">
        <v>0</v>
      </c>
      <c r="L130" t="n">
        <v>0</v>
      </c>
      <c r="M130" t="n">
        <v>0</v>
      </c>
      <c r="N130" t="n">
        <v>0</v>
      </c>
      <c r="O130" t="n">
        <v>0</v>
      </c>
      <c r="P130" t="n">
        <v>0</v>
      </c>
      <c r="Q130" t="n">
        <v>0</v>
      </c>
      <c r="R130" s="2" t="inlineStr"/>
    </row>
    <row r="131" ht="15" customHeight="1">
      <c r="A131" t="inlineStr">
        <is>
          <t>A 41093-2020</t>
        </is>
      </c>
      <c r="B131" s="1" t="n">
        <v>44071</v>
      </c>
      <c r="C131" s="1" t="n">
        <v>45471</v>
      </c>
      <c r="D131" t="inlineStr">
        <is>
          <t>DALARNAS LÄN</t>
        </is>
      </c>
      <c r="E131" t="inlineStr">
        <is>
          <t>LEKSAND</t>
        </is>
      </c>
      <c r="F131" t="inlineStr">
        <is>
          <t>Bergvik skog väst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41200-2020</t>
        </is>
      </c>
      <c r="B132" s="1" t="n">
        <v>44071</v>
      </c>
      <c r="C132" s="1" t="n">
        <v>45471</v>
      </c>
      <c r="D132" t="inlineStr">
        <is>
          <t>DALARNAS LÄN</t>
        </is>
      </c>
      <c r="E132" t="inlineStr">
        <is>
          <t>LEKSAND</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41432-2020</t>
        </is>
      </c>
      <c r="B133" s="1" t="n">
        <v>44073</v>
      </c>
      <c r="C133" s="1" t="n">
        <v>45471</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42890-2020</t>
        </is>
      </c>
      <c r="B134" s="1" t="n">
        <v>44078</v>
      </c>
      <c r="C134" s="1" t="n">
        <v>45471</v>
      </c>
      <c r="D134" t="inlineStr">
        <is>
          <t>DALARNAS LÄN</t>
        </is>
      </c>
      <c r="E134" t="inlineStr">
        <is>
          <t>LEKSAND</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44665-2020</t>
        </is>
      </c>
      <c r="B135" s="1" t="n">
        <v>44085</v>
      </c>
      <c r="C135" s="1" t="n">
        <v>45471</v>
      </c>
      <c r="D135" t="inlineStr">
        <is>
          <t>DALARNAS LÄN</t>
        </is>
      </c>
      <c r="E135" t="inlineStr">
        <is>
          <t>LEKSAND</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45995-2020</t>
        </is>
      </c>
      <c r="B136" s="1" t="n">
        <v>44088</v>
      </c>
      <c r="C136" s="1" t="n">
        <v>45471</v>
      </c>
      <c r="D136" t="inlineStr">
        <is>
          <t>DALARNAS LÄN</t>
        </is>
      </c>
      <c r="E136" t="inlineStr">
        <is>
          <t>LEKSAND</t>
        </is>
      </c>
      <c r="G136" t="n">
        <v>7.8</v>
      </c>
      <c r="H136" t="n">
        <v>0</v>
      </c>
      <c r="I136" t="n">
        <v>0</v>
      </c>
      <c r="J136" t="n">
        <v>0</v>
      </c>
      <c r="K136" t="n">
        <v>0</v>
      </c>
      <c r="L136" t="n">
        <v>0</v>
      </c>
      <c r="M136" t="n">
        <v>0</v>
      </c>
      <c r="N136" t="n">
        <v>0</v>
      </c>
      <c r="O136" t="n">
        <v>0</v>
      </c>
      <c r="P136" t="n">
        <v>0</v>
      </c>
      <c r="Q136" t="n">
        <v>0</v>
      </c>
      <c r="R136" s="2" t="inlineStr"/>
    </row>
    <row r="137" ht="15" customHeight="1">
      <c r="A137" t="inlineStr">
        <is>
          <t>A 45950-2020</t>
        </is>
      </c>
      <c r="B137" s="1" t="n">
        <v>44088</v>
      </c>
      <c r="C137" s="1" t="n">
        <v>45471</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45991-2020</t>
        </is>
      </c>
      <c r="B138" s="1" t="n">
        <v>44088</v>
      </c>
      <c r="C138" s="1" t="n">
        <v>45471</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46854-2020</t>
        </is>
      </c>
      <c r="B139" s="1" t="n">
        <v>44090</v>
      </c>
      <c r="C139" s="1" t="n">
        <v>45471</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47004-2020</t>
        </is>
      </c>
      <c r="B140" s="1" t="n">
        <v>44091</v>
      </c>
      <c r="C140" s="1" t="n">
        <v>45471</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47069-2020</t>
        </is>
      </c>
      <c r="B141" s="1" t="n">
        <v>44096</v>
      </c>
      <c r="C141" s="1" t="n">
        <v>45471</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50123-2020</t>
        </is>
      </c>
      <c r="B142" s="1" t="n">
        <v>44104</v>
      </c>
      <c r="C142" s="1" t="n">
        <v>45471</v>
      </c>
      <c r="D142" t="inlineStr">
        <is>
          <t>DALARNAS LÄN</t>
        </is>
      </c>
      <c r="E142" t="inlineStr">
        <is>
          <t>LEKSAND</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50102-2020</t>
        </is>
      </c>
      <c r="B143" s="1" t="n">
        <v>44104</v>
      </c>
      <c r="C143" s="1" t="n">
        <v>45471</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60920-2020</t>
        </is>
      </c>
      <c r="B144" s="1" t="n">
        <v>44153</v>
      </c>
      <c r="C144" s="1" t="n">
        <v>45471</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60963-2020</t>
        </is>
      </c>
      <c r="B145" s="1" t="n">
        <v>44154</v>
      </c>
      <c r="C145" s="1" t="n">
        <v>45471</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62118-2020</t>
        </is>
      </c>
      <c r="B146" s="1" t="n">
        <v>44159</v>
      </c>
      <c r="C146" s="1" t="n">
        <v>45471</v>
      </c>
      <c r="D146" t="inlineStr">
        <is>
          <t>DALARNAS LÄN</t>
        </is>
      </c>
      <c r="E146" t="inlineStr">
        <is>
          <t>LEKSAND</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63481-2020</t>
        </is>
      </c>
      <c r="B147" s="1" t="n">
        <v>44161</v>
      </c>
      <c r="C147" s="1" t="n">
        <v>45471</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64109-2020</t>
        </is>
      </c>
      <c r="B148" s="1" t="n">
        <v>44167</v>
      </c>
      <c r="C148" s="1" t="n">
        <v>45471</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64449-2020</t>
        </is>
      </c>
      <c r="B149" s="1" t="n">
        <v>44168</v>
      </c>
      <c r="C149" s="1" t="n">
        <v>45471</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64876-2020</t>
        </is>
      </c>
      <c r="B150" s="1" t="n">
        <v>44171</v>
      </c>
      <c r="C150" s="1" t="n">
        <v>45471</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65058-2020</t>
        </is>
      </c>
      <c r="B151" s="1" t="n">
        <v>44172</v>
      </c>
      <c r="C151" s="1" t="n">
        <v>45471</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66169-2020</t>
        </is>
      </c>
      <c r="B152" s="1" t="n">
        <v>44174</v>
      </c>
      <c r="C152" s="1" t="n">
        <v>45471</v>
      </c>
      <c r="D152" t="inlineStr">
        <is>
          <t>DALARNAS LÄN</t>
        </is>
      </c>
      <c r="E152" t="inlineStr">
        <is>
          <t>LEKSAND</t>
        </is>
      </c>
      <c r="G152" t="n">
        <v>5.3</v>
      </c>
      <c r="H152" t="n">
        <v>0</v>
      </c>
      <c r="I152" t="n">
        <v>0</v>
      </c>
      <c r="J152" t="n">
        <v>0</v>
      </c>
      <c r="K152" t="n">
        <v>0</v>
      </c>
      <c r="L152" t="n">
        <v>0</v>
      </c>
      <c r="M152" t="n">
        <v>0</v>
      </c>
      <c r="N152" t="n">
        <v>0</v>
      </c>
      <c r="O152" t="n">
        <v>0</v>
      </c>
      <c r="P152" t="n">
        <v>0</v>
      </c>
      <c r="Q152" t="n">
        <v>0</v>
      </c>
      <c r="R152" s="2" t="inlineStr"/>
    </row>
    <row r="153" ht="15" customHeight="1">
      <c r="A153" t="inlineStr">
        <is>
          <t>A 67100-2020</t>
        </is>
      </c>
      <c r="B153" s="1" t="n">
        <v>44179</v>
      </c>
      <c r="C153" s="1" t="n">
        <v>45471</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67307-2020</t>
        </is>
      </c>
      <c r="B154" s="1" t="n">
        <v>44181</v>
      </c>
      <c r="C154" s="1" t="n">
        <v>45471</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68058-2020</t>
        </is>
      </c>
      <c r="B155" s="1" t="n">
        <v>44183</v>
      </c>
      <c r="C155" s="1" t="n">
        <v>45471</v>
      </c>
      <c r="D155" t="inlineStr">
        <is>
          <t>DALARNAS LÄN</t>
        </is>
      </c>
      <c r="E155" t="inlineStr">
        <is>
          <t>LEKSAND</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776-2021</t>
        </is>
      </c>
      <c r="B156" s="1" t="n">
        <v>44203</v>
      </c>
      <c r="C156" s="1" t="n">
        <v>45471</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1078-2021</t>
        </is>
      </c>
      <c r="B157" s="1" t="n">
        <v>44207</v>
      </c>
      <c r="C157" s="1" t="n">
        <v>45471</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2311-2021</t>
        </is>
      </c>
      <c r="B158" s="1" t="n">
        <v>44213</v>
      </c>
      <c r="C158" s="1" t="n">
        <v>45471</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9131-2021</t>
        </is>
      </c>
      <c r="B159" s="1" t="n">
        <v>44249</v>
      </c>
      <c r="C159" s="1" t="n">
        <v>45471</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9133-2021</t>
        </is>
      </c>
      <c r="B160" s="1" t="n">
        <v>44249</v>
      </c>
      <c r="C160" s="1" t="n">
        <v>45471</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13705-2021</t>
        </is>
      </c>
      <c r="B161" s="1" t="n">
        <v>44274</v>
      </c>
      <c r="C161" s="1" t="n">
        <v>45471</v>
      </c>
      <c r="D161" t="inlineStr">
        <is>
          <t>DALARNAS LÄN</t>
        </is>
      </c>
      <c r="E161" t="inlineStr">
        <is>
          <t>LEKSAND</t>
        </is>
      </c>
      <c r="G161" t="n">
        <v>3.8</v>
      </c>
      <c r="H161" t="n">
        <v>0</v>
      </c>
      <c r="I161" t="n">
        <v>0</v>
      </c>
      <c r="J161" t="n">
        <v>0</v>
      </c>
      <c r="K161" t="n">
        <v>0</v>
      </c>
      <c r="L161" t="n">
        <v>0</v>
      </c>
      <c r="M161" t="n">
        <v>0</v>
      </c>
      <c r="N161" t="n">
        <v>0</v>
      </c>
      <c r="O161" t="n">
        <v>0</v>
      </c>
      <c r="P161" t="n">
        <v>0</v>
      </c>
      <c r="Q161" t="n">
        <v>0</v>
      </c>
      <c r="R161" s="2" t="inlineStr"/>
    </row>
    <row r="162" ht="15" customHeight="1">
      <c r="A162" t="inlineStr">
        <is>
          <t>A 16231-2021</t>
        </is>
      </c>
      <c r="B162" s="1" t="n">
        <v>44292</v>
      </c>
      <c r="C162" s="1" t="n">
        <v>45471</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17615-2021</t>
        </is>
      </c>
      <c r="B163" s="1" t="n">
        <v>44299</v>
      </c>
      <c r="C163" s="1" t="n">
        <v>45471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18267-2021</t>
        </is>
      </c>
      <c r="B164" s="1" t="n">
        <v>44305</v>
      </c>
      <c r="C164" s="1" t="n">
        <v>45471</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18706-2021</t>
        </is>
      </c>
      <c r="B165" s="1" t="n">
        <v>44307</v>
      </c>
      <c r="C165" s="1" t="n">
        <v>45471</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19677-2021</t>
        </is>
      </c>
      <c r="B166" s="1" t="n">
        <v>44312</v>
      </c>
      <c r="C166" s="1" t="n">
        <v>45471</v>
      </c>
      <c r="D166" t="inlineStr">
        <is>
          <t>DALARNAS LÄN</t>
        </is>
      </c>
      <c r="E166" t="inlineStr">
        <is>
          <t>LEKSAND</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21132-2021</t>
        </is>
      </c>
      <c r="B167" s="1" t="n">
        <v>44319</v>
      </c>
      <c r="C167" s="1" t="n">
        <v>45471</v>
      </c>
      <c r="D167" t="inlineStr">
        <is>
          <t>DALARNAS LÄN</t>
        </is>
      </c>
      <c r="E167" t="inlineStr">
        <is>
          <t>LEKSAND</t>
        </is>
      </c>
      <c r="G167" t="n">
        <v>6.8</v>
      </c>
      <c r="H167" t="n">
        <v>0</v>
      </c>
      <c r="I167" t="n">
        <v>0</v>
      </c>
      <c r="J167" t="n">
        <v>0</v>
      </c>
      <c r="K167" t="n">
        <v>0</v>
      </c>
      <c r="L167" t="n">
        <v>0</v>
      </c>
      <c r="M167" t="n">
        <v>0</v>
      </c>
      <c r="N167" t="n">
        <v>0</v>
      </c>
      <c r="O167" t="n">
        <v>0</v>
      </c>
      <c r="P167" t="n">
        <v>0</v>
      </c>
      <c r="Q167" t="n">
        <v>0</v>
      </c>
      <c r="R167" s="2" t="inlineStr"/>
    </row>
    <row r="168" ht="15" customHeight="1">
      <c r="A168" t="inlineStr">
        <is>
          <t>A 21968-2021</t>
        </is>
      </c>
      <c r="B168" s="1" t="n">
        <v>44323</v>
      </c>
      <c r="C168" s="1" t="n">
        <v>45471</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21969-2021</t>
        </is>
      </c>
      <c r="B169" s="1" t="n">
        <v>44323</v>
      </c>
      <c r="C169" s="1" t="n">
        <v>45471</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21965-2021</t>
        </is>
      </c>
      <c r="B170" s="1" t="n">
        <v>44323</v>
      </c>
      <c r="C170" s="1" t="n">
        <v>45471</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22431-2021</t>
        </is>
      </c>
      <c r="B171" s="1" t="n">
        <v>44326</v>
      </c>
      <c r="C171" s="1" t="n">
        <v>45471</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22703-2021</t>
        </is>
      </c>
      <c r="B172" s="1" t="n">
        <v>44327</v>
      </c>
      <c r="C172" s="1" t="n">
        <v>45471</v>
      </c>
      <c r="D172" t="inlineStr">
        <is>
          <t>DALARNAS LÄN</t>
        </is>
      </c>
      <c r="E172" t="inlineStr">
        <is>
          <t>LEKSAND</t>
        </is>
      </c>
      <c r="F172" t="inlineStr">
        <is>
          <t>Bergvik skog väst AB</t>
        </is>
      </c>
      <c r="G172" t="n">
        <v>3.4</v>
      </c>
      <c r="H172" t="n">
        <v>0</v>
      </c>
      <c r="I172" t="n">
        <v>0</v>
      </c>
      <c r="J172" t="n">
        <v>0</v>
      </c>
      <c r="K172" t="n">
        <v>0</v>
      </c>
      <c r="L172" t="n">
        <v>0</v>
      </c>
      <c r="M172" t="n">
        <v>0</v>
      </c>
      <c r="N172" t="n">
        <v>0</v>
      </c>
      <c r="O172" t="n">
        <v>0</v>
      </c>
      <c r="P172" t="n">
        <v>0</v>
      </c>
      <c r="Q172" t="n">
        <v>0</v>
      </c>
      <c r="R172" s="2" t="inlineStr"/>
      <c r="U172">
        <f>HYPERLINK("https://klasma.github.io/Logging_2029/knärot/A 22703-2021 karta knärot.png", "A 22703-2021")</f>
        <v/>
      </c>
      <c r="V172">
        <f>HYPERLINK("https://klasma.github.io/Logging_2029/klagomål/A 22703-2021 FSC-klagomål.docx", "A 22703-2021")</f>
        <v/>
      </c>
      <c r="W172">
        <f>HYPERLINK("https://klasma.github.io/Logging_2029/klagomålsmail/A 22703-2021 FSC-klagomål mail.docx", "A 22703-2021")</f>
        <v/>
      </c>
      <c r="X172">
        <f>HYPERLINK("https://klasma.github.io/Logging_2029/tillsyn/A 22703-2021 tillsynsbegäran.docx", "A 22703-2021")</f>
        <v/>
      </c>
      <c r="Y172">
        <f>HYPERLINK("https://klasma.github.io/Logging_2029/tillsynsmail/A 22703-2021 tillsynsbegäran mail.docx", "A 22703-2021")</f>
        <v/>
      </c>
    </row>
    <row r="173" ht="15" customHeight="1">
      <c r="A173" t="inlineStr">
        <is>
          <t>A 22684-2021</t>
        </is>
      </c>
      <c r="B173" s="1" t="n">
        <v>44327</v>
      </c>
      <c r="C173" s="1" t="n">
        <v>45471</v>
      </c>
      <c r="D173" t="inlineStr">
        <is>
          <t>DALARNAS LÄN</t>
        </is>
      </c>
      <c r="E173" t="inlineStr">
        <is>
          <t>LEKSAND</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22999-2021</t>
        </is>
      </c>
      <c r="B174" s="1" t="n">
        <v>44328</v>
      </c>
      <c r="C174" s="1" t="n">
        <v>45471</v>
      </c>
      <c r="D174" t="inlineStr">
        <is>
          <t>DALARNAS LÄN</t>
        </is>
      </c>
      <c r="E174" t="inlineStr">
        <is>
          <t>LEKSAND</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23824-2021</t>
        </is>
      </c>
      <c r="B175" s="1" t="n">
        <v>44335</v>
      </c>
      <c r="C175" s="1" t="n">
        <v>45471</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45471</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24479-2021</t>
        </is>
      </c>
      <c r="B177" s="1" t="n">
        <v>44337</v>
      </c>
      <c r="C177" s="1" t="n">
        <v>45471</v>
      </c>
      <c r="D177" t="inlineStr">
        <is>
          <t>DALARNAS LÄN</t>
        </is>
      </c>
      <c r="E177" t="inlineStr">
        <is>
          <t>LEKSAND</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26738-2021</t>
        </is>
      </c>
      <c r="B178" s="1" t="n">
        <v>44349</v>
      </c>
      <c r="C178" s="1" t="n">
        <v>45471</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27154-2021</t>
        </is>
      </c>
      <c r="B179" s="1" t="n">
        <v>44350</v>
      </c>
      <c r="C179" s="1" t="n">
        <v>45471</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27317-2021</t>
        </is>
      </c>
      <c r="B180" s="1" t="n">
        <v>44351</v>
      </c>
      <c r="C180" s="1" t="n">
        <v>45471</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32152-2021</t>
        </is>
      </c>
      <c r="B181" s="1" t="n">
        <v>44371</v>
      </c>
      <c r="C181" s="1" t="n">
        <v>45471</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32635-2021</t>
        </is>
      </c>
      <c r="B182" s="1" t="n">
        <v>44374</v>
      </c>
      <c r="C182" s="1" t="n">
        <v>45471</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33072-2021</t>
        </is>
      </c>
      <c r="B183" s="1" t="n">
        <v>44375</v>
      </c>
      <c r="C183" s="1" t="n">
        <v>45471</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33170-2021</t>
        </is>
      </c>
      <c r="B184" s="1" t="n">
        <v>44376</v>
      </c>
      <c r="C184" s="1" t="n">
        <v>45471</v>
      </c>
      <c r="D184" t="inlineStr">
        <is>
          <t>DALARNAS LÄN</t>
        </is>
      </c>
      <c r="E184" t="inlineStr">
        <is>
          <t>LEKSAND</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34869-2021</t>
        </is>
      </c>
      <c r="B185" s="1" t="n">
        <v>44383</v>
      </c>
      <c r="C185" s="1" t="n">
        <v>45471</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34867-2021</t>
        </is>
      </c>
      <c r="B186" s="1" t="n">
        <v>44383</v>
      </c>
      <c r="C186" s="1" t="n">
        <v>45471</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34911-2021</t>
        </is>
      </c>
      <c r="B187" s="1" t="n">
        <v>44383</v>
      </c>
      <c r="C187" s="1" t="n">
        <v>45471</v>
      </c>
      <c r="D187" t="inlineStr">
        <is>
          <t>DALARNAS LÄN</t>
        </is>
      </c>
      <c r="E187" t="inlineStr">
        <is>
          <t>LEKSAND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36438-2021</t>
        </is>
      </c>
      <c r="B188" s="1" t="n">
        <v>44390</v>
      </c>
      <c r="C188" s="1" t="n">
        <v>45471</v>
      </c>
      <c r="D188" t="inlineStr">
        <is>
          <t>DALARNAS LÄN</t>
        </is>
      </c>
      <c r="E188" t="inlineStr">
        <is>
          <t>LEKSAND</t>
        </is>
      </c>
      <c r="G188" t="n">
        <v>5</v>
      </c>
      <c r="H188" t="n">
        <v>0</v>
      </c>
      <c r="I188" t="n">
        <v>0</v>
      </c>
      <c r="J188" t="n">
        <v>0</v>
      </c>
      <c r="K188" t="n">
        <v>0</v>
      </c>
      <c r="L188" t="n">
        <v>0</v>
      </c>
      <c r="M188" t="n">
        <v>0</v>
      </c>
      <c r="N188" t="n">
        <v>0</v>
      </c>
      <c r="O188" t="n">
        <v>0</v>
      </c>
      <c r="P188" t="n">
        <v>0</v>
      </c>
      <c r="Q188" t="n">
        <v>0</v>
      </c>
      <c r="R188" s="2" t="inlineStr"/>
    </row>
    <row r="189" ht="15" customHeight="1">
      <c r="A189" t="inlineStr">
        <is>
          <t>A 36956-2021</t>
        </is>
      </c>
      <c r="B189" s="1" t="n">
        <v>44393</v>
      </c>
      <c r="C189" s="1" t="n">
        <v>45471</v>
      </c>
      <c r="D189" t="inlineStr">
        <is>
          <t>DALARNAS LÄN</t>
        </is>
      </c>
      <c r="E189" t="inlineStr">
        <is>
          <t>LEKSAND</t>
        </is>
      </c>
      <c r="G189" t="n">
        <v>4.1</v>
      </c>
      <c r="H189" t="n">
        <v>0</v>
      </c>
      <c r="I189" t="n">
        <v>0</v>
      </c>
      <c r="J189" t="n">
        <v>0</v>
      </c>
      <c r="K189" t="n">
        <v>0</v>
      </c>
      <c r="L189" t="n">
        <v>0</v>
      </c>
      <c r="M189" t="n">
        <v>0</v>
      </c>
      <c r="N189" t="n">
        <v>0</v>
      </c>
      <c r="O189" t="n">
        <v>0</v>
      </c>
      <c r="P189" t="n">
        <v>0</v>
      </c>
      <c r="Q189" t="n">
        <v>0</v>
      </c>
      <c r="R189" s="2" t="inlineStr"/>
    </row>
    <row r="190" ht="15" customHeight="1">
      <c r="A190" t="inlineStr">
        <is>
          <t>A 37073-2021</t>
        </is>
      </c>
      <c r="B190" s="1" t="n">
        <v>44394</v>
      </c>
      <c r="C190" s="1" t="n">
        <v>45471</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37283-2021</t>
        </is>
      </c>
      <c r="B191" s="1" t="n">
        <v>44397</v>
      </c>
      <c r="C191" s="1" t="n">
        <v>45471</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37531-2021</t>
        </is>
      </c>
      <c r="B192" s="1" t="n">
        <v>44399</v>
      </c>
      <c r="C192" s="1" t="n">
        <v>45471</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38192-2021</t>
        </is>
      </c>
      <c r="B193" s="1" t="n">
        <v>44405</v>
      </c>
      <c r="C193" s="1" t="n">
        <v>45471</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38619-2021</t>
        </is>
      </c>
      <c r="B194" s="1" t="n">
        <v>44409</v>
      </c>
      <c r="C194" s="1" t="n">
        <v>45471</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39203-2021</t>
        </is>
      </c>
      <c r="B195" s="1" t="n">
        <v>44413</v>
      </c>
      <c r="C195" s="1" t="n">
        <v>45471</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40584-2021</t>
        </is>
      </c>
      <c r="B196" s="1" t="n">
        <v>44420</v>
      </c>
      <c r="C196" s="1" t="n">
        <v>45471</v>
      </c>
      <c r="D196" t="inlineStr">
        <is>
          <t>DALARNAS LÄN</t>
        </is>
      </c>
      <c r="E196" t="inlineStr">
        <is>
          <t>LEKSAND</t>
        </is>
      </c>
      <c r="G196" t="n">
        <v>6</v>
      </c>
      <c r="H196" t="n">
        <v>0</v>
      </c>
      <c r="I196" t="n">
        <v>0</v>
      </c>
      <c r="J196" t="n">
        <v>0</v>
      </c>
      <c r="K196" t="n">
        <v>0</v>
      </c>
      <c r="L196" t="n">
        <v>0</v>
      </c>
      <c r="M196" t="n">
        <v>0</v>
      </c>
      <c r="N196" t="n">
        <v>0</v>
      </c>
      <c r="O196" t="n">
        <v>0</v>
      </c>
      <c r="P196" t="n">
        <v>0</v>
      </c>
      <c r="Q196" t="n">
        <v>0</v>
      </c>
      <c r="R196" s="2" t="inlineStr"/>
    </row>
    <row r="197" ht="15" customHeight="1">
      <c r="A197" t="inlineStr">
        <is>
          <t>A 42952-2021</t>
        </is>
      </c>
      <c r="B197" s="1" t="n">
        <v>44431</v>
      </c>
      <c r="C197" s="1" t="n">
        <v>45471</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43410-2021</t>
        </is>
      </c>
      <c r="B198" s="1" t="n">
        <v>44432</v>
      </c>
      <c r="C198" s="1" t="n">
        <v>45471</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44922-2021</t>
        </is>
      </c>
      <c r="B199" s="1" t="n">
        <v>44438</v>
      </c>
      <c r="C199" s="1" t="n">
        <v>45471</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45155-2021</t>
        </is>
      </c>
      <c r="B200" s="1" t="n">
        <v>44439</v>
      </c>
      <c r="C200" s="1" t="n">
        <v>45471</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45788-2021</t>
        </is>
      </c>
      <c r="B201" s="1" t="n">
        <v>44441</v>
      </c>
      <c r="C201" s="1" t="n">
        <v>45471</v>
      </c>
      <c r="D201" t="inlineStr">
        <is>
          <t>DALARNAS LÄN</t>
        </is>
      </c>
      <c r="E201" t="inlineStr">
        <is>
          <t>LEKSAND</t>
        </is>
      </c>
      <c r="G201" t="n">
        <v>3</v>
      </c>
      <c r="H201" t="n">
        <v>0</v>
      </c>
      <c r="I201" t="n">
        <v>0</v>
      </c>
      <c r="J201" t="n">
        <v>0</v>
      </c>
      <c r="K201" t="n">
        <v>0</v>
      </c>
      <c r="L201" t="n">
        <v>0</v>
      </c>
      <c r="M201" t="n">
        <v>0</v>
      </c>
      <c r="N201" t="n">
        <v>0</v>
      </c>
      <c r="O201" t="n">
        <v>0</v>
      </c>
      <c r="P201" t="n">
        <v>0</v>
      </c>
      <c r="Q201" t="n">
        <v>0</v>
      </c>
      <c r="R201" s="2" t="inlineStr"/>
    </row>
    <row r="202" ht="15" customHeight="1">
      <c r="A202" t="inlineStr">
        <is>
          <t>A 47121-2021</t>
        </is>
      </c>
      <c r="B202" s="1" t="n">
        <v>44446</v>
      </c>
      <c r="C202" s="1" t="n">
        <v>45471</v>
      </c>
      <c r="D202" t="inlineStr">
        <is>
          <t>DALARNAS LÄN</t>
        </is>
      </c>
      <c r="E202" t="inlineStr">
        <is>
          <t>LEKSAND</t>
        </is>
      </c>
      <c r="G202" t="n">
        <v>3.5</v>
      </c>
      <c r="H202" t="n">
        <v>0</v>
      </c>
      <c r="I202" t="n">
        <v>0</v>
      </c>
      <c r="J202" t="n">
        <v>0</v>
      </c>
      <c r="K202" t="n">
        <v>0</v>
      </c>
      <c r="L202" t="n">
        <v>0</v>
      </c>
      <c r="M202" t="n">
        <v>0</v>
      </c>
      <c r="N202" t="n">
        <v>0</v>
      </c>
      <c r="O202" t="n">
        <v>0</v>
      </c>
      <c r="P202" t="n">
        <v>0</v>
      </c>
      <c r="Q202" t="n">
        <v>0</v>
      </c>
      <c r="R202" s="2" t="inlineStr"/>
    </row>
    <row r="203" ht="15" customHeight="1">
      <c r="A203" t="inlineStr">
        <is>
          <t>A 48949-2021</t>
        </is>
      </c>
      <c r="B203" s="1" t="n">
        <v>44453</v>
      </c>
      <c r="C203" s="1" t="n">
        <v>45471</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53625-2021</t>
        </is>
      </c>
      <c r="B204" s="1" t="n">
        <v>44469</v>
      </c>
      <c r="C204" s="1" t="n">
        <v>45471</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56153-2021</t>
        </is>
      </c>
      <c r="B205" s="1" t="n">
        <v>44477</v>
      </c>
      <c r="C205" s="1" t="n">
        <v>45471</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58569-2021</t>
        </is>
      </c>
      <c r="B206" s="1" t="n">
        <v>44488</v>
      </c>
      <c r="C206" s="1" t="n">
        <v>45471</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59422-2021</t>
        </is>
      </c>
      <c r="B207" s="1" t="n">
        <v>44491</v>
      </c>
      <c r="C207" s="1" t="n">
        <v>45471</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61546-2021</t>
        </is>
      </c>
      <c r="B208" s="1" t="n">
        <v>44501</v>
      </c>
      <c r="C208" s="1" t="n">
        <v>45471</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61669-2021</t>
        </is>
      </c>
      <c r="B209" s="1" t="n">
        <v>44501</v>
      </c>
      <c r="C209" s="1" t="n">
        <v>45471</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61676-2021</t>
        </is>
      </c>
      <c r="B210" s="1" t="n">
        <v>44501</v>
      </c>
      <c r="C210" s="1" t="n">
        <v>45471</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62279-2021</t>
        </is>
      </c>
      <c r="B211" s="1" t="n">
        <v>44503</v>
      </c>
      <c r="C211" s="1" t="n">
        <v>45471</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64718-2021</t>
        </is>
      </c>
      <c r="B212" s="1" t="n">
        <v>44512</v>
      </c>
      <c r="C212" s="1" t="n">
        <v>45471</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68573-2021</t>
        </is>
      </c>
      <c r="B213" s="1" t="n">
        <v>44529</v>
      </c>
      <c r="C213" s="1" t="n">
        <v>45471</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68617-2021</t>
        </is>
      </c>
      <c r="B214" s="1" t="n">
        <v>44529</v>
      </c>
      <c r="C214" s="1" t="n">
        <v>45471</v>
      </c>
      <c r="D214" t="inlineStr">
        <is>
          <t>DALARNAS LÄN</t>
        </is>
      </c>
      <c r="E214" t="inlineStr">
        <is>
          <t>LEKSAND</t>
        </is>
      </c>
      <c r="G214" t="n">
        <v>0.4</v>
      </c>
      <c r="H214" t="n">
        <v>0</v>
      </c>
      <c r="I214" t="n">
        <v>0</v>
      </c>
      <c r="J214" t="n">
        <v>0</v>
      </c>
      <c r="K214" t="n">
        <v>0</v>
      </c>
      <c r="L214" t="n">
        <v>0</v>
      </c>
      <c r="M214" t="n">
        <v>0</v>
      </c>
      <c r="N214" t="n">
        <v>0</v>
      </c>
      <c r="O214" t="n">
        <v>0</v>
      </c>
      <c r="P214" t="n">
        <v>0</v>
      </c>
      <c r="Q214" t="n">
        <v>0</v>
      </c>
      <c r="R214" s="2" t="inlineStr"/>
    </row>
    <row r="215" ht="15" customHeight="1">
      <c r="A215" t="inlineStr">
        <is>
          <t>A 69525-2021</t>
        </is>
      </c>
      <c r="B215" s="1" t="n">
        <v>44531</v>
      </c>
      <c r="C215" s="1" t="n">
        <v>45471</v>
      </c>
      <c r="D215" t="inlineStr">
        <is>
          <t>DALARNAS LÄN</t>
        </is>
      </c>
      <c r="E215" t="inlineStr">
        <is>
          <t>LEKSAND</t>
        </is>
      </c>
      <c r="G215" t="n">
        <v>2.9</v>
      </c>
      <c r="H215" t="n">
        <v>0</v>
      </c>
      <c r="I215" t="n">
        <v>0</v>
      </c>
      <c r="J215" t="n">
        <v>0</v>
      </c>
      <c r="K215" t="n">
        <v>0</v>
      </c>
      <c r="L215" t="n">
        <v>0</v>
      </c>
      <c r="M215" t="n">
        <v>0</v>
      </c>
      <c r="N215" t="n">
        <v>0</v>
      </c>
      <c r="O215" t="n">
        <v>0</v>
      </c>
      <c r="P215" t="n">
        <v>0</v>
      </c>
      <c r="Q215" t="n">
        <v>0</v>
      </c>
      <c r="R215" s="2" t="inlineStr"/>
    </row>
    <row r="216" ht="15" customHeight="1">
      <c r="A216" t="inlineStr">
        <is>
          <t>A 70098-2021</t>
        </is>
      </c>
      <c r="B216" s="1" t="n">
        <v>44533</v>
      </c>
      <c r="C216" s="1" t="n">
        <v>45471</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70099-2021</t>
        </is>
      </c>
      <c r="B217" s="1" t="n">
        <v>44533</v>
      </c>
      <c r="C217" s="1" t="n">
        <v>45471</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70026-2021</t>
        </is>
      </c>
      <c r="B218" s="1" t="n">
        <v>44533</v>
      </c>
      <c r="C218" s="1" t="n">
        <v>45471</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70296-2021</t>
        </is>
      </c>
      <c r="B219" s="1" t="n">
        <v>44536</v>
      </c>
      <c r="C219" s="1" t="n">
        <v>45471</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70451-2021</t>
        </is>
      </c>
      <c r="B220" s="1" t="n">
        <v>44536</v>
      </c>
      <c r="C220" s="1" t="n">
        <v>45471</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71311-2021</t>
        </is>
      </c>
      <c r="B221" s="1" t="n">
        <v>44539</v>
      </c>
      <c r="C221" s="1" t="n">
        <v>45471</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71754-2021</t>
        </is>
      </c>
      <c r="B222" s="1" t="n">
        <v>44543</v>
      </c>
      <c r="C222" s="1" t="n">
        <v>45471</v>
      </c>
      <c r="D222" t="inlineStr">
        <is>
          <t>DALARNAS LÄN</t>
        </is>
      </c>
      <c r="E222" t="inlineStr">
        <is>
          <t>LEKSAND</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71817-2021</t>
        </is>
      </c>
      <c r="B223" s="1" t="n">
        <v>44543</v>
      </c>
      <c r="C223" s="1" t="n">
        <v>45471</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72155-2021</t>
        </is>
      </c>
      <c r="B224" s="1" t="n">
        <v>44543</v>
      </c>
      <c r="C224" s="1" t="n">
        <v>45471</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72000-2021</t>
        </is>
      </c>
      <c r="B225" s="1" t="n">
        <v>44544</v>
      </c>
      <c r="C225" s="1" t="n">
        <v>45471</v>
      </c>
      <c r="D225" t="inlineStr">
        <is>
          <t>DALARNAS LÄN</t>
        </is>
      </c>
      <c r="E225" t="inlineStr">
        <is>
          <t>LEKSAND</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72001-2021</t>
        </is>
      </c>
      <c r="B226" s="1" t="n">
        <v>44544</v>
      </c>
      <c r="C226" s="1" t="n">
        <v>45471</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v>
      </c>
      <c r="C227" s="1" t="n">
        <v>45471</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72531-2021</t>
        </is>
      </c>
      <c r="B228" s="1" t="n">
        <v>44546</v>
      </c>
      <c r="C228" s="1" t="n">
        <v>45471</v>
      </c>
      <c r="D228" t="inlineStr">
        <is>
          <t>DALARNAS LÄN</t>
        </is>
      </c>
      <c r="E228" t="inlineStr">
        <is>
          <t>LEKSAND</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45471</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74067-2021</t>
        </is>
      </c>
      <c r="B230" s="1" t="n">
        <v>44553</v>
      </c>
      <c r="C230" s="1" t="n">
        <v>45471</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791-2022</t>
        </is>
      </c>
      <c r="B231" s="1" t="n">
        <v>44570</v>
      </c>
      <c r="C231" s="1" t="n">
        <v>45471</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1775-2022</t>
        </is>
      </c>
      <c r="B232" s="1" t="n">
        <v>44574</v>
      </c>
      <c r="C232" s="1" t="n">
        <v>45471</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45471</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4257-2022</t>
        </is>
      </c>
      <c r="B234" s="1" t="n">
        <v>44588</v>
      </c>
      <c r="C234" s="1" t="n">
        <v>45471</v>
      </c>
      <c r="D234" t="inlineStr">
        <is>
          <t>DALARNAS LÄN</t>
        </is>
      </c>
      <c r="E234" t="inlineStr">
        <is>
          <t>LEKSAND</t>
        </is>
      </c>
      <c r="G234" t="n">
        <v>6.8</v>
      </c>
      <c r="H234" t="n">
        <v>0</v>
      </c>
      <c r="I234" t="n">
        <v>0</v>
      </c>
      <c r="J234" t="n">
        <v>0</v>
      </c>
      <c r="K234" t="n">
        <v>0</v>
      </c>
      <c r="L234" t="n">
        <v>0</v>
      </c>
      <c r="M234" t="n">
        <v>0</v>
      </c>
      <c r="N234" t="n">
        <v>0</v>
      </c>
      <c r="O234" t="n">
        <v>0</v>
      </c>
      <c r="P234" t="n">
        <v>0</v>
      </c>
      <c r="Q234" t="n">
        <v>0</v>
      </c>
      <c r="R234" s="2" t="inlineStr"/>
    </row>
    <row r="235" ht="15" customHeight="1">
      <c r="A235" t="inlineStr">
        <is>
          <t>A 4609-2022</t>
        </is>
      </c>
      <c r="B235" s="1" t="n">
        <v>44592</v>
      </c>
      <c r="C235" s="1" t="n">
        <v>45471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8501-2022</t>
        </is>
      </c>
      <c r="B236" s="1" t="n">
        <v>44613</v>
      </c>
      <c r="C236" s="1" t="n">
        <v>45471</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11015-2022</t>
        </is>
      </c>
      <c r="B237" s="1" t="n">
        <v>44628</v>
      </c>
      <c r="C237" s="1" t="n">
        <v>45471</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11412-2022</t>
        </is>
      </c>
      <c r="B238" s="1" t="n">
        <v>44630</v>
      </c>
      <c r="C238" s="1" t="n">
        <v>45471</v>
      </c>
      <c r="D238" t="inlineStr">
        <is>
          <t>DALARNAS LÄN</t>
        </is>
      </c>
      <c r="E238" t="inlineStr">
        <is>
          <t>LEKSAND</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45471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14140-2022</t>
        </is>
      </c>
      <c r="B240" s="1" t="n">
        <v>44651</v>
      </c>
      <c r="C240" s="1" t="n">
        <v>45471</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14806-2022</t>
        </is>
      </c>
      <c r="B241" s="1" t="n">
        <v>44656</v>
      </c>
      <c r="C241" s="1" t="n">
        <v>45471</v>
      </c>
      <c r="D241" t="inlineStr">
        <is>
          <t>DALARNAS LÄN</t>
        </is>
      </c>
      <c r="E241" t="inlineStr">
        <is>
          <t>LEKSAND</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16353-2022</t>
        </is>
      </c>
      <c r="B242" s="1" t="n">
        <v>44670</v>
      </c>
      <c r="C242" s="1" t="n">
        <v>45471</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16375-2022</t>
        </is>
      </c>
      <c r="B243" s="1" t="n">
        <v>44671</v>
      </c>
      <c r="C243" s="1" t="n">
        <v>45471</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16976-2022</t>
        </is>
      </c>
      <c r="B244" s="1" t="n">
        <v>44676</v>
      </c>
      <c r="C244" s="1" t="n">
        <v>45471</v>
      </c>
      <c r="D244" t="inlineStr">
        <is>
          <t>DALARNAS LÄN</t>
        </is>
      </c>
      <c r="E244" t="inlineStr">
        <is>
          <t>LEKSAND</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v>
      </c>
      <c r="C245" s="1" t="n">
        <v>45471</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18140-2022</t>
        </is>
      </c>
      <c r="B246" s="1" t="n">
        <v>44684</v>
      </c>
      <c r="C246" s="1" t="n">
        <v>45471</v>
      </c>
      <c r="D246" t="inlineStr">
        <is>
          <t>DALARNAS LÄN</t>
        </is>
      </c>
      <c r="E246" t="inlineStr">
        <is>
          <t>LEKSAND</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18866-2022</t>
        </is>
      </c>
      <c r="B247" s="1" t="n">
        <v>44690</v>
      </c>
      <c r="C247" s="1" t="n">
        <v>45471</v>
      </c>
      <c r="D247" t="inlineStr">
        <is>
          <t>DALARNAS LÄN</t>
        </is>
      </c>
      <c r="E247" t="inlineStr">
        <is>
          <t>LEKSAND</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18870-2022</t>
        </is>
      </c>
      <c r="B248" s="1" t="n">
        <v>44690</v>
      </c>
      <c r="C248" s="1" t="n">
        <v>45471</v>
      </c>
      <c r="D248" t="inlineStr">
        <is>
          <t>DALARNAS LÄN</t>
        </is>
      </c>
      <c r="E248" t="inlineStr">
        <is>
          <t>LEKSAND</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19467-2022</t>
        </is>
      </c>
      <c r="B249" s="1" t="n">
        <v>44693</v>
      </c>
      <c r="C249" s="1" t="n">
        <v>45471</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19480-2022</t>
        </is>
      </c>
      <c r="B250" s="1" t="n">
        <v>44693</v>
      </c>
      <c r="C250" s="1" t="n">
        <v>45471</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19993-2022</t>
        </is>
      </c>
      <c r="B251" s="1" t="n">
        <v>44697</v>
      </c>
      <c r="C251" s="1" t="n">
        <v>45471</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20274-2022</t>
        </is>
      </c>
      <c r="B252" s="1" t="n">
        <v>44698</v>
      </c>
      <c r="C252" s="1" t="n">
        <v>45471</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21565-2022</t>
        </is>
      </c>
      <c r="B253" s="1" t="n">
        <v>44704</v>
      </c>
      <c r="C253" s="1" t="n">
        <v>45471</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21841-2022</t>
        </is>
      </c>
      <c r="B254" s="1" t="n">
        <v>44711</v>
      </c>
      <c r="C254" s="1" t="n">
        <v>45471</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21839-2022</t>
        </is>
      </c>
      <c r="B255" s="1" t="n">
        <v>44711</v>
      </c>
      <c r="C255" s="1" t="n">
        <v>45471</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21840-2022</t>
        </is>
      </c>
      <c r="B256" s="1" t="n">
        <v>44711</v>
      </c>
      <c r="C256" s="1" t="n">
        <v>45471</v>
      </c>
      <c r="D256" t="inlineStr">
        <is>
          <t>DALARNAS LÄN</t>
        </is>
      </c>
      <c r="E256" t="inlineStr">
        <is>
          <t>LEKSAND</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45471</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22681-2022</t>
        </is>
      </c>
      <c r="B258" s="1" t="n">
        <v>44714</v>
      </c>
      <c r="C258" s="1" t="n">
        <v>45471</v>
      </c>
      <c r="D258" t="inlineStr">
        <is>
          <t>DALARNAS LÄN</t>
        </is>
      </c>
      <c r="E258" t="inlineStr">
        <is>
          <t>LEKSAND</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22684-2022</t>
        </is>
      </c>
      <c r="B259" s="1" t="n">
        <v>44714</v>
      </c>
      <c r="C259" s="1" t="n">
        <v>45471</v>
      </c>
      <c r="D259" t="inlineStr">
        <is>
          <t>DALARNAS LÄN</t>
        </is>
      </c>
      <c r="E259" t="inlineStr">
        <is>
          <t>LEKSAND</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23137-2022</t>
        </is>
      </c>
      <c r="B260" s="1" t="n">
        <v>44719</v>
      </c>
      <c r="C260" s="1" t="n">
        <v>45471</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v>
      </c>
      <c r="C261" s="1" t="n">
        <v>45471</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26289-2022</t>
        </is>
      </c>
      <c r="B262" s="1" t="n">
        <v>44735</v>
      </c>
      <c r="C262" s="1" t="n">
        <v>45471</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26882-2022</t>
        </is>
      </c>
      <c r="B263" s="1" t="n">
        <v>44740</v>
      </c>
      <c r="C263" s="1" t="n">
        <v>45471</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28128-2022</t>
        </is>
      </c>
      <c r="B264" s="1" t="n">
        <v>44746</v>
      </c>
      <c r="C264" s="1" t="n">
        <v>45471</v>
      </c>
      <c r="D264" t="inlineStr">
        <is>
          <t>DALARNAS LÄN</t>
        </is>
      </c>
      <c r="E264" t="inlineStr">
        <is>
          <t>LEKSAND</t>
        </is>
      </c>
      <c r="G264" t="n">
        <v>3.5</v>
      </c>
      <c r="H264" t="n">
        <v>0</v>
      </c>
      <c r="I264" t="n">
        <v>0</v>
      </c>
      <c r="J264" t="n">
        <v>0</v>
      </c>
      <c r="K264" t="n">
        <v>0</v>
      </c>
      <c r="L264" t="n">
        <v>0</v>
      </c>
      <c r="M264" t="n">
        <v>0</v>
      </c>
      <c r="N264" t="n">
        <v>0</v>
      </c>
      <c r="O264" t="n">
        <v>0</v>
      </c>
      <c r="P264" t="n">
        <v>0</v>
      </c>
      <c r="Q264" t="n">
        <v>0</v>
      </c>
      <c r="R264" s="2" t="inlineStr"/>
    </row>
    <row r="265" ht="15" customHeight="1">
      <c r="A265" t="inlineStr">
        <is>
          <t>A 28911-2022</t>
        </is>
      </c>
      <c r="B265" s="1" t="n">
        <v>44749</v>
      </c>
      <c r="C265" s="1" t="n">
        <v>45471</v>
      </c>
      <c r="D265" t="inlineStr">
        <is>
          <t>DALARNAS LÄN</t>
        </is>
      </c>
      <c r="E265" t="inlineStr">
        <is>
          <t>LEKSAND</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28892-2022</t>
        </is>
      </c>
      <c r="B266" s="1" t="n">
        <v>44749</v>
      </c>
      <c r="C266" s="1" t="n">
        <v>45471</v>
      </c>
      <c r="D266" t="inlineStr">
        <is>
          <t>DALARNAS LÄN</t>
        </is>
      </c>
      <c r="E266" t="inlineStr">
        <is>
          <t>LEKSAND</t>
        </is>
      </c>
      <c r="F266" t="inlineStr">
        <is>
          <t>Bergvik skog väst AB</t>
        </is>
      </c>
      <c r="G266" t="n">
        <v>9.1</v>
      </c>
      <c r="H266" t="n">
        <v>0</v>
      </c>
      <c r="I266" t="n">
        <v>0</v>
      </c>
      <c r="J266" t="n">
        <v>0</v>
      </c>
      <c r="K266" t="n">
        <v>0</v>
      </c>
      <c r="L266" t="n">
        <v>0</v>
      </c>
      <c r="M266" t="n">
        <v>0</v>
      </c>
      <c r="N266" t="n">
        <v>0</v>
      </c>
      <c r="O266" t="n">
        <v>0</v>
      </c>
      <c r="P266" t="n">
        <v>0</v>
      </c>
      <c r="Q266" t="n">
        <v>0</v>
      </c>
      <c r="R266" s="2" t="inlineStr"/>
    </row>
    <row r="267" ht="15" customHeight="1">
      <c r="A267" t="inlineStr">
        <is>
          <t>A 28912-2022</t>
        </is>
      </c>
      <c r="B267" s="1" t="n">
        <v>44749</v>
      </c>
      <c r="C267" s="1" t="n">
        <v>45471</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29205-2022</t>
        </is>
      </c>
      <c r="B268" s="1" t="n">
        <v>44750</v>
      </c>
      <c r="C268" s="1" t="n">
        <v>45471</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29157-2022</t>
        </is>
      </c>
      <c r="B269" s="1" t="n">
        <v>44750</v>
      </c>
      <c r="C269" s="1" t="n">
        <v>45471</v>
      </c>
      <c r="D269" t="inlineStr">
        <is>
          <t>DALARNAS LÄN</t>
        </is>
      </c>
      <c r="E269" t="inlineStr">
        <is>
          <t>LEKSAND</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30449-2022</t>
        </is>
      </c>
      <c r="B270" s="1" t="n">
        <v>44761</v>
      </c>
      <c r="C270" s="1" t="n">
        <v>45471</v>
      </c>
      <c r="D270" t="inlineStr">
        <is>
          <t>DALARNAS LÄN</t>
        </is>
      </c>
      <c r="E270" t="inlineStr">
        <is>
          <t>LEKSAND</t>
        </is>
      </c>
      <c r="G270" t="n">
        <v>5.7</v>
      </c>
      <c r="H270" t="n">
        <v>0</v>
      </c>
      <c r="I270" t="n">
        <v>0</v>
      </c>
      <c r="J270" t="n">
        <v>0</v>
      </c>
      <c r="K270" t="n">
        <v>0</v>
      </c>
      <c r="L270" t="n">
        <v>0</v>
      </c>
      <c r="M270" t="n">
        <v>0</v>
      </c>
      <c r="N270" t="n">
        <v>0</v>
      </c>
      <c r="O270" t="n">
        <v>0</v>
      </c>
      <c r="P270" t="n">
        <v>0</v>
      </c>
      <c r="Q270" t="n">
        <v>0</v>
      </c>
      <c r="R270" s="2" t="inlineStr"/>
    </row>
    <row r="271" ht="15" customHeight="1">
      <c r="A271" t="inlineStr">
        <is>
          <t>A 31746-2022</t>
        </is>
      </c>
      <c r="B271" s="1" t="n">
        <v>44776</v>
      </c>
      <c r="C271" s="1" t="n">
        <v>45471</v>
      </c>
      <c r="D271" t="inlineStr">
        <is>
          <t>DALARNAS LÄN</t>
        </is>
      </c>
      <c r="E271" t="inlineStr">
        <is>
          <t>LEKSAND</t>
        </is>
      </c>
      <c r="G271" t="n">
        <v>3.3</v>
      </c>
      <c r="H271" t="n">
        <v>0</v>
      </c>
      <c r="I271" t="n">
        <v>0</v>
      </c>
      <c r="J271" t="n">
        <v>0</v>
      </c>
      <c r="K271" t="n">
        <v>0</v>
      </c>
      <c r="L271" t="n">
        <v>0</v>
      </c>
      <c r="M271" t="n">
        <v>0</v>
      </c>
      <c r="N271" t="n">
        <v>0</v>
      </c>
      <c r="O271" t="n">
        <v>0</v>
      </c>
      <c r="P271" t="n">
        <v>0</v>
      </c>
      <c r="Q271" t="n">
        <v>0</v>
      </c>
      <c r="R271" s="2" t="inlineStr"/>
    </row>
    <row r="272" ht="15" customHeight="1">
      <c r="A272" t="inlineStr">
        <is>
          <t>A 31871-2022</t>
        </is>
      </c>
      <c r="B272" s="1" t="n">
        <v>44777</v>
      </c>
      <c r="C272" s="1" t="n">
        <v>45471</v>
      </c>
      <c r="D272" t="inlineStr">
        <is>
          <t>DALARNAS LÄN</t>
        </is>
      </c>
      <c r="E272" t="inlineStr">
        <is>
          <t>LEKSAND</t>
        </is>
      </c>
      <c r="G272" t="n">
        <v>4.1</v>
      </c>
      <c r="H272" t="n">
        <v>0</v>
      </c>
      <c r="I272" t="n">
        <v>0</v>
      </c>
      <c r="J272" t="n">
        <v>0</v>
      </c>
      <c r="K272" t="n">
        <v>0</v>
      </c>
      <c r="L272" t="n">
        <v>0</v>
      </c>
      <c r="M272" t="n">
        <v>0</v>
      </c>
      <c r="N272" t="n">
        <v>0</v>
      </c>
      <c r="O272" t="n">
        <v>0</v>
      </c>
      <c r="P272" t="n">
        <v>0</v>
      </c>
      <c r="Q272" t="n">
        <v>0</v>
      </c>
      <c r="R272" s="2" t="inlineStr"/>
    </row>
    <row r="273" ht="15" customHeight="1">
      <c r="A273" t="inlineStr">
        <is>
          <t>A 32225-2022</t>
        </is>
      </c>
      <c r="B273" s="1" t="n">
        <v>44781</v>
      </c>
      <c r="C273" s="1" t="n">
        <v>45471</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32476-2022</t>
        </is>
      </c>
      <c r="B274" s="1" t="n">
        <v>44782</v>
      </c>
      <c r="C274" s="1" t="n">
        <v>45471</v>
      </c>
      <c r="D274" t="inlineStr">
        <is>
          <t>DALARNAS LÄN</t>
        </is>
      </c>
      <c r="E274" t="inlineStr">
        <is>
          <t>LEKSAND</t>
        </is>
      </c>
      <c r="G274" t="n">
        <v>5.6</v>
      </c>
      <c r="H274" t="n">
        <v>0</v>
      </c>
      <c r="I274" t="n">
        <v>0</v>
      </c>
      <c r="J274" t="n">
        <v>0</v>
      </c>
      <c r="K274" t="n">
        <v>0</v>
      </c>
      <c r="L274" t="n">
        <v>0</v>
      </c>
      <c r="M274" t="n">
        <v>0</v>
      </c>
      <c r="N274" t="n">
        <v>0</v>
      </c>
      <c r="O274" t="n">
        <v>0</v>
      </c>
      <c r="P274" t="n">
        <v>0</v>
      </c>
      <c r="Q274" t="n">
        <v>0</v>
      </c>
      <c r="R274" s="2" t="inlineStr"/>
    </row>
    <row r="275" ht="15" customHeight="1">
      <c r="A275" t="inlineStr">
        <is>
          <t>A 32791-2022</t>
        </is>
      </c>
      <c r="B275" s="1" t="n">
        <v>44784</v>
      </c>
      <c r="C275" s="1" t="n">
        <v>45471</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33198-2022</t>
        </is>
      </c>
      <c r="B276" s="1" t="n">
        <v>44785</v>
      </c>
      <c r="C276" s="1" t="n">
        <v>45471</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34317-2022</t>
        </is>
      </c>
      <c r="B277" s="1" t="n">
        <v>44792</v>
      </c>
      <c r="C277" s="1" t="n">
        <v>45471</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34482-2022</t>
        </is>
      </c>
      <c r="B278" s="1" t="n">
        <v>44792</v>
      </c>
      <c r="C278" s="1" t="n">
        <v>45471</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35080-2022</t>
        </is>
      </c>
      <c r="B279" s="1" t="n">
        <v>44797</v>
      </c>
      <c r="C279" s="1" t="n">
        <v>45471</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35087-2022</t>
        </is>
      </c>
      <c r="B280" s="1" t="n">
        <v>44797</v>
      </c>
      <c r="C280" s="1" t="n">
        <v>45471</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35801-2022</t>
        </is>
      </c>
      <c r="B281" s="1" t="n">
        <v>44802</v>
      </c>
      <c r="C281" s="1" t="n">
        <v>45471</v>
      </c>
      <c r="D281" t="inlineStr">
        <is>
          <t>DALARNAS LÄN</t>
        </is>
      </c>
      <c r="E281" t="inlineStr">
        <is>
          <t>LEKSAND</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35952-2022</t>
        </is>
      </c>
      <c r="B282" s="1" t="n">
        <v>44802</v>
      </c>
      <c r="C282" s="1" t="n">
        <v>45471</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37300-2022</t>
        </is>
      </c>
      <c r="B283" s="1" t="n">
        <v>44808</v>
      </c>
      <c r="C283" s="1" t="n">
        <v>45471</v>
      </c>
      <c r="D283" t="inlineStr">
        <is>
          <t>DALARNAS LÄN</t>
        </is>
      </c>
      <c r="E283" t="inlineStr">
        <is>
          <t>LEKSAND</t>
        </is>
      </c>
      <c r="G283" t="n">
        <v>6.3</v>
      </c>
      <c r="H283" t="n">
        <v>0</v>
      </c>
      <c r="I283" t="n">
        <v>0</v>
      </c>
      <c r="J283" t="n">
        <v>0</v>
      </c>
      <c r="K283" t="n">
        <v>0</v>
      </c>
      <c r="L283" t="n">
        <v>0</v>
      </c>
      <c r="M283" t="n">
        <v>0</v>
      </c>
      <c r="N283" t="n">
        <v>0</v>
      </c>
      <c r="O283" t="n">
        <v>0</v>
      </c>
      <c r="P283" t="n">
        <v>0</v>
      </c>
      <c r="Q283" t="n">
        <v>0</v>
      </c>
      <c r="R283" s="2" t="inlineStr"/>
    </row>
    <row r="284" ht="15" customHeight="1">
      <c r="A284" t="inlineStr">
        <is>
          <t>A 37928-2022</t>
        </is>
      </c>
      <c r="B284" s="1" t="n">
        <v>44811</v>
      </c>
      <c r="C284" s="1" t="n">
        <v>45471</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38236-2022</t>
        </is>
      </c>
      <c r="B285" s="1" t="n">
        <v>44812</v>
      </c>
      <c r="C285" s="1" t="n">
        <v>45471</v>
      </c>
      <c r="D285" t="inlineStr">
        <is>
          <t>DALARNAS LÄN</t>
        </is>
      </c>
      <c r="E285" t="inlineStr">
        <is>
          <t>LEKSAND</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38258-2022</t>
        </is>
      </c>
      <c r="B286" s="1" t="n">
        <v>44812</v>
      </c>
      <c r="C286" s="1" t="n">
        <v>45471</v>
      </c>
      <c r="D286" t="inlineStr">
        <is>
          <t>DALARNAS LÄN</t>
        </is>
      </c>
      <c r="E286" t="inlineStr">
        <is>
          <t>LEKSAND</t>
        </is>
      </c>
      <c r="G286" t="n">
        <v>3.9</v>
      </c>
      <c r="H286" t="n">
        <v>0</v>
      </c>
      <c r="I286" t="n">
        <v>0</v>
      </c>
      <c r="J286" t="n">
        <v>0</v>
      </c>
      <c r="K286" t="n">
        <v>0</v>
      </c>
      <c r="L286" t="n">
        <v>0</v>
      </c>
      <c r="M286" t="n">
        <v>0</v>
      </c>
      <c r="N286" t="n">
        <v>0</v>
      </c>
      <c r="O286" t="n">
        <v>0</v>
      </c>
      <c r="P286" t="n">
        <v>0</v>
      </c>
      <c r="Q286" t="n">
        <v>0</v>
      </c>
      <c r="R286" s="2" t="inlineStr"/>
    </row>
    <row r="287" ht="15" customHeight="1">
      <c r="A287" t="inlineStr">
        <is>
          <t>A 38764-2022</t>
        </is>
      </c>
      <c r="B287" s="1" t="n">
        <v>44816</v>
      </c>
      <c r="C287" s="1" t="n">
        <v>45471</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39658-2022</t>
        </is>
      </c>
      <c r="B288" s="1" t="n">
        <v>44818</v>
      </c>
      <c r="C288" s="1" t="n">
        <v>45471</v>
      </c>
      <c r="D288" t="inlineStr">
        <is>
          <t>DALARNAS LÄN</t>
        </is>
      </c>
      <c r="E288" t="inlineStr">
        <is>
          <t>LEKSAND</t>
        </is>
      </c>
      <c r="G288" t="n">
        <v>5.4</v>
      </c>
      <c r="H288" t="n">
        <v>0</v>
      </c>
      <c r="I288" t="n">
        <v>0</v>
      </c>
      <c r="J288" t="n">
        <v>0</v>
      </c>
      <c r="K288" t="n">
        <v>0</v>
      </c>
      <c r="L288" t="n">
        <v>0</v>
      </c>
      <c r="M288" t="n">
        <v>0</v>
      </c>
      <c r="N288" t="n">
        <v>0</v>
      </c>
      <c r="O288" t="n">
        <v>0</v>
      </c>
      <c r="P288" t="n">
        <v>0</v>
      </c>
      <c r="Q288" t="n">
        <v>0</v>
      </c>
      <c r="R288" s="2" t="inlineStr"/>
    </row>
    <row r="289" ht="15" customHeight="1">
      <c r="A289" t="inlineStr">
        <is>
          <t>A 40165-2022</t>
        </is>
      </c>
      <c r="B289" s="1" t="n">
        <v>44820</v>
      </c>
      <c r="C289" s="1" t="n">
        <v>45471</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41351-2022</t>
        </is>
      </c>
      <c r="B290" s="1" t="n">
        <v>44824</v>
      </c>
      <c r="C290" s="1" t="n">
        <v>45471</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43275-2022</t>
        </is>
      </c>
      <c r="B291" s="1" t="n">
        <v>44824</v>
      </c>
      <c r="C291" s="1" t="n">
        <v>45471</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41869-2022</t>
        </is>
      </c>
      <c r="B292" s="1" t="n">
        <v>44829</v>
      </c>
      <c r="C292" s="1" t="n">
        <v>45471</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43300-2022</t>
        </is>
      </c>
      <c r="B293" s="1" t="n">
        <v>44834</v>
      </c>
      <c r="C293" s="1" t="n">
        <v>45471</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43304-2022</t>
        </is>
      </c>
      <c r="B294" s="1" t="n">
        <v>44834</v>
      </c>
      <c r="C294" s="1" t="n">
        <v>45471</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43604-2022</t>
        </is>
      </c>
      <c r="B295" s="1" t="n">
        <v>44837</v>
      </c>
      <c r="C295" s="1" t="n">
        <v>45471</v>
      </c>
      <c r="D295" t="inlineStr">
        <is>
          <t>DALARNAS LÄN</t>
        </is>
      </c>
      <c r="E295" t="inlineStr">
        <is>
          <t>LEKSAND</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43693-2022</t>
        </is>
      </c>
      <c r="B296" s="1" t="n">
        <v>44837</v>
      </c>
      <c r="C296" s="1" t="n">
        <v>45471</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43735-2022</t>
        </is>
      </c>
      <c r="B297" s="1" t="n">
        <v>44837</v>
      </c>
      <c r="C297" s="1" t="n">
        <v>45471</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44124-2022</t>
        </is>
      </c>
      <c r="B298" s="1" t="n">
        <v>44839</v>
      </c>
      <c r="C298" s="1" t="n">
        <v>45471</v>
      </c>
      <c r="D298" t="inlineStr">
        <is>
          <t>DALARNAS LÄN</t>
        </is>
      </c>
      <c r="E298" t="inlineStr">
        <is>
          <t>LEKSAND</t>
        </is>
      </c>
      <c r="G298" t="n">
        <v>8</v>
      </c>
      <c r="H298" t="n">
        <v>0</v>
      </c>
      <c r="I298" t="n">
        <v>0</v>
      </c>
      <c r="J298" t="n">
        <v>0</v>
      </c>
      <c r="K298" t="n">
        <v>0</v>
      </c>
      <c r="L298" t="n">
        <v>0</v>
      </c>
      <c r="M298" t="n">
        <v>0</v>
      </c>
      <c r="N298" t="n">
        <v>0</v>
      </c>
      <c r="O298" t="n">
        <v>0</v>
      </c>
      <c r="P298" t="n">
        <v>0</v>
      </c>
      <c r="Q298" t="n">
        <v>0</v>
      </c>
      <c r="R298" s="2" t="inlineStr"/>
    </row>
    <row r="299" ht="15" customHeight="1">
      <c r="A299" t="inlineStr">
        <is>
          <t>A 44700-2022</t>
        </is>
      </c>
      <c r="B299" s="1" t="n">
        <v>44840</v>
      </c>
      <c r="C299" s="1" t="n">
        <v>45471</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v>
      </c>
      <c r="C300" s="1" t="n">
        <v>45471</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46141-2022</t>
        </is>
      </c>
      <c r="B301" s="1" t="n">
        <v>44846</v>
      </c>
      <c r="C301" s="1" t="n">
        <v>45471</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46672-2022</t>
        </is>
      </c>
      <c r="B302" s="1" t="n">
        <v>44851</v>
      </c>
      <c r="C302" s="1" t="n">
        <v>45471</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46916-2022</t>
        </is>
      </c>
      <c r="B303" s="1" t="n">
        <v>44851</v>
      </c>
      <c r="C303" s="1" t="n">
        <v>45471</v>
      </c>
      <c r="D303" t="inlineStr">
        <is>
          <t>DALARNAS LÄN</t>
        </is>
      </c>
      <c r="E303" t="inlineStr">
        <is>
          <t>LEKSAND</t>
        </is>
      </c>
      <c r="F303" t="inlineStr">
        <is>
          <t>Bergvik skog väst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47441-2022</t>
        </is>
      </c>
      <c r="B304" s="1" t="n">
        <v>44853</v>
      </c>
      <c r="C304" s="1" t="n">
        <v>45471</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49342-2022</t>
        </is>
      </c>
      <c r="B305" s="1" t="n">
        <v>44861</v>
      </c>
      <c r="C305" s="1" t="n">
        <v>45471</v>
      </c>
      <c r="D305" t="inlineStr">
        <is>
          <t>DALARNAS LÄN</t>
        </is>
      </c>
      <c r="E305" t="inlineStr">
        <is>
          <t>LEKSAND</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49345-2022</t>
        </is>
      </c>
      <c r="B306" s="1" t="n">
        <v>44861</v>
      </c>
      <c r="C306" s="1" t="n">
        <v>45471</v>
      </c>
      <c r="D306" t="inlineStr">
        <is>
          <t>DALARNAS LÄN</t>
        </is>
      </c>
      <c r="E306" t="inlineStr">
        <is>
          <t>LEKSAND</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49581-2022</t>
        </is>
      </c>
      <c r="B307" s="1" t="n">
        <v>44862</v>
      </c>
      <c r="C307" s="1" t="n">
        <v>45471</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50219-2022</t>
        </is>
      </c>
      <c r="B308" s="1" t="n">
        <v>44865</v>
      </c>
      <c r="C308" s="1" t="n">
        <v>45471</v>
      </c>
      <c r="D308" t="inlineStr">
        <is>
          <t>DALARNAS LÄN</t>
        </is>
      </c>
      <c r="E308" t="inlineStr">
        <is>
          <t>LEKSAND</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50353-2022</t>
        </is>
      </c>
      <c r="B309" s="1" t="n">
        <v>44866</v>
      </c>
      <c r="C309" s="1" t="n">
        <v>45471</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50352-2022</t>
        </is>
      </c>
      <c r="B310" s="1" t="n">
        <v>44866</v>
      </c>
      <c r="C310" s="1" t="n">
        <v>45471</v>
      </c>
      <c r="D310" t="inlineStr">
        <is>
          <t>DALARNAS LÄN</t>
        </is>
      </c>
      <c r="E310" t="inlineStr">
        <is>
          <t>LEKSAND</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50354-2022</t>
        </is>
      </c>
      <c r="B311" s="1" t="n">
        <v>44866</v>
      </c>
      <c r="C311" s="1" t="n">
        <v>45471</v>
      </c>
      <c r="D311" t="inlineStr">
        <is>
          <t>DALARNAS LÄN</t>
        </is>
      </c>
      <c r="E311" t="inlineStr">
        <is>
          <t>LEKSAND</t>
        </is>
      </c>
      <c r="F311" t="inlineStr">
        <is>
          <t>Bergvik skog väst AB</t>
        </is>
      </c>
      <c r="G311" t="n">
        <v>7.4</v>
      </c>
      <c r="H311" t="n">
        <v>0</v>
      </c>
      <c r="I311" t="n">
        <v>0</v>
      </c>
      <c r="J311" t="n">
        <v>0</v>
      </c>
      <c r="K311" t="n">
        <v>0</v>
      </c>
      <c r="L311" t="n">
        <v>0</v>
      </c>
      <c r="M311" t="n">
        <v>0</v>
      </c>
      <c r="N311" t="n">
        <v>0</v>
      </c>
      <c r="O311" t="n">
        <v>0</v>
      </c>
      <c r="P311" t="n">
        <v>0</v>
      </c>
      <c r="Q311" t="n">
        <v>0</v>
      </c>
      <c r="R311" s="2" t="inlineStr"/>
    </row>
    <row r="312" ht="15" customHeight="1">
      <c r="A312" t="inlineStr">
        <is>
          <t>A 51857-2022</t>
        </is>
      </c>
      <c r="B312" s="1" t="n">
        <v>44867</v>
      </c>
      <c r="C312" s="1" t="n">
        <v>45471</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51449-2022</t>
        </is>
      </c>
      <c r="B313" s="1" t="n">
        <v>44869</v>
      </c>
      <c r="C313" s="1" t="n">
        <v>45471</v>
      </c>
      <c r="D313" t="inlineStr">
        <is>
          <t>DALARNAS LÄN</t>
        </is>
      </c>
      <c r="E313" t="inlineStr">
        <is>
          <t>LEKSAND</t>
        </is>
      </c>
      <c r="F313" t="inlineStr">
        <is>
          <t>Bergvik skog väst AB</t>
        </is>
      </c>
      <c r="G313" t="n">
        <v>5</v>
      </c>
      <c r="H313" t="n">
        <v>0</v>
      </c>
      <c r="I313" t="n">
        <v>0</v>
      </c>
      <c r="J313" t="n">
        <v>0</v>
      </c>
      <c r="K313" t="n">
        <v>0</v>
      </c>
      <c r="L313" t="n">
        <v>0</v>
      </c>
      <c r="M313" t="n">
        <v>0</v>
      </c>
      <c r="N313" t="n">
        <v>0</v>
      </c>
      <c r="O313" t="n">
        <v>0</v>
      </c>
      <c r="P313" t="n">
        <v>0</v>
      </c>
      <c r="Q313" t="n">
        <v>0</v>
      </c>
      <c r="R313" s="2" t="inlineStr"/>
    </row>
    <row r="314" ht="15" customHeight="1">
      <c r="A314" t="inlineStr">
        <is>
          <t>A 51480-2022</t>
        </is>
      </c>
      <c r="B314" s="1" t="n">
        <v>44869</v>
      </c>
      <c r="C314" s="1" t="n">
        <v>45471</v>
      </c>
      <c r="D314" t="inlineStr">
        <is>
          <t>DALARNAS LÄN</t>
        </is>
      </c>
      <c r="E314" t="inlineStr">
        <is>
          <t>LEKSAND</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51502-2022</t>
        </is>
      </c>
      <c r="B315" s="1" t="n">
        <v>44869</v>
      </c>
      <c r="C315" s="1" t="n">
        <v>45471</v>
      </c>
      <c r="D315" t="inlineStr">
        <is>
          <t>DALARNAS LÄN</t>
        </is>
      </c>
      <c r="E315" t="inlineStr">
        <is>
          <t>LEKSAND</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51498-2022</t>
        </is>
      </c>
      <c r="B316" s="1" t="n">
        <v>44869</v>
      </c>
      <c r="C316" s="1" t="n">
        <v>45471</v>
      </c>
      <c r="D316" t="inlineStr">
        <is>
          <t>DALARNAS LÄN</t>
        </is>
      </c>
      <c r="E316" t="inlineStr">
        <is>
          <t>LEKSAND</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51842-2022</t>
        </is>
      </c>
      <c r="B317" s="1" t="n">
        <v>44872</v>
      </c>
      <c r="C317" s="1" t="n">
        <v>45471</v>
      </c>
      <c r="D317" t="inlineStr">
        <is>
          <t>DALARNAS LÄN</t>
        </is>
      </c>
      <c r="E317" t="inlineStr">
        <is>
          <t>LEKSAND</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52977-2022</t>
        </is>
      </c>
      <c r="B318" s="1" t="n">
        <v>44875</v>
      </c>
      <c r="C318" s="1" t="n">
        <v>45471</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53293-2022</t>
        </is>
      </c>
      <c r="B319" s="1" t="n">
        <v>44877</v>
      </c>
      <c r="C319" s="1" t="n">
        <v>45471</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53787-2022</t>
        </is>
      </c>
      <c r="B320" s="1" t="n">
        <v>44880</v>
      </c>
      <c r="C320" s="1" t="n">
        <v>45471</v>
      </c>
      <c r="D320" t="inlineStr">
        <is>
          <t>DALARNAS LÄN</t>
        </is>
      </c>
      <c r="E320" t="inlineStr">
        <is>
          <t>LEKSAND</t>
        </is>
      </c>
      <c r="G320" t="n">
        <v>7.6</v>
      </c>
      <c r="H320" t="n">
        <v>0</v>
      </c>
      <c r="I320" t="n">
        <v>0</v>
      </c>
      <c r="J320" t="n">
        <v>0</v>
      </c>
      <c r="K320" t="n">
        <v>0</v>
      </c>
      <c r="L320" t="n">
        <v>0</v>
      </c>
      <c r="M320" t="n">
        <v>0</v>
      </c>
      <c r="N320" t="n">
        <v>0</v>
      </c>
      <c r="O320" t="n">
        <v>0</v>
      </c>
      <c r="P320" t="n">
        <v>0</v>
      </c>
      <c r="Q320" t="n">
        <v>0</v>
      </c>
      <c r="R320" s="2" t="inlineStr"/>
    </row>
    <row r="321" ht="15" customHeight="1">
      <c r="A321" t="inlineStr">
        <is>
          <t>A 54070-2022</t>
        </is>
      </c>
      <c r="B321" s="1" t="n">
        <v>44881</v>
      </c>
      <c r="C321" s="1" t="n">
        <v>45471</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56330-2022</t>
        </is>
      </c>
      <c r="B322" s="1" t="n">
        <v>44890</v>
      </c>
      <c r="C322" s="1" t="n">
        <v>45471</v>
      </c>
      <c r="D322" t="inlineStr">
        <is>
          <t>DALARNAS LÄN</t>
        </is>
      </c>
      <c r="E322" t="inlineStr">
        <is>
          <t>LEKSAND</t>
        </is>
      </c>
      <c r="G322" t="n">
        <v>4.9</v>
      </c>
      <c r="H322" t="n">
        <v>0</v>
      </c>
      <c r="I322" t="n">
        <v>0</v>
      </c>
      <c r="J322" t="n">
        <v>0</v>
      </c>
      <c r="K322" t="n">
        <v>0</v>
      </c>
      <c r="L322" t="n">
        <v>0</v>
      </c>
      <c r="M322" t="n">
        <v>0</v>
      </c>
      <c r="N322" t="n">
        <v>0</v>
      </c>
      <c r="O322" t="n">
        <v>0</v>
      </c>
      <c r="P322" t="n">
        <v>0</v>
      </c>
      <c r="Q322" t="n">
        <v>0</v>
      </c>
      <c r="R322" s="2" t="inlineStr"/>
    </row>
    <row r="323" ht="15" customHeight="1">
      <c r="A323" t="inlineStr">
        <is>
          <t>A 56702-2022</t>
        </is>
      </c>
      <c r="B323" s="1" t="n">
        <v>44893</v>
      </c>
      <c r="C323" s="1" t="n">
        <v>45471</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57415-2022</t>
        </is>
      </c>
      <c r="B324" s="1" t="n">
        <v>44896</v>
      </c>
      <c r="C324" s="1" t="n">
        <v>45471</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57438-2022</t>
        </is>
      </c>
      <c r="B325" s="1" t="n">
        <v>44896</v>
      </c>
      <c r="C325" s="1" t="n">
        <v>45471</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58619-2022</t>
        </is>
      </c>
      <c r="B326" s="1" t="n">
        <v>44902</v>
      </c>
      <c r="C326" s="1" t="n">
        <v>45471</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60300-2022</t>
        </is>
      </c>
      <c r="B327" s="1" t="n">
        <v>44903</v>
      </c>
      <c r="C327" s="1" t="n">
        <v>45471</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60095-2022</t>
        </is>
      </c>
      <c r="B328" s="1" t="n">
        <v>44909</v>
      </c>
      <c r="C328" s="1" t="n">
        <v>45471</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45471</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61269-2022</t>
        </is>
      </c>
      <c r="B330" s="1" t="n">
        <v>44909</v>
      </c>
      <c r="C330" s="1" t="n">
        <v>45471</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60550-2022</t>
        </is>
      </c>
      <c r="B331" s="1" t="n">
        <v>44911</v>
      </c>
      <c r="C331" s="1" t="n">
        <v>45471</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60715-2022</t>
        </is>
      </c>
      <c r="B332" s="1" t="n">
        <v>44912</v>
      </c>
      <c r="C332" s="1" t="n">
        <v>45471</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60913-2022</t>
        </is>
      </c>
      <c r="B333" s="1" t="n">
        <v>44914</v>
      </c>
      <c r="C333" s="1" t="n">
        <v>45471</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61288-2022</t>
        </is>
      </c>
      <c r="B334" s="1" t="n">
        <v>44915</v>
      </c>
      <c r="C334" s="1" t="n">
        <v>45471</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61786-2022</t>
        </is>
      </c>
      <c r="B335" s="1" t="n">
        <v>44917</v>
      </c>
      <c r="C335" s="1" t="n">
        <v>45471</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61787-2022</t>
        </is>
      </c>
      <c r="B336" s="1" t="n">
        <v>44917</v>
      </c>
      <c r="C336" s="1" t="n">
        <v>45471</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164-2023</t>
        </is>
      </c>
      <c r="B337" s="1" t="n">
        <v>44918</v>
      </c>
      <c r="C337" s="1" t="n">
        <v>45471</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151-2023</t>
        </is>
      </c>
      <c r="B338" s="1" t="n">
        <v>44918</v>
      </c>
      <c r="C338" s="1" t="n">
        <v>45471</v>
      </c>
      <c r="D338" t="inlineStr">
        <is>
          <t>DALARNAS LÄN</t>
        </is>
      </c>
      <c r="E338" t="inlineStr">
        <is>
          <t>LEKSAND</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45471</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325-2023</t>
        </is>
      </c>
      <c r="B340" s="1" t="n">
        <v>44929</v>
      </c>
      <c r="C340" s="1" t="n">
        <v>45471</v>
      </c>
      <c r="D340" t="inlineStr">
        <is>
          <t>DALARNAS LÄN</t>
        </is>
      </c>
      <c r="E340" t="inlineStr">
        <is>
          <t>LEKSAND</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315-2023</t>
        </is>
      </c>
      <c r="B341" s="1" t="n">
        <v>44929</v>
      </c>
      <c r="C341" s="1" t="n">
        <v>45471</v>
      </c>
      <c r="D341" t="inlineStr">
        <is>
          <t>DALARNAS LÄN</t>
        </is>
      </c>
      <c r="E341" t="inlineStr">
        <is>
          <t>LEKSAND</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45471</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391-2023</t>
        </is>
      </c>
      <c r="B343" s="1" t="n">
        <v>44929</v>
      </c>
      <c r="C343" s="1" t="n">
        <v>45471</v>
      </c>
      <c r="D343" t="inlineStr">
        <is>
          <t>DALARNAS LÄN</t>
        </is>
      </c>
      <c r="E343" t="inlineStr">
        <is>
          <t>LEKSAND</t>
        </is>
      </c>
      <c r="F343" t="inlineStr">
        <is>
          <t>Övriga Aktiebolag</t>
        </is>
      </c>
      <c r="G343" t="n">
        <v>10</v>
      </c>
      <c r="H343" t="n">
        <v>0</v>
      </c>
      <c r="I343" t="n">
        <v>0</v>
      </c>
      <c r="J343" t="n">
        <v>0</v>
      </c>
      <c r="K343" t="n">
        <v>0</v>
      </c>
      <c r="L343" t="n">
        <v>0</v>
      </c>
      <c r="M343" t="n">
        <v>0</v>
      </c>
      <c r="N343" t="n">
        <v>0</v>
      </c>
      <c r="O343" t="n">
        <v>0</v>
      </c>
      <c r="P343" t="n">
        <v>0</v>
      </c>
      <c r="Q343" t="n">
        <v>0</v>
      </c>
      <c r="R343" s="2" t="inlineStr"/>
    </row>
    <row r="344" ht="15" customHeight="1">
      <c r="A344" t="inlineStr">
        <is>
          <t>A 784-2023</t>
        </is>
      </c>
      <c r="B344" s="1" t="n">
        <v>44931</v>
      </c>
      <c r="C344" s="1" t="n">
        <v>45471</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1510-2023</t>
        </is>
      </c>
      <c r="B345" s="1" t="n">
        <v>44937</v>
      </c>
      <c r="C345" s="1" t="n">
        <v>45471</v>
      </c>
      <c r="D345" t="inlineStr">
        <is>
          <t>DALARNAS LÄN</t>
        </is>
      </c>
      <c r="E345" t="inlineStr">
        <is>
          <t>LEKSAND</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3262-2023</t>
        </is>
      </c>
      <c r="B346" s="1" t="n">
        <v>44948</v>
      </c>
      <c r="C346" s="1" t="n">
        <v>45471</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3445-2023</t>
        </is>
      </c>
      <c r="B347" s="1" t="n">
        <v>44949</v>
      </c>
      <c r="C347" s="1" t="n">
        <v>45471</v>
      </c>
      <c r="D347" t="inlineStr">
        <is>
          <t>DALARNAS LÄN</t>
        </is>
      </c>
      <c r="E347" t="inlineStr">
        <is>
          <t>LEKSAND</t>
        </is>
      </c>
      <c r="G347" t="n">
        <v>2.8</v>
      </c>
      <c r="H347" t="n">
        <v>0</v>
      </c>
      <c r="I347" t="n">
        <v>0</v>
      </c>
      <c r="J347" t="n">
        <v>0</v>
      </c>
      <c r="K347" t="n">
        <v>0</v>
      </c>
      <c r="L347" t="n">
        <v>0</v>
      </c>
      <c r="M347" t="n">
        <v>0</v>
      </c>
      <c r="N347" t="n">
        <v>0</v>
      </c>
      <c r="O347" t="n">
        <v>0</v>
      </c>
      <c r="P347" t="n">
        <v>0</v>
      </c>
      <c r="Q347" t="n">
        <v>0</v>
      </c>
      <c r="R347" s="2" t="inlineStr"/>
    </row>
    <row r="348" ht="15" customHeight="1">
      <c r="A348" t="inlineStr">
        <is>
          <t>A 3737-2023</t>
        </is>
      </c>
      <c r="B348" s="1" t="n">
        <v>44951</v>
      </c>
      <c r="C348" s="1" t="n">
        <v>45471</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4182-2023</t>
        </is>
      </c>
      <c r="B349" s="1" t="n">
        <v>44951</v>
      </c>
      <c r="C349" s="1" t="n">
        <v>45471</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4217-2023</t>
        </is>
      </c>
      <c r="B350" s="1" t="n">
        <v>44953</v>
      </c>
      <c r="C350" s="1" t="n">
        <v>45471</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6057-2023</t>
        </is>
      </c>
      <c r="B351" s="1" t="n">
        <v>44959</v>
      </c>
      <c r="C351" s="1" t="n">
        <v>45471</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6039-2023</t>
        </is>
      </c>
      <c r="B352" s="1" t="n">
        <v>44959</v>
      </c>
      <c r="C352" s="1" t="n">
        <v>45471</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6079-2023</t>
        </is>
      </c>
      <c r="B353" s="1" t="n">
        <v>44959</v>
      </c>
      <c r="C353" s="1" t="n">
        <v>45471</v>
      </c>
      <c r="D353" t="inlineStr">
        <is>
          <t>DALARNAS LÄN</t>
        </is>
      </c>
      <c r="E353" t="inlineStr">
        <is>
          <t>LEKSAND</t>
        </is>
      </c>
      <c r="G353" t="n">
        <v>4.1</v>
      </c>
      <c r="H353" t="n">
        <v>0</v>
      </c>
      <c r="I353" t="n">
        <v>0</v>
      </c>
      <c r="J353" t="n">
        <v>0</v>
      </c>
      <c r="K353" t="n">
        <v>0</v>
      </c>
      <c r="L353" t="n">
        <v>0</v>
      </c>
      <c r="M353" t="n">
        <v>0</v>
      </c>
      <c r="N353" t="n">
        <v>0</v>
      </c>
      <c r="O353" t="n">
        <v>0</v>
      </c>
      <c r="P353" t="n">
        <v>0</v>
      </c>
      <c r="Q353" t="n">
        <v>0</v>
      </c>
      <c r="R353" s="2" t="inlineStr"/>
    </row>
    <row r="354" ht="15" customHeight="1">
      <c r="A354" t="inlineStr">
        <is>
          <t>A 6050-2023</t>
        </is>
      </c>
      <c r="B354" s="1" t="n">
        <v>44959</v>
      </c>
      <c r="C354" s="1" t="n">
        <v>45471</v>
      </c>
      <c r="D354" t="inlineStr">
        <is>
          <t>DALARNAS LÄN</t>
        </is>
      </c>
      <c r="E354" t="inlineStr">
        <is>
          <t>LEKSAND</t>
        </is>
      </c>
      <c r="G354" t="n">
        <v>6.2</v>
      </c>
      <c r="H354" t="n">
        <v>0</v>
      </c>
      <c r="I354" t="n">
        <v>0</v>
      </c>
      <c r="J354" t="n">
        <v>0</v>
      </c>
      <c r="K354" t="n">
        <v>0</v>
      </c>
      <c r="L354" t="n">
        <v>0</v>
      </c>
      <c r="M354" t="n">
        <v>0</v>
      </c>
      <c r="N354" t="n">
        <v>0</v>
      </c>
      <c r="O354" t="n">
        <v>0</v>
      </c>
      <c r="P354" t="n">
        <v>0</v>
      </c>
      <c r="Q354" t="n">
        <v>0</v>
      </c>
      <c r="R354" s="2" t="inlineStr"/>
    </row>
    <row r="355" ht="15" customHeight="1">
      <c r="A355" t="inlineStr">
        <is>
          <t>A 5738-2023</t>
        </is>
      </c>
      <c r="B355" s="1" t="n">
        <v>44962</v>
      </c>
      <c r="C355" s="1" t="n">
        <v>45471</v>
      </c>
      <c r="D355" t="inlineStr">
        <is>
          <t>DALARNAS LÄN</t>
        </is>
      </c>
      <c r="E355" t="inlineStr">
        <is>
          <t>LEKSAND</t>
        </is>
      </c>
      <c r="G355" t="n">
        <v>0.2</v>
      </c>
      <c r="H355" t="n">
        <v>0</v>
      </c>
      <c r="I355" t="n">
        <v>0</v>
      </c>
      <c r="J355" t="n">
        <v>0</v>
      </c>
      <c r="K355" t="n">
        <v>0</v>
      </c>
      <c r="L355" t="n">
        <v>0</v>
      </c>
      <c r="M355" t="n">
        <v>0</v>
      </c>
      <c r="N355" t="n">
        <v>0</v>
      </c>
      <c r="O355" t="n">
        <v>0</v>
      </c>
      <c r="P355" t="n">
        <v>0</v>
      </c>
      <c r="Q355" t="n">
        <v>0</v>
      </c>
      <c r="R355" s="2" t="inlineStr"/>
    </row>
    <row r="356" ht="15" customHeight="1">
      <c r="A356" t="inlineStr">
        <is>
          <t>A 6074-2023</t>
        </is>
      </c>
      <c r="B356" s="1" t="n">
        <v>44964</v>
      </c>
      <c r="C356" s="1" t="n">
        <v>45471</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7441-2023</t>
        </is>
      </c>
      <c r="B357" s="1" t="n">
        <v>44966</v>
      </c>
      <c r="C357" s="1" t="n">
        <v>45471</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7467-2023</t>
        </is>
      </c>
      <c r="B358" s="1" t="n">
        <v>44966</v>
      </c>
      <c r="C358" s="1" t="n">
        <v>45471</v>
      </c>
      <c r="D358" t="inlineStr">
        <is>
          <t>DALARNAS LÄN</t>
        </is>
      </c>
      <c r="E358" t="inlineStr">
        <is>
          <t>LEKSAND</t>
        </is>
      </c>
      <c r="G358" t="n">
        <v>2.4</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v>
      </c>
      <c r="C359" s="1" t="n">
        <v>45471</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8170-2023</t>
        </is>
      </c>
      <c r="B360" s="1" t="n">
        <v>44971</v>
      </c>
      <c r="C360" s="1" t="n">
        <v>45471</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7450-2023</t>
        </is>
      </c>
      <c r="B361" s="1" t="n">
        <v>44971</v>
      </c>
      <c r="C361" s="1" t="n">
        <v>45471</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45471</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8211-2023</t>
        </is>
      </c>
      <c r="B363" s="1" t="n">
        <v>44974</v>
      </c>
      <c r="C363" s="1" t="n">
        <v>45471</v>
      </c>
      <c r="D363" t="inlineStr">
        <is>
          <t>DALARNAS LÄN</t>
        </is>
      </c>
      <c r="E363" t="inlineStr">
        <is>
          <t>LEKSAND</t>
        </is>
      </c>
      <c r="G363" t="n">
        <v>5.2</v>
      </c>
      <c r="H363" t="n">
        <v>0</v>
      </c>
      <c r="I363" t="n">
        <v>0</v>
      </c>
      <c r="J363" t="n">
        <v>0</v>
      </c>
      <c r="K363" t="n">
        <v>0</v>
      </c>
      <c r="L363" t="n">
        <v>0</v>
      </c>
      <c r="M363" t="n">
        <v>0</v>
      </c>
      <c r="N363" t="n">
        <v>0</v>
      </c>
      <c r="O363" t="n">
        <v>0</v>
      </c>
      <c r="P363" t="n">
        <v>0</v>
      </c>
      <c r="Q363" t="n">
        <v>0</v>
      </c>
      <c r="R363" s="2" t="inlineStr"/>
    </row>
    <row r="364" ht="15" customHeight="1">
      <c r="A364" t="inlineStr">
        <is>
          <t>A 8936-2023</t>
        </is>
      </c>
      <c r="B364" s="1" t="n">
        <v>44974</v>
      </c>
      <c r="C364" s="1" t="n">
        <v>45471</v>
      </c>
      <c r="D364" t="inlineStr">
        <is>
          <t>DALARNAS LÄN</t>
        </is>
      </c>
      <c r="E364" t="inlineStr">
        <is>
          <t>LEKSAND</t>
        </is>
      </c>
      <c r="G364" t="n">
        <v>7</v>
      </c>
      <c r="H364" t="n">
        <v>0</v>
      </c>
      <c r="I364" t="n">
        <v>0</v>
      </c>
      <c r="J364" t="n">
        <v>0</v>
      </c>
      <c r="K364" t="n">
        <v>0</v>
      </c>
      <c r="L364" t="n">
        <v>0</v>
      </c>
      <c r="M364" t="n">
        <v>0</v>
      </c>
      <c r="N364" t="n">
        <v>0</v>
      </c>
      <c r="O364" t="n">
        <v>0</v>
      </c>
      <c r="P364" t="n">
        <v>0</v>
      </c>
      <c r="Q364" t="n">
        <v>0</v>
      </c>
      <c r="R364" s="2" t="inlineStr"/>
    </row>
    <row r="365" ht="15" customHeight="1">
      <c r="A365" t="inlineStr">
        <is>
          <t>A 9143-2023</t>
        </is>
      </c>
      <c r="B365" s="1" t="n">
        <v>44974</v>
      </c>
      <c r="C365" s="1" t="n">
        <v>45471</v>
      </c>
      <c r="D365" t="inlineStr">
        <is>
          <t>DALARNAS LÄN</t>
        </is>
      </c>
      <c r="E365" t="inlineStr">
        <is>
          <t>LEKSAND</t>
        </is>
      </c>
      <c r="G365" t="n">
        <v>4.3</v>
      </c>
      <c r="H365" t="n">
        <v>0</v>
      </c>
      <c r="I365" t="n">
        <v>0</v>
      </c>
      <c r="J365" t="n">
        <v>0</v>
      </c>
      <c r="K365" t="n">
        <v>0</v>
      </c>
      <c r="L365" t="n">
        <v>0</v>
      </c>
      <c r="M365" t="n">
        <v>0</v>
      </c>
      <c r="N365" t="n">
        <v>0</v>
      </c>
      <c r="O365" t="n">
        <v>0</v>
      </c>
      <c r="P365" t="n">
        <v>0</v>
      </c>
      <c r="Q365" t="n">
        <v>0</v>
      </c>
      <c r="R365" s="2" t="inlineStr"/>
    </row>
    <row r="366" ht="15" customHeight="1">
      <c r="A366" t="inlineStr">
        <is>
          <t>A 8940-2023</t>
        </is>
      </c>
      <c r="B366" s="1" t="n">
        <v>44974</v>
      </c>
      <c r="C366" s="1" t="n">
        <v>45471</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9138-2023</t>
        </is>
      </c>
      <c r="B367" s="1" t="n">
        <v>44974</v>
      </c>
      <c r="C367" s="1" t="n">
        <v>45471</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45471</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9459-2023</t>
        </is>
      </c>
      <c r="B369" s="1" t="n">
        <v>44977</v>
      </c>
      <c r="C369" s="1" t="n">
        <v>45471</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8773-2023</t>
        </is>
      </c>
      <c r="B370" s="1" t="n">
        <v>44978</v>
      </c>
      <c r="C370" s="1" t="n">
        <v>45471</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8695-2023</t>
        </is>
      </c>
      <c r="B371" s="1" t="n">
        <v>44978</v>
      </c>
      <c r="C371" s="1" t="n">
        <v>45471</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8743-2023</t>
        </is>
      </c>
      <c r="B372" s="1" t="n">
        <v>44978</v>
      </c>
      <c r="C372" s="1" t="n">
        <v>45471</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8755-2023</t>
        </is>
      </c>
      <c r="B373" s="1" t="n">
        <v>44978</v>
      </c>
      <c r="C373" s="1" t="n">
        <v>45471</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9324-2023</t>
        </is>
      </c>
      <c r="B374" s="1" t="n">
        <v>44980</v>
      </c>
      <c r="C374" s="1" t="n">
        <v>45471</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9336-2023</t>
        </is>
      </c>
      <c r="B375" s="1" t="n">
        <v>44980</v>
      </c>
      <c r="C375" s="1" t="n">
        <v>45471</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9938-2023</t>
        </is>
      </c>
      <c r="B376" s="1" t="n">
        <v>44985</v>
      </c>
      <c r="C376" s="1" t="n">
        <v>45471</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9947-2023</t>
        </is>
      </c>
      <c r="B377" s="1" t="n">
        <v>44985</v>
      </c>
      <c r="C377" s="1" t="n">
        <v>45471</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11010-2023</t>
        </is>
      </c>
      <c r="B378" s="1" t="n">
        <v>44986</v>
      </c>
      <c r="C378" s="1" t="n">
        <v>45471</v>
      </c>
      <c r="D378" t="inlineStr">
        <is>
          <t>DALARNAS LÄN</t>
        </is>
      </c>
      <c r="E378" t="inlineStr">
        <is>
          <t>LEKSAND</t>
        </is>
      </c>
      <c r="G378" t="n">
        <v>3.7</v>
      </c>
      <c r="H378" t="n">
        <v>0</v>
      </c>
      <c r="I378" t="n">
        <v>0</v>
      </c>
      <c r="J378" t="n">
        <v>0</v>
      </c>
      <c r="K378" t="n">
        <v>0</v>
      </c>
      <c r="L378" t="n">
        <v>0</v>
      </c>
      <c r="M378" t="n">
        <v>0</v>
      </c>
      <c r="N378" t="n">
        <v>0</v>
      </c>
      <c r="O378" t="n">
        <v>0</v>
      </c>
      <c r="P378" t="n">
        <v>0</v>
      </c>
      <c r="Q378" t="n">
        <v>0</v>
      </c>
      <c r="R378" s="2" t="inlineStr"/>
    </row>
    <row r="379" ht="15" customHeight="1">
      <c r="A379" t="inlineStr">
        <is>
          <t>A 11004-2023</t>
        </is>
      </c>
      <c r="B379" s="1" t="n">
        <v>44986</v>
      </c>
      <c r="C379" s="1" t="n">
        <v>45471</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10367-2023</t>
        </is>
      </c>
      <c r="B380" s="1" t="n">
        <v>44987</v>
      </c>
      <c r="C380" s="1" t="n">
        <v>45471</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10373-2023</t>
        </is>
      </c>
      <c r="B381" s="1" t="n">
        <v>44987</v>
      </c>
      <c r="C381" s="1" t="n">
        <v>45471</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10368-2023</t>
        </is>
      </c>
      <c r="B382" s="1" t="n">
        <v>44987</v>
      </c>
      <c r="C382" s="1" t="n">
        <v>45471</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11398-2023</t>
        </is>
      </c>
      <c r="B383" s="1" t="n">
        <v>44988</v>
      </c>
      <c r="C383" s="1" t="n">
        <v>45471</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11423-2023</t>
        </is>
      </c>
      <c r="B384" s="1" t="n">
        <v>44988</v>
      </c>
      <c r="C384" s="1" t="n">
        <v>45471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11420-2023</t>
        </is>
      </c>
      <c r="B385" s="1" t="n">
        <v>44988</v>
      </c>
      <c r="C385" s="1" t="n">
        <v>45471</v>
      </c>
      <c r="D385" t="inlineStr">
        <is>
          <t>DALARNAS LÄN</t>
        </is>
      </c>
      <c r="E385" t="inlineStr">
        <is>
          <t>LEKSAND</t>
        </is>
      </c>
      <c r="G385" t="n">
        <v>6.5</v>
      </c>
      <c r="H385" t="n">
        <v>0</v>
      </c>
      <c r="I385" t="n">
        <v>0</v>
      </c>
      <c r="J385" t="n">
        <v>0</v>
      </c>
      <c r="K385" t="n">
        <v>0</v>
      </c>
      <c r="L385" t="n">
        <v>0</v>
      </c>
      <c r="M385" t="n">
        <v>0</v>
      </c>
      <c r="N385" t="n">
        <v>0</v>
      </c>
      <c r="O385" t="n">
        <v>0</v>
      </c>
      <c r="P385" t="n">
        <v>0</v>
      </c>
      <c r="Q385" t="n">
        <v>0</v>
      </c>
      <c r="R385" s="2" t="inlineStr"/>
    </row>
    <row r="386" ht="15" customHeight="1">
      <c r="A386" t="inlineStr">
        <is>
          <t>A 10828-2023</t>
        </is>
      </c>
      <c r="B386" s="1" t="n">
        <v>44990</v>
      </c>
      <c r="C386" s="1" t="n">
        <v>45471</v>
      </c>
      <c r="D386" t="inlineStr">
        <is>
          <t>DALARNAS LÄN</t>
        </is>
      </c>
      <c r="E386" t="inlineStr">
        <is>
          <t>LEKSAND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10833-2023</t>
        </is>
      </c>
      <c r="B387" s="1" t="n">
        <v>44990</v>
      </c>
      <c r="C387" s="1" t="n">
        <v>45471</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10967-2023</t>
        </is>
      </c>
      <c r="B388" s="1" t="n">
        <v>44991</v>
      </c>
      <c r="C388" s="1" t="n">
        <v>45471</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10987-2023</t>
        </is>
      </c>
      <c r="B389" s="1" t="n">
        <v>44991</v>
      </c>
      <c r="C389" s="1" t="n">
        <v>45471</v>
      </c>
      <c r="D389" t="inlineStr">
        <is>
          <t>DALARNAS LÄN</t>
        </is>
      </c>
      <c r="E389" t="inlineStr">
        <is>
          <t>LEKSAND</t>
        </is>
      </c>
      <c r="G389" t="n">
        <v>2.7</v>
      </c>
      <c r="H389" t="n">
        <v>0</v>
      </c>
      <c r="I389" t="n">
        <v>0</v>
      </c>
      <c r="J389" t="n">
        <v>0</v>
      </c>
      <c r="K389" t="n">
        <v>0</v>
      </c>
      <c r="L389" t="n">
        <v>0</v>
      </c>
      <c r="M389" t="n">
        <v>0</v>
      </c>
      <c r="N389" t="n">
        <v>0</v>
      </c>
      <c r="O389" t="n">
        <v>0</v>
      </c>
      <c r="P389" t="n">
        <v>0</v>
      </c>
      <c r="Q389" t="n">
        <v>0</v>
      </c>
      <c r="R389" s="2" t="inlineStr"/>
    </row>
    <row r="390" ht="15" customHeight="1">
      <c r="A390" t="inlineStr">
        <is>
          <t>A 10869-2023</t>
        </is>
      </c>
      <c r="B390" s="1" t="n">
        <v>44991</v>
      </c>
      <c r="C390" s="1" t="n">
        <v>45471</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10974-2023</t>
        </is>
      </c>
      <c r="B391" s="1" t="n">
        <v>44991</v>
      </c>
      <c r="C391" s="1" t="n">
        <v>45471</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10896-2023</t>
        </is>
      </c>
      <c r="B392" s="1" t="n">
        <v>44991</v>
      </c>
      <c r="C392" s="1" t="n">
        <v>45471</v>
      </c>
      <c r="D392" t="inlineStr">
        <is>
          <t>DALARNAS LÄN</t>
        </is>
      </c>
      <c r="E392" t="inlineStr">
        <is>
          <t>LEKSAND</t>
        </is>
      </c>
      <c r="G392" t="n">
        <v>4.1</v>
      </c>
      <c r="H392" t="n">
        <v>0</v>
      </c>
      <c r="I392" t="n">
        <v>0</v>
      </c>
      <c r="J392" t="n">
        <v>0</v>
      </c>
      <c r="K392" t="n">
        <v>0</v>
      </c>
      <c r="L392" t="n">
        <v>0</v>
      </c>
      <c r="M392" t="n">
        <v>0</v>
      </c>
      <c r="N392" t="n">
        <v>0</v>
      </c>
      <c r="O392" t="n">
        <v>0</v>
      </c>
      <c r="P392" t="n">
        <v>0</v>
      </c>
      <c r="Q392" t="n">
        <v>0</v>
      </c>
      <c r="R392" s="2" t="inlineStr"/>
    </row>
    <row r="393" ht="15" customHeight="1">
      <c r="A393" t="inlineStr">
        <is>
          <t>A 11233-2023</t>
        </is>
      </c>
      <c r="B393" s="1" t="n">
        <v>44992</v>
      </c>
      <c r="C393" s="1" t="n">
        <v>45471</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11238-2023</t>
        </is>
      </c>
      <c r="B394" s="1" t="n">
        <v>44992</v>
      </c>
      <c r="C394" s="1" t="n">
        <v>45471</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11092-2023</t>
        </is>
      </c>
      <c r="B395" s="1" t="n">
        <v>44992</v>
      </c>
      <c r="C395" s="1" t="n">
        <v>45471</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11248-2023</t>
        </is>
      </c>
      <c r="B396" s="1" t="n">
        <v>44992</v>
      </c>
      <c r="C396" s="1" t="n">
        <v>45471</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11128-2023</t>
        </is>
      </c>
      <c r="B397" s="1" t="n">
        <v>44992</v>
      </c>
      <c r="C397" s="1" t="n">
        <v>45471</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45471</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11110-2023</t>
        </is>
      </c>
      <c r="B399" s="1" t="n">
        <v>44992</v>
      </c>
      <c r="C399" s="1" t="n">
        <v>45471</v>
      </c>
      <c r="D399" t="inlineStr">
        <is>
          <t>DALARNAS LÄN</t>
        </is>
      </c>
      <c r="E399" t="inlineStr">
        <is>
          <t>LEKSAND</t>
        </is>
      </c>
      <c r="G399" t="n">
        <v>11.2</v>
      </c>
      <c r="H399" t="n">
        <v>0</v>
      </c>
      <c r="I399" t="n">
        <v>0</v>
      </c>
      <c r="J399" t="n">
        <v>0</v>
      </c>
      <c r="K399" t="n">
        <v>0</v>
      </c>
      <c r="L399" t="n">
        <v>0</v>
      </c>
      <c r="M399" t="n">
        <v>0</v>
      </c>
      <c r="N399" t="n">
        <v>0</v>
      </c>
      <c r="O399" t="n">
        <v>0</v>
      </c>
      <c r="P399" t="n">
        <v>0</v>
      </c>
      <c r="Q399" t="n">
        <v>0</v>
      </c>
      <c r="R399" s="2" t="inlineStr"/>
    </row>
    <row r="400" ht="15" customHeight="1">
      <c r="A400" t="inlineStr">
        <is>
          <t>A 11218-2023</t>
        </is>
      </c>
      <c r="B400" s="1" t="n">
        <v>44992</v>
      </c>
      <c r="C400" s="1" t="n">
        <v>45471</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11225-2023</t>
        </is>
      </c>
      <c r="B401" s="1" t="n">
        <v>44992</v>
      </c>
      <c r="C401" s="1" t="n">
        <v>45471</v>
      </c>
      <c r="D401" t="inlineStr">
        <is>
          <t>DALARNAS LÄN</t>
        </is>
      </c>
      <c r="E401" t="inlineStr">
        <is>
          <t>LEKSAND</t>
        </is>
      </c>
      <c r="G401" t="n">
        <v>6.1</v>
      </c>
      <c r="H401" t="n">
        <v>0</v>
      </c>
      <c r="I401" t="n">
        <v>0</v>
      </c>
      <c r="J401" t="n">
        <v>0</v>
      </c>
      <c r="K401" t="n">
        <v>0</v>
      </c>
      <c r="L401" t="n">
        <v>0</v>
      </c>
      <c r="M401" t="n">
        <v>0</v>
      </c>
      <c r="N401" t="n">
        <v>0</v>
      </c>
      <c r="O401" t="n">
        <v>0</v>
      </c>
      <c r="P401" t="n">
        <v>0</v>
      </c>
      <c r="Q401" t="n">
        <v>0</v>
      </c>
      <c r="R401" s="2" t="inlineStr"/>
    </row>
    <row r="402" ht="15" customHeight="1">
      <c r="A402" t="inlineStr">
        <is>
          <t>A 11347-2023</t>
        </is>
      </c>
      <c r="B402" s="1" t="n">
        <v>44993</v>
      </c>
      <c r="C402" s="1" t="n">
        <v>45471</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11392-2023</t>
        </is>
      </c>
      <c r="B403" s="1" t="n">
        <v>44993</v>
      </c>
      <c r="C403" s="1" t="n">
        <v>45471</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11403-2023</t>
        </is>
      </c>
      <c r="B404" s="1" t="n">
        <v>44993</v>
      </c>
      <c r="C404" s="1" t="n">
        <v>45471</v>
      </c>
      <c r="D404" t="inlineStr">
        <is>
          <t>DALARNAS LÄN</t>
        </is>
      </c>
      <c r="E404" t="inlineStr">
        <is>
          <t>LEKSAND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11418-2023</t>
        </is>
      </c>
      <c r="B405" s="1" t="n">
        <v>44993</v>
      </c>
      <c r="C405" s="1" t="n">
        <v>45471</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11747-2023</t>
        </is>
      </c>
      <c r="B406" s="1" t="n">
        <v>44993</v>
      </c>
      <c r="C406" s="1" t="n">
        <v>45471</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11913-2023</t>
        </is>
      </c>
      <c r="B407" s="1" t="n">
        <v>44993</v>
      </c>
      <c r="C407" s="1" t="n">
        <v>45471</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11582-2023</t>
        </is>
      </c>
      <c r="B408" s="1" t="n">
        <v>44994</v>
      </c>
      <c r="C408" s="1" t="n">
        <v>45471</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11592-2023</t>
        </is>
      </c>
      <c r="B409" s="1" t="n">
        <v>44994</v>
      </c>
      <c r="C409" s="1" t="n">
        <v>45471</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11678-2023</t>
        </is>
      </c>
      <c r="B410" s="1" t="n">
        <v>44994</v>
      </c>
      <c r="C410" s="1" t="n">
        <v>45471</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12144-2023</t>
        </is>
      </c>
      <c r="B411" s="1" t="n">
        <v>44998</v>
      </c>
      <c r="C411" s="1" t="n">
        <v>45471</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12117-2023</t>
        </is>
      </c>
      <c r="B412" s="1" t="n">
        <v>44998</v>
      </c>
      <c r="C412" s="1" t="n">
        <v>45471</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12120-2023</t>
        </is>
      </c>
      <c r="B413" s="1" t="n">
        <v>44998</v>
      </c>
      <c r="C413" s="1" t="n">
        <v>45471</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12356-2023</t>
        </is>
      </c>
      <c r="B414" s="1" t="n">
        <v>44998</v>
      </c>
      <c r="C414" s="1" t="n">
        <v>45471</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12363-2023</t>
        </is>
      </c>
      <c r="B415" s="1" t="n">
        <v>44998</v>
      </c>
      <c r="C415" s="1" t="n">
        <v>45471</v>
      </c>
      <c r="D415" t="inlineStr">
        <is>
          <t>DALARNAS LÄN</t>
        </is>
      </c>
      <c r="E415" t="inlineStr">
        <is>
          <t>LEKSAND</t>
        </is>
      </c>
      <c r="G415" t="n">
        <v>10</v>
      </c>
      <c r="H415" t="n">
        <v>0</v>
      </c>
      <c r="I415" t="n">
        <v>0</v>
      </c>
      <c r="J415" t="n">
        <v>0</v>
      </c>
      <c r="K415" t="n">
        <v>0</v>
      </c>
      <c r="L415" t="n">
        <v>0</v>
      </c>
      <c r="M415" t="n">
        <v>0</v>
      </c>
      <c r="N415" t="n">
        <v>0</v>
      </c>
      <c r="O415" t="n">
        <v>0</v>
      </c>
      <c r="P415" t="n">
        <v>0</v>
      </c>
      <c r="Q415" t="n">
        <v>0</v>
      </c>
      <c r="R415" s="2" t="inlineStr"/>
    </row>
    <row r="416" ht="15" customHeight="1">
      <c r="A416" t="inlineStr">
        <is>
          <t>A 12414-2023</t>
        </is>
      </c>
      <c r="B416" s="1" t="n">
        <v>44999</v>
      </c>
      <c r="C416" s="1" t="n">
        <v>45471</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12857-2023</t>
        </is>
      </c>
      <c r="B417" s="1" t="n">
        <v>45001</v>
      </c>
      <c r="C417" s="1" t="n">
        <v>45471</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12851-2023</t>
        </is>
      </c>
      <c r="B418" s="1" t="n">
        <v>45001</v>
      </c>
      <c r="C418" s="1" t="n">
        <v>45471</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13024-2023</t>
        </is>
      </c>
      <c r="B419" s="1" t="n">
        <v>45001</v>
      </c>
      <c r="C419" s="1" t="n">
        <v>45471</v>
      </c>
      <c r="D419" t="inlineStr">
        <is>
          <t>DALARNAS LÄN</t>
        </is>
      </c>
      <c r="E419" t="inlineStr">
        <is>
          <t>LEKSAND</t>
        </is>
      </c>
      <c r="G419" t="n">
        <v>0.8</v>
      </c>
      <c r="H419" t="n">
        <v>0</v>
      </c>
      <c r="I419" t="n">
        <v>0</v>
      </c>
      <c r="J419" t="n">
        <v>0</v>
      </c>
      <c r="K419" t="n">
        <v>0</v>
      </c>
      <c r="L419" t="n">
        <v>0</v>
      </c>
      <c r="M419" t="n">
        <v>0</v>
      </c>
      <c r="N419" t="n">
        <v>0</v>
      </c>
      <c r="O419" t="n">
        <v>0</v>
      </c>
      <c r="P419" t="n">
        <v>0</v>
      </c>
      <c r="Q419" t="n">
        <v>0</v>
      </c>
      <c r="R419" s="2" t="inlineStr"/>
    </row>
    <row r="420" ht="15" customHeight="1">
      <c r="A420" t="inlineStr">
        <is>
          <t>A 13063-2023</t>
        </is>
      </c>
      <c r="B420" s="1" t="n">
        <v>45001</v>
      </c>
      <c r="C420" s="1" t="n">
        <v>45471</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13027-2023</t>
        </is>
      </c>
      <c r="B421" s="1" t="n">
        <v>45001</v>
      </c>
      <c r="C421" s="1" t="n">
        <v>45471</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13079-2023</t>
        </is>
      </c>
      <c r="B422" s="1" t="n">
        <v>45001</v>
      </c>
      <c r="C422" s="1" t="n">
        <v>45471</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13165-2023</t>
        </is>
      </c>
      <c r="B423" s="1" t="n">
        <v>45002</v>
      </c>
      <c r="C423" s="1" t="n">
        <v>45471</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13288-2023</t>
        </is>
      </c>
      <c r="B424" s="1" t="n">
        <v>45004</v>
      </c>
      <c r="C424" s="1" t="n">
        <v>45471</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13397-2023</t>
        </is>
      </c>
      <c r="B425" s="1" t="n">
        <v>45005</v>
      </c>
      <c r="C425" s="1" t="n">
        <v>45471</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13401-2023</t>
        </is>
      </c>
      <c r="B426" s="1" t="n">
        <v>45005</v>
      </c>
      <c r="C426" s="1" t="n">
        <v>45471</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13376-2023</t>
        </is>
      </c>
      <c r="B427" s="1" t="n">
        <v>45005</v>
      </c>
      <c r="C427" s="1" t="n">
        <v>45471</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13760-2023</t>
        </is>
      </c>
      <c r="B428" s="1" t="n">
        <v>45007</v>
      </c>
      <c r="C428" s="1" t="n">
        <v>45471</v>
      </c>
      <c r="D428" t="inlineStr">
        <is>
          <t>DALARNAS LÄN</t>
        </is>
      </c>
      <c r="E428" t="inlineStr">
        <is>
          <t>LEKSAND</t>
        </is>
      </c>
      <c r="G428" t="n">
        <v>7.9</v>
      </c>
      <c r="H428" t="n">
        <v>0</v>
      </c>
      <c r="I428" t="n">
        <v>0</v>
      </c>
      <c r="J428" t="n">
        <v>0</v>
      </c>
      <c r="K428" t="n">
        <v>0</v>
      </c>
      <c r="L428" t="n">
        <v>0</v>
      </c>
      <c r="M428" t="n">
        <v>0</v>
      </c>
      <c r="N428" t="n">
        <v>0</v>
      </c>
      <c r="O428" t="n">
        <v>0</v>
      </c>
      <c r="P428" t="n">
        <v>0</v>
      </c>
      <c r="Q428" t="n">
        <v>0</v>
      </c>
      <c r="R428" s="2" t="inlineStr"/>
    </row>
    <row r="429" ht="15" customHeight="1">
      <c r="A429" t="inlineStr">
        <is>
          <t>A 14339-2023</t>
        </is>
      </c>
      <c r="B429" s="1" t="n">
        <v>45012</v>
      </c>
      <c r="C429" s="1" t="n">
        <v>45471</v>
      </c>
      <c r="D429" t="inlineStr">
        <is>
          <t>DALARNAS LÄN</t>
        </is>
      </c>
      <c r="E429" t="inlineStr">
        <is>
          <t>LEKSAND</t>
        </is>
      </c>
      <c r="G429" t="n">
        <v>5.3</v>
      </c>
      <c r="H429" t="n">
        <v>0</v>
      </c>
      <c r="I429" t="n">
        <v>0</v>
      </c>
      <c r="J429" t="n">
        <v>0</v>
      </c>
      <c r="K429" t="n">
        <v>0</v>
      </c>
      <c r="L429" t="n">
        <v>0</v>
      </c>
      <c r="M429" t="n">
        <v>0</v>
      </c>
      <c r="N429" t="n">
        <v>0</v>
      </c>
      <c r="O429" t="n">
        <v>0</v>
      </c>
      <c r="P429" t="n">
        <v>0</v>
      </c>
      <c r="Q429" t="n">
        <v>0</v>
      </c>
      <c r="R429" s="2" t="inlineStr"/>
    </row>
    <row r="430" ht="15" customHeight="1">
      <c r="A430" t="inlineStr">
        <is>
          <t>A 14558-2023</t>
        </is>
      </c>
      <c r="B430" s="1" t="n">
        <v>45013</v>
      </c>
      <c r="C430" s="1" t="n">
        <v>45471</v>
      </c>
      <c r="D430" t="inlineStr">
        <is>
          <t>DALARNAS LÄN</t>
        </is>
      </c>
      <c r="E430" t="inlineStr">
        <is>
          <t>LEKSAND</t>
        </is>
      </c>
      <c r="G430" t="n">
        <v>3.9</v>
      </c>
      <c r="H430" t="n">
        <v>0</v>
      </c>
      <c r="I430" t="n">
        <v>0</v>
      </c>
      <c r="J430" t="n">
        <v>0</v>
      </c>
      <c r="K430" t="n">
        <v>0</v>
      </c>
      <c r="L430" t="n">
        <v>0</v>
      </c>
      <c r="M430" t="n">
        <v>0</v>
      </c>
      <c r="N430" t="n">
        <v>0</v>
      </c>
      <c r="O430" t="n">
        <v>0</v>
      </c>
      <c r="P430" t="n">
        <v>0</v>
      </c>
      <c r="Q430" t="n">
        <v>0</v>
      </c>
      <c r="R430" s="2" t="inlineStr"/>
    </row>
    <row r="431" ht="15" customHeight="1">
      <c r="A431" t="inlineStr">
        <is>
          <t>A 14809-2023</t>
        </is>
      </c>
      <c r="B431" s="1" t="n">
        <v>45014</v>
      </c>
      <c r="C431" s="1" t="n">
        <v>45471</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45471</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14967-2023</t>
        </is>
      </c>
      <c r="B433" s="1" t="n">
        <v>45015</v>
      </c>
      <c r="C433" s="1" t="n">
        <v>45471</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v>
      </c>
      <c r="C434" s="1" t="n">
        <v>45471</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15025-2023</t>
        </is>
      </c>
      <c r="B435" s="1" t="n">
        <v>45015</v>
      </c>
      <c r="C435" s="1" t="n">
        <v>45471</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15120-2023</t>
        </is>
      </c>
      <c r="B436" s="1" t="n">
        <v>45016</v>
      </c>
      <c r="C436" s="1" t="n">
        <v>45471</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15261-2023</t>
        </is>
      </c>
      <c r="B437" s="1" t="n">
        <v>45019</v>
      </c>
      <c r="C437" s="1" t="n">
        <v>45471</v>
      </c>
      <c r="D437" t="inlineStr">
        <is>
          <t>DALARNAS LÄN</t>
        </is>
      </c>
      <c r="E437" t="inlineStr">
        <is>
          <t>LEKSAND</t>
        </is>
      </c>
      <c r="G437" t="n">
        <v>1.8</v>
      </c>
      <c r="H437" t="n">
        <v>0</v>
      </c>
      <c r="I437" t="n">
        <v>0</v>
      </c>
      <c r="J437" t="n">
        <v>0</v>
      </c>
      <c r="K437" t="n">
        <v>0</v>
      </c>
      <c r="L437" t="n">
        <v>0</v>
      </c>
      <c r="M437" t="n">
        <v>0</v>
      </c>
      <c r="N437" t="n">
        <v>0</v>
      </c>
      <c r="O437" t="n">
        <v>0</v>
      </c>
      <c r="P437" t="n">
        <v>0</v>
      </c>
      <c r="Q437" t="n">
        <v>0</v>
      </c>
      <c r="R437" s="2" t="inlineStr"/>
    </row>
    <row r="438" ht="15" customHeight="1">
      <c r="A438" t="inlineStr">
        <is>
          <t>A 15271-2023</t>
        </is>
      </c>
      <c r="B438" s="1" t="n">
        <v>45019</v>
      </c>
      <c r="C438" s="1" t="n">
        <v>45471</v>
      </c>
      <c r="D438" t="inlineStr">
        <is>
          <t>DALARNAS LÄN</t>
        </is>
      </c>
      <c r="E438" t="inlineStr">
        <is>
          <t>LEKSAND</t>
        </is>
      </c>
      <c r="G438" t="n">
        <v>5.5</v>
      </c>
      <c r="H438" t="n">
        <v>0</v>
      </c>
      <c r="I438" t="n">
        <v>0</v>
      </c>
      <c r="J438" t="n">
        <v>0</v>
      </c>
      <c r="K438" t="n">
        <v>0</v>
      </c>
      <c r="L438" t="n">
        <v>0</v>
      </c>
      <c r="M438" t="n">
        <v>0</v>
      </c>
      <c r="N438" t="n">
        <v>0</v>
      </c>
      <c r="O438" t="n">
        <v>0</v>
      </c>
      <c r="P438" t="n">
        <v>0</v>
      </c>
      <c r="Q438" t="n">
        <v>0</v>
      </c>
      <c r="R438" s="2" t="inlineStr"/>
    </row>
    <row r="439" ht="15" customHeight="1">
      <c r="A439" t="inlineStr">
        <is>
          <t>A 15435-2023</t>
        </is>
      </c>
      <c r="B439" s="1" t="n">
        <v>45020</v>
      </c>
      <c r="C439" s="1" t="n">
        <v>45471</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15436-2023</t>
        </is>
      </c>
      <c r="B440" s="1" t="n">
        <v>45020</v>
      </c>
      <c r="C440" s="1" t="n">
        <v>45471</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15433-2023</t>
        </is>
      </c>
      <c r="B441" s="1" t="n">
        <v>45020</v>
      </c>
      <c r="C441" s="1" t="n">
        <v>45471</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45471</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16051-2023</t>
        </is>
      </c>
      <c r="B443" s="1" t="n">
        <v>45027</v>
      </c>
      <c r="C443" s="1" t="n">
        <v>45471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16139-2023</t>
        </is>
      </c>
      <c r="B444" s="1" t="n">
        <v>45027</v>
      </c>
      <c r="C444" s="1" t="n">
        <v>45471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16143-2023</t>
        </is>
      </c>
      <c r="B445" s="1" t="n">
        <v>45027</v>
      </c>
      <c r="C445" s="1" t="n">
        <v>45471</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16137-2023</t>
        </is>
      </c>
      <c r="B446" s="1" t="n">
        <v>45027</v>
      </c>
      <c r="C446" s="1" t="n">
        <v>45471</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v>
      </c>
      <c r="C447" s="1" t="n">
        <v>45471</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16333-2023</t>
        </is>
      </c>
      <c r="B448" s="1" t="n">
        <v>45028</v>
      </c>
      <c r="C448" s="1" t="n">
        <v>45471</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16332-2023</t>
        </is>
      </c>
      <c r="B449" s="1" t="n">
        <v>45028</v>
      </c>
      <c r="C449" s="1" t="n">
        <v>45471</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16592-2023</t>
        </is>
      </c>
      <c r="B450" s="1" t="n">
        <v>45030</v>
      </c>
      <c r="C450" s="1" t="n">
        <v>45471</v>
      </c>
      <c r="D450" t="inlineStr">
        <is>
          <t>DALARNAS LÄN</t>
        </is>
      </c>
      <c r="E450" t="inlineStr">
        <is>
          <t>LEKSAND</t>
        </is>
      </c>
      <c r="G450" t="n">
        <v>11.5</v>
      </c>
      <c r="H450" t="n">
        <v>0</v>
      </c>
      <c r="I450" t="n">
        <v>0</v>
      </c>
      <c r="J450" t="n">
        <v>0</v>
      </c>
      <c r="K450" t="n">
        <v>0</v>
      </c>
      <c r="L450" t="n">
        <v>0</v>
      </c>
      <c r="M450" t="n">
        <v>0</v>
      </c>
      <c r="N450" t="n">
        <v>0</v>
      </c>
      <c r="O450" t="n">
        <v>0</v>
      </c>
      <c r="P450" t="n">
        <v>0</v>
      </c>
      <c r="Q450" t="n">
        <v>0</v>
      </c>
      <c r="R450" s="2" t="inlineStr"/>
    </row>
    <row r="451" ht="15" customHeight="1">
      <c r="A451" t="inlineStr">
        <is>
          <t>A 16818-2023</t>
        </is>
      </c>
      <c r="B451" s="1" t="n">
        <v>45033</v>
      </c>
      <c r="C451" s="1" t="n">
        <v>45471</v>
      </c>
      <c r="D451" t="inlineStr">
        <is>
          <t>DALARNAS LÄN</t>
        </is>
      </c>
      <c r="E451" t="inlineStr">
        <is>
          <t>LEKSAND</t>
        </is>
      </c>
      <c r="F451" t="inlineStr">
        <is>
          <t>Övriga statliga verk och myndigheter</t>
        </is>
      </c>
      <c r="G451" t="n">
        <v>1.3</v>
      </c>
      <c r="H451" t="n">
        <v>0</v>
      </c>
      <c r="I451" t="n">
        <v>0</v>
      </c>
      <c r="J451" t="n">
        <v>0</v>
      </c>
      <c r="K451" t="n">
        <v>0</v>
      </c>
      <c r="L451" t="n">
        <v>0</v>
      </c>
      <c r="M451" t="n">
        <v>0</v>
      </c>
      <c r="N451" t="n">
        <v>0</v>
      </c>
      <c r="O451" t="n">
        <v>0</v>
      </c>
      <c r="P451" t="n">
        <v>0</v>
      </c>
      <c r="Q451" t="n">
        <v>0</v>
      </c>
      <c r="R451" s="2" t="inlineStr"/>
    </row>
    <row r="452" ht="15" customHeight="1">
      <c r="A452" t="inlineStr">
        <is>
          <t>A 16882-2023</t>
        </is>
      </c>
      <c r="B452" s="1" t="n">
        <v>45033</v>
      </c>
      <c r="C452" s="1" t="n">
        <v>45471</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16926-2023</t>
        </is>
      </c>
      <c r="B453" s="1" t="n">
        <v>45033</v>
      </c>
      <c r="C453" s="1" t="n">
        <v>45471</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17078-2023</t>
        </is>
      </c>
      <c r="B454" s="1" t="n">
        <v>45034</v>
      </c>
      <c r="C454" s="1" t="n">
        <v>45471</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17070-2023</t>
        </is>
      </c>
      <c r="B455" s="1" t="n">
        <v>45034</v>
      </c>
      <c r="C455" s="1" t="n">
        <v>45471</v>
      </c>
      <c r="D455" t="inlineStr">
        <is>
          <t>DALARNAS LÄN</t>
        </is>
      </c>
      <c r="E455" t="inlineStr">
        <is>
          <t>LEKSAND</t>
        </is>
      </c>
      <c r="G455" t="n">
        <v>5.9</v>
      </c>
      <c r="H455" t="n">
        <v>0</v>
      </c>
      <c r="I455" t="n">
        <v>0</v>
      </c>
      <c r="J455" t="n">
        <v>0</v>
      </c>
      <c r="K455" t="n">
        <v>0</v>
      </c>
      <c r="L455" t="n">
        <v>0</v>
      </c>
      <c r="M455" t="n">
        <v>0</v>
      </c>
      <c r="N455" t="n">
        <v>0</v>
      </c>
      <c r="O455" t="n">
        <v>0</v>
      </c>
      <c r="P455" t="n">
        <v>0</v>
      </c>
      <c r="Q455" t="n">
        <v>0</v>
      </c>
      <c r="R455" s="2" t="inlineStr"/>
    </row>
    <row r="456" ht="15" customHeight="1">
      <c r="A456" t="inlineStr">
        <is>
          <t>A 17076-2023</t>
        </is>
      </c>
      <c r="B456" s="1" t="n">
        <v>45034</v>
      </c>
      <c r="C456" s="1" t="n">
        <v>45471</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17072-2023</t>
        </is>
      </c>
      <c r="B457" s="1" t="n">
        <v>45034</v>
      </c>
      <c r="C457" s="1" t="n">
        <v>45471</v>
      </c>
      <c r="D457" t="inlineStr">
        <is>
          <t>DALARNAS LÄN</t>
        </is>
      </c>
      <c r="E457" t="inlineStr">
        <is>
          <t>LEKSAND</t>
        </is>
      </c>
      <c r="G457" t="n">
        <v>5.3</v>
      </c>
      <c r="H457" t="n">
        <v>0</v>
      </c>
      <c r="I457" t="n">
        <v>0</v>
      </c>
      <c r="J457" t="n">
        <v>0</v>
      </c>
      <c r="K457" t="n">
        <v>0</v>
      </c>
      <c r="L457" t="n">
        <v>0</v>
      </c>
      <c r="M457" t="n">
        <v>0</v>
      </c>
      <c r="N457" t="n">
        <v>0</v>
      </c>
      <c r="O457" t="n">
        <v>0</v>
      </c>
      <c r="P457" t="n">
        <v>0</v>
      </c>
      <c r="Q457" t="n">
        <v>0</v>
      </c>
      <c r="R457" s="2" t="inlineStr"/>
    </row>
    <row r="458" ht="15" customHeight="1">
      <c r="A458" t="inlineStr">
        <is>
          <t>A 17084-2023</t>
        </is>
      </c>
      <c r="B458" s="1" t="n">
        <v>45034</v>
      </c>
      <c r="C458" s="1" t="n">
        <v>45471</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17089-2023</t>
        </is>
      </c>
      <c r="B459" s="1" t="n">
        <v>45034</v>
      </c>
      <c r="C459" s="1" t="n">
        <v>45471</v>
      </c>
      <c r="D459" t="inlineStr">
        <is>
          <t>DALARNAS LÄN</t>
        </is>
      </c>
      <c r="E459" t="inlineStr">
        <is>
          <t>LEKSAND</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45471</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17231-2023</t>
        </is>
      </c>
      <c r="B461" s="1" t="n">
        <v>45035</v>
      </c>
      <c r="C461" s="1" t="n">
        <v>45471</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17331-2023</t>
        </is>
      </c>
      <c r="B462" s="1" t="n">
        <v>45035</v>
      </c>
      <c r="C462" s="1" t="n">
        <v>45471</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17413-2023</t>
        </is>
      </c>
      <c r="B463" s="1" t="n">
        <v>45035</v>
      </c>
      <c r="C463" s="1" t="n">
        <v>45471</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17533-2023</t>
        </is>
      </c>
      <c r="B464" s="1" t="n">
        <v>45036</v>
      </c>
      <c r="C464" s="1" t="n">
        <v>45471</v>
      </c>
      <c r="D464" t="inlineStr">
        <is>
          <t>DALARNAS LÄN</t>
        </is>
      </c>
      <c r="E464" t="inlineStr">
        <is>
          <t>LEKSAND</t>
        </is>
      </c>
      <c r="G464" t="n">
        <v>3</v>
      </c>
      <c r="H464" t="n">
        <v>0</v>
      </c>
      <c r="I464" t="n">
        <v>0</v>
      </c>
      <c r="J464" t="n">
        <v>0</v>
      </c>
      <c r="K464" t="n">
        <v>0</v>
      </c>
      <c r="L464" t="n">
        <v>0</v>
      </c>
      <c r="M464" t="n">
        <v>0</v>
      </c>
      <c r="N464" t="n">
        <v>0</v>
      </c>
      <c r="O464" t="n">
        <v>0</v>
      </c>
      <c r="P464" t="n">
        <v>0</v>
      </c>
      <c r="Q464" t="n">
        <v>0</v>
      </c>
      <c r="R464" s="2" t="inlineStr"/>
    </row>
    <row r="465" ht="15" customHeight="1">
      <c r="A465" t="inlineStr">
        <is>
          <t>A 17759-2023</t>
        </is>
      </c>
      <c r="B465" s="1" t="n">
        <v>45037</v>
      </c>
      <c r="C465" s="1" t="n">
        <v>45471</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17947-2023</t>
        </is>
      </c>
      <c r="B466" s="1" t="n">
        <v>45040</v>
      </c>
      <c r="C466" s="1" t="n">
        <v>45471</v>
      </c>
      <c r="D466" t="inlineStr">
        <is>
          <t>DALARNAS LÄN</t>
        </is>
      </c>
      <c r="E466" t="inlineStr">
        <is>
          <t>LEKSAND</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18351-2023</t>
        </is>
      </c>
      <c r="B467" s="1" t="n">
        <v>45041</v>
      </c>
      <c r="C467" s="1" t="n">
        <v>45471</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18383-2023</t>
        </is>
      </c>
      <c r="B468" s="1" t="n">
        <v>45042</v>
      </c>
      <c r="C468" s="1" t="n">
        <v>45471</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18407-2023</t>
        </is>
      </c>
      <c r="B469" s="1" t="n">
        <v>45042</v>
      </c>
      <c r="C469" s="1" t="n">
        <v>45471</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18677-2023</t>
        </is>
      </c>
      <c r="B470" s="1" t="n">
        <v>45043</v>
      </c>
      <c r="C470" s="1" t="n">
        <v>45471</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18632-2023</t>
        </is>
      </c>
      <c r="B471" s="1" t="n">
        <v>45043</v>
      </c>
      <c r="C471" s="1" t="n">
        <v>45471</v>
      </c>
      <c r="D471" t="inlineStr">
        <is>
          <t>DALARNAS LÄN</t>
        </is>
      </c>
      <c r="E471" t="inlineStr">
        <is>
          <t>LEKSAND</t>
        </is>
      </c>
      <c r="G471" t="n">
        <v>6.8</v>
      </c>
      <c r="H471" t="n">
        <v>0</v>
      </c>
      <c r="I471" t="n">
        <v>0</v>
      </c>
      <c r="J471" t="n">
        <v>0</v>
      </c>
      <c r="K471" t="n">
        <v>0</v>
      </c>
      <c r="L471" t="n">
        <v>0</v>
      </c>
      <c r="M471" t="n">
        <v>0</v>
      </c>
      <c r="N471" t="n">
        <v>0</v>
      </c>
      <c r="O471" t="n">
        <v>0</v>
      </c>
      <c r="P471" t="n">
        <v>0</v>
      </c>
      <c r="Q471" t="n">
        <v>0</v>
      </c>
      <c r="R471" s="2" t="inlineStr"/>
    </row>
    <row r="472" ht="15" customHeight="1">
      <c r="A472" t="inlineStr">
        <is>
          <t>A 18666-2023</t>
        </is>
      </c>
      <c r="B472" s="1" t="n">
        <v>45043</v>
      </c>
      <c r="C472" s="1" t="n">
        <v>45471</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18909-2023</t>
        </is>
      </c>
      <c r="B473" s="1" t="n">
        <v>45044</v>
      </c>
      <c r="C473" s="1" t="n">
        <v>45471</v>
      </c>
      <c r="D473" t="inlineStr">
        <is>
          <t>DALARNAS LÄN</t>
        </is>
      </c>
      <c r="E473" t="inlineStr">
        <is>
          <t>LEKSAND</t>
        </is>
      </c>
      <c r="G473" t="n">
        <v>10.7</v>
      </c>
      <c r="H473" t="n">
        <v>0</v>
      </c>
      <c r="I473" t="n">
        <v>0</v>
      </c>
      <c r="J473" t="n">
        <v>0</v>
      </c>
      <c r="K473" t="n">
        <v>0</v>
      </c>
      <c r="L473" t="n">
        <v>0</v>
      </c>
      <c r="M473" t="n">
        <v>0</v>
      </c>
      <c r="N473" t="n">
        <v>0</v>
      </c>
      <c r="O473" t="n">
        <v>0</v>
      </c>
      <c r="P473" t="n">
        <v>0</v>
      </c>
      <c r="Q473" t="n">
        <v>0</v>
      </c>
      <c r="R473" s="2" t="inlineStr"/>
    </row>
    <row r="474" ht="15" customHeight="1">
      <c r="A474" t="inlineStr">
        <is>
          <t>A 18837-2023</t>
        </is>
      </c>
      <c r="B474" s="1" t="n">
        <v>45044</v>
      </c>
      <c r="C474" s="1" t="n">
        <v>45471</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19103-2023</t>
        </is>
      </c>
      <c r="B475" s="1" t="n">
        <v>45048</v>
      </c>
      <c r="C475" s="1" t="n">
        <v>45471</v>
      </c>
      <c r="D475" t="inlineStr">
        <is>
          <t>DALARNAS LÄN</t>
        </is>
      </c>
      <c r="E475" t="inlineStr">
        <is>
          <t>LEKSAND</t>
        </is>
      </c>
      <c r="G475" t="n">
        <v>7.1</v>
      </c>
      <c r="H475" t="n">
        <v>0</v>
      </c>
      <c r="I475" t="n">
        <v>0</v>
      </c>
      <c r="J475" t="n">
        <v>0</v>
      </c>
      <c r="K475" t="n">
        <v>0</v>
      </c>
      <c r="L475" t="n">
        <v>0</v>
      </c>
      <c r="M475" t="n">
        <v>0</v>
      </c>
      <c r="N475" t="n">
        <v>0</v>
      </c>
      <c r="O475" t="n">
        <v>0</v>
      </c>
      <c r="P475" t="n">
        <v>0</v>
      </c>
      <c r="Q475" t="n">
        <v>0</v>
      </c>
      <c r="R475" s="2" t="inlineStr"/>
    </row>
    <row r="476" ht="15" customHeight="1">
      <c r="A476" t="inlineStr">
        <is>
          <t>A 19316-2023</t>
        </is>
      </c>
      <c r="B476" s="1" t="n">
        <v>45049</v>
      </c>
      <c r="C476" s="1" t="n">
        <v>45471</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19331-2023</t>
        </is>
      </c>
      <c r="B477" s="1" t="n">
        <v>45049</v>
      </c>
      <c r="C477" s="1" t="n">
        <v>45471</v>
      </c>
      <c r="D477" t="inlineStr">
        <is>
          <t>DALARNAS LÄN</t>
        </is>
      </c>
      <c r="E477" t="inlineStr">
        <is>
          <t>LEKSAND</t>
        </is>
      </c>
      <c r="G477" t="n">
        <v>2.3</v>
      </c>
      <c r="H477" t="n">
        <v>0</v>
      </c>
      <c r="I477" t="n">
        <v>0</v>
      </c>
      <c r="J477" t="n">
        <v>0</v>
      </c>
      <c r="K477" t="n">
        <v>0</v>
      </c>
      <c r="L477" t="n">
        <v>0</v>
      </c>
      <c r="M477" t="n">
        <v>0</v>
      </c>
      <c r="N477" t="n">
        <v>0</v>
      </c>
      <c r="O477" t="n">
        <v>0</v>
      </c>
      <c r="P477" t="n">
        <v>0</v>
      </c>
      <c r="Q477" t="n">
        <v>0</v>
      </c>
      <c r="R477" s="2" t="inlineStr"/>
    </row>
    <row r="478" ht="15" customHeight="1">
      <c r="A478" t="inlineStr">
        <is>
          <t>A 19550-2023</t>
        </is>
      </c>
      <c r="B478" s="1" t="n">
        <v>45049</v>
      </c>
      <c r="C478" s="1" t="n">
        <v>45471</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19590-2023</t>
        </is>
      </c>
      <c r="B479" s="1" t="n">
        <v>45049</v>
      </c>
      <c r="C479" s="1" t="n">
        <v>45471</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19559-2023</t>
        </is>
      </c>
      <c r="B480" s="1" t="n">
        <v>45050</v>
      </c>
      <c r="C480" s="1" t="n">
        <v>45471</v>
      </c>
      <c r="D480" t="inlineStr">
        <is>
          <t>DALARNAS LÄN</t>
        </is>
      </c>
      <c r="E480" t="inlineStr">
        <is>
          <t>LEKSAND</t>
        </is>
      </c>
      <c r="G480" t="n">
        <v>0.1</v>
      </c>
      <c r="H480" t="n">
        <v>0</v>
      </c>
      <c r="I480" t="n">
        <v>0</v>
      </c>
      <c r="J480" t="n">
        <v>0</v>
      </c>
      <c r="K480" t="n">
        <v>0</v>
      </c>
      <c r="L480" t="n">
        <v>0</v>
      </c>
      <c r="M480" t="n">
        <v>0</v>
      </c>
      <c r="N480" t="n">
        <v>0</v>
      </c>
      <c r="O480" t="n">
        <v>0</v>
      </c>
      <c r="P480" t="n">
        <v>0</v>
      </c>
      <c r="Q480" t="n">
        <v>0</v>
      </c>
      <c r="R480" s="2" t="inlineStr"/>
    </row>
    <row r="481" ht="15" customHeight="1">
      <c r="A481" t="inlineStr">
        <is>
          <t>A 19689-2023</t>
        </is>
      </c>
      <c r="B481" s="1" t="n">
        <v>45051</v>
      </c>
      <c r="C481" s="1" t="n">
        <v>45471</v>
      </c>
      <c r="D481" t="inlineStr">
        <is>
          <t>DALARNAS LÄN</t>
        </is>
      </c>
      <c r="E481" t="inlineStr">
        <is>
          <t>LEKSAND</t>
        </is>
      </c>
      <c r="G481" t="n">
        <v>15.9</v>
      </c>
      <c r="H481" t="n">
        <v>0</v>
      </c>
      <c r="I481" t="n">
        <v>0</v>
      </c>
      <c r="J481" t="n">
        <v>0</v>
      </c>
      <c r="K481" t="n">
        <v>0</v>
      </c>
      <c r="L481" t="n">
        <v>0</v>
      </c>
      <c r="M481" t="n">
        <v>0</v>
      </c>
      <c r="N481" t="n">
        <v>0</v>
      </c>
      <c r="O481" t="n">
        <v>0</v>
      </c>
      <c r="P481" t="n">
        <v>0</v>
      </c>
      <c r="Q481" t="n">
        <v>0</v>
      </c>
      <c r="R481" s="2" t="inlineStr"/>
    </row>
    <row r="482" ht="15" customHeight="1">
      <c r="A482" t="inlineStr">
        <is>
          <t>A 20150-2023</t>
        </is>
      </c>
      <c r="B482" s="1" t="n">
        <v>45051</v>
      </c>
      <c r="C482" s="1" t="n">
        <v>45471</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20514-2023</t>
        </is>
      </c>
      <c r="B483" s="1" t="n">
        <v>45054</v>
      </c>
      <c r="C483" s="1" t="n">
        <v>45471</v>
      </c>
      <c r="D483" t="inlineStr">
        <is>
          <t>DALARNAS LÄN</t>
        </is>
      </c>
      <c r="E483" t="inlineStr">
        <is>
          <t>LEKSAND</t>
        </is>
      </c>
      <c r="G483" t="n">
        <v>3.2</v>
      </c>
      <c r="H483" t="n">
        <v>0</v>
      </c>
      <c r="I483" t="n">
        <v>0</v>
      </c>
      <c r="J483" t="n">
        <v>0</v>
      </c>
      <c r="K483" t="n">
        <v>0</v>
      </c>
      <c r="L483" t="n">
        <v>0</v>
      </c>
      <c r="M483" t="n">
        <v>0</v>
      </c>
      <c r="N483" t="n">
        <v>0</v>
      </c>
      <c r="O483" t="n">
        <v>0</v>
      </c>
      <c r="P483" t="n">
        <v>0</v>
      </c>
      <c r="Q483" t="n">
        <v>0</v>
      </c>
      <c r="R483" s="2" t="inlineStr"/>
    </row>
    <row r="484" ht="15" customHeight="1">
      <c r="A484" t="inlineStr">
        <is>
          <t>A 20222-2023</t>
        </is>
      </c>
      <c r="B484" s="1" t="n">
        <v>45055</v>
      </c>
      <c r="C484" s="1" t="n">
        <v>45471</v>
      </c>
      <c r="D484" t="inlineStr">
        <is>
          <t>DALARNAS LÄN</t>
        </is>
      </c>
      <c r="E484" t="inlineStr">
        <is>
          <t>LEKSAND</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20114-2023</t>
        </is>
      </c>
      <c r="B485" s="1" t="n">
        <v>45055</v>
      </c>
      <c r="C485" s="1" t="n">
        <v>45471</v>
      </c>
      <c r="D485" t="inlineStr">
        <is>
          <t>DALARNAS LÄN</t>
        </is>
      </c>
      <c r="E485" t="inlineStr">
        <is>
          <t>LEKSAND</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20936-2023</t>
        </is>
      </c>
      <c r="B486" s="1" t="n">
        <v>45061</v>
      </c>
      <c r="C486" s="1" t="n">
        <v>45471</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20946-2023</t>
        </is>
      </c>
      <c r="B487" s="1" t="n">
        <v>45061</v>
      </c>
      <c r="C487" s="1" t="n">
        <v>45471</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45471</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21299-2023</t>
        </is>
      </c>
      <c r="B489" s="1" t="n">
        <v>45062</v>
      </c>
      <c r="C489" s="1" t="n">
        <v>45471</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21817-2023</t>
        </is>
      </c>
      <c r="B490" s="1" t="n">
        <v>45068</v>
      </c>
      <c r="C490" s="1" t="n">
        <v>45471</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21910-2023</t>
        </is>
      </c>
      <c r="B491" s="1" t="n">
        <v>45068</v>
      </c>
      <c r="C491" s="1" t="n">
        <v>45471</v>
      </c>
      <c r="D491" t="inlineStr">
        <is>
          <t>DALARNAS LÄN</t>
        </is>
      </c>
      <c r="E491" t="inlineStr">
        <is>
          <t>LEKSAND</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21849-2023</t>
        </is>
      </c>
      <c r="B492" s="1" t="n">
        <v>45068</v>
      </c>
      <c r="C492" s="1" t="n">
        <v>45471</v>
      </c>
      <c r="D492" t="inlineStr">
        <is>
          <t>DALARNAS LÄN</t>
        </is>
      </c>
      <c r="E492" t="inlineStr">
        <is>
          <t>LEKSAND</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21954-2023</t>
        </is>
      </c>
      <c r="B493" s="1" t="n">
        <v>45068</v>
      </c>
      <c r="C493" s="1" t="n">
        <v>45471</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22196-2023</t>
        </is>
      </c>
      <c r="B494" s="1" t="n">
        <v>45069</v>
      </c>
      <c r="C494" s="1" t="n">
        <v>45471</v>
      </c>
      <c r="D494" t="inlineStr">
        <is>
          <t>DALARNAS LÄN</t>
        </is>
      </c>
      <c r="E494" t="inlineStr">
        <is>
          <t>LEKSAND</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22197-2023</t>
        </is>
      </c>
      <c r="B495" s="1" t="n">
        <v>45069</v>
      </c>
      <c r="C495" s="1" t="n">
        <v>45471</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22570-2023</t>
        </is>
      </c>
      <c r="B496" s="1" t="n">
        <v>45071</v>
      </c>
      <c r="C496" s="1" t="n">
        <v>45471</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22684-2023</t>
        </is>
      </c>
      <c r="B497" s="1" t="n">
        <v>45071</v>
      </c>
      <c r="C497" s="1" t="n">
        <v>45471</v>
      </c>
      <c r="D497" t="inlineStr">
        <is>
          <t>DALARNAS LÄN</t>
        </is>
      </c>
      <c r="E497" t="inlineStr">
        <is>
          <t>LEKSAND</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23226-2023</t>
        </is>
      </c>
      <c r="B498" s="1" t="n">
        <v>45075</v>
      </c>
      <c r="C498" s="1" t="n">
        <v>45471</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23323-2023</t>
        </is>
      </c>
      <c r="B499" s="1" t="n">
        <v>45076</v>
      </c>
      <c r="C499" s="1" t="n">
        <v>45471</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23348-2023</t>
        </is>
      </c>
      <c r="B500" s="1" t="n">
        <v>45076</v>
      </c>
      <c r="C500" s="1" t="n">
        <v>45471</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23509-2023</t>
        </is>
      </c>
      <c r="B501" s="1" t="n">
        <v>45076</v>
      </c>
      <c r="C501" s="1" t="n">
        <v>45471</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23882-2023</t>
        </is>
      </c>
      <c r="B502" s="1" t="n">
        <v>45078</v>
      </c>
      <c r="C502" s="1" t="n">
        <v>45471</v>
      </c>
      <c r="D502" t="inlineStr">
        <is>
          <t>DALARNAS LÄN</t>
        </is>
      </c>
      <c r="E502" t="inlineStr">
        <is>
          <t>LEKSAND</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23910-2023</t>
        </is>
      </c>
      <c r="B503" s="1" t="n">
        <v>45078</v>
      </c>
      <c r="C503" s="1" t="n">
        <v>45471</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24728-2023</t>
        </is>
      </c>
      <c r="B504" s="1" t="n">
        <v>45084</v>
      </c>
      <c r="C504" s="1" t="n">
        <v>45471</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24823-2023</t>
        </is>
      </c>
      <c r="B505" s="1" t="n">
        <v>45084</v>
      </c>
      <c r="C505" s="1" t="n">
        <v>45471</v>
      </c>
      <c r="D505" t="inlineStr">
        <is>
          <t>DALARNAS LÄN</t>
        </is>
      </c>
      <c r="E505" t="inlineStr">
        <is>
          <t>LEKSAND</t>
        </is>
      </c>
      <c r="G505" t="n">
        <v>2.9</v>
      </c>
      <c r="H505" t="n">
        <v>0</v>
      </c>
      <c r="I505" t="n">
        <v>0</v>
      </c>
      <c r="J505" t="n">
        <v>0</v>
      </c>
      <c r="K505" t="n">
        <v>0</v>
      </c>
      <c r="L505" t="n">
        <v>0</v>
      </c>
      <c r="M505" t="n">
        <v>0</v>
      </c>
      <c r="N505" t="n">
        <v>0</v>
      </c>
      <c r="O505" t="n">
        <v>0</v>
      </c>
      <c r="P505" t="n">
        <v>0</v>
      </c>
      <c r="Q505" t="n">
        <v>0</v>
      </c>
      <c r="R505" s="2" t="inlineStr"/>
    </row>
    <row r="506" ht="15" customHeight="1">
      <c r="A506" t="inlineStr">
        <is>
          <t>A 24814-2023</t>
        </is>
      </c>
      <c r="B506" s="1" t="n">
        <v>45084</v>
      </c>
      <c r="C506" s="1" t="n">
        <v>45471</v>
      </c>
      <c r="D506" t="inlineStr">
        <is>
          <t>DALARNAS LÄN</t>
        </is>
      </c>
      <c r="E506" t="inlineStr">
        <is>
          <t>LEKSAND</t>
        </is>
      </c>
      <c r="G506" t="n">
        <v>5.6</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45086</v>
      </c>
      <c r="C507" s="1" t="n">
        <v>45471</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25067-2023</t>
        </is>
      </c>
      <c r="B508" s="1" t="n">
        <v>45086</v>
      </c>
      <c r="C508" s="1" t="n">
        <v>45471</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25038-2023</t>
        </is>
      </c>
      <c r="B509" s="1" t="n">
        <v>45085</v>
      </c>
      <c r="C509" s="1" t="n">
        <v>45471</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25627-2023</t>
        </is>
      </c>
      <c r="B510" s="1" t="n">
        <v>45089</v>
      </c>
      <c r="C510" s="1" t="n">
        <v>45471</v>
      </c>
      <c r="D510" t="inlineStr">
        <is>
          <t>DALARNAS LÄN</t>
        </is>
      </c>
      <c r="E510" t="inlineStr">
        <is>
          <t>LEKSAND</t>
        </is>
      </c>
      <c r="F510" t="inlineStr">
        <is>
          <t>Bergvik skog väst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25637-2023</t>
        </is>
      </c>
      <c r="B511" s="1" t="n">
        <v>45089</v>
      </c>
      <c r="C511" s="1" t="n">
        <v>45471</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25652-2023</t>
        </is>
      </c>
      <c r="B512" s="1" t="n">
        <v>45089</v>
      </c>
      <c r="C512" s="1" t="n">
        <v>45471</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25715-2023</t>
        </is>
      </c>
      <c r="B513" s="1" t="n">
        <v>45090</v>
      </c>
      <c r="C513" s="1" t="n">
        <v>45471</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25907-2023</t>
        </is>
      </c>
      <c r="B514" s="1" t="n">
        <v>45090</v>
      </c>
      <c r="C514" s="1" t="n">
        <v>45471</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26742-2023</t>
        </is>
      </c>
      <c r="B515" s="1" t="n">
        <v>45090</v>
      </c>
      <c r="C515" s="1" t="n">
        <v>45471</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26038-2023</t>
        </is>
      </c>
      <c r="B516" s="1" t="n">
        <v>45091</v>
      </c>
      <c r="C516" s="1" t="n">
        <v>45471</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26044-2023</t>
        </is>
      </c>
      <c r="B517" s="1" t="n">
        <v>45091</v>
      </c>
      <c r="C517" s="1" t="n">
        <v>45471</v>
      </c>
      <c r="D517" t="inlineStr">
        <is>
          <t>DALARNAS LÄN</t>
        </is>
      </c>
      <c r="E517" t="inlineStr">
        <is>
          <t>LEKSAND</t>
        </is>
      </c>
      <c r="G517" t="n">
        <v>5.3</v>
      </c>
      <c r="H517" t="n">
        <v>0</v>
      </c>
      <c r="I517" t="n">
        <v>0</v>
      </c>
      <c r="J517" t="n">
        <v>0</v>
      </c>
      <c r="K517" t="n">
        <v>0</v>
      </c>
      <c r="L517" t="n">
        <v>0</v>
      </c>
      <c r="M517" t="n">
        <v>0</v>
      </c>
      <c r="N517" t="n">
        <v>0</v>
      </c>
      <c r="O517" t="n">
        <v>0</v>
      </c>
      <c r="P517" t="n">
        <v>0</v>
      </c>
      <c r="Q517" t="n">
        <v>0</v>
      </c>
      <c r="R517" s="2" t="inlineStr"/>
    </row>
    <row r="518" ht="15" customHeight="1">
      <c r="A518" t="inlineStr">
        <is>
          <t>A 26107-2023</t>
        </is>
      </c>
      <c r="B518" s="1" t="n">
        <v>45091</v>
      </c>
      <c r="C518" s="1" t="n">
        <v>45471</v>
      </c>
      <c r="D518" t="inlineStr">
        <is>
          <t>DALARNAS LÄN</t>
        </is>
      </c>
      <c r="E518" t="inlineStr">
        <is>
          <t>LEKSAND</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26847-2023</t>
        </is>
      </c>
      <c r="B519" s="1" t="n">
        <v>45093</v>
      </c>
      <c r="C519" s="1" t="n">
        <v>45471</v>
      </c>
      <c r="D519" t="inlineStr">
        <is>
          <t>DALARNAS LÄN</t>
        </is>
      </c>
      <c r="E519" t="inlineStr">
        <is>
          <t>LEKSAND</t>
        </is>
      </c>
      <c r="G519" t="n">
        <v>3.9</v>
      </c>
      <c r="H519" t="n">
        <v>0</v>
      </c>
      <c r="I519" t="n">
        <v>0</v>
      </c>
      <c r="J519" t="n">
        <v>0</v>
      </c>
      <c r="K519" t="n">
        <v>0</v>
      </c>
      <c r="L519" t="n">
        <v>0</v>
      </c>
      <c r="M519" t="n">
        <v>0</v>
      </c>
      <c r="N519" t="n">
        <v>0</v>
      </c>
      <c r="O519" t="n">
        <v>0</v>
      </c>
      <c r="P519" t="n">
        <v>0</v>
      </c>
      <c r="Q519" t="n">
        <v>0</v>
      </c>
      <c r="R519" s="2" t="inlineStr"/>
    </row>
    <row r="520" ht="15" customHeight="1">
      <c r="A520" t="inlineStr">
        <is>
          <t>A 26957-2023</t>
        </is>
      </c>
      <c r="B520" s="1" t="n">
        <v>45093</v>
      </c>
      <c r="C520" s="1" t="n">
        <v>45471</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26924-2023</t>
        </is>
      </c>
      <c r="B521" s="1" t="n">
        <v>45093</v>
      </c>
      <c r="C521" s="1" t="n">
        <v>45471</v>
      </c>
      <c r="D521" t="inlineStr">
        <is>
          <t>DALARNAS LÄN</t>
        </is>
      </c>
      <c r="E521" t="inlineStr">
        <is>
          <t>LEKSAND</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26959-2023</t>
        </is>
      </c>
      <c r="B522" s="1" t="n">
        <v>45093</v>
      </c>
      <c r="C522" s="1" t="n">
        <v>45471</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26931-2023</t>
        </is>
      </c>
      <c r="B523" s="1" t="n">
        <v>45093</v>
      </c>
      <c r="C523" s="1" t="n">
        <v>45471</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26946-2023</t>
        </is>
      </c>
      <c r="B524" s="1" t="n">
        <v>45093</v>
      </c>
      <c r="C524" s="1" t="n">
        <v>45471</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27047-2023</t>
        </is>
      </c>
      <c r="B525" s="1" t="n">
        <v>45095</v>
      </c>
      <c r="C525" s="1" t="n">
        <v>45471</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27055-2023</t>
        </is>
      </c>
      <c r="B526" s="1" t="n">
        <v>45095</v>
      </c>
      <c r="C526" s="1" t="n">
        <v>45471</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c r="U526">
        <f>HYPERLINK("https://klasma.github.io/Logging_2029/knärot/A 27055-2023 karta knärot.png", "A 27055-2023")</f>
        <v/>
      </c>
      <c r="V526">
        <f>HYPERLINK("https://klasma.github.io/Logging_2029/klagomål/A 27055-2023 FSC-klagomål.docx", "A 27055-2023")</f>
        <v/>
      </c>
      <c r="W526">
        <f>HYPERLINK("https://klasma.github.io/Logging_2029/klagomålsmail/A 27055-2023 FSC-klagomål mail.docx", "A 27055-2023")</f>
        <v/>
      </c>
      <c r="X526">
        <f>HYPERLINK("https://klasma.github.io/Logging_2029/tillsyn/A 27055-2023 tillsynsbegäran.docx", "A 27055-2023")</f>
        <v/>
      </c>
      <c r="Y526">
        <f>HYPERLINK("https://klasma.github.io/Logging_2029/tillsynsmail/A 27055-2023 tillsynsbegäran mail.docx", "A 27055-2023")</f>
        <v/>
      </c>
    </row>
    <row r="527" ht="15" customHeight="1">
      <c r="A527" t="inlineStr">
        <is>
          <t>A 27048-2023</t>
        </is>
      </c>
      <c r="B527" s="1" t="n">
        <v>45095</v>
      </c>
      <c r="C527" s="1" t="n">
        <v>45471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27046-2023</t>
        </is>
      </c>
      <c r="B528" s="1" t="n">
        <v>45095</v>
      </c>
      <c r="C528" s="1" t="n">
        <v>45471</v>
      </c>
      <c r="D528" t="inlineStr">
        <is>
          <t>DALARNAS LÄN</t>
        </is>
      </c>
      <c r="E528" t="inlineStr">
        <is>
          <t>LEKSAND</t>
        </is>
      </c>
      <c r="G528" t="n">
        <v>4</v>
      </c>
      <c r="H528" t="n">
        <v>0</v>
      </c>
      <c r="I528" t="n">
        <v>0</v>
      </c>
      <c r="J528" t="n">
        <v>0</v>
      </c>
      <c r="K528" t="n">
        <v>0</v>
      </c>
      <c r="L528" t="n">
        <v>0</v>
      </c>
      <c r="M528" t="n">
        <v>0</v>
      </c>
      <c r="N528" t="n">
        <v>0</v>
      </c>
      <c r="O528" t="n">
        <v>0</v>
      </c>
      <c r="P528" t="n">
        <v>0</v>
      </c>
      <c r="Q528" t="n">
        <v>0</v>
      </c>
      <c r="R528" s="2" t="inlineStr"/>
    </row>
    <row r="529" ht="15" customHeight="1">
      <c r="A529" t="inlineStr">
        <is>
          <t>A 27054-2023</t>
        </is>
      </c>
      <c r="B529" s="1" t="n">
        <v>45095</v>
      </c>
      <c r="C529" s="1" t="n">
        <v>45471</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27244-2023</t>
        </is>
      </c>
      <c r="B530" s="1" t="n">
        <v>45096</v>
      </c>
      <c r="C530" s="1" t="n">
        <v>45471</v>
      </c>
      <c r="D530" t="inlineStr">
        <is>
          <t>DALARNAS LÄN</t>
        </is>
      </c>
      <c r="E530" t="inlineStr">
        <is>
          <t>LEKSAND</t>
        </is>
      </c>
      <c r="G530" t="n">
        <v>5</v>
      </c>
      <c r="H530" t="n">
        <v>0</v>
      </c>
      <c r="I530" t="n">
        <v>0</v>
      </c>
      <c r="J530" t="n">
        <v>0</v>
      </c>
      <c r="K530" t="n">
        <v>0</v>
      </c>
      <c r="L530" t="n">
        <v>0</v>
      </c>
      <c r="M530" t="n">
        <v>0</v>
      </c>
      <c r="N530" t="n">
        <v>0</v>
      </c>
      <c r="O530" t="n">
        <v>0</v>
      </c>
      <c r="P530" t="n">
        <v>0</v>
      </c>
      <c r="Q530" t="n">
        <v>0</v>
      </c>
      <c r="R530" s="2" t="inlineStr"/>
    </row>
    <row r="531" ht="15" customHeight="1">
      <c r="A531" t="inlineStr">
        <is>
          <t>A 27348-2023</t>
        </is>
      </c>
      <c r="B531" s="1" t="n">
        <v>45096</v>
      </c>
      <c r="C531" s="1" t="n">
        <v>45471</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27511-2023</t>
        </is>
      </c>
      <c r="B532" s="1" t="n">
        <v>45097</v>
      </c>
      <c r="C532" s="1" t="n">
        <v>45471</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27520-2023</t>
        </is>
      </c>
      <c r="B533" s="1" t="n">
        <v>45097</v>
      </c>
      <c r="C533" s="1" t="n">
        <v>45471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27543-2023</t>
        </is>
      </c>
      <c r="B534" s="1" t="n">
        <v>45097</v>
      </c>
      <c r="C534" s="1" t="n">
        <v>45471</v>
      </c>
      <c r="D534" t="inlineStr">
        <is>
          <t>DALARNAS LÄN</t>
        </is>
      </c>
      <c r="E534" t="inlineStr">
        <is>
          <t>LEKSAND</t>
        </is>
      </c>
      <c r="G534" t="n">
        <v>3.4</v>
      </c>
      <c r="H534" t="n">
        <v>0</v>
      </c>
      <c r="I534" t="n">
        <v>0</v>
      </c>
      <c r="J534" t="n">
        <v>0</v>
      </c>
      <c r="K534" t="n">
        <v>0</v>
      </c>
      <c r="L534" t="n">
        <v>0</v>
      </c>
      <c r="M534" t="n">
        <v>0</v>
      </c>
      <c r="N534" t="n">
        <v>0</v>
      </c>
      <c r="O534" t="n">
        <v>0</v>
      </c>
      <c r="P534" t="n">
        <v>0</v>
      </c>
      <c r="Q534" t="n">
        <v>0</v>
      </c>
      <c r="R534" s="2" t="inlineStr"/>
    </row>
    <row r="535" ht="15" customHeight="1">
      <c r="A535" t="inlineStr">
        <is>
          <t>A 27791-2023</t>
        </is>
      </c>
      <c r="B535" s="1" t="n">
        <v>45098</v>
      </c>
      <c r="C535" s="1" t="n">
        <v>45471</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28103-2023</t>
        </is>
      </c>
      <c r="B536" s="1" t="n">
        <v>45099</v>
      </c>
      <c r="C536" s="1" t="n">
        <v>45471</v>
      </c>
      <c r="D536" t="inlineStr">
        <is>
          <t>DALARNAS LÄN</t>
        </is>
      </c>
      <c r="E536" t="inlineStr">
        <is>
          <t>LEKSAND</t>
        </is>
      </c>
      <c r="F536" t="inlineStr">
        <is>
          <t>Bergvik skog väst AB</t>
        </is>
      </c>
      <c r="G536" t="n">
        <v>15.3</v>
      </c>
      <c r="H536" t="n">
        <v>0</v>
      </c>
      <c r="I536" t="n">
        <v>0</v>
      </c>
      <c r="J536" t="n">
        <v>0</v>
      </c>
      <c r="K536" t="n">
        <v>0</v>
      </c>
      <c r="L536" t="n">
        <v>0</v>
      </c>
      <c r="M536" t="n">
        <v>0</v>
      </c>
      <c r="N536" t="n">
        <v>0</v>
      </c>
      <c r="O536" t="n">
        <v>0</v>
      </c>
      <c r="P536" t="n">
        <v>0</v>
      </c>
      <c r="Q536" t="n">
        <v>0</v>
      </c>
      <c r="R536" s="2" t="inlineStr"/>
    </row>
    <row r="537" ht="15" customHeight="1">
      <c r="A537" t="inlineStr">
        <is>
          <t>A 28108-2023</t>
        </is>
      </c>
      <c r="B537" s="1" t="n">
        <v>45099</v>
      </c>
      <c r="C537" s="1" t="n">
        <v>45471</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28578-2023</t>
        </is>
      </c>
      <c r="B538" s="1" t="n">
        <v>45103</v>
      </c>
      <c r="C538" s="1" t="n">
        <v>45471</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45471</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28633-2023</t>
        </is>
      </c>
      <c r="B540" s="1" t="n">
        <v>45103</v>
      </c>
      <c r="C540" s="1" t="n">
        <v>45471</v>
      </c>
      <c r="D540" t="inlineStr">
        <is>
          <t>DALARNAS LÄN</t>
        </is>
      </c>
      <c r="E540" t="inlineStr">
        <is>
          <t>LEKSAND</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28630-2023</t>
        </is>
      </c>
      <c r="B541" s="1" t="n">
        <v>45103</v>
      </c>
      <c r="C541" s="1" t="n">
        <v>45471</v>
      </c>
      <c r="D541" t="inlineStr">
        <is>
          <t>DALARNAS LÄN</t>
        </is>
      </c>
      <c r="E541" t="inlineStr">
        <is>
          <t>LEKSAND</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28946-2023</t>
        </is>
      </c>
      <c r="B542" s="1" t="n">
        <v>45104</v>
      </c>
      <c r="C542" s="1" t="n">
        <v>45471</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28935-2023</t>
        </is>
      </c>
      <c r="B543" s="1" t="n">
        <v>45104</v>
      </c>
      <c r="C543" s="1" t="n">
        <v>45471</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28965-2023</t>
        </is>
      </c>
      <c r="B544" s="1" t="n">
        <v>45104</v>
      </c>
      <c r="C544" s="1" t="n">
        <v>45471</v>
      </c>
      <c r="D544" t="inlineStr">
        <is>
          <t>DALARNAS LÄN</t>
        </is>
      </c>
      <c r="E544" t="inlineStr">
        <is>
          <t>LEKSAND</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31401-2023</t>
        </is>
      </c>
      <c r="B545" s="1" t="n">
        <v>45104</v>
      </c>
      <c r="C545" s="1" t="n">
        <v>45471</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28921-2023</t>
        </is>
      </c>
      <c r="B546" s="1" t="n">
        <v>45104</v>
      </c>
      <c r="C546" s="1" t="n">
        <v>45471</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31422-2023</t>
        </is>
      </c>
      <c r="B547" s="1" t="n">
        <v>45104</v>
      </c>
      <c r="C547" s="1" t="n">
        <v>45471</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29122-2023</t>
        </is>
      </c>
      <c r="B548" s="1" t="n">
        <v>45105</v>
      </c>
      <c r="C548" s="1" t="n">
        <v>45471</v>
      </c>
      <c r="D548" t="inlineStr">
        <is>
          <t>DALARNAS LÄN</t>
        </is>
      </c>
      <c r="E548" t="inlineStr">
        <is>
          <t>LEKSAND</t>
        </is>
      </c>
      <c r="G548" t="n">
        <v>2</v>
      </c>
      <c r="H548" t="n">
        <v>0</v>
      </c>
      <c r="I548" t="n">
        <v>0</v>
      </c>
      <c r="J548" t="n">
        <v>0</v>
      </c>
      <c r="K548" t="n">
        <v>0</v>
      </c>
      <c r="L548" t="n">
        <v>0</v>
      </c>
      <c r="M548" t="n">
        <v>0</v>
      </c>
      <c r="N548" t="n">
        <v>0</v>
      </c>
      <c r="O548" t="n">
        <v>0</v>
      </c>
      <c r="P548" t="n">
        <v>0</v>
      </c>
      <c r="Q548" t="n">
        <v>0</v>
      </c>
      <c r="R548" s="2" t="inlineStr"/>
    </row>
    <row r="549" ht="15" customHeight="1">
      <c r="A549" t="inlineStr">
        <is>
          <t>A 29139-2023</t>
        </is>
      </c>
      <c r="B549" s="1" t="n">
        <v>45105</v>
      </c>
      <c r="C549" s="1" t="n">
        <v>45471</v>
      </c>
      <c r="D549" t="inlineStr">
        <is>
          <t>DALARNAS LÄN</t>
        </is>
      </c>
      <c r="E549" t="inlineStr">
        <is>
          <t>LEKSAND</t>
        </is>
      </c>
      <c r="G549" t="n">
        <v>3.5</v>
      </c>
      <c r="H549" t="n">
        <v>0</v>
      </c>
      <c r="I549" t="n">
        <v>0</v>
      </c>
      <c r="J549" t="n">
        <v>0</v>
      </c>
      <c r="K549" t="n">
        <v>0</v>
      </c>
      <c r="L549" t="n">
        <v>0</v>
      </c>
      <c r="M549" t="n">
        <v>0</v>
      </c>
      <c r="N549" t="n">
        <v>0</v>
      </c>
      <c r="O549" t="n">
        <v>0</v>
      </c>
      <c r="P549" t="n">
        <v>0</v>
      </c>
      <c r="Q549" t="n">
        <v>0</v>
      </c>
      <c r="R549" s="2" t="inlineStr"/>
    </row>
    <row r="550" ht="15" customHeight="1">
      <c r="A550" t="inlineStr">
        <is>
          <t>A 29222-2023</t>
        </is>
      </c>
      <c r="B550" s="1" t="n">
        <v>45105</v>
      </c>
      <c r="C550" s="1" t="n">
        <v>45471</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29916-2023</t>
        </is>
      </c>
      <c r="B551" s="1" t="n">
        <v>45107</v>
      </c>
      <c r="C551" s="1" t="n">
        <v>45471</v>
      </c>
      <c r="D551" t="inlineStr">
        <is>
          <t>DALARNAS LÄN</t>
        </is>
      </c>
      <c r="E551" t="inlineStr">
        <is>
          <t>LEKSAND</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29881-2023</t>
        </is>
      </c>
      <c r="B552" s="1" t="n">
        <v>45107</v>
      </c>
      <c r="C552" s="1" t="n">
        <v>45471</v>
      </c>
      <c r="D552" t="inlineStr">
        <is>
          <t>DALARNAS LÄN</t>
        </is>
      </c>
      <c r="E552" t="inlineStr">
        <is>
          <t>LEKSAND</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29694-2023</t>
        </is>
      </c>
      <c r="B553" s="1" t="n">
        <v>45107</v>
      </c>
      <c r="C553" s="1" t="n">
        <v>45471</v>
      </c>
      <c r="D553" t="inlineStr">
        <is>
          <t>DALARNAS LÄN</t>
        </is>
      </c>
      <c r="E553" t="inlineStr">
        <is>
          <t>LEKSAND</t>
        </is>
      </c>
      <c r="G553" t="n">
        <v>4.8</v>
      </c>
      <c r="H553" t="n">
        <v>0</v>
      </c>
      <c r="I553" t="n">
        <v>0</v>
      </c>
      <c r="J553" t="n">
        <v>0</v>
      </c>
      <c r="K553" t="n">
        <v>0</v>
      </c>
      <c r="L553" t="n">
        <v>0</v>
      </c>
      <c r="M553" t="n">
        <v>0</v>
      </c>
      <c r="N553" t="n">
        <v>0</v>
      </c>
      <c r="O553" t="n">
        <v>0</v>
      </c>
      <c r="P553" t="n">
        <v>0</v>
      </c>
      <c r="Q553" t="n">
        <v>0</v>
      </c>
      <c r="R553" s="2" t="inlineStr"/>
    </row>
    <row r="554" ht="15" customHeight="1">
      <c r="A554" t="inlineStr">
        <is>
          <t>A 32261-2023</t>
        </is>
      </c>
      <c r="B554" s="1" t="n">
        <v>45108</v>
      </c>
      <c r="C554" s="1" t="n">
        <v>45471</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30000-2023</t>
        </is>
      </c>
      <c r="B555" s="1" t="n">
        <v>45109</v>
      </c>
      <c r="C555" s="1" t="n">
        <v>45471</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30082-2023</t>
        </is>
      </c>
      <c r="B556" s="1" t="n">
        <v>45110</v>
      </c>
      <c r="C556" s="1" t="n">
        <v>45471</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30169-2023</t>
        </is>
      </c>
      <c r="B557" s="1" t="n">
        <v>45110</v>
      </c>
      <c r="C557" s="1" t="n">
        <v>45471</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30135-2023</t>
        </is>
      </c>
      <c r="B558" s="1" t="n">
        <v>45110</v>
      </c>
      <c r="C558" s="1" t="n">
        <v>45471</v>
      </c>
      <c r="D558" t="inlineStr">
        <is>
          <t>DALARNAS LÄN</t>
        </is>
      </c>
      <c r="E558" t="inlineStr">
        <is>
          <t>LEKSAND</t>
        </is>
      </c>
      <c r="F558" t="inlineStr">
        <is>
          <t>Bergvik skog väst AB</t>
        </is>
      </c>
      <c r="G558" t="n">
        <v>8.4</v>
      </c>
      <c r="H558" t="n">
        <v>0</v>
      </c>
      <c r="I558" t="n">
        <v>0</v>
      </c>
      <c r="J558" t="n">
        <v>0</v>
      </c>
      <c r="K558" t="n">
        <v>0</v>
      </c>
      <c r="L558" t="n">
        <v>0</v>
      </c>
      <c r="M558" t="n">
        <v>0</v>
      </c>
      <c r="N558" t="n">
        <v>0</v>
      </c>
      <c r="O558" t="n">
        <v>0</v>
      </c>
      <c r="P558" t="n">
        <v>0</v>
      </c>
      <c r="Q558" t="n">
        <v>0</v>
      </c>
      <c r="R558" s="2" t="inlineStr"/>
    </row>
    <row r="559" ht="15" customHeight="1">
      <c r="A559" t="inlineStr">
        <is>
          <t>A 30195-2023</t>
        </is>
      </c>
      <c r="B559" s="1" t="n">
        <v>45110</v>
      </c>
      <c r="C559" s="1" t="n">
        <v>45471</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45471</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30175-2023</t>
        </is>
      </c>
      <c r="B561" s="1" t="n">
        <v>45110</v>
      </c>
      <c r="C561" s="1" t="n">
        <v>45471</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30523-2023</t>
        </is>
      </c>
      <c r="B562" s="1" t="n">
        <v>45111</v>
      </c>
      <c r="C562" s="1" t="n">
        <v>45471</v>
      </c>
      <c r="D562" t="inlineStr">
        <is>
          <t>DALARNAS LÄN</t>
        </is>
      </c>
      <c r="E562" t="inlineStr">
        <is>
          <t>LEKSAND</t>
        </is>
      </c>
      <c r="G562" t="n">
        <v>5.6</v>
      </c>
      <c r="H562" t="n">
        <v>0</v>
      </c>
      <c r="I562" t="n">
        <v>0</v>
      </c>
      <c r="J562" t="n">
        <v>0</v>
      </c>
      <c r="K562" t="n">
        <v>0</v>
      </c>
      <c r="L562" t="n">
        <v>0</v>
      </c>
      <c r="M562" t="n">
        <v>0</v>
      </c>
      <c r="N562" t="n">
        <v>0</v>
      </c>
      <c r="O562" t="n">
        <v>0</v>
      </c>
      <c r="P562" t="n">
        <v>0</v>
      </c>
      <c r="Q562" t="n">
        <v>0</v>
      </c>
      <c r="R562" s="2" t="inlineStr"/>
    </row>
    <row r="563" ht="15" customHeight="1">
      <c r="A563" t="inlineStr">
        <is>
          <t>A 30595-2023</t>
        </is>
      </c>
      <c r="B563" s="1" t="n">
        <v>45112</v>
      </c>
      <c r="C563" s="1" t="n">
        <v>45471</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30611-2023</t>
        </is>
      </c>
      <c r="B564" s="1" t="n">
        <v>45112</v>
      </c>
      <c r="C564" s="1" t="n">
        <v>45471</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30700-2023</t>
        </is>
      </c>
      <c r="B565" s="1" t="n">
        <v>45112</v>
      </c>
      <c r="C565" s="1" t="n">
        <v>45471</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30654-2023</t>
        </is>
      </c>
      <c r="B566" s="1" t="n">
        <v>45112</v>
      </c>
      <c r="C566" s="1" t="n">
        <v>45471</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30880-2023</t>
        </is>
      </c>
      <c r="B567" s="1" t="n">
        <v>45113</v>
      </c>
      <c r="C567" s="1" t="n">
        <v>45471</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30992-2023</t>
        </is>
      </c>
      <c r="B568" s="1" t="n">
        <v>45113</v>
      </c>
      <c r="C568" s="1" t="n">
        <v>45471</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45471</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30998-2023</t>
        </is>
      </c>
      <c r="B570" s="1" t="n">
        <v>45113</v>
      </c>
      <c r="C570" s="1" t="n">
        <v>45471</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32989-2023</t>
        </is>
      </c>
      <c r="B571" s="1" t="n">
        <v>45113</v>
      </c>
      <c r="C571" s="1" t="n">
        <v>45471</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31255-2023</t>
        </is>
      </c>
      <c r="B572" s="1" t="n">
        <v>45114</v>
      </c>
      <c r="C572" s="1" t="n">
        <v>45471</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31250-2023</t>
        </is>
      </c>
      <c r="B573" s="1" t="n">
        <v>45114</v>
      </c>
      <c r="C573" s="1" t="n">
        <v>45471</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31254-2023</t>
        </is>
      </c>
      <c r="B574" s="1" t="n">
        <v>45114</v>
      </c>
      <c r="C574" s="1" t="n">
        <v>45471</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31761-2023</t>
        </is>
      </c>
      <c r="B575" s="1" t="n">
        <v>45118</v>
      </c>
      <c r="C575" s="1" t="n">
        <v>45471</v>
      </c>
      <c r="D575" t="inlineStr">
        <is>
          <t>DALARNAS LÄN</t>
        </is>
      </c>
      <c r="E575" t="inlineStr">
        <is>
          <t>LEKSAND</t>
        </is>
      </c>
      <c r="G575" t="n">
        <v>6</v>
      </c>
      <c r="H575" t="n">
        <v>0</v>
      </c>
      <c r="I575" t="n">
        <v>0</v>
      </c>
      <c r="J575" t="n">
        <v>0</v>
      </c>
      <c r="K575" t="n">
        <v>0</v>
      </c>
      <c r="L575" t="n">
        <v>0</v>
      </c>
      <c r="M575" t="n">
        <v>0</v>
      </c>
      <c r="N575" t="n">
        <v>0</v>
      </c>
      <c r="O575" t="n">
        <v>0</v>
      </c>
      <c r="P575" t="n">
        <v>0</v>
      </c>
      <c r="Q575" t="n">
        <v>0</v>
      </c>
      <c r="R575" s="2" t="inlineStr"/>
    </row>
    <row r="576" ht="15" customHeight="1">
      <c r="A576" t="inlineStr">
        <is>
          <t>A 32307-2023</t>
        </is>
      </c>
      <c r="B576" s="1" t="n">
        <v>45120</v>
      </c>
      <c r="C576" s="1" t="n">
        <v>45471</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32311-2023</t>
        </is>
      </c>
      <c r="B577" s="1" t="n">
        <v>45120</v>
      </c>
      <c r="C577" s="1" t="n">
        <v>45471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32544-2023</t>
        </is>
      </c>
      <c r="B578" s="1" t="n">
        <v>45121</v>
      </c>
      <c r="C578" s="1" t="n">
        <v>45471</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45471</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33788-2023</t>
        </is>
      </c>
      <c r="B580" s="1" t="n">
        <v>45121</v>
      </c>
      <c r="C580" s="1" t="n">
        <v>45471</v>
      </c>
      <c r="D580" t="inlineStr">
        <is>
          <t>DALARNAS LÄN</t>
        </is>
      </c>
      <c r="E580" t="inlineStr">
        <is>
          <t>LEKSAND</t>
        </is>
      </c>
      <c r="G580" t="n">
        <v>2.5</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45471</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33308-2023</t>
        </is>
      </c>
      <c r="B582" s="1" t="n">
        <v>45127</v>
      </c>
      <c r="C582" s="1" t="n">
        <v>45471</v>
      </c>
      <c r="D582" t="inlineStr">
        <is>
          <t>DALARNAS LÄN</t>
        </is>
      </c>
      <c r="E582" t="inlineStr">
        <is>
          <t>LEKSAND</t>
        </is>
      </c>
      <c r="G582" t="n">
        <v>3.2</v>
      </c>
      <c r="H582" t="n">
        <v>0</v>
      </c>
      <c r="I582" t="n">
        <v>0</v>
      </c>
      <c r="J582" t="n">
        <v>0</v>
      </c>
      <c r="K582" t="n">
        <v>0</v>
      </c>
      <c r="L582" t="n">
        <v>0</v>
      </c>
      <c r="M582" t="n">
        <v>0</v>
      </c>
      <c r="N582" t="n">
        <v>0</v>
      </c>
      <c r="O582" t="n">
        <v>0</v>
      </c>
      <c r="P582" t="n">
        <v>0</v>
      </c>
      <c r="Q582" t="n">
        <v>0</v>
      </c>
      <c r="R582" s="2" t="inlineStr"/>
    </row>
    <row r="583" ht="15" customHeight="1">
      <c r="A583" t="inlineStr">
        <is>
          <t>A 33318-2023</t>
        </is>
      </c>
      <c r="B583" s="1" t="n">
        <v>45127</v>
      </c>
      <c r="C583" s="1" t="n">
        <v>45471</v>
      </c>
      <c r="D583" t="inlineStr">
        <is>
          <t>DALARNAS LÄN</t>
        </is>
      </c>
      <c r="E583" t="inlineStr">
        <is>
          <t>LEKSAND</t>
        </is>
      </c>
      <c r="G583" t="n">
        <v>5.5</v>
      </c>
      <c r="H583" t="n">
        <v>0</v>
      </c>
      <c r="I583" t="n">
        <v>0</v>
      </c>
      <c r="J583" t="n">
        <v>0</v>
      </c>
      <c r="K583" t="n">
        <v>0</v>
      </c>
      <c r="L583" t="n">
        <v>0</v>
      </c>
      <c r="M583" t="n">
        <v>0</v>
      </c>
      <c r="N583" t="n">
        <v>0</v>
      </c>
      <c r="O583" t="n">
        <v>0</v>
      </c>
      <c r="P583" t="n">
        <v>0</v>
      </c>
      <c r="Q583" t="n">
        <v>0</v>
      </c>
      <c r="R583" s="2" t="inlineStr"/>
    </row>
    <row r="584" ht="15" customHeight="1">
      <c r="A584" t="inlineStr">
        <is>
          <t>A 33306-2023</t>
        </is>
      </c>
      <c r="B584" s="1" t="n">
        <v>45127</v>
      </c>
      <c r="C584" s="1" t="n">
        <v>45471</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33312-2023</t>
        </is>
      </c>
      <c r="B585" s="1" t="n">
        <v>45127</v>
      </c>
      <c r="C585" s="1" t="n">
        <v>45471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33316-2023</t>
        </is>
      </c>
      <c r="B586" s="1" t="n">
        <v>45127</v>
      </c>
      <c r="C586" s="1" t="n">
        <v>45471</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33310-2023</t>
        </is>
      </c>
      <c r="B587" s="1" t="n">
        <v>45127</v>
      </c>
      <c r="C587" s="1" t="n">
        <v>45471</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33317-2023</t>
        </is>
      </c>
      <c r="B588" s="1" t="n">
        <v>45127</v>
      </c>
      <c r="C588" s="1" t="n">
        <v>45471</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33480-2023</t>
        </is>
      </c>
      <c r="B589" s="1" t="n">
        <v>45131</v>
      </c>
      <c r="C589" s="1" t="n">
        <v>45471</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33462-2023</t>
        </is>
      </c>
      <c r="B590" s="1" t="n">
        <v>45131</v>
      </c>
      <c r="C590" s="1" t="n">
        <v>45471</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33463-2023</t>
        </is>
      </c>
      <c r="B591" s="1" t="n">
        <v>45131</v>
      </c>
      <c r="C591" s="1" t="n">
        <v>45471</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33566-2023</t>
        </is>
      </c>
      <c r="B592" s="1" t="n">
        <v>45131</v>
      </c>
      <c r="C592" s="1" t="n">
        <v>45471</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33674-2023</t>
        </is>
      </c>
      <c r="B593" s="1" t="n">
        <v>45132</v>
      </c>
      <c r="C593" s="1" t="n">
        <v>45471</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34294-2023</t>
        </is>
      </c>
      <c r="B594" s="1" t="n">
        <v>45138</v>
      </c>
      <c r="C594" s="1" t="n">
        <v>45471</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35228-2023</t>
        </is>
      </c>
      <c r="B595" s="1" t="n">
        <v>45145</v>
      </c>
      <c r="C595" s="1" t="n">
        <v>45471</v>
      </c>
      <c r="D595" t="inlineStr">
        <is>
          <t>DALARNAS LÄN</t>
        </is>
      </c>
      <c r="E595" t="inlineStr">
        <is>
          <t>LEKSAND</t>
        </is>
      </c>
      <c r="G595" t="n">
        <v>3.7</v>
      </c>
      <c r="H595" t="n">
        <v>0</v>
      </c>
      <c r="I595" t="n">
        <v>0</v>
      </c>
      <c r="J595" t="n">
        <v>0</v>
      </c>
      <c r="K595" t="n">
        <v>0</v>
      </c>
      <c r="L595" t="n">
        <v>0</v>
      </c>
      <c r="M595" t="n">
        <v>0</v>
      </c>
      <c r="N595" t="n">
        <v>0</v>
      </c>
      <c r="O595" t="n">
        <v>0</v>
      </c>
      <c r="P595" t="n">
        <v>0</v>
      </c>
      <c r="Q595" t="n">
        <v>0</v>
      </c>
      <c r="R595" s="2" t="inlineStr"/>
    </row>
    <row r="596" ht="15" customHeight="1">
      <c r="A596" t="inlineStr">
        <is>
          <t>A 35173-2023</t>
        </is>
      </c>
      <c r="B596" s="1" t="n">
        <v>45145</v>
      </c>
      <c r="C596" s="1" t="n">
        <v>45471</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35189-2023</t>
        </is>
      </c>
      <c r="B597" s="1" t="n">
        <v>45145</v>
      </c>
      <c r="C597" s="1" t="n">
        <v>45471</v>
      </c>
      <c r="D597" t="inlineStr">
        <is>
          <t>DALARNAS LÄN</t>
        </is>
      </c>
      <c r="E597" t="inlineStr">
        <is>
          <t>LEKSAND</t>
        </is>
      </c>
      <c r="G597" t="n">
        <v>3.7</v>
      </c>
      <c r="H597" t="n">
        <v>0</v>
      </c>
      <c r="I597" t="n">
        <v>0</v>
      </c>
      <c r="J597" t="n">
        <v>0</v>
      </c>
      <c r="K597" t="n">
        <v>0</v>
      </c>
      <c r="L597" t="n">
        <v>0</v>
      </c>
      <c r="M597" t="n">
        <v>0</v>
      </c>
      <c r="N597" t="n">
        <v>0</v>
      </c>
      <c r="O597" t="n">
        <v>0</v>
      </c>
      <c r="P597" t="n">
        <v>0</v>
      </c>
      <c r="Q597" t="n">
        <v>0</v>
      </c>
      <c r="R597" s="2" t="inlineStr"/>
    </row>
    <row r="598" ht="15" customHeight="1">
      <c r="A598" t="inlineStr">
        <is>
          <t>A 36261-2023</t>
        </is>
      </c>
      <c r="B598" s="1" t="n">
        <v>45151</v>
      </c>
      <c r="C598" s="1" t="n">
        <v>45471</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36262-2023</t>
        </is>
      </c>
      <c r="B599" s="1" t="n">
        <v>45151</v>
      </c>
      <c r="C599" s="1" t="n">
        <v>45471</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36444-2023</t>
        </is>
      </c>
      <c r="B600" s="1" t="n">
        <v>45152</v>
      </c>
      <c r="C600" s="1" t="n">
        <v>45471</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36450-2023</t>
        </is>
      </c>
      <c r="B601" s="1" t="n">
        <v>45152</v>
      </c>
      <c r="C601" s="1" t="n">
        <v>45471</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36515-2023</t>
        </is>
      </c>
      <c r="B602" s="1" t="n">
        <v>45153</v>
      </c>
      <c r="C602" s="1" t="n">
        <v>45471</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36932-2023</t>
        </is>
      </c>
      <c r="B603" s="1" t="n">
        <v>45154</v>
      </c>
      <c r="C603" s="1" t="n">
        <v>45471</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37397-2023</t>
        </is>
      </c>
      <c r="B604" s="1" t="n">
        <v>45156</v>
      </c>
      <c r="C604" s="1" t="n">
        <v>45471</v>
      </c>
      <c r="D604" t="inlineStr">
        <is>
          <t>DALARNAS LÄN</t>
        </is>
      </c>
      <c r="E604" t="inlineStr">
        <is>
          <t>LEKSAND</t>
        </is>
      </c>
      <c r="F604" t="inlineStr">
        <is>
          <t>Kommuner</t>
        </is>
      </c>
      <c r="G604" t="n">
        <v>2.9</v>
      </c>
      <c r="H604" t="n">
        <v>0</v>
      </c>
      <c r="I604" t="n">
        <v>0</v>
      </c>
      <c r="J604" t="n">
        <v>0</v>
      </c>
      <c r="K604" t="n">
        <v>0</v>
      </c>
      <c r="L604" t="n">
        <v>0</v>
      </c>
      <c r="M604" t="n">
        <v>0</v>
      </c>
      <c r="N604" t="n">
        <v>0</v>
      </c>
      <c r="O604" t="n">
        <v>0</v>
      </c>
      <c r="P604" t="n">
        <v>0</v>
      </c>
      <c r="Q604" t="n">
        <v>0</v>
      </c>
      <c r="R604" s="2" t="inlineStr"/>
    </row>
    <row r="605" ht="15" customHeight="1">
      <c r="A605" t="inlineStr">
        <is>
          <t>A 37516-2023</t>
        </is>
      </c>
      <c r="B605" s="1" t="n">
        <v>45158</v>
      </c>
      <c r="C605" s="1" t="n">
        <v>45471</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37832-2023</t>
        </is>
      </c>
      <c r="B606" s="1" t="n">
        <v>45160</v>
      </c>
      <c r="C606" s="1" t="n">
        <v>45471</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37919-2023</t>
        </is>
      </c>
      <c r="B607" s="1" t="n">
        <v>45160</v>
      </c>
      <c r="C607" s="1" t="n">
        <v>45471</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38058-2023</t>
        </is>
      </c>
      <c r="B608" s="1" t="n">
        <v>45160</v>
      </c>
      <c r="C608" s="1" t="n">
        <v>45471</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38001-2023</t>
        </is>
      </c>
      <c r="B609" s="1" t="n">
        <v>45160</v>
      </c>
      <c r="C609" s="1" t="n">
        <v>45471</v>
      </c>
      <c r="D609" t="inlineStr">
        <is>
          <t>DALARNAS LÄN</t>
        </is>
      </c>
      <c r="E609" t="inlineStr">
        <is>
          <t>LEKSAND</t>
        </is>
      </c>
      <c r="G609" t="n">
        <v>3.6</v>
      </c>
      <c r="H609" t="n">
        <v>0</v>
      </c>
      <c r="I609" t="n">
        <v>0</v>
      </c>
      <c r="J609" t="n">
        <v>0</v>
      </c>
      <c r="K609" t="n">
        <v>0</v>
      </c>
      <c r="L609" t="n">
        <v>0</v>
      </c>
      <c r="M609" t="n">
        <v>0</v>
      </c>
      <c r="N609" t="n">
        <v>0</v>
      </c>
      <c r="O609" t="n">
        <v>0</v>
      </c>
      <c r="P609" t="n">
        <v>0</v>
      </c>
      <c r="Q609" t="n">
        <v>0</v>
      </c>
      <c r="R609" s="2" t="inlineStr"/>
    </row>
    <row r="610" ht="15" customHeight="1">
      <c r="A610" t="inlineStr">
        <is>
          <t>A 38145-2023</t>
        </is>
      </c>
      <c r="B610" s="1" t="n">
        <v>45160</v>
      </c>
      <c r="C610" s="1" t="n">
        <v>45471</v>
      </c>
      <c r="D610" t="inlineStr">
        <is>
          <t>DALARNAS LÄN</t>
        </is>
      </c>
      <c r="E610" t="inlineStr">
        <is>
          <t>LEKSAND</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38273-2023</t>
        </is>
      </c>
      <c r="B611" s="1" t="n">
        <v>45161</v>
      </c>
      <c r="C611" s="1" t="n">
        <v>45471</v>
      </c>
      <c r="D611" t="inlineStr">
        <is>
          <t>DALARNAS LÄN</t>
        </is>
      </c>
      <c r="E611" t="inlineStr">
        <is>
          <t>LEKSAND</t>
        </is>
      </c>
      <c r="F611" t="inlineStr">
        <is>
          <t>Bergvik skog väst AB</t>
        </is>
      </c>
      <c r="G611" t="n">
        <v>4.1</v>
      </c>
      <c r="H611" t="n">
        <v>0</v>
      </c>
      <c r="I611" t="n">
        <v>0</v>
      </c>
      <c r="J611" t="n">
        <v>0</v>
      </c>
      <c r="K611" t="n">
        <v>0</v>
      </c>
      <c r="L611" t="n">
        <v>0</v>
      </c>
      <c r="M611" t="n">
        <v>0</v>
      </c>
      <c r="N611" t="n">
        <v>0</v>
      </c>
      <c r="O611" t="n">
        <v>0</v>
      </c>
      <c r="P611" t="n">
        <v>0</v>
      </c>
      <c r="Q611" t="n">
        <v>0</v>
      </c>
      <c r="R611" s="2" t="inlineStr"/>
    </row>
    <row r="612" ht="15" customHeight="1">
      <c r="A612" t="inlineStr">
        <is>
          <t>A 38277-2023</t>
        </is>
      </c>
      <c r="B612" s="1" t="n">
        <v>45161</v>
      </c>
      <c r="C612" s="1" t="n">
        <v>45471</v>
      </c>
      <c r="D612" t="inlineStr">
        <is>
          <t>DALARNAS LÄN</t>
        </is>
      </c>
      <c r="E612" t="inlineStr">
        <is>
          <t>LEKSAND</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38117-2023</t>
        </is>
      </c>
      <c r="B613" s="1" t="n">
        <v>45161</v>
      </c>
      <c r="C613" s="1" t="n">
        <v>45471</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39136-2023</t>
        </is>
      </c>
      <c r="B614" s="1" t="n">
        <v>45165</v>
      </c>
      <c r="C614" s="1" t="n">
        <v>45471</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39387-2023</t>
        </is>
      </c>
      <c r="B615" s="1" t="n">
        <v>45166</v>
      </c>
      <c r="C615" s="1" t="n">
        <v>45471</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39332-2023</t>
        </is>
      </c>
      <c r="B616" s="1" t="n">
        <v>45166</v>
      </c>
      <c r="C616" s="1" t="n">
        <v>45471</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39354-2023</t>
        </is>
      </c>
      <c r="B617" s="1" t="n">
        <v>45166</v>
      </c>
      <c r="C617" s="1" t="n">
        <v>45471</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39595-2023</t>
        </is>
      </c>
      <c r="B618" s="1" t="n">
        <v>45167</v>
      </c>
      <c r="C618" s="1" t="n">
        <v>45471</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39558-2023</t>
        </is>
      </c>
      <c r="B619" s="1" t="n">
        <v>45167</v>
      </c>
      <c r="C619" s="1" t="n">
        <v>45471</v>
      </c>
      <c r="D619" t="inlineStr">
        <is>
          <t>DALARNAS LÄN</t>
        </is>
      </c>
      <c r="E619" t="inlineStr">
        <is>
          <t>LEKSAND</t>
        </is>
      </c>
      <c r="G619" t="n">
        <v>39.9</v>
      </c>
      <c r="H619" t="n">
        <v>0</v>
      </c>
      <c r="I619" t="n">
        <v>0</v>
      </c>
      <c r="J619" t="n">
        <v>0</v>
      </c>
      <c r="K619" t="n">
        <v>0</v>
      </c>
      <c r="L619" t="n">
        <v>0</v>
      </c>
      <c r="M619" t="n">
        <v>0</v>
      </c>
      <c r="N619" t="n">
        <v>0</v>
      </c>
      <c r="O619" t="n">
        <v>0</v>
      </c>
      <c r="P619" t="n">
        <v>0</v>
      </c>
      <c r="Q619" t="n">
        <v>0</v>
      </c>
      <c r="R619" s="2" t="inlineStr"/>
    </row>
    <row r="620" ht="15" customHeight="1">
      <c r="A620" t="inlineStr">
        <is>
          <t>A 39577-2023</t>
        </is>
      </c>
      <c r="B620" s="1" t="n">
        <v>45167</v>
      </c>
      <c r="C620" s="1" t="n">
        <v>45471</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39665-2023</t>
        </is>
      </c>
      <c r="B621" s="1" t="n">
        <v>45167</v>
      </c>
      <c r="C621" s="1" t="n">
        <v>45471</v>
      </c>
      <c r="D621" t="inlineStr">
        <is>
          <t>DALARNAS LÄN</t>
        </is>
      </c>
      <c r="E621" t="inlineStr">
        <is>
          <t>LEKSAND</t>
        </is>
      </c>
      <c r="F621" t="inlineStr">
        <is>
          <t>Bergvik skog väst AB</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40201-2023</t>
        </is>
      </c>
      <c r="B622" s="1" t="n">
        <v>45169</v>
      </c>
      <c r="C622" s="1" t="n">
        <v>45471</v>
      </c>
      <c r="D622" t="inlineStr">
        <is>
          <t>DALARNAS LÄN</t>
        </is>
      </c>
      <c r="E622" t="inlineStr">
        <is>
          <t>LEKSAND</t>
        </is>
      </c>
      <c r="G622" t="n">
        <v>3.2</v>
      </c>
      <c r="H622" t="n">
        <v>0</v>
      </c>
      <c r="I622" t="n">
        <v>0</v>
      </c>
      <c r="J622" t="n">
        <v>0</v>
      </c>
      <c r="K622" t="n">
        <v>0</v>
      </c>
      <c r="L622" t="n">
        <v>0</v>
      </c>
      <c r="M622" t="n">
        <v>0</v>
      </c>
      <c r="N622" t="n">
        <v>0</v>
      </c>
      <c r="O622" t="n">
        <v>0</v>
      </c>
      <c r="P622" t="n">
        <v>0</v>
      </c>
      <c r="Q622" t="n">
        <v>0</v>
      </c>
      <c r="R622" s="2" t="inlineStr"/>
    </row>
    <row r="623" ht="15" customHeight="1">
      <c r="A623" t="inlineStr">
        <is>
          <t>A 40181-2023</t>
        </is>
      </c>
      <c r="B623" s="1" t="n">
        <v>45169</v>
      </c>
      <c r="C623" s="1" t="n">
        <v>45471</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40230-2023</t>
        </is>
      </c>
      <c r="B624" s="1" t="n">
        <v>45169</v>
      </c>
      <c r="C624" s="1" t="n">
        <v>45471</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45471</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40183-2023</t>
        </is>
      </c>
      <c r="B626" s="1" t="n">
        <v>45169</v>
      </c>
      <c r="C626" s="1" t="n">
        <v>45471</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40580-2023</t>
        </is>
      </c>
      <c r="B627" s="1" t="n">
        <v>45170</v>
      </c>
      <c r="C627" s="1" t="n">
        <v>45471</v>
      </c>
      <c r="D627" t="inlineStr">
        <is>
          <t>DALARNAS LÄN</t>
        </is>
      </c>
      <c r="E627" t="inlineStr">
        <is>
          <t>LEKSAND</t>
        </is>
      </c>
      <c r="F627" t="inlineStr">
        <is>
          <t>Bergvik skog väst AB</t>
        </is>
      </c>
      <c r="G627" t="n">
        <v>5.8</v>
      </c>
      <c r="H627" t="n">
        <v>0</v>
      </c>
      <c r="I627" t="n">
        <v>0</v>
      </c>
      <c r="J627" t="n">
        <v>0</v>
      </c>
      <c r="K627" t="n">
        <v>0</v>
      </c>
      <c r="L627" t="n">
        <v>0</v>
      </c>
      <c r="M627" t="n">
        <v>0</v>
      </c>
      <c r="N627" t="n">
        <v>0</v>
      </c>
      <c r="O627" t="n">
        <v>0</v>
      </c>
      <c r="P627" t="n">
        <v>0</v>
      </c>
      <c r="Q627" t="n">
        <v>0</v>
      </c>
      <c r="R627" s="2" t="inlineStr"/>
    </row>
    <row r="628" ht="15" customHeight="1">
      <c r="A628" t="inlineStr">
        <is>
          <t>A 40634-2023</t>
        </is>
      </c>
      <c r="B628" s="1" t="n">
        <v>45170</v>
      </c>
      <c r="C628" s="1" t="n">
        <v>45471</v>
      </c>
      <c r="D628" t="inlineStr">
        <is>
          <t>DALARNAS LÄN</t>
        </is>
      </c>
      <c r="E628" t="inlineStr">
        <is>
          <t>LEKSAND</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40640-2023</t>
        </is>
      </c>
      <c r="B629" s="1" t="n">
        <v>45170</v>
      </c>
      <c r="C629" s="1" t="n">
        <v>45471</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40577-2023</t>
        </is>
      </c>
      <c r="B630" s="1" t="n">
        <v>45170</v>
      </c>
      <c r="C630" s="1" t="n">
        <v>45471</v>
      </c>
      <c r="D630" t="inlineStr">
        <is>
          <t>DALARNAS LÄN</t>
        </is>
      </c>
      <c r="E630" t="inlineStr">
        <is>
          <t>LEKSAND</t>
        </is>
      </c>
      <c r="F630" t="inlineStr">
        <is>
          <t>Bergvik skog väst AB</t>
        </is>
      </c>
      <c r="G630" t="n">
        <v>20.6</v>
      </c>
      <c r="H630" t="n">
        <v>0</v>
      </c>
      <c r="I630" t="n">
        <v>0</v>
      </c>
      <c r="J630" t="n">
        <v>0</v>
      </c>
      <c r="K630" t="n">
        <v>0</v>
      </c>
      <c r="L630" t="n">
        <v>0</v>
      </c>
      <c r="M630" t="n">
        <v>0</v>
      </c>
      <c r="N630" t="n">
        <v>0</v>
      </c>
      <c r="O630" t="n">
        <v>0</v>
      </c>
      <c r="P630" t="n">
        <v>0</v>
      </c>
      <c r="Q630" t="n">
        <v>0</v>
      </c>
      <c r="R630" s="2" t="inlineStr"/>
    </row>
    <row r="631" ht="15" customHeight="1">
      <c r="A631" t="inlineStr">
        <is>
          <t>A 40627-2023</t>
        </is>
      </c>
      <c r="B631" s="1" t="n">
        <v>45170</v>
      </c>
      <c r="C631" s="1" t="n">
        <v>45471</v>
      </c>
      <c r="D631" t="inlineStr">
        <is>
          <t>DALARNAS LÄN</t>
        </is>
      </c>
      <c r="E631" t="inlineStr">
        <is>
          <t>LEKSAND</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v>
      </c>
      <c r="C632" s="1" t="n">
        <v>45471</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42230-2023</t>
        </is>
      </c>
      <c r="B633" s="1" t="n">
        <v>45180</v>
      </c>
      <c r="C633" s="1" t="n">
        <v>45471</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42305-2023</t>
        </is>
      </c>
      <c r="B634" s="1" t="n">
        <v>45180</v>
      </c>
      <c r="C634" s="1" t="n">
        <v>45471</v>
      </c>
      <c r="D634" t="inlineStr">
        <is>
          <t>DALARNAS LÄN</t>
        </is>
      </c>
      <c r="E634" t="inlineStr">
        <is>
          <t>LEKSAND</t>
        </is>
      </c>
      <c r="G634" t="n">
        <v>6.9</v>
      </c>
      <c r="H634" t="n">
        <v>0</v>
      </c>
      <c r="I634" t="n">
        <v>0</v>
      </c>
      <c r="J634" t="n">
        <v>0</v>
      </c>
      <c r="K634" t="n">
        <v>0</v>
      </c>
      <c r="L634" t="n">
        <v>0</v>
      </c>
      <c r="M634" t="n">
        <v>0</v>
      </c>
      <c r="N634" t="n">
        <v>0</v>
      </c>
      <c r="O634" t="n">
        <v>0</v>
      </c>
      <c r="P634" t="n">
        <v>0</v>
      </c>
      <c r="Q634" t="n">
        <v>0</v>
      </c>
      <c r="R634" s="2" t="inlineStr"/>
    </row>
    <row r="635" ht="15" customHeight="1">
      <c r="A635" t="inlineStr">
        <is>
          <t>A 42290-2023</t>
        </is>
      </c>
      <c r="B635" s="1" t="n">
        <v>45180</v>
      </c>
      <c r="C635" s="1" t="n">
        <v>45471</v>
      </c>
      <c r="D635" t="inlineStr">
        <is>
          <t>DALARNAS LÄN</t>
        </is>
      </c>
      <c r="E635" t="inlineStr">
        <is>
          <t>LEKSAND</t>
        </is>
      </c>
      <c r="G635" t="n">
        <v>6.8</v>
      </c>
      <c r="H635" t="n">
        <v>0</v>
      </c>
      <c r="I635" t="n">
        <v>0</v>
      </c>
      <c r="J635" t="n">
        <v>0</v>
      </c>
      <c r="K635" t="n">
        <v>0</v>
      </c>
      <c r="L635" t="n">
        <v>0</v>
      </c>
      <c r="M635" t="n">
        <v>0</v>
      </c>
      <c r="N635" t="n">
        <v>0</v>
      </c>
      <c r="O635" t="n">
        <v>0</v>
      </c>
      <c r="P635" t="n">
        <v>0</v>
      </c>
      <c r="Q635" t="n">
        <v>0</v>
      </c>
      <c r="R635" s="2" t="inlineStr"/>
    </row>
    <row r="636" ht="15" customHeight="1">
      <c r="A636" t="inlineStr">
        <is>
          <t>A 42739-2023</t>
        </is>
      </c>
      <c r="B636" s="1" t="n">
        <v>45181</v>
      </c>
      <c r="C636" s="1" t="n">
        <v>45471</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42774-2023</t>
        </is>
      </c>
      <c r="B637" s="1" t="n">
        <v>45181</v>
      </c>
      <c r="C637" s="1" t="n">
        <v>45471</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42771-2023</t>
        </is>
      </c>
      <c r="B638" s="1" t="n">
        <v>45181</v>
      </c>
      <c r="C638" s="1" t="n">
        <v>45471</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44491-2023</t>
        </is>
      </c>
      <c r="B639" s="1" t="n">
        <v>45183</v>
      </c>
      <c r="C639" s="1" t="n">
        <v>45471</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43436-2023</t>
        </is>
      </c>
      <c r="B640" s="1" t="n">
        <v>45184</v>
      </c>
      <c r="C640" s="1" t="n">
        <v>45471</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43440-2023</t>
        </is>
      </c>
      <c r="B641" s="1" t="n">
        <v>45184</v>
      </c>
      <c r="C641" s="1" t="n">
        <v>45471</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43508-2023</t>
        </is>
      </c>
      <c r="B642" s="1" t="n">
        <v>45184</v>
      </c>
      <c r="C642" s="1" t="n">
        <v>45471</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43642-2023</t>
        </is>
      </c>
      <c r="B643" s="1" t="n">
        <v>45186</v>
      </c>
      <c r="C643" s="1" t="n">
        <v>45471</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43650-2023</t>
        </is>
      </c>
      <c r="B644" s="1" t="n">
        <v>45187</v>
      </c>
      <c r="C644" s="1" t="n">
        <v>45471</v>
      </c>
      <c r="D644" t="inlineStr">
        <is>
          <t>DALARNAS LÄN</t>
        </is>
      </c>
      <c r="E644" t="inlineStr">
        <is>
          <t>LEKSAND</t>
        </is>
      </c>
      <c r="G644" t="n">
        <v>4.5</v>
      </c>
      <c r="H644" t="n">
        <v>0</v>
      </c>
      <c r="I644" t="n">
        <v>0</v>
      </c>
      <c r="J644" t="n">
        <v>0</v>
      </c>
      <c r="K644" t="n">
        <v>0</v>
      </c>
      <c r="L644" t="n">
        <v>0</v>
      </c>
      <c r="M644" t="n">
        <v>0</v>
      </c>
      <c r="N644" t="n">
        <v>0</v>
      </c>
      <c r="O644" t="n">
        <v>0</v>
      </c>
      <c r="P644" t="n">
        <v>0</v>
      </c>
      <c r="Q644" t="n">
        <v>0</v>
      </c>
      <c r="R644" s="2" t="inlineStr"/>
    </row>
    <row r="645" ht="15" customHeight="1">
      <c r="A645" t="inlineStr">
        <is>
          <t>A 44712-2023</t>
        </is>
      </c>
      <c r="B645" s="1" t="n">
        <v>45190</v>
      </c>
      <c r="C645" s="1" t="n">
        <v>45471</v>
      </c>
      <c r="D645" t="inlineStr">
        <is>
          <t>DALARNAS LÄN</t>
        </is>
      </c>
      <c r="E645" t="inlineStr">
        <is>
          <t>LEKSAND</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45254-2023</t>
        </is>
      </c>
      <c r="B646" s="1" t="n">
        <v>45191</v>
      </c>
      <c r="C646" s="1" t="n">
        <v>45471</v>
      </c>
      <c r="D646" t="inlineStr">
        <is>
          <t>DALARNAS LÄN</t>
        </is>
      </c>
      <c r="E646" t="inlineStr">
        <is>
          <t>LEKSAND</t>
        </is>
      </c>
      <c r="G646" t="n">
        <v>16.9</v>
      </c>
      <c r="H646" t="n">
        <v>0</v>
      </c>
      <c r="I646" t="n">
        <v>0</v>
      </c>
      <c r="J646" t="n">
        <v>0</v>
      </c>
      <c r="K646" t="n">
        <v>0</v>
      </c>
      <c r="L646" t="n">
        <v>0</v>
      </c>
      <c r="M646" t="n">
        <v>0</v>
      </c>
      <c r="N646" t="n">
        <v>0</v>
      </c>
      <c r="O646" t="n">
        <v>0</v>
      </c>
      <c r="P646" t="n">
        <v>0</v>
      </c>
      <c r="Q646" t="n">
        <v>0</v>
      </c>
      <c r="R646" s="2" t="inlineStr"/>
    </row>
    <row r="647" ht="15" customHeight="1">
      <c r="A647" t="inlineStr">
        <is>
          <t>A 45633-2023</t>
        </is>
      </c>
      <c r="B647" s="1" t="n">
        <v>45194</v>
      </c>
      <c r="C647" s="1" t="n">
        <v>45471</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45512-2023</t>
        </is>
      </c>
      <c r="B648" s="1" t="n">
        <v>45194</v>
      </c>
      <c r="C648" s="1" t="n">
        <v>45471</v>
      </c>
      <c r="D648" t="inlineStr">
        <is>
          <t>DALARNAS LÄN</t>
        </is>
      </c>
      <c r="E648" t="inlineStr">
        <is>
          <t>LEKSAND</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45768-2023</t>
        </is>
      </c>
      <c r="B649" s="1" t="n">
        <v>45195</v>
      </c>
      <c r="C649" s="1" t="n">
        <v>45471</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45679-2023</t>
        </is>
      </c>
      <c r="B650" s="1" t="n">
        <v>45195</v>
      </c>
      <c r="C650" s="1" t="n">
        <v>45471</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45813-2023</t>
        </is>
      </c>
      <c r="B651" s="1" t="n">
        <v>45195</v>
      </c>
      <c r="C651" s="1" t="n">
        <v>45471</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46163-2023</t>
        </is>
      </c>
      <c r="B652" s="1" t="n">
        <v>45196</v>
      </c>
      <c r="C652" s="1" t="n">
        <v>45471</v>
      </c>
      <c r="D652" t="inlineStr">
        <is>
          <t>DALARNAS LÄN</t>
        </is>
      </c>
      <c r="E652" t="inlineStr">
        <is>
          <t>LEKSAND</t>
        </is>
      </c>
      <c r="G652" t="n">
        <v>7.3</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v>
      </c>
      <c r="C653" s="1" t="n">
        <v>45471</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46505-2023</t>
        </is>
      </c>
      <c r="B654" s="1" t="n">
        <v>45197</v>
      </c>
      <c r="C654" s="1" t="n">
        <v>45471</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46593-2023</t>
        </is>
      </c>
      <c r="B655" s="1" t="n">
        <v>45198</v>
      </c>
      <c r="C655" s="1" t="n">
        <v>45471</v>
      </c>
      <c r="D655" t="inlineStr">
        <is>
          <t>DALARNAS LÄN</t>
        </is>
      </c>
      <c r="E655" t="inlineStr">
        <is>
          <t>LEKSAND</t>
        </is>
      </c>
      <c r="G655" t="n">
        <v>3.5</v>
      </c>
      <c r="H655" t="n">
        <v>0</v>
      </c>
      <c r="I655" t="n">
        <v>0</v>
      </c>
      <c r="J655" t="n">
        <v>0</v>
      </c>
      <c r="K655" t="n">
        <v>0</v>
      </c>
      <c r="L655" t="n">
        <v>0</v>
      </c>
      <c r="M655" t="n">
        <v>0</v>
      </c>
      <c r="N655" t="n">
        <v>0</v>
      </c>
      <c r="O655" t="n">
        <v>0</v>
      </c>
      <c r="P655" t="n">
        <v>0</v>
      </c>
      <c r="Q655" t="n">
        <v>0</v>
      </c>
      <c r="R655" s="2" t="inlineStr"/>
    </row>
    <row r="656" ht="15" customHeight="1">
      <c r="A656" t="inlineStr">
        <is>
          <t>A 46669-2023</t>
        </is>
      </c>
      <c r="B656" s="1" t="n">
        <v>45198</v>
      </c>
      <c r="C656" s="1" t="n">
        <v>45471</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46594-2023</t>
        </is>
      </c>
      <c r="B657" s="1" t="n">
        <v>45198</v>
      </c>
      <c r="C657" s="1" t="n">
        <v>45471</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46600-2023</t>
        </is>
      </c>
      <c r="B658" s="1" t="n">
        <v>45198</v>
      </c>
      <c r="C658" s="1" t="n">
        <v>45471</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46665-2023</t>
        </is>
      </c>
      <c r="B659" s="1" t="n">
        <v>45198</v>
      </c>
      <c r="C659" s="1" t="n">
        <v>45471</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46635-2023</t>
        </is>
      </c>
      <c r="B660" s="1" t="n">
        <v>45198</v>
      </c>
      <c r="C660" s="1" t="n">
        <v>45471</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46834-2023</t>
        </is>
      </c>
      <c r="B661" s="1" t="n">
        <v>45199</v>
      </c>
      <c r="C661" s="1" t="n">
        <v>45471</v>
      </c>
      <c r="D661" t="inlineStr">
        <is>
          <t>DALARNAS LÄN</t>
        </is>
      </c>
      <c r="E661" t="inlineStr">
        <is>
          <t>LEKSAND</t>
        </is>
      </c>
      <c r="G661" t="n">
        <v>16.3</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45471</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47039-2023</t>
        </is>
      </c>
      <c r="B663" s="1" t="n">
        <v>45201</v>
      </c>
      <c r="C663" s="1" t="n">
        <v>45471</v>
      </c>
      <c r="D663" t="inlineStr">
        <is>
          <t>DALARNAS LÄN</t>
        </is>
      </c>
      <c r="E663" t="inlineStr">
        <is>
          <t>LEKSAND</t>
        </is>
      </c>
      <c r="G663" t="n">
        <v>3.2</v>
      </c>
      <c r="H663" t="n">
        <v>0</v>
      </c>
      <c r="I663" t="n">
        <v>0</v>
      </c>
      <c r="J663" t="n">
        <v>0</v>
      </c>
      <c r="K663" t="n">
        <v>0</v>
      </c>
      <c r="L663" t="n">
        <v>0</v>
      </c>
      <c r="M663" t="n">
        <v>0</v>
      </c>
      <c r="N663" t="n">
        <v>0</v>
      </c>
      <c r="O663" t="n">
        <v>0</v>
      </c>
      <c r="P663" t="n">
        <v>0</v>
      </c>
      <c r="Q663" t="n">
        <v>0</v>
      </c>
      <c r="R663" s="2" t="inlineStr"/>
    </row>
    <row r="664" ht="15" customHeight="1">
      <c r="A664" t="inlineStr">
        <is>
          <t>A 46931-2023</t>
        </is>
      </c>
      <c r="B664" s="1" t="n">
        <v>45201</v>
      </c>
      <c r="C664" s="1" t="n">
        <v>45471</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47011-2023</t>
        </is>
      </c>
      <c r="B665" s="1" t="n">
        <v>45201</v>
      </c>
      <c r="C665" s="1" t="n">
        <v>45471</v>
      </c>
      <c r="D665" t="inlineStr">
        <is>
          <t>DALARNAS LÄN</t>
        </is>
      </c>
      <c r="E665" t="inlineStr">
        <is>
          <t>LEKSAND</t>
        </is>
      </c>
      <c r="G665" t="n">
        <v>4</v>
      </c>
      <c r="H665" t="n">
        <v>0</v>
      </c>
      <c r="I665" t="n">
        <v>0</v>
      </c>
      <c r="J665" t="n">
        <v>0</v>
      </c>
      <c r="K665" t="n">
        <v>0</v>
      </c>
      <c r="L665" t="n">
        <v>0</v>
      </c>
      <c r="M665" t="n">
        <v>0</v>
      </c>
      <c r="N665" t="n">
        <v>0</v>
      </c>
      <c r="O665" t="n">
        <v>0</v>
      </c>
      <c r="P665" t="n">
        <v>0</v>
      </c>
      <c r="Q665" t="n">
        <v>0</v>
      </c>
      <c r="R665" s="2" t="inlineStr"/>
    </row>
    <row r="666" ht="15" customHeight="1">
      <c r="A666" t="inlineStr">
        <is>
          <t>A 47203-2023</t>
        </is>
      </c>
      <c r="B666" s="1" t="n">
        <v>45202</v>
      </c>
      <c r="C666" s="1" t="n">
        <v>45471</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47673-2023</t>
        </is>
      </c>
      <c r="B667" s="1" t="n">
        <v>45203</v>
      </c>
      <c r="C667" s="1" t="n">
        <v>45471</v>
      </c>
      <c r="D667" t="inlineStr">
        <is>
          <t>DALARNAS LÄN</t>
        </is>
      </c>
      <c r="E667" t="inlineStr">
        <is>
          <t>LEKSAND</t>
        </is>
      </c>
      <c r="G667" t="n">
        <v>2</v>
      </c>
      <c r="H667" t="n">
        <v>0</v>
      </c>
      <c r="I667" t="n">
        <v>0</v>
      </c>
      <c r="J667" t="n">
        <v>0</v>
      </c>
      <c r="K667" t="n">
        <v>0</v>
      </c>
      <c r="L667" t="n">
        <v>0</v>
      </c>
      <c r="M667" t="n">
        <v>0</v>
      </c>
      <c r="N667" t="n">
        <v>0</v>
      </c>
      <c r="O667" t="n">
        <v>0</v>
      </c>
      <c r="P667" t="n">
        <v>0</v>
      </c>
      <c r="Q667" t="n">
        <v>0</v>
      </c>
      <c r="R667" s="2" t="inlineStr"/>
    </row>
    <row r="668" ht="15" customHeight="1">
      <c r="A668" t="inlineStr">
        <is>
          <t>A 47655-2023</t>
        </is>
      </c>
      <c r="B668" s="1" t="n">
        <v>45203</v>
      </c>
      <c r="C668" s="1" t="n">
        <v>45471</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48714-2023</t>
        </is>
      </c>
      <c r="B669" s="1" t="n">
        <v>45203</v>
      </c>
      <c r="C669" s="1" t="n">
        <v>45471</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48721-2023</t>
        </is>
      </c>
      <c r="B670" s="1" t="n">
        <v>45203</v>
      </c>
      <c r="C670" s="1" t="n">
        <v>45471</v>
      </c>
      <c r="D670" t="inlineStr">
        <is>
          <t>DALARNAS LÄN</t>
        </is>
      </c>
      <c r="E670" t="inlineStr">
        <is>
          <t>LEKSAND</t>
        </is>
      </c>
      <c r="G670" t="n">
        <v>2.9</v>
      </c>
      <c r="H670" t="n">
        <v>0</v>
      </c>
      <c r="I670" t="n">
        <v>0</v>
      </c>
      <c r="J670" t="n">
        <v>0</v>
      </c>
      <c r="K670" t="n">
        <v>0</v>
      </c>
      <c r="L670" t="n">
        <v>0</v>
      </c>
      <c r="M670" t="n">
        <v>0</v>
      </c>
      <c r="N670" t="n">
        <v>0</v>
      </c>
      <c r="O670" t="n">
        <v>0</v>
      </c>
      <c r="P670" t="n">
        <v>0</v>
      </c>
      <c r="Q670" t="n">
        <v>0</v>
      </c>
      <c r="R670" s="2" t="inlineStr"/>
    </row>
    <row r="671" ht="15" customHeight="1">
      <c r="A671" t="inlineStr">
        <is>
          <t>A 48029-2023</t>
        </is>
      </c>
      <c r="B671" s="1" t="n">
        <v>45204</v>
      </c>
      <c r="C671" s="1" t="n">
        <v>45471</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48644-2023</t>
        </is>
      </c>
      <c r="B672" s="1" t="n">
        <v>45208</v>
      </c>
      <c r="C672" s="1" t="n">
        <v>45471</v>
      </c>
      <c r="D672" t="inlineStr">
        <is>
          <t>DALARNAS LÄN</t>
        </is>
      </c>
      <c r="E672" t="inlineStr">
        <is>
          <t>LEKSAND</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50374-2023</t>
        </is>
      </c>
      <c r="B673" s="1" t="n">
        <v>45209</v>
      </c>
      <c r="C673" s="1" t="n">
        <v>45471</v>
      </c>
      <c r="D673" t="inlineStr">
        <is>
          <t>DALARNAS LÄN</t>
        </is>
      </c>
      <c r="E673" t="inlineStr">
        <is>
          <t>LEKSAND</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50082-2023</t>
        </is>
      </c>
      <c r="B674" s="1" t="n">
        <v>45215</v>
      </c>
      <c r="C674" s="1" t="n">
        <v>45471</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v>
      </c>
      <c r="C675" s="1" t="n">
        <v>45471</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50278-2023</t>
        </is>
      </c>
      <c r="B676" s="1" t="n">
        <v>45216</v>
      </c>
      <c r="C676" s="1" t="n">
        <v>45471</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50553-2023</t>
        </is>
      </c>
      <c r="B677" s="1" t="n">
        <v>45217</v>
      </c>
      <c r="C677" s="1" t="n">
        <v>45471</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51090-2023</t>
        </is>
      </c>
      <c r="B678" s="1" t="n">
        <v>45218</v>
      </c>
      <c r="C678" s="1" t="n">
        <v>45471</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51377-2023</t>
        </is>
      </c>
      <c r="B679" s="1" t="n">
        <v>45219</v>
      </c>
      <c r="C679" s="1" t="n">
        <v>45471</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52801-2023</t>
        </is>
      </c>
      <c r="B680" s="1" t="n">
        <v>45219</v>
      </c>
      <c r="C680" s="1" t="n">
        <v>45471</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52216-2023</t>
        </is>
      </c>
      <c r="B681" s="1" t="n">
        <v>45219</v>
      </c>
      <c r="C681" s="1" t="n">
        <v>45471</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v>
      </c>
      <c r="C682" s="1" t="n">
        <v>45471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51736-2023</t>
        </is>
      </c>
      <c r="B683" s="1" t="n">
        <v>45222</v>
      </c>
      <c r="C683" s="1" t="n">
        <v>45471</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52959-2023</t>
        </is>
      </c>
      <c r="B684" s="1" t="n">
        <v>45222</v>
      </c>
      <c r="C684" s="1" t="n">
        <v>45471</v>
      </c>
      <c r="D684" t="inlineStr">
        <is>
          <t>DALARNAS LÄN</t>
        </is>
      </c>
      <c r="E684" t="inlineStr">
        <is>
          <t>LEKSAND</t>
        </is>
      </c>
      <c r="G684" t="n">
        <v>6.5</v>
      </c>
      <c r="H684" t="n">
        <v>0</v>
      </c>
      <c r="I684" t="n">
        <v>0</v>
      </c>
      <c r="J684" t="n">
        <v>0</v>
      </c>
      <c r="K684" t="n">
        <v>0</v>
      </c>
      <c r="L684" t="n">
        <v>0</v>
      </c>
      <c r="M684" t="n">
        <v>0</v>
      </c>
      <c r="N684" t="n">
        <v>0</v>
      </c>
      <c r="O684" t="n">
        <v>0</v>
      </c>
      <c r="P684" t="n">
        <v>0</v>
      </c>
      <c r="Q684" t="n">
        <v>0</v>
      </c>
      <c r="R684" s="2" t="inlineStr"/>
    </row>
    <row r="685" ht="15" customHeight="1">
      <c r="A685" t="inlineStr">
        <is>
          <t>A 52016-2023</t>
        </is>
      </c>
      <c r="B685" s="1" t="n">
        <v>45223</v>
      </c>
      <c r="C685" s="1" t="n">
        <v>45471</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52732-2023</t>
        </is>
      </c>
      <c r="B686" s="1" t="n">
        <v>45226</v>
      </c>
      <c r="C686" s="1" t="n">
        <v>45471</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53120-2023</t>
        </is>
      </c>
      <c r="B687" s="1" t="n">
        <v>45228</v>
      </c>
      <c r="C687" s="1" t="n">
        <v>45471</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45471</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53248-2023</t>
        </is>
      </c>
      <c r="B689" s="1" t="n">
        <v>45229</v>
      </c>
      <c r="C689" s="1" t="n">
        <v>45471</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53128-2023</t>
        </is>
      </c>
      <c r="B690" s="1" t="n">
        <v>45229</v>
      </c>
      <c r="C690" s="1" t="n">
        <v>45471</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53291-2023</t>
        </is>
      </c>
      <c r="B691" s="1" t="n">
        <v>45229</v>
      </c>
      <c r="C691" s="1" t="n">
        <v>45471</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53621-2023</t>
        </is>
      </c>
      <c r="B692" s="1" t="n">
        <v>45230</v>
      </c>
      <c r="C692" s="1" t="n">
        <v>45471</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53636-2023</t>
        </is>
      </c>
      <c r="B693" s="1" t="n">
        <v>45230</v>
      </c>
      <c r="C693" s="1" t="n">
        <v>45471</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53717-2023</t>
        </is>
      </c>
      <c r="B694" s="1" t="n">
        <v>45230</v>
      </c>
      <c r="C694" s="1" t="n">
        <v>45471</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55196-2023</t>
        </is>
      </c>
      <c r="B695" s="1" t="n">
        <v>45230</v>
      </c>
      <c r="C695" s="1" t="n">
        <v>45471</v>
      </c>
      <c r="D695" t="inlineStr">
        <is>
          <t>DALARNAS LÄN</t>
        </is>
      </c>
      <c r="E695" t="inlineStr">
        <is>
          <t>LEKSAND</t>
        </is>
      </c>
      <c r="G695" t="n">
        <v>5.7</v>
      </c>
      <c r="H695" t="n">
        <v>0</v>
      </c>
      <c r="I695" t="n">
        <v>0</v>
      </c>
      <c r="J695" t="n">
        <v>0</v>
      </c>
      <c r="K695" t="n">
        <v>0</v>
      </c>
      <c r="L695" t="n">
        <v>0</v>
      </c>
      <c r="M695" t="n">
        <v>0</v>
      </c>
      <c r="N695" t="n">
        <v>0</v>
      </c>
      <c r="O695" t="n">
        <v>0</v>
      </c>
      <c r="P695" t="n">
        <v>0</v>
      </c>
      <c r="Q695" t="n">
        <v>0</v>
      </c>
      <c r="R695" s="2" t="inlineStr"/>
    </row>
    <row r="696" ht="15" customHeight="1">
      <c r="A696" t="inlineStr">
        <is>
          <t>A 53799-2023</t>
        </is>
      </c>
      <c r="B696" s="1" t="n">
        <v>45231</v>
      </c>
      <c r="C696" s="1" t="n">
        <v>45471</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53823-2023</t>
        </is>
      </c>
      <c r="B697" s="1" t="n">
        <v>45231</v>
      </c>
      <c r="C697" s="1" t="n">
        <v>45471</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53817-2023</t>
        </is>
      </c>
      <c r="B698" s="1" t="n">
        <v>45231</v>
      </c>
      <c r="C698" s="1" t="n">
        <v>45471</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54251-2023</t>
        </is>
      </c>
      <c r="B699" s="1" t="n">
        <v>45232</v>
      </c>
      <c r="C699" s="1" t="n">
        <v>45471</v>
      </c>
      <c r="D699" t="inlineStr">
        <is>
          <t>DALARNAS LÄN</t>
        </is>
      </c>
      <c r="E699" t="inlineStr">
        <is>
          <t>LEKSAND</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54289-2023</t>
        </is>
      </c>
      <c r="B700" s="1" t="n">
        <v>45232</v>
      </c>
      <c r="C700" s="1" t="n">
        <v>45471</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54682-2023</t>
        </is>
      </c>
      <c r="B701" s="1" t="n">
        <v>45235</v>
      </c>
      <c r="C701" s="1" t="n">
        <v>45471</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54690-2023</t>
        </is>
      </c>
      <c r="B702" s="1" t="n">
        <v>45236</v>
      </c>
      <c r="C702" s="1" t="n">
        <v>45471</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55418-2023</t>
        </is>
      </c>
      <c r="B703" s="1" t="n">
        <v>45238</v>
      </c>
      <c r="C703" s="1" t="n">
        <v>45471</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55438-2023</t>
        </is>
      </c>
      <c r="B704" s="1" t="n">
        <v>45238</v>
      </c>
      <c r="C704" s="1" t="n">
        <v>45471</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55464-2023</t>
        </is>
      </c>
      <c r="B705" s="1" t="n">
        <v>45238</v>
      </c>
      <c r="C705" s="1" t="n">
        <v>45471</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55430-2023</t>
        </is>
      </c>
      <c r="B706" s="1" t="n">
        <v>45238</v>
      </c>
      <c r="C706" s="1" t="n">
        <v>45471</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56221-2023</t>
        </is>
      </c>
      <c r="B707" s="1" t="n">
        <v>45240</v>
      </c>
      <c r="C707" s="1" t="n">
        <v>45471</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45471</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56099-2023</t>
        </is>
      </c>
      <c r="B709" s="1" t="n">
        <v>45240</v>
      </c>
      <c r="C709" s="1" t="n">
        <v>45471</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56067-2023</t>
        </is>
      </c>
      <c r="B710" s="1" t="n">
        <v>45240</v>
      </c>
      <c r="C710" s="1" t="n">
        <v>45471</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56065-2023</t>
        </is>
      </c>
      <c r="B711" s="1" t="n">
        <v>45240</v>
      </c>
      <c r="C711" s="1" t="n">
        <v>45471</v>
      </c>
      <c r="D711" t="inlineStr">
        <is>
          <t>DALARNAS LÄN</t>
        </is>
      </c>
      <c r="E711" t="inlineStr">
        <is>
          <t>LEKSAND</t>
        </is>
      </c>
      <c r="G711" t="n">
        <v>4</v>
      </c>
      <c r="H711" t="n">
        <v>0</v>
      </c>
      <c r="I711" t="n">
        <v>0</v>
      </c>
      <c r="J711" t="n">
        <v>0</v>
      </c>
      <c r="K711" t="n">
        <v>0</v>
      </c>
      <c r="L711" t="n">
        <v>0</v>
      </c>
      <c r="M711" t="n">
        <v>0</v>
      </c>
      <c r="N711" t="n">
        <v>0</v>
      </c>
      <c r="O711" t="n">
        <v>0</v>
      </c>
      <c r="P711" t="n">
        <v>0</v>
      </c>
      <c r="Q711" t="n">
        <v>0</v>
      </c>
      <c r="R711" s="2" t="inlineStr"/>
    </row>
    <row r="712" ht="15" customHeight="1">
      <c r="A712" t="inlineStr">
        <is>
          <t>A 56350-2023</t>
        </is>
      </c>
      <c r="B712" s="1" t="n">
        <v>45243</v>
      </c>
      <c r="C712" s="1" t="n">
        <v>45471</v>
      </c>
      <c r="D712" t="inlineStr">
        <is>
          <t>DALARNAS LÄN</t>
        </is>
      </c>
      <c r="E712" t="inlineStr">
        <is>
          <t>LEKSAND</t>
        </is>
      </c>
      <c r="G712" t="n">
        <v>4</v>
      </c>
      <c r="H712" t="n">
        <v>0</v>
      </c>
      <c r="I712" t="n">
        <v>0</v>
      </c>
      <c r="J712" t="n">
        <v>0</v>
      </c>
      <c r="K712" t="n">
        <v>0</v>
      </c>
      <c r="L712" t="n">
        <v>0</v>
      </c>
      <c r="M712" t="n">
        <v>0</v>
      </c>
      <c r="N712" t="n">
        <v>0</v>
      </c>
      <c r="O712" t="n">
        <v>0</v>
      </c>
      <c r="P712" t="n">
        <v>0</v>
      </c>
      <c r="Q712" t="n">
        <v>0</v>
      </c>
      <c r="R712" s="2" t="inlineStr"/>
    </row>
    <row r="713" ht="15" customHeight="1">
      <c r="A713" t="inlineStr">
        <is>
          <t>A 56632-2023</t>
        </is>
      </c>
      <c r="B713" s="1" t="n">
        <v>45243</v>
      </c>
      <c r="C713" s="1" t="n">
        <v>45471</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56753-2023</t>
        </is>
      </c>
      <c r="B714" s="1" t="n">
        <v>45244</v>
      </c>
      <c r="C714" s="1" t="n">
        <v>45471</v>
      </c>
      <c r="D714" t="inlineStr">
        <is>
          <t>DALARNAS LÄN</t>
        </is>
      </c>
      <c r="E714" t="inlineStr">
        <is>
          <t>LEKSAND</t>
        </is>
      </c>
      <c r="G714" t="n">
        <v>0.5</v>
      </c>
      <c r="H714" t="n">
        <v>0</v>
      </c>
      <c r="I714" t="n">
        <v>0</v>
      </c>
      <c r="J714" t="n">
        <v>0</v>
      </c>
      <c r="K714" t="n">
        <v>0</v>
      </c>
      <c r="L714" t="n">
        <v>0</v>
      </c>
      <c r="M714" t="n">
        <v>0</v>
      </c>
      <c r="N714" t="n">
        <v>0</v>
      </c>
      <c r="O714" t="n">
        <v>0</v>
      </c>
      <c r="P714" t="n">
        <v>0</v>
      </c>
      <c r="Q714" t="n">
        <v>0</v>
      </c>
      <c r="R714" s="2" t="inlineStr"/>
    </row>
    <row r="715" ht="15" customHeight="1">
      <c r="A715" t="inlineStr">
        <is>
          <t>A 56810-2023</t>
        </is>
      </c>
      <c r="B715" s="1" t="n">
        <v>45244</v>
      </c>
      <c r="C715" s="1" t="n">
        <v>45471</v>
      </c>
      <c r="D715" t="inlineStr">
        <is>
          <t>DALARNAS LÄN</t>
        </is>
      </c>
      <c r="E715" t="inlineStr">
        <is>
          <t>LEKSAND</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56812-2023</t>
        </is>
      </c>
      <c r="B716" s="1" t="n">
        <v>45244</v>
      </c>
      <c r="C716" s="1" t="n">
        <v>45471</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57013-2023</t>
        </is>
      </c>
      <c r="B717" s="1" t="n">
        <v>45244</v>
      </c>
      <c r="C717" s="1" t="n">
        <v>45471</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57323-2023</t>
        </is>
      </c>
      <c r="B718" s="1" t="n">
        <v>45245</v>
      </c>
      <c r="C718" s="1" t="n">
        <v>45471</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57106-2023</t>
        </is>
      </c>
      <c r="B719" s="1" t="n">
        <v>45245</v>
      </c>
      <c r="C719" s="1" t="n">
        <v>45471</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57093-2023</t>
        </is>
      </c>
      <c r="B720" s="1" t="n">
        <v>45245</v>
      </c>
      <c r="C720" s="1" t="n">
        <v>45471</v>
      </c>
      <c r="D720" t="inlineStr">
        <is>
          <t>DALARNAS LÄN</t>
        </is>
      </c>
      <c r="E720" t="inlineStr">
        <is>
          <t>LEKSAND</t>
        </is>
      </c>
      <c r="G720" t="n">
        <v>3.3</v>
      </c>
      <c r="H720" t="n">
        <v>0</v>
      </c>
      <c r="I720" t="n">
        <v>0</v>
      </c>
      <c r="J720" t="n">
        <v>0</v>
      </c>
      <c r="K720" t="n">
        <v>0</v>
      </c>
      <c r="L720" t="n">
        <v>0</v>
      </c>
      <c r="M720" t="n">
        <v>0</v>
      </c>
      <c r="N720" t="n">
        <v>0</v>
      </c>
      <c r="O720" t="n">
        <v>0</v>
      </c>
      <c r="P720" t="n">
        <v>0</v>
      </c>
      <c r="Q720" t="n">
        <v>0</v>
      </c>
      <c r="R720" s="2" t="inlineStr"/>
    </row>
    <row r="721" ht="15" customHeight="1">
      <c r="A721" t="inlineStr">
        <is>
          <t>A 57468-2023</t>
        </is>
      </c>
      <c r="B721" s="1" t="n">
        <v>45246</v>
      </c>
      <c r="C721" s="1" t="n">
        <v>45471</v>
      </c>
      <c r="D721" t="inlineStr">
        <is>
          <t>DALARNAS LÄN</t>
        </is>
      </c>
      <c r="E721" t="inlineStr">
        <is>
          <t>LEKSAND</t>
        </is>
      </c>
      <c r="G721" t="n">
        <v>4.6</v>
      </c>
      <c r="H721" t="n">
        <v>0</v>
      </c>
      <c r="I721" t="n">
        <v>0</v>
      </c>
      <c r="J721" t="n">
        <v>0</v>
      </c>
      <c r="K721" t="n">
        <v>0</v>
      </c>
      <c r="L721" t="n">
        <v>0</v>
      </c>
      <c r="M721" t="n">
        <v>0</v>
      </c>
      <c r="N721" t="n">
        <v>0</v>
      </c>
      <c r="O721" t="n">
        <v>0</v>
      </c>
      <c r="P721" t="n">
        <v>0</v>
      </c>
      <c r="Q721" t="n">
        <v>0</v>
      </c>
      <c r="R721" s="2" t="inlineStr"/>
    </row>
    <row r="722" ht="15" customHeight="1">
      <c r="A722" t="inlineStr">
        <is>
          <t>A 57635-2023</t>
        </is>
      </c>
      <c r="B722" s="1" t="n">
        <v>45246</v>
      </c>
      <c r="C722" s="1" t="n">
        <v>45471</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57681-2023</t>
        </is>
      </c>
      <c r="B723" s="1" t="n">
        <v>45246</v>
      </c>
      <c r="C723" s="1" t="n">
        <v>45471</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45471</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57852-2023</t>
        </is>
      </c>
      <c r="B725" s="1" t="n">
        <v>45247</v>
      </c>
      <c r="C725" s="1" t="n">
        <v>45471</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58405-2023</t>
        </is>
      </c>
      <c r="B726" s="1" t="n">
        <v>45250</v>
      </c>
      <c r="C726" s="1" t="n">
        <v>45471</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58402-2023</t>
        </is>
      </c>
      <c r="B727" s="1" t="n">
        <v>45250</v>
      </c>
      <c r="C727" s="1" t="n">
        <v>45471</v>
      </c>
      <c r="D727" t="inlineStr">
        <is>
          <t>DALARNAS LÄN</t>
        </is>
      </c>
      <c r="E727" t="inlineStr">
        <is>
          <t>LEKSAND</t>
        </is>
      </c>
      <c r="G727" t="n">
        <v>4.5</v>
      </c>
      <c r="H727" t="n">
        <v>0</v>
      </c>
      <c r="I727" t="n">
        <v>0</v>
      </c>
      <c r="J727" t="n">
        <v>0</v>
      </c>
      <c r="K727" t="n">
        <v>0</v>
      </c>
      <c r="L727" t="n">
        <v>0</v>
      </c>
      <c r="M727" t="n">
        <v>0</v>
      </c>
      <c r="N727" t="n">
        <v>0</v>
      </c>
      <c r="O727" t="n">
        <v>0</v>
      </c>
      <c r="P727" t="n">
        <v>0</v>
      </c>
      <c r="Q727" t="n">
        <v>0</v>
      </c>
      <c r="R727" s="2" t="inlineStr"/>
    </row>
    <row r="728" ht="15" customHeight="1">
      <c r="A728" t="inlineStr">
        <is>
          <t>A 58495-2023</t>
        </is>
      </c>
      <c r="B728" s="1" t="n">
        <v>45251</v>
      </c>
      <c r="C728" s="1" t="n">
        <v>45471</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58730-2023</t>
        </is>
      </c>
      <c r="B729" s="1" t="n">
        <v>45251</v>
      </c>
      <c r="C729" s="1" t="n">
        <v>45471</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58877-2023</t>
        </is>
      </c>
      <c r="B730" s="1" t="n">
        <v>45252</v>
      </c>
      <c r="C730" s="1" t="n">
        <v>45471</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58950-2023</t>
        </is>
      </c>
      <c r="B731" s="1" t="n">
        <v>45252</v>
      </c>
      <c r="C731" s="1" t="n">
        <v>45471</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58949-2023</t>
        </is>
      </c>
      <c r="B732" s="1" t="n">
        <v>45252</v>
      </c>
      <c r="C732" s="1" t="n">
        <v>45471</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59011-2023</t>
        </is>
      </c>
      <c r="B733" s="1" t="n">
        <v>45252</v>
      </c>
      <c r="C733" s="1" t="n">
        <v>45471</v>
      </c>
      <c r="D733" t="inlineStr">
        <is>
          <t>DALARNAS LÄN</t>
        </is>
      </c>
      <c r="E733" t="inlineStr">
        <is>
          <t>LEKSAND</t>
        </is>
      </c>
      <c r="G733" t="n">
        <v>3.7</v>
      </c>
      <c r="H733" t="n">
        <v>0</v>
      </c>
      <c r="I733" t="n">
        <v>0</v>
      </c>
      <c r="J733" t="n">
        <v>0</v>
      </c>
      <c r="K733" t="n">
        <v>0</v>
      </c>
      <c r="L733" t="n">
        <v>0</v>
      </c>
      <c r="M733" t="n">
        <v>0</v>
      </c>
      <c r="N733" t="n">
        <v>0</v>
      </c>
      <c r="O733" t="n">
        <v>0</v>
      </c>
      <c r="P733" t="n">
        <v>0</v>
      </c>
      <c r="Q733" t="n">
        <v>0</v>
      </c>
      <c r="R733" s="2" t="inlineStr"/>
    </row>
    <row r="734" ht="15" customHeight="1">
      <c r="A734" t="inlineStr">
        <is>
          <t>A 58853-2023</t>
        </is>
      </c>
      <c r="B734" s="1" t="n">
        <v>45252</v>
      </c>
      <c r="C734" s="1" t="n">
        <v>45471</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58880-2023</t>
        </is>
      </c>
      <c r="B735" s="1" t="n">
        <v>45252</v>
      </c>
      <c r="C735" s="1" t="n">
        <v>45471</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59222-2023</t>
        </is>
      </c>
      <c r="B736" s="1" t="n">
        <v>45252</v>
      </c>
      <c r="C736" s="1" t="n">
        <v>45471</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59392-2023</t>
        </is>
      </c>
      <c r="B737" s="1" t="n">
        <v>45253</v>
      </c>
      <c r="C737" s="1" t="n">
        <v>45471</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59562-2023</t>
        </is>
      </c>
      <c r="B738" s="1" t="n">
        <v>45253</v>
      </c>
      <c r="C738" s="1" t="n">
        <v>45471</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59809-2023</t>
        </is>
      </c>
      <c r="B739" s="1" t="n">
        <v>45254</v>
      </c>
      <c r="C739" s="1" t="n">
        <v>45471</v>
      </c>
      <c r="D739" t="inlineStr">
        <is>
          <t>DALARNAS LÄN</t>
        </is>
      </c>
      <c r="E739" t="inlineStr">
        <is>
          <t>LEKSAND</t>
        </is>
      </c>
      <c r="G739" t="n">
        <v>3.9</v>
      </c>
      <c r="H739" t="n">
        <v>0</v>
      </c>
      <c r="I739" t="n">
        <v>0</v>
      </c>
      <c r="J739" t="n">
        <v>0</v>
      </c>
      <c r="K739" t="n">
        <v>0</v>
      </c>
      <c r="L739" t="n">
        <v>0</v>
      </c>
      <c r="M739" t="n">
        <v>0</v>
      </c>
      <c r="N739" t="n">
        <v>0</v>
      </c>
      <c r="O739" t="n">
        <v>0</v>
      </c>
      <c r="P739" t="n">
        <v>0</v>
      </c>
      <c r="Q739" t="n">
        <v>0</v>
      </c>
      <c r="R739" s="2" t="inlineStr"/>
    </row>
    <row r="740" ht="15" customHeight="1">
      <c r="A740" t="inlineStr">
        <is>
          <t>A 59803-2023</t>
        </is>
      </c>
      <c r="B740" s="1" t="n">
        <v>45254</v>
      </c>
      <c r="C740" s="1" t="n">
        <v>45471</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59826-2023</t>
        </is>
      </c>
      <c r="B741" s="1" t="n">
        <v>45254</v>
      </c>
      <c r="C741" s="1" t="n">
        <v>45471</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59673-2023</t>
        </is>
      </c>
      <c r="B742" s="1" t="n">
        <v>45255</v>
      </c>
      <c r="C742" s="1" t="n">
        <v>45471</v>
      </c>
      <c r="D742" t="inlineStr">
        <is>
          <t>DALARNAS LÄN</t>
        </is>
      </c>
      <c r="E742" t="inlineStr">
        <is>
          <t>LEKSAND</t>
        </is>
      </c>
      <c r="G742" t="n">
        <v>12.2</v>
      </c>
      <c r="H742" t="n">
        <v>0</v>
      </c>
      <c r="I742" t="n">
        <v>0</v>
      </c>
      <c r="J742" t="n">
        <v>0</v>
      </c>
      <c r="K742" t="n">
        <v>0</v>
      </c>
      <c r="L742" t="n">
        <v>0</v>
      </c>
      <c r="M742" t="n">
        <v>0</v>
      </c>
      <c r="N742" t="n">
        <v>0</v>
      </c>
      <c r="O742" t="n">
        <v>0</v>
      </c>
      <c r="P742" t="n">
        <v>0</v>
      </c>
      <c r="Q742" t="n">
        <v>0</v>
      </c>
      <c r="R742" s="2" t="inlineStr"/>
    </row>
    <row r="743" ht="15" customHeight="1">
      <c r="A743" t="inlineStr">
        <is>
          <t>A 60042-2023</t>
        </is>
      </c>
      <c r="B743" s="1" t="n">
        <v>45256</v>
      </c>
      <c r="C743" s="1" t="n">
        <v>45471</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60040-2023</t>
        </is>
      </c>
      <c r="B744" s="1" t="n">
        <v>45256</v>
      </c>
      <c r="C744" s="1" t="n">
        <v>45471</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59718-2023</t>
        </is>
      </c>
      <c r="B745" s="1" t="n">
        <v>45257</v>
      </c>
      <c r="C745" s="1" t="n">
        <v>45471</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59763-2023</t>
        </is>
      </c>
      <c r="B746" s="1" t="n">
        <v>45257</v>
      </c>
      <c r="C746" s="1" t="n">
        <v>45471</v>
      </c>
      <c r="D746" t="inlineStr">
        <is>
          <t>DALARNAS LÄN</t>
        </is>
      </c>
      <c r="E746" t="inlineStr">
        <is>
          <t>LEKSAND</t>
        </is>
      </c>
      <c r="G746" t="n">
        <v>1.6</v>
      </c>
      <c r="H746" t="n">
        <v>0</v>
      </c>
      <c r="I746" t="n">
        <v>0</v>
      </c>
      <c r="J746" t="n">
        <v>0</v>
      </c>
      <c r="K746" t="n">
        <v>0</v>
      </c>
      <c r="L746" t="n">
        <v>0</v>
      </c>
      <c r="M746" t="n">
        <v>0</v>
      </c>
      <c r="N746" t="n">
        <v>0</v>
      </c>
      <c r="O746" t="n">
        <v>0</v>
      </c>
      <c r="P746" t="n">
        <v>0</v>
      </c>
      <c r="Q746" t="n">
        <v>0</v>
      </c>
      <c r="R746" s="2" t="inlineStr"/>
    </row>
    <row r="747" ht="15" customHeight="1">
      <c r="A747" t="inlineStr">
        <is>
          <t>A 59859-2023</t>
        </is>
      </c>
      <c r="B747" s="1" t="n">
        <v>45257</v>
      </c>
      <c r="C747" s="1" t="n">
        <v>45471</v>
      </c>
      <c r="D747" t="inlineStr">
        <is>
          <t>DALARNAS LÄN</t>
        </is>
      </c>
      <c r="E747" t="inlineStr">
        <is>
          <t>LEKSAND</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60132-2023</t>
        </is>
      </c>
      <c r="B748" s="1" t="n">
        <v>45258</v>
      </c>
      <c r="C748" s="1" t="n">
        <v>45471</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60024-2023</t>
        </is>
      </c>
      <c r="B749" s="1" t="n">
        <v>45258</v>
      </c>
      <c r="C749" s="1" t="n">
        <v>45471</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ht="15" customHeight="1">
      <c r="A750" t="inlineStr">
        <is>
          <t>A 60028-2023</t>
        </is>
      </c>
      <c r="B750" s="1" t="n">
        <v>45258</v>
      </c>
      <c r="C750" s="1" t="n">
        <v>45471</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60044-2023</t>
        </is>
      </c>
      <c r="B751" s="1" t="n">
        <v>45258</v>
      </c>
      <c r="C751" s="1" t="n">
        <v>45471</v>
      </c>
      <c r="D751" t="inlineStr">
        <is>
          <t>DALARNAS LÄN</t>
        </is>
      </c>
      <c r="E751" t="inlineStr">
        <is>
          <t>LEKSAND</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60080-2023</t>
        </is>
      </c>
      <c r="B752" s="1" t="n">
        <v>45258</v>
      </c>
      <c r="C752" s="1" t="n">
        <v>45471</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60045-2023</t>
        </is>
      </c>
      <c r="B753" s="1" t="n">
        <v>45258</v>
      </c>
      <c r="C753" s="1" t="n">
        <v>45471</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60120-2023</t>
        </is>
      </c>
      <c r="B754" s="1" t="n">
        <v>45258</v>
      </c>
      <c r="C754" s="1" t="n">
        <v>45471</v>
      </c>
      <c r="D754" t="inlineStr">
        <is>
          <t>DALARNAS LÄN</t>
        </is>
      </c>
      <c r="E754" t="inlineStr">
        <is>
          <t>LEKSAND</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60129-2023</t>
        </is>
      </c>
      <c r="B755" s="1" t="n">
        <v>45258</v>
      </c>
      <c r="C755" s="1" t="n">
        <v>45471</v>
      </c>
      <c r="D755" t="inlineStr">
        <is>
          <t>DALARNAS LÄN</t>
        </is>
      </c>
      <c r="E755" t="inlineStr">
        <is>
          <t>LEKSAND</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60189-2023</t>
        </is>
      </c>
      <c r="B756" s="1" t="n">
        <v>45258</v>
      </c>
      <c r="C756" s="1" t="n">
        <v>45471</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60310-2023</t>
        </is>
      </c>
      <c r="B757" s="1" t="n">
        <v>45258</v>
      </c>
      <c r="C757" s="1" t="n">
        <v>45471</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60309-2023</t>
        </is>
      </c>
      <c r="B758" s="1" t="n">
        <v>45258</v>
      </c>
      <c r="C758" s="1" t="n">
        <v>45471</v>
      </c>
      <c r="D758" t="inlineStr">
        <is>
          <t>DALARNAS LÄN</t>
        </is>
      </c>
      <c r="E758" t="inlineStr">
        <is>
          <t>LEKSAND</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60315-2023</t>
        </is>
      </c>
      <c r="B759" s="1" t="n">
        <v>45258</v>
      </c>
      <c r="C759" s="1" t="n">
        <v>45471</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60546-2023</t>
        </is>
      </c>
      <c r="B760" s="1" t="n">
        <v>45259</v>
      </c>
      <c r="C760" s="1" t="n">
        <v>45471</v>
      </c>
      <c r="D760" t="inlineStr">
        <is>
          <t>DALARNAS LÄN</t>
        </is>
      </c>
      <c r="E760" t="inlineStr">
        <is>
          <t>LEKSAND</t>
        </is>
      </c>
      <c r="G760" t="n">
        <v>6.6</v>
      </c>
      <c r="H760" t="n">
        <v>0</v>
      </c>
      <c r="I760" t="n">
        <v>0</v>
      </c>
      <c r="J760" t="n">
        <v>0</v>
      </c>
      <c r="K760" t="n">
        <v>0</v>
      </c>
      <c r="L760" t="n">
        <v>0</v>
      </c>
      <c r="M760" t="n">
        <v>0</v>
      </c>
      <c r="N760" t="n">
        <v>0</v>
      </c>
      <c r="O760" t="n">
        <v>0</v>
      </c>
      <c r="P760" t="n">
        <v>0</v>
      </c>
      <c r="Q760" t="n">
        <v>0</v>
      </c>
      <c r="R760" s="2" t="inlineStr"/>
    </row>
    <row r="761" ht="15" customHeight="1">
      <c r="A761" t="inlineStr">
        <is>
          <t>A 60878-2023</t>
        </is>
      </c>
      <c r="B761" s="1" t="n">
        <v>45259</v>
      </c>
      <c r="C761" s="1" t="n">
        <v>45471</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60692-2023</t>
        </is>
      </c>
      <c r="B762" s="1" t="n">
        <v>45260</v>
      </c>
      <c r="C762" s="1" t="n">
        <v>45471</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60755-2023</t>
        </is>
      </c>
      <c r="B763" s="1" t="n">
        <v>45260</v>
      </c>
      <c r="C763" s="1" t="n">
        <v>45471</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61208-2023</t>
        </is>
      </c>
      <c r="B764" s="1" t="n">
        <v>45260</v>
      </c>
      <c r="C764" s="1" t="n">
        <v>45471</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61244-2023</t>
        </is>
      </c>
      <c r="B765" s="1" t="n">
        <v>45260</v>
      </c>
      <c r="C765" s="1" t="n">
        <v>45471</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60873-2023</t>
        </is>
      </c>
      <c r="B766" s="1" t="n">
        <v>45261</v>
      </c>
      <c r="C766" s="1" t="n">
        <v>45471</v>
      </c>
      <c r="D766" t="inlineStr">
        <is>
          <t>DALARNAS LÄN</t>
        </is>
      </c>
      <c r="E766" t="inlineStr">
        <is>
          <t>LEKSAND</t>
        </is>
      </c>
      <c r="G766" t="n">
        <v>5.2</v>
      </c>
      <c r="H766" t="n">
        <v>0</v>
      </c>
      <c r="I766" t="n">
        <v>0</v>
      </c>
      <c r="J766" t="n">
        <v>0</v>
      </c>
      <c r="K766" t="n">
        <v>0</v>
      </c>
      <c r="L766" t="n">
        <v>0</v>
      </c>
      <c r="M766" t="n">
        <v>0</v>
      </c>
      <c r="N766" t="n">
        <v>0</v>
      </c>
      <c r="O766" t="n">
        <v>0</v>
      </c>
      <c r="P766" t="n">
        <v>0</v>
      </c>
      <c r="Q766" t="n">
        <v>0</v>
      </c>
      <c r="R766" s="2" t="inlineStr"/>
    </row>
    <row r="767" ht="15" customHeight="1">
      <c r="A767" t="inlineStr">
        <is>
          <t>A 61052-2023</t>
        </is>
      </c>
      <c r="B767" s="1" t="n">
        <v>45261</v>
      </c>
      <c r="C767" s="1" t="n">
        <v>45471</v>
      </c>
      <c r="D767" t="inlineStr">
        <is>
          <t>DALARNAS LÄN</t>
        </is>
      </c>
      <c r="E767" t="inlineStr">
        <is>
          <t>LEKSAND</t>
        </is>
      </c>
      <c r="G767" t="n">
        <v>8.6</v>
      </c>
      <c r="H767" t="n">
        <v>0</v>
      </c>
      <c r="I767" t="n">
        <v>0</v>
      </c>
      <c r="J767" t="n">
        <v>0</v>
      </c>
      <c r="K767" t="n">
        <v>0</v>
      </c>
      <c r="L767" t="n">
        <v>0</v>
      </c>
      <c r="M767" t="n">
        <v>0</v>
      </c>
      <c r="N767" t="n">
        <v>0</v>
      </c>
      <c r="O767" t="n">
        <v>0</v>
      </c>
      <c r="P767" t="n">
        <v>0</v>
      </c>
      <c r="Q767" t="n">
        <v>0</v>
      </c>
      <c r="R767" s="2" t="inlineStr"/>
    </row>
    <row r="768" ht="15" customHeight="1">
      <c r="A768" t="inlineStr">
        <is>
          <t>A 61056-2023</t>
        </is>
      </c>
      <c r="B768" s="1" t="n">
        <v>45261</v>
      </c>
      <c r="C768" s="1" t="n">
        <v>45471</v>
      </c>
      <c r="D768" t="inlineStr">
        <is>
          <t>DALARNAS LÄN</t>
        </is>
      </c>
      <c r="E768" t="inlineStr">
        <is>
          <t>LEKSAND</t>
        </is>
      </c>
      <c r="G768" t="n">
        <v>0.3</v>
      </c>
      <c r="H768" t="n">
        <v>0</v>
      </c>
      <c r="I768" t="n">
        <v>0</v>
      </c>
      <c r="J768" t="n">
        <v>0</v>
      </c>
      <c r="K768" t="n">
        <v>0</v>
      </c>
      <c r="L768" t="n">
        <v>0</v>
      </c>
      <c r="M768" t="n">
        <v>0</v>
      </c>
      <c r="N768" t="n">
        <v>0</v>
      </c>
      <c r="O768" t="n">
        <v>0</v>
      </c>
      <c r="P768" t="n">
        <v>0</v>
      </c>
      <c r="Q768" t="n">
        <v>0</v>
      </c>
      <c r="R768" s="2" t="inlineStr"/>
    </row>
    <row r="769" ht="15" customHeight="1">
      <c r="A769" t="inlineStr">
        <is>
          <t>A 61054-2023</t>
        </is>
      </c>
      <c r="B769" s="1" t="n">
        <v>45261</v>
      </c>
      <c r="C769" s="1" t="n">
        <v>45471</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61055-2023</t>
        </is>
      </c>
      <c r="B770" s="1" t="n">
        <v>45261</v>
      </c>
      <c r="C770" s="1" t="n">
        <v>45471</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61252-2023</t>
        </is>
      </c>
      <c r="B771" s="1" t="n">
        <v>45261</v>
      </c>
      <c r="C771" s="1" t="n">
        <v>45471</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61617-2023</t>
        </is>
      </c>
      <c r="B772" s="1" t="n">
        <v>45261</v>
      </c>
      <c r="C772" s="1" t="n">
        <v>45471</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61637-2023</t>
        </is>
      </c>
      <c r="B773" s="1" t="n">
        <v>45261</v>
      </c>
      <c r="C773" s="1" t="n">
        <v>45471</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61614-2023</t>
        </is>
      </c>
      <c r="B774" s="1" t="n">
        <v>45261</v>
      </c>
      <c r="C774" s="1" t="n">
        <v>45471</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61627-2023</t>
        </is>
      </c>
      <c r="B775" s="1" t="n">
        <v>45261</v>
      </c>
      <c r="C775" s="1" t="n">
        <v>45471</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61225-2023</t>
        </is>
      </c>
      <c r="B776" s="1" t="n">
        <v>45264</v>
      </c>
      <c r="C776" s="1" t="n">
        <v>45471</v>
      </c>
      <c r="D776" t="inlineStr">
        <is>
          <t>DALARNAS LÄN</t>
        </is>
      </c>
      <c r="E776" t="inlineStr">
        <is>
          <t>LEKSAND</t>
        </is>
      </c>
      <c r="G776" t="n">
        <v>7</v>
      </c>
      <c r="H776" t="n">
        <v>0</v>
      </c>
      <c r="I776" t="n">
        <v>0</v>
      </c>
      <c r="J776" t="n">
        <v>0</v>
      </c>
      <c r="K776" t="n">
        <v>0</v>
      </c>
      <c r="L776" t="n">
        <v>0</v>
      </c>
      <c r="M776" t="n">
        <v>0</v>
      </c>
      <c r="N776" t="n">
        <v>0</v>
      </c>
      <c r="O776" t="n">
        <v>0</v>
      </c>
      <c r="P776" t="n">
        <v>0</v>
      </c>
      <c r="Q776" t="n">
        <v>0</v>
      </c>
      <c r="R776" s="2" t="inlineStr"/>
    </row>
    <row r="777" ht="15" customHeight="1">
      <c r="A777" t="inlineStr">
        <is>
          <t>A 61502-2023</t>
        </is>
      </c>
      <c r="B777" s="1" t="n">
        <v>45264</v>
      </c>
      <c r="C777" s="1" t="n">
        <v>45471</v>
      </c>
      <c r="D777" t="inlineStr">
        <is>
          <t>DALARNAS LÄN</t>
        </is>
      </c>
      <c r="E777" t="inlineStr">
        <is>
          <t>LEKSAND</t>
        </is>
      </c>
      <c r="G777" t="n">
        <v>5.2</v>
      </c>
      <c r="H777" t="n">
        <v>0</v>
      </c>
      <c r="I777" t="n">
        <v>0</v>
      </c>
      <c r="J777" t="n">
        <v>0</v>
      </c>
      <c r="K777" t="n">
        <v>0</v>
      </c>
      <c r="L777" t="n">
        <v>0</v>
      </c>
      <c r="M777" t="n">
        <v>0</v>
      </c>
      <c r="N777" t="n">
        <v>0</v>
      </c>
      <c r="O777" t="n">
        <v>0</v>
      </c>
      <c r="P777" t="n">
        <v>0</v>
      </c>
      <c r="Q777" t="n">
        <v>0</v>
      </c>
      <c r="R777" s="2" t="inlineStr"/>
    </row>
    <row r="778" ht="15" customHeight="1">
      <c r="A778" t="inlineStr">
        <is>
          <t>A 61652-2023</t>
        </is>
      </c>
      <c r="B778" s="1" t="n">
        <v>45265</v>
      </c>
      <c r="C778" s="1" t="n">
        <v>45471</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61598-2023</t>
        </is>
      </c>
      <c r="B779" s="1" t="n">
        <v>45265</v>
      </c>
      <c r="C779" s="1" t="n">
        <v>45471</v>
      </c>
      <c r="D779" t="inlineStr">
        <is>
          <t>DALARNAS LÄN</t>
        </is>
      </c>
      <c r="E779" t="inlineStr">
        <is>
          <t>LEKSAND</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61633-2023</t>
        </is>
      </c>
      <c r="B780" s="1" t="n">
        <v>45265</v>
      </c>
      <c r="C780" s="1" t="n">
        <v>45471</v>
      </c>
      <c r="D780" t="inlineStr">
        <is>
          <t>DALARNAS LÄN</t>
        </is>
      </c>
      <c r="E780" t="inlineStr">
        <is>
          <t>LEKSAND</t>
        </is>
      </c>
      <c r="G780" t="n">
        <v>5.3</v>
      </c>
      <c r="H780" t="n">
        <v>0</v>
      </c>
      <c r="I780" t="n">
        <v>0</v>
      </c>
      <c r="J780" t="n">
        <v>0</v>
      </c>
      <c r="K780" t="n">
        <v>0</v>
      </c>
      <c r="L780" t="n">
        <v>0</v>
      </c>
      <c r="M780" t="n">
        <v>0</v>
      </c>
      <c r="N780" t="n">
        <v>0</v>
      </c>
      <c r="O780" t="n">
        <v>0</v>
      </c>
      <c r="P780" t="n">
        <v>0</v>
      </c>
      <c r="Q780" t="n">
        <v>0</v>
      </c>
      <c r="R780" s="2" t="inlineStr"/>
    </row>
    <row r="781" ht="15" customHeight="1">
      <c r="A781" t="inlineStr">
        <is>
          <t>A 61910-2023</t>
        </is>
      </c>
      <c r="B781" s="1" t="n">
        <v>45266</v>
      </c>
      <c r="C781" s="1" t="n">
        <v>45471</v>
      </c>
      <c r="D781" t="inlineStr">
        <is>
          <t>DALARNAS LÄN</t>
        </is>
      </c>
      <c r="E781" t="inlineStr">
        <is>
          <t>LEKSAND</t>
        </is>
      </c>
      <c r="G781" t="n">
        <v>7.3</v>
      </c>
      <c r="H781" t="n">
        <v>0</v>
      </c>
      <c r="I781" t="n">
        <v>0</v>
      </c>
      <c r="J781" t="n">
        <v>0</v>
      </c>
      <c r="K781" t="n">
        <v>0</v>
      </c>
      <c r="L781" t="n">
        <v>0</v>
      </c>
      <c r="M781" t="n">
        <v>0</v>
      </c>
      <c r="N781" t="n">
        <v>0</v>
      </c>
      <c r="O781" t="n">
        <v>0</v>
      </c>
      <c r="P781" t="n">
        <v>0</v>
      </c>
      <c r="Q781" t="n">
        <v>0</v>
      </c>
      <c r="R781" s="2" t="inlineStr"/>
    </row>
    <row r="782" ht="15" customHeight="1">
      <c r="A782" t="inlineStr">
        <is>
          <t>A 61933-2023</t>
        </is>
      </c>
      <c r="B782" s="1" t="n">
        <v>45266</v>
      </c>
      <c r="C782" s="1" t="n">
        <v>45471</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61953-2023</t>
        </is>
      </c>
      <c r="B783" s="1" t="n">
        <v>45266</v>
      </c>
      <c r="C783" s="1" t="n">
        <v>45471</v>
      </c>
      <c r="D783" t="inlineStr">
        <is>
          <t>DALARNAS LÄN</t>
        </is>
      </c>
      <c r="E783" t="inlineStr">
        <is>
          <t>LEKSAND</t>
        </is>
      </c>
      <c r="G783" t="n">
        <v>0.1</v>
      </c>
      <c r="H783" t="n">
        <v>0</v>
      </c>
      <c r="I783" t="n">
        <v>0</v>
      </c>
      <c r="J783" t="n">
        <v>0</v>
      </c>
      <c r="K783" t="n">
        <v>0</v>
      </c>
      <c r="L783" t="n">
        <v>0</v>
      </c>
      <c r="M783" t="n">
        <v>0</v>
      </c>
      <c r="N783" t="n">
        <v>0</v>
      </c>
      <c r="O783" t="n">
        <v>0</v>
      </c>
      <c r="P783" t="n">
        <v>0</v>
      </c>
      <c r="Q783" t="n">
        <v>0</v>
      </c>
      <c r="R783" s="2" t="inlineStr"/>
    </row>
    <row r="784" ht="15" customHeight="1">
      <c r="A784" t="inlineStr">
        <is>
          <t>A 61957-2023</t>
        </is>
      </c>
      <c r="B784" s="1" t="n">
        <v>45266</v>
      </c>
      <c r="C784" s="1" t="n">
        <v>45471</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61938-2023</t>
        </is>
      </c>
      <c r="B785" s="1" t="n">
        <v>45266</v>
      </c>
      <c r="C785" s="1" t="n">
        <v>45471</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61950-2023</t>
        </is>
      </c>
      <c r="B786" s="1" t="n">
        <v>45266</v>
      </c>
      <c r="C786" s="1" t="n">
        <v>45471</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61884-2023</t>
        </is>
      </c>
      <c r="B787" s="1" t="n">
        <v>45266</v>
      </c>
      <c r="C787" s="1" t="n">
        <v>45471</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62306-2023</t>
        </is>
      </c>
      <c r="B788" s="1" t="n">
        <v>45266</v>
      </c>
      <c r="C788" s="1" t="n">
        <v>45471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62307-2023</t>
        </is>
      </c>
      <c r="B789" s="1" t="n">
        <v>45266</v>
      </c>
      <c r="C789" s="1" t="n">
        <v>45471</v>
      </c>
      <c r="D789" t="inlineStr">
        <is>
          <t>DALARNAS LÄN</t>
        </is>
      </c>
      <c r="E789" t="inlineStr">
        <is>
          <t>LEKSAND</t>
        </is>
      </c>
      <c r="G789" t="n">
        <v>3.9</v>
      </c>
      <c r="H789" t="n">
        <v>0</v>
      </c>
      <c r="I789" t="n">
        <v>0</v>
      </c>
      <c r="J789" t="n">
        <v>0</v>
      </c>
      <c r="K789" t="n">
        <v>0</v>
      </c>
      <c r="L789" t="n">
        <v>0</v>
      </c>
      <c r="M789" t="n">
        <v>0</v>
      </c>
      <c r="N789" t="n">
        <v>0</v>
      </c>
      <c r="O789" t="n">
        <v>0</v>
      </c>
      <c r="P789" t="n">
        <v>0</v>
      </c>
      <c r="Q789" t="n">
        <v>0</v>
      </c>
      <c r="R789" s="2" t="inlineStr"/>
    </row>
    <row r="790" ht="15" customHeight="1">
      <c r="A790" t="inlineStr">
        <is>
          <t>A 62133-2023</t>
        </is>
      </c>
      <c r="B790" s="1" t="n">
        <v>45267</v>
      </c>
      <c r="C790" s="1" t="n">
        <v>45471</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62295-2023</t>
        </is>
      </c>
      <c r="B791" s="1" t="n">
        <v>45267</v>
      </c>
      <c r="C791" s="1" t="n">
        <v>45471</v>
      </c>
      <c r="D791" t="inlineStr">
        <is>
          <t>DALARNAS LÄN</t>
        </is>
      </c>
      <c r="E791" t="inlineStr">
        <is>
          <t>LEKSAND</t>
        </is>
      </c>
      <c r="G791" t="n">
        <v>2.5</v>
      </c>
      <c r="H791" t="n">
        <v>0</v>
      </c>
      <c r="I791" t="n">
        <v>0</v>
      </c>
      <c r="J791" t="n">
        <v>0</v>
      </c>
      <c r="K791" t="n">
        <v>0</v>
      </c>
      <c r="L791" t="n">
        <v>0</v>
      </c>
      <c r="M791" t="n">
        <v>0</v>
      </c>
      <c r="N791" t="n">
        <v>0</v>
      </c>
      <c r="O791" t="n">
        <v>0</v>
      </c>
      <c r="P791" t="n">
        <v>0</v>
      </c>
      <c r="Q791" t="n">
        <v>0</v>
      </c>
      <c r="R791" s="2" t="inlineStr"/>
    </row>
    <row r="792" ht="15" customHeight="1">
      <c r="A792" t="inlineStr">
        <is>
          <t>A 62305-2023</t>
        </is>
      </c>
      <c r="B792" s="1" t="n">
        <v>45267</v>
      </c>
      <c r="C792" s="1" t="n">
        <v>45471</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62587-2023</t>
        </is>
      </c>
      <c r="B793" s="1" t="n">
        <v>45270</v>
      </c>
      <c r="C793" s="1" t="n">
        <v>45471</v>
      </c>
      <c r="D793" t="inlineStr">
        <is>
          <t>DALARNAS LÄN</t>
        </is>
      </c>
      <c r="E793" t="inlineStr">
        <is>
          <t>LEKSAND</t>
        </is>
      </c>
      <c r="G793" t="n">
        <v>4.8</v>
      </c>
      <c r="H793" t="n">
        <v>0</v>
      </c>
      <c r="I793" t="n">
        <v>0</v>
      </c>
      <c r="J793" t="n">
        <v>0</v>
      </c>
      <c r="K793" t="n">
        <v>0</v>
      </c>
      <c r="L793" t="n">
        <v>0</v>
      </c>
      <c r="M793" t="n">
        <v>0</v>
      </c>
      <c r="N793" t="n">
        <v>0</v>
      </c>
      <c r="O793" t="n">
        <v>0</v>
      </c>
      <c r="P793" t="n">
        <v>0</v>
      </c>
      <c r="Q793" t="n">
        <v>0</v>
      </c>
      <c r="R793" s="2" t="inlineStr"/>
    </row>
    <row r="794" ht="15" customHeight="1">
      <c r="A794" t="inlineStr">
        <is>
          <t>A 62863-2023</t>
        </is>
      </c>
      <c r="B794" s="1" t="n">
        <v>45272</v>
      </c>
      <c r="C794" s="1" t="n">
        <v>45471</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62993-2023</t>
        </is>
      </c>
      <c r="B795" s="1" t="n">
        <v>45272</v>
      </c>
      <c r="C795" s="1" t="n">
        <v>45471</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63105-2023</t>
        </is>
      </c>
      <c r="B796" s="1" t="n">
        <v>45273</v>
      </c>
      <c r="C796" s="1" t="n">
        <v>45471</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63107-2023</t>
        </is>
      </c>
      <c r="B797" s="1" t="n">
        <v>45273</v>
      </c>
      <c r="C797" s="1" t="n">
        <v>45471</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63514-2023</t>
        </is>
      </c>
      <c r="B798" s="1" t="n">
        <v>45274</v>
      </c>
      <c r="C798" s="1" t="n">
        <v>45471</v>
      </c>
      <c r="D798" t="inlineStr">
        <is>
          <t>DALARNAS LÄN</t>
        </is>
      </c>
      <c r="E798" t="inlineStr">
        <is>
          <t>LEKSAND</t>
        </is>
      </c>
      <c r="G798" t="n">
        <v>1</v>
      </c>
      <c r="H798" t="n">
        <v>0</v>
      </c>
      <c r="I798" t="n">
        <v>0</v>
      </c>
      <c r="J798" t="n">
        <v>0</v>
      </c>
      <c r="K798" t="n">
        <v>0</v>
      </c>
      <c r="L798" t="n">
        <v>0</v>
      </c>
      <c r="M798" t="n">
        <v>0</v>
      </c>
      <c r="N798" t="n">
        <v>0</v>
      </c>
      <c r="O798" t="n">
        <v>0</v>
      </c>
      <c r="P798" t="n">
        <v>0</v>
      </c>
      <c r="Q798" t="n">
        <v>0</v>
      </c>
      <c r="R798" s="2" t="inlineStr"/>
    </row>
    <row r="799" ht="15" customHeight="1">
      <c r="A799" t="inlineStr">
        <is>
          <t>A 63513-2023</t>
        </is>
      </c>
      <c r="B799" s="1" t="n">
        <v>45274</v>
      </c>
      <c r="C799" s="1" t="n">
        <v>45471</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63544-2023</t>
        </is>
      </c>
      <c r="B800" s="1" t="n">
        <v>45275</v>
      </c>
      <c r="C800" s="1" t="n">
        <v>45471</v>
      </c>
      <c r="D800" t="inlineStr">
        <is>
          <t>DALARNAS LÄN</t>
        </is>
      </c>
      <c r="E800" t="inlineStr">
        <is>
          <t>LEKSAND</t>
        </is>
      </c>
      <c r="G800" t="n">
        <v>0.3</v>
      </c>
      <c r="H800" t="n">
        <v>0</v>
      </c>
      <c r="I800" t="n">
        <v>0</v>
      </c>
      <c r="J800" t="n">
        <v>0</v>
      </c>
      <c r="K800" t="n">
        <v>0</v>
      </c>
      <c r="L800" t="n">
        <v>0</v>
      </c>
      <c r="M800" t="n">
        <v>0</v>
      </c>
      <c r="N800" t="n">
        <v>0</v>
      </c>
      <c r="O800" t="n">
        <v>0</v>
      </c>
      <c r="P800" t="n">
        <v>0</v>
      </c>
      <c r="Q800" t="n">
        <v>0</v>
      </c>
      <c r="R800" s="2" t="inlineStr"/>
    </row>
    <row r="801" ht="15" customHeight="1">
      <c r="A801" t="inlineStr">
        <is>
          <t>A 63548-2023</t>
        </is>
      </c>
      <c r="B801" s="1" t="n">
        <v>45275</v>
      </c>
      <c r="C801" s="1" t="n">
        <v>45471</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64146-2023</t>
        </is>
      </c>
      <c r="B802" s="1" t="n">
        <v>45279</v>
      </c>
      <c r="C802" s="1" t="n">
        <v>45471</v>
      </c>
      <c r="D802" t="inlineStr">
        <is>
          <t>DALARNAS LÄN</t>
        </is>
      </c>
      <c r="E802" t="inlineStr">
        <is>
          <t>LEKSAND</t>
        </is>
      </c>
      <c r="G802" t="n">
        <v>4.3</v>
      </c>
      <c r="H802" t="n">
        <v>0</v>
      </c>
      <c r="I802" t="n">
        <v>0</v>
      </c>
      <c r="J802" t="n">
        <v>0</v>
      </c>
      <c r="K802" t="n">
        <v>0</v>
      </c>
      <c r="L802" t="n">
        <v>0</v>
      </c>
      <c r="M802" t="n">
        <v>0</v>
      </c>
      <c r="N802" t="n">
        <v>0</v>
      </c>
      <c r="O802" t="n">
        <v>0</v>
      </c>
      <c r="P802" t="n">
        <v>0</v>
      </c>
      <c r="Q802" t="n">
        <v>0</v>
      </c>
      <c r="R802" s="2" t="inlineStr"/>
    </row>
    <row r="803" ht="15" customHeight="1">
      <c r="A803" t="inlineStr">
        <is>
          <t>A 64418-2023</t>
        </is>
      </c>
      <c r="B803" s="1" t="n">
        <v>45280</v>
      </c>
      <c r="C803" s="1" t="n">
        <v>45471</v>
      </c>
      <c r="D803" t="inlineStr">
        <is>
          <t>DALARNAS LÄN</t>
        </is>
      </c>
      <c r="E803" t="inlineStr">
        <is>
          <t>LEKSAND</t>
        </is>
      </c>
      <c r="G803" t="n">
        <v>3.4</v>
      </c>
      <c r="H803" t="n">
        <v>0</v>
      </c>
      <c r="I803" t="n">
        <v>0</v>
      </c>
      <c r="J803" t="n">
        <v>0</v>
      </c>
      <c r="K803" t="n">
        <v>0</v>
      </c>
      <c r="L803" t="n">
        <v>0</v>
      </c>
      <c r="M803" t="n">
        <v>0</v>
      </c>
      <c r="N803" t="n">
        <v>0</v>
      </c>
      <c r="O803" t="n">
        <v>0</v>
      </c>
      <c r="P803" t="n">
        <v>0</v>
      </c>
      <c r="Q803" t="n">
        <v>0</v>
      </c>
      <c r="R803" s="2" t="inlineStr"/>
    </row>
    <row r="804" ht="15" customHeight="1">
      <c r="A804" t="inlineStr">
        <is>
          <t>A 64516-2023</t>
        </is>
      </c>
      <c r="B804" s="1" t="n">
        <v>45280</v>
      </c>
      <c r="C804" s="1" t="n">
        <v>45471</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64515-2023</t>
        </is>
      </c>
      <c r="B805" s="1" t="n">
        <v>45280</v>
      </c>
      <c r="C805" s="1" t="n">
        <v>45471</v>
      </c>
      <c r="D805" t="inlineStr">
        <is>
          <t>DALARNAS LÄN</t>
        </is>
      </c>
      <c r="E805" t="inlineStr">
        <is>
          <t>LEKSAND</t>
        </is>
      </c>
      <c r="G805" t="n">
        <v>9.1</v>
      </c>
      <c r="H805" t="n">
        <v>0</v>
      </c>
      <c r="I805" t="n">
        <v>0</v>
      </c>
      <c r="J805" t="n">
        <v>0</v>
      </c>
      <c r="K805" t="n">
        <v>0</v>
      </c>
      <c r="L805" t="n">
        <v>0</v>
      </c>
      <c r="M805" t="n">
        <v>0</v>
      </c>
      <c r="N805" t="n">
        <v>0</v>
      </c>
      <c r="O805" t="n">
        <v>0</v>
      </c>
      <c r="P805" t="n">
        <v>0</v>
      </c>
      <c r="Q805" t="n">
        <v>0</v>
      </c>
      <c r="R805" s="2" t="inlineStr"/>
    </row>
    <row r="806" ht="15" customHeight="1">
      <c r="A806" t="inlineStr">
        <is>
          <t>A 64677-2023</t>
        </is>
      </c>
      <c r="B806" s="1" t="n">
        <v>45281</v>
      </c>
      <c r="C806" s="1" t="n">
        <v>45471</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64612-2023</t>
        </is>
      </c>
      <c r="B807" s="1" t="n">
        <v>45281</v>
      </c>
      <c r="C807" s="1" t="n">
        <v>45471</v>
      </c>
      <c r="D807" t="inlineStr">
        <is>
          <t>DALARNAS LÄN</t>
        </is>
      </c>
      <c r="E807" t="inlineStr">
        <is>
          <t>LEKSAND</t>
        </is>
      </c>
      <c r="G807" t="n">
        <v>3.6</v>
      </c>
      <c r="H807" t="n">
        <v>0</v>
      </c>
      <c r="I807" t="n">
        <v>0</v>
      </c>
      <c r="J807" t="n">
        <v>0</v>
      </c>
      <c r="K807" t="n">
        <v>0</v>
      </c>
      <c r="L807" t="n">
        <v>0</v>
      </c>
      <c r="M807" t="n">
        <v>0</v>
      </c>
      <c r="N807" t="n">
        <v>0</v>
      </c>
      <c r="O807" t="n">
        <v>0</v>
      </c>
      <c r="P807" t="n">
        <v>0</v>
      </c>
      <c r="Q807" t="n">
        <v>0</v>
      </c>
      <c r="R807" s="2" t="inlineStr"/>
    </row>
    <row r="808" ht="15" customHeight="1">
      <c r="A808" t="inlineStr">
        <is>
          <t>A 64867-2023</t>
        </is>
      </c>
      <c r="B808" s="1" t="n">
        <v>45282</v>
      </c>
      <c r="C808" s="1" t="n">
        <v>45471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64931-2023</t>
        </is>
      </c>
      <c r="B809" s="1" t="n">
        <v>45282</v>
      </c>
      <c r="C809" s="1" t="n">
        <v>45471</v>
      </c>
      <c r="D809" t="inlineStr">
        <is>
          <t>DALARNAS LÄN</t>
        </is>
      </c>
      <c r="E809" t="inlineStr">
        <is>
          <t>LEKSAND</t>
        </is>
      </c>
      <c r="G809" t="n">
        <v>6.3</v>
      </c>
      <c r="H809" t="n">
        <v>0</v>
      </c>
      <c r="I809" t="n">
        <v>0</v>
      </c>
      <c r="J809" t="n">
        <v>0</v>
      </c>
      <c r="K809" t="n">
        <v>0</v>
      </c>
      <c r="L809" t="n">
        <v>0</v>
      </c>
      <c r="M809" t="n">
        <v>0</v>
      </c>
      <c r="N809" t="n">
        <v>0</v>
      </c>
      <c r="O809" t="n">
        <v>0</v>
      </c>
      <c r="P809" t="n">
        <v>0</v>
      </c>
      <c r="Q809" t="n">
        <v>0</v>
      </c>
      <c r="R809" s="2" t="inlineStr"/>
    </row>
    <row r="810" ht="15" customHeight="1">
      <c r="A810" t="inlineStr">
        <is>
          <t>A 64933-2023</t>
        </is>
      </c>
      <c r="B810" s="1" t="n">
        <v>45282</v>
      </c>
      <c r="C810" s="1" t="n">
        <v>45471</v>
      </c>
      <c r="D810" t="inlineStr">
        <is>
          <t>DALARNAS LÄN</t>
        </is>
      </c>
      <c r="E810" t="inlineStr">
        <is>
          <t>LEKSAND</t>
        </is>
      </c>
      <c r="G810" t="n">
        <v>2.3</v>
      </c>
      <c r="H810" t="n">
        <v>0</v>
      </c>
      <c r="I810" t="n">
        <v>0</v>
      </c>
      <c r="J810" t="n">
        <v>0</v>
      </c>
      <c r="K810" t="n">
        <v>0</v>
      </c>
      <c r="L810" t="n">
        <v>0</v>
      </c>
      <c r="M810" t="n">
        <v>0</v>
      </c>
      <c r="N810" t="n">
        <v>0</v>
      </c>
      <c r="O810" t="n">
        <v>0</v>
      </c>
      <c r="P810" t="n">
        <v>0</v>
      </c>
      <c r="Q810" t="n">
        <v>0</v>
      </c>
      <c r="R810" s="2" t="inlineStr"/>
    </row>
    <row r="811" ht="15" customHeight="1">
      <c r="A811" t="inlineStr">
        <is>
          <t>A 65047-2023</t>
        </is>
      </c>
      <c r="B811" s="1" t="n">
        <v>45283</v>
      </c>
      <c r="C811" s="1" t="n">
        <v>45471</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23-2024</t>
        </is>
      </c>
      <c r="B812" s="1" t="n">
        <v>45293</v>
      </c>
      <c r="C812" s="1" t="n">
        <v>45471</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45471</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121-2024</t>
        </is>
      </c>
      <c r="B814" s="1" t="n">
        <v>45294</v>
      </c>
      <c r="C814" s="1" t="n">
        <v>45471</v>
      </c>
      <c r="D814" t="inlineStr">
        <is>
          <t>DALARNAS LÄN</t>
        </is>
      </c>
      <c r="E814" t="inlineStr">
        <is>
          <t>LEKSAND</t>
        </is>
      </c>
      <c r="G814" t="n">
        <v>8.6</v>
      </c>
      <c r="H814" t="n">
        <v>0</v>
      </c>
      <c r="I814" t="n">
        <v>0</v>
      </c>
      <c r="J814" t="n">
        <v>0</v>
      </c>
      <c r="K814" t="n">
        <v>0</v>
      </c>
      <c r="L814" t="n">
        <v>0</v>
      </c>
      <c r="M814" t="n">
        <v>0</v>
      </c>
      <c r="N814" t="n">
        <v>0</v>
      </c>
      <c r="O814" t="n">
        <v>0</v>
      </c>
      <c r="P814" t="n">
        <v>0</v>
      </c>
      <c r="Q814" t="n">
        <v>0</v>
      </c>
      <c r="R814" s="2" t="inlineStr"/>
    </row>
    <row r="815" ht="15" customHeight="1">
      <c r="A815" t="inlineStr">
        <is>
          <t>A 402-2024</t>
        </is>
      </c>
      <c r="B815" s="1" t="n">
        <v>45296</v>
      </c>
      <c r="C815" s="1" t="n">
        <v>45471</v>
      </c>
      <c r="D815" t="inlineStr">
        <is>
          <t>DALARNAS LÄN</t>
        </is>
      </c>
      <c r="E815" t="inlineStr">
        <is>
          <t>LEKSAND</t>
        </is>
      </c>
      <c r="G815" t="n">
        <v>1.5</v>
      </c>
      <c r="H815" t="n">
        <v>0</v>
      </c>
      <c r="I815" t="n">
        <v>0</v>
      </c>
      <c r="J815" t="n">
        <v>0</v>
      </c>
      <c r="K815" t="n">
        <v>0</v>
      </c>
      <c r="L815" t="n">
        <v>0</v>
      </c>
      <c r="M815" t="n">
        <v>0</v>
      </c>
      <c r="N815" t="n">
        <v>0</v>
      </c>
      <c r="O815" t="n">
        <v>0</v>
      </c>
      <c r="P815" t="n">
        <v>0</v>
      </c>
      <c r="Q815" t="n">
        <v>0</v>
      </c>
      <c r="R815" s="2" t="inlineStr"/>
    </row>
    <row r="816" ht="15" customHeight="1">
      <c r="A816" t="inlineStr">
        <is>
          <t>A 412-2024</t>
        </is>
      </c>
      <c r="B816" s="1" t="n">
        <v>45296</v>
      </c>
      <c r="C816" s="1" t="n">
        <v>45471</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481-2024</t>
        </is>
      </c>
      <c r="B817" s="1" t="n">
        <v>45298</v>
      </c>
      <c r="C817" s="1" t="n">
        <v>45471</v>
      </c>
      <c r="D817" t="inlineStr">
        <is>
          <t>DALARNAS LÄN</t>
        </is>
      </c>
      <c r="E817" t="inlineStr">
        <is>
          <t>LEKSAND</t>
        </is>
      </c>
      <c r="G817" t="n">
        <v>7</v>
      </c>
      <c r="H817" t="n">
        <v>0</v>
      </c>
      <c r="I817" t="n">
        <v>0</v>
      </c>
      <c r="J817" t="n">
        <v>0</v>
      </c>
      <c r="K817" t="n">
        <v>0</v>
      </c>
      <c r="L817" t="n">
        <v>0</v>
      </c>
      <c r="M817" t="n">
        <v>0</v>
      </c>
      <c r="N817" t="n">
        <v>0</v>
      </c>
      <c r="O817" t="n">
        <v>0</v>
      </c>
      <c r="P817" t="n">
        <v>0</v>
      </c>
      <c r="Q817" t="n">
        <v>0</v>
      </c>
      <c r="R817" s="2" t="inlineStr"/>
    </row>
    <row r="818" ht="15" customHeight="1">
      <c r="A818" t="inlineStr">
        <is>
          <t>A 511-2024</t>
        </is>
      </c>
      <c r="B818" s="1" t="n">
        <v>45299</v>
      </c>
      <c r="C818" s="1" t="n">
        <v>45471</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613-2024</t>
        </is>
      </c>
      <c r="B819" s="1" t="n">
        <v>45299</v>
      </c>
      <c r="C819" s="1" t="n">
        <v>45471</v>
      </c>
      <c r="D819" t="inlineStr">
        <is>
          <t>DALARNAS LÄN</t>
        </is>
      </c>
      <c r="E819" t="inlineStr">
        <is>
          <t>LEKSAND</t>
        </is>
      </c>
      <c r="G819" t="n">
        <v>1.4</v>
      </c>
      <c r="H819" t="n">
        <v>0</v>
      </c>
      <c r="I819" t="n">
        <v>0</v>
      </c>
      <c r="J819" t="n">
        <v>0</v>
      </c>
      <c r="K819" t="n">
        <v>0</v>
      </c>
      <c r="L819" t="n">
        <v>0</v>
      </c>
      <c r="M819" t="n">
        <v>0</v>
      </c>
      <c r="N819" t="n">
        <v>0</v>
      </c>
      <c r="O819" t="n">
        <v>0</v>
      </c>
      <c r="P819" t="n">
        <v>0</v>
      </c>
      <c r="Q819" t="n">
        <v>0</v>
      </c>
      <c r="R819" s="2" t="inlineStr"/>
    </row>
    <row r="820" ht="15" customHeight="1">
      <c r="A820" t="inlineStr">
        <is>
          <t>A 962-2024</t>
        </is>
      </c>
      <c r="B820" s="1" t="n">
        <v>45301</v>
      </c>
      <c r="C820" s="1" t="n">
        <v>45471</v>
      </c>
      <c r="D820" t="inlineStr">
        <is>
          <t>DALARNAS LÄN</t>
        </is>
      </c>
      <c r="E820" t="inlineStr">
        <is>
          <t>LEKSAND</t>
        </is>
      </c>
      <c r="G820" t="n">
        <v>3.8</v>
      </c>
      <c r="H820" t="n">
        <v>0</v>
      </c>
      <c r="I820" t="n">
        <v>0</v>
      </c>
      <c r="J820" t="n">
        <v>0</v>
      </c>
      <c r="K820" t="n">
        <v>0</v>
      </c>
      <c r="L820" t="n">
        <v>0</v>
      </c>
      <c r="M820" t="n">
        <v>0</v>
      </c>
      <c r="N820" t="n">
        <v>0</v>
      </c>
      <c r="O820" t="n">
        <v>0</v>
      </c>
      <c r="P820" t="n">
        <v>0</v>
      </c>
      <c r="Q820" t="n">
        <v>0</v>
      </c>
      <c r="R820" s="2" t="inlineStr"/>
    </row>
    <row r="821" ht="15" customHeight="1">
      <c r="A821" t="inlineStr">
        <is>
          <t>A 1179-2024</t>
        </is>
      </c>
      <c r="B821" s="1" t="n">
        <v>45302</v>
      </c>
      <c r="C821" s="1" t="n">
        <v>45471</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1215-2024</t>
        </is>
      </c>
      <c r="B822" s="1" t="n">
        <v>45302</v>
      </c>
      <c r="C822" s="1" t="n">
        <v>45471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1458-2024</t>
        </is>
      </c>
      <c r="B823" s="1" t="n">
        <v>45303</v>
      </c>
      <c r="C823" s="1" t="n">
        <v>45471</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1443-2024</t>
        </is>
      </c>
      <c r="B824" s="1" t="n">
        <v>45303</v>
      </c>
      <c r="C824" s="1" t="n">
        <v>45471</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45471</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1461-2024</t>
        </is>
      </c>
      <c r="B826" s="1" t="n">
        <v>45303</v>
      </c>
      <c r="C826" s="1" t="n">
        <v>45471</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1463-2024</t>
        </is>
      </c>
      <c r="B827" s="1" t="n">
        <v>45303</v>
      </c>
      <c r="C827" s="1" t="n">
        <v>45471</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1476-2024</t>
        </is>
      </c>
      <c r="B828" s="1" t="n">
        <v>45304</v>
      </c>
      <c r="C828" s="1" t="n">
        <v>45471</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1519-2024</t>
        </is>
      </c>
      <c r="B829" s="1" t="n">
        <v>45306</v>
      </c>
      <c r="C829" s="1" t="n">
        <v>45471</v>
      </c>
      <c r="D829" t="inlineStr">
        <is>
          <t>DALARNAS LÄN</t>
        </is>
      </c>
      <c r="E829" t="inlineStr">
        <is>
          <t>LEKSAND</t>
        </is>
      </c>
      <c r="G829" t="n">
        <v>3.3</v>
      </c>
      <c r="H829" t="n">
        <v>0</v>
      </c>
      <c r="I829" t="n">
        <v>0</v>
      </c>
      <c r="J829" t="n">
        <v>0</v>
      </c>
      <c r="K829" t="n">
        <v>0</v>
      </c>
      <c r="L829" t="n">
        <v>0</v>
      </c>
      <c r="M829" t="n">
        <v>0</v>
      </c>
      <c r="N829" t="n">
        <v>0</v>
      </c>
      <c r="O829" t="n">
        <v>0</v>
      </c>
      <c r="P829" t="n">
        <v>0</v>
      </c>
      <c r="Q829" t="n">
        <v>0</v>
      </c>
      <c r="R829" s="2" t="inlineStr"/>
    </row>
    <row r="830" ht="15" customHeight="1">
      <c r="A830" t="inlineStr">
        <is>
          <t>A 1616-2024</t>
        </is>
      </c>
      <c r="B830" s="1" t="n">
        <v>45306</v>
      </c>
      <c r="C830" s="1" t="n">
        <v>45471</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1849-2024</t>
        </is>
      </c>
      <c r="B831" s="1" t="n">
        <v>45307</v>
      </c>
      <c r="C831" s="1" t="n">
        <v>45471</v>
      </c>
      <c r="D831" t="inlineStr">
        <is>
          <t>DALARNAS LÄN</t>
        </is>
      </c>
      <c r="E831" t="inlineStr">
        <is>
          <t>LEKSAND</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1706-2024</t>
        </is>
      </c>
      <c r="B832" s="1" t="n">
        <v>45307</v>
      </c>
      <c r="C832" s="1" t="n">
        <v>45471</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1719-2024</t>
        </is>
      </c>
      <c r="B833" s="1" t="n">
        <v>45307</v>
      </c>
      <c r="C833" s="1" t="n">
        <v>45471</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45471</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2158-2024</t>
        </is>
      </c>
      <c r="B835" s="1" t="n">
        <v>45309</v>
      </c>
      <c r="C835" s="1" t="n">
        <v>45471</v>
      </c>
      <c r="D835" t="inlineStr">
        <is>
          <t>DALARNAS LÄN</t>
        </is>
      </c>
      <c r="E835" t="inlineStr">
        <is>
          <t>LEKSAND</t>
        </is>
      </c>
      <c r="G835" t="n">
        <v>2.1</v>
      </c>
      <c r="H835" t="n">
        <v>0</v>
      </c>
      <c r="I835" t="n">
        <v>0</v>
      </c>
      <c r="J835" t="n">
        <v>0</v>
      </c>
      <c r="K835" t="n">
        <v>0</v>
      </c>
      <c r="L835" t="n">
        <v>0</v>
      </c>
      <c r="M835" t="n">
        <v>0</v>
      </c>
      <c r="N835" t="n">
        <v>0</v>
      </c>
      <c r="O835" t="n">
        <v>0</v>
      </c>
      <c r="P835" t="n">
        <v>0</v>
      </c>
      <c r="Q835" t="n">
        <v>0</v>
      </c>
      <c r="R835" s="2" t="inlineStr"/>
    </row>
    <row r="836" ht="15" customHeight="1">
      <c r="A836" t="inlineStr">
        <is>
          <t>A 2140-2024</t>
        </is>
      </c>
      <c r="B836" s="1" t="n">
        <v>45309</v>
      </c>
      <c r="C836" s="1" t="n">
        <v>45471</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2517-2024</t>
        </is>
      </c>
      <c r="B837" s="1" t="n">
        <v>45313</v>
      </c>
      <c r="C837" s="1" t="n">
        <v>45471</v>
      </c>
      <c r="D837" t="inlineStr">
        <is>
          <t>DALARNAS LÄN</t>
        </is>
      </c>
      <c r="E837" t="inlineStr">
        <is>
          <t>LEKSAND</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2536-2024</t>
        </is>
      </c>
      <c r="B838" s="1" t="n">
        <v>45313</v>
      </c>
      <c r="C838" s="1" t="n">
        <v>45471</v>
      </c>
      <c r="D838" t="inlineStr">
        <is>
          <t>DALARNAS LÄN</t>
        </is>
      </c>
      <c r="E838" t="inlineStr">
        <is>
          <t>LEKSAND</t>
        </is>
      </c>
      <c r="G838" t="n">
        <v>2.2</v>
      </c>
      <c r="H838" t="n">
        <v>0</v>
      </c>
      <c r="I838" t="n">
        <v>0</v>
      </c>
      <c r="J838" t="n">
        <v>0</v>
      </c>
      <c r="K838" t="n">
        <v>0</v>
      </c>
      <c r="L838" t="n">
        <v>0</v>
      </c>
      <c r="M838" t="n">
        <v>0</v>
      </c>
      <c r="N838" t="n">
        <v>0</v>
      </c>
      <c r="O838" t="n">
        <v>0</v>
      </c>
      <c r="P838" t="n">
        <v>0</v>
      </c>
      <c r="Q838" t="n">
        <v>0</v>
      </c>
      <c r="R838" s="2" t="inlineStr"/>
    </row>
    <row r="839" ht="15" customHeight="1">
      <c r="A839" t="inlineStr">
        <is>
          <t>A 2820-2024</t>
        </is>
      </c>
      <c r="B839" s="1" t="n">
        <v>45314</v>
      </c>
      <c r="C839" s="1" t="n">
        <v>45471</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2822-2024</t>
        </is>
      </c>
      <c r="B840" s="1" t="n">
        <v>45314</v>
      </c>
      <c r="C840" s="1" t="n">
        <v>45471</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3138-2024</t>
        </is>
      </c>
      <c r="B841" s="1" t="n">
        <v>45316</v>
      </c>
      <c r="C841" s="1" t="n">
        <v>45471</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3048-2024</t>
        </is>
      </c>
      <c r="B842" s="1" t="n">
        <v>45316</v>
      </c>
      <c r="C842" s="1" t="n">
        <v>45471</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3205-2024</t>
        </is>
      </c>
      <c r="B843" s="1" t="n">
        <v>45316</v>
      </c>
      <c r="C843" s="1" t="n">
        <v>45471</v>
      </c>
      <c r="D843" t="inlineStr">
        <is>
          <t>DALARNAS LÄN</t>
        </is>
      </c>
      <c r="E843" t="inlineStr">
        <is>
          <t>LEKSAND</t>
        </is>
      </c>
      <c r="G843" t="n">
        <v>0.8</v>
      </c>
      <c r="H843" t="n">
        <v>0</v>
      </c>
      <c r="I843" t="n">
        <v>0</v>
      </c>
      <c r="J843" t="n">
        <v>0</v>
      </c>
      <c r="K843" t="n">
        <v>0</v>
      </c>
      <c r="L843" t="n">
        <v>0</v>
      </c>
      <c r="M843" t="n">
        <v>0</v>
      </c>
      <c r="N843" t="n">
        <v>0</v>
      </c>
      <c r="O843" t="n">
        <v>0</v>
      </c>
      <c r="P843" t="n">
        <v>0</v>
      </c>
      <c r="Q843" t="n">
        <v>0</v>
      </c>
      <c r="R843" s="2" t="inlineStr"/>
    </row>
    <row r="844" ht="15" customHeight="1">
      <c r="A844" t="inlineStr">
        <is>
          <t>A 3202-2024</t>
        </is>
      </c>
      <c r="B844" s="1" t="n">
        <v>45316</v>
      </c>
      <c r="C844" s="1" t="n">
        <v>45471</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3352-2024</t>
        </is>
      </c>
      <c r="B845" s="1" t="n">
        <v>45317</v>
      </c>
      <c r="C845" s="1" t="n">
        <v>45471</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3970-2024</t>
        </is>
      </c>
      <c r="B846" s="1" t="n">
        <v>45322</v>
      </c>
      <c r="C846" s="1" t="n">
        <v>45471</v>
      </c>
      <c r="D846" t="inlineStr">
        <is>
          <t>DALARNAS LÄN</t>
        </is>
      </c>
      <c r="E846" t="inlineStr">
        <is>
          <t>LEKSAND</t>
        </is>
      </c>
      <c r="G846" t="n">
        <v>2.4</v>
      </c>
      <c r="H846" t="n">
        <v>0</v>
      </c>
      <c r="I846" t="n">
        <v>0</v>
      </c>
      <c r="J846" t="n">
        <v>0</v>
      </c>
      <c r="K846" t="n">
        <v>0</v>
      </c>
      <c r="L846" t="n">
        <v>0</v>
      </c>
      <c r="M846" t="n">
        <v>0</v>
      </c>
      <c r="N846" t="n">
        <v>0</v>
      </c>
      <c r="O846" t="n">
        <v>0</v>
      </c>
      <c r="P846" t="n">
        <v>0</v>
      </c>
      <c r="Q846" t="n">
        <v>0</v>
      </c>
      <c r="R846" s="2" t="inlineStr"/>
    </row>
    <row r="847" ht="15" customHeight="1">
      <c r="A847" t="inlineStr">
        <is>
          <t>A 3974-2024</t>
        </is>
      </c>
      <c r="B847" s="1" t="n">
        <v>45322</v>
      </c>
      <c r="C847" s="1" t="n">
        <v>45471</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3901-2024</t>
        </is>
      </c>
      <c r="B848" s="1" t="n">
        <v>45322</v>
      </c>
      <c r="C848" s="1" t="n">
        <v>45471</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4121-2024</t>
        </is>
      </c>
      <c r="B849" s="1" t="n">
        <v>45323</v>
      </c>
      <c r="C849" s="1" t="n">
        <v>45471</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4248-2024</t>
        </is>
      </c>
      <c r="B850" s="1" t="n">
        <v>45324</v>
      </c>
      <c r="C850" s="1" t="n">
        <v>45471</v>
      </c>
      <c r="D850" t="inlineStr">
        <is>
          <t>DALARNAS LÄN</t>
        </is>
      </c>
      <c r="E850" t="inlineStr">
        <is>
          <t>LEKSAND</t>
        </is>
      </c>
      <c r="G850" t="n">
        <v>3.6</v>
      </c>
      <c r="H850" t="n">
        <v>0</v>
      </c>
      <c r="I850" t="n">
        <v>0</v>
      </c>
      <c r="J850" t="n">
        <v>0</v>
      </c>
      <c r="K850" t="n">
        <v>0</v>
      </c>
      <c r="L850" t="n">
        <v>0</v>
      </c>
      <c r="M850" t="n">
        <v>0</v>
      </c>
      <c r="N850" t="n">
        <v>0</v>
      </c>
      <c r="O850" t="n">
        <v>0</v>
      </c>
      <c r="P850" t="n">
        <v>0</v>
      </c>
      <c r="Q850" t="n">
        <v>0</v>
      </c>
      <c r="R850" s="2" t="inlineStr"/>
    </row>
    <row r="851" ht="15" customHeight="1">
      <c r="A851" t="inlineStr">
        <is>
          <t>A 4938-2024</t>
        </is>
      </c>
      <c r="B851" s="1" t="n">
        <v>45329</v>
      </c>
      <c r="C851" s="1" t="n">
        <v>45471</v>
      </c>
      <c r="D851" t="inlineStr">
        <is>
          <t>DALARNAS LÄN</t>
        </is>
      </c>
      <c r="E851" t="inlineStr">
        <is>
          <t>LEKSAND</t>
        </is>
      </c>
      <c r="G851" t="n">
        <v>7.7</v>
      </c>
      <c r="H851" t="n">
        <v>0</v>
      </c>
      <c r="I851" t="n">
        <v>0</v>
      </c>
      <c r="J851" t="n">
        <v>0</v>
      </c>
      <c r="K851" t="n">
        <v>0</v>
      </c>
      <c r="L851" t="n">
        <v>0</v>
      </c>
      <c r="M851" t="n">
        <v>0</v>
      </c>
      <c r="N851" t="n">
        <v>0</v>
      </c>
      <c r="O851" t="n">
        <v>0</v>
      </c>
      <c r="P851" t="n">
        <v>0</v>
      </c>
      <c r="Q851" t="n">
        <v>0</v>
      </c>
      <c r="R851" s="2" t="inlineStr"/>
    </row>
    <row r="852" ht="15" customHeight="1">
      <c r="A852" t="inlineStr">
        <is>
          <t>A 4956-2024</t>
        </is>
      </c>
      <c r="B852" s="1" t="n">
        <v>45329</v>
      </c>
      <c r="C852" s="1" t="n">
        <v>45471</v>
      </c>
      <c r="D852" t="inlineStr">
        <is>
          <t>DALARNAS LÄN</t>
        </is>
      </c>
      <c r="E852" t="inlineStr">
        <is>
          <t>LEKSAND</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5231-2024</t>
        </is>
      </c>
      <c r="B853" s="1" t="n">
        <v>45330</v>
      </c>
      <c r="C853" s="1" t="n">
        <v>45471</v>
      </c>
      <c r="D853" t="inlineStr">
        <is>
          <t>DALARNAS LÄN</t>
        </is>
      </c>
      <c r="E853" t="inlineStr">
        <is>
          <t>LEKSAND</t>
        </is>
      </c>
      <c r="F853" t="inlineStr">
        <is>
          <t>Bergvik skog väst AB</t>
        </is>
      </c>
      <c r="G853" t="n">
        <v>11.2</v>
      </c>
      <c r="H853" t="n">
        <v>0</v>
      </c>
      <c r="I853" t="n">
        <v>0</v>
      </c>
      <c r="J853" t="n">
        <v>0</v>
      </c>
      <c r="K853" t="n">
        <v>0</v>
      </c>
      <c r="L853" t="n">
        <v>0</v>
      </c>
      <c r="M853" t="n">
        <v>0</v>
      </c>
      <c r="N853" t="n">
        <v>0</v>
      </c>
      <c r="O853" t="n">
        <v>0</v>
      </c>
      <c r="P853" t="n">
        <v>0</v>
      </c>
      <c r="Q853" t="n">
        <v>0</v>
      </c>
      <c r="R853" s="2" t="inlineStr"/>
    </row>
    <row r="854" ht="15" customHeight="1">
      <c r="A854" t="inlineStr">
        <is>
          <t>A 5369-2024</t>
        </is>
      </c>
      <c r="B854" s="1" t="n">
        <v>45331</v>
      </c>
      <c r="C854" s="1" t="n">
        <v>45471</v>
      </c>
      <c r="D854" t="inlineStr">
        <is>
          <t>DALARNAS LÄN</t>
        </is>
      </c>
      <c r="E854" t="inlineStr">
        <is>
          <t>LEKSAND</t>
        </is>
      </c>
      <c r="F854" t="inlineStr">
        <is>
          <t>Kommuner</t>
        </is>
      </c>
      <c r="G854" t="n">
        <v>2.9</v>
      </c>
      <c r="H854" t="n">
        <v>0</v>
      </c>
      <c r="I854" t="n">
        <v>0</v>
      </c>
      <c r="J854" t="n">
        <v>0</v>
      </c>
      <c r="K854" t="n">
        <v>0</v>
      </c>
      <c r="L854" t="n">
        <v>0</v>
      </c>
      <c r="M854" t="n">
        <v>0</v>
      </c>
      <c r="N854" t="n">
        <v>0</v>
      </c>
      <c r="O854" t="n">
        <v>0</v>
      </c>
      <c r="P854" t="n">
        <v>0</v>
      </c>
      <c r="Q854" t="n">
        <v>0</v>
      </c>
      <c r="R854" s="2" t="inlineStr"/>
    </row>
    <row r="855" ht="15" customHeight="1">
      <c r="A855" t="inlineStr">
        <is>
          <t>A 5514-2024</t>
        </is>
      </c>
      <c r="B855" s="1" t="n">
        <v>45334</v>
      </c>
      <c r="C855" s="1" t="n">
        <v>45471</v>
      </c>
      <c r="D855" t="inlineStr">
        <is>
          <t>DALARNAS LÄN</t>
        </is>
      </c>
      <c r="E855" t="inlineStr">
        <is>
          <t>LEKSAND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5570-2024</t>
        </is>
      </c>
      <c r="B856" s="1" t="n">
        <v>45334</v>
      </c>
      <c r="C856" s="1" t="n">
        <v>45471</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5574-2024</t>
        </is>
      </c>
      <c r="B857" s="1" t="n">
        <v>45334</v>
      </c>
      <c r="C857" s="1" t="n">
        <v>45471</v>
      </c>
      <c r="D857" t="inlineStr">
        <is>
          <t>DALARNAS LÄN</t>
        </is>
      </c>
      <c r="E857" t="inlineStr">
        <is>
          <t>LEKSAND</t>
        </is>
      </c>
      <c r="G857" t="n">
        <v>0.4</v>
      </c>
      <c r="H857" t="n">
        <v>0</v>
      </c>
      <c r="I857" t="n">
        <v>0</v>
      </c>
      <c r="J857" t="n">
        <v>0</v>
      </c>
      <c r="K857" t="n">
        <v>0</v>
      </c>
      <c r="L857" t="n">
        <v>0</v>
      </c>
      <c r="M857" t="n">
        <v>0</v>
      </c>
      <c r="N857" t="n">
        <v>0</v>
      </c>
      <c r="O857" t="n">
        <v>0</v>
      </c>
      <c r="P857" t="n">
        <v>0</v>
      </c>
      <c r="Q857" t="n">
        <v>0</v>
      </c>
      <c r="R857" s="2" t="inlineStr"/>
    </row>
    <row r="858" ht="15" customHeight="1">
      <c r="A858" t="inlineStr">
        <is>
          <t>A 5583-2024</t>
        </is>
      </c>
      <c r="B858" s="1" t="n">
        <v>45334</v>
      </c>
      <c r="C858" s="1" t="n">
        <v>45471</v>
      </c>
      <c r="D858" t="inlineStr">
        <is>
          <t>DALARNAS LÄN</t>
        </is>
      </c>
      <c r="E858" t="inlineStr">
        <is>
          <t>LEKSAND</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5584-2024</t>
        </is>
      </c>
      <c r="B859" s="1" t="n">
        <v>45334</v>
      </c>
      <c r="C859" s="1" t="n">
        <v>45471</v>
      </c>
      <c r="D859" t="inlineStr">
        <is>
          <t>DALARNAS LÄN</t>
        </is>
      </c>
      <c r="E859" t="inlineStr">
        <is>
          <t>LEKSAND</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5582-2024</t>
        </is>
      </c>
      <c r="B860" s="1" t="n">
        <v>45334</v>
      </c>
      <c r="C860" s="1" t="n">
        <v>45471</v>
      </c>
      <c r="D860" t="inlineStr">
        <is>
          <t>DALARNAS LÄN</t>
        </is>
      </c>
      <c r="E860" t="inlineStr">
        <is>
          <t>LEKSAND</t>
        </is>
      </c>
      <c r="G860" t="n">
        <v>0.5</v>
      </c>
      <c r="H860" t="n">
        <v>0</v>
      </c>
      <c r="I860" t="n">
        <v>0</v>
      </c>
      <c r="J860" t="n">
        <v>0</v>
      </c>
      <c r="K860" t="n">
        <v>0</v>
      </c>
      <c r="L860" t="n">
        <v>0</v>
      </c>
      <c r="M860" t="n">
        <v>0</v>
      </c>
      <c r="N860" t="n">
        <v>0</v>
      </c>
      <c r="O860" t="n">
        <v>0</v>
      </c>
      <c r="P860" t="n">
        <v>0</v>
      </c>
      <c r="Q860" t="n">
        <v>0</v>
      </c>
      <c r="R860" s="2" t="inlineStr"/>
    </row>
    <row r="861" ht="15" customHeight="1">
      <c r="A861" t="inlineStr">
        <is>
          <t>A 5900-2024</t>
        </is>
      </c>
      <c r="B861" s="1" t="n">
        <v>45335</v>
      </c>
      <c r="C861" s="1" t="n">
        <v>45471</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6758-2024</t>
        </is>
      </c>
      <c r="B862" s="1" t="n">
        <v>45342</v>
      </c>
      <c r="C862" s="1" t="n">
        <v>45471</v>
      </c>
      <c r="D862" t="inlineStr">
        <is>
          <t>DALARNAS LÄN</t>
        </is>
      </c>
      <c r="E862" t="inlineStr">
        <is>
          <t>LEKSAND</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7417-2024</t>
        </is>
      </c>
      <c r="B863" s="1" t="n">
        <v>45345</v>
      </c>
      <c r="C863" s="1" t="n">
        <v>45471</v>
      </c>
      <c r="D863" t="inlineStr">
        <is>
          <t>DALARNAS LÄN</t>
        </is>
      </c>
      <c r="E863" t="inlineStr">
        <is>
          <t>LEKSAND</t>
        </is>
      </c>
      <c r="G863" t="n">
        <v>2.8</v>
      </c>
      <c r="H863" t="n">
        <v>0</v>
      </c>
      <c r="I863" t="n">
        <v>0</v>
      </c>
      <c r="J863" t="n">
        <v>0</v>
      </c>
      <c r="K863" t="n">
        <v>0</v>
      </c>
      <c r="L863" t="n">
        <v>0</v>
      </c>
      <c r="M863" t="n">
        <v>0</v>
      </c>
      <c r="N863" t="n">
        <v>0</v>
      </c>
      <c r="O863" t="n">
        <v>0</v>
      </c>
      <c r="P863" t="n">
        <v>0</v>
      </c>
      <c r="Q863" t="n">
        <v>0</v>
      </c>
      <c r="R863" s="2" t="inlineStr"/>
    </row>
    <row r="864" ht="15" customHeight="1">
      <c r="A864" t="inlineStr">
        <is>
          <t>A 7775-2024</t>
        </is>
      </c>
      <c r="B864" s="1" t="n">
        <v>45349</v>
      </c>
      <c r="C864" s="1" t="n">
        <v>45471</v>
      </c>
      <c r="D864" t="inlineStr">
        <is>
          <t>DALARNAS LÄN</t>
        </is>
      </c>
      <c r="E864" t="inlineStr">
        <is>
          <t>LEKSAND</t>
        </is>
      </c>
      <c r="G864" t="n">
        <v>1.9</v>
      </c>
      <c r="H864" t="n">
        <v>0</v>
      </c>
      <c r="I864" t="n">
        <v>0</v>
      </c>
      <c r="J864" t="n">
        <v>0</v>
      </c>
      <c r="K864" t="n">
        <v>0</v>
      </c>
      <c r="L864" t="n">
        <v>0</v>
      </c>
      <c r="M864" t="n">
        <v>0</v>
      </c>
      <c r="N864" t="n">
        <v>0</v>
      </c>
      <c r="O864" t="n">
        <v>0</v>
      </c>
      <c r="P864" t="n">
        <v>0</v>
      </c>
      <c r="Q864" t="n">
        <v>0</v>
      </c>
      <c r="R864" s="2" t="inlineStr"/>
    </row>
    <row r="865" ht="15" customHeight="1">
      <c r="A865" t="inlineStr">
        <is>
          <t>A 7768-2024</t>
        </is>
      </c>
      <c r="B865" s="1" t="n">
        <v>45349</v>
      </c>
      <c r="C865" s="1" t="n">
        <v>45471</v>
      </c>
      <c r="D865" t="inlineStr">
        <is>
          <t>DALARNAS LÄN</t>
        </is>
      </c>
      <c r="E865" t="inlineStr">
        <is>
          <t>LEKSAND</t>
        </is>
      </c>
      <c r="G865" t="n">
        <v>5.4</v>
      </c>
      <c r="H865" t="n">
        <v>0</v>
      </c>
      <c r="I865" t="n">
        <v>0</v>
      </c>
      <c r="J865" t="n">
        <v>0</v>
      </c>
      <c r="K865" t="n">
        <v>0</v>
      </c>
      <c r="L865" t="n">
        <v>0</v>
      </c>
      <c r="M865" t="n">
        <v>0</v>
      </c>
      <c r="N865" t="n">
        <v>0</v>
      </c>
      <c r="O865" t="n">
        <v>0</v>
      </c>
      <c r="P865" t="n">
        <v>0</v>
      </c>
      <c r="Q865" t="n">
        <v>0</v>
      </c>
      <c r="R865" s="2" t="inlineStr"/>
    </row>
    <row r="866" ht="15" customHeight="1">
      <c r="A866" t="inlineStr">
        <is>
          <t>A 7773-2024</t>
        </is>
      </c>
      <c r="B866" s="1" t="n">
        <v>45349</v>
      </c>
      <c r="C866" s="1" t="n">
        <v>45471</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7827-2024</t>
        </is>
      </c>
      <c r="B867" s="1" t="n">
        <v>45349</v>
      </c>
      <c r="C867" s="1" t="n">
        <v>45471</v>
      </c>
      <c r="D867" t="inlineStr">
        <is>
          <t>DALARNAS LÄN</t>
        </is>
      </c>
      <c r="E867" t="inlineStr">
        <is>
          <t>LEKSAND</t>
        </is>
      </c>
      <c r="G867" t="n">
        <v>2.2</v>
      </c>
      <c r="H867" t="n">
        <v>0</v>
      </c>
      <c r="I867" t="n">
        <v>0</v>
      </c>
      <c r="J867" t="n">
        <v>0</v>
      </c>
      <c r="K867" t="n">
        <v>0</v>
      </c>
      <c r="L867" t="n">
        <v>0</v>
      </c>
      <c r="M867" t="n">
        <v>0</v>
      </c>
      <c r="N867" t="n">
        <v>0</v>
      </c>
      <c r="O867" t="n">
        <v>0</v>
      </c>
      <c r="P867" t="n">
        <v>0</v>
      </c>
      <c r="Q867" t="n">
        <v>0</v>
      </c>
      <c r="R867" s="2" t="inlineStr"/>
    </row>
    <row r="868" ht="15" customHeight="1">
      <c r="A868" t="inlineStr">
        <is>
          <t>A 7861-2024</t>
        </is>
      </c>
      <c r="B868" s="1" t="n">
        <v>45350</v>
      </c>
      <c r="C868" s="1" t="n">
        <v>45471</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8046-2024</t>
        </is>
      </c>
      <c r="B869" s="1" t="n">
        <v>45351</v>
      </c>
      <c r="C869" s="1" t="n">
        <v>45471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8045-2024</t>
        </is>
      </c>
      <c r="B870" s="1" t="n">
        <v>45351</v>
      </c>
      <c r="C870" s="1" t="n">
        <v>45471</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9781-2024</t>
        </is>
      </c>
      <c r="B871" s="1" t="n">
        <v>45362</v>
      </c>
      <c r="C871" s="1" t="n">
        <v>45471</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10299-2024</t>
        </is>
      </c>
      <c r="B872" s="1" t="n">
        <v>45365</v>
      </c>
      <c r="C872" s="1" t="n">
        <v>45471</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10462-2024</t>
        </is>
      </c>
      <c r="B873" s="1" t="n">
        <v>45366</v>
      </c>
      <c r="C873" s="1" t="n">
        <v>45471</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10743-2024</t>
        </is>
      </c>
      <c r="B874" s="1" t="n">
        <v>45369</v>
      </c>
      <c r="C874" s="1" t="n">
        <v>45471</v>
      </c>
      <c r="D874" t="inlineStr">
        <is>
          <t>DALARNAS LÄN</t>
        </is>
      </c>
      <c r="E874" t="inlineStr">
        <is>
          <t>LEKSAND</t>
        </is>
      </c>
      <c r="G874" t="n">
        <v>2.7</v>
      </c>
      <c r="H874" t="n">
        <v>0</v>
      </c>
      <c r="I874" t="n">
        <v>0</v>
      </c>
      <c r="J874" t="n">
        <v>0</v>
      </c>
      <c r="K874" t="n">
        <v>0</v>
      </c>
      <c r="L874" t="n">
        <v>0</v>
      </c>
      <c r="M874" t="n">
        <v>0</v>
      </c>
      <c r="N874" t="n">
        <v>0</v>
      </c>
      <c r="O874" t="n">
        <v>0</v>
      </c>
      <c r="P874" t="n">
        <v>0</v>
      </c>
      <c r="Q874" t="n">
        <v>0</v>
      </c>
      <c r="R874" s="2" t="inlineStr"/>
    </row>
    <row r="875" ht="15" customHeight="1">
      <c r="A875" t="inlineStr">
        <is>
          <t>A 10771-2024</t>
        </is>
      </c>
      <c r="B875" s="1" t="n">
        <v>45369</v>
      </c>
      <c r="C875" s="1" t="n">
        <v>45471</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11770-2024</t>
        </is>
      </c>
      <c r="B876" s="1" t="n">
        <v>45373</v>
      </c>
      <c r="C876" s="1" t="n">
        <v>45471</v>
      </c>
      <c r="D876" t="inlineStr">
        <is>
          <t>DALARNAS LÄN</t>
        </is>
      </c>
      <c r="E876" t="inlineStr">
        <is>
          <t>LEKSAND</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c r="U876">
        <f>HYPERLINK("https://klasma.github.io/Logging_2029/knärot/A 11770-2024 karta knärot.png", "A 11770-2024")</f>
        <v/>
      </c>
      <c r="V876">
        <f>HYPERLINK("https://klasma.github.io/Logging_2029/klagomål/A 11770-2024 FSC-klagomål.docx", "A 11770-2024")</f>
        <v/>
      </c>
      <c r="W876">
        <f>HYPERLINK("https://klasma.github.io/Logging_2029/klagomålsmail/A 11770-2024 FSC-klagomål mail.docx", "A 11770-2024")</f>
        <v/>
      </c>
      <c r="X876">
        <f>HYPERLINK("https://klasma.github.io/Logging_2029/tillsyn/A 11770-2024 tillsynsbegäran.docx", "A 11770-2024")</f>
        <v/>
      </c>
      <c r="Y876">
        <f>HYPERLINK("https://klasma.github.io/Logging_2029/tillsynsmail/A 11770-2024 tillsynsbegäran mail.docx", "A 11770-2024")</f>
        <v/>
      </c>
    </row>
    <row r="877" ht="15" customHeight="1">
      <c r="A877" t="inlineStr">
        <is>
          <t>A 11617-2024</t>
        </is>
      </c>
      <c r="B877" s="1" t="n">
        <v>45373</v>
      </c>
      <c r="C877" s="1" t="n">
        <v>45471</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11869-2024</t>
        </is>
      </c>
      <c r="B878" s="1" t="n">
        <v>45376</v>
      </c>
      <c r="C878" s="1" t="n">
        <v>45471</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11855-2024</t>
        </is>
      </c>
      <c r="B879" s="1" t="n">
        <v>45376</v>
      </c>
      <c r="C879" s="1" t="n">
        <v>45471</v>
      </c>
      <c r="D879" t="inlineStr">
        <is>
          <t>DALARNAS LÄN</t>
        </is>
      </c>
      <c r="E879" t="inlineStr">
        <is>
          <t>LEKSAND</t>
        </is>
      </c>
      <c r="G879" t="n">
        <v>4</v>
      </c>
      <c r="H879" t="n">
        <v>0</v>
      </c>
      <c r="I879" t="n">
        <v>0</v>
      </c>
      <c r="J879" t="n">
        <v>0</v>
      </c>
      <c r="K879" t="n">
        <v>0</v>
      </c>
      <c r="L879" t="n">
        <v>0</v>
      </c>
      <c r="M879" t="n">
        <v>0</v>
      </c>
      <c r="N879" t="n">
        <v>0</v>
      </c>
      <c r="O879" t="n">
        <v>0</v>
      </c>
      <c r="P879" t="n">
        <v>0</v>
      </c>
      <c r="Q879" t="n">
        <v>0</v>
      </c>
      <c r="R879" s="2" t="inlineStr"/>
      <c r="U879">
        <f>HYPERLINK("https://klasma.github.io/Logging_2029/knärot/A 11855-2024 karta knärot.png", "A 11855-2024")</f>
        <v/>
      </c>
      <c r="V879">
        <f>HYPERLINK("https://klasma.github.io/Logging_2029/klagomål/A 11855-2024 FSC-klagomål.docx", "A 11855-2024")</f>
        <v/>
      </c>
      <c r="W879">
        <f>HYPERLINK("https://klasma.github.io/Logging_2029/klagomålsmail/A 11855-2024 FSC-klagomål mail.docx", "A 11855-2024")</f>
        <v/>
      </c>
      <c r="X879">
        <f>HYPERLINK("https://klasma.github.io/Logging_2029/tillsyn/A 11855-2024 tillsynsbegäran.docx", "A 11855-2024")</f>
        <v/>
      </c>
      <c r="Y879">
        <f>HYPERLINK("https://klasma.github.io/Logging_2029/tillsynsmail/A 11855-2024 tillsynsbegäran mail.docx", "A 11855-2024")</f>
        <v/>
      </c>
    </row>
    <row r="880" ht="15" customHeight="1">
      <c r="A880" t="inlineStr">
        <is>
          <t>A 11859-2024</t>
        </is>
      </c>
      <c r="B880" s="1" t="n">
        <v>45376</v>
      </c>
      <c r="C880" s="1" t="n">
        <v>45471</v>
      </c>
      <c r="D880" t="inlineStr">
        <is>
          <t>DALARNAS LÄN</t>
        </is>
      </c>
      <c r="E880" t="inlineStr">
        <is>
          <t>LEKSAND</t>
        </is>
      </c>
      <c r="G880" t="n">
        <v>2.1</v>
      </c>
      <c r="H880" t="n">
        <v>0</v>
      </c>
      <c r="I880" t="n">
        <v>0</v>
      </c>
      <c r="J880" t="n">
        <v>0</v>
      </c>
      <c r="K880" t="n">
        <v>0</v>
      </c>
      <c r="L880" t="n">
        <v>0</v>
      </c>
      <c r="M880" t="n">
        <v>0</v>
      </c>
      <c r="N880" t="n">
        <v>0</v>
      </c>
      <c r="O880" t="n">
        <v>0</v>
      </c>
      <c r="P880" t="n">
        <v>0</v>
      </c>
      <c r="Q880" t="n">
        <v>0</v>
      </c>
      <c r="R880" s="2" t="inlineStr"/>
    </row>
    <row r="881" ht="15" customHeight="1">
      <c r="A881" t="inlineStr">
        <is>
          <t>A 11872-2024</t>
        </is>
      </c>
      <c r="B881" s="1" t="n">
        <v>45376</v>
      </c>
      <c r="C881" s="1" t="n">
        <v>45471</v>
      </c>
      <c r="D881" t="inlineStr">
        <is>
          <t>DALARNAS LÄN</t>
        </is>
      </c>
      <c r="E881" t="inlineStr">
        <is>
          <t>LEKSAND</t>
        </is>
      </c>
      <c r="G881" t="n">
        <v>3.1</v>
      </c>
      <c r="H881" t="n">
        <v>0</v>
      </c>
      <c r="I881" t="n">
        <v>0</v>
      </c>
      <c r="J881" t="n">
        <v>0</v>
      </c>
      <c r="K881" t="n">
        <v>0</v>
      </c>
      <c r="L881" t="n">
        <v>0</v>
      </c>
      <c r="M881" t="n">
        <v>0</v>
      </c>
      <c r="N881" t="n">
        <v>0</v>
      </c>
      <c r="O881" t="n">
        <v>0</v>
      </c>
      <c r="P881" t="n">
        <v>0</v>
      </c>
      <c r="Q881" t="n">
        <v>0</v>
      </c>
      <c r="R881" s="2" t="inlineStr"/>
    </row>
    <row r="882" ht="15" customHeight="1">
      <c r="A882" t="inlineStr">
        <is>
          <t>A 11870-2024</t>
        </is>
      </c>
      <c r="B882" s="1" t="n">
        <v>45376</v>
      </c>
      <c r="C882" s="1" t="n">
        <v>45471</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12290-2024</t>
        </is>
      </c>
      <c r="B883" s="1" t="n">
        <v>45378</v>
      </c>
      <c r="C883" s="1" t="n">
        <v>45471</v>
      </c>
      <c r="D883" t="inlineStr">
        <is>
          <t>DALARNAS LÄN</t>
        </is>
      </c>
      <c r="E883" t="inlineStr">
        <is>
          <t>LEKSAND</t>
        </is>
      </c>
      <c r="G883" t="n">
        <v>2.5</v>
      </c>
      <c r="H883" t="n">
        <v>0</v>
      </c>
      <c r="I883" t="n">
        <v>0</v>
      </c>
      <c r="J883" t="n">
        <v>0</v>
      </c>
      <c r="K883" t="n">
        <v>0</v>
      </c>
      <c r="L883" t="n">
        <v>0</v>
      </c>
      <c r="M883" t="n">
        <v>0</v>
      </c>
      <c r="N883" t="n">
        <v>0</v>
      </c>
      <c r="O883" t="n">
        <v>0</v>
      </c>
      <c r="P883" t="n">
        <v>0</v>
      </c>
      <c r="Q883" t="n">
        <v>0</v>
      </c>
      <c r="R883" s="2" t="inlineStr"/>
    </row>
    <row r="884" ht="15" customHeight="1">
      <c r="A884" t="inlineStr">
        <is>
          <t>A 12481-2024</t>
        </is>
      </c>
      <c r="B884" s="1" t="n">
        <v>45379</v>
      </c>
      <c r="C884" s="1" t="n">
        <v>45471</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v>
      </c>
      <c r="C885" s="1" t="n">
        <v>45471</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13165-2024</t>
        </is>
      </c>
      <c r="B886" s="1" t="n">
        <v>45386</v>
      </c>
      <c r="C886" s="1" t="n">
        <v>45471</v>
      </c>
      <c r="D886" t="inlineStr">
        <is>
          <t>DALARNAS LÄN</t>
        </is>
      </c>
      <c r="E886" t="inlineStr">
        <is>
          <t>LEKSAND</t>
        </is>
      </c>
      <c r="G886" t="n">
        <v>3.4</v>
      </c>
      <c r="H886" t="n">
        <v>0</v>
      </c>
      <c r="I886" t="n">
        <v>0</v>
      </c>
      <c r="J886" t="n">
        <v>0</v>
      </c>
      <c r="K886" t="n">
        <v>0</v>
      </c>
      <c r="L886" t="n">
        <v>0</v>
      </c>
      <c r="M886" t="n">
        <v>0</v>
      </c>
      <c r="N886" t="n">
        <v>0</v>
      </c>
      <c r="O886" t="n">
        <v>0</v>
      </c>
      <c r="P886" t="n">
        <v>0</v>
      </c>
      <c r="Q886" t="n">
        <v>0</v>
      </c>
      <c r="R886" s="2" t="inlineStr"/>
    </row>
    <row r="887" ht="15" customHeight="1">
      <c r="A887" t="inlineStr">
        <is>
          <t>A 13741-2024</t>
        </is>
      </c>
      <c r="B887" s="1" t="n">
        <v>45390</v>
      </c>
      <c r="C887" s="1" t="n">
        <v>45471</v>
      </c>
      <c r="D887" t="inlineStr">
        <is>
          <t>DALARNAS LÄN</t>
        </is>
      </c>
      <c r="E887" t="inlineStr">
        <is>
          <t>LEKSAND</t>
        </is>
      </c>
      <c r="G887" t="n">
        <v>5.9</v>
      </c>
      <c r="H887" t="n">
        <v>0</v>
      </c>
      <c r="I887" t="n">
        <v>0</v>
      </c>
      <c r="J887" t="n">
        <v>0</v>
      </c>
      <c r="K887" t="n">
        <v>0</v>
      </c>
      <c r="L887" t="n">
        <v>0</v>
      </c>
      <c r="M887" t="n">
        <v>0</v>
      </c>
      <c r="N887" t="n">
        <v>0</v>
      </c>
      <c r="O887" t="n">
        <v>0</v>
      </c>
      <c r="P887" t="n">
        <v>0</v>
      </c>
      <c r="Q887" t="n">
        <v>0</v>
      </c>
      <c r="R887" s="2" t="inlineStr"/>
    </row>
    <row r="888" ht="15" customHeight="1">
      <c r="A888" t="inlineStr">
        <is>
          <t>A 13783-2024</t>
        </is>
      </c>
      <c r="B888" s="1" t="n">
        <v>45391</v>
      </c>
      <c r="C888" s="1" t="n">
        <v>45471</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13811-2024</t>
        </is>
      </c>
      <c r="B889" s="1" t="n">
        <v>45391</v>
      </c>
      <c r="C889" s="1" t="n">
        <v>45471</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13990-2024</t>
        </is>
      </c>
      <c r="B890" s="1" t="n">
        <v>45392</v>
      </c>
      <c r="C890" s="1" t="n">
        <v>45471</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14276-2024</t>
        </is>
      </c>
      <c r="B891" s="1" t="n">
        <v>45393</v>
      </c>
      <c r="C891" s="1" t="n">
        <v>45471</v>
      </c>
      <c r="D891" t="inlineStr">
        <is>
          <t>DALARNAS LÄN</t>
        </is>
      </c>
      <c r="E891" t="inlineStr">
        <is>
          <t>LEKSAND</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14616-2024</t>
        </is>
      </c>
      <c r="B892" s="1" t="n">
        <v>45397</v>
      </c>
      <c r="C892" s="1" t="n">
        <v>45471</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14615-2024</t>
        </is>
      </c>
      <c r="B893" s="1" t="n">
        <v>45397</v>
      </c>
      <c r="C893" s="1" t="n">
        <v>45471</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14614-2024</t>
        </is>
      </c>
      <c r="B894" s="1" t="n">
        <v>45397</v>
      </c>
      <c r="C894" s="1" t="n">
        <v>45471</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14661-2024</t>
        </is>
      </c>
      <c r="B895" s="1" t="n">
        <v>45397</v>
      </c>
      <c r="C895" s="1" t="n">
        <v>45471</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14688-2024</t>
        </is>
      </c>
      <c r="B896" s="1" t="n">
        <v>45397</v>
      </c>
      <c r="C896" s="1" t="n">
        <v>45471</v>
      </c>
      <c r="D896" t="inlineStr">
        <is>
          <t>DALARNAS LÄN</t>
        </is>
      </c>
      <c r="E896" t="inlineStr">
        <is>
          <t>LEKSAND</t>
        </is>
      </c>
      <c r="G896" t="n">
        <v>3.2</v>
      </c>
      <c r="H896" t="n">
        <v>0</v>
      </c>
      <c r="I896" t="n">
        <v>0</v>
      </c>
      <c r="J896" t="n">
        <v>0</v>
      </c>
      <c r="K896" t="n">
        <v>0</v>
      </c>
      <c r="L896" t="n">
        <v>0</v>
      </c>
      <c r="M896" t="n">
        <v>0</v>
      </c>
      <c r="N896" t="n">
        <v>0</v>
      </c>
      <c r="O896" t="n">
        <v>0</v>
      </c>
      <c r="P896" t="n">
        <v>0</v>
      </c>
      <c r="Q896" t="n">
        <v>0</v>
      </c>
      <c r="R896" s="2" t="inlineStr"/>
    </row>
    <row r="897" ht="15" customHeight="1">
      <c r="A897" t="inlineStr">
        <is>
          <t>A 14792-2024</t>
        </is>
      </c>
      <c r="B897" s="1" t="n">
        <v>45397</v>
      </c>
      <c r="C897" s="1" t="n">
        <v>45471</v>
      </c>
      <c r="D897" t="inlineStr">
        <is>
          <t>DALARNAS LÄN</t>
        </is>
      </c>
      <c r="E897" t="inlineStr">
        <is>
          <t>LEKSAND</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14617-2024</t>
        </is>
      </c>
      <c r="B898" s="1" t="n">
        <v>45397</v>
      </c>
      <c r="C898" s="1" t="n">
        <v>45471</v>
      </c>
      <c r="D898" t="inlineStr">
        <is>
          <t>DALARNAS LÄN</t>
        </is>
      </c>
      <c r="E898" t="inlineStr">
        <is>
          <t>LEKSAND</t>
        </is>
      </c>
      <c r="G898" t="n">
        <v>0.2</v>
      </c>
      <c r="H898" t="n">
        <v>0</v>
      </c>
      <c r="I898" t="n">
        <v>0</v>
      </c>
      <c r="J898" t="n">
        <v>0</v>
      </c>
      <c r="K898" t="n">
        <v>0</v>
      </c>
      <c r="L898" t="n">
        <v>0</v>
      </c>
      <c r="M898" t="n">
        <v>0</v>
      </c>
      <c r="N898" t="n">
        <v>0</v>
      </c>
      <c r="O898" t="n">
        <v>0</v>
      </c>
      <c r="P898" t="n">
        <v>0</v>
      </c>
      <c r="Q898" t="n">
        <v>0</v>
      </c>
      <c r="R898" s="2" t="inlineStr"/>
    </row>
    <row r="899" ht="15" customHeight="1">
      <c r="A899" t="inlineStr">
        <is>
          <t>A 14659-2024</t>
        </is>
      </c>
      <c r="B899" s="1" t="n">
        <v>45397</v>
      </c>
      <c r="C899" s="1" t="n">
        <v>45471</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14908-2024</t>
        </is>
      </c>
      <c r="B900" s="1" t="n">
        <v>45398</v>
      </c>
      <c r="C900" s="1" t="n">
        <v>45471</v>
      </c>
      <c r="D900" t="inlineStr">
        <is>
          <t>DALARNAS LÄN</t>
        </is>
      </c>
      <c r="E900" t="inlineStr">
        <is>
          <t>LEKSAND</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14957-2024</t>
        </is>
      </c>
      <c r="B901" s="1" t="n">
        <v>45398</v>
      </c>
      <c r="C901" s="1" t="n">
        <v>45471</v>
      </c>
      <c r="D901" t="inlineStr">
        <is>
          <t>DALARNAS LÄN</t>
        </is>
      </c>
      <c r="E901" t="inlineStr">
        <is>
          <t>LEKSAND</t>
        </is>
      </c>
      <c r="G901" t="n">
        <v>11.5</v>
      </c>
      <c r="H901" t="n">
        <v>0</v>
      </c>
      <c r="I901" t="n">
        <v>0</v>
      </c>
      <c r="J901" t="n">
        <v>0</v>
      </c>
      <c r="K901" t="n">
        <v>0</v>
      </c>
      <c r="L901" t="n">
        <v>0</v>
      </c>
      <c r="M901" t="n">
        <v>0</v>
      </c>
      <c r="N901" t="n">
        <v>0</v>
      </c>
      <c r="O901" t="n">
        <v>0</v>
      </c>
      <c r="P901" t="n">
        <v>0</v>
      </c>
      <c r="Q901" t="n">
        <v>0</v>
      </c>
      <c r="R901" s="2" t="inlineStr"/>
    </row>
    <row r="902" ht="15" customHeight="1">
      <c r="A902" t="inlineStr">
        <is>
          <t>A 14903-2024</t>
        </is>
      </c>
      <c r="B902" s="1" t="n">
        <v>45398</v>
      </c>
      <c r="C902" s="1" t="n">
        <v>45471</v>
      </c>
      <c r="D902" t="inlineStr">
        <is>
          <t>DALARNAS LÄN</t>
        </is>
      </c>
      <c r="E902" t="inlineStr">
        <is>
          <t>LEKSAND</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15621-2024</t>
        </is>
      </c>
      <c r="B903" s="1" t="n">
        <v>45402</v>
      </c>
      <c r="C903" s="1" t="n">
        <v>45471</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row r="904" ht="15" customHeight="1">
      <c r="A904" t="inlineStr">
        <is>
          <t>A 15680-2024</t>
        </is>
      </c>
      <c r="B904" s="1" t="n">
        <v>45404</v>
      </c>
      <c r="C904" s="1" t="n">
        <v>45471</v>
      </c>
      <c r="D904" t="inlineStr">
        <is>
          <t>DALARNAS LÄN</t>
        </is>
      </c>
      <c r="E904" t="inlineStr">
        <is>
          <t>LEKSAND</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15681-2024</t>
        </is>
      </c>
      <c r="B905" s="1" t="n">
        <v>45404</v>
      </c>
      <c r="C905" s="1" t="n">
        <v>45471</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15808-2024</t>
        </is>
      </c>
      <c r="B906" s="1" t="n">
        <v>45404</v>
      </c>
      <c r="C906" s="1" t="n">
        <v>45471</v>
      </c>
      <c r="D906" t="inlineStr">
        <is>
          <t>DALARNAS LÄN</t>
        </is>
      </c>
      <c r="E906" t="inlineStr">
        <is>
          <t>LEKSAND</t>
        </is>
      </c>
      <c r="G906" t="n">
        <v>2.8</v>
      </c>
      <c r="H906" t="n">
        <v>0</v>
      </c>
      <c r="I906" t="n">
        <v>0</v>
      </c>
      <c r="J906" t="n">
        <v>0</v>
      </c>
      <c r="K906" t="n">
        <v>0</v>
      </c>
      <c r="L906" t="n">
        <v>0</v>
      </c>
      <c r="M906" t="n">
        <v>0</v>
      </c>
      <c r="N906" t="n">
        <v>0</v>
      </c>
      <c r="O906" t="n">
        <v>0</v>
      </c>
      <c r="P906" t="n">
        <v>0</v>
      </c>
      <c r="Q906" t="n">
        <v>0</v>
      </c>
      <c r="R906" s="2" t="inlineStr"/>
    </row>
    <row r="907" ht="15" customHeight="1">
      <c r="A907" t="inlineStr">
        <is>
          <t>A 16197-2024</t>
        </is>
      </c>
      <c r="B907" s="1" t="n">
        <v>45406</v>
      </c>
      <c r="C907" s="1" t="n">
        <v>45471</v>
      </c>
      <c r="D907" t="inlineStr">
        <is>
          <t>DALARNAS LÄN</t>
        </is>
      </c>
      <c r="E907" t="inlineStr">
        <is>
          <t>LEKSAND</t>
        </is>
      </c>
      <c r="G907" t="n">
        <v>2.4</v>
      </c>
      <c r="H907" t="n">
        <v>0</v>
      </c>
      <c r="I907" t="n">
        <v>0</v>
      </c>
      <c r="J907" t="n">
        <v>0</v>
      </c>
      <c r="K907" t="n">
        <v>0</v>
      </c>
      <c r="L907" t="n">
        <v>0</v>
      </c>
      <c r="M907" t="n">
        <v>0</v>
      </c>
      <c r="N907" t="n">
        <v>0</v>
      </c>
      <c r="O907" t="n">
        <v>0</v>
      </c>
      <c r="P907" t="n">
        <v>0</v>
      </c>
      <c r="Q907" t="n">
        <v>0</v>
      </c>
      <c r="R907" s="2" t="inlineStr"/>
    </row>
    <row r="908" ht="15" customHeight="1">
      <c r="A908" t="inlineStr">
        <is>
          <t>A 16265-2024</t>
        </is>
      </c>
      <c r="B908" s="1" t="n">
        <v>45407</v>
      </c>
      <c r="C908" s="1" t="n">
        <v>45471</v>
      </c>
      <c r="D908" t="inlineStr">
        <is>
          <t>DALARNAS LÄN</t>
        </is>
      </c>
      <c r="E908" t="inlineStr">
        <is>
          <t>LEKSAND</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16417-2024</t>
        </is>
      </c>
      <c r="B909" s="1" t="n">
        <v>45407</v>
      </c>
      <c r="C909" s="1" t="n">
        <v>45471</v>
      </c>
      <c r="D909" t="inlineStr">
        <is>
          <t>DALARNAS LÄN</t>
        </is>
      </c>
      <c r="E909" t="inlineStr">
        <is>
          <t>LEKSAND</t>
        </is>
      </c>
      <c r="F909" t="inlineStr">
        <is>
          <t>Bergvik skog väst AB</t>
        </is>
      </c>
      <c r="G909" t="n">
        <v>17.4</v>
      </c>
      <c r="H909" t="n">
        <v>0</v>
      </c>
      <c r="I909" t="n">
        <v>0</v>
      </c>
      <c r="J909" t="n">
        <v>0</v>
      </c>
      <c r="K909" t="n">
        <v>0</v>
      </c>
      <c r="L909" t="n">
        <v>0</v>
      </c>
      <c r="M909" t="n">
        <v>0</v>
      </c>
      <c r="N909" t="n">
        <v>0</v>
      </c>
      <c r="O909" t="n">
        <v>0</v>
      </c>
      <c r="P909" t="n">
        <v>0</v>
      </c>
      <c r="Q909" t="n">
        <v>0</v>
      </c>
      <c r="R909" s="2" t="inlineStr"/>
    </row>
    <row r="910" ht="15" customHeight="1">
      <c r="A910" t="inlineStr">
        <is>
          <t>A 16264-2024</t>
        </is>
      </c>
      <c r="B910" s="1" t="n">
        <v>45407</v>
      </c>
      <c r="C910" s="1" t="n">
        <v>45471</v>
      </c>
      <c r="D910" t="inlineStr">
        <is>
          <t>DALARNAS LÄN</t>
        </is>
      </c>
      <c r="E910" t="inlineStr">
        <is>
          <t>LEKSAND</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16420-2024</t>
        </is>
      </c>
      <c r="B911" s="1" t="n">
        <v>45407</v>
      </c>
      <c r="C911" s="1" t="n">
        <v>45471</v>
      </c>
      <c r="D911" t="inlineStr">
        <is>
          <t>DALARNAS LÄN</t>
        </is>
      </c>
      <c r="E911" t="inlineStr">
        <is>
          <t>LEKSAND</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16581-2024</t>
        </is>
      </c>
      <c r="B912" s="1" t="n">
        <v>45408</v>
      </c>
      <c r="C912" s="1" t="n">
        <v>45471</v>
      </c>
      <c r="D912" t="inlineStr">
        <is>
          <t>DALARNAS LÄN</t>
        </is>
      </c>
      <c r="E912" t="inlineStr">
        <is>
          <t>LEKSAND</t>
        </is>
      </c>
      <c r="G912" t="n">
        <v>2.6</v>
      </c>
      <c r="H912" t="n">
        <v>0</v>
      </c>
      <c r="I912" t="n">
        <v>0</v>
      </c>
      <c r="J912" t="n">
        <v>0</v>
      </c>
      <c r="K912" t="n">
        <v>0</v>
      </c>
      <c r="L912" t="n">
        <v>0</v>
      </c>
      <c r="M912" t="n">
        <v>0</v>
      </c>
      <c r="N912" t="n">
        <v>0</v>
      </c>
      <c r="O912" t="n">
        <v>0</v>
      </c>
      <c r="P912" t="n">
        <v>0</v>
      </c>
      <c r="Q912" t="n">
        <v>0</v>
      </c>
      <c r="R912" s="2" t="inlineStr"/>
    </row>
    <row r="913" ht="15" customHeight="1">
      <c r="A913" t="inlineStr">
        <is>
          <t>A 16611-2024</t>
        </is>
      </c>
      <c r="B913" s="1" t="n">
        <v>45408</v>
      </c>
      <c r="C913" s="1" t="n">
        <v>45471</v>
      </c>
      <c r="D913" t="inlineStr">
        <is>
          <t>DALARNAS LÄN</t>
        </is>
      </c>
      <c r="E913" t="inlineStr">
        <is>
          <t>LEKSAND</t>
        </is>
      </c>
      <c r="G913" t="n">
        <v>5.9</v>
      </c>
      <c r="H913" t="n">
        <v>0</v>
      </c>
      <c r="I913" t="n">
        <v>0</v>
      </c>
      <c r="J913" t="n">
        <v>0</v>
      </c>
      <c r="K913" t="n">
        <v>0</v>
      </c>
      <c r="L913" t="n">
        <v>0</v>
      </c>
      <c r="M913" t="n">
        <v>0</v>
      </c>
      <c r="N913" t="n">
        <v>0</v>
      </c>
      <c r="O913" t="n">
        <v>0</v>
      </c>
      <c r="P913" t="n">
        <v>0</v>
      </c>
      <c r="Q913" t="n">
        <v>0</v>
      </c>
      <c r="R913" s="2" t="inlineStr"/>
    </row>
    <row r="914" ht="15" customHeight="1">
      <c r="A914" t="inlineStr">
        <is>
          <t>A 16894-2024</t>
        </is>
      </c>
      <c r="B914" s="1" t="n">
        <v>45411</v>
      </c>
      <c r="C914" s="1" t="n">
        <v>45471</v>
      </c>
      <c r="D914" t="inlineStr">
        <is>
          <t>DALARNAS LÄN</t>
        </is>
      </c>
      <c r="E914" t="inlineStr">
        <is>
          <t>LEKSAND</t>
        </is>
      </c>
      <c r="F914" t="inlineStr">
        <is>
          <t>Bergvik skog väst AB</t>
        </is>
      </c>
      <c r="G914" t="n">
        <v>3.7</v>
      </c>
      <c r="H914" t="n">
        <v>0</v>
      </c>
      <c r="I914" t="n">
        <v>0</v>
      </c>
      <c r="J914" t="n">
        <v>0</v>
      </c>
      <c r="K914" t="n">
        <v>0</v>
      </c>
      <c r="L914" t="n">
        <v>0</v>
      </c>
      <c r="M914" t="n">
        <v>0</v>
      </c>
      <c r="N914" t="n">
        <v>0</v>
      </c>
      <c r="O914" t="n">
        <v>0</v>
      </c>
      <c r="P914" t="n">
        <v>0</v>
      </c>
      <c r="Q914" t="n">
        <v>0</v>
      </c>
      <c r="R914" s="2" t="inlineStr"/>
    </row>
    <row r="915" ht="15" customHeight="1">
      <c r="A915" t="inlineStr">
        <is>
          <t>A 17198-2024</t>
        </is>
      </c>
      <c r="B915" s="1" t="n">
        <v>45413</v>
      </c>
      <c r="C915" s="1" t="n">
        <v>45471</v>
      </c>
      <c r="D915" t="inlineStr">
        <is>
          <t>DALARNAS LÄN</t>
        </is>
      </c>
      <c r="E915" t="inlineStr">
        <is>
          <t>LEKSAND</t>
        </is>
      </c>
      <c r="G915" t="n">
        <v>4.8</v>
      </c>
      <c r="H915" t="n">
        <v>0</v>
      </c>
      <c r="I915" t="n">
        <v>0</v>
      </c>
      <c r="J915" t="n">
        <v>0</v>
      </c>
      <c r="K915" t="n">
        <v>0</v>
      </c>
      <c r="L915" t="n">
        <v>0</v>
      </c>
      <c r="M915" t="n">
        <v>0</v>
      </c>
      <c r="N915" t="n">
        <v>0</v>
      </c>
      <c r="O915" t="n">
        <v>0</v>
      </c>
      <c r="P915" t="n">
        <v>0</v>
      </c>
      <c r="Q915" t="n">
        <v>0</v>
      </c>
      <c r="R915" s="2" t="inlineStr"/>
    </row>
    <row r="916" ht="15" customHeight="1">
      <c r="A916" t="inlineStr">
        <is>
          <t>A 17353-2024</t>
        </is>
      </c>
      <c r="B916" s="1" t="n">
        <v>45414</v>
      </c>
      <c r="C916" s="1" t="n">
        <v>45471</v>
      </c>
      <c r="D916" t="inlineStr">
        <is>
          <t>DALARNAS LÄN</t>
        </is>
      </c>
      <c r="E916" t="inlineStr">
        <is>
          <t>LEKSAND</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17606-2024</t>
        </is>
      </c>
      <c r="B917" s="1" t="n">
        <v>45415</v>
      </c>
      <c r="C917" s="1" t="n">
        <v>45471</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17796-2024</t>
        </is>
      </c>
      <c r="B918" s="1" t="n">
        <v>45418</v>
      </c>
      <c r="C918" s="1" t="n">
        <v>45471</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17726-2024</t>
        </is>
      </c>
      <c r="B919" s="1" t="n">
        <v>45418</v>
      </c>
      <c r="C919" s="1" t="n">
        <v>45471</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17730-2024</t>
        </is>
      </c>
      <c r="B920" s="1" t="n">
        <v>45418</v>
      </c>
      <c r="C920" s="1" t="n">
        <v>45471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17938-2024</t>
        </is>
      </c>
      <c r="B921" s="1" t="n">
        <v>45419</v>
      </c>
      <c r="C921" s="1" t="n">
        <v>45471</v>
      </c>
      <c r="D921" t="inlineStr">
        <is>
          <t>DALARNAS LÄN</t>
        </is>
      </c>
      <c r="E921" t="inlineStr">
        <is>
          <t>LEKSAND</t>
        </is>
      </c>
      <c r="G921" t="n">
        <v>3.8</v>
      </c>
      <c r="H921" t="n">
        <v>0</v>
      </c>
      <c r="I921" t="n">
        <v>0</v>
      </c>
      <c r="J921" t="n">
        <v>0</v>
      </c>
      <c r="K921" t="n">
        <v>0</v>
      </c>
      <c r="L921" t="n">
        <v>0</v>
      </c>
      <c r="M921" t="n">
        <v>0</v>
      </c>
      <c r="N921" t="n">
        <v>0</v>
      </c>
      <c r="O921" t="n">
        <v>0</v>
      </c>
      <c r="P921" t="n">
        <v>0</v>
      </c>
      <c r="Q921" t="n">
        <v>0</v>
      </c>
      <c r="R921" s="2" t="inlineStr"/>
    </row>
    <row r="922" ht="15" customHeight="1">
      <c r="A922" t="inlineStr">
        <is>
          <t>A 17944-2024</t>
        </is>
      </c>
      <c r="B922" s="1" t="n">
        <v>45419</v>
      </c>
      <c r="C922" s="1" t="n">
        <v>45471</v>
      </c>
      <c r="D922" t="inlineStr">
        <is>
          <t>DALARNAS LÄN</t>
        </is>
      </c>
      <c r="E922" t="inlineStr">
        <is>
          <t>LEKSAND</t>
        </is>
      </c>
      <c r="G922" t="n">
        <v>2.9</v>
      </c>
      <c r="H922" t="n">
        <v>0</v>
      </c>
      <c r="I922" t="n">
        <v>0</v>
      </c>
      <c r="J922" t="n">
        <v>0</v>
      </c>
      <c r="K922" t="n">
        <v>0</v>
      </c>
      <c r="L922" t="n">
        <v>0</v>
      </c>
      <c r="M922" t="n">
        <v>0</v>
      </c>
      <c r="N922" t="n">
        <v>0</v>
      </c>
      <c r="O922" t="n">
        <v>0</v>
      </c>
      <c r="P922" t="n">
        <v>0</v>
      </c>
      <c r="Q922" t="n">
        <v>0</v>
      </c>
      <c r="R922" s="2" t="inlineStr"/>
    </row>
    <row r="923" ht="15" customHeight="1">
      <c r="A923" t="inlineStr">
        <is>
          <t>A 18040-2024</t>
        </is>
      </c>
      <c r="B923" s="1" t="n">
        <v>45420</v>
      </c>
      <c r="C923" s="1" t="n">
        <v>45471</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18176-2024</t>
        </is>
      </c>
      <c r="B924" s="1" t="n">
        <v>45420</v>
      </c>
      <c r="C924" s="1" t="n">
        <v>45471</v>
      </c>
      <c r="D924" t="inlineStr">
        <is>
          <t>DALARNAS LÄN</t>
        </is>
      </c>
      <c r="E924" t="inlineStr">
        <is>
          <t>LEKSAND</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18484-2024</t>
        </is>
      </c>
      <c r="B925" s="1" t="n">
        <v>45425</v>
      </c>
      <c r="C925" s="1" t="n">
        <v>45471</v>
      </c>
      <c r="D925" t="inlineStr">
        <is>
          <t>DALARNAS LÄN</t>
        </is>
      </c>
      <c r="E925" t="inlineStr">
        <is>
          <t>LEKSAND</t>
        </is>
      </c>
      <c r="G925" t="n">
        <v>2</v>
      </c>
      <c r="H925" t="n">
        <v>0</v>
      </c>
      <c r="I925" t="n">
        <v>0</v>
      </c>
      <c r="J925" t="n">
        <v>0</v>
      </c>
      <c r="K925" t="n">
        <v>0</v>
      </c>
      <c r="L925" t="n">
        <v>0</v>
      </c>
      <c r="M925" t="n">
        <v>0</v>
      </c>
      <c r="N925" t="n">
        <v>0</v>
      </c>
      <c r="O925" t="n">
        <v>0</v>
      </c>
      <c r="P925" t="n">
        <v>0</v>
      </c>
      <c r="Q925" t="n">
        <v>0</v>
      </c>
      <c r="R925" s="2" t="inlineStr"/>
    </row>
    <row r="926" ht="15" customHeight="1">
      <c r="A926" t="inlineStr">
        <is>
          <t>A 18481-2024</t>
        </is>
      </c>
      <c r="B926" s="1" t="n">
        <v>45425</v>
      </c>
      <c r="C926" s="1" t="n">
        <v>45471</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18483-2024</t>
        </is>
      </c>
      <c r="B927" s="1" t="n">
        <v>45425</v>
      </c>
      <c r="C927" s="1" t="n">
        <v>45471</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18791-2024</t>
        </is>
      </c>
      <c r="B928" s="1" t="n">
        <v>45426</v>
      </c>
      <c r="C928" s="1" t="n">
        <v>45471</v>
      </c>
      <c r="D928" t="inlineStr">
        <is>
          <t>DALARNAS LÄN</t>
        </is>
      </c>
      <c r="E928" t="inlineStr">
        <is>
          <t>LEKSAND</t>
        </is>
      </c>
      <c r="G928" t="n">
        <v>2.2</v>
      </c>
      <c r="H928" t="n">
        <v>0</v>
      </c>
      <c r="I928" t="n">
        <v>0</v>
      </c>
      <c r="J928" t="n">
        <v>0</v>
      </c>
      <c r="K928" t="n">
        <v>0</v>
      </c>
      <c r="L928" t="n">
        <v>0</v>
      </c>
      <c r="M928" t="n">
        <v>0</v>
      </c>
      <c r="N928" t="n">
        <v>0</v>
      </c>
      <c r="O928" t="n">
        <v>0</v>
      </c>
      <c r="P928" t="n">
        <v>0</v>
      </c>
      <c r="Q928" t="n">
        <v>0</v>
      </c>
      <c r="R928" s="2" t="inlineStr"/>
    </row>
    <row r="929" ht="15" customHeight="1">
      <c r="A929" t="inlineStr">
        <is>
          <t>A 19075-2024</t>
        </is>
      </c>
      <c r="B929" s="1" t="n">
        <v>45428</v>
      </c>
      <c r="C929" s="1" t="n">
        <v>45471</v>
      </c>
      <c r="D929" t="inlineStr">
        <is>
          <t>DALARNAS LÄN</t>
        </is>
      </c>
      <c r="E929" t="inlineStr">
        <is>
          <t>LEKSAND</t>
        </is>
      </c>
      <c r="G929" t="n">
        <v>4.9</v>
      </c>
      <c r="H929" t="n">
        <v>0</v>
      </c>
      <c r="I929" t="n">
        <v>0</v>
      </c>
      <c r="J929" t="n">
        <v>0</v>
      </c>
      <c r="K929" t="n">
        <v>0</v>
      </c>
      <c r="L929" t="n">
        <v>0</v>
      </c>
      <c r="M929" t="n">
        <v>0</v>
      </c>
      <c r="N929" t="n">
        <v>0</v>
      </c>
      <c r="O929" t="n">
        <v>0</v>
      </c>
      <c r="P929" t="n">
        <v>0</v>
      </c>
      <c r="Q929" t="n">
        <v>0</v>
      </c>
      <c r="R929" s="2" t="inlineStr"/>
    </row>
    <row r="930" ht="15" customHeight="1">
      <c r="A930" t="inlineStr">
        <is>
          <t>A 18991-2024</t>
        </is>
      </c>
      <c r="B930" s="1" t="n">
        <v>45427</v>
      </c>
      <c r="C930" s="1" t="n">
        <v>45471</v>
      </c>
      <c r="D930" t="inlineStr">
        <is>
          <t>DALARNAS LÄN</t>
        </is>
      </c>
      <c r="E930" t="inlineStr">
        <is>
          <t>LEKSAND</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19295-2024</t>
        </is>
      </c>
      <c r="B931" s="1" t="n">
        <v>45428</v>
      </c>
      <c r="C931" s="1" t="n">
        <v>45471</v>
      </c>
      <c r="D931" t="inlineStr">
        <is>
          <t>DALARNAS LÄN</t>
        </is>
      </c>
      <c r="E931" t="inlineStr">
        <is>
          <t>LEKSAND</t>
        </is>
      </c>
      <c r="G931" t="n">
        <v>1.6</v>
      </c>
      <c r="H931" t="n">
        <v>0</v>
      </c>
      <c r="I931" t="n">
        <v>0</v>
      </c>
      <c r="J931" t="n">
        <v>0</v>
      </c>
      <c r="K931" t="n">
        <v>0</v>
      </c>
      <c r="L931" t="n">
        <v>0</v>
      </c>
      <c r="M931" t="n">
        <v>0</v>
      </c>
      <c r="N931" t="n">
        <v>0</v>
      </c>
      <c r="O931" t="n">
        <v>0</v>
      </c>
      <c r="P931" t="n">
        <v>0</v>
      </c>
      <c r="Q931" t="n">
        <v>0</v>
      </c>
      <c r="R931" s="2" t="inlineStr"/>
    </row>
    <row r="932" ht="15" customHeight="1">
      <c r="A932" t="inlineStr">
        <is>
          <t>A 19296-2024</t>
        </is>
      </c>
      <c r="B932" s="1" t="n">
        <v>45428</v>
      </c>
      <c r="C932" s="1" t="n">
        <v>45471</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19371-2024</t>
        </is>
      </c>
      <c r="B933" s="1" t="n">
        <v>45429</v>
      </c>
      <c r="C933" s="1" t="n">
        <v>45471</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19670-2024</t>
        </is>
      </c>
      <c r="B934" s="1" t="n">
        <v>45432</v>
      </c>
      <c r="C934" s="1" t="n">
        <v>45471</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19738-2024</t>
        </is>
      </c>
      <c r="B935" s="1" t="n">
        <v>45432</v>
      </c>
      <c r="C935" s="1" t="n">
        <v>45471</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19741-2024</t>
        </is>
      </c>
      <c r="B936" s="1" t="n">
        <v>45432</v>
      </c>
      <c r="C936" s="1" t="n">
        <v>45471</v>
      </c>
      <c r="D936" t="inlineStr">
        <is>
          <t>DALARNAS LÄN</t>
        </is>
      </c>
      <c r="E936" t="inlineStr">
        <is>
          <t>LEKSAND</t>
        </is>
      </c>
      <c r="G936" t="n">
        <v>1.1</v>
      </c>
      <c r="H936" t="n">
        <v>0</v>
      </c>
      <c r="I936" t="n">
        <v>0</v>
      </c>
      <c r="J936" t="n">
        <v>0</v>
      </c>
      <c r="K936" t="n">
        <v>0</v>
      </c>
      <c r="L936" t="n">
        <v>0</v>
      </c>
      <c r="M936" t="n">
        <v>0</v>
      </c>
      <c r="N936" t="n">
        <v>0</v>
      </c>
      <c r="O936" t="n">
        <v>0</v>
      </c>
      <c r="P936" t="n">
        <v>0</v>
      </c>
      <c r="Q936" t="n">
        <v>0</v>
      </c>
      <c r="R936" s="2" t="inlineStr"/>
    </row>
    <row r="937" ht="15" customHeight="1">
      <c r="A937" t="inlineStr">
        <is>
          <t>A 19618-2024</t>
        </is>
      </c>
      <c r="B937" s="1" t="n">
        <v>45432</v>
      </c>
      <c r="C937" s="1" t="n">
        <v>45471</v>
      </c>
      <c r="D937" t="inlineStr">
        <is>
          <t>DALARNAS LÄN</t>
        </is>
      </c>
      <c r="E937" t="inlineStr">
        <is>
          <t>LEKSAND</t>
        </is>
      </c>
      <c r="G937" t="n">
        <v>1.5</v>
      </c>
      <c r="H937" t="n">
        <v>0</v>
      </c>
      <c r="I937" t="n">
        <v>0</v>
      </c>
      <c r="J937" t="n">
        <v>0</v>
      </c>
      <c r="K937" t="n">
        <v>0</v>
      </c>
      <c r="L937" t="n">
        <v>0</v>
      </c>
      <c r="M937" t="n">
        <v>0</v>
      </c>
      <c r="N937" t="n">
        <v>0</v>
      </c>
      <c r="O937" t="n">
        <v>0</v>
      </c>
      <c r="P937" t="n">
        <v>0</v>
      </c>
      <c r="Q937" t="n">
        <v>0</v>
      </c>
      <c r="R937" s="2" t="inlineStr"/>
    </row>
    <row r="938" ht="15" customHeight="1">
      <c r="A938" t="inlineStr">
        <is>
          <t>A 19622-2024</t>
        </is>
      </c>
      <c r="B938" s="1" t="n">
        <v>45432</v>
      </c>
      <c r="C938" s="1" t="n">
        <v>45471</v>
      </c>
      <c r="D938" t="inlineStr">
        <is>
          <t>DALARNAS LÄN</t>
        </is>
      </c>
      <c r="E938" t="inlineStr">
        <is>
          <t>LEKSAND</t>
        </is>
      </c>
      <c r="G938" t="n">
        <v>1.3</v>
      </c>
      <c r="H938" t="n">
        <v>0</v>
      </c>
      <c r="I938" t="n">
        <v>0</v>
      </c>
      <c r="J938" t="n">
        <v>0</v>
      </c>
      <c r="K938" t="n">
        <v>0</v>
      </c>
      <c r="L938" t="n">
        <v>0</v>
      </c>
      <c r="M938" t="n">
        <v>0</v>
      </c>
      <c r="N938" t="n">
        <v>0</v>
      </c>
      <c r="O938" t="n">
        <v>0</v>
      </c>
      <c r="P938" t="n">
        <v>0</v>
      </c>
      <c r="Q938" t="n">
        <v>0</v>
      </c>
      <c r="R938" s="2" t="inlineStr"/>
    </row>
    <row r="939" ht="15" customHeight="1">
      <c r="A939" t="inlineStr">
        <is>
          <t>A 19820-2024</t>
        </is>
      </c>
      <c r="B939" s="1" t="n">
        <v>45433</v>
      </c>
      <c r="C939" s="1" t="n">
        <v>45471</v>
      </c>
      <c r="D939" t="inlineStr">
        <is>
          <t>DALARNAS LÄN</t>
        </is>
      </c>
      <c r="E939" t="inlineStr">
        <is>
          <t>LEKSAND</t>
        </is>
      </c>
      <c r="G939" t="n">
        <v>0.7</v>
      </c>
      <c r="H939" t="n">
        <v>0</v>
      </c>
      <c r="I939" t="n">
        <v>0</v>
      </c>
      <c r="J939" t="n">
        <v>0</v>
      </c>
      <c r="K939" t="n">
        <v>0</v>
      </c>
      <c r="L939" t="n">
        <v>0</v>
      </c>
      <c r="M939" t="n">
        <v>0</v>
      </c>
      <c r="N939" t="n">
        <v>0</v>
      </c>
      <c r="O939" t="n">
        <v>0</v>
      </c>
      <c r="P939" t="n">
        <v>0</v>
      </c>
      <c r="Q939" t="n">
        <v>0</v>
      </c>
      <c r="R939" s="2" t="inlineStr"/>
    </row>
    <row r="940" ht="15" customHeight="1">
      <c r="A940" t="inlineStr">
        <is>
          <t>A 19823-2024</t>
        </is>
      </c>
      <c r="B940" s="1" t="n">
        <v>45433</v>
      </c>
      <c r="C940" s="1" t="n">
        <v>45471</v>
      </c>
      <c r="D940" t="inlineStr">
        <is>
          <t>DALARNAS LÄN</t>
        </is>
      </c>
      <c r="E940" t="inlineStr">
        <is>
          <t>LEKSAND</t>
        </is>
      </c>
      <c r="G940" t="n">
        <v>0.3</v>
      </c>
      <c r="H940" t="n">
        <v>0</v>
      </c>
      <c r="I940" t="n">
        <v>0</v>
      </c>
      <c r="J940" t="n">
        <v>0</v>
      </c>
      <c r="K940" t="n">
        <v>0</v>
      </c>
      <c r="L940" t="n">
        <v>0</v>
      </c>
      <c r="M940" t="n">
        <v>0</v>
      </c>
      <c r="N940" t="n">
        <v>0</v>
      </c>
      <c r="O940" t="n">
        <v>0</v>
      </c>
      <c r="P940" t="n">
        <v>0</v>
      </c>
      <c r="Q940" t="n">
        <v>0</v>
      </c>
      <c r="R940" s="2" t="inlineStr"/>
    </row>
    <row r="941" ht="15" customHeight="1">
      <c r="A941" t="inlineStr">
        <is>
          <t>A 20110-2024</t>
        </is>
      </c>
      <c r="B941" s="1" t="n">
        <v>45434</v>
      </c>
      <c r="C941" s="1" t="n">
        <v>45471</v>
      </c>
      <c r="D941" t="inlineStr">
        <is>
          <t>DALARNAS LÄN</t>
        </is>
      </c>
      <c r="E941" t="inlineStr">
        <is>
          <t>LEKSAND</t>
        </is>
      </c>
      <c r="G941" t="n">
        <v>1.8</v>
      </c>
      <c r="H941" t="n">
        <v>0</v>
      </c>
      <c r="I941" t="n">
        <v>0</v>
      </c>
      <c r="J941" t="n">
        <v>0</v>
      </c>
      <c r="K941" t="n">
        <v>0</v>
      </c>
      <c r="L941" t="n">
        <v>0</v>
      </c>
      <c r="M941" t="n">
        <v>0</v>
      </c>
      <c r="N941" t="n">
        <v>0</v>
      </c>
      <c r="O941" t="n">
        <v>0</v>
      </c>
      <c r="P941" t="n">
        <v>0</v>
      </c>
      <c r="Q941" t="n">
        <v>0</v>
      </c>
      <c r="R941" s="2" t="inlineStr"/>
    </row>
    <row r="942" ht="15" customHeight="1">
      <c r="A942" t="inlineStr">
        <is>
          <t>A 20590-2024</t>
        </is>
      </c>
      <c r="B942" s="1" t="n">
        <v>45436</v>
      </c>
      <c r="C942" s="1" t="n">
        <v>45471</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20588-2024</t>
        </is>
      </c>
      <c r="B943" s="1" t="n">
        <v>45436</v>
      </c>
      <c r="C943" s="1" t="n">
        <v>45471</v>
      </c>
      <c r="D943" t="inlineStr">
        <is>
          <t>DALARNAS LÄN</t>
        </is>
      </c>
      <c r="E943" t="inlineStr">
        <is>
          <t>LEKSAND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20718-2024</t>
        </is>
      </c>
      <c r="B944" s="1" t="n">
        <v>45436</v>
      </c>
      <c r="C944" s="1" t="n">
        <v>45471</v>
      </c>
      <c r="D944" t="inlineStr">
        <is>
          <t>DALARNAS LÄN</t>
        </is>
      </c>
      <c r="E944" t="inlineStr">
        <is>
          <t>LEKSAND</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21017-2024</t>
        </is>
      </c>
      <c r="B945" s="1" t="n">
        <v>45439</v>
      </c>
      <c r="C945" s="1" t="n">
        <v>45471</v>
      </c>
      <c r="D945" t="inlineStr">
        <is>
          <t>DALARNAS LÄN</t>
        </is>
      </c>
      <c r="E945" t="inlineStr">
        <is>
          <t>LEKSAND</t>
        </is>
      </c>
      <c r="G945" t="n">
        <v>2.8</v>
      </c>
      <c r="H945" t="n">
        <v>0</v>
      </c>
      <c r="I945" t="n">
        <v>0</v>
      </c>
      <c r="J945" t="n">
        <v>0</v>
      </c>
      <c r="K945" t="n">
        <v>0</v>
      </c>
      <c r="L945" t="n">
        <v>0</v>
      </c>
      <c r="M945" t="n">
        <v>0</v>
      </c>
      <c r="N945" t="n">
        <v>0</v>
      </c>
      <c r="O945" t="n">
        <v>0</v>
      </c>
      <c r="P945" t="n">
        <v>0</v>
      </c>
      <c r="Q945" t="n">
        <v>0</v>
      </c>
      <c r="R945" s="2" t="inlineStr"/>
    </row>
    <row r="946" ht="15" customHeight="1">
      <c r="A946" t="inlineStr">
        <is>
          <t>A 21035-2024</t>
        </is>
      </c>
      <c r="B946" s="1" t="n">
        <v>45439</v>
      </c>
      <c r="C946" s="1" t="n">
        <v>45471</v>
      </c>
      <c r="D946" t="inlineStr">
        <is>
          <t>DALARNAS LÄN</t>
        </is>
      </c>
      <c r="E946" t="inlineStr">
        <is>
          <t>LEKSAND</t>
        </is>
      </c>
      <c r="G946" t="n">
        <v>11.6</v>
      </c>
      <c r="H946" t="n">
        <v>0</v>
      </c>
      <c r="I946" t="n">
        <v>0</v>
      </c>
      <c r="J946" t="n">
        <v>0</v>
      </c>
      <c r="K946" t="n">
        <v>0</v>
      </c>
      <c r="L946" t="n">
        <v>0</v>
      </c>
      <c r="M946" t="n">
        <v>0</v>
      </c>
      <c r="N946" t="n">
        <v>0</v>
      </c>
      <c r="O946" t="n">
        <v>0</v>
      </c>
      <c r="P946" t="n">
        <v>0</v>
      </c>
      <c r="Q946" t="n">
        <v>0</v>
      </c>
      <c r="R946" s="2" t="inlineStr"/>
    </row>
    <row r="947" ht="15" customHeight="1">
      <c r="A947" t="inlineStr">
        <is>
          <t>A 21556-2024</t>
        </is>
      </c>
      <c r="B947" s="1" t="n">
        <v>45441</v>
      </c>
      <c r="C947" s="1" t="n">
        <v>45471</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21676-2024</t>
        </is>
      </c>
      <c r="B948" s="1" t="n">
        <v>45442</v>
      </c>
      <c r="C948" s="1" t="n">
        <v>45471</v>
      </c>
      <c r="D948" t="inlineStr">
        <is>
          <t>DALARNAS LÄN</t>
        </is>
      </c>
      <c r="E948" t="inlineStr">
        <is>
          <t>LEKSAND</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22059-2024</t>
        </is>
      </c>
      <c r="B949" s="1" t="n">
        <v>45443</v>
      </c>
      <c r="C949" s="1" t="n">
        <v>45471</v>
      </c>
      <c r="D949" t="inlineStr">
        <is>
          <t>DALARNAS LÄN</t>
        </is>
      </c>
      <c r="E949" t="inlineStr">
        <is>
          <t>LEKSAND</t>
        </is>
      </c>
      <c r="G949" t="n">
        <v>13.4</v>
      </c>
      <c r="H949" t="n">
        <v>0</v>
      </c>
      <c r="I949" t="n">
        <v>0</v>
      </c>
      <c r="J949" t="n">
        <v>0</v>
      </c>
      <c r="K949" t="n">
        <v>0</v>
      </c>
      <c r="L949" t="n">
        <v>0</v>
      </c>
      <c r="M949" t="n">
        <v>0</v>
      </c>
      <c r="N949" t="n">
        <v>0</v>
      </c>
      <c r="O949" t="n">
        <v>0</v>
      </c>
      <c r="P949" t="n">
        <v>0</v>
      </c>
      <c r="Q949" t="n">
        <v>0</v>
      </c>
      <c r="R949" s="2" t="inlineStr"/>
    </row>
    <row r="950" ht="15" customHeight="1">
      <c r="A950" t="inlineStr">
        <is>
          <t>A 22354-2024</t>
        </is>
      </c>
      <c r="B950" s="1" t="n">
        <v>45446</v>
      </c>
      <c r="C950" s="1" t="n">
        <v>45471</v>
      </c>
      <c r="D950" t="inlineStr">
        <is>
          <t>DALARNAS LÄN</t>
        </is>
      </c>
      <c r="E950" t="inlineStr">
        <is>
          <t>LEKSAND</t>
        </is>
      </c>
      <c r="G950" t="n">
        <v>1</v>
      </c>
      <c r="H950" t="n">
        <v>0</v>
      </c>
      <c r="I950" t="n">
        <v>0</v>
      </c>
      <c r="J950" t="n">
        <v>0</v>
      </c>
      <c r="K950" t="n">
        <v>0</v>
      </c>
      <c r="L950" t="n">
        <v>0</v>
      </c>
      <c r="M950" t="n">
        <v>0</v>
      </c>
      <c r="N950" t="n">
        <v>0</v>
      </c>
      <c r="O950" t="n">
        <v>0</v>
      </c>
      <c r="P950" t="n">
        <v>0</v>
      </c>
      <c r="Q950" t="n">
        <v>0</v>
      </c>
      <c r="R950" s="2" t="inlineStr"/>
    </row>
    <row r="951" ht="15" customHeight="1">
      <c r="A951" t="inlineStr">
        <is>
          <t>A 22388-2024</t>
        </is>
      </c>
      <c r="B951" s="1" t="n">
        <v>45446</v>
      </c>
      <c r="C951" s="1" t="n">
        <v>45471</v>
      </c>
      <c r="D951" t="inlineStr">
        <is>
          <t>DALARNAS LÄN</t>
        </is>
      </c>
      <c r="E951" t="inlineStr">
        <is>
          <t>LEKSAND</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22281-2024</t>
        </is>
      </c>
      <c r="B952" s="1" t="n">
        <v>45446</v>
      </c>
      <c r="C952" s="1" t="n">
        <v>45471</v>
      </c>
      <c r="D952" t="inlineStr">
        <is>
          <t>DALARNAS LÄN</t>
        </is>
      </c>
      <c r="E952" t="inlineStr">
        <is>
          <t>LEKSAND</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22349-2024</t>
        </is>
      </c>
      <c r="B953" s="1" t="n">
        <v>45446</v>
      </c>
      <c r="C953" s="1" t="n">
        <v>45471</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22517-2024</t>
        </is>
      </c>
      <c r="B954" s="1" t="n">
        <v>45447</v>
      </c>
      <c r="C954" s="1" t="n">
        <v>45471</v>
      </c>
      <c r="D954" t="inlineStr">
        <is>
          <t>DALARNAS LÄN</t>
        </is>
      </c>
      <c r="E954" t="inlineStr">
        <is>
          <t>LEKSAND</t>
        </is>
      </c>
      <c r="G954" t="n">
        <v>0.4</v>
      </c>
      <c r="H954" t="n">
        <v>0</v>
      </c>
      <c r="I954" t="n">
        <v>0</v>
      </c>
      <c r="J954" t="n">
        <v>0</v>
      </c>
      <c r="K954" t="n">
        <v>0</v>
      </c>
      <c r="L954" t="n">
        <v>0</v>
      </c>
      <c r="M954" t="n">
        <v>0</v>
      </c>
      <c r="N954" t="n">
        <v>0</v>
      </c>
      <c r="O954" t="n">
        <v>0</v>
      </c>
      <c r="P954" t="n">
        <v>0</v>
      </c>
      <c r="Q954" t="n">
        <v>0</v>
      </c>
      <c r="R954" s="2" t="inlineStr"/>
    </row>
    <row r="955" ht="15" customHeight="1">
      <c r="A955" t="inlineStr">
        <is>
          <t>A 22612-2024</t>
        </is>
      </c>
      <c r="B955" s="1" t="n">
        <v>45447</v>
      </c>
      <c r="C955" s="1" t="n">
        <v>45471</v>
      </c>
      <c r="D955" t="inlineStr">
        <is>
          <t>DALARNAS LÄN</t>
        </is>
      </c>
      <c r="E955" t="inlineStr">
        <is>
          <t>LEKSAND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22686-2024</t>
        </is>
      </c>
      <c r="B956" s="1" t="n">
        <v>45448</v>
      </c>
      <c r="C956" s="1" t="n">
        <v>45471</v>
      </c>
      <c r="D956" t="inlineStr">
        <is>
          <t>DALARNAS LÄN</t>
        </is>
      </c>
      <c r="E956" t="inlineStr">
        <is>
          <t>LEKSAND</t>
        </is>
      </c>
      <c r="G956" t="n">
        <v>2.3</v>
      </c>
      <c r="H956" t="n">
        <v>0</v>
      </c>
      <c r="I956" t="n">
        <v>0</v>
      </c>
      <c r="J956" t="n">
        <v>0</v>
      </c>
      <c r="K956" t="n">
        <v>0</v>
      </c>
      <c r="L956" t="n">
        <v>0</v>
      </c>
      <c r="M956" t="n">
        <v>0</v>
      </c>
      <c r="N956" t="n">
        <v>0</v>
      </c>
      <c r="O956" t="n">
        <v>0</v>
      </c>
      <c r="P956" t="n">
        <v>0</v>
      </c>
      <c r="Q956" t="n">
        <v>0</v>
      </c>
      <c r="R956" s="2" t="inlineStr"/>
    </row>
    <row r="957" ht="15" customHeight="1">
      <c r="A957" t="inlineStr">
        <is>
          <t>A 22708-2024</t>
        </is>
      </c>
      <c r="B957" s="1" t="n">
        <v>45448</v>
      </c>
      <c r="C957" s="1" t="n">
        <v>45471</v>
      </c>
      <c r="D957" t="inlineStr">
        <is>
          <t>DALARNAS LÄN</t>
        </is>
      </c>
      <c r="E957" t="inlineStr">
        <is>
          <t>LEKSAND</t>
        </is>
      </c>
      <c r="G957" t="n">
        <v>12</v>
      </c>
      <c r="H957" t="n">
        <v>0</v>
      </c>
      <c r="I957" t="n">
        <v>0</v>
      </c>
      <c r="J957" t="n">
        <v>0</v>
      </c>
      <c r="K957" t="n">
        <v>0</v>
      </c>
      <c r="L957" t="n">
        <v>0</v>
      </c>
      <c r="M957" t="n">
        <v>0</v>
      </c>
      <c r="N957" t="n">
        <v>0</v>
      </c>
      <c r="O957" t="n">
        <v>0</v>
      </c>
      <c r="P957" t="n">
        <v>0</v>
      </c>
      <c r="Q957" t="n">
        <v>0</v>
      </c>
      <c r="R957" s="2" t="inlineStr"/>
    </row>
    <row r="958" ht="15" customHeight="1">
      <c r="A958" t="inlineStr">
        <is>
          <t>A 23068-2024</t>
        </is>
      </c>
      <c r="B958" s="1" t="n">
        <v>45450</v>
      </c>
      <c r="C958" s="1" t="n">
        <v>45471</v>
      </c>
      <c r="D958" t="inlineStr">
        <is>
          <t>DALARNAS LÄN</t>
        </is>
      </c>
      <c r="E958" t="inlineStr">
        <is>
          <t>LEKSAND</t>
        </is>
      </c>
      <c r="G958" t="n">
        <v>2.4</v>
      </c>
      <c r="H958" t="n">
        <v>0</v>
      </c>
      <c r="I958" t="n">
        <v>0</v>
      </c>
      <c r="J958" t="n">
        <v>0</v>
      </c>
      <c r="K958" t="n">
        <v>0</v>
      </c>
      <c r="L958" t="n">
        <v>0</v>
      </c>
      <c r="M958" t="n">
        <v>0</v>
      </c>
      <c r="N958" t="n">
        <v>0</v>
      </c>
      <c r="O958" t="n">
        <v>0</v>
      </c>
      <c r="P958" t="n">
        <v>0</v>
      </c>
      <c r="Q958" t="n">
        <v>0</v>
      </c>
      <c r="R958" s="2" t="inlineStr"/>
    </row>
    <row r="959" ht="15" customHeight="1">
      <c r="A959" t="inlineStr">
        <is>
          <t>A 23320-2024</t>
        </is>
      </c>
      <c r="B959" s="1" t="n">
        <v>45453</v>
      </c>
      <c r="C959" s="1" t="n">
        <v>45471</v>
      </c>
      <c r="D959" t="inlineStr">
        <is>
          <t>DALARNAS LÄN</t>
        </is>
      </c>
      <c r="E959" t="inlineStr">
        <is>
          <t>LEKSAND</t>
        </is>
      </c>
      <c r="G959" t="n">
        <v>4.6</v>
      </c>
      <c r="H959" t="n">
        <v>0</v>
      </c>
      <c r="I959" t="n">
        <v>0</v>
      </c>
      <c r="J959" t="n">
        <v>0</v>
      </c>
      <c r="K959" t="n">
        <v>0</v>
      </c>
      <c r="L959" t="n">
        <v>0</v>
      </c>
      <c r="M959" t="n">
        <v>0</v>
      </c>
      <c r="N959" t="n">
        <v>0</v>
      </c>
      <c r="O959" t="n">
        <v>0</v>
      </c>
      <c r="P959" t="n">
        <v>0</v>
      </c>
      <c r="Q959" t="n">
        <v>0</v>
      </c>
      <c r="R959" s="2" t="inlineStr"/>
    </row>
    <row r="960" ht="15" customHeight="1">
      <c r="A960" t="inlineStr">
        <is>
          <t>A 23391-2024</t>
        </is>
      </c>
      <c r="B960" s="1" t="n">
        <v>45453</v>
      </c>
      <c r="C960" s="1" t="n">
        <v>45471</v>
      </c>
      <c r="D960" t="inlineStr">
        <is>
          <t>DALARNAS LÄN</t>
        </is>
      </c>
      <c r="E960" t="inlineStr">
        <is>
          <t>LEKSAND</t>
        </is>
      </c>
      <c r="G960" t="n">
        <v>2.2</v>
      </c>
      <c r="H960" t="n">
        <v>0</v>
      </c>
      <c r="I960" t="n">
        <v>0</v>
      </c>
      <c r="J960" t="n">
        <v>0</v>
      </c>
      <c r="K960" t="n">
        <v>0</v>
      </c>
      <c r="L960" t="n">
        <v>0</v>
      </c>
      <c r="M960" t="n">
        <v>0</v>
      </c>
      <c r="N960" t="n">
        <v>0</v>
      </c>
      <c r="O960" t="n">
        <v>0</v>
      </c>
      <c r="P960" t="n">
        <v>0</v>
      </c>
      <c r="Q960" t="n">
        <v>0</v>
      </c>
      <c r="R960" s="2" t="inlineStr"/>
    </row>
    <row r="961" ht="15" customHeight="1">
      <c r="A961" t="inlineStr">
        <is>
          <t>A 23395-2024</t>
        </is>
      </c>
      <c r="B961" s="1" t="n">
        <v>45453</v>
      </c>
      <c r="C961" s="1" t="n">
        <v>45471</v>
      </c>
      <c r="D961" t="inlineStr">
        <is>
          <t>DALARNAS LÄN</t>
        </is>
      </c>
      <c r="E961" t="inlineStr">
        <is>
          <t>LEKSAND</t>
        </is>
      </c>
      <c r="G961" t="n">
        <v>1.2</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45471</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23417-2024</t>
        </is>
      </c>
      <c r="B963" s="1" t="n">
        <v>45453</v>
      </c>
      <c r="C963" s="1" t="n">
        <v>45471</v>
      </c>
      <c r="D963" t="inlineStr">
        <is>
          <t>DALARNAS LÄN</t>
        </is>
      </c>
      <c r="E963" t="inlineStr">
        <is>
          <t>LEKSAND</t>
        </is>
      </c>
      <c r="F963" t="inlineStr">
        <is>
          <t>Bergvik skog väst AB</t>
        </is>
      </c>
      <c r="G963" t="n">
        <v>39.9</v>
      </c>
      <c r="H963" t="n">
        <v>0</v>
      </c>
      <c r="I963" t="n">
        <v>0</v>
      </c>
      <c r="J963" t="n">
        <v>0</v>
      </c>
      <c r="K963" t="n">
        <v>0</v>
      </c>
      <c r="L963" t="n">
        <v>0</v>
      </c>
      <c r="M963" t="n">
        <v>0</v>
      </c>
      <c r="N963" t="n">
        <v>0</v>
      </c>
      <c r="O963" t="n">
        <v>0</v>
      </c>
      <c r="P963" t="n">
        <v>0</v>
      </c>
      <c r="Q963" t="n">
        <v>0</v>
      </c>
      <c r="R963" s="2" t="inlineStr"/>
    </row>
    <row r="964" ht="15" customHeight="1">
      <c r="A964" t="inlineStr">
        <is>
          <t>A 23615-2024</t>
        </is>
      </c>
      <c r="B964" s="1" t="n">
        <v>45454</v>
      </c>
      <c r="C964" s="1" t="n">
        <v>45471</v>
      </c>
      <c r="D964" t="inlineStr">
        <is>
          <t>DALARNAS LÄN</t>
        </is>
      </c>
      <c r="E964" t="inlineStr">
        <is>
          <t>LEKSAND</t>
        </is>
      </c>
      <c r="G964" t="n">
        <v>1.7</v>
      </c>
      <c r="H964" t="n">
        <v>0</v>
      </c>
      <c r="I964" t="n">
        <v>0</v>
      </c>
      <c r="J964" t="n">
        <v>0</v>
      </c>
      <c r="K964" t="n">
        <v>0</v>
      </c>
      <c r="L964" t="n">
        <v>0</v>
      </c>
      <c r="M964" t="n">
        <v>0</v>
      </c>
      <c r="N964" t="n">
        <v>0</v>
      </c>
      <c r="O964" t="n">
        <v>0</v>
      </c>
      <c r="P964" t="n">
        <v>0</v>
      </c>
      <c r="Q964" t="n">
        <v>0</v>
      </c>
      <c r="R964" s="2" t="inlineStr"/>
    </row>
    <row r="965" ht="15" customHeight="1">
      <c r="A965" t="inlineStr">
        <is>
          <t>A 23663-2024</t>
        </is>
      </c>
      <c r="B965" s="1" t="n">
        <v>45454</v>
      </c>
      <c r="C965" s="1" t="n">
        <v>45471</v>
      </c>
      <c r="D965" t="inlineStr">
        <is>
          <t>DALARNAS LÄN</t>
        </is>
      </c>
      <c r="E965" t="inlineStr">
        <is>
          <t>LEKSAND</t>
        </is>
      </c>
      <c r="G965" t="n">
        <v>2.5</v>
      </c>
      <c r="H965" t="n">
        <v>0</v>
      </c>
      <c r="I965" t="n">
        <v>0</v>
      </c>
      <c r="J965" t="n">
        <v>0</v>
      </c>
      <c r="K965" t="n">
        <v>0</v>
      </c>
      <c r="L965" t="n">
        <v>0</v>
      </c>
      <c r="M965" t="n">
        <v>0</v>
      </c>
      <c r="N965" t="n">
        <v>0</v>
      </c>
      <c r="O965" t="n">
        <v>0</v>
      </c>
      <c r="P965" t="n">
        <v>0</v>
      </c>
      <c r="Q965" t="n">
        <v>0</v>
      </c>
      <c r="R965" s="2" t="inlineStr"/>
    </row>
    <row r="966" ht="15" customHeight="1">
      <c r="A966" t="inlineStr">
        <is>
          <t>A 23739-2024</t>
        </is>
      </c>
      <c r="B966" s="1" t="n">
        <v>45455</v>
      </c>
      <c r="C966" s="1" t="n">
        <v>45471</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23743-2024</t>
        </is>
      </c>
      <c r="B967" s="1" t="n">
        <v>45455</v>
      </c>
      <c r="C967" s="1" t="n">
        <v>45471</v>
      </c>
      <c r="D967" t="inlineStr">
        <is>
          <t>DALARNAS LÄN</t>
        </is>
      </c>
      <c r="E967" t="inlineStr">
        <is>
          <t>LEKSAND</t>
        </is>
      </c>
      <c r="G967" t="n">
        <v>4.5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45471</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24005-2024</t>
        </is>
      </c>
      <c r="B969" s="1" t="n">
        <v>45456</v>
      </c>
      <c r="C969" s="1" t="n">
        <v>45471</v>
      </c>
      <c r="D969" t="inlineStr">
        <is>
          <t>DALARNAS LÄN</t>
        </is>
      </c>
      <c r="E969" t="inlineStr">
        <is>
          <t>LEKSAND</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24063-2024</t>
        </is>
      </c>
      <c r="B970" s="1" t="n">
        <v>45456</v>
      </c>
      <c r="C970" s="1" t="n">
        <v>45471</v>
      </c>
      <c r="D970" t="inlineStr">
        <is>
          <t>DALARNAS LÄN</t>
        </is>
      </c>
      <c r="E970" t="inlineStr">
        <is>
          <t>LEKSAND</t>
        </is>
      </c>
      <c r="F970" t="inlineStr">
        <is>
          <t>Bergvik skog väst AB</t>
        </is>
      </c>
      <c r="G970" t="n">
        <v>8.9</v>
      </c>
      <c r="H970" t="n">
        <v>0</v>
      </c>
      <c r="I970" t="n">
        <v>0</v>
      </c>
      <c r="J970" t="n">
        <v>0</v>
      </c>
      <c r="K970" t="n">
        <v>0</v>
      </c>
      <c r="L970" t="n">
        <v>0</v>
      </c>
      <c r="M970" t="n">
        <v>0</v>
      </c>
      <c r="N970" t="n">
        <v>0</v>
      </c>
      <c r="O970" t="n">
        <v>0</v>
      </c>
      <c r="P970" t="n">
        <v>0</v>
      </c>
      <c r="Q970" t="n">
        <v>0</v>
      </c>
      <c r="R970" s="2" t="inlineStr"/>
    </row>
    <row r="971" ht="15" customHeight="1">
      <c r="A971" t="inlineStr">
        <is>
          <t>A 24135-2024</t>
        </is>
      </c>
      <c r="B971" s="1" t="n">
        <v>45456</v>
      </c>
      <c r="C971" s="1" t="n">
        <v>45471</v>
      </c>
      <c r="D971" t="inlineStr">
        <is>
          <t>DALARNAS LÄN</t>
        </is>
      </c>
      <c r="E971" t="inlineStr">
        <is>
          <t>LEKSAND</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45471</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24481-2024</t>
        </is>
      </c>
      <c r="B973" s="1" t="n">
        <v>45459</v>
      </c>
      <c r="C973" s="1" t="n">
        <v>45471</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24830-2024</t>
        </is>
      </c>
      <c r="B974" s="1" t="n">
        <v>45461</v>
      </c>
      <c r="C974" s="1" t="n">
        <v>45471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24837-2024</t>
        </is>
      </c>
      <c r="B975" s="1" t="n">
        <v>45461</v>
      </c>
      <c r="C975" s="1" t="n">
        <v>45471</v>
      </c>
      <c r="D975" t="inlineStr">
        <is>
          <t>DALARNAS LÄN</t>
        </is>
      </c>
      <c r="E975" t="inlineStr">
        <is>
          <t>LEKSAND</t>
        </is>
      </c>
      <c r="G975" t="n">
        <v>1.5</v>
      </c>
      <c r="H975" t="n">
        <v>0</v>
      </c>
      <c r="I975" t="n">
        <v>0</v>
      </c>
      <c r="J975" t="n">
        <v>0</v>
      </c>
      <c r="K975" t="n">
        <v>0</v>
      </c>
      <c r="L975" t="n">
        <v>0</v>
      </c>
      <c r="M975" t="n">
        <v>0</v>
      </c>
      <c r="N975" t="n">
        <v>0</v>
      </c>
      <c r="O975" t="n">
        <v>0</v>
      </c>
      <c r="P975" t="n">
        <v>0</v>
      </c>
      <c r="Q975" t="n">
        <v>0</v>
      </c>
      <c r="R975" s="2" t="inlineStr"/>
    </row>
    <row r="976" ht="15" customHeight="1">
      <c r="A976" t="inlineStr">
        <is>
          <t>A 24919-2024</t>
        </is>
      </c>
      <c r="B976" s="1" t="n">
        <v>45461</v>
      </c>
      <c r="C976" s="1" t="n">
        <v>45471</v>
      </c>
      <c r="D976" t="inlineStr">
        <is>
          <t>DALARNAS LÄN</t>
        </is>
      </c>
      <c r="E976" t="inlineStr">
        <is>
          <t>LEKSAND</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24917-2024</t>
        </is>
      </c>
      <c r="B977" s="1" t="n">
        <v>45461</v>
      </c>
      <c r="C977" s="1" t="n">
        <v>45471</v>
      </c>
      <c r="D977" t="inlineStr">
        <is>
          <t>DALARNAS LÄN</t>
        </is>
      </c>
      <c r="E977" t="inlineStr">
        <is>
          <t>LEKSAND</t>
        </is>
      </c>
      <c r="G977" t="n">
        <v>3.7</v>
      </c>
      <c r="H977" t="n">
        <v>0</v>
      </c>
      <c r="I977" t="n">
        <v>0</v>
      </c>
      <c r="J977" t="n">
        <v>0</v>
      </c>
      <c r="K977" t="n">
        <v>0</v>
      </c>
      <c r="L977" t="n">
        <v>0</v>
      </c>
      <c r="M977" t="n">
        <v>0</v>
      </c>
      <c r="N977" t="n">
        <v>0</v>
      </c>
      <c r="O977" t="n">
        <v>0</v>
      </c>
      <c r="P977" t="n">
        <v>0</v>
      </c>
      <c r="Q977" t="n">
        <v>0</v>
      </c>
      <c r="R977" s="2" t="inlineStr"/>
    </row>
    <row r="978" ht="15" customHeight="1">
      <c r="A978" t="inlineStr">
        <is>
          <t>A 25042-2024</t>
        </is>
      </c>
      <c r="B978" s="1" t="n">
        <v>45462</v>
      </c>
      <c r="C978" s="1" t="n">
        <v>45471</v>
      </c>
      <c r="D978" t="inlineStr">
        <is>
          <t>DALARNAS LÄN</t>
        </is>
      </c>
      <c r="E978" t="inlineStr">
        <is>
          <t>LEKSAND</t>
        </is>
      </c>
      <c r="G978" t="n">
        <v>3.5</v>
      </c>
      <c r="H978" t="n">
        <v>0</v>
      </c>
      <c r="I978" t="n">
        <v>0</v>
      </c>
      <c r="J978" t="n">
        <v>0</v>
      </c>
      <c r="K978" t="n">
        <v>0</v>
      </c>
      <c r="L978" t="n">
        <v>0</v>
      </c>
      <c r="M978" t="n">
        <v>0</v>
      </c>
      <c r="N978" t="n">
        <v>0</v>
      </c>
      <c r="O978" t="n">
        <v>0</v>
      </c>
      <c r="P978" t="n">
        <v>0</v>
      </c>
      <c r="Q978" t="n">
        <v>0</v>
      </c>
      <c r="R978" s="2" t="inlineStr"/>
    </row>
    <row r="979" ht="15" customHeight="1">
      <c r="A979" t="inlineStr">
        <is>
          <t>A 25109-2024</t>
        </is>
      </c>
      <c r="B979" s="1" t="n">
        <v>45462</v>
      </c>
      <c r="C979" s="1" t="n">
        <v>45471</v>
      </c>
      <c r="D979" t="inlineStr">
        <is>
          <t>DALARNAS LÄN</t>
        </is>
      </c>
      <c r="E979" t="inlineStr">
        <is>
          <t>LEKSAND</t>
        </is>
      </c>
      <c r="G979" t="n">
        <v>3.2</v>
      </c>
      <c r="H979" t="n">
        <v>0</v>
      </c>
      <c r="I979" t="n">
        <v>0</v>
      </c>
      <c r="J979" t="n">
        <v>0</v>
      </c>
      <c r="K979" t="n">
        <v>0</v>
      </c>
      <c r="L979" t="n">
        <v>0</v>
      </c>
      <c r="M979" t="n">
        <v>0</v>
      </c>
      <c r="N979" t="n">
        <v>0</v>
      </c>
      <c r="O979" t="n">
        <v>0</v>
      </c>
      <c r="P979" t="n">
        <v>0</v>
      </c>
      <c r="Q979" t="n">
        <v>0</v>
      </c>
      <c r="R979" s="2" t="inlineStr"/>
    </row>
    <row r="980" ht="15" customHeight="1">
      <c r="A980" t="inlineStr">
        <is>
          <t>A 25047-2024</t>
        </is>
      </c>
      <c r="B980" s="1" t="n">
        <v>45462</v>
      </c>
      <c r="C980" s="1" t="n">
        <v>45471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25048-2024</t>
        </is>
      </c>
      <c r="B981" s="1" t="n">
        <v>45462</v>
      </c>
      <c r="C981" s="1" t="n">
        <v>45471</v>
      </c>
      <c r="D981" t="inlineStr">
        <is>
          <t>DALARNAS LÄN</t>
        </is>
      </c>
      <c r="E981" t="inlineStr">
        <is>
          <t>LEKSAND</t>
        </is>
      </c>
      <c r="G981" t="n">
        <v>2.7</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45471</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25249-2024</t>
        </is>
      </c>
      <c r="B983" s="1" t="n">
        <v>45462</v>
      </c>
      <c r="C983" s="1" t="n">
        <v>45471</v>
      </c>
      <c r="D983" t="inlineStr">
        <is>
          <t>DALARNAS LÄN</t>
        </is>
      </c>
      <c r="E983" t="inlineStr">
        <is>
          <t>LEKSAND</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45471</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45471</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25921-2024</t>
        </is>
      </c>
      <c r="B986" s="1" t="n">
        <v>45467</v>
      </c>
      <c r="C986" s="1" t="n">
        <v>45471</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26062-2024</t>
        </is>
      </c>
      <c r="B987" s="1" t="n">
        <v>45468</v>
      </c>
      <c r="C987" s="1" t="n">
        <v>45471</v>
      </c>
      <c r="D987" t="inlineStr">
        <is>
          <t>DALARNAS LÄN</t>
        </is>
      </c>
      <c r="E987" t="inlineStr">
        <is>
          <t>LEKSAND</t>
        </is>
      </c>
      <c r="F987" t="inlineStr">
        <is>
          <t>Övriga statliga verk och myndigheter</t>
        </is>
      </c>
      <c r="G987" t="n">
        <v>6.4</v>
      </c>
      <c r="H987" t="n">
        <v>0</v>
      </c>
      <c r="I987" t="n">
        <v>0</v>
      </c>
      <c r="J987" t="n">
        <v>0</v>
      </c>
      <c r="K987" t="n">
        <v>0</v>
      </c>
      <c r="L987" t="n">
        <v>0</v>
      </c>
      <c r="M987" t="n">
        <v>0</v>
      </c>
      <c r="N987" t="n">
        <v>0</v>
      </c>
      <c r="O987" t="n">
        <v>0</v>
      </c>
      <c r="P987" t="n">
        <v>0</v>
      </c>
      <c r="Q987" t="n">
        <v>0</v>
      </c>
      <c r="R987" s="2" t="inlineStr"/>
    </row>
    <row r="988">
      <c r="A988" t="inlineStr">
        <is>
          <t>A 26680-2024</t>
        </is>
      </c>
      <c r="B988" s="1" t="n">
        <v>45470</v>
      </c>
      <c r="C988" s="1" t="n">
        <v>45471</v>
      </c>
      <c r="D988" t="inlineStr">
        <is>
          <t>DALARNAS LÄN</t>
        </is>
      </c>
      <c r="E988" t="inlineStr">
        <is>
          <t>LEKSAND</t>
        </is>
      </c>
      <c r="G988" t="n">
        <v>0.8</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2024-06-28T10:08:00Z</dcterms:created>
  <dcterms:modified xmlns:dcterms="http://purl.org/dc/terms/" xmlns:xsi="http://www.w3.org/2001/XMLSchema-instance" xsi:type="dcterms:W3CDTF">2024-06-28T10:08:01Z</dcterms:modified>
</cp:coreProperties>
</file>