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45743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45743</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45743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45743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45743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45743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45743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45743</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45743</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45743</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45743</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45743</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45743</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45743</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45743</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45743</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45743</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45743</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45743</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45743</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45743</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45743</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45743</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45743</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45743</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45743</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45743</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45743</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45743</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45743</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45743</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45743</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45743</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9501-2025</t>
        </is>
      </c>
      <c r="B35" s="1" t="n">
        <v>45715</v>
      </c>
      <c r="C35" s="1" t="n">
        <v>45743</v>
      </c>
      <c r="D35" t="inlineStr">
        <is>
          <t>DALARNAS LÄN</t>
        </is>
      </c>
      <c r="E35" t="inlineStr">
        <is>
          <t>LEKSAND</t>
        </is>
      </c>
      <c r="G35" t="n">
        <v>1.4</v>
      </c>
      <c r="H35" t="n">
        <v>2</v>
      </c>
      <c r="I35" t="n">
        <v>0</v>
      </c>
      <c r="J35" t="n">
        <v>0</v>
      </c>
      <c r="K35" t="n">
        <v>1</v>
      </c>
      <c r="L35" t="n">
        <v>0</v>
      </c>
      <c r="M35" t="n">
        <v>0</v>
      </c>
      <c r="N35" t="n">
        <v>0</v>
      </c>
      <c r="O35" t="n">
        <v>1</v>
      </c>
      <c r="P35" t="n">
        <v>1</v>
      </c>
      <c r="Q35" t="n">
        <v>2</v>
      </c>
      <c r="R35" s="2" t="inlineStr">
        <is>
          <t>Knärot
Tjäder</t>
        </is>
      </c>
      <c r="S35">
        <f>HYPERLINK("https://klasma.github.io/Logging_2029/artfynd/A 9501-2025 artfynd.xlsx", "A 9501-2025")</f>
        <v/>
      </c>
      <c r="T35">
        <f>HYPERLINK("https://klasma.github.io/Logging_2029/kartor/A 9501-2025 karta.png", "A 9501-2025")</f>
        <v/>
      </c>
      <c r="U35">
        <f>HYPERLINK("https://klasma.github.io/Logging_2029/knärot/A 9501-2025 karta knärot.png", "A 9501-2025")</f>
        <v/>
      </c>
      <c r="V35">
        <f>HYPERLINK("https://klasma.github.io/Logging_2029/klagomål/A 9501-2025 FSC-klagomål.docx", "A 9501-2025")</f>
        <v/>
      </c>
      <c r="W35">
        <f>HYPERLINK("https://klasma.github.io/Logging_2029/klagomålsmail/A 9501-2025 FSC-klagomål mail.docx", "A 9501-2025")</f>
        <v/>
      </c>
      <c r="X35">
        <f>HYPERLINK("https://klasma.github.io/Logging_2029/tillsyn/A 9501-2025 tillsynsbegäran.docx", "A 9501-2025")</f>
        <v/>
      </c>
      <c r="Y35">
        <f>HYPERLINK("https://klasma.github.io/Logging_2029/tillsynsmail/A 9501-2025 tillsynsbegäran mail.docx", "A 9501-2025")</f>
        <v/>
      </c>
      <c r="Z35">
        <f>HYPERLINK("https://klasma.github.io/Logging_2029/fåglar/A 9501-2025 prioriterade fågelarter.docx", "A 9501-2025")</f>
        <v/>
      </c>
    </row>
    <row r="36" ht="15" customHeight="1">
      <c r="A36" t="inlineStr">
        <is>
          <t>A 36306-2020</t>
        </is>
      </c>
      <c r="B36" s="1" t="n">
        <v>44049</v>
      </c>
      <c r="C36" s="1" t="n">
        <v>45743</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45743</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45743</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45743</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45743</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45743</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45743</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45743</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45743</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45743</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45743</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45743</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45743</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45743</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45743</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45743</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45743</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45743</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45743</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45743</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45743</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45743</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45743</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45743</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45743</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45743</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45743</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45743</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45743</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45743</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45743</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45743</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45743</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45743</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45743</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45743</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45743</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45743</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45743</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45743</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45743</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45743</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45743</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45743</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45743</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45743</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45743</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45743</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45743</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45743</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45743</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45743</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45743</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45743</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45743</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45743</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45743</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45743</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45743</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45743</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45743</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45743</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45743</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45743</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45743</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45743</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45743</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45743</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45743</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45743</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45743</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45743</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45743</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45743</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45743</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45743</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45743</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45743</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45743</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45743</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45743</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45743</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45743</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45743</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45743</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45743</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45743</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45743</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45743</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45743</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45743</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45743</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45743</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45743</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45743</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45743</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45743</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45743</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45743</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45743</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45743</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45743</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45743</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45743</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45743</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45743</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45743</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45743</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45743</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45743</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45743</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45743</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45743</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45743</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45743</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45743</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45743</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45743</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45743</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45743</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45743</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45743</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45743</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45743</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45743</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45743</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45743</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45743</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45743</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45743</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45743</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45743</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45743</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45743</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45743</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45743</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45743</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45743</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45743</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45743</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45743</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45743</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45743</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45743</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45743</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45743</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45743</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45743</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45743</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45743</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45743</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45743</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45743</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45743</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45743</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45743</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45743</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45743</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45743</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45743</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45743</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45743</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45743</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45743</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45743</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45743</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45743</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45743</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45743</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45743</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45743</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45743</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45743</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45743</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45743</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45743</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45743</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45743</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45743</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45743</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45743</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45743</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45743</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45743</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45743</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45743</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45743</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45743</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45743</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45743</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45743</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45743</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45743</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45743</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45743</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45743</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45743</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45743</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45743</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45743</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45743</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45743</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45743</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45743</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45743</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45743</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45743</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45743</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45743</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45743</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45743</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45743</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45743</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45743</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45743</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45743</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45743</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45743</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45743</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45743</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45743</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45743</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45743</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45743</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45743</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45743</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45743</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45743</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45743</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45743</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45743</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45743</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45743</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45743</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45743</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45743</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45743</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45743</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45743</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45743</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45743</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45743</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45743</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45743</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45743</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45743</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45743</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45743</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45743</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45743</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45743</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45743</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45743</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45743</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45743</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45743</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45743</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45743</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45743</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45743</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45743</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45743</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45743</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45743</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45743</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45743</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45743</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45743</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45743</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45743</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45743</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45743</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45743</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45743</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45743</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45743</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45743</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45743</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45743</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45743</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45743</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45743</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45743</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45743</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45743</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45743</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45743</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45743</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45743</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45743</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45743</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45743</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45743</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45743</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45743</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45743</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45743</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45743</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45743</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45743</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45743</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45743</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45743</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45743</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45743</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45743</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45743</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45743</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45743</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45743</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45743</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45743</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45743</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45743</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45743</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45743</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45743</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45743</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45743</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45743</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45743</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45743</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45743</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45743</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45743</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45743</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45743</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45743</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45743</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45743</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45743</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45743</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45743</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45743</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45743</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45743</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45743</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45743</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45743</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45743</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45743</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45743</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45743</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45743</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45743</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45743</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45743</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45743</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45743</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45743</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45743</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45743</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45743</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45743</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45743</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45743</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45743</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45743</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45743</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45743</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45743</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45743</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45743</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45743</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45743</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45743</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45743</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45743</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45743</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45743</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45743</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45743</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45743</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45743</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45743</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45743</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45743</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45743</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45743</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45743</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45743</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45743</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45743</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45743</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45743</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45743</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45743</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45743</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45743</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45743</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45743</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45743</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45743</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45743</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45743</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45743</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45743</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45743</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45743</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45743</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45743</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45743</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45743</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45743</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45743</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45743</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45743</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45743</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45743</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45743</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45743</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45743</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45743</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45743</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45743</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45743</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45743</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45743</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45743</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45743</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45743</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45743</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45743</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45743</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45743</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45743</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45743</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45743</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45743</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45743</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45743</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45743</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45743</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45743</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45743</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45743</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45743</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45743</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45743</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45743</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45743</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45743</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45743</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45743</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45743</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45743</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45743</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45743</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45743</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45743</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45743</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45743</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45743</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45743</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45743</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45743</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45743</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45743</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45743</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45743</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45743</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45743</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45743</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45743</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45743</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45743</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45743</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45743</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45743</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45743</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45743</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45743</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45743</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45743</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45743</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45743</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45743</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45743</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45743</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45743</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45743</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45743</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45743</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45743</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45743</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45743</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45743</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45743</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45743</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45743</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45743</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45743</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45743</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45743</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45743</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45743</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45743</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45743</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45743</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45743</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45743</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45743</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45743</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45743</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45743</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45743</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45743</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45743</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45743</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45743</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45743</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45743</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45743</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45743</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45743</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45743</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45743</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45743</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45743</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45743</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45743</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45743</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45743</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45743</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45743</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45743</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45743</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45743</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45743</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45743</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45743</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45743</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45743</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45743</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45743</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45743</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45743</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45743</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45743</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45743</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45743</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45743</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45743</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45743</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45743</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45743</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45743</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45743</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45743</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45743</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45743</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45743</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45743</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45743</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45743</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45743</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45743</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45743</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45743</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45743</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45743</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45743</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45743</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45743</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45743</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45743</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45743</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45743</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45743</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45743</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45743</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45743</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45743</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45743</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45743</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45743</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45743</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45743</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45743</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45743</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45743</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45743</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45743</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45743</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45743</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45743</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45743</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45743</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45743</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45743</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45743</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45743</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45743</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45743</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45743</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45743</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45743</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45743</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45743</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45743</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45743</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45743</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45743</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45743</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45743</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45743</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45743</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45743</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45743</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45743</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45743</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45743</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45743</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45743</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45743</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45743</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45743</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45743</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45743</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45743</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45743</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45743</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45743</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45743</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45743</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45743</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45743</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45743</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45743</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45743</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45743</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45743</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45743</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45743</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45743</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45743</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45743</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45743</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45743</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45743</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45743</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45743</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45743</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45743</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45743</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45743</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45743</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45743</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45743</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45743</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45743</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45743</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45743</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45743</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45743</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45743</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45743</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45743</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45743</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45743</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45743</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45743</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45743</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45743</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45743</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45743</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45743</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45743</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45743</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45743</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45743</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45743</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45743</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45743</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45743</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45743</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45743</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45743</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45743</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45743</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45743</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45743</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45743</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45743</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45743</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45743</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45743</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45743</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45743</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45743</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45743</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45743</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45743</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45743</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45743</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45743</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45743</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45743</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45743</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45743</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45743</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45743</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45743</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45743</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45743</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45743</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45743</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45743</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45743</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45743</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45743</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45743</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45743</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45743</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45743</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45743</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45743</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45743</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45743</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45743</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45743</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45743</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45743</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45743</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45743</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45743</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45743</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45743</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45743</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45743</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45743</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45743</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45743</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45743</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45743</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45743</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45743</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45743</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45743</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45743</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45743</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45743</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45743</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45743</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45743</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45743</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45743</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45743</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45743</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45743</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45743</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45743</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45743</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45743</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45743</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45743</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45743</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45743</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45743</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45743</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45743</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45743</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45743</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45743</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45743</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45743</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45743</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45743</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45743</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45743</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45743</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45743</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45743</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45743</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45743</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45743</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45743</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45743</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45743</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45743</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45743</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45743</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45743</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45743</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45743</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45743</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45743</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45743</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45743</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45743</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45743</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45743</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45743</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45743</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45743</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45743</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45743</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45743</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45743</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45743</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45743</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45743</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45743</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45743</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45743</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45743</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45743</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45743</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45743</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45743</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45743</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45743</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45743</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45743</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45743</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45743</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45743</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45743</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45743</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45743</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45743</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45743</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45743</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45743</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45743</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45743</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45743</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45743</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45743</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45743</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45743</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45743</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45743</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45743</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45743</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45743</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45743</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45743</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45743</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45743</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45743</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45743</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45743</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45743</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45743</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45743</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45743</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45743</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45743</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45743</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45743</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45743</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45743</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45743</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45743</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45743</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45743</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45743</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45743</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45743</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45743</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45743</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45743</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45743</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45743</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45743</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45743</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45743</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45743</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45743</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45743</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45743</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45743</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45743</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45743</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45743</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45743</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45743</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45743</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45743</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45743</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45743</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45743</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45743</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45743</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45743</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45743</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45743</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45743</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45743</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45743</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45743</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45743</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45743</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45743</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45743</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45743</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45743</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45743</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45743</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45743</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45743</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45743</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45743</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45743</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45743</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45743</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45743</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45743</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45743</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45743</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45743</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45743</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45743</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45743</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45743</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45743</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45743</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45743</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45743</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45743</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45743</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45743</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45743</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45743</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45743</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45743</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45743</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45743</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45743</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45743</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45743</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45743</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45743</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45743</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45743</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45743</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45743</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45743</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45743</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45743</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45743</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45743</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45743</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45743</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45743</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45743</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45743</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45743</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45743</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45743</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45743</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45743</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45743</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45743</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45743</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45743</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45743</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45743</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45743</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45743</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45743</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45743</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45743</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45743</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45743</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45743</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45743</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45743</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45743</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45743</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45743</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45743</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45743</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45743</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45743</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45743</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45743</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45743</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45743</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45743</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45743</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45743</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45743</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45743</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45743</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45743</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45743</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45743</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45743</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45743</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45743</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45743</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45743</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45743</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45743</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45743</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45743</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45743</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45743</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45743</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45743</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45743</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45743</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45743</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45743</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45743</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45743</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45743</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45743</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45743</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45743</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45743</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45743</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45743</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45743</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45743</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45743</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45743</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45743</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45743</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45743</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45743</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45743</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45743</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45743</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45743</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45743</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45743</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45743</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45743</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45743</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45743</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45743</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45743</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45743</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45743</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45743</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45743</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45743</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45743</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45743</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45743</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45743</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45743</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45743</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45743</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45743</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45743</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45743</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45743</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45743</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45743</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45743</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45743</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45743</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45743</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45743</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45743</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45743</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45743</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45743</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45743</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45743</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45743</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45743</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45743</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45743</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45743</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45743</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45743</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45743</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45743</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45743</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45743</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45743</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45743</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45743</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45743</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45743</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45743</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45743</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45743</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45743</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45743</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45743</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45743</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45743</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45743</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45743</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45743</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45743</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45743</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45743</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45743</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45743</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45743</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45743</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45743</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45743</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45743</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45743</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45743</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45743</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45743</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45743</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45743</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45743</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45743</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45743</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45743</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45743</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45743</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45743</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45743</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45743</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45743</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45743</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45743</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45743</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45743</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45743</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45743</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45743</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45743</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45743</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45743</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45743</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45743</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45743</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45743</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45743</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45743</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45743</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45743</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45743</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45743</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45743</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45743</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45743</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45743</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45743</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45743</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45743</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45743</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45743</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45743</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45743</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45743</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45743</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45743</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45743</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45743</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45743</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45743</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45743</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45743</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45743</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45743</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45743</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45743</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45743</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45743</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45743</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45743</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45743</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45743</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45743</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45743</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45743</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45743</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45743</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45743</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45743</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45743</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45743</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45743</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45743</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45743</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45743</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45743</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45743</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45743</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45743</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45743</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45743</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45743</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45743</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45743</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45743</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45743</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45743</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45743</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45743</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45743</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45743</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45743</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45743</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45743</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45743</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45743</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45743</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45743</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45743</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45743</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45743</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45743</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45743</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45743</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45743</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45743</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45743</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45743</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45743</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11740-2025</t>
        </is>
      </c>
      <c r="B1250" s="1" t="n">
        <v>45727</v>
      </c>
      <c r="C1250" s="1" t="n">
        <v>45743</v>
      </c>
      <c r="D1250" t="inlineStr">
        <is>
          <t>DALARNAS LÄN</t>
        </is>
      </c>
      <c r="E1250" t="inlineStr">
        <is>
          <t>LEKSAND</t>
        </is>
      </c>
      <c r="F1250" t="inlineStr">
        <is>
          <t>Övriga Aktiebolag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45743</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45743</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45743</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12582-2025</t>
        </is>
      </c>
      <c r="B1254" s="1" t="n">
        <v>45732</v>
      </c>
      <c r="C1254" s="1" t="n">
        <v>45743</v>
      </c>
      <c r="D1254" t="inlineStr">
        <is>
          <t>DALARNAS LÄN</t>
        </is>
      </c>
      <c r="E1254" t="inlineStr">
        <is>
          <t>LEKSAND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12581-2025</t>
        </is>
      </c>
      <c r="B1255" s="1" t="n">
        <v>45732</v>
      </c>
      <c r="C1255" s="1" t="n">
        <v>45743</v>
      </c>
      <c r="D1255" t="inlineStr">
        <is>
          <t>DALARNAS LÄN</t>
        </is>
      </c>
      <c r="E1255" t="inlineStr">
        <is>
          <t>LEKSAND</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12583-2025</t>
        </is>
      </c>
      <c r="B1256" s="1" t="n">
        <v>45732</v>
      </c>
      <c r="C1256" s="1" t="n">
        <v>45743</v>
      </c>
      <c r="D1256" t="inlineStr">
        <is>
          <t>DALARNAS LÄN</t>
        </is>
      </c>
      <c r="E1256" t="inlineStr">
        <is>
          <t>LEKSAND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12620-2025</t>
        </is>
      </c>
      <c r="B1257" s="1" t="n">
        <v>45733</v>
      </c>
      <c r="C1257" s="1" t="n">
        <v>45743</v>
      </c>
      <c r="D1257" t="inlineStr">
        <is>
          <t>DALARNAS LÄN</t>
        </is>
      </c>
      <c r="E1257" t="inlineStr">
        <is>
          <t>LEKSAND</t>
        </is>
      </c>
      <c r="F1257" t="inlineStr">
        <is>
          <t>Bergvik skog väst AB</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12646-2025</t>
        </is>
      </c>
      <c r="B1258" s="1" t="n">
        <v>45733</v>
      </c>
      <c r="C1258" s="1" t="n">
        <v>45743</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12623-2025</t>
        </is>
      </c>
      <c r="B1259" s="1" t="n">
        <v>45733</v>
      </c>
      <c r="C1259" s="1" t="n">
        <v>45743</v>
      </c>
      <c r="D1259" t="inlineStr">
        <is>
          <t>DALARNAS LÄN</t>
        </is>
      </c>
      <c r="E1259" t="inlineStr">
        <is>
          <t>LEKSAND</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12621-2025</t>
        </is>
      </c>
      <c r="B1260" s="1" t="n">
        <v>45733</v>
      </c>
      <c r="C1260" s="1" t="n">
        <v>45743</v>
      </c>
      <c r="D1260" t="inlineStr">
        <is>
          <t>DALARNAS LÄN</t>
        </is>
      </c>
      <c r="E1260" t="inlineStr">
        <is>
          <t>LEKSAND</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45743</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13384-2025</t>
        </is>
      </c>
      <c r="B1262" s="1" t="n">
        <v>45735</v>
      </c>
      <c r="C1262" s="1" t="n">
        <v>45743</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14504-2025</t>
        </is>
      </c>
      <c r="B1263" s="1" t="n">
        <v>45741</v>
      </c>
      <c r="C1263" s="1" t="n">
        <v>45743</v>
      </c>
      <c r="D1263" t="inlineStr">
        <is>
          <t>DALARNAS LÄN</t>
        </is>
      </c>
      <c r="E1263" t="inlineStr">
        <is>
          <t>LEKSAND</t>
        </is>
      </c>
      <c r="G1263" t="n">
        <v>1.3</v>
      </c>
      <c r="H1263" t="n">
        <v>0</v>
      </c>
      <c r="I1263" t="n">
        <v>0</v>
      </c>
      <c r="J1263" t="n">
        <v>0</v>
      </c>
      <c r="K1263" t="n">
        <v>0</v>
      </c>
      <c r="L1263" t="n">
        <v>0</v>
      </c>
      <c r="M1263" t="n">
        <v>0</v>
      </c>
      <c r="N1263" t="n">
        <v>0</v>
      </c>
      <c r="O1263" t="n">
        <v>0</v>
      </c>
      <c r="P1263" t="n">
        <v>0</v>
      </c>
      <c r="Q1263" t="n">
        <v>0</v>
      </c>
      <c r="R1263" s="2" t="inlineStr"/>
    </row>
    <row r="1264">
      <c r="A1264" t="inlineStr">
        <is>
          <t>A 14797-2025</t>
        </is>
      </c>
      <c r="B1264" s="1" t="n">
        <v>45742</v>
      </c>
      <c r="C1264" s="1" t="n">
        <v>45743</v>
      </c>
      <c r="D1264" t="inlineStr">
        <is>
          <t>DALARNAS LÄN</t>
        </is>
      </c>
      <c r="E1264" t="inlineStr">
        <is>
          <t>LEKSAND</t>
        </is>
      </c>
      <c r="G1264" t="n">
        <v>1.4</v>
      </c>
      <c r="H1264" t="n">
        <v>0</v>
      </c>
      <c r="I1264" t="n">
        <v>0</v>
      </c>
      <c r="J1264" t="n">
        <v>0</v>
      </c>
      <c r="K1264" t="n">
        <v>0</v>
      </c>
      <c r="L1264" t="n">
        <v>0</v>
      </c>
      <c r="M1264" t="n">
        <v>0</v>
      </c>
      <c r="N1264" t="n">
        <v>0</v>
      </c>
      <c r="O1264" t="n">
        <v>0</v>
      </c>
      <c r="P1264" t="n">
        <v>0</v>
      </c>
      <c r="Q1264" t="n">
        <v>0</v>
      </c>
      <c r="R1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2025-03-27T18:13:20Z</dcterms:created>
  <dcterms:modified xmlns:dcterms="http://purl.org/dc/terms/" xmlns:xsi="http://www.w3.org/2001/XMLSchema-instance" xsi:type="dcterms:W3CDTF">2025-03-27T18:13:21Z</dcterms:modified>
</cp:coreProperties>
</file>