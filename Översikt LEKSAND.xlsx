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45793</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45793</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45793</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45793</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45793</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45793</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45793</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45793</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45793</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45793</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45793</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45793</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45793</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45793</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45793</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45793</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45793</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45793</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45793</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45793</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45793</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45793</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45793</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45793</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45793</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45793</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45793</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45793</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45793</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45793</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45793</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45793</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36549-2021</t>
        </is>
      </c>
      <c r="B40" s="1" t="n">
        <v>44391</v>
      </c>
      <c r="C40" s="1" t="n">
        <v>45793</v>
      </c>
      <c r="D40" t="inlineStr">
        <is>
          <t>DALARNAS LÄN</t>
        </is>
      </c>
      <c r="E40" t="inlineStr">
        <is>
          <t>LEKSAND</t>
        </is>
      </c>
      <c r="F40" t="inlineStr">
        <is>
          <t>Bergvik skog väst AB</t>
        </is>
      </c>
      <c r="G40" t="n">
        <v>5.9</v>
      </c>
      <c r="H40" t="n">
        <v>0</v>
      </c>
      <c r="I40" t="n">
        <v>1</v>
      </c>
      <c r="J40" t="n">
        <v>0</v>
      </c>
      <c r="K40" t="n">
        <v>0</v>
      </c>
      <c r="L40" t="n">
        <v>0</v>
      </c>
      <c r="M40" t="n">
        <v>0</v>
      </c>
      <c r="N40" t="n">
        <v>0</v>
      </c>
      <c r="O40" t="n">
        <v>0</v>
      </c>
      <c r="P40" t="n">
        <v>0</v>
      </c>
      <c r="Q40" t="n">
        <v>1</v>
      </c>
      <c r="R40" s="2" t="inlineStr">
        <is>
          <t>Dropptaggsvamp</t>
        </is>
      </c>
      <c r="S40">
        <f>HYPERLINK("https://klasma.github.io/Logging_2029/artfynd/A 36549-2021 artfynd.xlsx", "A 36549-2021")</f>
        <v/>
      </c>
      <c r="T40">
        <f>HYPERLINK("https://klasma.github.io/Logging_2029/kartor/A 36549-2021 karta.png", "A 36549-2021")</f>
        <v/>
      </c>
      <c r="V40">
        <f>HYPERLINK("https://klasma.github.io/Logging_2029/klagomål/A 36549-2021 FSC-klagomål.docx", "A 36549-2021")</f>
        <v/>
      </c>
      <c r="W40">
        <f>HYPERLINK("https://klasma.github.io/Logging_2029/klagomålsmail/A 36549-2021 FSC-klagomål mail.docx", "A 36549-2021")</f>
        <v/>
      </c>
      <c r="X40">
        <f>HYPERLINK("https://klasma.github.io/Logging_2029/tillsyn/A 36549-2021 tillsynsbegäran.docx", "A 36549-2021")</f>
        <v/>
      </c>
      <c r="Y40">
        <f>HYPERLINK("https://klasma.github.io/Logging_2029/tillsynsmail/A 36549-2021 tillsynsbegäran mail.docx", "A 36549-2021")</f>
        <v/>
      </c>
    </row>
    <row r="41" ht="15" customHeight="1">
      <c r="A41" t="inlineStr">
        <is>
          <t>A 41718-2021</t>
        </is>
      </c>
      <c r="B41" s="1" t="n">
        <v>44425</v>
      </c>
      <c r="C41" s="1" t="n">
        <v>45793</v>
      </c>
      <c r="D41" t="inlineStr">
        <is>
          <t>DALARNAS LÄN</t>
        </is>
      </c>
      <c r="E41" t="inlineStr">
        <is>
          <t>LEKSAND</t>
        </is>
      </c>
      <c r="F41" t="inlineStr">
        <is>
          <t>Bergvik skog väst AB</t>
        </is>
      </c>
      <c r="G41" t="n">
        <v>5.7</v>
      </c>
      <c r="H41" t="n">
        <v>0</v>
      </c>
      <c r="I41" t="n">
        <v>0</v>
      </c>
      <c r="J41" t="n">
        <v>1</v>
      </c>
      <c r="K41" t="n">
        <v>0</v>
      </c>
      <c r="L41" t="n">
        <v>0</v>
      </c>
      <c r="M41" t="n">
        <v>0</v>
      </c>
      <c r="N41" t="n">
        <v>0</v>
      </c>
      <c r="O41" t="n">
        <v>1</v>
      </c>
      <c r="P41" t="n">
        <v>0</v>
      </c>
      <c r="Q41" t="n">
        <v>1</v>
      </c>
      <c r="R41" s="2" t="inlineStr">
        <is>
          <t>Garnlav</t>
        </is>
      </c>
      <c r="S41">
        <f>HYPERLINK("https://klasma.github.io/Logging_2029/artfynd/A 41718-2021 artfynd.xlsx", "A 41718-2021")</f>
        <v/>
      </c>
      <c r="T41">
        <f>HYPERLINK("https://klasma.github.io/Logging_2029/kartor/A 41718-2021 karta.png", "A 41718-2021")</f>
        <v/>
      </c>
      <c r="V41">
        <f>HYPERLINK("https://klasma.github.io/Logging_2029/klagomål/A 41718-2021 FSC-klagomål.docx", "A 41718-2021")</f>
        <v/>
      </c>
      <c r="W41">
        <f>HYPERLINK("https://klasma.github.io/Logging_2029/klagomålsmail/A 41718-2021 FSC-klagomål mail.docx", "A 41718-2021")</f>
        <v/>
      </c>
      <c r="X41">
        <f>HYPERLINK("https://klasma.github.io/Logging_2029/tillsyn/A 41718-2021 tillsynsbegäran.docx", "A 41718-2021")</f>
        <v/>
      </c>
      <c r="Y41">
        <f>HYPERLINK("https://klasma.github.io/Logging_2029/tillsynsmail/A 41718-2021 tillsynsbegäran mail.docx", "A 41718-2021")</f>
        <v/>
      </c>
    </row>
    <row r="42" ht="15" customHeight="1">
      <c r="A42" t="inlineStr">
        <is>
          <t>A 23137-2022</t>
        </is>
      </c>
      <c r="B42" s="1" t="n">
        <v>44719</v>
      </c>
      <c r="C42" s="1" t="n">
        <v>45793</v>
      </c>
      <c r="D42" t="inlineStr">
        <is>
          <t>DALARNAS LÄN</t>
        </is>
      </c>
      <c r="E42" t="inlineStr">
        <is>
          <t>LEKSAND</t>
        </is>
      </c>
      <c r="G42" t="n">
        <v>3</v>
      </c>
      <c r="H42" t="n">
        <v>0</v>
      </c>
      <c r="I42" t="n">
        <v>0</v>
      </c>
      <c r="J42" t="n">
        <v>0</v>
      </c>
      <c r="K42" t="n">
        <v>1</v>
      </c>
      <c r="L42" t="n">
        <v>0</v>
      </c>
      <c r="M42" t="n">
        <v>0</v>
      </c>
      <c r="N42" t="n">
        <v>0</v>
      </c>
      <c r="O42" t="n">
        <v>1</v>
      </c>
      <c r="P42" t="n">
        <v>1</v>
      </c>
      <c r="Q42" t="n">
        <v>1</v>
      </c>
      <c r="R42" s="2" t="inlineStr">
        <is>
          <t>Koppartaggsvamp</t>
        </is>
      </c>
      <c r="S42">
        <f>HYPERLINK("https://klasma.github.io/Logging_2029/artfynd/A 23137-2022 artfynd.xlsx", "A 23137-2022")</f>
        <v/>
      </c>
      <c r="T42">
        <f>HYPERLINK("https://klasma.github.io/Logging_2029/kartor/A 23137-2022 karta.png", "A 23137-2022")</f>
        <v/>
      </c>
      <c r="V42">
        <f>HYPERLINK("https://klasma.github.io/Logging_2029/klagomål/A 23137-2022 FSC-klagomål.docx", "A 23137-2022")</f>
        <v/>
      </c>
      <c r="W42">
        <f>HYPERLINK("https://klasma.github.io/Logging_2029/klagomålsmail/A 23137-2022 FSC-klagomål mail.docx", "A 23137-2022")</f>
        <v/>
      </c>
      <c r="X42">
        <f>HYPERLINK("https://klasma.github.io/Logging_2029/tillsyn/A 23137-2022 tillsynsbegäran.docx", "A 23137-2022")</f>
        <v/>
      </c>
      <c r="Y42">
        <f>HYPERLINK("https://klasma.github.io/Logging_2029/tillsynsmail/A 23137-2022 tillsynsbegäran mail.docx", "A 23137-2022")</f>
        <v/>
      </c>
    </row>
    <row r="43" ht="15" customHeight="1">
      <c r="A43" t="inlineStr">
        <is>
          <t>A 41873-2022</t>
        </is>
      </c>
      <c r="B43" s="1" t="n">
        <v>44829</v>
      </c>
      <c r="C43" s="1" t="n">
        <v>45793</v>
      </c>
      <c r="D43" t="inlineStr">
        <is>
          <t>DALARNAS LÄN</t>
        </is>
      </c>
      <c r="E43" t="inlineStr">
        <is>
          <t>LEKSAND</t>
        </is>
      </c>
      <c r="G43" t="n">
        <v>2.1</v>
      </c>
      <c r="H43" t="n">
        <v>1</v>
      </c>
      <c r="I43" t="n">
        <v>0</v>
      </c>
      <c r="J43" t="n">
        <v>1</v>
      </c>
      <c r="K43" t="n">
        <v>0</v>
      </c>
      <c r="L43" t="n">
        <v>0</v>
      </c>
      <c r="M43" t="n">
        <v>0</v>
      </c>
      <c r="N43" t="n">
        <v>0</v>
      </c>
      <c r="O43" t="n">
        <v>1</v>
      </c>
      <c r="P43" t="n">
        <v>0</v>
      </c>
      <c r="Q43" t="n">
        <v>1</v>
      </c>
      <c r="R43" s="2" t="inlineStr">
        <is>
          <t>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50360-2022</t>
        </is>
      </c>
      <c r="B44" s="1" t="n">
        <v>44866</v>
      </c>
      <c r="C44" s="1" t="n">
        <v>45793</v>
      </c>
      <c r="D44" t="inlineStr">
        <is>
          <t>DALARNAS LÄN</t>
        </is>
      </c>
      <c r="E44" t="inlineStr">
        <is>
          <t>LEKSAND</t>
        </is>
      </c>
      <c r="F44" t="inlineStr">
        <is>
          <t>Bergvik skog väst AB</t>
        </is>
      </c>
      <c r="G44" t="n">
        <v>0.7</v>
      </c>
      <c r="H44" t="n">
        <v>1</v>
      </c>
      <c r="I44" t="n">
        <v>0</v>
      </c>
      <c r="J44" t="n">
        <v>0</v>
      </c>
      <c r="K44" t="n">
        <v>1</v>
      </c>
      <c r="L44" t="n">
        <v>0</v>
      </c>
      <c r="M44" t="n">
        <v>0</v>
      </c>
      <c r="N44" t="n">
        <v>0</v>
      </c>
      <c r="O44" t="n">
        <v>1</v>
      </c>
      <c r="P44" t="n">
        <v>1</v>
      </c>
      <c r="Q44" t="n">
        <v>1</v>
      </c>
      <c r="R44" s="2" t="inlineStr">
        <is>
          <t>Knärot</t>
        </is>
      </c>
      <c r="S44">
        <f>HYPERLINK("https://klasma.github.io/Logging_2029/artfynd/A 50360-2022 artfynd.xlsx", "A 50360-2022")</f>
        <v/>
      </c>
      <c r="T44">
        <f>HYPERLINK("https://klasma.github.io/Logging_2029/kartor/A 50360-2022 karta.png", "A 50360-2022")</f>
        <v/>
      </c>
      <c r="U44">
        <f>HYPERLINK("https://klasma.github.io/Logging_2029/knärot/A 50360-2022 karta knärot.png", "A 50360-2022")</f>
        <v/>
      </c>
      <c r="V44">
        <f>HYPERLINK("https://klasma.github.io/Logging_2029/klagomål/A 50360-2022 FSC-klagomål.docx", "A 50360-2022")</f>
        <v/>
      </c>
      <c r="W44">
        <f>HYPERLINK("https://klasma.github.io/Logging_2029/klagomålsmail/A 50360-2022 FSC-klagomål mail.docx", "A 50360-2022")</f>
        <v/>
      </c>
      <c r="X44">
        <f>HYPERLINK("https://klasma.github.io/Logging_2029/tillsyn/A 50360-2022 tillsynsbegäran.docx", "A 50360-2022")</f>
        <v/>
      </c>
      <c r="Y44">
        <f>HYPERLINK("https://klasma.github.io/Logging_2029/tillsynsmail/A 50360-2022 tillsynsbegäran mail.docx", "A 50360-2022")</f>
        <v/>
      </c>
    </row>
    <row r="45" ht="15" customHeight="1">
      <c r="A45" t="inlineStr">
        <is>
          <t>A 6977-2023</t>
        </is>
      </c>
      <c r="B45" s="1" t="n">
        <v>44967</v>
      </c>
      <c r="C45" s="1" t="n">
        <v>45793</v>
      </c>
      <c r="D45" t="inlineStr">
        <is>
          <t>DALARNAS LÄN</t>
        </is>
      </c>
      <c r="E45" t="inlineStr">
        <is>
          <t>LEKSAND</t>
        </is>
      </c>
      <c r="G45" t="n">
        <v>5</v>
      </c>
      <c r="H45" t="n">
        <v>0</v>
      </c>
      <c r="I45" t="n">
        <v>0</v>
      </c>
      <c r="J45" t="n">
        <v>1</v>
      </c>
      <c r="K45" t="n">
        <v>0</v>
      </c>
      <c r="L45" t="n">
        <v>0</v>
      </c>
      <c r="M45" t="n">
        <v>0</v>
      </c>
      <c r="N45" t="n">
        <v>0</v>
      </c>
      <c r="O45" t="n">
        <v>1</v>
      </c>
      <c r="P45" t="n">
        <v>0</v>
      </c>
      <c r="Q45" t="n">
        <v>1</v>
      </c>
      <c r="R45" s="2" t="inlineStr">
        <is>
          <t>Backstarr</t>
        </is>
      </c>
      <c r="S45">
        <f>HYPERLINK("https://klasma.github.io/Logging_2029/artfynd/A 6977-2023 artfynd.xlsx", "A 6977-2023")</f>
        <v/>
      </c>
      <c r="T45">
        <f>HYPERLINK("https://klasma.github.io/Logging_2029/kartor/A 6977-2023 karta.png", "A 6977-2023")</f>
        <v/>
      </c>
      <c r="V45">
        <f>HYPERLINK("https://klasma.github.io/Logging_2029/klagomål/A 6977-2023 FSC-klagomål.docx", "A 6977-2023")</f>
        <v/>
      </c>
      <c r="W45">
        <f>HYPERLINK("https://klasma.github.io/Logging_2029/klagomålsmail/A 6977-2023 FSC-klagomål mail.docx", "A 6977-2023")</f>
        <v/>
      </c>
      <c r="X45">
        <f>HYPERLINK("https://klasma.github.io/Logging_2029/tillsyn/A 6977-2023 tillsynsbegäran.docx", "A 6977-2023")</f>
        <v/>
      </c>
      <c r="Y45">
        <f>HYPERLINK("https://klasma.github.io/Logging_2029/tillsynsmail/A 6977-2023 tillsynsbegäran mail.docx", "A 6977-2023")</f>
        <v/>
      </c>
    </row>
    <row r="46" ht="15" customHeight="1">
      <c r="A46" t="inlineStr">
        <is>
          <t>A 8529-2023</t>
        </is>
      </c>
      <c r="B46" s="1" t="n">
        <v>44977</v>
      </c>
      <c r="C46" s="1" t="n">
        <v>45793</v>
      </c>
      <c r="D46" t="inlineStr">
        <is>
          <t>DALARNAS LÄN</t>
        </is>
      </c>
      <c r="E46" t="inlineStr">
        <is>
          <t>LEKSAND</t>
        </is>
      </c>
      <c r="G46" t="n">
        <v>2.7</v>
      </c>
      <c r="H46" t="n">
        <v>1</v>
      </c>
      <c r="I46" t="n">
        <v>0</v>
      </c>
      <c r="J46" t="n">
        <v>0</v>
      </c>
      <c r="K46" t="n">
        <v>1</v>
      </c>
      <c r="L46" t="n">
        <v>0</v>
      </c>
      <c r="M46" t="n">
        <v>0</v>
      </c>
      <c r="N46" t="n">
        <v>0</v>
      </c>
      <c r="O46" t="n">
        <v>1</v>
      </c>
      <c r="P46" t="n">
        <v>1</v>
      </c>
      <c r="Q46" t="n">
        <v>1</v>
      </c>
      <c r="R46" s="2" t="inlineStr">
        <is>
          <t>Knärot</t>
        </is>
      </c>
      <c r="S46">
        <f>HYPERLINK("https://klasma.github.io/Logging_2029/artfynd/A 8529-2023 artfynd.xlsx", "A 8529-2023")</f>
        <v/>
      </c>
      <c r="T46">
        <f>HYPERLINK("https://klasma.github.io/Logging_2029/kartor/A 8529-2023 karta.png", "A 8529-2023")</f>
        <v/>
      </c>
      <c r="U46">
        <f>HYPERLINK("https://klasma.github.io/Logging_2029/knärot/A 8529-2023 karta knärot.png", "A 8529-2023")</f>
        <v/>
      </c>
      <c r="V46">
        <f>HYPERLINK("https://klasma.github.io/Logging_2029/klagomål/A 8529-2023 FSC-klagomål.docx", "A 8529-2023")</f>
        <v/>
      </c>
      <c r="W46">
        <f>HYPERLINK("https://klasma.github.io/Logging_2029/klagomålsmail/A 8529-2023 FSC-klagomål mail.docx", "A 8529-2023")</f>
        <v/>
      </c>
      <c r="X46">
        <f>HYPERLINK("https://klasma.github.io/Logging_2029/tillsyn/A 8529-2023 tillsynsbegäran.docx", "A 8529-2023")</f>
        <v/>
      </c>
      <c r="Y46">
        <f>HYPERLINK("https://klasma.github.io/Logging_2029/tillsynsmail/A 8529-2023 tillsynsbegäran mail.docx", "A 8529-2023")</f>
        <v/>
      </c>
    </row>
    <row r="47" ht="15" customHeight="1">
      <c r="A47" t="inlineStr">
        <is>
          <t>A 11754-2023</t>
        </is>
      </c>
      <c r="B47" s="1" t="n">
        <v>44993</v>
      </c>
      <c r="C47" s="1" t="n">
        <v>45793</v>
      </c>
      <c r="D47" t="inlineStr">
        <is>
          <t>DALARNAS LÄN</t>
        </is>
      </c>
      <c r="E47" t="inlineStr">
        <is>
          <t>LEKSAND</t>
        </is>
      </c>
      <c r="G47" t="n">
        <v>4.7</v>
      </c>
      <c r="H47" t="n">
        <v>1</v>
      </c>
      <c r="I47" t="n">
        <v>0</v>
      </c>
      <c r="J47" t="n">
        <v>0</v>
      </c>
      <c r="K47" t="n">
        <v>1</v>
      </c>
      <c r="L47" t="n">
        <v>0</v>
      </c>
      <c r="M47" t="n">
        <v>0</v>
      </c>
      <c r="N47" t="n">
        <v>0</v>
      </c>
      <c r="O47" t="n">
        <v>1</v>
      </c>
      <c r="P47" t="n">
        <v>1</v>
      </c>
      <c r="Q47" t="n">
        <v>1</v>
      </c>
      <c r="R47" s="2" t="inlineStr">
        <is>
          <t>Knärot</t>
        </is>
      </c>
      <c r="S47">
        <f>HYPERLINK("https://klasma.github.io/Logging_2029/artfynd/A 11754-2023 artfynd.xlsx", "A 11754-2023")</f>
        <v/>
      </c>
      <c r="T47">
        <f>HYPERLINK("https://klasma.github.io/Logging_2029/kartor/A 11754-2023 karta.png", "A 11754-2023")</f>
        <v/>
      </c>
      <c r="U47">
        <f>HYPERLINK("https://klasma.github.io/Logging_2029/knärot/A 11754-2023 karta knärot.png", "A 11754-2023")</f>
        <v/>
      </c>
      <c r="V47">
        <f>HYPERLINK("https://klasma.github.io/Logging_2029/klagomål/A 11754-2023 FSC-klagomål.docx", "A 11754-2023")</f>
        <v/>
      </c>
      <c r="W47">
        <f>HYPERLINK("https://klasma.github.io/Logging_2029/klagomålsmail/A 11754-2023 FSC-klagomål mail.docx", "A 11754-2023")</f>
        <v/>
      </c>
      <c r="X47">
        <f>HYPERLINK("https://klasma.github.io/Logging_2029/tillsyn/A 11754-2023 tillsynsbegäran.docx", "A 11754-2023")</f>
        <v/>
      </c>
      <c r="Y47">
        <f>HYPERLINK("https://klasma.github.io/Logging_2029/tillsynsmail/A 11754-2023 tillsynsbegäran mail.docx", "A 11754-2023")</f>
        <v/>
      </c>
    </row>
    <row r="48" ht="15" customHeight="1">
      <c r="A48" t="inlineStr">
        <is>
          <t>A 15432-2023</t>
        </is>
      </c>
      <c r="B48" s="1" t="n">
        <v>45020</v>
      </c>
      <c r="C48" s="1" t="n">
        <v>45793</v>
      </c>
      <c r="D48" t="inlineStr">
        <is>
          <t>DALARNAS LÄN</t>
        </is>
      </c>
      <c r="E48" t="inlineStr">
        <is>
          <t>LEKSAND</t>
        </is>
      </c>
      <c r="G48" t="n">
        <v>2.5</v>
      </c>
      <c r="H48" t="n">
        <v>0</v>
      </c>
      <c r="I48" t="n">
        <v>1</v>
      </c>
      <c r="J48" t="n">
        <v>0</v>
      </c>
      <c r="K48" t="n">
        <v>0</v>
      </c>
      <c r="L48" t="n">
        <v>0</v>
      </c>
      <c r="M48" t="n">
        <v>0</v>
      </c>
      <c r="N48" t="n">
        <v>0</v>
      </c>
      <c r="O48" t="n">
        <v>0</v>
      </c>
      <c r="P48" t="n">
        <v>0</v>
      </c>
      <c r="Q48" t="n">
        <v>1</v>
      </c>
      <c r="R48" s="2" t="inlineStr">
        <is>
          <t>Mindre märgborre</t>
        </is>
      </c>
      <c r="S48">
        <f>HYPERLINK("https://klasma.github.io/Logging_2029/artfynd/A 15432-2023 artfynd.xlsx", "A 15432-2023")</f>
        <v/>
      </c>
      <c r="T48">
        <f>HYPERLINK("https://klasma.github.io/Logging_2029/kartor/A 15432-2023 karta.png", "A 15432-2023")</f>
        <v/>
      </c>
      <c r="V48">
        <f>HYPERLINK("https://klasma.github.io/Logging_2029/klagomål/A 15432-2023 FSC-klagomål.docx", "A 15432-2023")</f>
        <v/>
      </c>
      <c r="W48">
        <f>HYPERLINK("https://klasma.github.io/Logging_2029/klagomålsmail/A 15432-2023 FSC-klagomål mail.docx", "A 15432-2023")</f>
        <v/>
      </c>
      <c r="X48">
        <f>HYPERLINK("https://klasma.github.io/Logging_2029/tillsyn/A 15432-2023 tillsynsbegäran.docx", "A 15432-2023")</f>
        <v/>
      </c>
      <c r="Y48">
        <f>HYPERLINK("https://klasma.github.io/Logging_2029/tillsynsmail/A 15432-2023 tillsynsbegäran mail.docx", "A 15432-2023")</f>
        <v/>
      </c>
    </row>
    <row r="49" ht="15" customHeight="1">
      <c r="A49" t="inlineStr">
        <is>
          <t>A 15908-2023</t>
        </is>
      </c>
      <c r="B49" s="1" t="n">
        <v>45022</v>
      </c>
      <c r="C49" s="1" t="n">
        <v>45793</v>
      </c>
      <c r="D49" t="inlineStr">
        <is>
          <t>DALARNAS LÄN</t>
        </is>
      </c>
      <c r="E49" t="inlineStr">
        <is>
          <t>LEKSAND</t>
        </is>
      </c>
      <c r="G49" t="n">
        <v>2.4</v>
      </c>
      <c r="H49" t="n">
        <v>1</v>
      </c>
      <c r="I49" t="n">
        <v>0</v>
      </c>
      <c r="J49" t="n">
        <v>0</v>
      </c>
      <c r="K49" t="n">
        <v>0</v>
      </c>
      <c r="L49" t="n">
        <v>0</v>
      </c>
      <c r="M49" t="n">
        <v>0</v>
      </c>
      <c r="N49" t="n">
        <v>0</v>
      </c>
      <c r="O49" t="n">
        <v>0</v>
      </c>
      <c r="P49" t="n">
        <v>0</v>
      </c>
      <c r="Q49" t="n">
        <v>1</v>
      </c>
      <c r="R49" s="2" t="inlineStr">
        <is>
          <t>Blåsippa</t>
        </is>
      </c>
      <c r="S49">
        <f>HYPERLINK("https://klasma.github.io/Logging_2029/artfynd/A 15908-2023 artfynd.xlsx", "A 15908-2023")</f>
        <v/>
      </c>
      <c r="T49">
        <f>HYPERLINK("https://klasma.github.io/Logging_2029/kartor/A 15908-2023 karta.png", "A 15908-2023")</f>
        <v/>
      </c>
      <c r="V49">
        <f>HYPERLINK("https://klasma.github.io/Logging_2029/klagomål/A 15908-2023 FSC-klagomål.docx", "A 15908-2023")</f>
        <v/>
      </c>
      <c r="W49">
        <f>HYPERLINK("https://klasma.github.io/Logging_2029/klagomålsmail/A 15908-2023 FSC-klagomål mail.docx", "A 15908-2023")</f>
        <v/>
      </c>
      <c r="X49">
        <f>HYPERLINK("https://klasma.github.io/Logging_2029/tillsyn/A 15908-2023 tillsynsbegäran.docx", "A 15908-2023")</f>
        <v/>
      </c>
      <c r="Y49">
        <f>HYPERLINK("https://klasma.github.io/Logging_2029/tillsynsmail/A 15908-2023 tillsynsbegäran mail.docx", "A 15908-2023")</f>
        <v/>
      </c>
    </row>
    <row r="50" ht="15" customHeight="1">
      <c r="A50" t="inlineStr">
        <is>
          <t>A 16333-2023</t>
        </is>
      </c>
      <c r="B50" s="1" t="n">
        <v>45028</v>
      </c>
      <c r="C50" s="1" t="n">
        <v>45793</v>
      </c>
      <c r="D50" t="inlineStr">
        <is>
          <t>DALARNAS LÄN</t>
        </is>
      </c>
      <c r="E50" t="inlineStr">
        <is>
          <t>LEKSAND</t>
        </is>
      </c>
      <c r="G50" t="n">
        <v>1.5</v>
      </c>
      <c r="H50" t="n">
        <v>0</v>
      </c>
      <c r="I50" t="n">
        <v>1</v>
      </c>
      <c r="J50" t="n">
        <v>0</v>
      </c>
      <c r="K50" t="n">
        <v>0</v>
      </c>
      <c r="L50" t="n">
        <v>0</v>
      </c>
      <c r="M50" t="n">
        <v>0</v>
      </c>
      <c r="N50" t="n">
        <v>0</v>
      </c>
      <c r="O50" t="n">
        <v>0</v>
      </c>
      <c r="P50" t="n">
        <v>0</v>
      </c>
      <c r="Q50" t="n">
        <v>1</v>
      </c>
      <c r="R50" s="2" t="inlineStr">
        <is>
          <t>Läderskål</t>
        </is>
      </c>
      <c r="S50">
        <f>HYPERLINK("https://klasma.github.io/Logging_2029/artfynd/A 16333-2023 artfynd.xlsx", "A 16333-2023")</f>
        <v/>
      </c>
      <c r="T50">
        <f>HYPERLINK("https://klasma.github.io/Logging_2029/kartor/A 16333-2023 karta.png", "A 16333-2023")</f>
        <v/>
      </c>
      <c r="V50">
        <f>HYPERLINK("https://klasma.github.io/Logging_2029/klagomål/A 16333-2023 FSC-klagomål.docx", "A 16333-2023")</f>
        <v/>
      </c>
      <c r="W50">
        <f>HYPERLINK("https://klasma.github.io/Logging_2029/klagomålsmail/A 16333-2023 FSC-klagomål mail.docx", "A 16333-2023")</f>
        <v/>
      </c>
      <c r="X50">
        <f>HYPERLINK("https://klasma.github.io/Logging_2029/tillsyn/A 16333-2023 tillsynsbegäran.docx", "A 16333-2023")</f>
        <v/>
      </c>
      <c r="Y50">
        <f>HYPERLINK("https://klasma.github.io/Logging_2029/tillsynsmail/A 16333-2023 tillsynsbegäran mail.docx", "A 16333-2023")</f>
        <v/>
      </c>
    </row>
    <row r="51" ht="15" customHeight="1">
      <c r="A51" t="inlineStr">
        <is>
          <t>A 17899-2023</t>
        </is>
      </c>
      <c r="B51" s="1" t="n">
        <v>45039</v>
      </c>
      <c r="C51" s="1" t="n">
        <v>45793</v>
      </c>
      <c r="D51" t="inlineStr">
        <is>
          <t>DALARNAS LÄN</t>
        </is>
      </c>
      <c r="E51" t="inlineStr">
        <is>
          <t>LEKSAND</t>
        </is>
      </c>
      <c r="G51" t="n">
        <v>1.9</v>
      </c>
      <c r="H51" t="n">
        <v>0</v>
      </c>
      <c r="I51" t="n">
        <v>0</v>
      </c>
      <c r="J51" t="n">
        <v>1</v>
      </c>
      <c r="K51" t="n">
        <v>0</v>
      </c>
      <c r="L51" t="n">
        <v>0</v>
      </c>
      <c r="M51" t="n">
        <v>0</v>
      </c>
      <c r="N51" t="n">
        <v>0</v>
      </c>
      <c r="O51" t="n">
        <v>1</v>
      </c>
      <c r="P51" t="n">
        <v>0</v>
      </c>
      <c r="Q51" t="n">
        <v>1</v>
      </c>
      <c r="R51" s="2" t="inlineStr">
        <is>
          <t>Grantaggsvamp</t>
        </is>
      </c>
      <c r="S51">
        <f>HYPERLINK("https://klasma.github.io/Logging_2029/artfynd/A 17899-2023 artfynd.xlsx", "A 17899-2023")</f>
        <v/>
      </c>
      <c r="T51">
        <f>HYPERLINK("https://klasma.github.io/Logging_2029/kartor/A 17899-2023 karta.png", "A 17899-2023")</f>
        <v/>
      </c>
      <c r="V51">
        <f>HYPERLINK("https://klasma.github.io/Logging_2029/klagomål/A 17899-2023 FSC-klagomål.docx", "A 17899-2023")</f>
        <v/>
      </c>
      <c r="W51">
        <f>HYPERLINK("https://klasma.github.io/Logging_2029/klagomålsmail/A 17899-2023 FSC-klagomål mail.docx", "A 17899-2023")</f>
        <v/>
      </c>
      <c r="X51">
        <f>HYPERLINK("https://klasma.github.io/Logging_2029/tillsyn/A 17899-2023 tillsynsbegäran.docx", "A 17899-2023")</f>
        <v/>
      </c>
      <c r="Y51">
        <f>HYPERLINK("https://klasma.github.io/Logging_2029/tillsynsmail/A 17899-2023 tillsynsbegäran mail.docx", "A 17899-2023")</f>
        <v/>
      </c>
    </row>
    <row r="52" ht="15" customHeight="1">
      <c r="A52" t="inlineStr">
        <is>
          <t>A 21419-2023</t>
        </is>
      </c>
      <c r="B52" s="1" t="n">
        <v>45061</v>
      </c>
      <c r="C52" s="1" t="n">
        <v>45793</v>
      </c>
      <c r="D52" t="inlineStr">
        <is>
          <t>DALARNAS LÄN</t>
        </is>
      </c>
      <c r="E52" t="inlineStr">
        <is>
          <t>LEKSAND</t>
        </is>
      </c>
      <c r="G52" t="n">
        <v>5.5</v>
      </c>
      <c r="H52" t="n">
        <v>1</v>
      </c>
      <c r="I52" t="n">
        <v>0</v>
      </c>
      <c r="J52" t="n">
        <v>0</v>
      </c>
      <c r="K52" t="n">
        <v>0</v>
      </c>
      <c r="L52" t="n">
        <v>0</v>
      </c>
      <c r="M52" t="n">
        <v>0</v>
      </c>
      <c r="N52" t="n">
        <v>0</v>
      </c>
      <c r="O52" t="n">
        <v>0</v>
      </c>
      <c r="P52" t="n">
        <v>0</v>
      </c>
      <c r="Q52" t="n">
        <v>1</v>
      </c>
      <c r="R52" s="2" t="inlineStr">
        <is>
          <t>Nattviol</t>
        </is>
      </c>
      <c r="S52">
        <f>HYPERLINK("https://klasma.github.io/Logging_2029/artfynd/A 21419-2023 artfynd.xlsx", "A 21419-2023")</f>
        <v/>
      </c>
      <c r="T52">
        <f>HYPERLINK("https://klasma.github.io/Logging_2029/kartor/A 21419-2023 karta.png", "A 21419-2023")</f>
        <v/>
      </c>
      <c r="V52">
        <f>HYPERLINK("https://klasma.github.io/Logging_2029/klagomål/A 21419-2023 FSC-klagomål.docx", "A 21419-2023")</f>
        <v/>
      </c>
      <c r="W52">
        <f>HYPERLINK("https://klasma.github.io/Logging_2029/klagomålsmail/A 21419-2023 FSC-klagomål mail.docx", "A 21419-2023")</f>
        <v/>
      </c>
      <c r="X52">
        <f>HYPERLINK("https://klasma.github.io/Logging_2029/tillsyn/A 21419-2023 tillsynsbegäran.docx", "A 21419-2023")</f>
        <v/>
      </c>
      <c r="Y52">
        <f>HYPERLINK("https://klasma.github.io/Logging_2029/tillsynsmail/A 21419-2023 tillsynsbegäran mail.docx", "A 21419-2023")</f>
        <v/>
      </c>
    </row>
    <row r="53" ht="15" customHeight="1">
      <c r="A53" t="inlineStr">
        <is>
          <t>A 26287-2023</t>
        </is>
      </c>
      <c r="B53" s="1" t="n">
        <v>45091</v>
      </c>
      <c r="C53" s="1" t="n">
        <v>45793</v>
      </c>
      <c r="D53" t="inlineStr">
        <is>
          <t>DALARNAS LÄN</t>
        </is>
      </c>
      <c r="E53" t="inlineStr">
        <is>
          <t>LEKSAND</t>
        </is>
      </c>
      <c r="G53" t="n">
        <v>2.4</v>
      </c>
      <c r="H53" t="n">
        <v>0</v>
      </c>
      <c r="I53" t="n">
        <v>1</v>
      </c>
      <c r="J53" t="n">
        <v>0</v>
      </c>
      <c r="K53" t="n">
        <v>0</v>
      </c>
      <c r="L53" t="n">
        <v>0</v>
      </c>
      <c r="M53" t="n">
        <v>0</v>
      </c>
      <c r="N53" t="n">
        <v>0</v>
      </c>
      <c r="O53" t="n">
        <v>0</v>
      </c>
      <c r="P53" t="n">
        <v>0</v>
      </c>
      <c r="Q53" t="n">
        <v>1</v>
      </c>
      <c r="R53" s="2" t="inlineStr">
        <is>
          <t>Mindre märgborre</t>
        </is>
      </c>
      <c r="S53">
        <f>HYPERLINK("https://klasma.github.io/Logging_2029/artfynd/A 26287-2023 artfynd.xlsx", "A 26287-2023")</f>
        <v/>
      </c>
      <c r="T53">
        <f>HYPERLINK("https://klasma.github.io/Logging_2029/kartor/A 26287-2023 karta.png", "A 26287-2023")</f>
        <v/>
      </c>
      <c r="V53">
        <f>HYPERLINK("https://klasma.github.io/Logging_2029/klagomål/A 26287-2023 FSC-klagomål.docx", "A 26287-2023")</f>
        <v/>
      </c>
      <c r="W53">
        <f>HYPERLINK("https://klasma.github.io/Logging_2029/klagomålsmail/A 26287-2023 FSC-klagomål mail.docx", "A 26287-2023")</f>
        <v/>
      </c>
      <c r="X53">
        <f>HYPERLINK("https://klasma.github.io/Logging_2029/tillsyn/A 26287-2023 tillsynsbegäran.docx", "A 26287-2023")</f>
        <v/>
      </c>
      <c r="Y53">
        <f>HYPERLINK("https://klasma.github.io/Logging_2029/tillsynsmail/A 26287-2023 tillsynsbegäran mail.docx", "A 26287-2023")</f>
        <v/>
      </c>
    </row>
    <row r="54" ht="15" customHeight="1">
      <c r="A54" t="inlineStr">
        <is>
          <t>A 47803-2023</t>
        </is>
      </c>
      <c r="B54" s="1" t="n">
        <v>45204</v>
      </c>
      <c r="C54" s="1" t="n">
        <v>45793</v>
      </c>
      <c r="D54" t="inlineStr">
        <is>
          <t>DALARNAS LÄN</t>
        </is>
      </c>
      <c r="E54" t="inlineStr">
        <is>
          <t>LEKSAND</t>
        </is>
      </c>
      <c r="G54" t="n">
        <v>2</v>
      </c>
      <c r="H54" t="n">
        <v>1</v>
      </c>
      <c r="I54" t="n">
        <v>0</v>
      </c>
      <c r="J54" t="n">
        <v>0</v>
      </c>
      <c r="K54" t="n">
        <v>1</v>
      </c>
      <c r="L54" t="n">
        <v>0</v>
      </c>
      <c r="M54" t="n">
        <v>0</v>
      </c>
      <c r="N54" t="n">
        <v>0</v>
      </c>
      <c r="O54" t="n">
        <v>1</v>
      </c>
      <c r="P54" t="n">
        <v>1</v>
      </c>
      <c r="Q54" t="n">
        <v>1</v>
      </c>
      <c r="R54" s="2" t="inlineStr">
        <is>
          <t>Lappuggla</t>
        </is>
      </c>
      <c r="S54">
        <f>HYPERLINK("https://klasma.github.io/Logging_2029/artfynd/A 47803-2023 artfynd.xlsx", "A 47803-2023")</f>
        <v/>
      </c>
      <c r="T54">
        <f>HYPERLINK("https://klasma.github.io/Logging_2029/kartor/A 47803-2023 karta.png", "A 47803-2023")</f>
        <v/>
      </c>
      <c r="V54">
        <f>HYPERLINK("https://klasma.github.io/Logging_2029/klagomål/A 47803-2023 FSC-klagomål.docx", "A 47803-2023")</f>
        <v/>
      </c>
      <c r="W54">
        <f>HYPERLINK("https://klasma.github.io/Logging_2029/klagomålsmail/A 47803-2023 FSC-klagomål mail.docx", "A 47803-2023")</f>
        <v/>
      </c>
      <c r="X54">
        <f>HYPERLINK("https://klasma.github.io/Logging_2029/tillsyn/A 47803-2023 tillsynsbegäran.docx", "A 47803-2023")</f>
        <v/>
      </c>
      <c r="Y54">
        <f>HYPERLINK("https://klasma.github.io/Logging_2029/tillsynsmail/A 47803-2023 tillsynsbegäran mail.docx", "A 47803-2023")</f>
        <v/>
      </c>
      <c r="Z54">
        <f>HYPERLINK("https://klasma.github.io/Logging_2029/fåglar/A 47803-2023 prioriterade fågelarter.docx", "A 47803-2023")</f>
        <v/>
      </c>
    </row>
    <row r="55" ht="15" customHeight="1">
      <c r="A55" t="inlineStr">
        <is>
          <t>A 53262-2023</t>
        </is>
      </c>
      <c r="B55" s="1" t="n">
        <v>45229</v>
      </c>
      <c r="C55" s="1" t="n">
        <v>45793</v>
      </c>
      <c r="D55" t="inlineStr">
        <is>
          <t>DALARNAS LÄN</t>
        </is>
      </c>
      <c r="E55" t="inlineStr">
        <is>
          <t>LEKSAND</t>
        </is>
      </c>
      <c r="G55" t="n">
        <v>6.1</v>
      </c>
      <c r="H55" t="n">
        <v>1</v>
      </c>
      <c r="I55" t="n">
        <v>0</v>
      </c>
      <c r="J55" t="n">
        <v>0</v>
      </c>
      <c r="K55" t="n">
        <v>0</v>
      </c>
      <c r="L55" t="n">
        <v>1</v>
      </c>
      <c r="M55" t="n">
        <v>0</v>
      </c>
      <c r="N55" t="n">
        <v>0</v>
      </c>
      <c r="O55" t="n">
        <v>1</v>
      </c>
      <c r="P55" t="n">
        <v>1</v>
      </c>
      <c r="Q55" t="n">
        <v>1</v>
      </c>
      <c r="R55" s="2" t="inlineStr">
        <is>
          <t>Mosippa</t>
        </is>
      </c>
      <c r="S55">
        <f>HYPERLINK("https://klasma.github.io/Logging_2029/artfynd/A 53262-2023 artfynd.xlsx", "A 53262-2023")</f>
        <v/>
      </c>
      <c r="T55">
        <f>HYPERLINK("https://klasma.github.io/Logging_2029/kartor/A 53262-2023 karta.png", "A 53262-2023")</f>
        <v/>
      </c>
      <c r="V55">
        <f>HYPERLINK("https://klasma.github.io/Logging_2029/klagomål/A 53262-2023 FSC-klagomål.docx", "A 53262-2023")</f>
        <v/>
      </c>
      <c r="W55">
        <f>HYPERLINK("https://klasma.github.io/Logging_2029/klagomålsmail/A 53262-2023 FSC-klagomål mail.docx", "A 53262-2023")</f>
        <v/>
      </c>
      <c r="X55">
        <f>HYPERLINK("https://klasma.github.io/Logging_2029/tillsyn/A 53262-2023 tillsynsbegäran.docx", "A 53262-2023")</f>
        <v/>
      </c>
      <c r="Y55">
        <f>HYPERLINK("https://klasma.github.io/Logging_2029/tillsynsmail/A 53262-2023 tillsynsbegäran mail.docx", "A 53262-2023")</f>
        <v/>
      </c>
    </row>
    <row r="56" ht="15" customHeight="1">
      <c r="A56" t="inlineStr">
        <is>
          <t>A 59205-2023</t>
        </is>
      </c>
      <c r="B56" s="1" t="n">
        <v>45251</v>
      </c>
      <c r="C56" s="1" t="n">
        <v>45793</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60238-2023</t>
        </is>
      </c>
      <c r="B57" s="1" t="n">
        <v>45258</v>
      </c>
      <c r="C57" s="1" t="n">
        <v>45793</v>
      </c>
      <c r="D57" t="inlineStr">
        <is>
          <t>DALARNAS LÄN</t>
        </is>
      </c>
      <c r="E57" t="inlineStr">
        <is>
          <t>LEKSAND</t>
        </is>
      </c>
      <c r="G57" t="n">
        <v>3.2</v>
      </c>
      <c r="H57" t="n">
        <v>1</v>
      </c>
      <c r="I57" t="n">
        <v>0</v>
      </c>
      <c r="J57" t="n">
        <v>0</v>
      </c>
      <c r="K57" t="n">
        <v>0</v>
      </c>
      <c r="L57" t="n">
        <v>0</v>
      </c>
      <c r="M57" t="n">
        <v>0</v>
      </c>
      <c r="N57" t="n">
        <v>0</v>
      </c>
      <c r="O57" t="n">
        <v>0</v>
      </c>
      <c r="P57" t="n">
        <v>0</v>
      </c>
      <c r="Q57" t="n">
        <v>1</v>
      </c>
      <c r="R57" s="2" t="inlineStr">
        <is>
          <t>Blåsippa</t>
        </is>
      </c>
      <c r="S57">
        <f>HYPERLINK("https://klasma.github.io/Logging_2029/artfynd/A 60238-2023 artfynd.xlsx", "A 60238-2023")</f>
        <v/>
      </c>
      <c r="T57">
        <f>HYPERLINK("https://klasma.github.io/Logging_2029/kartor/A 60238-2023 karta.png", "A 60238-2023")</f>
        <v/>
      </c>
      <c r="V57">
        <f>HYPERLINK("https://klasma.github.io/Logging_2029/klagomål/A 60238-2023 FSC-klagomål.docx", "A 60238-2023")</f>
        <v/>
      </c>
      <c r="W57">
        <f>HYPERLINK("https://klasma.github.io/Logging_2029/klagomålsmail/A 60238-2023 FSC-klagomål mail.docx", "A 60238-2023")</f>
        <v/>
      </c>
      <c r="X57">
        <f>HYPERLINK("https://klasma.github.io/Logging_2029/tillsyn/A 60238-2023 tillsynsbegäran.docx", "A 60238-2023")</f>
        <v/>
      </c>
      <c r="Y57">
        <f>HYPERLINK("https://klasma.github.io/Logging_2029/tillsynsmail/A 60238-2023 tillsynsbegäran mail.docx", "A 60238-2023")</f>
        <v/>
      </c>
    </row>
    <row r="58" ht="15" customHeight="1">
      <c r="A58" t="inlineStr">
        <is>
          <t>A 164-2024</t>
        </is>
      </c>
      <c r="B58" s="1" t="n">
        <v>45294</v>
      </c>
      <c r="C58" s="1" t="n">
        <v>45793</v>
      </c>
      <c r="D58" t="inlineStr">
        <is>
          <t>DALARNAS LÄN</t>
        </is>
      </c>
      <c r="E58" t="inlineStr">
        <is>
          <t>LEKSAND</t>
        </is>
      </c>
      <c r="G58" t="n">
        <v>3.7</v>
      </c>
      <c r="H58" t="n">
        <v>1</v>
      </c>
      <c r="I58" t="n">
        <v>0</v>
      </c>
      <c r="J58" t="n">
        <v>1</v>
      </c>
      <c r="K58" t="n">
        <v>0</v>
      </c>
      <c r="L58" t="n">
        <v>0</v>
      </c>
      <c r="M58" t="n">
        <v>0</v>
      </c>
      <c r="N58" t="n">
        <v>0</v>
      </c>
      <c r="O58" t="n">
        <v>1</v>
      </c>
      <c r="P58" t="n">
        <v>0</v>
      </c>
      <c r="Q58" t="n">
        <v>1</v>
      </c>
      <c r="R58" s="2" t="inlineStr">
        <is>
          <t>Järpe</t>
        </is>
      </c>
      <c r="S58">
        <f>HYPERLINK("https://klasma.github.io/Logging_2029/artfynd/A 164-2024 artfynd.xlsx", "A 164-2024")</f>
        <v/>
      </c>
      <c r="T58">
        <f>HYPERLINK("https://klasma.github.io/Logging_2029/kartor/A 164-2024 karta.png", "A 164-2024")</f>
        <v/>
      </c>
      <c r="V58">
        <f>HYPERLINK("https://klasma.github.io/Logging_2029/klagomål/A 164-2024 FSC-klagomål.docx", "A 164-2024")</f>
        <v/>
      </c>
      <c r="W58">
        <f>HYPERLINK("https://klasma.github.io/Logging_2029/klagomålsmail/A 164-2024 FSC-klagomål mail.docx", "A 164-2024")</f>
        <v/>
      </c>
      <c r="X58">
        <f>HYPERLINK("https://klasma.github.io/Logging_2029/tillsyn/A 164-2024 tillsynsbegäran.docx", "A 164-2024")</f>
        <v/>
      </c>
      <c r="Y58">
        <f>HYPERLINK("https://klasma.github.io/Logging_2029/tillsynsmail/A 164-2024 tillsynsbegäran mail.docx", "A 164-2024")</f>
        <v/>
      </c>
      <c r="Z58">
        <f>HYPERLINK("https://klasma.github.io/Logging_2029/fåglar/A 164-2024 prioriterade fågelarter.docx", "A 164-2024")</f>
        <v/>
      </c>
    </row>
    <row r="59" ht="15" customHeight="1">
      <c r="A59" t="inlineStr">
        <is>
          <t>A 988-2024</t>
        </is>
      </c>
      <c r="B59" s="1" t="n">
        <v>45301</v>
      </c>
      <c r="C59" s="1" t="n">
        <v>45793</v>
      </c>
      <c r="D59" t="inlineStr">
        <is>
          <t>DALARNAS LÄN</t>
        </is>
      </c>
      <c r="E59" t="inlineStr">
        <is>
          <t>LEKSAND</t>
        </is>
      </c>
      <c r="G59" t="n">
        <v>2.2</v>
      </c>
      <c r="H59" t="n">
        <v>1</v>
      </c>
      <c r="I59" t="n">
        <v>0</v>
      </c>
      <c r="J59" t="n">
        <v>0</v>
      </c>
      <c r="K59" t="n">
        <v>0</v>
      </c>
      <c r="L59" t="n">
        <v>0</v>
      </c>
      <c r="M59" t="n">
        <v>0</v>
      </c>
      <c r="N59" t="n">
        <v>0</v>
      </c>
      <c r="O59" t="n">
        <v>0</v>
      </c>
      <c r="P59" t="n">
        <v>0</v>
      </c>
      <c r="Q59" t="n">
        <v>1</v>
      </c>
      <c r="R59" s="2" t="inlineStr">
        <is>
          <t>Nattviol</t>
        </is>
      </c>
      <c r="S59">
        <f>HYPERLINK("https://klasma.github.io/Logging_2029/artfynd/A 988-2024 artfynd.xlsx", "A 988-2024")</f>
        <v/>
      </c>
      <c r="T59">
        <f>HYPERLINK("https://klasma.github.io/Logging_2029/kartor/A 988-2024 karta.png", "A 988-2024")</f>
        <v/>
      </c>
      <c r="V59">
        <f>HYPERLINK("https://klasma.github.io/Logging_2029/klagomål/A 988-2024 FSC-klagomål.docx", "A 988-2024")</f>
        <v/>
      </c>
      <c r="W59">
        <f>HYPERLINK("https://klasma.github.io/Logging_2029/klagomålsmail/A 988-2024 FSC-klagomål mail.docx", "A 988-2024")</f>
        <v/>
      </c>
      <c r="X59">
        <f>HYPERLINK("https://klasma.github.io/Logging_2029/tillsyn/A 988-2024 tillsynsbegäran.docx", "A 988-2024")</f>
        <v/>
      </c>
      <c r="Y59">
        <f>HYPERLINK("https://klasma.github.io/Logging_2029/tillsynsmail/A 988-2024 tillsynsbegäran mail.docx", "A 988-2024")</f>
        <v/>
      </c>
    </row>
    <row r="60" ht="15" customHeight="1">
      <c r="A60" t="inlineStr">
        <is>
          <t>A 20794-2024</t>
        </is>
      </c>
      <c r="B60" s="1" t="n">
        <v>45438</v>
      </c>
      <c r="C60" s="1" t="n">
        <v>45793</v>
      </c>
      <c r="D60" t="inlineStr">
        <is>
          <t>DALARNAS LÄN</t>
        </is>
      </c>
      <c r="E60" t="inlineStr">
        <is>
          <t>LEKSAND</t>
        </is>
      </c>
      <c r="G60" t="n">
        <v>6.1</v>
      </c>
      <c r="H60" t="n">
        <v>1</v>
      </c>
      <c r="I60" t="n">
        <v>0</v>
      </c>
      <c r="J60" t="n">
        <v>1</v>
      </c>
      <c r="K60" t="n">
        <v>0</v>
      </c>
      <c r="L60" t="n">
        <v>0</v>
      </c>
      <c r="M60" t="n">
        <v>0</v>
      </c>
      <c r="N60" t="n">
        <v>0</v>
      </c>
      <c r="O60" t="n">
        <v>1</v>
      </c>
      <c r="P60" t="n">
        <v>0</v>
      </c>
      <c r="Q60" t="n">
        <v>1</v>
      </c>
      <c r="R60" s="2" t="inlineStr">
        <is>
          <t>Utter</t>
        </is>
      </c>
      <c r="S60">
        <f>HYPERLINK("https://klasma.github.io/Logging_2029/artfynd/A 20794-2024 artfynd.xlsx", "A 20794-2024")</f>
        <v/>
      </c>
      <c r="T60">
        <f>HYPERLINK("https://klasma.github.io/Logging_2029/kartor/A 20794-2024 karta.png", "A 20794-2024")</f>
        <v/>
      </c>
      <c r="V60">
        <f>HYPERLINK("https://klasma.github.io/Logging_2029/klagomål/A 20794-2024 FSC-klagomål.docx", "A 20794-2024")</f>
        <v/>
      </c>
      <c r="W60">
        <f>HYPERLINK("https://klasma.github.io/Logging_2029/klagomålsmail/A 20794-2024 FSC-klagomål mail.docx", "A 20794-2024")</f>
        <v/>
      </c>
      <c r="X60">
        <f>HYPERLINK("https://klasma.github.io/Logging_2029/tillsyn/A 20794-2024 tillsynsbegäran.docx", "A 20794-2024")</f>
        <v/>
      </c>
      <c r="Y60">
        <f>HYPERLINK("https://klasma.github.io/Logging_2029/tillsynsmail/A 20794-2024 tillsynsbegäran mail.docx", "A 20794-2024")</f>
        <v/>
      </c>
    </row>
    <row r="61" ht="15" customHeight="1">
      <c r="A61" t="inlineStr">
        <is>
          <t>A 23417-2024</t>
        </is>
      </c>
      <c r="B61" s="1" t="n">
        <v>45453</v>
      </c>
      <c r="C61" s="1" t="n">
        <v>45793</v>
      </c>
      <c r="D61" t="inlineStr">
        <is>
          <t>DALARNAS LÄN</t>
        </is>
      </c>
      <c r="E61" t="inlineStr">
        <is>
          <t>LEKSAND</t>
        </is>
      </c>
      <c r="F61" t="inlineStr">
        <is>
          <t>Bergvik skog väst AB</t>
        </is>
      </c>
      <c r="G61" t="n">
        <v>39.9</v>
      </c>
      <c r="H61" t="n">
        <v>0</v>
      </c>
      <c r="I61" t="n">
        <v>0</v>
      </c>
      <c r="J61" t="n">
        <v>1</v>
      </c>
      <c r="K61" t="n">
        <v>0</v>
      </c>
      <c r="L61" t="n">
        <v>0</v>
      </c>
      <c r="M61" t="n">
        <v>0</v>
      </c>
      <c r="N61" t="n">
        <v>0</v>
      </c>
      <c r="O61" t="n">
        <v>1</v>
      </c>
      <c r="P61" t="n">
        <v>0</v>
      </c>
      <c r="Q61" t="n">
        <v>1</v>
      </c>
      <c r="R61" s="2" t="inlineStr">
        <is>
          <t>Tallticka</t>
        </is>
      </c>
      <c r="S61">
        <f>HYPERLINK("https://klasma.github.io/Logging_2029/artfynd/A 23417-2024 artfynd.xlsx", "A 23417-2024")</f>
        <v/>
      </c>
      <c r="T61">
        <f>HYPERLINK("https://klasma.github.io/Logging_2029/kartor/A 23417-2024 karta.png", "A 23417-2024")</f>
        <v/>
      </c>
      <c r="V61">
        <f>HYPERLINK("https://klasma.github.io/Logging_2029/klagomål/A 23417-2024 FSC-klagomål.docx", "A 23417-2024")</f>
        <v/>
      </c>
      <c r="W61">
        <f>HYPERLINK("https://klasma.github.io/Logging_2029/klagomålsmail/A 23417-2024 FSC-klagomål mail.docx", "A 23417-2024")</f>
        <v/>
      </c>
      <c r="X61">
        <f>HYPERLINK("https://klasma.github.io/Logging_2029/tillsyn/A 23417-2024 tillsynsbegäran.docx", "A 23417-2024")</f>
        <v/>
      </c>
      <c r="Y61">
        <f>HYPERLINK("https://klasma.github.io/Logging_2029/tillsynsmail/A 23417-2024 tillsynsbegäran mail.docx", "A 23417-2024")</f>
        <v/>
      </c>
    </row>
    <row r="62" ht="15" customHeight="1">
      <c r="A62" t="inlineStr">
        <is>
          <t>A 31124-2024</t>
        </is>
      </c>
      <c r="B62" s="1" t="n">
        <v>45502</v>
      </c>
      <c r="C62" s="1" t="n">
        <v>45793</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31794-2024</t>
        </is>
      </c>
      <c r="B63" s="1" t="n">
        <v>45509</v>
      </c>
      <c r="C63" s="1" t="n">
        <v>45793</v>
      </c>
      <c r="D63" t="inlineStr">
        <is>
          <t>DALARNAS LÄN</t>
        </is>
      </c>
      <c r="E63" t="inlineStr">
        <is>
          <t>LEKSAND</t>
        </is>
      </c>
      <c r="F63" t="inlineStr">
        <is>
          <t>Bergvik skog väst AB</t>
        </is>
      </c>
      <c r="G63" t="n">
        <v>6.7</v>
      </c>
      <c r="H63" t="n">
        <v>1</v>
      </c>
      <c r="I63" t="n">
        <v>0</v>
      </c>
      <c r="J63" t="n">
        <v>0</v>
      </c>
      <c r="K63" t="n">
        <v>0</v>
      </c>
      <c r="L63" t="n">
        <v>0</v>
      </c>
      <c r="M63" t="n">
        <v>0</v>
      </c>
      <c r="N63" t="n">
        <v>0</v>
      </c>
      <c r="O63" t="n">
        <v>0</v>
      </c>
      <c r="P63" t="n">
        <v>0</v>
      </c>
      <c r="Q63" t="n">
        <v>1</v>
      </c>
      <c r="R63" s="2" t="inlineStr">
        <is>
          <t>Revlummer</t>
        </is>
      </c>
      <c r="S63">
        <f>HYPERLINK("https://klasma.github.io/Logging_2029/artfynd/A 31794-2024 artfynd.xlsx", "A 31794-2024")</f>
        <v/>
      </c>
      <c r="T63">
        <f>HYPERLINK("https://klasma.github.io/Logging_2029/kartor/A 31794-2024 karta.png", "A 31794-2024")</f>
        <v/>
      </c>
      <c r="V63">
        <f>HYPERLINK("https://klasma.github.io/Logging_2029/klagomål/A 31794-2024 FSC-klagomål.docx", "A 31794-2024")</f>
        <v/>
      </c>
      <c r="W63">
        <f>HYPERLINK("https://klasma.github.io/Logging_2029/klagomålsmail/A 31794-2024 FSC-klagomål mail.docx", "A 31794-2024")</f>
        <v/>
      </c>
      <c r="X63">
        <f>HYPERLINK("https://klasma.github.io/Logging_2029/tillsyn/A 31794-2024 tillsynsbegäran.docx", "A 31794-2024")</f>
        <v/>
      </c>
      <c r="Y63">
        <f>HYPERLINK("https://klasma.github.io/Logging_2029/tillsynsmail/A 31794-2024 tillsynsbegäran mail.docx", "A 31794-2024")</f>
        <v/>
      </c>
    </row>
    <row r="64" ht="15" customHeight="1">
      <c r="A64" t="inlineStr">
        <is>
          <t>A 33554-2024</t>
        </is>
      </c>
      <c r="B64" s="1" t="n">
        <v>45519</v>
      </c>
      <c r="C64" s="1" t="n">
        <v>45793</v>
      </c>
      <c r="D64" t="inlineStr">
        <is>
          <t>DALARNAS LÄN</t>
        </is>
      </c>
      <c r="E64" t="inlineStr">
        <is>
          <t>LEKSAND</t>
        </is>
      </c>
      <c r="G64" t="n">
        <v>11.1</v>
      </c>
      <c r="H64" t="n">
        <v>0</v>
      </c>
      <c r="I64" t="n">
        <v>1</v>
      </c>
      <c r="J64" t="n">
        <v>0</v>
      </c>
      <c r="K64" t="n">
        <v>0</v>
      </c>
      <c r="L64" t="n">
        <v>0</v>
      </c>
      <c r="M64" t="n">
        <v>0</v>
      </c>
      <c r="N64" t="n">
        <v>0</v>
      </c>
      <c r="O64" t="n">
        <v>0</v>
      </c>
      <c r="P64" t="n">
        <v>0</v>
      </c>
      <c r="Q64" t="n">
        <v>1</v>
      </c>
      <c r="R64" s="2" t="inlineStr">
        <is>
          <t>Mindre märgborre</t>
        </is>
      </c>
      <c r="S64">
        <f>HYPERLINK("https://klasma.github.io/Logging_2029/artfynd/A 33554-2024 artfynd.xlsx", "A 33554-2024")</f>
        <v/>
      </c>
      <c r="T64">
        <f>HYPERLINK("https://klasma.github.io/Logging_2029/kartor/A 33554-2024 karta.png", "A 33554-2024")</f>
        <v/>
      </c>
      <c r="V64">
        <f>HYPERLINK("https://klasma.github.io/Logging_2029/klagomål/A 33554-2024 FSC-klagomål.docx", "A 33554-2024")</f>
        <v/>
      </c>
      <c r="W64">
        <f>HYPERLINK("https://klasma.github.io/Logging_2029/klagomålsmail/A 33554-2024 FSC-klagomål mail.docx", "A 33554-2024")</f>
        <v/>
      </c>
      <c r="X64">
        <f>HYPERLINK("https://klasma.github.io/Logging_2029/tillsyn/A 33554-2024 tillsynsbegäran.docx", "A 33554-2024")</f>
        <v/>
      </c>
      <c r="Y64">
        <f>HYPERLINK("https://klasma.github.io/Logging_2029/tillsynsmail/A 33554-2024 tillsynsbegäran mail.docx", "A 33554-2024")</f>
        <v/>
      </c>
    </row>
    <row r="65" ht="15" customHeight="1">
      <c r="A65" t="inlineStr">
        <is>
          <t>A 44138-2024</t>
        </is>
      </c>
      <c r="B65" s="1" t="n">
        <v>45572</v>
      </c>
      <c r="C65" s="1" t="n">
        <v>45793</v>
      </c>
      <c r="D65" t="inlineStr">
        <is>
          <t>DALARNAS LÄN</t>
        </is>
      </c>
      <c r="E65" t="inlineStr">
        <is>
          <t>LEKSAND</t>
        </is>
      </c>
      <c r="G65" t="n">
        <v>2.5</v>
      </c>
      <c r="H65" t="n">
        <v>0</v>
      </c>
      <c r="I65" t="n">
        <v>0</v>
      </c>
      <c r="J65" t="n">
        <v>1</v>
      </c>
      <c r="K65" t="n">
        <v>0</v>
      </c>
      <c r="L65" t="n">
        <v>0</v>
      </c>
      <c r="M65" t="n">
        <v>0</v>
      </c>
      <c r="N65" t="n">
        <v>0</v>
      </c>
      <c r="O65" t="n">
        <v>1</v>
      </c>
      <c r="P65" t="n">
        <v>0</v>
      </c>
      <c r="Q65" t="n">
        <v>1</v>
      </c>
      <c r="R65" s="2" t="inlineStr">
        <is>
          <t>Garnlav</t>
        </is>
      </c>
      <c r="S65">
        <f>HYPERLINK("https://klasma.github.io/Logging_2029/artfynd/A 44138-2024 artfynd.xlsx", "A 44138-2024")</f>
        <v/>
      </c>
      <c r="T65">
        <f>HYPERLINK("https://klasma.github.io/Logging_2029/kartor/A 44138-2024 karta.png", "A 44138-2024")</f>
        <v/>
      </c>
      <c r="V65">
        <f>HYPERLINK("https://klasma.github.io/Logging_2029/klagomål/A 44138-2024 FSC-klagomål.docx", "A 44138-2024")</f>
        <v/>
      </c>
      <c r="W65">
        <f>HYPERLINK("https://klasma.github.io/Logging_2029/klagomålsmail/A 44138-2024 FSC-klagomål mail.docx", "A 44138-2024")</f>
        <v/>
      </c>
      <c r="X65">
        <f>HYPERLINK("https://klasma.github.io/Logging_2029/tillsyn/A 44138-2024 tillsynsbegäran.docx", "A 44138-2024")</f>
        <v/>
      </c>
      <c r="Y65">
        <f>HYPERLINK("https://klasma.github.io/Logging_2029/tillsynsmail/A 44138-2024 tillsynsbegäran mail.docx", "A 44138-2024")</f>
        <v/>
      </c>
    </row>
    <row r="66" ht="15" customHeight="1">
      <c r="A66" t="inlineStr">
        <is>
          <t>A 52600-2024</t>
        </is>
      </c>
      <c r="B66" s="1" t="n">
        <v>45609</v>
      </c>
      <c r="C66" s="1" t="n">
        <v>45793</v>
      </c>
      <c r="D66" t="inlineStr">
        <is>
          <t>DALARNAS LÄN</t>
        </is>
      </c>
      <c r="E66" t="inlineStr">
        <is>
          <t>LEKSAND</t>
        </is>
      </c>
      <c r="G66" t="n">
        <v>3.4</v>
      </c>
      <c r="H66" t="n">
        <v>1</v>
      </c>
      <c r="I66" t="n">
        <v>0</v>
      </c>
      <c r="J66" t="n">
        <v>0</v>
      </c>
      <c r="K66" t="n">
        <v>0</v>
      </c>
      <c r="L66" t="n">
        <v>0</v>
      </c>
      <c r="M66" t="n">
        <v>0</v>
      </c>
      <c r="N66" t="n">
        <v>0</v>
      </c>
      <c r="O66" t="n">
        <v>0</v>
      </c>
      <c r="P66" t="n">
        <v>0</v>
      </c>
      <c r="Q66" t="n">
        <v>1</v>
      </c>
      <c r="R66" s="2" t="inlineStr">
        <is>
          <t>Fläcknycklar</t>
        </is>
      </c>
      <c r="S66">
        <f>HYPERLINK("https://klasma.github.io/Logging_2029/artfynd/A 52600-2024 artfynd.xlsx", "A 52600-2024")</f>
        <v/>
      </c>
      <c r="T66">
        <f>HYPERLINK("https://klasma.github.io/Logging_2029/kartor/A 52600-2024 karta.png", "A 52600-2024")</f>
        <v/>
      </c>
      <c r="V66">
        <f>HYPERLINK("https://klasma.github.io/Logging_2029/klagomål/A 52600-2024 FSC-klagomål.docx", "A 52600-2024")</f>
        <v/>
      </c>
      <c r="W66">
        <f>HYPERLINK("https://klasma.github.io/Logging_2029/klagomålsmail/A 52600-2024 FSC-klagomål mail.docx", "A 52600-2024")</f>
        <v/>
      </c>
      <c r="X66">
        <f>HYPERLINK("https://klasma.github.io/Logging_2029/tillsyn/A 52600-2024 tillsynsbegäran.docx", "A 52600-2024")</f>
        <v/>
      </c>
      <c r="Y66">
        <f>HYPERLINK("https://klasma.github.io/Logging_2029/tillsynsmail/A 52600-2024 tillsynsbegäran mail.docx", "A 52600-2024")</f>
        <v/>
      </c>
    </row>
    <row r="67" ht="15" customHeight="1">
      <c r="A67" t="inlineStr">
        <is>
          <t>A 55633-2024</t>
        </is>
      </c>
      <c r="B67" s="1" t="n">
        <v>45621</v>
      </c>
      <c r="C67" s="1" t="n">
        <v>45793</v>
      </c>
      <c r="D67" t="inlineStr">
        <is>
          <t>DALARNAS LÄN</t>
        </is>
      </c>
      <c r="E67" t="inlineStr">
        <is>
          <t>LEKSAND</t>
        </is>
      </c>
      <c r="G67" t="n">
        <v>7.8</v>
      </c>
      <c r="H67" t="n">
        <v>0</v>
      </c>
      <c r="I67" t="n">
        <v>0</v>
      </c>
      <c r="J67" t="n">
        <v>1</v>
      </c>
      <c r="K67" t="n">
        <v>0</v>
      </c>
      <c r="L67" t="n">
        <v>0</v>
      </c>
      <c r="M67" t="n">
        <v>0</v>
      </c>
      <c r="N67" t="n">
        <v>0</v>
      </c>
      <c r="O67" t="n">
        <v>1</v>
      </c>
      <c r="P67" t="n">
        <v>0</v>
      </c>
      <c r="Q67" t="n">
        <v>1</v>
      </c>
      <c r="R67" s="2" t="inlineStr">
        <is>
          <t>Ullticka</t>
        </is>
      </c>
      <c r="S67">
        <f>HYPERLINK("https://klasma.github.io/Logging_2029/artfynd/A 55633-2024 artfynd.xlsx", "A 55633-2024")</f>
        <v/>
      </c>
      <c r="T67">
        <f>HYPERLINK("https://klasma.github.io/Logging_2029/kartor/A 55633-2024 karta.png", "A 55633-2024")</f>
        <v/>
      </c>
      <c r="V67">
        <f>HYPERLINK("https://klasma.github.io/Logging_2029/klagomål/A 55633-2024 FSC-klagomål.docx", "A 55633-2024")</f>
        <v/>
      </c>
      <c r="W67">
        <f>HYPERLINK("https://klasma.github.io/Logging_2029/klagomålsmail/A 55633-2024 FSC-klagomål mail.docx", "A 55633-2024")</f>
        <v/>
      </c>
      <c r="X67">
        <f>HYPERLINK("https://klasma.github.io/Logging_2029/tillsyn/A 55633-2024 tillsynsbegäran.docx", "A 55633-2024")</f>
        <v/>
      </c>
      <c r="Y67">
        <f>HYPERLINK("https://klasma.github.io/Logging_2029/tillsynsmail/A 55633-2024 tillsynsbegäran mail.docx", "A 55633-2024")</f>
        <v/>
      </c>
    </row>
    <row r="68" ht="15" customHeight="1">
      <c r="A68" t="inlineStr">
        <is>
          <t>A 6029-2025</t>
        </is>
      </c>
      <c r="B68" s="1" t="n">
        <v>45695</v>
      </c>
      <c r="C68" s="1" t="n">
        <v>45793</v>
      </c>
      <c r="D68" t="inlineStr">
        <is>
          <t>DALARNAS LÄN</t>
        </is>
      </c>
      <c r="E68" t="inlineStr">
        <is>
          <t>LEKSAND</t>
        </is>
      </c>
      <c r="G68" t="n">
        <v>3.5</v>
      </c>
      <c r="H68" t="n">
        <v>1</v>
      </c>
      <c r="I68" t="n">
        <v>0</v>
      </c>
      <c r="J68" t="n">
        <v>1</v>
      </c>
      <c r="K68" t="n">
        <v>0</v>
      </c>
      <c r="L68" t="n">
        <v>0</v>
      </c>
      <c r="M68" t="n">
        <v>0</v>
      </c>
      <c r="N68" t="n">
        <v>0</v>
      </c>
      <c r="O68" t="n">
        <v>1</v>
      </c>
      <c r="P68" t="n">
        <v>0</v>
      </c>
      <c r="Q68" t="n">
        <v>1</v>
      </c>
      <c r="R68" s="2" t="inlineStr">
        <is>
          <t>Spillkråka</t>
        </is>
      </c>
      <c r="S68">
        <f>HYPERLINK("https://klasma.github.io/Logging_2029/artfynd/A 6029-2025 artfynd.xlsx", "A 6029-2025")</f>
        <v/>
      </c>
      <c r="T68">
        <f>HYPERLINK("https://klasma.github.io/Logging_2029/kartor/A 6029-2025 karta.png", "A 6029-2025")</f>
        <v/>
      </c>
      <c r="V68">
        <f>HYPERLINK("https://klasma.github.io/Logging_2029/klagomål/A 6029-2025 FSC-klagomål.docx", "A 6029-2025")</f>
        <v/>
      </c>
      <c r="W68">
        <f>HYPERLINK("https://klasma.github.io/Logging_2029/klagomålsmail/A 6029-2025 FSC-klagomål mail.docx", "A 6029-2025")</f>
        <v/>
      </c>
      <c r="X68">
        <f>HYPERLINK("https://klasma.github.io/Logging_2029/tillsyn/A 6029-2025 tillsynsbegäran.docx", "A 6029-2025")</f>
        <v/>
      </c>
      <c r="Y68">
        <f>HYPERLINK("https://klasma.github.io/Logging_2029/tillsynsmail/A 6029-2025 tillsynsbegäran mail.docx", "A 6029-2025")</f>
        <v/>
      </c>
      <c r="Z68">
        <f>HYPERLINK("https://klasma.github.io/Logging_2029/fåglar/A 6029-2025 prioriterade fågelarter.docx", "A 6029-2025")</f>
        <v/>
      </c>
    </row>
    <row r="69" ht="15" customHeight="1">
      <c r="A69" t="inlineStr">
        <is>
          <t>A 16735-2025</t>
        </is>
      </c>
      <c r="B69" s="1" t="n">
        <v>45754</v>
      </c>
      <c r="C69" s="1" t="n">
        <v>45793</v>
      </c>
      <c r="D69" t="inlineStr">
        <is>
          <t>DALARNAS LÄN</t>
        </is>
      </c>
      <c r="E69" t="inlineStr">
        <is>
          <t>LEKSAND</t>
        </is>
      </c>
      <c r="G69" t="n">
        <v>1.8</v>
      </c>
      <c r="H69" t="n">
        <v>1</v>
      </c>
      <c r="I69" t="n">
        <v>0</v>
      </c>
      <c r="J69" t="n">
        <v>0</v>
      </c>
      <c r="K69" t="n">
        <v>0</v>
      </c>
      <c r="L69" t="n">
        <v>0</v>
      </c>
      <c r="M69" t="n">
        <v>0</v>
      </c>
      <c r="N69" t="n">
        <v>0</v>
      </c>
      <c r="O69" t="n">
        <v>0</v>
      </c>
      <c r="P69" t="n">
        <v>0</v>
      </c>
      <c r="Q69" t="n">
        <v>1</v>
      </c>
      <c r="R69" s="2" t="inlineStr">
        <is>
          <t>Gröngöling</t>
        </is>
      </c>
      <c r="S69">
        <f>HYPERLINK("https://klasma.github.io/Logging_202029/artfynd/A 16735-2025 artfynd.xlsx", "A 16735-2025")</f>
        <v/>
      </c>
      <c r="T69">
        <f>HYPERLINK("https://klasma.github.io/Logging_202029/kartor/A 16735-2025 karta.png", "A 16735-2025")</f>
        <v/>
      </c>
      <c r="V69">
        <f>HYPERLINK("https://klasma.github.io/Logging_202029/klagomål/A 16735-2025 FSC-klagomål.docx", "A 16735-2025")</f>
        <v/>
      </c>
      <c r="W69">
        <f>HYPERLINK("https://klasma.github.io/Logging_202029/klagomålsmail/A 16735-2025 FSC-klagomål mail.docx", "A 16735-2025")</f>
        <v/>
      </c>
      <c r="X69">
        <f>HYPERLINK("https://klasma.github.io/Logging_202029/tillsyn/A 16735-2025 tillsynsbegäran.docx", "A 16735-2025")</f>
        <v/>
      </c>
      <c r="Y69">
        <f>HYPERLINK("https://klasma.github.io/Logging_202029/tillsynsmail/A 16735-2025 tillsynsbegäran mail.docx", "A 16735-2025")</f>
        <v/>
      </c>
      <c r="Z69">
        <f>HYPERLINK("https://klasma.github.io/Logging_202029/fåglar/A 16735-2025 prioriterade fågelarter.docx", "A 16735-2025")</f>
        <v/>
      </c>
    </row>
    <row r="70" ht="15" customHeight="1">
      <c r="A70" t="inlineStr">
        <is>
          <t>A 17822-2019</t>
        </is>
      </c>
      <c r="B70" s="1" t="n">
        <v>43556</v>
      </c>
      <c r="C70" s="1" t="n">
        <v>45793</v>
      </c>
      <c r="D70" t="inlineStr">
        <is>
          <t>DALARNAS LÄN</t>
        </is>
      </c>
      <c r="E70" t="inlineStr">
        <is>
          <t>LEKSAND</t>
        </is>
      </c>
      <c r="G70" t="n">
        <v>0.8</v>
      </c>
      <c r="H70" t="n">
        <v>0</v>
      </c>
      <c r="I70" t="n">
        <v>0</v>
      </c>
      <c r="J70" t="n">
        <v>0</v>
      </c>
      <c r="K70" t="n">
        <v>0</v>
      </c>
      <c r="L70" t="n">
        <v>0</v>
      </c>
      <c r="M70" t="n">
        <v>0</v>
      </c>
      <c r="N70" t="n">
        <v>0</v>
      </c>
      <c r="O70" t="n">
        <v>0</v>
      </c>
      <c r="P70" t="n">
        <v>0</v>
      </c>
      <c r="Q70" t="n">
        <v>0</v>
      </c>
      <c r="R70" s="2" t="inlineStr"/>
    </row>
    <row r="71" ht="15" customHeight="1">
      <c r="A71" t="inlineStr">
        <is>
          <t>A 17967-2019</t>
        </is>
      </c>
      <c r="B71" s="1" t="n">
        <v>43557</v>
      </c>
      <c r="C71" s="1" t="n">
        <v>45793</v>
      </c>
      <c r="D71" t="inlineStr">
        <is>
          <t>DALARNAS LÄN</t>
        </is>
      </c>
      <c r="E71" t="inlineStr">
        <is>
          <t>LEKSAND</t>
        </is>
      </c>
      <c r="G71" t="n">
        <v>0.6</v>
      </c>
      <c r="H71" t="n">
        <v>0</v>
      </c>
      <c r="I71" t="n">
        <v>0</v>
      </c>
      <c r="J71" t="n">
        <v>0</v>
      </c>
      <c r="K71" t="n">
        <v>0</v>
      </c>
      <c r="L71" t="n">
        <v>0</v>
      </c>
      <c r="M71" t="n">
        <v>0</v>
      </c>
      <c r="N71" t="n">
        <v>0</v>
      </c>
      <c r="O71" t="n">
        <v>0</v>
      </c>
      <c r="P71" t="n">
        <v>0</v>
      </c>
      <c r="Q71" t="n">
        <v>0</v>
      </c>
      <c r="R71" s="2" t="inlineStr"/>
    </row>
    <row r="72" ht="15" customHeight="1">
      <c r="A72" t="inlineStr">
        <is>
          <t>A 17970-2019</t>
        </is>
      </c>
      <c r="B72" s="1" t="n">
        <v>43557</v>
      </c>
      <c r="C72" s="1" t="n">
        <v>45793</v>
      </c>
      <c r="D72" t="inlineStr">
        <is>
          <t>DALARNAS LÄN</t>
        </is>
      </c>
      <c r="E72" t="inlineStr">
        <is>
          <t>LEKSAND</t>
        </is>
      </c>
      <c r="G72" t="n">
        <v>2.5</v>
      </c>
      <c r="H72" t="n">
        <v>0</v>
      </c>
      <c r="I72" t="n">
        <v>0</v>
      </c>
      <c r="J72" t="n">
        <v>0</v>
      </c>
      <c r="K72" t="n">
        <v>0</v>
      </c>
      <c r="L72" t="n">
        <v>0</v>
      </c>
      <c r="M72" t="n">
        <v>0</v>
      </c>
      <c r="N72" t="n">
        <v>0</v>
      </c>
      <c r="O72" t="n">
        <v>0</v>
      </c>
      <c r="P72" t="n">
        <v>0</v>
      </c>
      <c r="Q72" t="n">
        <v>0</v>
      </c>
      <c r="R72" s="2" t="inlineStr"/>
    </row>
    <row r="73" ht="15" customHeight="1">
      <c r="A73" t="inlineStr">
        <is>
          <t>A 18238-2019</t>
        </is>
      </c>
      <c r="B73" s="1" t="n">
        <v>43558</v>
      </c>
      <c r="C73" s="1" t="n">
        <v>45793</v>
      </c>
      <c r="D73" t="inlineStr">
        <is>
          <t>DALARNAS LÄN</t>
        </is>
      </c>
      <c r="E73" t="inlineStr">
        <is>
          <t>LEKSAND</t>
        </is>
      </c>
      <c r="G73" t="n">
        <v>3.3</v>
      </c>
      <c r="H73" t="n">
        <v>0</v>
      </c>
      <c r="I73" t="n">
        <v>0</v>
      </c>
      <c r="J73" t="n">
        <v>0</v>
      </c>
      <c r="K73" t="n">
        <v>0</v>
      </c>
      <c r="L73" t="n">
        <v>0</v>
      </c>
      <c r="M73" t="n">
        <v>0</v>
      </c>
      <c r="N73" t="n">
        <v>0</v>
      </c>
      <c r="O73" t="n">
        <v>0</v>
      </c>
      <c r="P73" t="n">
        <v>0</v>
      </c>
      <c r="Q73" t="n">
        <v>0</v>
      </c>
      <c r="R73" s="2" t="inlineStr"/>
    </row>
    <row r="74" ht="15" customHeight="1">
      <c r="A74" t="inlineStr">
        <is>
          <t>A 19703-2019</t>
        </is>
      </c>
      <c r="B74" s="1" t="n">
        <v>43566</v>
      </c>
      <c r="C74" s="1" t="n">
        <v>45793</v>
      </c>
      <c r="D74" t="inlineStr">
        <is>
          <t>DALARNAS LÄN</t>
        </is>
      </c>
      <c r="E74" t="inlineStr">
        <is>
          <t>LEKSAND</t>
        </is>
      </c>
      <c r="G74" t="n">
        <v>0.4</v>
      </c>
      <c r="H74" t="n">
        <v>0</v>
      </c>
      <c r="I74" t="n">
        <v>0</v>
      </c>
      <c r="J74" t="n">
        <v>0</v>
      </c>
      <c r="K74" t="n">
        <v>0</v>
      </c>
      <c r="L74" t="n">
        <v>0</v>
      </c>
      <c r="M74" t="n">
        <v>0</v>
      </c>
      <c r="N74" t="n">
        <v>0</v>
      </c>
      <c r="O74" t="n">
        <v>0</v>
      </c>
      <c r="P74" t="n">
        <v>0</v>
      </c>
      <c r="Q74" t="n">
        <v>0</v>
      </c>
      <c r="R74" s="2" t="inlineStr"/>
    </row>
    <row r="75" ht="15" customHeight="1">
      <c r="A75" t="inlineStr">
        <is>
          <t>A 19790-2019</t>
        </is>
      </c>
      <c r="B75" s="1" t="n">
        <v>43566</v>
      </c>
      <c r="C75" s="1" t="n">
        <v>45793</v>
      </c>
      <c r="D75" t="inlineStr">
        <is>
          <t>DALARNAS LÄN</t>
        </is>
      </c>
      <c r="E75" t="inlineStr">
        <is>
          <t>LEKSAND</t>
        </is>
      </c>
      <c r="G75" t="n">
        <v>11.4</v>
      </c>
      <c r="H75" t="n">
        <v>0</v>
      </c>
      <c r="I75" t="n">
        <v>0</v>
      </c>
      <c r="J75" t="n">
        <v>0</v>
      </c>
      <c r="K75" t="n">
        <v>0</v>
      </c>
      <c r="L75" t="n">
        <v>0</v>
      </c>
      <c r="M75" t="n">
        <v>0</v>
      </c>
      <c r="N75" t="n">
        <v>0</v>
      </c>
      <c r="O75" t="n">
        <v>0</v>
      </c>
      <c r="P75" t="n">
        <v>0</v>
      </c>
      <c r="Q75" t="n">
        <v>0</v>
      </c>
      <c r="R75" s="2" t="inlineStr"/>
    </row>
    <row r="76" ht="15" customHeight="1">
      <c r="A76" t="inlineStr">
        <is>
          <t>A 22975-2019</t>
        </is>
      </c>
      <c r="B76" s="1" t="n">
        <v>43591</v>
      </c>
      <c r="C76" s="1" t="n">
        <v>45793</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24300-2019</t>
        </is>
      </c>
      <c r="B77" s="1" t="n">
        <v>43598</v>
      </c>
      <c r="C77" s="1" t="n">
        <v>45793</v>
      </c>
      <c r="D77" t="inlineStr">
        <is>
          <t>DALARNAS LÄN</t>
        </is>
      </c>
      <c r="E77" t="inlineStr">
        <is>
          <t>LEKSAND</t>
        </is>
      </c>
      <c r="G77" t="n">
        <v>0.5</v>
      </c>
      <c r="H77" t="n">
        <v>0</v>
      </c>
      <c r="I77" t="n">
        <v>0</v>
      </c>
      <c r="J77" t="n">
        <v>0</v>
      </c>
      <c r="K77" t="n">
        <v>0</v>
      </c>
      <c r="L77" t="n">
        <v>0</v>
      </c>
      <c r="M77" t="n">
        <v>0</v>
      </c>
      <c r="N77" t="n">
        <v>0</v>
      </c>
      <c r="O77" t="n">
        <v>0</v>
      </c>
      <c r="P77" t="n">
        <v>0</v>
      </c>
      <c r="Q77" t="n">
        <v>0</v>
      </c>
      <c r="R77" s="2" t="inlineStr"/>
    </row>
    <row r="78" ht="15" customHeight="1">
      <c r="A78" t="inlineStr">
        <is>
          <t>A 24051-2019</t>
        </is>
      </c>
      <c r="B78" s="1" t="n">
        <v>43598</v>
      </c>
      <c r="C78" s="1" t="n">
        <v>45793</v>
      </c>
      <c r="D78" t="inlineStr">
        <is>
          <t>DALARNAS LÄN</t>
        </is>
      </c>
      <c r="E78" t="inlineStr">
        <is>
          <t>LEKSAND</t>
        </is>
      </c>
      <c r="G78" t="n">
        <v>5.4</v>
      </c>
      <c r="H78" t="n">
        <v>0</v>
      </c>
      <c r="I78" t="n">
        <v>0</v>
      </c>
      <c r="J78" t="n">
        <v>0</v>
      </c>
      <c r="K78" t="n">
        <v>0</v>
      </c>
      <c r="L78" t="n">
        <v>0</v>
      </c>
      <c r="M78" t="n">
        <v>0</v>
      </c>
      <c r="N78" t="n">
        <v>0</v>
      </c>
      <c r="O78" t="n">
        <v>0</v>
      </c>
      <c r="P78" t="n">
        <v>0</v>
      </c>
      <c r="Q78" t="n">
        <v>0</v>
      </c>
      <c r="R78" s="2" t="inlineStr"/>
    </row>
    <row r="79" ht="15" customHeight="1">
      <c r="A79" t="inlineStr">
        <is>
          <t>A 24542-2019</t>
        </is>
      </c>
      <c r="B79" s="1" t="n">
        <v>43600</v>
      </c>
      <c r="C79" s="1" t="n">
        <v>45793</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32532-2019</t>
        </is>
      </c>
      <c r="B80" s="1" t="n">
        <v>43646</v>
      </c>
      <c r="C80" s="1" t="n">
        <v>45793</v>
      </c>
      <c r="D80" t="inlineStr">
        <is>
          <t>DALARNAS LÄN</t>
        </is>
      </c>
      <c r="E80" t="inlineStr">
        <is>
          <t>LEKSAND</t>
        </is>
      </c>
      <c r="G80" t="n">
        <v>3.1</v>
      </c>
      <c r="H80" t="n">
        <v>0</v>
      </c>
      <c r="I80" t="n">
        <v>0</v>
      </c>
      <c r="J80" t="n">
        <v>0</v>
      </c>
      <c r="K80" t="n">
        <v>0</v>
      </c>
      <c r="L80" t="n">
        <v>0</v>
      </c>
      <c r="M80" t="n">
        <v>0</v>
      </c>
      <c r="N80" t="n">
        <v>0</v>
      </c>
      <c r="O80" t="n">
        <v>0</v>
      </c>
      <c r="P80" t="n">
        <v>0</v>
      </c>
      <c r="Q80" t="n">
        <v>0</v>
      </c>
      <c r="R80" s="2" t="inlineStr"/>
    </row>
    <row r="81" ht="15" customHeight="1">
      <c r="A81" t="inlineStr">
        <is>
          <t>A 33903-2019</t>
        </is>
      </c>
      <c r="B81" s="1" t="n">
        <v>43654</v>
      </c>
      <c r="C81" s="1" t="n">
        <v>45793</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36014-2019</t>
        </is>
      </c>
      <c r="B82" s="1" t="n">
        <v>43657</v>
      </c>
      <c r="C82" s="1" t="n">
        <v>45793</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36023-2019</t>
        </is>
      </c>
      <c r="B83" s="1" t="n">
        <v>43657</v>
      </c>
      <c r="C83" s="1" t="n">
        <v>45793</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36287-2019</t>
        </is>
      </c>
      <c r="B84" s="1" t="n">
        <v>43669</v>
      </c>
      <c r="C84" s="1" t="n">
        <v>45793</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37733-2019</t>
        </is>
      </c>
      <c r="B85" s="1" t="n">
        <v>43682</v>
      </c>
      <c r="C85" s="1" t="n">
        <v>45793</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37822-2019</t>
        </is>
      </c>
      <c r="B86" s="1" t="n">
        <v>43682</v>
      </c>
      <c r="C86" s="1" t="n">
        <v>45793</v>
      </c>
      <c r="D86" t="inlineStr">
        <is>
          <t>DALARNAS LÄN</t>
        </is>
      </c>
      <c r="E86" t="inlineStr">
        <is>
          <t>LEKSAND</t>
        </is>
      </c>
      <c r="G86" t="n">
        <v>8.9</v>
      </c>
      <c r="H86" t="n">
        <v>0</v>
      </c>
      <c r="I86" t="n">
        <v>0</v>
      </c>
      <c r="J86" t="n">
        <v>0</v>
      </c>
      <c r="K86" t="n">
        <v>0</v>
      </c>
      <c r="L86" t="n">
        <v>0</v>
      </c>
      <c r="M86" t="n">
        <v>0</v>
      </c>
      <c r="N86" t="n">
        <v>0</v>
      </c>
      <c r="O86" t="n">
        <v>0</v>
      </c>
      <c r="P86" t="n">
        <v>0</v>
      </c>
      <c r="Q86" t="n">
        <v>0</v>
      </c>
      <c r="R86" s="2" t="inlineStr"/>
    </row>
    <row r="87" ht="15" customHeight="1">
      <c r="A87" t="inlineStr">
        <is>
          <t>A 38350-2019</t>
        </is>
      </c>
      <c r="B87" s="1" t="n">
        <v>43685</v>
      </c>
      <c r="C87" s="1" t="n">
        <v>45793</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39025-2019</t>
        </is>
      </c>
      <c r="B88" s="1" t="n">
        <v>43689</v>
      </c>
      <c r="C88" s="1" t="n">
        <v>45793</v>
      </c>
      <c r="D88" t="inlineStr">
        <is>
          <t>DALARNAS LÄN</t>
        </is>
      </c>
      <c r="E88" t="inlineStr">
        <is>
          <t>LEKSAND</t>
        </is>
      </c>
      <c r="F88" t="inlineStr">
        <is>
          <t>Bergvik skog väst AB</t>
        </is>
      </c>
      <c r="G88" t="n">
        <v>10.1</v>
      </c>
      <c r="H88" t="n">
        <v>0</v>
      </c>
      <c r="I88" t="n">
        <v>0</v>
      </c>
      <c r="J88" t="n">
        <v>0</v>
      </c>
      <c r="K88" t="n">
        <v>0</v>
      </c>
      <c r="L88" t="n">
        <v>0</v>
      </c>
      <c r="M88" t="n">
        <v>0</v>
      </c>
      <c r="N88" t="n">
        <v>0</v>
      </c>
      <c r="O88" t="n">
        <v>0</v>
      </c>
      <c r="P88" t="n">
        <v>0</v>
      </c>
      <c r="Q88" t="n">
        <v>0</v>
      </c>
      <c r="R88" s="2" t="inlineStr"/>
    </row>
    <row r="89" ht="15" customHeight="1">
      <c r="A89" t="inlineStr">
        <is>
          <t>A 41329-2019</t>
        </is>
      </c>
      <c r="B89" s="1" t="n">
        <v>43698</v>
      </c>
      <c r="C89" s="1" t="n">
        <v>45793</v>
      </c>
      <c r="D89" t="inlineStr">
        <is>
          <t>DALARNAS LÄN</t>
        </is>
      </c>
      <c r="E89" t="inlineStr">
        <is>
          <t>LEKSAND</t>
        </is>
      </c>
      <c r="G89" t="n">
        <v>2</v>
      </c>
      <c r="H89" t="n">
        <v>0</v>
      </c>
      <c r="I89" t="n">
        <v>0</v>
      </c>
      <c r="J89" t="n">
        <v>0</v>
      </c>
      <c r="K89" t="n">
        <v>0</v>
      </c>
      <c r="L89" t="n">
        <v>0</v>
      </c>
      <c r="M89" t="n">
        <v>0</v>
      </c>
      <c r="N89" t="n">
        <v>0</v>
      </c>
      <c r="O89" t="n">
        <v>0</v>
      </c>
      <c r="P89" t="n">
        <v>0</v>
      </c>
      <c r="Q89" t="n">
        <v>0</v>
      </c>
      <c r="R89" s="2" t="inlineStr"/>
    </row>
    <row r="90" ht="15" customHeight="1">
      <c r="A90" t="inlineStr">
        <is>
          <t>A 43082-2019</t>
        </is>
      </c>
      <c r="B90" s="1" t="n">
        <v>43705</v>
      </c>
      <c r="C90" s="1" t="n">
        <v>45793</v>
      </c>
      <c r="D90" t="inlineStr">
        <is>
          <t>DALARNAS LÄN</t>
        </is>
      </c>
      <c r="E90" t="inlineStr">
        <is>
          <t>LEKSAND</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43887-2019</t>
        </is>
      </c>
      <c r="B91" s="1" t="n">
        <v>43707</v>
      </c>
      <c r="C91" s="1" t="n">
        <v>45793</v>
      </c>
      <c r="D91" t="inlineStr">
        <is>
          <t>DALARNAS LÄN</t>
        </is>
      </c>
      <c r="E91" t="inlineStr">
        <is>
          <t>LEKSAND</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43884-2019</t>
        </is>
      </c>
      <c r="B92" s="1" t="n">
        <v>43707</v>
      </c>
      <c r="C92" s="1" t="n">
        <v>45793</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44058-2019</t>
        </is>
      </c>
      <c r="B93" s="1" t="n">
        <v>43710</v>
      </c>
      <c r="C93" s="1" t="n">
        <v>45793</v>
      </c>
      <c r="D93" t="inlineStr">
        <is>
          <t>DALARNAS LÄN</t>
        </is>
      </c>
      <c r="E93" t="inlineStr">
        <is>
          <t>LEKSAND</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45526-2019</t>
        </is>
      </c>
      <c r="B94" s="1" t="n">
        <v>43714</v>
      </c>
      <c r="C94" s="1" t="n">
        <v>45793</v>
      </c>
      <c r="D94" t="inlineStr">
        <is>
          <t>DALARNAS LÄN</t>
        </is>
      </c>
      <c r="E94" t="inlineStr">
        <is>
          <t>LEKSAND</t>
        </is>
      </c>
      <c r="F94" t="inlineStr">
        <is>
          <t>Bergvik skog väst AB</t>
        </is>
      </c>
      <c r="G94" t="n">
        <v>5.9</v>
      </c>
      <c r="H94" t="n">
        <v>0</v>
      </c>
      <c r="I94" t="n">
        <v>0</v>
      </c>
      <c r="J94" t="n">
        <v>0</v>
      </c>
      <c r="K94" t="n">
        <v>0</v>
      </c>
      <c r="L94" t="n">
        <v>0</v>
      </c>
      <c r="M94" t="n">
        <v>0</v>
      </c>
      <c r="N94" t="n">
        <v>0</v>
      </c>
      <c r="O94" t="n">
        <v>0</v>
      </c>
      <c r="P94" t="n">
        <v>0</v>
      </c>
      <c r="Q94" t="n">
        <v>0</v>
      </c>
      <c r="R94" s="2" t="inlineStr"/>
    </row>
    <row r="95" ht="15" customHeight="1">
      <c r="A95" t="inlineStr">
        <is>
          <t>A 45572-2019</t>
        </is>
      </c>
      <c r="B95" s="1" t="n">
        <v>43716</v>
      </c>
      <c r="C95" s="1" t="n">
        <v>45793</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46739-2019</t>
        </is>
      </c>
      <c r="B96" s="1" t="n">
        <v>43719</v>
      </c>
      <c r="C96" s="1" t="n">
        <v>45793</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46740-2019</t>
        </is>
      </c>
      <c r="B97" s="1" t="n">
        <v>43719</v>
      </c>
      <c r="C97" s="1" t="n">
        <v>45793</v>
      </c>
      <c r="D97" t="inlineStr">
        <is>
          <t>DALARNAS LÄN</t>
        </is>
      </c>
      <c r="E97" t="inlineStr">
        <is>
          <t>LEKSAND</t>
        </is>
      </c>
      <c r="G97" t="n">
        <v>0.3</v>
      </c>
      <c r="H97" t="n">
        <v>0</v>
      </c>
      <c r="I97" t="n">
        <v>0</v>
      </c>
      <c r="J97" t="n">
        <v>0</v>
      </c>
      <c r="K97" t="n">
        <v>0</v>
      </c>
      <c r="L97" t="n">
        <v>0</v>
      </c>
      <c r="M97" t="n">
        <v>0</v>
      </c>
      <c r="N97" t="n">
        <v>0</v>
      </c>
      <c r="O97" t="n">
        <v>0</v>
      </c>
      <c r="P97" t="n">
        <v>0</v>
      </c>
      <c r="Q97" t="n">
        <v>0</v>
      </c>
      <c r="R97" s="2" t="inlineStr"/>
    </row>
    <row r="98" ht="15" customHeight="1">
      <c r="A98" t="inlineStr">
        <is>
          <t>A 47532-2019</t>
        </is>
      </c>
      <c r="B98" s="1" t="n">
        <v>43724</v>
      </c>
      <c r="C98" s="1" t="n">
        <v>45793</v>
      </c>
      <c r="D98" t="inlineStr">
        <is>
          <t>DALARNAS LÄN</t>
        </is>
      </c>
      <c r="E98" t="inlineStr">
        <is>
          <t>LEKSAND</t>
        </is>
      </c>
      <c r="G98" t="n">
        <v>2.3</v>
      </c>
      <c r="H98" t="n">
        <v>0</v>
      </c>
      <c r="I98" t="n">
        <v>0</v>
      </c>
      <c r="J98" t="n">
        <v>0</v>
      </c>
      <c r="K98" t="n">
        <v>0</v>
      </c>
      <c r="L98" t="n">
        <v>0</v>
      </c>
      <c r="M98" t="n">
        <v>0</v>
      </c>
      <c r="N98" t="n">
        <v>0</v>
      </c>
      <c r="O98" t="n">
        <v>0</v>
      </c>
      <c r="P98" t="n">
        <v>0</v>
      </c>
      <c r="Q98" t="n">
        <v>0</v>
      </c>
      <c r="R98" s="2" t="inlineStr"/>
    </row>
    <row r="99" ht="15" customHeight="1">
      <c r="A99" t="inlineStr">
        <is>
          <t>A 49132-2019</t>
        </is>
      </c>
      <c r="B99" s="1" t="n">
        <v>43728</v>
      </c>
      <c r="C99" s="1" t="n">
        <v>45793</v>
      </c>
      <c r="D99" t="inlineStr">
        <is>
          <t>DALARNAS LÄN</t>
        </is>
      </c>
      <c r="E99" t="inlineStr">
        <is>
          <t>LEKSAND</t>
        </is>
      </c>
      <c r="G99" t="n">
        <v>1.9</v>
      </c>
      <c r="H99" t="n">
        <v>0</v>
      </c>
      <c r="I99" t="n">
        <v>0</v>
      </c>
      <c r="J99" t="n">
        <v>0</v>
      </c>
      <c r="K99" t="n">
        <v>0</v>
      </c>
      <c r="L99" t="n">
        <v>0</v>
      </c>
      <c r="M99" t="n">
        <v>0</v>
      </c>
      <c r="N99" t="n">
        <v>0</v>
      </c>
      <c r="O99" t="n">
        <v>0</v>
      </c>
      <c r="P99" t="n">
        <v>0</v>
      </c>
      <c r="Q99" t="n">
        <v>0</v>
      </c>
      <c r="R99" s="2" t="inlineStr"/>
    </row>
    <row r="100" ht="15" customHeight="1">
      <c r="A100" t="inlineStr">
        <is>
          <t>A 51390-2019</t>
        </is>
      </c>
      <c r="B100" s="1" t="n">
        <v>43733</v>
      </c>
      <c r="C100" s="1" t="n">
        <v>45793</v>
      </c>
      <c r="D100" t="inlineStr">
        <is>
          <t>DALARNAS LÄN</t>
        </is>
      </c>
      <c r="E100" t="inlineStr">
        <is>
          <t>LEKSAND</t>
        </is>
      </c>
      <c r="G100" t="n">
        <v>4.7</v>
      </c>
      <c r="H100" t="n">
        <v>0</v>
      </c>
      <c r="I100" t="n">
        <v>0</v>
      </c>
      <c r="J100" t="n">
        <v>0</v>
      </c>
      <c r="K100" t="n">
        <v>0</v>
      </c>
      <c r="L100" t="n">
        <v>0</v>
      </c>
      <c r="M100" t="n">
        <v>0</v>
      </c>
      <c r="N100" t="n">
        <v>0</v>
      </c>
      <c r="O100" t="n">
        <v>0</v>
      </c>
      <c r="P100" t="n">
        <v>0</v>
      </c>
      <c r="Q100" t="n">
        <v>0</v>
      </c>
      <c r="R100" s="2" t="inlineStr"/>
    </row>
    <row r="101" ht="15" customHeight="1">
      <c r="A101" t="inlineStr">
        <is>
          <t>A 50532-2019</t>
        </is>
      </c>
      <c r="B101" s="1" t="n">
        <v>43735</v>
      </c>
      <c r="C101" s="1" t="n">
        <v>45793</v>
      </c>
      <c r="D101" t="inlineStr">
        <is>
          <t>DALARNAS LÄN</t>
        </is>
      </c>
      <c r="E101" t="inlineStr">
        <is>
          <t>LEKSAND</t>
        </is>
      </c>
      <c r="F101" t="inlineStr">
        <is>
          <t>Kyrkan</t>
        </is>
      </c>
      <c r="G101" t="n">
        <v>1.3</v>
      </c>
      <c r="H101" t="n">
        <v>0</v>
      </c>
      <c r="I101" t="n">
        <v>0</v>
      </c>
      <c r="J101" t="n">
        <v>0</v>
      </c>
      <c r="K101" t="n">
        <v>0</v>
      </c>
      <c r="L101" t="n">
        <v>0</v>
      </c>
      <c r="M101" t="n">
        <v>0</v>
      </c>
      <c r="N101" t="n">
        <v>0</v>
      </c>
      <c r="O101" t="n">
        <v>0</v>
      </c>
      <c r="P101" t="n">
        <v>0</v>
      </c>
      <c r="Q101" t="n">
        <v>0</v>
      </c>
      <c r="R101" s="2" t="inlineStr"/>
    </row>
    <row r="102" ht="15" customHeight="1">
      <c r="A102" t="inlineStr">
        <is>
          <t>A 52130-2019</t>
        </is>
      </c>
      <c r="B102" s="1" t="n">
        <v>43735</v>
      </c>
      <c r="C102" s="1" t="n">
        <v>45793</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52827-2019</t>
        </is>
      </c>
      <c r="B103" s="1" t="n">
        <v>43746</v>
      </c>
      <c r="C103" s="1" t="n">
        <v>45793</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52957-2019</t>
        </is>
      </c>
      <c r="B104" s="1" t="n">
        <v>43747</v>
      </c>
      <c r="C104" s="1" t="n">
        <v>45793</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53553-2019</t>
        </is>
      </c>
      <c r="B105" s="1" t="n">
        <v>43749</v>
      </c>
      <c r="C105" s="1" t="n">
        <v>45793</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56844-2019</t>
        </is>
      </c>
      <c r="B106" s="1" t="n">
        <v>43765</v>
      </c>
      <c r="C106" s="1" t="n">
        <v>45793</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57221-2019</t>
        </is>
      </c>
      <c r="B107" s="1" t="n">
        <v>43767</v>
      </c>
      <c r="C107" s="1" t="n">
        <v>45793</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58237-2019</t>
        </is>
      </c>
      <c r="B108" s="1" t="n">
        <v>43770</v>
      </c>
      <c r="C108" s="1" t="n">
        <v>45793</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59714-2019</t>
        </is>
      </c>
      <c r="B109" s="1" t="n">
        <v>43776</v>
      </c>
      <c r="C109" s="1" t="n">
        <v>45793</v>
      </c>
      <c r="D109" t="inlineStr">
        <is>
          <t>DALARNAS LÄN</t>
        </is>
      </c>
      <c r="E109" t="inlineStr">
        <is>
          <t>LEKSAND</t>
        </is>
      </c>
      <c r="F109" t="inlineStr">
        <is>
          <t>Bergvik skog väst AB</t>
        </is>
      </c>
      <c r="G109" t="n">
        <v>4.8</v>
      </c>
      <c r="H109" t="n">
        <v>0</v>
      </c>
      <c r="I109" t="n">
        <v>0</v>
      </c>
      <c r="J109" t="n">
        <v>0</v>
      </c>
      <c r="K109" t="n">
        <v>0</v>
      </c>
      <c r="L109" t="n">
        <v>0</v>
      </c>
      <c r="M109" t="n">
        <v>0</v>
      </c>
      <c r="N109" t="n">
        <v>0</v>
      </c>
      <c r="O109" t="n">
        <v>0</v>
      </c>
      <c r="P109" t="n">
        <v>0</v>
      </c>
      <c r="Q109" t="n">
        <v>0</v>
      </c>
      <c r="R109" s="2" t="inlineStr"/>
    </row>
    <row r="110" ht="15" customHeight="1">
      <c r="A110" t="inlineStr">
        <is>
          <t>A 59721-2019</t>
        </is>
      </c>
      <c r="B110" s="1" t="n">
        <v>43776</v>
      </c>
      <c r="C110" s="1" t="n">
        <v>45793</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60809-2019</t>
        </is>
      </c>
      <c r="B111" s="1" t="n">
        <v>43780</v>
      </c>
      <c r="C111" s="1" t="n">
        <v>45793</v>
      </c>
      <c r="D111" t="inlineStr">
        <is>
          <t>DALARNAS LÄN</t>
        </is>
      </c>
      <c r="E111" t="inlineStr">
        <is>
          <t>LEKSAND</t>
        </is>
      </c>
      <c r="G111" t="n">
        <v>1.9</v>
      </c>
      <c r="H111" t="n">
        <v>0</v>
      </c>
      <c r="I111" t="n">
        <v>0</v>
      </c>
      <c r="J111" t="n">
        <v>0</v>
      </c>
      <c r="K111" t="n">
        <v>0</v>
      </c>
      <c r="L111" t="n">
        <v>0</v>
      </c>
      <c r="M111" t="n">
        <v>0</v>
      </c>
      <c r="N111" t="n">
        <v>0</v>
      </c>
      <c r="O111" t="n">
        <v>0</v>
      </c>
      <c r="P111" t="n">
        <v>0</v>
      </c>
      <c r="Q111" t="n">
        <v>0</v>
      </c>
      <c r="R111" s="2" t="inlineStr"/>
    </row>
    <row r="112" ht="15" customHeight="1">
      <c r="A112" t="inlineStr">
        <is>
          <t>A 61111-2019</t>
        </is>
      </c>
      <c r="B112" s="1" t="n">
        <v>43782</v>
      </c>
      <c r="C112" s="1" t="n">
        <v>45793</v>
      </c>
      <c r="D112" t="inlineStr">
        <is>
          <t>DALARNAS LÄN</t>
        </is>
      </c>
      <c r="E112" t="inlineStr">
        <is>
          <t>LEKSAND</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61113-2019</t>
        </is>
      </c>
      <c r="B113" s="1" t="n">
        <v>43782</v>
      </c>
      <c r="C113" s="1" t="n">
        <v>45793</v>
      </c>
      <c r="D113" t="inlineStr">
        <is>
          <t>DALARNAS LÄN</t>
        </is>
      </c>
      <c r="E113" t="inlineStr">
        <is>
          <t>LEKSAND</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64635-2019</t>
        </is>
      </c>
      <c r="B114" s="1" t="n">
        <v>43794</v>
      </c>
      <c r="C114" s="1" t="n">
        <v>45793</v>
      </c>
      <c r="D114" t="inlineStr">
        <is>
          <t>DALARNAS LÄN</t>
        </is>
      </c>
      <c r="E114" t="inlineStr">
        <is>
          <t>LEKSAND</t>
        </is>
      </c>
      <c r="G114" t="n">
        <v>5.4</v>
      </c>
      <c r="H114" t="n">
        <v>0</v>
      </c>
      <c r="I114" t="n">
        <v>0</v>
      </c>
      <c r="J114" t="n">
        <v>0</v>
      </c>
      <c r="K114" t="n">
        <v>0</v>
      </c>
      <c r="L114" t="n">
        <v>0</v>
      </c>
      <c r="M114" t="n">
        <v>0</v>
      </c>
      <c r="N114" t="n">
        <v>0</v>
      </c>
      <c r="O114" t="n">
        <v>0</v>
      </c>
      <c r="P114" t="n">
        <v>0</v>
      </c>
      <c r="Q114" t="n">
        <v>0</v>
      </c>
      <c r="R114" s="2" t="inlineStr"/>
    </row>
    <row r="115" ht="15" customHeight="1">
      <c r="A115" t="inlineStr">
        <is>
          <t>A 66288-2019</t>
        </is>
      </c>
      <c r="B115" s="1" t="n">
        <v>43808</v>
      </c>
      <c r="C115" s="1" t="n">
        <v>45793</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66822-2019</t>
        </is>
      </c>
      <c r="B116" s="1" t="n">
        <v>43810</v>
      </c>
      <c r="C116" s="1" t="n">
        <v>45793</v>
      </c>
      <c r="D116" t="inlineStr">
        <is>
          <t>DALARNAS LÄN</t>
        </is>
      </c>
      <c r="E116" t="inlineStr">
        <is>
          <t>LEKSAND</t>
        </is>
      </c>
      <c r="G116" t="n">
        <v>5.2</v>
      </c>
      <c r="H116" t="n">
        <v>0</v>
      </c>
      <c r="I116" t="n">
        <v>0</v>
      </c>
      <c r="J116" t="n">
        <v>0</v>
      </c>
      <c r="K116" t="n">
        <v>0</v>
      </c>
      <c r="L116" t="n">
        <v>0</v>
      </c>
      <c r="M116" t="n">
        <v>0</v>
      </c>
      <c r="N116" t="n">
        <v>0</v>
      </c>
      <c r="O116" t="n">
        <v>0</v>
      </c>
      <c r="P116" t="n">
        <v>0</v>
      </c>
      <c r="Q116" t="n">
        <v>0</v>
      </c>
      <c r="R116" s="2" t="inlineStr"/>
    </row>
    <row r="117" ht="15" customHeight="1">
      <c r="A117" t="inlineStr">
        <is>
          <t>A 67123-2019</t>
        </is>
      </c>
      <c r="B117" s="1" t="n">
        <v>43811</v>
      </c>
      <c r="C117" s="1" t="n">
        <v>45793</v>
      </c>
      <c r="D117" t="inlineStr">
        <is>
          <t>DALARNAS LÄN</t>
        </is>
      </c>
      <c r="E117" t="inlineStr">
        <is>
          <t>LEKSAND</t>
        </is>
      </c>
      <c r="G117" t="n">
        <v>2.1</v>
      </c>
      <c r="H117" t="n">
        <v>0</v>
      </c>
      <c r="I117" t="n">
        <v>0</v>
      </c>
      <c r="J117" t="n">
        <v>0</v>
      </c>
      <c r="K117" t="n">
        <v>0</v>
      </c>
      <c r="L117" t="n">
        <v>0</v>
      </c>
      <c r="M117" t="n">
        <v>0</v>
      </c>
      <c r="N117" t="n">
        <v>0</v>
      </c>
      <c r="O117" t="n">
        <v>0</v>
      </c>
      <c r="P117" t="n">
        <v>0</v>
      </c>
      <c r="Q117" t="n">
        <v>0</v>
      </c>
      <c r="R117" s="2" t="inlineStr"/>
    </row>
    <row r="118" ht="15" customHeight="1">
      <c r="A118" t="inlineStr">
        <is>
          <t>A 68808-2019</t>
        </is>
      </c>
      <c r="B118" s="1" t="n">
        <v>43815</v>
      </c>
      <c r="C118" s="1" t="n">
        <v>45793</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1604-2020</t>
        </is>
      </c>
      <c r="B119" s="1" t="n">
        <v>43829</v>
      </c>
      <c r="C119" s="1" t="n">
        <v>45793</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1915-2020</t>
        </is>
      </c>
      <c r="B120" s="1" t="n">
        <v>43837</v>
      </c>
      <c r="C120" s="1" t="n">
        <v>45793</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1778-2020</t>
        </is>
      </c>
      <c r="B121" s="1" t="n">
        <v>43844</v>
      </c>
      <c r="C121" s="1" t="n">
        <v>45793</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2670-2020</t>
        </is>
      </c>
      <c r="B122" s="1" t="n">
        <v>43849</v>
      </c>
      <c r="C122" s="1" t="n">
        <v>45793</v>
      </c>
      <c r="D122" t="inlineStr">
        <is>
          <t>DALARNAS LÄN</t>
        </is>
      </c>
      <c r="E122" t="inlineStr">
        <is>
          <t>LEKSAND</t>
        </is>
      </c>
      <c r="G122" t="n">
        <v>2.4</v>
      </c>
      <c r="H122" t="n">
        <v>0</v>
      </c>
      <c r="I122" t="n">
        <v>0</v>
      </c>
      <c r="J122" t="n">
        <v>0</v>
      </c>
      <c r="K122" t="n">
        <v>0</v>
      </c>
      <c r="L122" t="n">
        <v>0</v>
      </c>
      <c r="M122" t="n">
        <v>0</v>
      </c>
      <c r="N122" t="n">
        <v>0</v>
      </c>
      <c r="O122" t="n">
        <v>0</v>
      </c>
      <c r="P122" t="n">
        <v>0</v>
      </c>
      <c r="Q122" t="n">
        <v>0</v>
      </c>
      <c r="R122" s="2" t="inlineStr"/>
    </row>
    <row r="123" ht="15" customHeight="1">
      <c r="A123" t="inlineStr">
        <is>
          <t>A 4479-2020</t>
        </is>
      </c>
      <c r="B123" s="1" t="n">
        <v>43850</v>
      </c>
      <c r="C123" s="1" t="n">
        <v>45793</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4004-2020</t>
        </is>
      </c>
      <c r="B124" s="1" t="n">
        <v>43856</v>
      </c>
      <c r="C124" s="1" t="n">
        <v>45793</v>
      </c>
      <c r="D124" t="inlineStr">
        <is>
          <t>DALARNAS LÄN</t>
        </is>
      </c>
      <c r="E124" t="inlineStr">
        <is>
          <t>LEKSAND</t>
        </is>
      </c>
      <c r="G124" t="n">
        <v>6</v>
      </c>
      <c r="H124" t="n">
        <v>0</v>
      </c>
      <c r="I124" t="n">
        <v>0</v>
      </c>
      <c r="J124" t="n">
        <v>0</v>
      </c>
      <c r="K124" t="n">
        <v>0</v>
      </c>
      <c r="L124" t="n">
        <v>0</v>
      </c>
      <c r="M124" t="n">
        <v>0</v>
      </c>
      <c r="N124" t="n">
        <v>0</v>
      </c>
      <c r="O124" t="n">
        <v>0</v>
      </c>
      <c r="P124" t="n">
        <v>0</v>
      </c>
      <c r="Q124" t="n">
        <v>0</v>
      </c>
      <c r="R124" s="2" t="inlineStr"/>
    </row>
    <row r="125" ht="15" customHeight="1">
      <c r="A125" t="inlineStr">
        <is>
          <t>A 6002-2020</t>
        </is>
      </c>
      <c r="B125" s="1" t="n">
        <v>43864</v>
      </c>
      <c r="C125" s="1" t="n">
        <v>45793</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6017-2020</t>
        </is>
      </c>
      <c r="B126" s="1" t="n">
        <v>43864</v>
      </c>
      <c r="C126" s="1" t="n">
        <v>45793</v>
      </c>
      <c r="D126" t="inlineStr">
        <is>
          <t>DALARNAS LÄN</t>
        </is>
      </c>
      <c r="E126" t="inlineStr">
        <is>
          <t>LEKSAND</t>
        </is>
      </c>
      <c r="G126" t="n">
        <v>2.6</v>
      </c>
      <c r="H126" t="n">
        <v>0</v>
      </c>
      <c r="I126" t="n">
        <v>0</v>
      </c>
      <c r="J126" t="n">
        <v>0</v>
      </c>
      <c r="K126" t="n">
        <v>0</v>
      </c>
      <c r="L126" t="n">
        <v>0</v>
      </c>
      <c r="M126" t="n">
        <v>0</v>
      </c>
      <c r="N126" t="n">
        <v>0</v>
      </c>
      <c r="O126" t="n">
        <v>0</v>
      </c>
      <c r="P126" t="n">
        <v>0</v>
      </c>
      <c r="Q126" t="n">
        <v>0</v>
      </c>
      <c r="R126" s="2" t="inlineStr"/>
    </row>
    <row r="127" ht="15" customHeight="1">
      <c r="A127" t="inlineStr">
        <is>
          <t>A 6751-2020</t>
        </is>
      </c>
      <c r="B127" s="1" t="n">
        <v>43866</v>
      </c>
      <c r="C127" s="1" t="n">
        <v>45793</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7351-2020</t>
        </is>
      </c>
      <c r="B128" s="1" t="n">
        <v>43871</v>
      </c>
      <c r="C128" s="1" t="n">
        <v>45793</v>
      </c>
      <c r="D128" t="inlineStr">
        <is>
          <t>DALARNAS LÄN</t>
        </is>
      </c>
      <c r="E128" t="inlineStr">
        <is>
          <t>LEKSAND</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7868-2020</t>
        </is>
      </c>
      <c r="B129" s="1" t="n">
        <v>43873</v>
      </c>
      <c r="C129" s="1" t="n">
        <v>45793</v>
      </c>
      <c r="D129" t="inlineStr">
        <is>
          <t>DALARNAS LÄN</t>
        </is>
      </c>
      <c r="E129" t="inlineStr">
        <is>
          <t>LEKSAND</t>
        </is>
      </c>
      <c r="G129" t="n">
        <v>1.7</v>
      </c>
      <c r="H129" t="n">
        <v>0</v>
      </c>
      <c r="I129" t="n">
        <v>0</v>
      </c>
      <c r="J129" t="n">
        <v>0</v>
      </c>
      <c r="K129" t="n">
        <v>0</v>
      </c>
      <c r="L129" t="n">
        <v>0</v>
      </c>
      <c r="M129" t="n">
        <v>0</v>
      </c>
      <c r="N129" t="n">
        <v>0</v>
      </c>
      <c r="O129" t="n">
        <v>0</v>
      </c>
      <c r="P129" t="n">
        <v>0</v>
      </c>
      <c r="Q129" t="n">
        <v>0</v>
      </c>
      <c r="R129" s="2" t="inlineStr"/>
    </row>
    <row r="130" ht="15" customHeight="1">
      <c r="A130" t="inlineStr">
        <is>
          <t>A 9710-2020</t>
        </is>
      </c>
      <c r="B130" s="1" t="n">
        <v>43881</v>
      </c>
      <c r="C130" s="1" t="n">
        <v>45793</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11372-2020</t>
        </is>
      </c>
      <c r="B131" s="1" t="n">
        <v>43892</v>
      </c>
      <c r="C131" s="1" t="n">
        <v>45793</v>
      </c>
      <c r="D131" t="inlineStr">
        <is>
          <t>DALARNAS LÄN</t>
        </is>
      </c>
      <c r="E131" t="inlineStr">
        <is>
          <t>LEKSAND</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12176-2020</t>
        </is>
      </c>
      <c r="B132" s="1" t="n">
        <v>43895</v>
      </c>
      <c r="C132" s="1" t="n">
        <v>45793</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12247-2020</t>
        </is>
      </c>
      <c r="B133" s="1" t="n">
        <v>43895</v>
      </c>
      <c r="C133" s="1" t="n">
        <v>45793</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13340-2020</t>
        </is>
      </c>
      <c r="B134" s="1" t="n">
        <v>43902</v>
      </c>
      <c r="C134" s="1" t="n">
        <v>45793</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13356-2020</t>
        </is>
      </c>
      <c r="B135" s="1" t="n">
        <v>43902</v>
      </c>
      <c r="C135" s="1" t="n">
        <v>45793</v>
      </c>
      <c r="D135" t="inlineStr">
        <is>
          <t>DALARNAS LÄN</t>
        </is>
      </c>
      <c r="E135" t="inlineStr">
        <is>
          <t>LEKSAND</t>
        </is>
      </c>
      <c r="G135" t="n">
        <v>0.4</v>
      </c>
      <c r="H135" t="n">
        <v>0</v>
      </c>
      <c r="I135" t="n">
        <v>0</v>
      </c>
      <c r="J135" t="n">
        <v>0</v>
      </c>
      <c r="K135" t="n">
        <v>0</v>
      </c>
      <c r="L135" t="n">
        <v>0</v>
      </c>
      <c r="M135" t="n">
        <v>0</v>
      </c>
      <c r="N135" t="n">
        <v>0</v>
      </c>
      <c r="O135" t="n">
        <v>0</v>
      </c>
      <c r="P135" t="n">
        <v>0</v>
      </c>
      <c r="Q135" t="n">
        <v>0</v>
      </c>
      <c r="R135" s="2" t="inlineStr"/>
    </row>
    <row r="136" ht="15" customHeight="1">
      <c r="A136" t="inlineStr">
        <is>
          <t>A 13352-2020</t>
        </is>
      </c>
      <c r="B136" s="1" t="n">
        <v>43902</v>
      </c>
      <c r="C136" s="1" t="n">
        <v>45793</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15165-2020</t>
        </is>
      </c>
      <c r="B137" s="1" t="n">
        <v>43912</v>
      </c>
      <c r="C137" s="1" t="n">
        <v>45793</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16288-2020</t>
        </is>
      </c>
      <c r="B138" s="1" t="n">
        <v>43917</v>
      </c>
      <c r="C138" s="1" t="n">
        <v>45793</v>
      </c>
      <c r="D138" t="inlineStr">
        <is>
          <t>DALARNAS LÄN</t>
        </is>
      </c>
      <c r="E138" t="inlineStr">
        <is>
          <t>LEKSAND</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18803-2020</t>
        </is>
      </c>
      <c r="B139" s="1" t="n">
        <v>43933</v>
      </c>
      <c r="C139" s="1" t="n">
        <v>45793</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19361-2020</t>
        </is>
      </c>
      <c r="B140" s="1" t="n">
        <v>43938</v>
      </c>
      <c r="C140" s="1" t="n">
        <v>45793</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21141-2020</t>
        </is>
      </c>
      <c r="B141" s="1" t="n">
        <v>43951</v>
      </c>
      <c r="C141" s="1" t="n">
        <v>45793</v>
      </c>
      <c r="D141" t="inlineStr">
        <is>
          <t>DALARNAS LÄN</t>
        </is>
      </c>
      <c r="E141" t="inlineStr">
        <is>
          <t>LEKSAND</t>
        </is>
      </c>
      <c r="F141" t="inlineStr">
        <is>
          <t>Bergvik skog väst AB</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22718-2020</t>
        </is>
      </c>
      <c r="B142" s="1" t="n">
        <v>43964</v>
      </c>
      <c r="C142" s="1" t="n">
        <v>45793</v>
      </c>
      <c r="D142" t="inlineStr">
        <is>
          <t>DALARNAS LÄN</t>
        </is>
      </c>
      <c r="E142" t="inlineStr">
        <is>
          <t>LEKSAND</t>
        </is>
      </c>
      <c r="G142" t="n">
        <v>1.7</v>
      </c>
      <c r="H142" t="n">
        <v>0</v>
      </c>
      <c r="I142" t="n">
        <v>0</v>
      </c>
      <c r="J142" t="n">
        <v>0</v>
      </c>
      <c r="K142" t="n">
        <v>0</v>
      </c>
      <c r="L142" t="n">
        <v>0</v>
      </c>
      <c r="M142" t="n">
        <v>0</v>
      </c>
      <c r="N142" t="n">
        <v>0</v>
      </c>
      <c r="O142" t="n">
        <v>0</v>
      </c>
      <c r="P142" t="n">
        <v>0</v>
      </c>
      <c r="Q142" t="n">
        <v>0</v>
      </c>
      <c r="R142" s="2" t="inlineStr"/>
    </row>
    <row r="143" ht="15" customHeight="1">
      <c r="A143" t="inlineStr">
        <is>
          <t>A 24207-2020</t>
        </is>
      </c>
      <c r="B143" s="1" t="n">
        <v>43973</v>
      </c>
      <c r="C143" s="1" t="n">
        <v>45793</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25156-2020</t>
        </is>
      </c>
      <c r="B144" s="1" t="n">
        <v>43978</v>
      </c>
      <c r="C144" s="1" t="n">
        <v>45793</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25720-2020</t>
        </is>
      </c>
      <c r="B145" s="1" t="n">
        <v>43984</v>
      </c>
      <c r="C145" s="1" t="n">
        <v>45793</v>
      </c>
      <c r="D145" t="inlineStr">
        <is>
          <t>DALARNAS LÄN</t>
        </is>
      </c>
      <c r="E145" t="inlineStr">
        <is>
          <t>LEKSAND</t>
        </is>
      </c>
      <c r="G145" t="n">
        <v>3.5</v>
      </c>
      <c r="H145" t="n">
        <v>0</v>
      </c>
      <c r="I145" t="n">
        <v>0</v>
      </c>
      <c r="J145" t="n">
        <v>0</v>
      </c>
      <c r="K145" t="n">
        <v>0</v>
      </c>
      <c r="L145" t="n">
        <v>0</v>
      </c>
      <c r="M145" t="n">
        <v>0</v>
      </c>
      <c r="N145" t="n">
        <v>0</v>
      </c>
      <c r="O145" t="n">
        <v>0</v>
      </c>
      <c r="P145" t="n">
        <v>0</v>
      </c>
      <c r="Q145" t="n">
        <v>0</v>
      </c>
      <c r="R145" s="2" t="inlineStr"/>
    </row>
    <row r="146" ht="15" customHeight="1">
      <c r="A146" t="inlineStr">
        <is>
          <t>A 25989-2020</t>
        </is>
      </c>
      <c r="B146" s="1" t="n">
        <v>43985</v>
      </c>
      <c r="C146" s="1" t="n">
        <v>45793</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26456-2020</t>
        </is>
      </c>
      <c r="B147" s="1" t="n">
        <v>43986</v>
      </c>
      <c r="C147" s="1" t="n">
        <v>45793</v>
      </c>
      <c r="D147" t="inlineStr">
        <is>
          <t>DALARNAS LÄN</t>
        </is>
      </c>
      <c r="E147" t="inlineStr">
        <is>
          <t>LEKSAND</t>
        </is>
      </c>
      <c r="G147" t="n">
        <v>2.9</v>
      </c>
      <c r="H147" t="n">
        <v>0</v>
      </c>
      <c r="I147" t="n">
        <v>0</v>
      </c>
      <c r="J147" t="n">
        <v>0</v>
      </c>
      <c r="K147" t="n">
        <v>0</v>
      </c>
      <c r="L147" t="n">
        <v>0</v>
      </c>
      <c r="M147" t="n">
        <v>0</v>
      </c>
      <c r="N147" t="n">
        <v>0</v>
      </c>
      <c r="O147" t="n">
        <v>0</v>
      </c>
      <c r="P147" t="n">
        <v>0</v>
      </c>
      <c r="Q147" t="n">
        <v>0</v>
      </c>
      <c r="R147" s="2" t="inlineStr"/>
    </row>
    <row r="148" ht="15" customHeight="1">
      <c r="A148" t="inlineStr">
        <is>
          <t>A 26560-2020</t>
        </is>
      </c>
      <c r="B148" s="1" t="n">
        <v>43987</v>
      </c>
      <c r="C148" s="1" t="n">
        <v>45793</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28161-2020</t>
        </is>
      </c>
      <c r="B149" s="1" t="n">
        <v>43997</v>
      </c>
      <c r="C149" s="1" t="n">
        <v>45793</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28796-2020</t>
        </is>
      </c>
      <c r="B150" s="1" t="n">
        <v>44000</v>
      </c>
      <c r="C150" s="1" t="n">
        <v>45793</v>
      </c>
      <c r="D150" t="inlineStr">
        <is>
          <t>DALARNAS LÄN</t>
        </is>
      </c>
      <c r="E150" t="inlineStr">
        <is>
          <t>LEKSAND</t>
        </is>
      </c>
      <c r="F150" t="inlineStr">
        <is>
          <t>Bergvik skog väst AB</t>
        </is>
      </c>
      <c r="G150" t="n">
        <v>4.7</v>
      </c>
      <c r="H150" t="n">
        <v>0</v>
      </c>
      <c r="I150" t="n">
        <v>0</v>
      </c>
      <c r="J150" t="n">
        <v>0</v>
      </c>
      <c r="K150" t="n">
        <v>0</v>
      </c>
      <c r="L150" t="n">
        <v>0</v>
      </c>
      <c r="M150" t="n">
        <v>0</v>
      </c>
      <c r="N150" t="n">
        <v>0</v>
      </c>
      <c r="O150" t="n">
        <v>0</v>
      </c>
      <c r="P150" t="n">
        <v>0</v>
      </c>
      <c r="Q150" t="n">
        <v>0</v>
      </c>
      <c r="R150" s="2" t="inlineStr"/>
    </row>
    <row r="151" ht="15" customHeight="1">
      <c r="A151" t="inlineStr">
        <is>
          <t>A 29089-2020</t>
        </is>
      </c>
      <c r="B151" s="1" t="n">
        <v>44002</v>
      </c>
      <c r="C151" s="1" t="n">
        <v>45793</v>
      </c>
      <c r="D151" t="inlineStr">
        <is>
          <t>DALARNAS LÄN</t>
        </is>
      </c>
      <c r="E151" t="inlineStr">
        <is>
          <t>LEKSAND</t>
        </is>
      </c>
      <c r="G151" t="n">
        <v>1.8</v>
      </c>
      <c r="H151" t="n">
        <v>0</v>
      </c>
      <c r="I151" t="n">
        <v>0</v>
      </c>
      <c r="J151" t="n">
        <v>0</v>
      </c>
      <c r="K151" t="n">
        <v>0</v>
      </c>
      <c r="L151" t="n">
        <v>0</v>
      </c>
      <c r="M151" t="n">
        <v>0</v>
      </c>
      <c r="N151" t="n">
        <v>0</v>
      </c>
      <c r="O151" t="n">
        <v>0</v>
      </c>
      <c r="P151" t="n">
        <v>0</v>
      </c>
      <c r="Q151" t="n">
        <v>0</v>
      </c>
      <c r="R151" s="2" t="inlineStr"/>
    </row>
    <row r="152" ht="15" customHeight="1">
      <c r="A152" t="inlineStr">
        <is>
          <t>A 29088-2020</t>
        </is>
      </c>
      <c r="B152" s="1" t="n">
        <v>44002</v>
      </c>
      <c r="C152" s="1" t="n">
        <v>45793</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29672-2020</t>
        </is>
      </c>
      <c r="B153" s="1" t="n">
        <v>44005</v>
      </c>
      <c r="C153" s="1" t="n">
        <v>45793</v>
      </c>
      <c r="D153" t="inlineStr">
        <is>
          <t>DALARNAS LÄN</t>
        </is>
      </c>
      <c r="E153" t="inlineStr">
        <is>
          <t>LEKSAND</t>
        </is>
      </c>
      <c r="G153" t="n">
        <v>0.4</v>
      </c>
      <c r="H153" t="n">
        <v>0</v>
      </c>
      <c r="I153" t="n">
        <v>0</v>
      </c>
      <c r="J153" t="n">
        <v>0</v>
      </c>
      <c r="K153" t="n">
        <v>0</v>
      </c>
      <c r="L153" t="n">
        <v>0</v>
      </c>
      <c r="M153" t="n">
        <v>0</v>
      </c>
      <c r="N153" t="n">
        <v>0</v>
      </c>
      <c r="O153" t="n">
        <v>0</v>
      </c>
      <c r="P153" t="n">
        <v>0</v>
      </c>
      <c r="Q153" t="n">
        <v>0</v>
      </c>
      <c r="R153" s="2" t="inlineStr"/>
    </row>
    <row r="154" ht="15" customHeight="1">
      <c r="A154" t="inlineStr">
        <is>
          <t>A 31629-2020</t>
        </is>
      </c>
      <c r="B154" s="1" t="n">
        <v>44013</v>
      </c>
      <c r="C154" s="1" t="n">
        <v>45793</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37568-2020</t>
        </is>
      </c>
      <c r="B155" s="1" t="n">
        <v>44056</v>
      </c>
      <c r="C155" s="1" t="n">
        <v>45793</v>
      </c>
      <c r="D155" t="inlineStr">
        <is>
          <t>DALARNAS LÄN</t>
        </is>
      </c>
      <c r="E155" t="inlineStr">
        <is>
          <t>LEKSAND</t>
        </is>
      </c>
      <c r="G155" t="n">
        <v>3.4</v>
      </c>
      <c r="H155" t="n">
        <v>0</v>
      </c>
      <c r="I155" t="n">
        <v>0</v>
      </c>
      <c r="J155" t="n">
        <v>0</v>
      </c>
      <c r="K155" t="n">
        <v>0</v>
      </c>
      <c r="L155" t="n">
        <v>0</v>
      </c>
      <c r="M155" t="n">
        <v>0</v>
      </c>
      <c r="N155" t="n">
        <v>0</v>
      </c>
      <c r="O155" t="n">
        <v>0</v>
      </c>
      <c r="P155" t="n">
        <v>0</v>
      </c>
      <c r="Q155" t="n">
        <v>0</v>
      </c>
      <c r="R155" s="2" t="inlineStr"/>
    </row>
    <row r="156" ht="15" customHeight="1">
      <c r="A156" t="inlineStr">
        <is>
          <t>A 41093-2020</t>
        </is>
      </c>
      <c r="B156" s="1" t="n">
        <v>44071</v>
      </c>
      <c r="C156" s="1" t="n">
        <v>45793</v>
      </c>
      <c r="D156" t="inlineStr">
        <is>
          <t>DALARNAS LÄN</t>
        </is>
      </c>
      <c r="E156" t="inlineStr">
        <is>
          <t>LEKSAND</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41200-2020</t>
        </is>
      </c>
      <c r="B157" s="1" t="n">
        <v>44071</v>
      </c>
      <c r="C157" s="1" t="n">
        <v>45793</v>
      </c>
      <c r="D157" t="inlineStr">
        <is>
          <t>DALARNAS LÄN</t>
        </is>
      </c>
      <c r="E157" t="inlineStr">
        <is>
          <t>LEKSAND</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41432-2020</t>
        </is>
      </c>
      <c r="B158" s="1" t="n">
        <v>44073</v>
      </c>
      <c r="C158" s="1" t="n">
        <v>45793</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42890-2020</t>
        </is>
      </c>
      <c r="B159" s="1" t="n">
        <v>44078</v>
      </c>
      <c r="C159" s="1" t="n">
        <v>45793</v>
      </c>
      <c r="D159" t="inlineStr">
        <is>
          <t>DALARNAS LÄN</t>
        </is>
      </c>
      <c r="E159" t="inlineStr">
        <is>
          <t>LEKSAND</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44665-2020</t>
        </is>
      </c>
      <c r="B160" s="1" t="n">
        <v>44085</v>
      </c>
      <c r="C160" s="1" t="n">
        <v>45793</v>
      </c>
      <c r="D160" t="inlineStr">
        <is>
          <t>DALARNAS LÄN</t>
        </is>
      </c>
      <c r="E160" t="inlineStr">
        <is>
          <t>LEKSAND</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45995-2020</t>
        </is>
      </c>
      <c r="B161" s="1" t="n">
        <v>44088</v>
      </c>
      <c r="C161" s="1" t="n">
        <v>45793</v>
      </c>
      <c r="D161" t="inlineStr">
        <is>
          <t>DALARNAS LÄN</t>
        </is>
      </c>
      <c r="E161" t="inlineStr">
        <is>
          <t>LEKSAND</t>
        </is>
      </c>
      <c r="G161" t="n">
        <v>7.8</v>
      </c>
      <c r="H161" t="n">
        <v>0</v>
      </c>
      <c r="I161" t="n">
        <v>0</v>
      </c>
      <c r="J161" t="n">
        <v>0</v>
      </c>
      <c r="K161" t="n">
        <v>0</v>
      </c>
      <c r="L161" t="n">
        <v>0</v>
      </c>
      <c r="M161" t="n">
        <v>0</v>
      </c>
      <c r="N161" t="n">
        <v>0</v>
      </c>
      <c r="O161" t="n">
        <v>0</v>
      </c>
      <c r="P161" t="n">
        <v>0</v>
      </c>
      <c r="Q161" t="n">
        <v>0</v>
      </c>
      <c r="R161" s="2" t="inlineStr"/>
    </row>
    <row r="162" ht="15" customHeight="1">
      <c r="A162" t="inlineStr">
        <is>
          <t>A 45950-2020</t>
        </is>
      </c>
      <c r="B162" s="1" t="n">
        <v>44088</v>
      </c>
      <c r="C162" s="1" t="n">
        <v>45793</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45991-2020</t>
        </is>
      </c>
      <c r="B163" s="1" t="n">
        <v>44088</v>
      </c>
      <c r="C163" s="1" t="n">
        <v>45793</v>
      </c>
      <c r="D163" t="inlineStr">
        <is>
          <t>DALARNAS LÄN</t>
        </is>
      </c>
      <c r="E163" t="inlineStr">
        <is>
          <t>LEKSAND</t>
        </is>
      </c>
      <c r="G163" t="n">
        <v>9.9</v>
      </c>
      <c r="H163" t="n">
        <v>0</v>
      </c>
      <c r="I163" t="n">
        <v>0</v>
      </c>
      <c r="J163" t="n">
        <v>0</v>
      </c>
      <c r="K163" t="n">
        <v>0</v>
      </c>
      <c r="L163" t="n">
        <v>0</v>
      </c>
      <c r="M163" t="n">
        <v>0</v>
      </c>
      <c r="N163" t="n">
        <v>0</v>
      </c>
      <c r="O163" t="n">
        <v>0</v>
      </c>
      <c r="P163" t="n">
        <v>0</v>
      </c>
      <c r="Q163" t="n">
        <v>0</v>
      </c>
      <c r="R163" s="2" t="inlineStr"/>
    </row>
    <row r="164" ht="15" customHeight="1">
      <c r="A164" t="inlineStr">
        <is>
          <t>A 46854-2020</t>
        </is>
      </c>
      <c r="B164" s="1" t="n">
        <v>44090</v>
      </c>
      <c r="C164" s="1" t="n">
        <v>45793</v>
      </c>
      <c r="D164" t="inlineStr">
        <is>
          <t>DALARNAS LÄN</t>
        </is>
      </c>
      <c r="E164" t="inlineStr">
        <is>
          <t>LEKSAND</t>
        </is>
      </c>
      <c r="G164" t="n">
        <v>1.6</v>
      </c>
      <c r="H164" t="n">
        <v>0</v>
      </c>
      <c r="I164" t="n">
        <v>0</v>
      </c>
      <c r="J164" t="n">
        <v>0</v>
      </c>
      <c r="K164" t="n">
        <v>0</v>
      </c>
      <c r="L164" t="n">
        <v>0</v>
      </c>
      <c r="M164" t="n">
        <v>0</v>
      </c>
      <c r="N164" t="n">
        <v>0</v>
      </c>
      <c r="O164" t="n">
        <v>0</v>
      </c>
      <c r="P164" t="n">
        <v>0</v>
      </c>
      <c r="Q164" t="n">
        <v>0</v>
      </c>
      <c r="R164" s="2" t="inlineStr"/>
    </row>
    <row r="165" ht="15" customHeight="1">
      <c r="A165" t="inlineStr">
        <is>
          <t>A 47004-2020</t>
        </is>
      </c>
      <c r="B165" s="1" t="n">
        <v>44091</v>
      </c>
      <c r="C165" s="1" t="n">
        <v>45793</v>
      </c>
      <c r="D165" t="inlineStr">
        <is>
          <t>DALARNAS LÄN</t>
        </is>
      </c>
      <c r="E165" t="inlineStr">
        <is>
          <t>LEKSAND</t>
        </is>
      </c>
      <c r="G165" t="n">
        <v>3.2</v>
      </c>
      <c r="H165" t="n">
        <v>0</v>
      </c>
      <c r="I165" t="n">
        <v>0</v>
      </c>
      <c r="J165" t="n">
        <v>0</v>
      </c>
      <c r="K165" t="n">
        <v>0</v>
      </c>
      <c r="L165" t="n">
        <v>0</v>
      </c>
      <c r="M165" t="n">
        <v>0</v>
      </c>
      <c r="N165" t="n">
        <v>0</v>
      </c>
      <c r="O165" t="n">
        <v>0</v>
      </c>
      <c r="P165" t="n">
        <v>0</v>
      </c>
      <c r="Q165" t="n">
        <v>0</v>
      </c>
      <c r="R165" s="2" t="inlineStr"/>
    </row>
    <row r="166" ht="15" customHeight="1">
      <c r="A166" t="inlineStr">
        <is>
          <t>A 47069-2020</t>
        </is>
      </c>
      <c r="B166" s="1" t="n">
        <v>44096</v>
      </c>
      <c r="C166" s="1" t="n">
        <v>45793</v>
      </c>
      <c r="D166" t="inlineStr">
        <is>
          <t>DALARNAS LÄN</t>
        </is>
      </c>
      <c r="E166" t="inlineStr">
        <is>
          <t>LEKSAND</t>
        </is>
      </c>
      <c r="G166" t="n">
        <v>5.5</v>
      </c>
      <c r="H166" t="n">
        <v>0</v>
      </c>
      <c r="I166" t="n">
        <v>0</v>
      </c>
      <c r="J166" t="n">
        <v>0</v>
      </c>
      <c r="K166" t="n">
        <v>0</v>
      </c>
      <c r="L166" t="n">
        <v>0</v>
      </c>
      <c r="M166" t="n">
        <v>0</v>
      </c>
      <c r="N166" t="n">
        <v>0</v>
      </c>
      <c r="O166" t="n">
        <v>0</v>
      </c>
      <c r="P166" t="n">
        <v>0</v>
      </c>
      <c r="Q166" t="n">
        <v>0</v>
      </c>
      <c r="R166" s="2" t="inlineStr"/>
    </row>
    <row r="167" ht="15" customHeight="1">
      <c r="A167" t="inlineStr">
        <is>
          <t>A 50123-2020</t>
        </is>
      </c>
      <c r="B167" s="1" t="n">
        <v>44104</v>
      </c>
      <c r="C167" s="1" t="n">
        <v>45793</v>
      </c>
      <c r="D167" t="inlineStr">
        <is>
          <t>DALARNAS LÄN</t>
        </is>
      </c>
      <c r="E167" t="inlineStr">
        <is>
          <t>LEKSAND</t>
        </is>
      </c>
      <c r="F167" t="inlineStr">
        <is>
          <t>Övriga Aktiebolag</t>
        </is>
      </c>
      <c r="G167" t="n">
        <v>2.7</v>
      </c>
      <c r="H167" t="n">
        <v>0</v>
      </c>
      <c r="I167" t="n">
        <v>0</v>
      </c>
      <c r="J167" t="n">
        <v>0</v>
      </c>
      <c r="K167" t="n">
        <v>0</v>
      </c>
      <c r="L167" t="n">
        <v>0</v>
      </c>
      <c r="M167" t="n">
        <v>0</v>
      </c>
      <c r="N167" t="n">
        <v>0</v>
      </c>
      <c r="O167" t="n">
        <v>0</v>
      </c>
      <c r="P167" t="n">
        <v>0</v>
      </c>
      <c r="Q167" t="n">
        <v>0</v>
      </c>
      <c r="R167" s="2" t="inlineStr"/>
    </row>
    <row r="168" ht="15" customHeight="1">
      <c r="A168" t="inlineStr">
        <is>
          <t>A 50102-2020</t>
        </is>
      </c>
      <c r="B168" s="1" t="n">
        <v>44104</v>
      </c>
      <c r="C168" s="1" t="n">
        <v>45793</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45793</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60963-2020</t>
        </is>
      </c>
      <c r="B170" s="1" t="n">
        <v>44154</v>
      </c>
      <c r="C170" s="1" t="n">
        <v>45793</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62118-2020</t>
        </is>
      </c>
      <c r="B171" s="1" t="n">
        <v>44159</v>
      </c>
      <c r="C171" s="1" t="n">
        <v>45793</v>
      </c>
      <c r="D171" t="inlineStr">
        <is>
          <t>DALARNAS LÄN</t>
        </is>
      </c>
      <c r="E171" t="inlineStr">
        <is>
          <t>LEKSAND</t>
        </is>
      </c>
      <c r="F171" t="inlineStr">
        <is>
          <t>Bergvik skog väst AB</t>
        </is>
      </c>
      <c r="G171" t="n">
        <v>3.9</v>
      </c>
      <c r="H171" t="n">
        <v>0</v>
      </c>
      <c r="I171" t="n">
        <v>0</v>
      </c>
      <c r="J171" t="n">
        <v>0</v>
      </c>
      <c r="K171" t="n">
        <v>0</v>
      </c>
      <c r="L171" t="n">
        <v>0</v>
      </c>
      <c r="M171" t="n">
        <v>0</v>
      </c>
      <c r="N171" t="n">
        <v>0</v>
      </c>
      <c r="O171" t="n">
        <v>0</v>
      </c>
      <c r="P171" t="n">
        <v>0</v>
      </c>
      <c r="Q171" t="n">
        <v>0</v>
      </c>
      <c r="R171" s="2" t="inlineStr"/>
    </row>
    <row r="172" ht="15" customHeight="1">
      <c r="A172" t="inlineStr">
        <is>
          <t>A 63481-2020</t>
        </is>
      </c>
      <c r="B172" s="1" t="n">
        <v>44161</v>
      </c>
      <c r="C172" s="1" t="n">
        <v>45793</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64109-2020</t>
        </is>
      </c>
      <c r="B173" s="1" t="n">
        <v>44167</v>
      </c>
      <c r="C173" s="1" t="n">
        <v>45793</v>
      </c>
      <c r="D173" t="inlineStr">
        <is>
          <t>DALARNAS LÄN</t>
        </is>
      </c>
      <c r="E173" t="inlineStr">
        <is>
          <t>LEKSAND</t>
        </is>
      </c>
      <c r="G173" t="n">
        <v>2.7</v>
      </c>
      <c r="H173" t="n">
        <v>0</v>
      </c>
      <c r="I173" t="n">
        <v>0</v>
      </c>
      <c r="J173" t="n">
        <v>0</v>
      </c>
      <c r="K173" t="n">
        <v>0</v>
      </c>
      <c r="L173" t="n">
        <v>0</v>
      </c>
      <c r="M173" t="n">
        <v>0</v>
      </c>
      <c r="N173" t="n">
        <v>0</v>
      </c>
      <c r="O173" t="n">
        <v>0</v>
      </c>
      <c r="P173" t="n">
        <v>0</v>
      </c>
      <c r="Q173" t="n">
        <v>0</v>
      </c>
      <c r="R173" s="2" t="inlineStr"/>
    </row>
    <row r="174" ht="15" customHeight="1">
      <c r="A174" t="inlineStr">
        <is>
          <t>A 64449-2020</t>
        </is>
      </c>
      <c r="B174" s="1" t="n">
        <v>44168</v>
      </c>
      <c r="C174" s="1" t="n">
        <v>45793</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64876-2020</t>
        </is>
      </c>
      <c r="B175" s="1" t="n">
        <v>44171</v>
      </c>
      <c r="C175" s="1" t="n">
        <v>45793</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65058-2020</t>
        </is>
      </c>
      <c r="B176" s="1" t="n">
        <v>44172</v>
      </c>
      <c r="C176" s="1" t="n">
        <v>45793</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66169-2020</t>
        </is>
      </c>
      <c r="B177" s="1" t="n">
        <v>44174</v>
      </c>
      <c r="C177" s="1" t="n">
        <v>45793</v>
      </c>
      <c r="D177" t="inlineStr">
        <is>
          <t>DALARNAS LÄN</t>
        </is>
      </c>
      <c r="E177" t="inlineStr">
        <is>
          <t>LEKSAND</t>
        </is>
      </c>
      <c r="G177" t="n">
        <v>5.3</v>
      </c>
      <c r="H177" t="n">
        <v>0</v>
      </c>
      <c r="I177" t="n">
        <v>0</v>
      </c>
      <c r="J177" t="n">
        <v>0</v>
      </c>
      <c r="K177" t="n">
        <v>0</v>
      </c>
      <c r="L177" t="n">
        <v>0</v>
      </c>
      <c r="M177" t="n">
        <v>0</v>
      </c>
      <c r="N177" t="n">
        <v>0</v>
      </c>
      <c r="O177" t="n">
        <v>0</v>
      </c>
      <c r="P177" t="n">
        <v>0</v>
      </c>
      <c r="Q177" t="n">
        <v>0</v>
      </c>
      <c r="R177" s="2" t="inlineStr"/>
    </row>
    <row r="178" ht="15" customHeight="1">
      <c r="A178" t="inlineStr">
        <is>
          <t>A 67100-2020</t>
        </is>
      </c>
      <c r="B178" s="1" t="n">
        <v>44179</v>
      </c>
      <c r="C178" s="1" t="n">
        <v>45793</v>
      </c>
      <c r="D178" t="inlineStr">
        <is>
          <t>DALARNAS LÄN</t>
        </is>
      </c>
      <c r="E178" t="inlineStr">
        <is>
          <t>LEKSAND</t>
        </is>
      </c>
      <c r="G178" t="n">
        <v>1.9</v>
      </c>
      <c r="H178" t="n">
        <v>0</v>
      </c>
      <c r="I178" t="n">
        <v>0</v>
      </c>
      <c r="J178" t="n">
        <v>0</v>
      </c>
      <c r="K178" t="n">
        <v>0</v>
      </c>
      <c r="L178" t="n">
        <v>0</v>
      </c>
      <c r="M178" t="n">
        <v>0</v>
      </c>
      <c r="N178" t="n">
        <v>0</v>
      </c>
      <c r="O178" t="n">
        <v>0</v>
      </c>
      <c r="P178" t="n">
        <v>0</v>
      </c>
      <c r="Q178" t="n">
        <v>0</v>
      </c>
      <c r="R178" s="2" t="inlineStr"/>
    </row>
    <row r="179" ht="15" customHeight="1">
      <c r="A179" t="inlineStr">
        <is>
          <t>A 67307-2020</t>
        </is>
      </c>
      <c r="B179" s="1" t="n">
        <v>44181</v>
      </c>
      <c r="C179" s="1" t="n">
        <v>45793</v>
      </c>
      <c r="D179" t="inlineStr">
        <is>
          <t>DALARNAS LÄN</t>
        </is>
      </c>
      <c r="E179" t="inlineStr">
        <is>
          <t>LEKSAND</t>
        </is>
      </c>
      <c r="G179" t="n">
        <v>5.9</v>
      </c>
      <c r="H179" t="n">
        <v>0</v>
      </c>
      <c r="I179" t="n">
        <v>0</v>
      </c>
      <c r="J179" t="n">
        <v>0</v>
      </c>
      <c r="K179" t="n">
        <v>0</v>
      </c>
      <c r="L179" t="n">
        <v>0</v>
      </c>
      <c r="M179" t="n">
        <v>0</v>
      </c>
      <c r="N179" t="n">
        <v>0</v>
      </c>
      <c r="O179" t="n">
        <v>0</v>
      </c>
      <c r="P179" t="n">
        <v>0</v>
      </c>
      <c r="Q179" t="n">
        <v>0</v>
      </c>
      <c r="R179" s="2" t="inlineStr"/>
    </row>
    <row r="180" ht="15" customHeight="1">
      <c r="A180" t="inlineStr">
        <is>
          <t>A 68058-2020</t>
        </is>
      </c>
      <c r="B180" s="1" t="n">
        <v>44183</v>
      </c>
      <c r="C180" s="1" t="n">
        <v>45793</v>
      </c>
      <c r="D180" t="inlineStr">
        <is>
          <t>DALARNAS LÄN</t>
        </is>
      </c>
      <c r="E180" t="inlineStr">
        <is>
          <t>LEKSAND</t>
        </is>
      </c>
      <c r="F180" t="inlineStr">
        <is>
          <t>Bergvik skog väst AB</t>
        </is>
      </c>
      <c r="G180" t="n">
        <v>4.9</v>
      </c>
      <c r="H180" t="n">
        <v>0</v>
      </c>
      <c r="I180" t="n">
        <v>0</v>
      </c>
      <c r="J180" t="n">
        <v>0</v>
      </c>
      <c r="K180" t="n">
        <v>0</v>
      </c>
      <c r="L180" t="n">
        <v>0</v>
      </c>
      <c r="M180" t="n">
        <v>0</v>
      </c>
      <c r="N180" t="n">
        <v>0</v>
      </c>
      <c r="O180" t="n">
        <v>0</v>
      </c>
      <c r="P180" t="n">
        <v>0</v>
      </c>
      <c r="Q180" t="n">
        <v>0</v>
      </c>
      <c r="R180" s="2" t="inlineStr"/>
    </row>
    <row r="181" ht="15" customHeight="1">
      <c r="A181" t="inlineStr">
        <is>
          <t>A 776-2021</t>
        </is>
      </c>
      <c r="B181" s="1" t="n">
        <v>44203</v>
      </c>
      <c r="C181" s="1" t="n">
        <v>45793</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1078-2021</t>
        </is>
      </c>
      <c r="B182" s="1" t="n">
        <v>44207</v>
      </c>
      <c r="C182" s="1" t="n">
        <v>45793</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2311-2021</t>
        </is>
      </c>
      <c r="B183" s="1" t="n">
        <v>44213</v>
      </c>
      <c r="C183" s="1" t="n">
        <v>45793</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9131-2021</t>
        </is>
      </c>
      <c r="B184" s="1" t="n">
        <v>44249</v>
      </c>
      <c r="C184" s="1" t="n">
        <v>45793</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9133-2021</t>
        </is>
      </c>
      <c r="B185" s="1" t="n">
        <v>44249</v>
      </c>
      <c r="C185" s="1" t="n">
        <v>45793</v>
      </c>
      <c r="D185" t="inlineStr">
        <is>
          <t>DALARNAS LÄN</t>
        </is>
      </c>
      <c r="E185" t="inlineStr">
        <is>
          <t>LEKSAND</t>
        </is>
      </c>
      <c r="G185" t="n">
        <v>2.5</v>
      </c>
      <c r="H185" t="n">
        <v>0</v>
      </c>
      <c r="I185" t="n">
        <v>0</v>
      </c>
      <c r="J185" t="n">
        <v>0</v>
      </c>
      <c r="K185" t="n">
        <v>0</v>
      </c>
      <c r="L185" t="n">
        <v>0</v>
      </c>
      <c r="M185" t="n">
        <v>0</v>
      </c>
      <c r="N185" t="n">
        <v>0</v>
      </c>
      <c r="O185" t="n">
        <v>0</v>
      </c>
      <c r="P185" t="n">
        <v>0</v>
      </c>
      <c r="Q185" t="n">
        <v>0</v>
      </c>
      <c r="R185" s="2" t="inlineStr"/>
    </row>
    <row r="186" ht="15" customHeight="1">
      <c r="A186" t="inlineStr">
        <is>
          <t>A 13705-2021</t>
        </is>
      </c>
      <c r="B186" s="1" t="n">
        <v>44274</v>
      </c>
      <c r="C186" s="1" t="n">
        <v>45793</v>
      </c>
      <c r="D186" t="inlineStr">
        <is>
          <t>DALARNAS LÄN</t>
        </is>
      </c>
      <c r="E186" t="inlineStr">
        <is>
          <t>LEKSAND</t>
        </is>
      </c>
      <c r="G186" t="n">
        <v>3.8</v>
      </c>
      <c r="H186" t="n">
        <v>0</v>
      </c>
      <c r="I186" t="n">
        <v>0</v>
      </c>
      <c r="J186" t="n">
        <v>0</v>
      </c>
      <c r="K186" t="n">
        <v>0</v>
      </c>
      <c r="L186" t="n">
        <v>0</v>
      </c>
      <c r="M186" t="n">
        <v>0</v>
      </c>
      <c r="N186" t="n">
        <v>0</v>
      </c>
      <c r="O186" t="n">
        <v>0</v>
      </c>
      <c r="P186" t="n">
        <v>0</v>
      </c>
      <c r="Q186" t="n">
        <v>0</v>
      </c>
      <c r="R186" s="2" t="inlineStr"/>
    </row>
    <row r="187" ht="15" customHeight="1">
      <c r="A187" t="inlineStr">
        <is>
          <t>A 16231-2021</t>
        </is>
      </c>
      <c r="B187" s="1" t="n">
        <v>44292</v>
      </c>
      <c r="C187" s="1" t="n">
        <v>45793</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17615-2021</t>
        </is>
      </c>
      <c r="B188" s="1" t="n">
        <v>44299</v>
      </c>
      <c r="C188" s="1" t="n">
        <v>45793</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18267-2021</t>
        </is>
      </c>
      <c r="B189" s="1" t="n">
        <v>44305</v>
      </c>
      <c r="C189" s="1" t="n">
        <v>45793</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18706-2021</t>
        </is>
      </c>
      <c r="B190" s="1" t="n">
        <v>44307</v>
      </c>
      <c r="C190" s="1" t="n">
        <v>45793</v>
      </c>
      <c r="D190" t="inlineStr">
        <is>
          <t>DALARNAS LÄN</t>
        </is>
      </c>
      <c r="E190" t="inlineStr">
        <is>
          <t>LEKSAND</t>
        </is>
      </c>
      <c r="G190" t="n">
        <v>3.4</v>
      </c>
      <c r="H190" t="n">
        <v>0</v>
      </c>
      <c r="I190" t="n">
        <v>0</v>
      </c>
      <c r="J190" t="n">
        <v>0</v>
      </c>
      <c r="K190" t="n">
        <v>0</v>
      </c>
      <c r="L190" t="n">
        <v>0</v>
      </c>
      <c r="M190" t="n">
        <v>0</v>
      </c>
      <c r="N190" t="n">
        <v>0</v>
      </c>
      <c r="O190" t="n">
        <v>0</v>
      </c>
      <c r="P190" t="n">
        <v>0</v>
      </c>
      <c r="Q190" t="n">
        <v>0</v>
      </c>
      <c r="R190" s="2" t="inlineStr"/>
    </row>
    <row r="191" ht="15" customHeight="1">
      <c r="A191" t="inlineStr">
        <is>
          <t>A 19677-2021</t>
        </is>
      </c>
      <c r="B191" s="1" t="n">
        <v>44312</v>
      </c>
      <c r="C191" s="1" t="n">
        <v>45793</v>
      </c>
      <c r="D191" t="inlineStr">
        <is>
          <t>DALARNAS LÄN</t>
        </is>
      </c>
      <c r="E191" t="inlineStr">
        <is>
          <t>LEKSAND</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21132-2021</t>
        </is>
      </c>
      <c r="B192" s="1" t="n">
        <v>44319</v>
      </c>
      <c r="C192" s="1" t="n">
        <v>45793</v>
      </c>
      <c r="D192" t="inlineStr">
        <is>
          <t>DALARNAS LÄN</t>
        </is>
      </c>
      <c r="E192" t="inlineStr">
        <is>
          <t>LEKSAND</t>
        </is>
      </c>
      <c r="G192" t="n">
        <v>6.8</v>
      </c>
      <c r="H192" t="n">
        <v>0</v>
      </c>
      <c r="I192" t="n">
        <v>0</v>
      </c>
      <c r="J192" t="n">
        <v>0</v>
      </c>
      <c r="K192" t="n">
        <v>0</v>
      </c>
      <c r="L192" t="n">
        <v>0</v>
      </c>
      <c r="M192" t="n">
        <v>0</v>
      </c>
      <c r="N192" t="n">
        <v>0</v>
      </c>
      <c r="O192" t="n">
        <v>0</v>
      </c>
      <c r="P192" t="n">
        <v>0</v>
      </c>
      <c r="Q192" t="n">
        <v>0</v>
      </c>
      <c r="R192" s="2" t="inlineStr"/>
    </row>
    <row r="193" ht="15" customHeight="1">
      <c r="A193" t="inlineStr">
        <is>
          <t>A 21968-2021</t>
        </is>
      </c>
      <c r="B193" s="1" t="n">
        <v>44323</v>
      </c>
      <c r="C193" s="1" t="n">
        <v>45793</v>
      </c>
      <c r="D193" t="inlineStr">
        <is>
          <t>DALARNAS LÄN</t>
        </is>
      </c>
      <c r="E193" t="inlineStr">
        <is>
          <t>LEKSAND</t>
        </is>
      </c>
      <c r="G193" t="n">
        <v>1.4</v>
      </c>
      <c r="H193" t="n">
        <v>0</v>
      </c>
      <c r="I193" t="n">
        <v>0</v>
      </c>
      <c r="J193" t="n">
        <v>0</v>
      </c>
      <c r="K193" t="n">
        <v>0</v>
      </c>
      <c r="L193" t="n">
        <v>0</v>
      </c>
      <c r="M193" t="n">
        <v>0</v>
      </c>
      <c r="N193" t="n">
        <v>0</v>
      </c>
      <c r="O193" t="n">
        <v>0</v>
      </c>
      <c r="P193" t="n">
        <v>0</v>
      </c>
      <c r="Q193" t="n">
        <v>0</v>
      </c>
      <c r="R193" s="2" t="inlineStr"/>
    </row>
    <row r="194" ht="15" customHeight="1">
      <c r="A194" t="inlineStr">
        <is>
          <t>A 21969-2021</t>
        </is>
      </c>
      <c r="B194" s="1" t="n">
        <v>44323</v>
      </c>
      <c r="C194" s="1" t="n">
        <v>45793</v>
      </c>
      <c r="D194" t="inlineStr">
        <is>
          <t>DALARNAS LÄN</t>
        </is>
      </c>
      <c r="E194" t="inlineStr">
        <is>
          <t>LEKSAND</t>
        </is>
      </c>
      <c r="G194" t="n">
        <v>3.8</v>
      </c>
      <c r="H194" t="n">
        <v>0</v>
      </c>
      <c r="I194" t="n">
        <v>0</v>
      </c>
      <c r="J194" t="n">
        <v>0</v>
      </c>
      <c r="K194" t="n">
        <v>0</v>
      </c>
      <c r="L194" t="n">
        <v>0</v>
      </c>
      <c r="M194" t="n">
        <v>0</v>
      </c>
      <c r="N194" t="n">
        <v>0</v>
      </c>
      <c r="O194" t="n">
        <v>0</v>
      </c>
      <c r="P194" t="n">
        <v>0</v>
      </c>
      <c r="Q194" t="n">
        <v>0</v>
      </c>
      <c r="R194" s="2" t="inlineStr"/>
    </row>
    <row r="195" ht="15" customHeight="1">
      <c r="A195" t="inlineStr">
        <is>
          <t>A 21965-2021</t>
        </is>
      </c>
      <c r="B195" s="1" t="n">
        <v>44323</v>
      </c>
      <c r="C195" s="1" t="n">
        <v>45793</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22431-2021</t>
        </is>
      </c>
      <c r="B196" s="1" t="n">
        <v>44326</v>
      </c>
      <c r="C196" s="1" t="n">
        <v>45793</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22703-2021</t>
        </is>
      </c>
      <c r="B197" s="1" t="n">
        <v>44327</v>
      </c>
      <c r="C197" s="1" t="n">
        <v>45793</v>
      </c>
      <c r="D197" t="inlineStr">
        <is>
          <t>DALARNAS LÄN</t>
        </is>
      </c>
      <c r="E197" t="inlineStr">
        <is>
          <t>LEKSAND</t>
        </is>
      </c>
      <c r="F197" t="inlineStr">
        <is>
          <t>Bergvik skog väst AB</t>
        </is>
      </c>
      <c r="G197" t="n">
        <v>3.4</v>
      </c>
      <c r="H197" t="n">
        <v>0</v>
      </c>
      <c r="I197" t="n">
        <v>0</v>
      </c>
      <c r="J197" t="n">
        <v>0</v>
      </c>
      <c r="K197" t="n">
        <v>0</v>
      </c>
      <c r="L197" t="n">
        <v>0</v>
      </c>
      <c r="M197" t="n">
        <v>0</v>
      </c>
      <c r="N197" t="n">
        <v>0</v>
      </c>
      <c r="O197" t="n">
        <v>0</v>
      </c>
      <c r="P197" t="n">
        <v>0</v>
      </c>
      <c r="Q197" t="n">
        <v>0</v>
      </c>
      <c r="R197" s="2" t="inlineStr"/>
      <c r="U197">
        <f>HYPERLINK("https://klasma.github.io/Logging_2029/knärot/A 22703-2021 karta knärot.png", "A 22703-2021")</f>
        <v/>
      </c>
      <c r="V197">
        <f>HYPERLINK("https://klasma.github.io/Logging_2029/klagomål/A 22703-2021 FSC-klagomål.docx", "A 22703-2021")</f>
        <v/>
      </c>
      <c r="W197">
        <f>HYPERLINK("https://klasma.github.io/Logging_2029/klagomålsmail/A 22703-2021 FSC-klagomål mail.docx", "A 22703-2021")</f>
        <v/>
      </c>
      <c r="X197">
        <f>HYPERLINK("https://klasma.github.io/Logging_2029/tillsyn/A 22703-2021 tillsynsbegäran.docx", "A 22703-2021")</f>
        <v/>
      </c>
      <c r="Y197">
        <f>HYPERLINK("https://klasma.github.io/Logging_2029/tillsynsmail/A 22703-2021 tillsynsbegäran mail.docx", "A 22703-2021")</f>
        <v/>
      </c>
    </row>
    <row r="198" ht="15" customHeight="1">
      <c r="A198" t="inlineStr">
        <is>
          <t>A 22684-2021</t>
        </is>
      </c>
      <c r="B198" s="1" t="n">
        <v>44327</v>
      </c>
      <c r="C198" s="1" t="n">
        <v>45793</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45793</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45793</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45793</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45793</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45793</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45793</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45793</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45793</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45793</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45793</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45793</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45793</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45793</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45793</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45793</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45793</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45793</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45793</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45793</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45793</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45793</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45793</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45793</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45793</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45793</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45793</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45793</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45793</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45793</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45793</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45793</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45793</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45793</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45793</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45793</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45793</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45793</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45793</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45793</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45793</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45793</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45793</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45793</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45793</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45793</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45793</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45793</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45793</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45793</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45793</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45793</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45793</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45793</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45793</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45793</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45793</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45793</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45793</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45793</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45793</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45793</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45793</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45793</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45793</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45793</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45793</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45793</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45793</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45793</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45793</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45793</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45793</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45793</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45793</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45793</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45793</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45793</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45793</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45793</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45793</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45793</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45793</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45793</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45793</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45793</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45793</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45793</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45793</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45793</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45793</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45793</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45793</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45793</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45793</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45793</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45793</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45793</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45793</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45793</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45793</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45793</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45793</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45793</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45793</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45793</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45793</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45793</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45793</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45793</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45793</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45793</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45793</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45793</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45793</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45793</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45793</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45793</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45793</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45793</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45793</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45793</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45793</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45793</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45793</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45793</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45793</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45793</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45793</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45793</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45793</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45793</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45793</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45793</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45793</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45793</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45793</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45793</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45793</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45793</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45793</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45793</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45793</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45793</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45793</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45793</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45793</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45793</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45793</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45793</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45793</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45793</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45793</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45793</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45793</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45793</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45793</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45793</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45793</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45793</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45793</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45793</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45793</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45793</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45793</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45793</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45793</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45793</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45793</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45793</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45793</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45793</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45793</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45793</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45793</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45793</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45793</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45793</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45793</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45793</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45793</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45793</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45793</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45793</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45793</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45793</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45793</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45793</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45793</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45793</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45793</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45793</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45793</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45793</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45793</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45793</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45793</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45793</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45793</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45793</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45793</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45793</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45793</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45793</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45793</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45793</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45793</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45793</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45793</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45793</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45793</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45793</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45793</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45793</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45793</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45793</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45793</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45793</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45793</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45793</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45793</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45793</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45793</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45793</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45793</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45793</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45793</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45793</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45793</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45793</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45793</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45793</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45793</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45793</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45793</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45793</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45793</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45793</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45793</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45793</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45793</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45793</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45793</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45793</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45793</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45793</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45793</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45793</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45793</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45793</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45793</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45793</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45793</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45793</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45793</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45793</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45793</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45793</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45793</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45793</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45793</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45793</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45793</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45793</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45793</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45793</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45793</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45793</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45793</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45793</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45793</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45793</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45793</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45793</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45793</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45793</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45793</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45793</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45793</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45793</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45793</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45793</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45793</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45793</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45793</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45793</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45793</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45793</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45793</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45793</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45793</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45793</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45793</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45793</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45793</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45793</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45793</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45793</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45793</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45793</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45793</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45793</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45793</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45793</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45793</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45793</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45793</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45793</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45793</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45793</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45793</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45793</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45793</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45793</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45793</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45793</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45793</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45793</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45793</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45793</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45793</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45793</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45793</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45793</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45793</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45793</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45793</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45793</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45793</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45793</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45793</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45793</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45793</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45793</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45793</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45793</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45793</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45793</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45793</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45793</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45793</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45793</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45793</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45793</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45793</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45793</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45793</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45793</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45793</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45793</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45793</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45793</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45793</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45793</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45793</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45793</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45793</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45793</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45793</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45793</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45793</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45793</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45793</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45793</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45793</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45793</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45793</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45793</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45793</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45793</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45793</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45793</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45793</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45793</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45793</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45793</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45793</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45793</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45793</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45793</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45793</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45793</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45793</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45793</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45793</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45793</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45793</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45793</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45793</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45793</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45793</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45793</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45793</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45793</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45793</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45793</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45793</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45793</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45793</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45793</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45793</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45793</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45793</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45793</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45793</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45793</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45793</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45793</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45793</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45793</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45793</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45793</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45793</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45793</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45793</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45793</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45793</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45793</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45793</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45793</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45793</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45793</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45793</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45793</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45793</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45793</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45793</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45793</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45793</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45793</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45793</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45793</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45793</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45793</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45793</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45793</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45793</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45793</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45793</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45793</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45793</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45793</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45793</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45793</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45793</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45793</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45793</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45793</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45793</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45793</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45793</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45793</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45793</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45793</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45793</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45793</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45793</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45793</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45793</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45793</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45793</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45793</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45793</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45793</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45793</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45793</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45793</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45793</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45793</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45793</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45793</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45793</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45793</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45793</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45793</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45793</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45793</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45793</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45793</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45793</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45793</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45793</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45793</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45793</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45793</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45793</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45793</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45793</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45793</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45793</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45793</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45793</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45793</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45793</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45793</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45793</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45793</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45793</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45793</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45793</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45793</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45793</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45793</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45793</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45793</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45793</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45793</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45793</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45793</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45793</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45793</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45793</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45793</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45793</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45793</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45793</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45793</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45793</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45793</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45793</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45793</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45793</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45793</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45793</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45793</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45793</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45793</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45793</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45793</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45793</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45793</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45793</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45793</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45793</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45793</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45793</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45793</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45793</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45793</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45793</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45793</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45793</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45793</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45793</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45793</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45793</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45793</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45793</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45793</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45793</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45793</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45793</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45793</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45793</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45793</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45793</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45793</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45793</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45793</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45793</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45793</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45793</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45793</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45793</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45793</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45793</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45793</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45793</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45793</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45793</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45793</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45793</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45793</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45793</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45793</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45793</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45793</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45793</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45793</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45793</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45793</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45793</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45793</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45793</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45793</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45793</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45793</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45793</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45793</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45793</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45793</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45793</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45793</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45793</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45793</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45793</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45793</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45793</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45793</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45793</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45793</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45793</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45793</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45793</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45793</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45793</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45793</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45793</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45793</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45793</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45793</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45793</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45793</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45793</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45793</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45793</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45793</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45793</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45793</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45793</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45793</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45793</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45793</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45793</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45793</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45793</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45793</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45793</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45793</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45793</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45793</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45793</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45793</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45793</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45793</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45793</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45793</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45793</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45793</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45793</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45793</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45793</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45793</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45793</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45793</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45793</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45793</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45793</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45793</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45793</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45793</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45793</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45793</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45793</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45793</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45793</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45793</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45793</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45793</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45793</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45793</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45793</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45793</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45793</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45793</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45793</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45793</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45793</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45793</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45793</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45793</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45793</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45793</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45793</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45793</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45793</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45793</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45793</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45793</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45793</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45793</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45793</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45793</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45793</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45793</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45793</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45793</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45793</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45793</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45793</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45793</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45793</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45793</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45793</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45793</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45793</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45793</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45793</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45793</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45793</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45793</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45793</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45793</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45793</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45793</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45793</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45793</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45793</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45793</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45793</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45793</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45793</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45793</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45793</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45793</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45793</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45793</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45793</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45793</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45793</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45793</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45793</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45793</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45793</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45793</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45793</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45793</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45793</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45793</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45793</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45793</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45793</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45793</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45793</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45793</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45793</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45793</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45793</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45793</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45793</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45793</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45793</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45793</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45793</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45793</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45793</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45793</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45793</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45793</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45793</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45793</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45793</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45793</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45793</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45793</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45793</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45793</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45793</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45793</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45793</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45793</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45793</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45793</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45793</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45793</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45793</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45793</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45793</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45793</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45793</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45793</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45793</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45793</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45793</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45793</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45793</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45793</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45793</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45793</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45793</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45793</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45793</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45793</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45793</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45793</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45793</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45793</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45793</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45793</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45793</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45793</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45793</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45793</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45793</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45793</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45793</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45793</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45793</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45793</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45793</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45793</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45793</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45793</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45793</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45793</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45793</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45793</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45793</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45793</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45793</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45793</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45793</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45793</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45793</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45793</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45793</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45793</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45793</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45793</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45793</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45793</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45793</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45793</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45793</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45793</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45793</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45793</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45793</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45793</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45793</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45793</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45793</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45793</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45793</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45793</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45793</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45793</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45793</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45793</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45793</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45793</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45793</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45793</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45793</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45793</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45793</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45793</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45793</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45793</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45793</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45793</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45793</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45793</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45793</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45793</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45793</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45793</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45793</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45793</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45793</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45793</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45793</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45793</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45793</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45793</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45793</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45793</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45793</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45793</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45793</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45793</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45793</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45793</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45793</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45793</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45793</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45793</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45793</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45793</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45793</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45793</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45793</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45793</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45793</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45793</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45793</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45793</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45793</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45793</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45793</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45793</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45793</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45793</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45793</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45793</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45793</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45793</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45793</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45793</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45793</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45793</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45793</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45793</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45793</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45793</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45793</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45793</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45793</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45793</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45793</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45793</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45793</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45793</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45793</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45793</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45793</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45793</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45793</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45793</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45793</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45793</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45793</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45793</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45793</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45793</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45793</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45793</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45793</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45793</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45793</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45793</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45793</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45793</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45793</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45793</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45793</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45793</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45793</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45793</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45793</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45793</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45793</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45793</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45793</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45793</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45793</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45793</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45793</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45793</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45793</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45793</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45793</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45793</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45793</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45793</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45793</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45793</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45793</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45793</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45793</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45793</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45793</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45793</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45793</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45793</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45793</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45793</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45793</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45793</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45793</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45793</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45793</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45793</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45793</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45793</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45793</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45793</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45793</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45793</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45793</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45793</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45793</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45793</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45793</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45793</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45793</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45793</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45793</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45793</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45793</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45793</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45793</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45793</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45793</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45793</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45793</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45793</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45793</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45793</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45793</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45793</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45793</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45793</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45793</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45793</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45793</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45793</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45793</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45793</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45793</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45793</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45793</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45793</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45793</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45793</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45793</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45793</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45793</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45793</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45793</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45793</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45793</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45793</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45793</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45793</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45793</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45793</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45793</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45793</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45793</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45793</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45793</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45793</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45793</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45793</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45793</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45793</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45793</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45793</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45793</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45793</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45793</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45793</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45793</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45793</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45793</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45793</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45793</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45793</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45793</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45793</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45793</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45793</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45793</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45793</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45793</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45793</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45793</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45793</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45793</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45793</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45793</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45793</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45793</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45793</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45793</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45793</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45793</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45793</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45793</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45793</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45793</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45793</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45793</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45793</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45793</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45793</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45793</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45793</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45793</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45793</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45793</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19415-2025</t>
        </is>
      </c>
      <c r="B1288" s="1" t="n">
        <v>45769</v>
      </c>
      <c r="C1288" s="1" t="n">
        <v>45793</v>
      </c>
      <c r="D1288" t="inlineStr">
        <is>
          <t>DALARNAS LÄN</t>
        </is>
      </c>
      <c r="E1288" t="inlineStr">
        <is>
          <t>LEKSAND</t>
        </is>
      </c>
      <c r="F1288" t="inlineStr">
        <is>
          <t>Bergvik skog väst AB</t>
        </is>
      </c>
      <c r="G1288" t="n">
        <v>11.5</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45793</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45793</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45793</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45793</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45793</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45793</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45793</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45793</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45793</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45793</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45793</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45793</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45793</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45793</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45793</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45793</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45793</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45793</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45793</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45793</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c r="A1309" t="inlineStr">
        <is>
          <t>A 23517-2025</t>
        </is>
      </c>
      <c r="B1309" s="1" t="n">
        <v>45792</v>
      </c>
      <c r="C1309" s="1" t="n">
        <v>45793</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2025-05-16T17:42:27Z</dcterms:created>
  <dcterms:modified xmlns:dcterms="http://purl.org/dc/terms/" xmlns:xsi="http://www.w3.org/2001/XMLSchema-instance" xsi:type="dcterms:W3CDTF">2025-05-16T17:42:28Z</dcterms:modified>
</cp:coreProperties>
</file>