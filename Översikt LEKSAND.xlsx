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45890</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45890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39126-2024</t>
        </is>
      </c>
      <c r="B4" s="1" t="n">
        <v>45548</v>
      </c>
      <c r="C4" s="1" t="n">
        <v>45890</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45890</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59850-2022</t>
        </is>
      </c>
      <c r="B6" s="1" t="n">
        <v>44901</v>
      </c>
      <c r="C6" s="1" t="n">
        <v>45890</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45890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45890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45890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37044-2025</t>
        </is>
      </c>
      <c r="B10" s="1" t="n">
        <v>45875.3437037037</v>
      </c>
      <c r="C10" s="1" t="n">
        <v>45890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45890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45890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45890</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45890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45890</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45890</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45890</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45890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45890</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55519-2021</t>
        </is>
      </c>
      <c r="B22" s="1" t="n">
        <v>44475</v>
      </c>
      <c r="C22" s="1" t="n">
        <v>45890</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18860-2025</t>
        </is>
      </c>
      <c r="B23" s="1" t="n">
        <v>45764.42738425926</v>
      </c>
      <c r="C23" s="1" t="n">
        <v>45890</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45890</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45890</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45890</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41718-2021</t>
        </is>
      </c>
      <c r="B27" s="1" t="n">
        <v>44425</v>
      </c>
      <c r="C27" s="1" t="n">
        <v>45890</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45890</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53633-2024</t>
        </is>
      </c>
      <c r="B29" s="1" t="n">
        <v>45614.83726851852</v>
      </c>
      <c r="C29" s="1" t="n">
        <v>45890</v>
      </c>
      <c r="D29" t="inlineStr">
        <is>
          <t>DALARNAS LÄN</t>
        </is>
      </c>
      <c r="E29" t="inlineStr">
        <is>
          <t>LEKSAND</t>
        </is>
      </c>
      <c r="G29" t="n">
        <v>1.6</v>
      </c>
      <c r="H29" t="n">
        <v>1</v>
      </c>
      <c r="I29" t="n">
        <v>0</v>
      </c>
      <c r="J29" t="n">
        <v>1</v>
      </c>
      <c r="K29" t="n">
        <v>0</v>
      </c>
      <c r="L29" t="n">
        <v>0</v>
      </c>
      <c r="M29" t="n">
        <v>0</v>
      </c>
      <c r="N29" t="n">
        <v>0</v>
      </c>
      <c r="O29" t="n">
        <v>1</v>
      </c>
      <c r="P29" t="n">
        <v>0</v>
      </c>
      <c r="Q29" t="n">
        <v>1</v>
      </c>
      <c r="R29" s="2" t="inlineStr">
        <is>
          <t>Tretåig hackspett</t>
        </is>
      </c>
      <c r="S29">
        <f>HYPERLINK("https://klasma.github.io/Logging_2029/artfynd/A 53633-2024 artfynd.xlsx", "A 53633-2024")</f>
        <v/>
      </c>
      <c r="T29">
        <f>HYPERLINK("https://klasma.github.io/Logging_2029/kartor/A 53633-2024 karta.png", "A 53633-2024")</f>
        <v/>
      </c>
      <c r="V29">
        <f>HYPERLINK("https://klasma.github.io/Logging_2029/klagomål/A 53633-2024 FSC-klagomål.docx", "A 53633-2024")</f>
        <v/>
      </c>
      <c r="W29">
        <f>HYPERLINK("https://klasma.github.io/Logging_2029/klagomålsmail/A 53633-2024 FSC-klagomål mail.docx", "A 53633-2024")</f>
        <v/>
      </c>
      <c r="X29">
        <f>HYPERLINK("https://klasma.github.io/Logging_2029/tillsyn/A 53633-2024 tillsynsbegäran.docx", "A 53633-2024")</f>
        <v/>
      </c>
      <c r="Y29">
        <f>HYPERLINK("https://klasma.github.io/Logging_2029/tillsynsmail/A 53633-2024 tillsynsbegäran mail.docx", "A 53633-2024")</f>
        <v/>
      </c>
      <c r="Z29">
        <f>HYPERLINK("https://klasma.github.io/Logging_2029/fåglar/A 53633-2024 prioriterade fågelarter.docx", "A 53633-2024")</f>
        <v/>
      </c>
    </row>
    <row r="30" ht="15" customHeight="1">
      <c r="A30" t="inlineStr">
        <is>
          <t>A 52600-2024</t>
        </is>
      </c>
      <c r="B30" s="1" t="n">
        <v>45609</v>
      </c>
      <c r="C30" s="1" t="n">
        <v>45890</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31124-2024</t>
        </is>
      </c>
      <c r="B31" s="1" t="n">
        <v>45502.62886574074</v>
      </c>
      <c r="C31" s="1" t="n">
        <v>45890</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4974-2025</t>
        </is>
      </c>
      <c r="B32" s="1" t="n">
        <v>45690.8478587963</v>
      </c>
      <c r="C32" s="1" t="n">
        <v>45890</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34993-2025</t>
        </is>
      </c>
      <c r="B33" s="1" t="n">
        <v>45849.82383101852</v>
      </c>
      <c r="C33" s="1" t="n">
        <v>45890</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45890</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41873-2022</t>
        </is>
      </c>
      <c r="B35" s="1" t="n">
        <v>44829</v>
      </c>
      <c r="C35" s="1" t="n">
        <v>45890</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45890</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31951-2025</t>
        </is>
      </c>
      <c r="B37" s="1" t="n">
        <v>45835.33481481481</v>
      </c>
      <c r="C37" s="1" t="n">
        <v>45890</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36778-2025</t>
        </is>
      </c>
      <c r="B38" s="1" t="n">
        <v>45873</v>
      </c>
      <c r="C38" s="1" t="n">
        <v>45890</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164-2024</t>
        </is>
      </c>
      <c r="B39" s="1" t="n">
        <v>45294.49954861111</v>
      </c>
      <c r="C39" s="1" t="n">
        <v>45890</v>
      </c>
      <c r="D39" t="inlineStr">
        <is>
          <t>DALARNAS LÄN</t>
        </is>
      </c>
      <c r="E39" t="inlineStr">
        <is>
          <t>LEKSAND</t>
        </is>
      </c>
      <c r="G39" t="n">
        <v>3.7</v>
      </c>
      <c r="H39" t="n">
        <v>1</v>
      </c>
      <c r="I39" t="n">
        <v>0</v>
      </c>
      <c r="J39" t="n">
        <v>1</v>
      </c>
      <c r="K39" t="n">
        <v>0</v>
      </c>
      <c r="L39" t="n">
        <v>0</v>
      </c>
      <c r="M39" t="n">
        <v>0</v>
      </c>
      <c r="N39" t="n">
        <v>0</v>
      </c>
      <c r="O39" t="n">
        <v>1</v>
      </c>
      <c r="P39" t="n">
        <v>0</v>
      </c>
      <c r="Q39" t="n">
        <v>1</v>
      </c>
      <c r="R39" s="2" t="inlineStr">
        <is>
          <t>Järpe</t>
        </is>
      </c>
      <c r="S39">
        <f>HYPERLINK("https://klasma.github.io/Logging_2029/artfynd/A 164-2024 artfynd.xlsx", "A 164-2024")</f>
        <v/>
      </c>
      <c r="T39">
        <f>HYPERLINK("https://klasma.github.io/Logging_2029/kartor/A 164-2024 karta.png", "A 164-2024")</f>
        <v/>
      </c>
      <c r="V39">
        <f>HYPERLINK("https://klasma.github.io/Logging_2029/klagomål/A 164-2024 FSC-klagomål.docx", "A 164-2024")</f>
        <v/>
      </c>
      <c r="W39">
        <f>HYPERLINK("https://klasma.github.io/Logging_2029/klagomålsmail/A 164-2024 FSC-klagomål mail.docx", "A 164-2024")</f>
        <v/>
      </c>
      <c r="X39">
        <f>HYPERLINK("https://klasma.github.io/Logging_2029/tillsyn/A 164-2024 tillsynsbegäran.docx", "A 164-2024")</f>
        <v/>
      </c>
      <c r="Y39">
        <f>HYPERLINK("https://klasma.github.io/Logging_2029/tillsynsmail/A 164-2024 tillsynsbegäran mail.docx", "A 164-2024")</f>
        <v/>
      </c>
      <c r="Z39">
        <f>HYPERLINK("https://klasma.github.io/Logging_2029/fåglar/A 164-2024 prioriterade fågelarter.docx", "A 164-2024")</f>
        <v/>
      </c>
    </row>
    <row r="40" ht="15" customHeight="1">
      <c r="A40" t="inlineStr">
        <is>
          <t>A 6029-2025</t>
        </is>
      </c>
      <c r="B40" s="1" t="n">
        <v>45695</v>
      </c>
      <c r="C40" s="1" t="n">
        <v>45890</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26287-2023</t>
        </is>
      </c>
      <c r="B41" s="1" t="n">
        <v>45091</v>
      </c>
      <c r="C41" s="1" t="n">
        <v>45890</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45890</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16735-2025</t>
        </is>
      </c>
      <c r="B43" s="1" t="n">
        <v>45754.54314814815</v>
      </c>
      <c r="C43" s="1" t="n">
        <v>45890</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45890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1078-2021</t>
        </is>
      </c>
      <c r="B45" s="1" t="n">
        <v>44207</v>
      </c>
      <c r="C45" s="1" t="n">
        <v>45890</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45890</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45890</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45890</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45890</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45890</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45890</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45890</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45890</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45890</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45890</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45890</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45890</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45890</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45890</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45890</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45890</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45890</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45890</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45890</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45890</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45890</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45890</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45890</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45890</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45890</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45890</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45890</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45890</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45890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45890</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45890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45890</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45890</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45890</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45890</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45890</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31871-2022</t>
        </is>
      </c>
      <c r="B82" s="1" t="n">
        <v>44777.37854166667</v>
      </c>
      <c r="C82" s="1" t="n">
        <v>45890</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14140-2022</t>
        </is>
      </c>
      <c r="B83" s="1" t="n">
        <v>44651</v>
      </c>
      <c r="C83" s="1" t="n">
        <v>45890</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45890</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47069-2020</t>
        </is>
      </c>
      <c r="B85" s="1" t="n">
        <v>44096</v>
      </c>
      <c r="C85" s="1" t="n">
        <v>45890</v>
      </c>
      <c r="D85" t="inlineStr">
        <is>
          <t>DALARNAS LÄN</t>
        </is>
      </c>
      <c r="E85" t="inlineStr">
        <is>
          <t>LEKSAND</t>
        </is>
      </c>
      <c r="G85" t="n">
        <v>5.5</v>
      </c>
      <c r="H85" t="n">
        <v>0</v>
      </c>
      <c r="I85" t="n">
        <v>0</v>
      </c>
      <c r="J85" t="n">
        <v>0</v>
      </c>
      <c r="K85" t="n">
        <v>0</v>
      </c>
      <c r="L85" t="n">
        <v>0</v>
      </c>
      <c r="M85" t="n">
        <v>0</v>
      </c>
      <c r="N85" t="n">
        <v>0</v>
      </c>
      <c r="O85" t="n">
        <v>0</v>
      </c>
      <c r="P85" t="n">
        <v>0</v>
      </c>
      <c r="Q85" t="n">
        <v>0</v>
      </c>
      <c r="R85" s="2" t="inlineStr"/>
    </row>
    <row r="86" ht="15" customHeight="1">
      <c r="A86" t="inlineStr">
        <is>
          <t>A 45155-2021</t>
        </is>
      </c>
      <c r="B86" s="1" t="n">
        <v>44439</v>
      </c>
      <c r="C86" s="1" t="n">
        <v>45890</v>
      </c>
      <c r="D86" t="inlineStr">
        <is>
          <t>DALARNAS LÄN</t>
        </is>
      </c>
      <c r="E86" t="inlineStr">
        <is>
          <t>LEKSAND</t>
        </is>
      </c>
      <c r="G86" t="n">
        <v>0.6</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45890</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45890</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45890</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49581-2022</t>
        </is>
      </c>
      <c r="B90" s="1" t="n">
        <v>44862.36287037037</v>
      </c>
      <c r="C90" s="1" t="n">
        <v>45890</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56153-2021</t>
        </is>
      </c>
      <c r="B91" s="1" t="n">
        <v>44477</v>
      </c>
      <c r="C91" s="1" t="n">
        <v>45890</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35080-2022</t>
        </is>
      </c>
      <c r="B92" s="1" t="n">
        <v>44797</v>
      </c>
      <c r="C92" s="1" t="n">
        <v>45890</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40584-2021</t>
        </is>
      </c>
      <c r="B93" s="1" t="n">
        <v>44420</v>
      </c>
      <c r="C93" s="1" t="n">
        <v>45890</v>
      </c>
      <c r="D93" t="inlineStr">
        <is>
          <t>DALARNAS LÄN</t>
        </is>
      </c>
      <c r="E93" t="inlineStr">
        <is>
          <t>LEKSAND</t>
        </is>
      </c>
      <c r="G93" t="n">
        <v>6</v>
      </c>
      <c r="H93" t="n">
        <v>0</v>
      </c>
      <c r="I93" t="n">
        <v>0</v>
      </c>
      <c r="J93" t="n">
        <v>0</v>
      </c>
      <c r="K93" t="n">
        <v>0</v>
      </c>
      <c r="L93" t="n">
        <v>0</v>
      </c>
      <c r="M93" t="n">
        <v>0</v>
      </c>
      <c r="N93" t="n">
        <v>0</v>
      </c>
      <c r="O93" t="n">
        <v>0</v>
      </c>
      <c r="P93" t="n">
        <v>0</v>
      </c>
      <c r="Q93" t="n">
        <v>0</v>
      </c>
      <c r="R93" s="2" t="inlineStr"/>
    </row>
    <row r="94" ht="15" customHeight="1">
      <c r="A94" t="inlineStr">
        <is>
          <t>A 70098-2021</t>
        </is>
      </c>
      <c r="B94" s="1" t="n">
        <v>44533</v>
      </c>
      <c r="C94" s="1" t="n">
        <v>45890</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45995-2020</t>
        </is>
      </c>
      <c r="B95" s="1" t="n">
        <v>44088</v>
      </c>
      <c r="C95" s="1" t="n">
        <v>45890</v>
      </c>
      <c r="D95" t="inlineStr">
        <is>
          <t>DALARNAS LÄN</t>
        </is>
      </c>
      <c r="E95" t="inlineStr">
        <is>
          <t>LEKSAND</t>
        </is>
      </c>
      <c r="G95" t="n">
        <v>7.8</v>
      </c>
      <c r="H95" t="n">
        <v>0</v>
      </c>
      <c r="I95" t="n">
        <v>0</v>
      </c>
      <c r="J95" t="n">
        <v>0</v>
      </c>
      <c r="K95" t="n">
        <v>0</v>
      </c>
      <c r="L95" t="n">
        <v>0</v>
      </c>
      <c r="M95" t="n">
        <v>0</v>
      </c>
      <c r="N95" t="n">
        <v>0</v>
      </c>
      <c r="O95" t="n">
        <v>0</v>
      </c>
      <c r="P95" t="n">
        <v>0</v>
      </c>
      <c r="Q95" t="n">
        <v>0</v>
      </c>
      <c r="R95" s="2" t="inlineStr"/>
    </row>
    <row r="96" ht="15" customHeight="1">
      <c r="A96" t="inlineStr">
        <is>
          <t>A 21965-2021</t>
        </is>
      </c>
      <c r="B96" s="1" t="n">
        <v>44323</v>
      </c>
      <c r="C96" s="1" t="n">
        <v>45890</v>
      </c>
      <c r="D96" t="inlineStr">
        <is>
          <t>DALARNAS LÄN</t>
        </is>
      </c>
      <c r="E96" t="inlineStr">
        <is>
          <t>LEKSAND</t>
        </is>
      </c>
      <c r="G96" t="n">
        <v>0.5</v>
      </c>
      <c r="H96" t="n">
        <v>0</v>
      </c>
      <c r="I96" t="n">
        <v>0</v>
      </c>
      <c r="J96" t="n">
        <v>0</v>
      </c>
      <c r="K96" t="n">
        <v>0</v>
      </c>
      <c r="L96" t="n">
        <v>0</v>
      </c>
      <c r="M96" t="n">
        <v>0</v>
      </c>
      <c r="N96" t="n">
        <v>0</v>
      </c>
      <c r="O96" t="n">
        <v>0</v>
      </c>
      <c r="P96" t="n">
        <v>0</v>
      </c>
      <c r="Q96" t="n">
        <v>0</v>
      </c>
      <c r="R96" s="2" t="inlineStr"/>
    </row>
    <row r="97" ht="15" customHeight="1">
      <c r="A97" t="inlineStr">
        <is>
          <t>A 21969-2021</t>
        </is>
      </c>
      <c r="B97" s="1" t="n">
        <v>44323</v>
      </c>
      <c r="C97" s="1" t="n">
        <v>45890</v>
      </c>
      <c r="D97" t="inlineStr">
        <is>
          <t>DALARNAS LÄN</t>
        </is>
      </c>
      <c r="E97" t="inlineStr">
        <is>
          <t>LEKSAND</t>
        </is>
      </c>
      <c r="G97" t="n">
        <v>3.8</v>
      </c>
      <c r="H97" t="n">
        <v>0</v>
      </c>
      <c r="I97" t="n">
        <v>0</v>
      </c>
      <c r="J97" t="n">
        <v>0</v>
      </c>
      <c r="K97" t="n">
        <v>0</v>
      </c>
      <c r="L97" t="n">
        <v>0</v>
      </c>
      <c r="M97" t="n">
        <v>0</v>
      </c>
      <c r="N97" t="n">
        <v>0</v>
      </c>
      <c r="O97" t="n">
        <v>0</v>
      </c>
      <c r="P97" t="n">
        <v>0</v>
      </c>
      <c r="Q97" t="n">
        <v>0</v>
      </c>
      <c r="R97" s="2" t="inlineStr"/>
    </row>
    <row r="98" ht="15" customHeight="1">
      <c r="A98" t="inlineStr">
        <is>
          <t>A 70296-2021</t>
        </is>
      </c>
      <c r="B98" s="1" t="n">
        <v>44536.40434027778</v>
      </c>
      <c r="C98" s="1" t="n">
        <v>45890</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45890</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45890</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45890</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45890</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40165-2022</t>
        </is>
      </c>
      <c r="B103" s="1" t="n">
        <v>44820.56857638889</v>
      </c>
      <c r="C103" s="1" t="n">
        <v>45890</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64449-2020</t>
        </is>
      </c>
      <c r="B104" s="1" t="n">
        <v>44168</v>
      </c>
      <c r="C104" s="1" t="n">
        <v>45890</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18866-2022</t>
        </is>
      </c>
      <c r="B105" s="1" t="n">
        <v>44690</v>
      </c>
      <c r="C105" s="1" t="n">
        <v>45890</v>
      </c>
      <c r="D105" t="inlineStr">
        <is>
          <t>DALARNAS LÄN</t>
        </is>
      </c>
      <c r="E105" t="inlineStr">
        <is>
          <t>LEKSAND</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45890</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45890</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45890</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45890</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18140-2022</t>
        </is>
      </c>
      <c r="B110" s="1" t="n">
        <v>44684.58278935185</v>
      </c>
      <c r="C110" s="1" t="n">
        <v>45890</v>
      </c>
      <c r="D110" t="inlineStr">
        <is>
          <t>DALARNAS LÄN</t>
        </is>
      </c>
      <c r="E110" t="inlineStr">
        <is>
          <t>LEKSAND</t>
        </is>
      </c>
      <c r="F110" t="inlineStr">
        <is>
          <t>Övriga Aktiebolag</t>
        </is>
      </c>
      <c r="G110" t="n">
        <v>0.7</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45890</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8501-2022</t>
        </is>
      </c>
      <c r="B112" s="1" t="n">
        <v>44613.40672453704</v>
      </c>
      <c r="C112" s="1" t="n">
        <v>45890</v>
      </c>
      <c r="D112" t="inlineStr">
        <is>
          <t>DALARNAS LÄN</t>
        </is>
      </c>
      <c r="E112" t="inlineStr">
        <is>
          <t>LEKSAND</t>
        </is>
      </c>
      <c r="G112" t="n">
        <v>3</v>
      </c>
      <c r="H112" t="n">
        <v>0</v>
      </c>
      <c r="I112" t="n">
        <v>0</v>
      </c>
      <c r="J112" t="n">
        <v>0</v>
      </c>
      <c r="K112" t="n">
        <v>0</v>
      </c>
      <c r="L112" t="n">
        <v>0</v>
      </c>
      <c r="M112" t="n">
        <v>0</v>
      </c>
      <c r="N112" t="n">
        <v>0</v>
      </c>
      <c r="O112" t="n">
        <v>0</v>
      </c>
      <c r="P112" t="n">
        <v>0</v>
      </c>
      <c r="Q112" t="n">
        <v>0</v>
      </c>
      <c r="R112" s="2" t="inlineStr"/>
    </row>
    <row r="113" ht="15" customHeight="1">
      <c r="A113" t="inlineStr">
        <is>
          <t>A 67307-2020</t>
        </is>
      </c>
      <c r="B113" s="1" t="n">
        <v>44181</v>
      </c>
      <c r="C113" s="1" t="n">
        <v>45890</v>
      </c>
      <c r="D113" t="inlineStr">
        <is>
          <t>DALARNAS LÄN</t>
        </is>
      </c>
      <c r="E113" t="inlineStr">
        <is>
          <t>LEKSAND</t>
        </is>
      </c>
      <c r="G113" t="n">
        <v>5.9</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45890</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62279-2021</t>
        </is>
      </c>
      <c r="B115" s="1" t="n">
        <v>44503</v>
      </c>
      <c r="C115" s="1" t="n">
        <v>45890</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45890</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70026-2021</t>
        </is>
      </c>
      <c r="B117" s="1" t="n">
        <v>44533</v>
      </c>
      <c r="C117" s="1" t="n">
        <v>45890</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18040-2024</t>
        </is>
      </c>
      <c r="B118" s="1" t="n">
        <v>45420.36664351852</v>
      </c>
      <c r="C118" s="1" t="n">
        <v>45890</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45890</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14616-2024</t>
        </is>
      </c>
      <c r="B120" s="1" t="n">
        <v>45397.2624537037</v>
      </c>
      <c r="C120" s="1" t="n">
        <v>45890</v>
      </c>
      <c r="D120" t="inlineStr">
        <is>
          <t>DALARNAS LÄN</t>
        </is>
      </c>
      <c r="E120" t="inlineStr">
        <is>
          <t>LEKSAND</t>
        </is>
      </c>
      <c r="G120" t="n">
        <v>0.5</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45890</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12356-2023</t>
        </is>
      </c>
      <c r="B122" s="1" t="n">
        <v>44998</v>
      </c>
      <c r="C122" s="1" t="n">
        <v>45890</v>
      </c>
      <c r="D122" t="inlineStr">
        <is>
          <t>DALARNAS LÄN</t>
        </is>
      </c>
      <c r="E122" t="inlineStr">
        <is>
          <t>LEKSAND</t>
        </is>
      </c>
      <c r="G122" t="n">
        <v>1.6</v>
      </c>
      <c r="H122" t="n">
        <v>0</v>
      </c>
      <c r="I122" t="n">
        <v>0</v>
      </c>
      <c r="J122" t="n">
        <v>0</v>
      </c>
      <c r="K122" t="n">
        <v>0</v>
      </c>
      <c r="L122" t="n">
        <v>0</v>
      </c>
      <c r="M122" t="n">
        <v>0</v>
      </c>
      <c r="N122" t="n">
        <v>0</v>
      </c>
      <c r="O122" t="n">
        <v>0</v>
      </c>
      <c r="P122" t="n">
        <v>0</v>
      </c>
      <c r="Q122" t="n">
        <v>0</v>
      </c>
      <c r="R122" s="2" t="inlineStr"/>
    </row>
    <row r="123" ht="15" customHeight="1">
      <c r="A123" t="inlineStr">
        <is>
          <t>A 12363-2023</t>
        </is>
      </c>
      <c r="B123" s="1" t="n">
        <v>44998</v>
      </c>
      <c r="C123" s="1" t="n">
        <v>45890</v>
      </c>
      <c r="D123" t="inlineStr">
        <is>
          <t>DALARNAS LÄN</t>
        </is>
      </c>
      <c r="E123" t="inlineStr">
        <is>
          <t>LEKSAND</t>
        </is>
      </c>
      <c r="G123" t="n">
        <v>10</v>
      </c>
      <c r="H123" t="n">
        <v>0</v>
      </c>
      <c r="I123" t="n">
        <v>0</v>
      </c>
      <c r="J123" t="n">
        <v>0</v>
      </c>
      <c r="K123" t="n">
        <v>0</v>
      </c>
      <c r="L123" t="n">
        <v>0</v>
      </c>
      <c r="M123" t="n">
        <v>0</v>
      </c>
      <c r="N123" t="n">
        <v>0</v>
      </c>
      <c r="O123" t="n">
        <v>0</v>
      </c>
      <c r="P123" t="n">
        <v>0</v>
      </c>
      <c r="Q123" t="n">
        <v>0</v>
      </c>
      <c r="R123" s="2" t="inlineStr"/>
    </row>
    <row r="124" ht="15" customHeight="1">
      <c r="A124" t="inlineStr">
        <is>
          <t>A 55015-2024</t>
        </is>
      </c>
      <c r="B124" s="1" t="n">
        <v>45621.35554398148</v>
      </c>
      <c r="C124" s="1" t="n">
        <v>45890</v>
      </c>
      <c r="D124" t="inlineStr">
        <is>
          <t>DALARNAS LÄN</t>
        </is>
      </c>
      <c r="E124" t="inlineStr">
        <is>
          <t>LEKSAND</t>
        </is>
      </c>
      <c r="G124" t="n">
        <v>0.6</v>
      </c>
      <c r="H124" t="n">
        <v>0</v>
      </c>
      <c r="I124" t="n">
        <v>0</v>
      </c>
      <c r="J124" t="n">
        <v>0</v>
      </c>
      <c r="K124" t="n">
        <v>0</v>
      </c>
      <c r="L124" t="n">
        <v>0</v>
      </c>
      <c r="M124" t="n">
        <v>0</v>
      </c>
      <c r="N124" t="n">
        <v>0</v>
      </c>
      <c r="O124" t="n">
        <v>0</v>
      </c>
      <c r="P124" t="n">
        <v>0</v>
      </c>
      <c r="Q124" t="n">
        <v>0</v>
      </c>
      <c r="R124" s="2" t="inlineStr"/>
    </row>
    <row r="125" ht="15" customHeight="1">
      <c r="A125" t="inlineStr">
        <is>
          <t>A 28674-2024</t>
        </is>
      </c>
      <c r="B125" s="1" t="n">
        <v>45478.47863425926</v>
      </c>
      <c r="C125" s="1" t="n">
        <v>45890</v>
      </c>
      <c r="D125" t="inlineStr">
        <is>
          <t>DALARNAS LÄN</t>
        </is>
      </c>
      <c r="E125" t="inlineStr">
        <is>
          <t>LEKSAND</t>
        </is>
      </c>
      <c r="G125" t="n">
        <v>4.9</v>
      </c>
      <c r="H125" t="n">
        <v>0</v>
      </c>
      <c r="I125" t="n">
        <v>0</v>
      </c>
      <c r="J125" t="n">
        <v>0</v>
      </c>
      <c r="K125" t="n">
        <v>0</v>
      </c>
      <c r="L125" t="n">
        <v>0</v>
      </c>
      <c r="M125" t="n">
        <v>0</v>
      </c>
      <c r="N125" t="n">
        <v>0</v>
      </c>
      <c r="O125" t="n">
        <v>0</v>
      </c>
      <c r="P125" t="n">
        <v>0</v>
      </c>
      <c r="Q125" t="n">
        <v>0</v>
      </c>
      <c r="R125" s="2" t="inlineStr"/>
    </row>
    <row r="126" ht="15" customHeight="1">
      <c r="A126" t="inlineStr">
        <is>
          <t>A 16231-2021</t>
        </is>
      </c>
      <c r="B126" s="1" t="n">
        <v>44292</v>
      </c>
      <c r="C126" s="1" t="n">
        <v>45890</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28592-2023</t>
        </is>
      </c>
      <c r="B127" s="1" t="n">
        <v>45103</v>
      </c>
      <c r="C127" s="1" t="n">
        <v>45890</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30449-2022</t>
        </is>
      </c>
      <c r="B128" s="1" t="n">
        <v>44761.59276620371</v>
      </c>
      <c r="C128" s="1" t="n">
        <v>45890</v>
      </c>
      <c r="D128" t="inlineStr">
        <is>
          <t>DALARNAS LÄN</t>
        </is>
      </c>
      <c r="E128" t="inlineStr">
        <is>
          <t>LEKSAND</t>
        </is>
      </c>
      <c r="G128" t="n">
        <v>5.7</v>
      </c>
      <c r="H128" t="n">
        <v>0</v>
      </c>
      <c r="I128" t="n">
        <v>0</v>
      </c>
      <c r="J128" t="n">
        <v>0</v>
      </c>
      <c r="K128" t="n">
        <v>0</v>
      </c>
      <c r="L128" t="n">
        <v>0</v>
      </c>
      <c r="M128" t="n">
        <v>0</v>
      </c>
      <c r="N128" t="n">
        <v>0</v>
      </c>
      <c r="O128" t="n">
        <v>0</v>
      </c>
      <c r="P128" t="n">
        <v>0</v>
      </c>
      <c r="Q128" t="n">
        <v>0</v>
      </c>
      <c r="R128" s="2" t="inlineStr"/>
    </row>
    <row r="129" ht="15" customHeight="1">
      <c r="A129" t="inlineStr">
        <is>
          <t>A 36956-2021</t>
        </is>
      </c>
      <c r="B129" s="1" t="n">
        <v>44393.55643518519</v>
      </c>
      <c r="C129" s="1" t="n">
        <v>45890</v>
      </c>
      <c r="D129" t="inlineStr">
        <is>
          <t>DALARNAS LÄN</t>
        </is>
      </c>
      <c r="E129" t="inlineStr">
        <is>
          <t>LEKSAND</t>
        </is>
      </c>
      <c r="G129" t="n">
        <v>4.1</v>
      </c>
      <c r="H129" t="n">
        <v>0</v>
      </c>
      <c r="I129" t="n">
        <v>0</v>
      </c>
      <c r="J129" t="n">
        <v>0</v>
      </c>
      <c r="K129" t="n">
        <v>0</v>
      </c>
      <c r="L129" t="n">
        <v>0</v>
      </c>
      <c r="M129" t="n">
        <v>0</v>
      </c>
      <c r="N129" t="n">
        <v>0</v>
      </c>
      <c r="O129" t="n">
        <v>0</v>
      </c>
      <c r="P129" t="n">
        <v>0</v>
      </c>
      <c r="Q129" t="n">
        <v>0</v>
      </c>
      <c r="R129" s="2" t="inlineStr"/>
    </row>
    <row r="130" ht="15" customHeight="1">
      <c r="A130" t="inlineStr">
        <is>
          <t>A 53799-2023</t>
        </is>
      </c>
      <c r="B130" s="1" t="n">
        <v>45231.35564814815</v>
      </c>
      <c r="C130" s="1" t="n">
        <v>45890</v>
      </c>
      <c r="D130" t="inlineStr">
        <is>
          <t>DALARNAS LÄN</t>
        </is>
      </c>
      <c r="E130" t="inlineStr">
        <is>
          <t>LEKSAND</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56283-2024</t>
        </is>
      </c>
      <c r="B131" s="1" t="n">
        <v>45624.67864583333</v>
      </c>
      <c r="C131" s="1" t="n">
        <v>45890</v>
      </c>
      <c r="D131" t="inlineStr">
        <is>
          <t>DALARNAS LÄN</t>
        </is>
      </c>
      <c r="E131" t="inlineStr">
        <is>
          <t>LEKSAND</t>
        </is>
      </c>
      <c r="G131" t="n">
        <v>1.3</v>
      </c>
      <c r="H131" t="n">
        <v>0</v>
      </c>
      <c r="I131" t="n">
        <v>0</v>
      </c>
      <c r="J131" t="n">
        <v>0</v>
      </c>
      <c r="K131" t="n">
        <v>0</v>
      </c>
      <c r="L131" t="n">
        <v>0</v>
      </c>
      <c r="M131" t="n">
        <v>0</v>
      </c>
      <c r="N131" t="n">
        <v>0</v>
      </c>
      <c r="O131" t="n">
        <v>0</v>
      </c>
      <c r="P131" t="n">
        <v>0</v>
      </c>
      <c r="Q131" t="n">
        <v>0</v>
      </c>
      <c r="R131" s="2" t="inlineStr"/>
    </row>
    <row r="132" ht="15" customHeight="1">
      <c r="A132" t="inlineStr">
        <is>
          <t>A 53122-2023</t>
        </is>
      </c>
      <c r="B132" s="1" t="n">
        <v>45228</v>
      </c>
      <c r="C132" s="1" t="n">
        <v>45890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18484-2024</t>
        </is>
      </c>
      <c r="B133" s="1" t="n">
        <v>45425.52559027778</v>
      </c>
      <c r="C133" s="1" t="n">
        <v>45890</v>
      </c>
      <c r="D133" t="inlineStr">
        <is>
          <t>DALARNAS LÄN</t>
        </is>
      </c>
      <c r="E133" t="inlineStr">
        <is>
          <t>LEKSAND</t>
        </is>
      </c>
      <c r="G133" t="n">
        <v>2</v>
      </c>
      <c r="H133" t="n">
        <v>0</v>
      </c>
      <c r="I133" t="n">
        <v>0</v>
      </c>
      <c r="J133" t="n">
        <v>0</v>
      </c>
      <c r="K133" t="n">
        <v>0</v>
      </c>
      <c r="L133" t="n">
        <v>0</v>
      </c>
      <c r="M133" t="n">
        <v>0</v>
      </c>
      <c r="N133" t="n">
        <v>0</v>
      </c>
      <c r="O133" t="n">
        <v>0</v>
      </c>
      <c r="P133" t="n">
        <v>0</v>
      </c>
      <c r="Q133" t="n">
        <v>0</v>
      </c>
      <c r="R133" s="2" t="inlineStr"/>
    </row>
    <row r="134" ht="15" customHeight="1">
      <c r="A134" t="inlineStr">
        <is>
          <t>A 62130-2024</t>
        </is>
      </c>
      <c r="B134" s="1" t="n">
        <v>45656.61827546296</v>
      </c>
      <c r="C134" s="1" t="n">
        <v>45890</v>
      </c>
      <c r="D134" t="inlineStr">
        <is>
          <t>DALARNAS LÄN</t>
        </is>
      </c>
      <c r="E134" t="inlineStr">
        <is>
          <t>LEKSAND</t>
        </is>
      </c>
      <c r="G134" t="n">
        <v>11.4</v>
      </c>
      <c r="H134" t="n">
        <v>0</v>
      </c>
      <c r="I134" t="n">
        <v>0</v>
      </c>
      <c r="J134" t="n">
        <v>0</v>
      </c>
      <c r="K134" t="n">
        <v>0</v>
      </c>
      <c r="L134" t="n">
        <v>0</v>
      </c>
      <c r="M134" t="n">
        <v>0</v>
      </c>
      <c r="N134" t="n">
        <v>0</v>
      </c>
      <c r="O134" t="n">
        <v>0</v>
      </c>
      <c r="P134" t="n">
        <v>0</v>
      </c>
      <c r="Q134" t="n">
        <v>0</v>
      </c>
      <c r="R134" s="2" t="inlineStr"/>
    </row>
    <row r="135" ht="15" customHeight="1">
      <c r="A135" t="inlineStr">
        <is>
          <t>A 11418-2023</t>
        </is>
      </c>
      <c r="B135" s="1" t="n">
        <v>44993</v>
      </c>
      <c r="C135" s="1" t="n">
        <v>45890</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40407-2024</t>
        </is>
      </c>
      <c r="B136" s="1" t="n">
        <v>45555</v>
      </c>
      <c r="C136" s="1" t="n">
        <v>45890</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45518.44481481481</v>
      </c>
      <c r="C137" s="1" t="n">
        <v>45890</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45890</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63513-2023</t>
        </is>
      </c>
      <c r="B139" s="1" t="n">
        <v>45274</v>
      </c>
      <c r="C139" s="1" t="n">
        <v>45890</v>
      </c>
      <c r="D139" t="inlineStr">
        <is>
          <t>DALARNAS LÄN</t>
        </is>
      </c>
      <c r="E139" t="inlineStr">
        <is>
          <t>LEKSAND</t>
        </is>
      </c>
      <c r="G139" t="n">
        <v>2.3</v>
      </c>
      <c r="H139" t="n">
        <v>0</v>
      </c>
      <c r="I139" t="n">
        <v>0</v>
      </c>
      <c r="J139" t="n">
        <v>0</v>
      </c>
      <c r="K139" t="n">
        <v>0</v>
      </c>
      <c r="L139" t="n">
        <v>0</v>
      </c>
      <c r="M139" t="n">
        <v>0</v>
      </c>
      <c r="N139" t="n">
        <v>0</v>
      </c>
      <c r="O139" t="n">
        <v>0</v>
      </c>
      <c r="P139" t="n">
        <v>0</v>
      </c>
      <c r="Q139" t="n">
        <v>0</v>
      </c>
      <c r="R139" s="2" t="inlineStr"/>
    </row>
    <row r="140" ht="15" customHeight="1">
      <c r="A140" t="inlineStr">
        <is>
          <t>A 27791-2023</t>
        </is>
      </c>
      <c r="B140" s="1" t="n">
        <v>45098</v>
      </c>
      <c r="C140" s="1" t="n">
        <v>45890</v>
      </c>
      <c r="D140" t="inlineStr">
        <is>
          <t>DALARNAS LÄN</t>
        </is>
      </c>
      <c r="E140" t="inlineStr">
        <is>
          <t>LEKSAND</t>
        </is>
      </c>
      <c r="G140" t="n">
        <v>1</v>
      </c>
      <c r="H140" t="n">
        <v>0</v>
      </c>
      <c r="I140" t="n">
        <v>0</v>
      </c>
      <c r="J140" t="n">
        <v>0</v>
      </c>
      <c r="K140" t="n">
        <v>0</v>
      </c>
      <c r="L140" t="n">
        <v>0</v>
      </c>
      <c r="M140" t="n">
        <v>0</v>
      </c>
      <c r="N140" t="n">
        <v>0</v>
      </c>
      <c r="O140" t="n">
        <v>0</v>
      </c>
      <c r="P140" t="n">
        <v>0</v>
      </c>
      <c r="Q140" t="n">
        <v>0</v>
      </c>
      <c r="R140" s="2" t="inlineStr"/>
    </row>
    <row r="141" ht="15" customHeight="1">
      <c r="A141" t="inlineStr">
        <is>
          <t>A 52801-2023</t>
        </is>
      </c>
      <c r="B141" s="1" t="n">
        <v>45219</v>
      </c>
      <c r="C141" s="1" t="n">
        <v>45890</v>
      </c>
      <c r="D141" t="inlineStr">
        <is>
          <t>DALARNAS LÄN</t>
        </is>
      </c>
      <c r="E141" t="inlineStr">
        <is>
          <t>LEKSAND</t>
        </is>
      </c>
      <c r="G141" t="n">
        <v>4.9</v>
      </c>
      <c r="H141" t="n">
        <v>0</v>
      </c>
      <c r="I141" t="n">
        <v>0</v>
      </c>
      <c r="J141" t="n">
        <v>0</v>
      </c>
      <c r="K141" t="n">
        <v>0</v>
      </c>
      <c r="L141" t="n">
        <v>0</v>
      </c>
      <c r="M141" t="n">
        <v>0</v>
      </c>
      <c r="N141" t="n">
        <v>0</v>
      </c>
      <c r="O141" t="n">
        <v>0</v>
      </c>
      <c r="P141" t="n">
        <v>0</v>
      </c>
      <c r="Q141" t="n">
        <v>0</v>
      </c>
      <c r="R141" s="2" t="inlineStr"/>
    </row>
    <row r="142" ht="15" customHeight="1">
      <c r="A142" t="inlineStr">
        <is>
          <t>A 9781-2024</t>
        </is>
      </c>
      <c r="B142" s="1" t="n">
        <v>45362.66299768518</v>
      </c>
      <c r="C142" s="1" t="n">
        <v>45890</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71817-2021</t>
        </is>
      </c>
      <c r="B143" s="1" t="n">
        <v>44543.59780092593</v>
      </c>
      <c r="C143" s="1" t="n">
        <v>45890</v>
      </c>
      <c r="D143" t="inlineStr">
        <is>
          <t>DALARNAS LÄN</t>
        </is>
      </c>
      <c r="E143" t="inlineStr">
        <is>
          <t>LEKSAND</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30175-2023</t>
        </is>
      </c>
      <c r="B144" s="1" t="n">
        <v>45110</v>
      </c>
      <c r="C144" s="1" t="n">
        <v>45890</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59103-2024</t>
        </is>
      </c>
      <c r="B145" s="1" t="n">
        <v>45637.34184027778</v>
      </c>
      <c r="C145" s="1" t="n">
        <v>45890</v>
      </c>
      <c r="D145" t="inlineStr">
        <is>
          <t>DALARNAS LÄN</t>
        </is>
      </c>
      <c r="E145" t="inlineStr">
        <is>
          <t>LEKSAND</t>
        </is>
      </c>
      <c r="G145" t="n">
        <v>1.5</v>
      </c>
      <c r="H145" t="n">
        <v>0</v>
      </c>
      <c r="I145" t="n">
        <v>0</v>
      </c>
      <c r="J145" t="n">
        <v>0</v>
      </c>
      <c r="K145" t="n">
        <v>0</v>
      </c>
      <c r="L145" t="n">
        <v>0</v>
      </c>
      <c r="M145" t="n">
        <v>0</v>
      </c>
      <c r="N145" t="n">
        <v>0</v>
      </c>
      <c r="O145" t="n">
        <v>0</v>
      </c>
      <c r="P145" t="n">
        <v>0</v>
      </c>
      <c r="Q145" t="n">
        <v>0</v>
      </c>
      <c r="R145" s="2" t="inlineStr"/>
    </row>
    <row r="146" ht="15" customHeight="1">
      <c r="A146" t="inlineStr">
        <is>
          <t>A 19590-2023</t>
        </is>
      </c>
      <c r="B146" s="1" t="n">
        <v>45049</v>
      </c>
      <c r="C146" s="1" t="n">
        <v>45890</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30000-2023</t>
        </is>
      </c>
      <c r="B147" s="1" t="n">
        <v>45109.71128472222</v>
      </c>
      <c r="C147" s="1" t="n">
        <v>45890</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61933-2023</t>
        </is>
      </c>
      <c r="B148" s="1" t="n">
        <v>45266</v>
      </c>
      <c r="C148" s="1" t="n">
        <v>45890</v>
      </c>
      <c r="D148" t="inlineStr">
        <is>
          <t>DALARNAS LÄN</t>
        </is>
      </c>
      <c r="E148" t="inlineStr">
        <is>
          <t>LEKSAND</t>
        </is>
      </c>
      <c r="G148" t="n">
        <v>0.2</v>
      </c>
      <c r="H148" t="n">
        <v>0</v>
      </c>
      <c r="I148" t="n">
        <v>0</v>
      </c>
      <c r="J148" t="n">
        <v>0</v>
      </c>
      <c r="K148" t="n">
        <v>0</v>
      </c>
      <c r="L148" t="n">
        <v>0</v>
      </c>
      <c r="M148" t="n">
        <v>0</v>
      </c>
      <c r="N148" t="n">
        <v>0</v>
      </c>
      <c r="O148" t="n">
        <v>0</v>
      </c>
      <c r="P148" t="n">
        <v>0</v>
      </c>
      <c r="Q148" t="n">
        <v>0</v>
      </c>
      <c r="R148" s="2" t="inlineStr"/>
    </row>
    <row r="149" ht="15" customHeight="1">
      <c r="A149" t="inlineStr">
        <is>
          <t>A 41015-2024</t>
        </is>
      </c>
      <c r="B149" s="1" t="n">
        <v>45559.32537037037</v>
      </c>
      <c r="C149" s="1" t="n">
        <v>45890</v>
      </c>
      <c r="D149" t="inlineStr">
        <is>
          <t>DALARNAS LÄN</t>
        </is>
      </c>
      <c r="E149" t="inlineStr">
        <is>
          <t>LEKSAND</t>
        </is>
      </c>
      <c r="G149" t="n">
        <v>1.6</v>
      </c>
      <c r="H149" t="n">
        <v>0</v>
      </c>
      <c r="I149" t="n">
        <v>0</v>
      </c>
      <c r="J149" t="n">
        <v>0</v>
      </c>
      <c r="K149" t="n">
        <v>0</v>
      </c>
      <c r="L149" t="n">
        <v>0</v>
      </c>
      <c r="M149" t="n">
        <v>0</v>
      </c>
      <c r="N149" t="n">
        <v>0</v>
      </c>
      <c r="O149" t="n">
        <v>0</v>
      </c>
      <c r="P149" t="n">
        <v>0</v>
      </c>
      <c r="Q149" t="n">
        <v>0</v>
      </c>
      <c r="R149" s="2" t="inlineStr"/>
    </row>
    <row r="150" ht="15" customHeight="1">
      <c r="A150" t="inlineStr">
        <is>
          <t>A 18107-2025</t>
        </is>
      </c>
      <c r="B150" s="1" t="n">
        <v>45761.55939814815</v>
      </c>
      <c r="C150" s="1" t="n">
        <v>45890</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49395-2024</t>
        </is>
      </c>
      <c r="B151" s="1" t="n">
        <v>45595</v>
      </c>
      <c r="C151" s="1" t="n">
        <v>45890</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11092-2023</t>
        </is>
      </c>
      <c r="B152" s="1" t="n">
        <v>44992</v>
      </c>
      <c r="C152" s="1" t="n">
        <v>45890</v>
      </c>
      <c r="D152" t="inlineStr">
        <is>
          <t>DALARNAS LÄN</t>
        </is>
      </c>
      <c r="E152" t="inlineStr">
        <is>
          <t>LEKSAND</t>
        </is>
      </c>
      <c r="G152" t="n">
        <v>0.5</v>
      </c>
      <c r="H152" t="n">
        <v>0</v>
      </c>
      <c r="I152" t="n">
        <v>0</v>
      </c>
      <c r="J152" t="n">
        <v>0</v>
      </c>
      <c r="K152" t="n">
        <v>0</v>
      </c>
      <c r="L152" t="n">
        <v>0</v>
      </c>
      <c r="M152" t="n">
        <v>0</v>
      </c>
      <c r="N152" t="n">
        <v>0</v>
      </c>
      <c r="O152" t="n">
        <v>0</v>
      </c>
      <c r="P152" t="n">
        <v>0</v>
      </c>
      <c r="Q152" t="n">
        <v>0</v>
      </c>
      <c r="R152" s="2" t="inlineStr"/>
    </row>
    <row r="153" ht="15" customHeight="1">
      <c r="A153" t="inlineStr">
        <is>
          <t>A 28578-2023</t>
        </is>
      </c>
      <c r="B153" s="1" t="n">
        <v>45103</v>
      </c>
      <c r="C153" s="1" t="n">
        <v>45890</v>
      </c>
      <c r="D153" t="inlineStr">
        <is>
          <t>DALARNAS LÄN</t>
        </is>
      </c>
      <c r="E153" t="inlineStr">
        <is>
          <t>LEKSAND</t>
        </is>
      </c>
      <c r="G153" t="n">
        <v>4.4</v>
      </c>
      <c r="H153" t="n">
        <v>0</v>
      </c>
      <c r="I153" t="n">
        <v>0</v>
      </c>
      <c r="J153" t="n">
        <v>0</v>
      </c>
      <c r="K153" t="n">
        <v>0</v>
      </c>
      <c r="L153" t="n">
        <v>0</v>
      </c>
      <c r="M153" t="n">
        <v>0</v>
      </c>
      <c r="N153" t="n">
        <v>0</v>
      </c>
      <c r="O153" t="n">
        <v>0</v>
      </c>
      <c r="P153" t="n">
        <v>0</v>
      </c>
      <c r="Q153" t="n">
        <v>0</v>
      </c>
      <c r="R153" s="2" t="inlineStr"/>
    </row>
    <row r="154" ht="15" customHeight="1">
      <c r="A154" t="inlineStr">
        <is>
          <t>A 51677-2024</t>
        </is>
      </c>
      <c r="B154" s="1" t="n">
        <v>45607.30265046296</v>
      </c>
      <c r="C154" s="1" t="n">
        <v>45890</v>
      </c>
      <c r="D154" t="inlineStr">
        <is>
          <t>DALARNAS LÄN</t>
        </is>
      </c>
      <c r="E154" t="inlineStr">
        <is>
          <t>LEKSAND</t>
        </is>
      </c>
      <c r="G154" t="n">
        <v>3.4</v>
      </c>
      <c r="H154" t="n">
        <v>0</v>
      </c>
      <c r="I154" t="n">
        <v>0</v>
      </c>
      <c r="J154" t="n">
        <v>0</v>
      </c>
      <c r="K154" t="n">
        <v>0</v>
      </c>
      <c r="L154" t="n">
        <v>0</v>
      </c>
      <c r="M154" t="n">
        <v>0</v>
      </c>
      <c r="N154" t="n">
        <v>0</v>
      </c>
      <c r="O154" t="n">
        <v>0</v>
      </c>
      <c r="P154" t="n">
        <v>0</v>
      </c>
      <c r="Q154" t="n">
        <v>0</v>
      </c>
      <c r="R154" s="2" t="inlineStr"/>
    </row>
    <row r="155" ht="15" customHeight="1">
      <c r="A155" t="inlineStr">
        <is>
          <t>A 164-2023</t>
        </is>
      </c>
      <c r="B155" s="1" t="n">
        <v>44918</v>
      </c>
      <c r="C155" s="1" t="n">
        <v>45890</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19371-2024</t>
        </is>
      </c>
      <c r="B156" s="1" t="n">
        <v>45429.34969907408</v>
      </c>
      <c r="C156" s="1" t="n">
        <v>45890</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11617-2024</t>
        </is>
      </c>
      <c r="B157" s="1" t="n">
        <v>45373.42898148148</v>
      </c>
      <c r="C157" s="1" t="n">
        <v>45890</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54911-2024</t>
        </is>
      </c>
      <c r="B158" s="1" t="n">
        <v>45618.68929398148</v>
      </c>
      <c r="C158" s="1" t="n">
        <v>45890</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40193-2024</t>
        </is>
      </c>
      <c r="B159" s="1" t="n">
        <v>45554.5734375</v>
      </c>
      <c r="C159" s="1" t="n">
        <v>45890</v>
      </c>
      <c r="D159" t="inlineStr">
        <is>
          <t>DALARNAS LÄN</t>
        </is>
      </c>
      <c r="E159" t="inlineStr">
        <is>
          <t>LEKSAND</t>
        </is>
      </c>
      <c r="F159" t="inlineStr">
        <is>
          <t>Övriga statliga verk och myndigheter</t>
        </is>
      </c>
      <c r="G159" t="n">
        <v>1</v>
      </c>
      <c r="H159" t="n">
        <v>0</v>
      </c>
      <c r="I159" t="n">
        <v>0</v>
      </c>
      <c r="J159" t="n">
        <v>0</v>
      </c>
      <c r="K159" t="n">
        <v>0</v>
      </c>
      <c r="L159" t="n">
        <v>0</v>
      </c>
      <c r="M159" t="n">
        <v>0</v>
      </c>
      <c r="N159" t="n">
        <v>0</v>
      </c>
      <c r="O159" t="n">
        <v>0</v>
      </c>
      <c r="P159" t="n">
        <v>0</v>
      </c>
      <c r="Q159" t="n">
        <v>0</v>
      </c>
      <c r="R159" s="2" t="inlineStr"/>
    </row>
    <row r="160" ht="15" customHeight="1">
      <c r="A160" t="inlineStr">
        <is>
          <t>A 39558-2023</t>
        </is>
      </c>
      <c r="B160" s="1" t="n">
        <v>45167.38664351852</v>
      </c>
      <c r="C160" s="1" t="n">
        <v>45890</v>
      </c>
      <c r="D160" t="inlineStr">
        <is>
          <t>DALARNAS LÄN</t>
        </is>
      </c>
      <c r="E160" t="inlineStr">
        <is>
          <t>LEKSAND</t>
        </is>
      </c>
      <c r="G160" t="n">
        <v>39.9</v>
      </c>
      <c r="H160" t="n">
        <v>0</v>
      </c>
      <c r="I160" t="n">
        <v>0</v>
      </c>
      <c r="J160" t="n">
        <v>0</v>
      </c>
      <c r="K160" t="n">
        <v>0</v>
      </c>
      <c r="L160" t="n">
        <v>0</v>
      </c>
      <c r="M160" t="n">
        <v>0</v>
      </c>
      <c r="N160" t="n">
        <v>0</v>
      </c>
      <c r="O160" t="n">
        <v>0</v>
      </c>
      <c r="P160" t="n">
        <v>0</v>
      </c>
      <c r="Q160" t="n">
        <v>0</v>
      </c>
      <c r="R160" s="2" t="inlineStr"/>
    </row>
    <row r="161" ht="15" customHeight="1">
      <c r="A161" t="inlineStr">
        <is>
          <t>A 38117-2023</t>
        </is>
      </c>
      <c r="B161" s="1" t="n">
        <v>45161</v>
      </c>
      <c r="C161" s="1" t="n">
        <v>45890</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59763-2023</t>
        </is>
      </c>
      <c r="B162" s="1" t="n">
        <v>45257</v>
      </c>
      <c r="C162" s="1" t="n">
        <v>45890</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33674-2023</t>
        </is>
      </c>
      <c r="B163" s="1" t="n">
        <v>45132</v>
      </c>
      <c r="C163" s="1" t="n">
        <v>45890</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481-2024</t>
        </is>
      </c>
      <c r="B164" s="1" t="n">
        <v>45298</v>
      </c>
      <c r="C164" s="1" t="n">
        <v>45890</v>
      </c>
      <c r="D164" t="inlineStr">
        <is>
          <t>DALARNAS LÄN</t>
        </is>
      </c>
      <c r="E164" t="inlineStr">
        <is>
          <t>LEKSAND</t>
        </is>
      </c>
      <c r="G164" t="n">
        <v>7</v>
      </c>
      <c r="H164" t="n">
        <v>0</v>
      </c>
      <c r="I164" t="n">
        <v>0</v>
      </c>
      <c r="J164" t="n">
        <v>0</v>
      </c>
      <c r="K164" t="n">
        <v>0</v>
      </c>
      <c r="L164" t="n">
        <v>0</v>
      </c>
      <c r="M164" t="n">
        <v>0</v>
      </c>
      <c r="N164" t="n">
        <v>0</v>
      </c>
      <c r="O164" t="n">
        <v>0</v>
      </c>
      <c r="P164" t="n">
        <v>0</v>
      </c>
      <c r="Q164" t="n">
        <v>0</v>
      </c>
      <c r="R164" s="2" t="inlineStr"/>
    </row>
    <row r="165" ht="15" customHeight="1">
      <c r="A165" t="inlineStr">
        <is>
          <t>A 9138-2023</t>
        </is>
      </c>
      <c r="B165" s="1" t="n">
        <v>44974</v>
      </c>
      <c r="C165" s="1" t="n">
        <v>45890</v>
      </c>
      <c r="D165" t="inlineStr">
        <is>
          <t>DALARNAS LÄN</t>
        </is>
      </c>
      <c r="E165" t="inlineStr">
        <is>
          <t>LEKSAND</t>
        </is>
      </c>
      <c r="G165" t="n">
        <v>4.6</v>
      </c>
      <c r="H165" t="n">
        <v>0</v>
      </c>
      <c r="I165" t="n">
        <v>0</v>
      </c>
      <c r="J165" t="n">
        <v>0</v>
      </c>
      <c r="K165" t="n">
        <v>0</v>
      </c>
      <c r="L165" t="n">
        <v>0</v>
      </c>
      <c r="M165" t="n">
        <v>0</v>
      </c>
      <c r="N165" t="n">
        <v>0</v>
      </c>
      <c r="O165" t="n">
        <v>0</v>
      </c>
      <c r="P165" t="n">
        <v>0</v>
      </c>
      <c r="Q165" t="n">
        <v>0</v>
      </c>
      <c r="R165" s="2" t="inlineStr"/>
    </row>
    <row r="166" ht="15" customHeight="1">
      <c r="A166" t="inlineStr">
        <is>
          <t>A 9141-2023</t>
        </is>
      </c>
      <c r="B166" s="1" t="n">
        <v>44974</v>
      </c>
      <c r="C166" s="1" t="n">
        <v>45890</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2630-2025</t>
        </is>
      </c>
      <c r="B167" s="1" t="n">
        <v>45675.85865740741</v>
      </c>
      <c r="C167" s="1" t="n">
        <v>45890</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15986-2025</t>
        </is>
      </c>
      <c r="B168" s="1" t="n">
        <v>45749.57331018519</v>
      </c>
      <c r="C168" s="1" t="n">
        <v>45890</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62306-2023</t>
        </is>
      </c>
      <c r="B169" s="1" t="n">
        <v>45266</v>
      </c>
      <c r="C169" s="1" t="n">
        <v>45890</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6778-2025</t>
        </is>
      </c>
      <c r="B170" s="1" t="n">
        <v>45700.64615740741</v>
      </c>
      <c r="C170" s="1" t="n">
        <v>45890</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11678-2025</t>
        </is>
      </c>
      <c r="B171" s="1" t="n">
        <v>45726</v>
      </c>
      <c r="C171" s="1" t="n">
        <v>45890</v>
      </c>
      <c r="D171" t="inlineStr">
        <is>
          <t>DALARNAS LÄN</t>
        </is>
      </c>
      <c r="E171" t="inlineStr">
        <is>
          <t>LEKSAND</t>
        </is>
      </c>
      <c r="G171" t="n">
        <v>9.4</v>
      </c>
      <c r="H171" t="n">
        <v>0</v>
      </c>
      <c r="I171" t="n">
        <v>0</v>
      </c>
      <c r="J171" t="n">
        <v>0</v>
      </c>
      <c r="K171" t="n">
        <v>0</v>
      </c>
      <c r="L171" t="n">
        <v>0</v>
      </c>
      <c r="M171" t="n">
        <v>0</v>
      </c>
      <c r="N171" t="n">
        <v>0</v>
      </c>
      <c r="O171" t="n">
        <v>0</v>
      </c>
      <c r="P171" t="n">
        <v>0</v>
      </c>
      <c r="Q171" t="n">
        <v>0</v>
      </c>
      <c r="R171" s="2" t="inlineStr"/>
    </row>
    <row r="172" ht="15" customHeight="1">
      <c r="A172" t="inlineStr">
        <is>
          <t>A 31971-2024</t>
        </is>
      </c>
      <c r="B172" s="1" t="n">
        <v>45510.55171296297</v>
      </c>
      <c r="C172" s="1" t="n">
        <v>45890</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27348-2023</t>
        </is>
      </c>
      <c r="B173" s="1" t="n">
        <v>45096</v>
      </c>
      <c r="C173" s="1" t="n">
        <v>45890</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50278-2023</t>
        </is>
      </c>
      <c r="B174" s="1" t="n">
        <v>45216.43444444444</v>
      </c>
      <c r="C174" s="1" t="n">
        <v>45890</v>
      </c>
      <c r="D174" t="inlineStr">
        <is>
          <t>DALARNAS LÄN</t>
        </is>
      </c>
      <c r="E174" t="inlineStr">
        <is>
          <t>LEKSAND</t>
        </is>
      </c>
      <c r="G174" t="n">
        <v>0.4</v>
      </c>
      <c r="H174" t="n">
        <v>0</v>
      </c>
      <c r="I174" t="n">
        <v>0</v>
      </c>
      <c r="J174" t="n">
        <v>0</v>
      </c>
      <c r="K174" t="n">
        <v>0</v>
      </c>
      <c r="L174" t="n">
        <v>0</v>
      </c>
      <c r="M174" t="n">
        <v>0</v>
      </c>
      <c r="N174" t="n">
        <v>0</v>
      </c>
      <c r="O174" t="n">
        <v>0</v>
      </c>
      <c r="P174" t="n">
        <v>0</v>
      </c>
      <c r="Q174" t="n">
        <v>0</v>
      </c>
      <c r="R174" s="2" t="inlineStr"/>
    </row>
    <row r="175" ht="15" customHeight="1">
      <c r="A175" t="inlineStr">
        <is>
          <t>A 62161-2024</t>
        </is>
      </c>
      <c r="B175" s="1" t="n">
        <v>45656.86009259259</v>
      </c>
      <c r="C175" s="1" t="n">
        <v>45890</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13401-2023</t>
        </is>
      </c>
      <c r="B176" s="1" t="n">
        <v>45005</v>
      </c>
      <c r="C176" s="1" t="n">
        <v>45890</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1983-2025</t>
        </is>
      </c>
      <c r="B177" s="1" t="n">
        <v>45670</v>
      </c>
      <c r="C177" s="1" t="n">
        <v>45890</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22388-2024</t>
        </is>
      </c>
      <c r="B178" s="1" t="n">
        <v>45446</v>
      </c>
      <c r="C178" s="1" t="n">
        <v>45890</v>
      </c>
      <c r="D178" t="inlineStr">
        <is>
          <t>DALARNAS LÄN</t>
        </is>
      </c>
      <c r="E178" t="inlineStr">
        <is>
          <t>LEKSAND</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31728-2024</t>
        </is>
      </c>
      <c r="B179" s="1" t="n">
        <v>45509.34517361111</v>
      </c>
      <c r="C179" s="1" t="n">
        <v>45890</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48644-2023</t>
        </is>
      </c>
      <c r="B180" s="1" t="n">
        <v>45208.58997685185</v>
      </c>
      <c r="C180" s="1" t="n">
        <v>45890</v>
      </c>
      <c r="D180" t="inlineStr">
        <is>
          <t>DALARNAS LÄN</t>
        </is>
      </c>
      <c r="E180" t="inlineStr">
        <is>
          <t>LEKSAND</t>
        </is>
      </c>
      <c r="F180" t="inlineStr">
        <is>
          <t>Bergvik skog väst AB</t>
        </is>
      </c>
      <c r="G180" t="n">
        <v>1.3</v>
      </c>
      <c r="H180" t="n">
        <v>0</v>
      </c>
      <c r="I180" t="n">
        <v>0</v>
      </c>
      <c r="J180" t="n">
        <v>0</v>
      </c>
      <c r="K180" t="n">
        <v>0</v>
      </c>
      <c r="L180" t="n">
        <v>0</v>
      </c>
      <c r="M180" t="n">
        <v>0</v>
      </c>
      <c r="N180" t="n">
        <v>0</v>
      </c>
      <c r="O180" t="n">
        <v>0</v>
      </c>
      <c r="P180" t="n">
        <v>0</v>
      </c>
      <c r="Q180" t="n">
        <v>0</v>
      </c>
      <c r="R180" s="2" t="inlineStr"/>
    </row>
    <row r="181" ht="15" customHeight="1">
      <c r="A181" t="inlineStr">
        <is>
          <t>A 59840-2024</t>
        </is>
      </c>
      <c r="B181" s="1" t="n">
        <v>45638</v>
      </c>
      <c r="C181" s="1" t="n">
        <v>45890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33566-2023</t>
        </is>
      </c>
      <c r="B182" s="1" t="n">
        <v>45131.64390046296</v>
      </c>
      <c r="C182" s="1" t="n">
        <v>45890</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23323-2023</t>
        </is>
      </c>
      <c r="B183" s="1" t="n">
        <v>45076</v>
      </c>
      <c r="C183" s="1" t="n">
        <v>45890</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30611-2023</t>
        </is>
      </c>
      <c r="B184" s="1" t="n">
        <v>45112</v>
      </c>
      <c r="C184" s="1" t="n">
        <v>45890</v>
      </c>
      <c r="D184" t="inlineStr">
        <is>
          <t>DALARNAS LÄN</t>
        </is>
      </c>
      <c r="E184" t="inlineStr">
        <is>
          <t>LEKSAND</t>
        </is>
      </c>
      <c r="G184" t="n">
        <v>3.1</v>
      </c>
      <c r="H184" t="n">
        <v>0</v>
      </c>
      <c r="I184" t="n">
        <v>0</v>
      </c>
      <c r="J184" t="n">
        <v>0</v>
      </c>
      <c r="K184" t="n">
        <v>0</v>
      </c>
      <c r="L184" t="n">
        <v>0</v>
      </c>
      <c r="M184" t="n">
        <v>0</v>
      </c>
      <c r="N184" t="n">
        <v>0</v>
      </c>
      <c r="O184" t="n">
        <v>0</v>
      </c>
      <c r="P184" t="n">
        <v>0</v>
      </c>
      <c r="Q184" t="n">
        <v>0</v>
      </c>
      <c r="R184" s="2" t="inlineStr"/>
    </row>
    <row r="185" ht="15" customHeight="1">
      <c r="A185" t="inlineStr">
        <is>
          <t>A 17485-2025</t>
        </is>
      </c>
      <c r="B185" s="1" t="n">
        <v>45757.49976851852</v>
      </c>
      <c r="C185" s="1" t="n">
        <v>45890</v>
      </c>
      <c r="D185" t="inlineStr">
        <is>
          <t>DALARNAS LÄN</t>
        </is>
      </c>
      <c r="E185" t="inlineStr">
        <is>
          <t>LEKSAND</t>
        </is>
      </c>
      <c r="G185" t="n">
        <v>3.7</v>
      </c>
      <c r="H185" t="n">
        <v>0</v>
      </c>
      <c r="I185" t="n">
        <v>0</v>
      </c>
      <c r="J185" t="n">
        <v>0</v>
      </c>
      <c r="K185" t="n">
        <v>0</v>
      </c>
      <c r="L185" t="n">
        <v>0</v>
      </c>
      <c r="M185" t="n">
        <v>0</v>
      </c>
      <c r="N185" t="n">
        <v>0</v>
      </c>
      <c r="O185" t="n">
        <v>0</v>
      </c>
      <c r="P185" t="n">
        <v>0</v>
      </c>
      <c r="Q185" t="n">
        <v>0</v>
      </c>
      <c r="R185" s="2" t="inlineStr"/>
    </row>
    <row r="186" ht="15" customHeight="1">
      <c r="A186" t="inlineStr">
        <is>
          <t>A 18176-2024</t>
        </is>
      </c>
      <c r="B186" s="1" t="n">
        <v>45420.63901620371</v>
      </c>
      <c r="C186" s="1" t="n">
        <v>45890</v>
      </c>
      <c r="D186" t="inlineStr">
        <is>
          <t>DALARNAS LÄN</t>
        </is>
      </c>
      <c r="E186" t="inlineStr">
        <is>
          <t>LEKSAND</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33072-2021</t>
        </is>
      </c>
      <c r="B187" s="1" t="n">
        <v>44375</v>
      </c>
      <c r="C187" s="1" t="n">
        <v>45890</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412-2024</t>
        </is>
      </c>
      <c r="B188" s="1" t="n">
        <v>45296</v>
      </c>
      <c r="C188" s="1" t="n">
        <v>45890</v>
      </c>
      <c r="D188" t="inlineStr">
        <is>
          <t>DALARNAS LÄN</t>
        </is>
      </c>
      <c r="E188" t="inlineStr">
        <is>
          <t>LEKSAND</t>
        </is>
      </c>
      <c r="G188" t="n">
        <v>1.9</v>
      </c>
      <c r="H188" t="n">
        <v>0</v>
      </c>
      <c r="I188" t="n">
        <v>0</v>
      </c>
      <c r="J188" t="n">
        <v>0</v>
      </c>
      <c r="K188" t="n">
        <v>0</v>
      </c>
      <c r="L188" t="n">
        <v>0</v>
      </c>
      <c r="M188" t="n">
        <v>0</v>
      </c>
      <c r="N188" t="n">
        <v>0</v>
      </c>
      <c r="O188" t="n">
        <v>0</v>
      </c>
      <c r="P188" t="n">
        <v>0</v>
      </c>
      <c r="Q188" t="n">
        <v>0</v>
      </c>
      <c r="R188" s="2" t="inlineStr"/>
    </row>
    <row r="189" ht="15" customHeight="1">
      <c r="A189" t="inlineStr">
        <is>
          <t>A 25249-2024</t>
        </is>
      </c>
      <c r="B189" s="1" t="n">
        <v>45462.60643518518</v>
      </c>
      <c r="C189" s="1" t="n">
        <v>45890</v>
      </c>
      <c r="D189" t="inlineStr">
        <is>
          <t>DALARNAS LÄN</t>
        </is>
      </c>
      <c r="E189" t="inlineStr">
        <is>
          <t>LEKSAND</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12621-2025</t>
        </is>
      </c>
      <c r="B190" s="1" t="n">
        <v>45733.3575</v>
      </c>
      <c r="C190" s="1" t="n">
        <v>45890</v>
      </c>
      <c r="D190" t="inlineStr">
        <is>
          <t>DALARNAS LÄN</t>
        </is>
      </c>
      <c r="E190" t="inlineStr">
        <is>
          <t>LEKSAND</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56330-2022</t>
        </is>
      </c>
      <c r="B191" s="1" t="n">
        <v>44890.62630787037</v>
      </c>
      <c r="C191" s="1" t="n">
        <v>45890</v>
      </c>
      <c r="D191" t="inlineStr">
        <is>
          <t>DALARNAS LÄN</t>
        </is>
      </c>
      <c r="E191" t="inlineStr">
        <is>
          <t>LEKSAND</t>
        </is>
      </c>
      <c r="G191" t="n">
        <v>4.9</v>
      </c>
      <c r="H191" t="n">
        <v>0</v>
      </c>
      <c r="I191" t="n">
        <v>0</v>
      </c>
      <c r="J191" t="n">
        <v>0</v>
      </c>
      <c r="K191" t="n">
        <v>0</v>
      </c>
      <c r="L191" t="n">
        <v>0</v>
      </c>
      <c r="M191" t="n">
        <v>0</v>
      </c>
      <c r="N191" t="n">
        <v>0</v>
      </c>
      <c r="O191" t="n">
        <v>0</v>
      </c>
      <c r="P191" t="n">
        <v>0</v>
      </c>
      <c r="Q191" t="n">
        <v>0</v>
      </c>
      <c r="R191" s="2" t="inlineStr"/>
    </row>
    <row r="192" ht="15" customHeight="1">
      <c r="A192" t="inlineStr">
        <is>
          <t>A 325-2023</t>
        </is>
      </c>
      <c r="B192" s="1" t="n">
        <v>44929</v>
      </c>
      <c r="C192" s="1" t="n">
        <v>45890</v>
      </c>
      <c r="D192" t="inlineStr">
        <is>
          <t>DALARNAS LÄN</t>
        </is>
      </c>
      <c r="E192" t="inlineStr">
        <is>
          <t>LEKSAND</t>
        </is>
      </c>
      <c r="F192" t="inlineStr">
        <is>
          <t>Övriga Aktiebolag</t>
        </is>
      </c>
      <c r="G192" t="n">
        <v>7.1</v>
      </c>
      <c r="H192" t="n">
        <v>0</v>
      </c>
      <c r="I192" t="n">
        <v>0</v>
      </c>
      <c r="J192" t="n">
        <v>0</v>
      </c>
      <c r="K192" t="n">
        <v>0</v>
      </c>
      <c r="L192" t="n">
        <v>0</v>
      </c>
      <c r="M192" t="n">
        <v>0</v>
      </c>
      <c r="N192" t="n">
        <v>0</v>
      </c>
      <c r="O192" t="n">
        <v>0</v>
      </c>
      <c r="P192" t="n">
        <v>0</v>
      </c>
      <c r="Q192" t="n">
        <v>0</v>
      </c>
      <c r="R192" s="2" t="inlineStr"/>
    </row>
    <row r="193" ht="15" customHeight="1">
      <c r="A193" t="inlineStr">
        <is>
          <t>A 10299-2024</t>
        </is>
      </c>
      <c r="B193" s="1" t="n">
        <v>45365.50425925926</v>
      </c>
      <c r="C193" s="1" t="n">
        <v>45890</v>
      </c>
      <c r="D193" t="inlineStr">
        <is>
          <t>DALARNAS LÄN</t>
        </is>
      </c>
      <c r="E193" t="inlineStr">
        <is>
          <t>LEKSAND</t>
        </is>
      </c>
      <c r="G193" t="n">
        <v>3.6</v>
      </c>
      <c r="H193" t="n">
        <v>0</v>
      </c>
      <c r="I193" t="n">
        <v>0</v>
      </c>
      <c r="J193" t="n">
        <v>0</v>
      </c>
      <c r="K193" t="n">
        <v>0</v>
      </c>
      <c r="L193" t="n">
        <v>0</v>
      </c>
      <c r="M193" t="n">
        <v>0</v>
      </c>
      <c r="N193" t="n">
        <v>0</v>
      </c>
      <c r="O193" t="n">
        <v>0</v>
      </c>
      <c r="P193" t="n">
        <v>0</v>
      </c>
      <c r="Q193" t="n">
        <v>0</v>
      </c>
      <c r="R193" s="2" t="inlineStr"/>
    </row>
    <row r="194" ht="15" customHeight="1">
      <c r="A194" t="inlineStr">
        <is>
          <t>A 59236-2024</t>
        </is>
      </c>
      <c r="B194" s="1" t="n">
        <v>45637.58795138889</v>
      </c>
      <c r="C194" s="1" t="n">
        <v>45890</v>
      </c>
      <c r="D194" t="inlineStr">
        <is>
          <t>DALARNAS LÄN</t>
        </is>
      </c>
      <c r="E194" t="inlineStr">
        <is>
          <t>LEKSAND</t>
        </is>
      </c>
      <c r="G194" t="n">
        <v>1.2</v>
      </c>
      <c r="H194" t="n">
        <v>0</v>
      </c>
      <c r="I194" t="n">
        <v>0</v>
      </c>
      <c r="J194" t="n">
        <v>0</v>
      </c>
      <c r="K194" t="n">
        <v>0</v>
      </c>
      <c r="L194" t="n">
        <v>0</v>
      </c>
      <c r="M194" t="n">
        <v>0</v>
      </c>
      <c r="N194" t="n">
        <v>0</v>
      </c>
      <c r="O194" t="n">
        <v>0</v>
      </c>
      <c r="P194" t="n">
        <v>0</v>
      </c>
      <c r="Q194" t="n">
        <v>0</v>
      </c>
      <c r="R194" s="2" t="inlineStr"/>
    </row>
    <row r="195" ht="15" customHeight="1">
      <c r="A195" t="inlineStr">
        <is>
          <t>A 59673-2023</t>
        </is>
      </c>
      <c r="B195" s="1" t="n">
        <v>45255.44603009259</v>
      </c>
      <c r="C195" s="1" t="n">
        <v>45890</v>
      </c>
      <c r="D195" t="inlineStr">
        <is>
          <t>DALARNAS LÄN</t>
        </is>
      </c>
      <c r="E195" t="inlineStr">
        <is>
          <t>LEKSAND</t>
        </is>
      </c>
      <c r="G195" t="n">
        <v>12.2</v>
      </c>
      <c r="H195" t="n">
        <v>0</v>
      </c>
      <c r="I195" t="n">
        <v>0</v>
      </c>
      <c r="J195" t="n">
        <v>0</v>
      </c>
      <c r="K195" t="n">
        <v>0</v>
      </c>
      <c r="L195" t="n">
        <v>0</v>
      </c>
      <c r="M195" t="n">
        <v>0</v>
      </c>
      <c r="N195" t="n">
        <v>0</v>
      </c>
      <c r="O195" t="n">
        <v>0</v>
      </c>
      <c r="P195" t="n">
        <v>0</v>
      </c>
      <c r="Q195" t="n">
        <v>0</v>
      </c>
      <c r="R195" s="2" t="inlineStr"/>
    </row>
    <row r="196" ht="15" customHeight="1">
      <c r="A196" t="inlineStr">
        <is>
          <t>A 17726-2024</t>
        </is>
      </c>
      <c r="B196" s="1" t="n">
        <v>45418.55609953704</v>
      </c>
      <c r="C196" s="1" t="n">
        <v>45890</v>
      </c>
      <c r="D196" t="inlineStr">
        <is>
          <t>DALARNAS LÄN</t>
        </is>
      </c>
      <c r="E196" t="inlineStr">
        <is>
          <t>LEKSAND</t>
        </is>
      </c>
      <c r="G196" t="n">
        <v>5.2</v>
      </c>
      <c r="H196" t="n">
        <v>0</v>
      </c>
      <c r="I196" t="n">
        <v>0</v>
      </c>
      <c r="J196" t="n">
        <v>0</v>
      </c>
      <c r="K196" t="n">
        <v>0</v>
      </c>
      <c r="L196" t="n">
        <v>0</v>
      </c>
      <c r="M196" t="n">
        <v>0</v>
      </c>
      <c r="N196" t="n">
        <v>0</v>
      </c>
      <c r="O196" t="n">
        <v>0</v>
      </c>
      <c r="P196" t="n">
        <v>0</v>
      </c>
      <c r="Q196" t="n">
        <v>0</v>
      </c>
      <c r="R196" s="2" t="inlineStr"/>
    </row>
    <row r="197" ht="15" customHeight="1">
      <c r="A197" t="inlineStr">
        <is>
          <t>A 32-2024</t>
        </is>
      </c>
      <c r="B197" s="1" t="n">
        <v>45293</v>
      </c>
      <c r="C197" s="1" t="n">
        <v>45890</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1719-2024</t>
        </is>
      </c>
      <c r="B198" s="1" t="n">
        <v>45307</v>
      </c>
      <c r="C198" s="1" t="n">
        <v>45890</v>
      </c>
      <c r="D198" t="inlineStr">
        <is>
          <t>DALARNAS LÄN</t>
        </is>
      </c>
      <c r="E198" t="inlineStr">
        <is>
          <t>LEKSAND</t>
        </is>
      </c>
      <c r="G198" t="n">
        <v>2.8</v>
      </c>
      <c r="H198" t="n">
        <v>0</v>
      </c>
      <c r="I198" t="n">
        <v>0</v>
      </c>
      <c r="J198" t="n">
        <v>0</v>
      </c>
      <c r="K198" t="n">
        <v>0</v>
      </c>
      <c r="L198" t="n">
        <v>0</v>
      </c>
      <c r="M198" t="n">
        <v>0</v>
      </c>
      <c r="N198" t="n">
        <v>0</v>
      </c>
      <c r="O198" t="n">
        <v>0</v>
      </c>
      <c r="P198" t="n">
        <v>0</v>
      </c>
      <c r="Q198" t="n">
        <v>0</v>
      </c>
      <c r="R198" s="2" t="inlineStr"/>
    </row>
    <row r="199" ht="15" customHeight="1">
      <c r="A199" t="inlineStr">
        <is>
          <t>A 33463-2023</t>
        </is>
      </c>
      <c r="B199" s="1" t="n">
        <v>45131</v>
      </c>
      <c r="C199" s="1" t="n">
        <v>45890</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16135-2023</t>
        </is>
      </c>
      <c r="B200" s="1" t="n">
        <v>45027.63717592593</v>
      </c>
      <c r="C200" s="1" t="n">
        <v>45890</v>
      </c>
      <c r="D200" t="inlineStr">
        <is>
          <t>DALARNAS LÄN</t>
        </is>
      </c>
      <c r="E200" t="inlineStr">
        <is>
          <t>LEKSAND</t>
        </is>
      </c>
      <c r="G200" t="n">
        <v>4.9</v>
      </c>
      <c r="H200" t="n">
        <v>0</v>
      </c>
      <c r="I200" t="n">
        <v>0</v>
      </c>
      <c r="J200" t="n">
        <v>0</v>
      </c>
      <c r="K200" t="n">
        <v>0</v>
      </c>
      <c r="L200" t="n">
        <v>0</v>
      </c>
      <c r="M200" t="n">
        <v>0</v>
      </c>
      <c r="N200" t="n">
        <v>0</v>
      </c>
      <c r="O200" t="n">
        <v>0</v>
      </c>
      <c r="P200" t="n">
        <v>0</v>
      </c>
      <c r="Q200" t="n">
        <v>0</v>
      </c>
      <c r="R200" s="2" t="inlineStr"/>
    </row>
    <row r="201" ht="15" customHeight="1">
      <c r="A201" t="inlineStr">
        <is>
          <t>A 33317-2023</t>
        </is>
      </c>
      <c r="B201" s="1" t="n">
        <v>45127.84586805556</v>
      </c>
      <c r="C201" s="1" t="n">
        <v>45890</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33318-2023</t>
        </is>
      </c>
      <c r="B202" s="1" t="n">
        <v>45127</v>
      </c>
      <c r="C202" s="1" t="n">
        <v>45890</v>
      </c>
      <c r="D202" t="inlineStr">
        <is>
          <t>DALARNAS LÄN</t>
        </is>
      </c>
      <c r="E202" t="inlineStr">
        <is>
          <t>LEKSAND</t>
        </is>
      </c>
      <c r="G202" t="n">
        <v>5.5</v>
      </c>
      <c r="H202" t="n">
        <v>0</v>
      </c>
      <c r="I202" t="n">
        <v>0</v>
      </c>
      <c r="J202" t="n">
        <v>0</v>
      </c>
      <c r="K202" t="n">
        <v>0</v>
      </c>
      <c r="L202" t="n">
        <v>0</v>
      </c>
      <c r="M202" t="n">
        <v>0</v>
      </c>
      <c r="N202" t="n">
        <v>0</v>
      </c>
      <c r="O202" t="n">
        <v>0</v>
      </c>
      <c r="P202" t="n">
        <v>0</v>
      </c>
      <c r="Q202" t="n">
        <v>0</v>
      </c>
      <c r="R202" s="2" t="inlineStr"/>
    </row>
    <row r="203" ht="15" customHeight="1">
      <c r="A203" t="inlineStr">
        <is>
          <t>A 61055-2023</t>
        </is>
      </c>
      <c r="B203" s="1" t="n">
        <v>45261</v>
      </c>
      <c r="C203" s="1" t="n">
        <v>45890</v>
      </c>
      <c r="D203" t="inlineStr">
        <is>
          <t>DALARNAS LÄN</t>
        </is>
      </c>
      <c r="E203" t="inlineStr">
        <is>
          <t>LEKSAND</t>
        </is>
      </c>
      <c r="G203" t="n">
        <v>0.3</v>
      </c>
      <c r="H203" t="n">
        <v>0</v>
      </c>
      <c r="I203" t="n">
        <v>0</v>
      </c>
      <c r="J203" t="n">
        <v>0</v>
      </c>
      <c r="K203" t="n">
        <v>0</v>
      </c>
      <c r="L203" t="n">
        <v>0</v>
      </c>
      <c r="M203" t="n">
        <v>0</v>
      </c>
      <c r="N203" t="n">
        <v>0</v>
      </c>
      <c r="O203" t="n">
        <v>0</v>
      </c>
      <c r="P203" t="n">
        <v>0</v>
      </c>
      <c r="Q203" t="n">
        <v>0</v>
      </c>
      <c r="R203" s="2" t="inlineStr"/>
    </row>
    <row r="204" ht="15" customHeight="1">
      <c r="A204" t="inlineStr">
        <is>
          <t>A 55516-2024</t>
        </is>
      </c>
      <c r="B204" s="1" t="n">
        <v>45621</v>
      </c>
      <c r="C204" s="1" t="n">
        <v>45890</v>
      </c>
      <c r="D204" t="inlineStr">
        <is>
          <t>DALARNAS LÄN</t>
        </is>
      </c>
      <c r="E204" t="inlineStr">
        <is>
          <t>LEKSAND</t>
        </is>
      </c>
      <c r="G204" t="n">
        <v>1.4</v>
      </c>
      <c r="H204" t="n">
        <v>0</v>
      </c>
      <c r="I204" t="n">
        <v>0</v>
      </c>
      <c r="J204" t="n">
        <v>0</v>
      </c>
      <c r="K204" t="n">
        <v>0</v>
      </c>
      <c r="L204" t="n">
        <v>0</v>
      </c>
      <c r="M204" t="n">
        <v>0</v>
      </c>
      <c r="N204" t="n">
        <v>0</v>
      </c>
      <c r="O204" t="n">
        <v>0</v>
      </c>
      <c r="P204" t="n">
        <v>0</v>
      </c>
      <c r="Q204" t="n">
        <v>0</v>
      </c>
      <c r="R204" s="2" t="inlineStr"/>
    </row>
    <row r="205" ht="15" customHeight="1">
      <c r="A205" t="inlineStr">
        <is>
          <t>A 12992-2022</t>
        </is>
      </c>
      <c r="B205" s="1" t="n">
        <v>44643</v>
      </c>
      <c r="C205" s="1" t="n">
        <v>45890</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34038-2024</t>
        </is>
      </c>
      <c r="B206" s="1" t="n">
        <v>45523.59578703704</v>
      </c>
      <c r="C206" s="1" t="n">
        <v>45890</v>
      </c>
      <c r="D206" t="inlineStr">
        <is>
          <t>DALARNAS LÄN</t>
        </is>
      </c>
      <c r="E206" t="inlineStr">
        <is>
          <t>LEKSAND</t>
        </is>
      </c>
      <c r="G206" t="n">
        <v>0.3</v>
      </c>
      <c r="H206" t="n">
        <v>0</v>
      </c>
      <c r="I206" t="n">
        <v>0</v>
      </c>
      <c r="J206" t="n">
        <v>0</v>
      </c>
      <c r="K206" t="n">
        <v>0</v>
      </c>
      <c r="L206" t="n">
        <v>0</v>
      </c>
      <c r="M206" t="n">
        <v>0</v>
      </c>
      <c r="N206" t="n">
        <v>0</v>
      </c>
      <c r="O206" t="n">
        <v>0</v>
      </c>
      <c r="P206" t="n">
        <v>0</v>
      </c>
      <c r="Q206" t="n">
        <v>0</v>
      </c>
      <c r="R206" s="2" t="inlineStr"/>
    </row>
    <row r="207" ht="15" customHeight="1">
      <c r="A207" t="inlineStr">
        <is>
          <t>A 34041-2024</t>
        </is>
      </c>
      <c r="B207" s="1" t="n">
        <v>45523.59895833334</v>
      </c>
      <c r="C207" s="1" t="n">
        <v>45890</v>
      </c>
      <c r="D207" t="inlineStr">
        <is>
          <t>DALARNAS LÄN</t>
        </is>
      </c>
      <c r="E207" t="inlineStr">
        <is>
          <t>LEKSAND</t>
        </is>
      </c>
      <c r="G207" t="n">
        <v>4</v>
      </c>
      <c r="H207" t="n">
        <v>0</v>
      </c>
      <c r="I207" t="n">
        <v>0</v>
      </c>
      <c r="J207" t="n">
        <v>0</v>
      </c>
      <c r="K207" t="n">
        <v>0</v>
      </c>
      <c r="L207" t="n">
        <v>0</v>
      </c>
      <c r="M207" t="n">
        <v>0</v>
      </c>
      <c r="N207" t="n">
        <v>0</v>
      </c>
      <c r="O207" t="n">
        <v>0</v>
      </c>
      <c r="P207" t="n">
        <v>0</v>
      </c>
      <c r="Q207" t="n">
        <v>0</v>
      </c>
      <c r="R207" s="2" t="inlineStr"/>
    </row>
    <row r="208" ht="15" customHeight="1">
      <c r="A208" t="inlineStr">
        <is>
          <t>A 23896-2024</t>
        </is>
      </c>
      <c r="B208" s="1" t="n">
        <v>45455.6758449074</v>
      </c>
      <c r="C208" s="1" t="n">
        <v>45890</v>
      </c>
      <c r="D208" t="inlineStr">
        <is>
          <t>DALARNAS LÄN</t>
        </is>
      </c>
      <c r="E208" t="inlineStr">
        <is>
          <t>LEKSAND</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41093-2020</t>
        </is>
      </c>
      <c r="B209" s="1" t="n">
        <v>44071</v>
      </c>
      <c r="C209" s="1" t="n">
        <v>45890</v>
      </c>
      <c r="D209" t="inlineStr">
        <is>
          <t>DALARNAS LÄN</t>
        </is>
      </c>
      <c r="E209" t="inlineStr">
        <is>
          <t>LEKSAND</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24142-2021</t>
        </is>
      </c>
      <c r="B210" s="1" t="n">
        <v>44336</v>
      </c>
      <c r="C210" s="1" t="n">
        <v>45890</v>
      </c>
      <c r="D210" t="inlineStr">
        <is>
          <t>DALARNAS LÄN</t>
        </is>
      </c>
      <c r="E210" t="inlineStr">
        <is>
          <t>LEKSAND</t>
        </is>
      </c>
      <c r="F210" t="inlineStr">
        <is>
          <t>Bergvik skog väst AB</t>
        </is>
      </c>
      <c r="G210" t="n">
        <v>18.9</v>
      </c>
      <c r="H210" t="n">
        <v>0</v>
      </c>
      <c r="I210" t="n">
        <v>0</v>
      </c>
      <c r="J210" t="n">
        <v>0</v>
      </c>
      <c r="K210" t="n">
        <v>0</v>
      </c>
      <c r="L210" t="n">
        <v>0</v>
      </c>
      <c r="M210" t="n">
        <v>0</v>
      </c>
      <c r="N210" t="n">
        <v>0</v>
      </c>
      <c r="O210" t="n">
        <v>0</v>
      </c>
      <c r="P210" t="n">
        <v>0</v>
      </c>
      <c r="Q210" t="n">
        <v>0</v>
      </c>
      <c r="R210" s="2" t="inlineStr"/>
    </row>
    <row r="211" ht="15" customHeight="1">
      <c r="A211" t="inlineStr">
        <is>
          <t>A 14661-2024</t>
        </is>
      </c>
      <c r="B211" s="1" t="n">
        <v>45397.41141203704</v>
      </c>
      <c r="C211" s="1" t="n">
        <v>45890</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14865-2025</t>
        </is>
      </c>
      <c r="B212" s="1" t="n">
        <v>45743.43929398148</v>
      </c>
      <c r="C212" s="1" t="n">
        <v>45890</v>
      </c>
      <c r="D212" t="inlineStr">
        <is>
          <t>DALARNAS LÄN</t>
        </is>
      </c>
      <c r="E212" t="inlineStr">
        <is>
          <t>LEKSAND</t>
        </is>
      </c>
      <c r="G212" t="n">
        <v>0.9</v>
      </c>
      <c r="H212" t="n">
        <v>0</v>
      </c>
      <c r="I212" t="n">
        <v>0</v>
      </c>
      <c r="J212" t="n">
        <v>0</v>
      </c>
      <c r="K212" t="n">
        <v>0</v>
      </c>
      <c r="L212" t="n">
        <v>0</v>
      </c>
      <c r="M212" t="n">
        <v>0</v>
      </c>
      <c r="N212" t="n">
        <v>0</v>
      </c>
      <c r="O212" t="n">
        <v>0</v>
      </c>
      <c r="P212" t="n">
        <v>0</v>
      </c>
      <c r="Q212" t="n">
        <v>0</v>
      </c>
      <c r="R212" s="2" t="inlineStr"/>
    </row>
    <row r="213" ht="15" customHeight="1">
      <c r="A213" t="inlineStr">
        <is>
          <t>A 28032-2024</t>
        </is>
      </c>
      <c r="B213" s="1" t="n">
        <v>45476.49346064815</v>
      </c>
      <c r="C213" s="1" t="n">
        <v>45890</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59859-2023</t>
        </is>
      </c>
      <c r="B214" s="1" t="n">
        <v>45257</v>
      </c>
      <c r="C214" s="1" t="n">
        <v>45890</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39136-2023</t>
        </is>
      </c>
      <c r="B215" s="1" t="n">
        <v>45165</v>
      </c>
      <c r="C215" s="1" t="n">
        <v>45890</v>
      </c>
      <c r="D215" t="inlineStr">
        <is>
          <t>DALARNAS LÄN</t>
        </is>
      </c>
      <c r="E215" t="inlineStr">
        <is>
          <t>LEKSAND</t>
        </is>
      </c>
      <c r="G215" t="n">
        <v>0.3</v>
      </c>
      <c r="H215" t="n">
        <v>0</v>
      </c>
      <c r="I215" t="n">
        <v>0</v>
      </c>
      <c r="J215" t="n">
        <v>0</v>
      </c>
      <c r="K215" t="n">
        <v>0</v>
      </c>
      <c r="L215" t="n">
        <v>0</v>
      </c>
      <c r="M215" t="n">
        <v>0</v>
      </c>
      <c r="N215" t="n">
        <v>0</v>
      </c>
      <c r="O215" t="n">
        <v>0</v>
      </c>
      <c r="P215" t="n">
        <v>0</v>
      </c>
      <c r="Q215" t="n">
        <v>0</v>
      </c>
      <c r="R215" s="2" t="inlineStr"/>
    </row>
    <row r="216" ht="15" customHeight="1">
      <c r="A216" t="inlineStr">
        <is>
          <t>A 53193-2024</t>
        </is>
      </c>
      <c r="B216" s="1" t="n">
        <v>45610</v>
      </c>
      <c r="C216" s="1" t="n">
        <v>45890</v>
      </c>
      <c r="D216" t="inlineStr">
        <is>
          <t>DALARNAS LÄN</t>
        </is>
      </c>
      <c r="E216" t="inlineStr">
        <is>
          <t>LEKSAND</t>
        </is>
      </c>
      <c r="G216" t="n">
        <v>1.4</v>
      </c>
      <c r="H216" t="n">
        <v>0</v>
      </c>
      <c r="I216" t="n">
        <v>0</v>
      </c>
      <c r="J216" t="n">
        <v>0</v>
      </c>
      <c r="K216" t="n">
        <v>0</v>
      </c>
      <c r="L216" t="n">
        <v>0</v>
      </c>
      <c r="M216" t="n">
        <v>0</v>
      </c>
      <c r="N216" t="n">
        <v>0</v>
      </c>
      <c r="O216" t="n">
        <v>0</v>
      </c>
      <c r="P216" t="n">
        <v>0</v>
      </c>
      <c r="Q216" t="n">
        <v>0</v>
      </c>
      <c r="R216" s="2" t="inlineStr"/>
    </row>
    <row r="217" ht="15" customHeight="1">
      <c r="A217" t="inlineStr">
        <is>
          <t>A 18837-2023</t>
        </is>
      </c>
      <c r="B217" s="1" t="n">
        <v>45044.42940972222</v>
      </c>
      <c r="C217" s="1" t="n">
        <v>45890</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8211-2023</t>
        </is>
      </c>
      <c r="B218" s="1" t="n">
        <v>44974</v>
      </c>
      <c r="C218" s="1" t="n">
        <v>45890</v>
      </c>
      <c r="D218" t="inlineStr">
        <is>
          <t>DALARNAS LÄN</t>
        </is>
      </c>
      <c r="E218" t="inlineStr">
        <is>
          <t>LEKSAND</t>
        </is>
      </c>
      <c r="G218" t="n">
        <v>5.2</v>
      </c>
      <c r="H218" t="n">
        <v>0</v>
      </c>
      <c r="I218" t="n">
        <v>0</v>
      </c>
      <c r="J218" t="n">
        <v>0</v>
      </c>
      <c r="K218" t="n">
        <v>0</v>
      </c>
      <c r="L218" t="n">
        <v>0</v>
      </c>
      <c r="M218" t="n">
        <v>0</v>
      </c>
      <c r="N218" t="n">
        <v>0</v>
      </c>
      <c r="O218" t="n">
        <v>0</v>
      </c>
      <c r="P218" t="n">
        <v>0</v>
      </c>
      <c r="Q218" t="n">
        <v>0</v>
      </c>
      <c r="R218" s="2" t="inlineStr"/>
    </row>
    <row r="219" ht="15" customHeight="1">
      <c r="A219" t="inlineStr">
        <is>
          <t>A 61288-2022</t>
        </is>
      </c>
      <c r="B219" s="1" t="n">
        <v>44915</v>
      </c>
      <c r="C219" s="1" t="n">
        <v>45890</v>
      </c>
      <c r="D219" t="inlineStr">
        <is>
          <t>DALARNAS LÄN</t>
        </is>
      </c>
      <c r="E219" t="inlineStr">
        <is>
          <t>LEKSAND</t>
        </is>
      </c>
      <c r="G219" t="n">
        <v>1.7</v>
      </c>
      <c r="H219" t="n">
        <v>0</v>
      </c>
      <c r="I219" t="n">
        <v>0</v>
      </c>
      <c r="J219" t="n">
        <v>0</v>
      </c>
      <c r="K219" t="n">
        <v>0</v>
      </c>
      <c r="L219" t="n">
        <v>0</v>
      </c>
      <c r="M219" t="n">
        <v>0</v>
      </c>
      <c r="N219" t="n">
        <v>0</v>
      </c>
      <c r="O219" t="n">
        <v>0</v>
      </c>
      <c r="P219" t="n">
        <v>0</v>
      </c>
      <c r="Q219" t="n">
        <v>0</v>
      </c>
      <c r="R219" s="2" t="inlineStr"/>
    </row>
    <row r="220" ht="15" customHeight="1">
      <c r="A220" t="inlineStr">
        <is>
          <t>A 14615-2024</t>
        </is>
      </c>
      <c r="B220" s="1" t="n">
        <v>45397.26047453703</v>
      </c>
      <c r="C220" s="1" t="n">
        <v>45890</v>
      </c>
      <c r="D220" t="inlineStr">
        <is>
          <t>DALARNAS LÄN</t>
        </is>
      </c>
      <c r="E220" t="inlineStr">
        <is>
          <t>LEKSAND</t>
        </is>
      </c>
      <c r="G220" t="n">
        <v>0.4</v>
      </c>
      <c r="H220" t="n">
        <v>0</v>
      </c>
      <c r="I220" t="n">
        <v>0</v>
      </c>
      <c r="J220" t="n">
        <v>0</v>
      </c>
      <c r="K220" t="n">
        <v>0</v>
      </c>
      <c r="L220" t="n">
        <v>0</v>
      </c>
      <c r="M220" t="n">
        <v>0</v>
      </c>
      <c r="N220" t="n">
        <v>0</v>
      </c>
      <c r="O220" t="n">
        <v>0</v>
      </c>
      <c r="P220" t="n">
        <v>0</v>
      </c>
      <c r="Q220" t="n">
        <v>0</v>
      </c>
      <c r="R220" s="2" t="inlineStr"/>
    </row>
    <row r="221" ht="15" customHeight="1">
      <c r="A221" t="inlineStr">
        <is>
          <t>A 23663-2024</t>
        </is>
      </c>
      <c r="B221" s="1" t="n">
        <v>45454.57049768518</v>
      </c>
      <c r="C221" s="1" t="n">
        <v>45890</v>
      </c>
      <c r="D221" t="inlineStr">
        <is>
          <t>DALARNAS LÄN</t>
        </is>
      </c>
      <c r="E221" t="inlineStr">
        <is>
          <t>LEKSAND</t>
        </is>
      </c>
      <c r="G221" t="n">
        <v>2.5</v>
      </c>
      <c r="H221" t="n">
        <v>0</v>
      </c>
      <c r="I221" t="n">
        <v>0</v>
      </c>
      <c r="J221" t="n">
        <v>0</v>
      </c>
      <c r="K221" t="n">
        <v>0</v>
      </c>
      <c r="L221" t="n">
        <v>0</v>
      </c>
      <c r="M221" t="n">
        <v>0</v>
      </c>
      <c r="N221" t="n">
        <v>0</v>
      </c>
      <c r="O221" t="n">
        <v>0</v>
      </c>
      <c r="P221" t="n">
        <v>0</v>
      </c>
      <c r="Q221" t="n">
        <v>0</v>
      </c>
      <c r="R221" s="2" t="inlineStr"/>
    </row>
    <row r="222" ht="15" customHeight="1">
      <c r="A222" t="inlineStr">
        <is>
          <t>A 1215-2024</t>
        </is>
      </c>
      <c r="B222" s="1" t="n">
        <v>45302</v>
      </c>
      <c r="C222" s="1" t="n">
        <v>45890</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61502-2023</t>
        </is>
      </c>
      <c r="B223" s="1" t="n">
        <v>45264</v>
      </c>
      <c r="C223" s="1" t="n">
        <v>45890</v>
      </c>
      <c r="D223" t="inlineStr">
        <is>
          <t>DALARNAS LÄN</t>
        </is>
      </c>
      <c r="E223" t="inlineStr">
        <is>
          <t>LEKSAND</t>
        </is>
      </c>
      <c r="G223" t="n">
        <v>5.2</v>
      </c>
      <c r="H223" t="n">
        <v>0</v>
      </c>
      <c r="I223" t="n">
        <v>0</v>
      </c>
      <c r="J223" t="n">
        <v>0</v>
      </c>
      <c r="K223" t="n">
        <v>0</v>
      </c>
      <c r="L223" t="n">
        <v>0</v>
      </c>
      <c r="M223" t="n">
        <v>0</v>
      </c>
      <c r="N223" t="n">
        <v>0</v>
      </c>
      <c r="O223" t="n">
        <v>0</v>
      </c>
      <c r="P223" t="n">
        <v>0</v>
      </c>
      <c r="Q223" t="n">
        <v>0</v>
      </c>
      <c r="R223" s="2" t="inlineStr"/>
    </row>
    <row r="224" ht="15" customHeight="1">
      <c r="A224" t="inlineStr">
        <is>
          <t>A 60040-2023</t>
        </is>
      </c>
      <c r="B224" s="1" t="n">
        <v>45256</v>
      </c>
      <c r="C224" s="1" t="n">
        <v>45890</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7897-2025</t>
        </is>
      </c>
      <c r="B225" s="1" t="n">
        <v>45707.30969907407</v>
      </c>
      <c r="C225" s="1" t="n">
        <v>45890</v>
      </c>
      <c r="D225" t="inlineStr">
        <is>
          <t>DALARNAS LÄN</t>
        </is>
      </c>
      <c r="E225" t="inlineStr">
        <is>
          <t>LEKSAND</t>
        </is>
      </c>
      <c r="G225" t="n">
        <v>3.1</v>
      </c>
      <c r="H225" t="n">
        <v>0</v>
      </c>
      <c r="I225" t="n">
        <v>0</v>
      </c>
      <c r="J225" t="n">
        <v>0</v>
      </c>
      <c r="K225" t="n">
        <v>0</v>
      </c>
      <c r="L225" t="n">
        <v>0</v>
      </c>
      <c r="M225" t="n">
        <v>0</v>
      </c>
      <c r="N225" t="n">
        <v>0</v>
      </c>
      <c r="O225" t="n">
        <v>0</v>
      </c>
      <c r="P225" t="n">
        <v>0</v>
      </c>
      <c r="Q225" t="n">
        <v>0</v>
      </c>
      <c r="R225" s="2" t="inlineStr"/>
    </row>
    <row r="226" ht="15" customHeight="1">
      <c r="A226" t="inlineStr">
        <is>
          <t>A 52059-2024</t>
        </is>
      </c>
      <c r="B226" s="1" t="n">
        <v>45608.35609953704</v>
      </c>
      <c r="C226" s="1" t="n">
        <v>45890</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21839-2022</t>
        </is>
      </c>
      <c r="B227" s="1" t="n">
        <v>44711</v>
      </c>
      <c r="C227" s="1" t="n">
        <v>45890</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19622-2024</t>
        </is>
      </c>
      <c r="B228" s="1" t="n">
        <v>45432.33592592592</v>
      </c>
      <c r="C228" s="1" t="n">
        <v>45890</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40230-2023</t>
        </is>
      </c>
      <c r="B229" s="1" t="n">
        <v>45169.46887731482</v>
      </c>
      <c r="C229" s="1" t="n">
        <v>45890</v>
      </c>
      <c r="D229" t="inlineStr">
        <is>
          <t>DALARNAS LÄN</t>
        </is>
      </c>
      <c r="E229" t="inlineStr">
        <is>
          <t>LEKSAND</t>
        </is>
      </c>
      <c r="G229" t="n">
        <v>0.5</v>
      </c>
      <c r="H229" t="n">
        <v>0</v>
      </c>
      <c r="I229" t="n">
        <v>0</v>
      </c>
      <c r="J229" t="n">
        <v>0</v>
      </c>
      <c r="K229" t="n">
        <v>0</v>
      </c>
      <c r="L229" t="n">
        <v>0</v>
      </c>
      <c r="M229" t="n">
        <v>0</v>
      </c>
      <c r="N229" t="n">
        <v>0</v>
      </c>
      <c r="O229" t="n">
        <v>0</v>
      </c>
      <c r="P229" t="n">
        <v>0</v>
      </c>
      <c r="Q229" t="n">
        <v>0</v>
      </c>
      <c r="R229" s="2" t="inlineStr"/>
    </row>
    <row r="230" ht="15" customHeight="1">
      <c r="A230" t="inlineStr">
        <is>
          <t>A 50447-2023</t>
        </is>
      </c>
      <c r="B230" s="1" t="n">
        <v>45216.72185185185</v>
      </c>
      <c r="C230" s="1" t="n">
        <v>45890</v>
      </c>
      <c r="D230" t="inlineStr">
        <is>
          <t>DALARNAS LÄN</t>
        </is>
      </c>
      <c r="E230" t="inlineStr">
        <is>
          <t>LEKSAND</t>
        </is>
      </c>
      <c r="G230" t="n">
        <v>1.1</v>
      </c>
      <c r="H230" t="n">
        <v>0</v>
      </c>
      <c r="I230" t="n">
        <v>0</v>
      </c>
      <c r="J230" t="n">
        <v>0</v>
      </c>
      <c r="K230" t="n">
        <v>0</v>
      </c>
      <c r="L230" t="n">
        <v>0</v>
      </c>
      <c r="M230" t="n">
        <v>0</v>
      </c>
      <c r="N230" t="n">
        <v>0</v>
      </c>
      <c r="O230" t="n">
        <v>0</v>
      </c>
      <c r="P230" t="n">
        <v>0</v>
      </c>
      <c r="Q230" t="n">
        <v>0</v>
      </c>
      <c r="R230" s="2" t="inlineStr"/>
    </row>
    <row r="231" ht="15" customHeight="1">
      <c r="A231" t="inlineStr">
        <is>
          <t>A 46876-2023</t>
        </is>
      </c>
      <c r="B231" s="1" t="n">
        <v>45200</v>
      </c>
      <c r="C231" s="1" t="n">
        <v>45890</v>
      </c>
      <c r="D231" t="inlineStr">
        <is>
          <t>DALARNAS LÄN</t>
        </is>
      </c>
      <c r="E231" t="inlineStr">
        <is>
          <t>LEKSAND</t>
        </is>
      </c>
      <c r="G231" t="n">
        <v>2.4</v>
      </c>
      <c r="H231" t="n">
        <v>0</v>
      </c>
      <c r="I231" t="n">
        <v>0</v>
      </c>
      <c r="J231" t="n">
        <v>0</v>
      </c>
      <c r="K231" t="n">
        <v>0</v>
      </c>
      <c r="L231" t="n">
        <v>0</v>
      </c>
      <c r="M231" t="n">
        <v>0</v>
      </c>
      <c r="N231" t="n">
        <v>0</v>
      </c>
      <c r="O231" t="n">
        <v>0</v>
      </c>
      <c r="P231" t="n">
        <v>0</v>
      </c>
      <c r="Q231" t="n">
        <v>0</v>
      </c>
      <c r="R231" s="2" t="inlineStr"/>
    </row>
    <row r="232" ht="15" customHeight="1">
      <c r="A232" t="inlineStr">
        <is>
          <t>A 55268-2024</t>
        </is>
      </c>
      <c r="B232" s="1" t="n">
        <v>45621.61266203703</v>
      </c>
      <c r="C232" s="1" t="n">
        <v>45890</v>
      </c>
      <c r="D232" t="inlineStr">
        <is>
          <t>DALARNAS LÄN</t>
        </is>
      </c>
      <c r="E232" t="inlineStr">
        <is>
          <t>LEKSAND</t>
        </is>
      </c>
      <c r="G232" t="n">
        <v>4.2</v>
      </c>
      <c r="H232" t="n">
        <v>0</v>
      </c>
      <c r="I232" t="n">
        <v>0</v>
      </c>
      <c r="J232" t="n">
        <v>0</v>
      </c>
      <c r="K232" t="n">
        <v>0</v>
      </c>
      <c r="L232" t="n">
        <v>0</v>
      </c>
      <c r="M232" t="n">
        <v>0</v>
      </c>
      <c r="N232" t="n">
        <v>0</v>
      </c>
      <c r="O232" t="n">
        <v>0</v>
      </c>
      <c r="P232" t="n">
        <v>0</v>
      </c>
      <c r="Q232" t="n">
        <v>0</v>
      </c>
      <c r="R232" s="2" t="inlineStr"/>
    </row>
    <row r="233" ht="15" customHeight="1">
      <c r="A233" t="inlineStr">
        <is>
          <t>A 8743-2023</t>
        </is>
      </c>
      <c r="B233" s="1" t="n">
        <v>44978</v>
      </c>
      <c r="C233" s="1" t="n">
        <v>45890</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15020-2023</t>
        </is>
      </c>
      <c r="B234" s="1" t="n">
        <v>45015.6196412037</v>
      </c>
      <c r="C234" s="1" t="n">
        <v>45890</v>
      </c>
      <c r="D234" t="inlineStr">
        <is>
          <t>DALARNAS LÄN</t>
        </is>
      </c>
      <c r="E234" t="inlineStr">
        <is>
          <t>LEKSAND</t>
        </is>
      </c>
      <c r="G234" t="n">
        <v>2.6</v>
      </c>
      <c r="H234" t="n">
        <v>0</v>
      </c>
      <c r="I234" t="n">
        <v>0</v>
      </c>
      <c r="J234" t="n">
        <v>0</v>
      </c>
      <c r="K234" t="n">
        <v>0</v>
      </c>
      <c r="L234" t="n">
        <v>0</v>
      </c>
      <c r="M234" t="n">
        <v>0</v>
      </c>
      <c r="N234" t="n">
        <v>0</v>
      </c>
      <c r="O234" t="n">
        <v>0</v>
      </c>
      <c r="P234" t="n">
        <v>0</v>
      </c>
      <c r="Q234" t="n">
        <v>0</v>
      </c>
      <c r="R234" s="2" t="inlineStr"/>
    </row>
    <row r="235" ht="15" customHeight="1">
      <c r="A235" t="inlineStr">
        <is>
          <t>A 11712-2025</t>
        </is>
      </c>
      <c r="B235" s="1" t="n">
        <v>45727</v>
      </c>
      <c r="C235" s="1" t="n">
        <v>45890</v>
      </c>
      <c r="D235" t="inlineStr">
        <is>
          <t>DALARNAS LÄN</t>
        </is>
      </c>
      <c r="E235" t="inlineStr">
        <is>
          <t>LEKSAND</t>
        </is>
      </c>
      <c r="G235" t="n">
        <v>6</v>
      </c>
      <c r="H235" t="n">
        <v>0</v>
      </c>
      <c r="I235" t="n">
        <v>0</v>
      </c>
      <c r="J235" t="n">
        <v>0</v>
      </c>
      <c r="K235" t="n">
        <v>0</v>
      </c>
      <c r="L235" t="n">
        <v>0</v>
      </c>
      <c r="M235" t="n">
        <v>0</v>
      </c>
      <c r="N235" t="n">
        <v>0</v>
      </c>
      <c r="O235" t="n">
        <v>0</v>
      </c>
      <c r="P235" t="n">
        <v>0</v>
      </c>
      <c r="Q235" t="n">
        <v>0</v>
      </c>
      <c r="R235" s="2" t="inlineStr"/>
    </row>
    <row r="236" ht="15" customHeight="1">
      <c r="A236" t="inlineStr">
        <is>
          <t>A 55029-2024</t>
        </is>
      </c>
      <c r="B236" s="1" t="n">
        <v>45621.38016203704</v>
      </c>
      <c r="C236" s="1" t="n">
        <v>45890</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47640-2024</t>
        </is>
      </c>
      <c r="B237" s="1" t="n">
        <v>45588.36508101852</v>
      </c>
      <c r="C237" s="1" t="n">
        <v>45890</v>
      </c>
      <c r="D237" t="inlineStr">
        <is>
          <t>DALARNAS LÄN</t>
        </is>
      </c>
      <c r="E237" t="inlineStr">
        <is>
          <t>LEKSAND</t>
        </is>
      </c>
      <c r="G237" t="n">
        <v>9.1</v>
      </c>
      <c r="H237" t="n">
        <v>0</v>
      </c>
      <c r="I237" t="n">
        <v>0</v>
      </c>
      <c r="J237" t="n">
        <v>0</v>
      </c>
      <c r="K237" t="n">
        <v>0</v>
      </c>
      <c r="L237" t="n">
        <v>0</v>
      </c>
      <c r="M237" t="n">
        <v>0</v>
      </c>
      <c r="N237" t="n">
        <v>0</v>
      </c>
      <c r="O237" t="n">
        <v>0</v>
      </c>
      <c r="P237" t="n">
        <v>0</v>
      </c>
      <c r="Q237" t="n">
        <v>0</v>
      </c>
      <c r="R237" s="2" t="inlineStr"/>
    </row>
    <row r="238" ht="15" customHeight="1">
      <c r="A238" t="inlineStr">
        <is>
          <t>A 55512-2024</t>
        </is>
      </c>
      <c r="B238" s="1" t="n">
        <v>45621</v>
      </c>
      <c r="C238" s="1" t="n">
        <v>45890</v>
      </c>
      <c r="D238" t="inlineStr">
        <is>
          <t>DALARNAS LÄN</t>
        </is>
      </c>
      <c r="E238" t="inlineStr">
        <is>
          <t>LEKSAND</t>
        </is>
      </c>
      <c r="G238" t="n">
        <v>1.5</v>
      </c>
      <c r="H238" t="n">
        <v>0</v>
      </c>
      <c r="I238" t="n">
        <v>0</v>
      </c>
      <c r="J238" t="n">
        <v>0</v>
      </c>
      <c r="K238" t="n">
        <v>0</v>
      </c>
      <c r="L238" t="n">
        <v>0</v>
      </c>
      <c r="M238" t="n">
        <v>0</v>
      </c>
      <c r="N238" t="n">
        <v>0</v>
      </c>
      <c r="O238" t="n">
        <v>0</v>
      </c>
      <c r="P238" t="n">
        <v>0</v>
      </c>
      <c r="Q238" t="n">
        <v>0</v>
      </c>
      <c r="R238" s="2" t="inlineStr"/>
    </row>
    <row r="239" ht="15" customHeight="1">
      <c r="A239" t="inlineStr">
        <is>
          <t>A 6030-2025</t>
        </is>
      </c>
      <c r="B239" s="1" t="n">
        <v>45695</v>
      </c>
      <c r="C239" s="1" t="n">
        <v>45890</v>
      </c>
      <c r="D239" t="inlineStr">
        <is>
          <t>DALARNAS LÄN</t>
        </is>
      </c>
      <c r="E239" t="inlineStr">
        <is>
          <t>LEKSAND</t>
        </is>
      </c>
      <c r="G239" t="n">
        <v>1.4</v>
      </c>
      <c r="H239" t="n">
        <v>0</v>
      </c>
      <c r="I239" t="n">
        <v>0</v>
      </c>
      <c r="J239" t="n">
        <v>0</v>
      </c>
      <c r="K239" t="n">
        <v>0</v>
      </c>
      <c r="L239" t="n">
        <v>0</v>
      </c>
      <c r="M239" t="n">
        <v>0</v>
      </c>
      <c r="N239" t="n">
        <v>0</v>
      </c>
      <c r="O239" t="n">
        <v>0</v>
      </c>
      <c r="P239" t="n">
        <v>0</v>
      </c>
      <c r="Q239" t="n">
        <v>0</v>
      </c>
      <c r="R239" s="2" t="inlineStr"/>
    </row>
    <row r="240" ht="15" customHeight="1">
      <c r="A240" t="inlineStr">
        <is>
          <t>A 42230-2023</t>
        </is>
      </c>
      <c r="B240" s="1" t="n">
        <v>45180</v>
      </c>
      <c r="C240" s="1" t="n">
        <v>45890</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43470-2024</t>
        </is>
      </c>
      <c r="B241" s="1" t="n">
        <v>45568</v>
      </c>
      <c r="C241" s="1" t="n">
        <v>45890</v>
      </c>
      <c r="D241" t="inlineStr">
        <is>
          <t>DALARNAS LÄN</t>
        </is>
      </c>
      <c r="E241" t="inlineStr">
        <is>
          <t>LEKSAND</t>
        </is>
      </c>
      <c r="G241" t="n">
        <v>3.1</v>
      </c>
      <c r="H241" t="n">
        <v>0</v>
      </c>
      <c r="I241" t="n">
        <v>0</v>
      </c>
      <c r="J241" t="n">
        <v>0</v>
      </c>
      <c r="K241" t="n">
        <v>0</v>
      </c>
      <c r="L241" t="n">
        <v>0</v>
      </c>
      <c r="M241" t="n">
        <v>0</v>
      </c>
      <c r="N241" t="n">
        <v>0</v>
      </c>
      <c r="O241" t="n">
        <v>0</v>
      </c>
      <c r="P241" t="n">
        <v>0</v>
      </c>
      <c r="Q241" t="n">
        <v>0</v>
      </c>
      <c r="R241" s="2" t="inlineStr"/>
    </row>
    <row r="242" ht="15" customHeight="1">
      <c r="A242" t="inlineStr">
        <is>
          <t>A 11606-2025</t>
        </is>
      </c>
      <c r="B242" s="1" t="n">
        <v>45727</v>
      </c>
      <c r="C242" s="1" t="n">
        <v>45890</v>
      </c>
      <c r="D242" t="inlineStr">
        <is>
          <t>DALARNAS LÄN</t>
        </is>
      </c>
      <c r="E242" t="inlineStr">
        <is>
          <t>LEKSAND</t>
        </is>
      </c>
      <c r="G242" t="n">
        <v>2.3</v>
      </c>
      <c r="H242" t="n">
        <v>0</v>
      </c>
      <c r="I242" t="n">
        <v>0</v>
      </c>
      <c r="J242" t="n">
        <v>0</v>
      </c>
      <c r="K242" t="n">
        <v>0</v>
      </c>
      <c r="L242" t="n">
        <v>0</v>
      </c>
      <c r="M242" t="n">
        <v>0</v>
      </c>
      <c r="N242" t="n">
        <v>0</v>
      </c>
      <c r="O242" t="n">
        <v>0</v>
      </c>
      <c r="P242" t="n">
        <v>0</v>
      </c>
      <c r="Q242" t="n">
        <v>0</v>
      </c>
      <c r="R242" s="2" t="inlineStr"/>
    </row>
    <row r="243" ht="15" customHeight="1">
      <c r="A243" t="inlineStr">
        <is>
          <t>A 56749-2024</t>
        </is>
      </c>
      <c r="B243" s="1" t="n">
        <v>45628.37487268518</v>
      </c>
      <c r="C243" s="1" t="n">
        <v>45890</v>
      </c>
      <c r="D243" t="inlineStr">
        <is>
          <t>DALARNAS LÄN</t>
        </is>
      </c>
      <c r="E243" t="inlineStr">
        <is>
          <t>LEKSAND</t>
        </is>
      </c>
      <c r="G243" t="n">
        <v>5</v>
      </c>
      <c r="H243" t="n">
        <v>0</v>
      </c>
      <c r="I243" t="n">
        <v>0</v>
      </c>
      <c r="J243" t="n">
        <v>0</v>
      </c>
      <c r="K243" t="n">
        <v>0</v>
      </c>
      <c r="L243" t="n">
        <v>0</v>
      </c>
      <c r="M243" t="n">
        <v>0</v>
      </c>
      <c r="N243" t="n">
        <v>0</v>
      </c>
      <c r="O243" t="n">
        <v>0</v>
      </c>
      <c r="P243" t="n">
        <v>0</v>
      </c>
      <c r="Q243" t="n">
        <v>0</v>
      </c>
      <c r="R243" s="2" t="inlineStr"/>
    </row>
    <row r="244" ht="15" customHeight="1">
      <c r="A244" t="inlineStr">
        <is>
          <t>A 17759-2023</t>
        </is>
      </c>
      <c r="B244" s="1" t="n">
        <v>45037.48765046296</v>
      </c>
      <c r="C244" s="1" t="n">
        <v>45890</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22683-2022</t>
        </is>
      </c>
      <c r="B245" s="1" t="n">
        <v>44714</v>
      </c>
      <c r="C245" s="1" t="n">
        <v>45890</v>
      </c>
      <c r="D245" t="inlineStr">
        <is>
          <t>DALARNAS LÄN</t>
        </is>
      </c>
      <c r="E245" t="inlineStr">
        <is>
          <t>LEKSAND</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13161-2024</t>
        </is>
      </c>
      <c r="B246" s="1" t="n">
        <v>45386.38972222222</v>
      </c>
      <c r="C246" s="1" t="n">
        <v>45890</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61208-2023</t>
        </is>
      </c>
      <c r="B247" s="1" t="n">
        <v>45260</v>
      </c>
      <c r="C247" s="1" t="n">
        <v>45890</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26062-2024</t>
        </is>
      </c>
      <c r="B248" s="1" t="n">
        <v>45468.3509375</v>
      </c>
      <c r="C248" s="1" t="n">
        <v>45890</v>
      </c>
      <c r="D248" t="inlineStr">
        <is>
          <t>DALARNAS LÄN</t>
        </is>
      </c>
      <c r="E248" t="inlineStr">
        <is>
          <t>LEKSAND</t>
        </is>
      </c>
      <c r="F248" t="inlineStr">
        <is>
          <t>Övriga statliga verk och myndigheter</t>
        </is>
      </c>
      <c r="G248" t="n">
        <v>6.4</v>
      </c>
      <c r="H248" t="n">
        <v>0</v>
      </c>
      <c r="I248" t="n">
        <v>0</v>
      </c>
      <c r="J248" t="n">
        <v>0</v>
      </c>
      <c r="K248" t="n">
        <v>0</v>
      </c>
      <c r="L248" t="n">
        <v>0</v>
      </c>
      <c r="M248" t="n">
        <v>0</v>
      </c>
      <c r="N248" t="n">
        <v>0</v>
      </c>
      <c r="O248" t="n">
        <v>0</v>
      </c>
      <c r="P248" t="n">
        <v>0</v>
      </c>
      <c r="Q248" t="n">
        <v>0</v>
      </c>
      <c r="R248" s="2" t="inlineStr"/>
    </row>
    <row r="249" ht="15" customHeight="1">
      <c r="A249" t="inlineStr">
        <is>
          <t>A 22517-2024</t>
        </is>
      </c>
      <c r="B249" s="1" t="n">
        <v>45447.40143518519</v>
      </c>
      <c r="C249" s="1" t="n">
        <v>45890</v>
      </c>
      <c r="D249" t="inlineStr">
        <is>
          <t>DALARNAS LÄN</t>
        </is>
      </c>
      <c r="E249" t="inlineStr">
        <is>
          <t>LEKSAND</t>
        </is>
      </c>
      <c r="G249" t="n">
        <v>0.4</v>
      </c>
      <c r="H249" t="n">
        <v>0</v>
      </c>
      <c r="I249" t="n">
        <v>0</v>
      </c>
      <c r="J249" t="n">
        <v>0</v>
      </c>
      <c r="K249" t="n">
        <v>0</v>
      </c>
      <c r="L249" t="n">
        <v>0</v>
      </c>
      <c r="M249" t="n">
        <v>0</v>
      </c>
      <c r="N249" t="n">
        <v>0</v>
      </c>
      <c r="O249" t="n">
        <v>0</v>
      </c>
      <c r="P249" t="n">
        <v>0</v>
      </c>
      <c r="Q249" t="n">
        <v>0</v>
      </c>
      <c r="R249" s="2" t="inlineStr"/>
    </row>
    <row r="250" ht="15" customHeight="1">
      <c r="A250" t="inlineStr">
        <is>
          <t>A 61953-2023</t>
        </is>
      </c>
      <c r="B250" s="1" t="n">
        <v>45266</v>
      </c>
      <c r="C250" s="1" t="n">
        <v>45890</v>
      </c>
      <c r="D250" t="inlineStr">
        <is>
          <t>DALARNAS LÄN</t>
        </is>
      </c>
      <c r="E250" t="inlineStr">
        <is>
          <t>LEKSAND</t>
        </is>
      </c>
      <c r="G250" t="n">
        <v>0.1</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45890</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44546.46354166666</v>
      </c>
      <c r="C252" s="1" t="n">
        <v>45890</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33143-2024</t>
        </is>
      </c>
      <c r="B253" s="1" t="n">
        <v>45518</v>
      </c>
      <c r="C253" s="1" t="n">
        <v>45890</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16815-2025</t>
        </is>
      </c>
      <c r="B254" s="1" t="n">
        <v>45754</v>
      </c>
      <c r="C254" s="1" t="n">
        <v>45890</v>
      </c>
      <c r="D254" t="inlineStr">
        <is>
          <t>DALARNAS LÄN</t>
        </is>
      </c>
      <c r="E254" t="inlineStr">
        <is>
          <t>LEKSAND</t>
        </is>
      </c>
      <c r="G254" t="n">
        <v>2.8</v>
      </c>
      <c r="H254" t="n">
        <v>0</v>
      </c>
      <c r="I254" t="n">
        <v>0</v>
      </c>
      <c r="J254" t="n">
        <v>0</v>
      </c>
      <c r="K254" t="n">
        <v>0</v>
      </c>
      <c r="L254" t="n">
        <v>0</v>
      </c>
      <c r="M254" t="n">
        <v>0</v>
      </c>
      <c r="N254" t="n">
        <v>0</v>
      </c>
      <c r="O254" t="n">
        <v>0</v>
      </c>
      <c r="P254" t="n">
        <v>0</v>
      </c>
      <c r="Q254" t="n">
        <v>0</v>
      </c>
      <c r="R254" s="2" t="inlineStr"/>
    </row>
    <row r="255" ht="15" customHeight="1">
      <c r="A255" t="inlineStr">
        <is>
          <t>A 16854-2025</t>
        </is>
      </c>
      <c r="B255" s="1" t="n">
        <v>45754.72883101852</v>
      </c>
      <c r="C255" s="1" t="n">
        <v>45890</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62133-2023</t>
        </is>
      </c>
      <c r="B256" s="1" t="n">
        <v>45267.35582175926</v>
      </c>
      <c r="C256" s="1" t="n">
        <v>45890</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40009-2024</t>
        </is>
      </c>
      <c r="B257" s="1" t="n">
        <v>45553.65361111111</v>
      </c>
      <c r="C257" s="1" t="n">
        <v>45890</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10967-2023</t>
        </is>
      </c>
      <c r="B258" s="1" t="n">
        <v>44991.58001157407</v>
      </c>
      <c r="C258" s="1" t="n">
        <v>45890</v>
      </c>
      <c r="D258" t="inlineStr">
        <is>
          <t>DALARNAS LÄN</t>
        </is>
      </c>
      <c r="E258" t="inlineStr">
        <is>
          <t>LEKSAND</t>
        </is>
      </c>
      <c r="G258" t="n">
        <v>0.5</v>
      </c>
      <c r="H258" t="n">
        <v>0</v>
      </c>
      <c r="I258" t="n">
        <v>0</v>
      </c>
      <c r="J258" t="n">
        <v>0</v>
      </c>
      <c r="K258" t="n">
        <v>0</v>
      </c>
      <c r="L258" t="n">
        <v>0</v>
      </c>
      <c r="M258" t="n">
        <v>0</v>
      </c>
      <c r="N258" t="n">
        <v>0</v>
      </c>
      <c r="O258" t="n">
        <v>0</v>
      </c>
      <c r="P258" t="n">
        <v>0</v>
      </c>
      <c r="Q258" t="n">
        <v>0</v>
      </c>
      <c r="R258" s="2" t="inlineStr"/>
    </row>
    <row r="259" ht="15" customHeight="1">
      <c r="A259" t="inlineStr">
        <is>
          <t>A 10974-2023</t>
        </is>
      </c>
      <c r="B259" s="1" t="n">
        <v>44991.59049768518</v>
      </c>
      <c r="C259" s="1" t="n">
        <v>45890</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55643-2024</t>
        </is>
      </c>
      <c r="B260" s="1" t="n">
        <v>45621</v>
      </c>
      <c r="C260" s="1" t="n">
        <v>45890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47203-2023</t>
        </is>
      </c>
      <c r="B261" s="1" t="n">
        <v>45202</v>
      </c>
      <c r="C261" s="1" t="n">
        <v>45890</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22281-2024</t>
        </is>
      </c>
      <c r="B262" s="1" t="n">
        <v>45446.54756944445</v>
      </c>
      <c r="C262" s="1" t="n">
        <v>45890</v>
      </c>
      <c r="D262" t="inlineStr">
        <is>
          <t>DALARNAS LÄN</t>
        </is>
      </c>
      <c r="E262" t="inlineStr">
        <is>
          <t>LEKSAND</t>
        </is>
      </c>
      <c r="F262" t="inlineStr">
        <is>
          <t>Bergvik skog väst AB</t>
        </is>
      </c>
      <c r="G262" t="n">
        <v>1.8</v>
      </c>
      <c r="H262" t="n">
        <v>0</v>
      </c>
      <c r="I262" t="n">
        <v>0</v>
      </c>
      <c r="J262" t="n">
        <v>0</v>
      </c>
      <c r="K262" t="n">
        <v>0</v>
      </c>
      <c r="L262" t="n">
        <v>0</v>
      </c>
      <c r="M262" t="n">
        <v>0</v>
      </c>
      <c r="N262" t="n">
        <v>0</v>
      </c>
      <c r="O262" t="n">
        <v>0</v>
      </c>
      <c r="P262" t="n">
        <v>0</v>
      </c>
      <c r="Q262" t="n">
        <v>0</v>
      </c>
      <c r="R262" s="2" t="inlineStr"/>
    </row>
    <row r="263" ht="15" customHeight="1">
      <c r="A263" t="inlineStr">
        <is>
          <t>A 42727-2024</t>
        </is>
      </c>
      <c r="B263" s="1" t="n">
        <v>45566</v>
      </c>
      <c r="C263" s="1" t="n">
        <v>45890</v>
      </c>
      <c r="D263" t="inlineStr">
        <is>
          <t>DALARNAS LÄN</t>
        </is>
      </c>
      <c r="E263" t="inlineStr">
        <is>
          <t>LEKSAND</t>
        </is>
      </c>
      <c r="G263" t="n">
        <v>0.8</v>
      </c>
      <c r="H263" t="n">
        <v>0</v>
      </c>
      <c r="I263" t="n">
        <v>0</v>
      </c>
      <c r="J263" t="n">
        <v>0</v>
      </c>
      <c r="K263" t="n">
        <v>0</v>
      </c>
      <c r="L263" t="n">
        <v>0</v>
      </c>
      <c r="M263" t="n">
        <v>0</v>
      </c>
      <c r="N263" t="n">
        <v>0</v>
      </c>
      <c r="O263" t="n">
        <v>0</v>
      </c>
      <c r="P263" t="n">
        <v>0</v>
      </c>
      <c r="Q263" t="n">
        <v>0</v>
      </c>
      <c r="R263" s="2" t="inlineStr"/>
    </row>
    <row r="264" ht="15" customHeight="1">
      <c r="A264" t="inlineStr">
        <is>
          <t>A 19295-2024</t>
        </is>
      </c>
      <c r="B264" s="1" t="n">
        <v>45428.69106481481</v>
      </c>
      <c r="C264" s="1" t="n">
        <v>45890</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19296-2024</t>
        </is>
      </c>
      <c r="B265" s="1" t="n">
        <v>45428.69438657408</v>
      </c>
      <c r="C265" s="1" t="n">
        <v>45890</v>
      </c>
      <c r="D265" t="inlineStr">
        <is>
          <t>DALARNAS LÄN</t>
        </is>
      </c>
      <c r="E265" t="inlineStr">
        <is>
          <t>LEKSAND</t>
        </is>
      </c>
      <c r="G265" t="n">
        <v>2.4</v>
      </c>
      <c r="H265" t="n">
        <v>0</v>
      </c>
      <c r="I265" t="n">
        <v>0</v>
      </c>
      <c r="J265" t="n">
        <v>0</v>
      </c>
      <c r="K265" t="n">
        <v>0</v>
      </c>
      <c r="L265" t="n">
        <v>0</v>
      </c>
      <c r="M265" t="n">
        <v>0</v>
      </c>
      <c r="N265" t="n">
        <v>0</v>
      </c>
      <c r="O265" t="n">
        <v>0</v>
      </c>
      <c r="P265" t="n">
        <v>0</v>
      </c>
      <c r="Q265" t="n">
        <v>0</v>
      </c>
      <c r="R265" s="2" t="inlineStr"/>
    </row>
    <row r="266" ht="15" customHeight="1">
      <c r="A266" t="inlineStr">
        <is>
          <t>A 16197-2024</t>
        </is>
      </c>
      <c r="B266" s="1" t="n">
        <v>45406.70356481482</v>
      </c>
      <c r="C266" s="1" t="n">
        <v>45890</v>
      </c>
      <c r="D266" t="inlineStr">
        <is>
          <t>DALARNAS LÄN</t>
        </is>
      </c>
      <c r="E266" t="inlineStr">
        <is>
          <t>LEKSAND</t>
        </is>
      </c>
      <c r="G266" t="n">
        <v>2.4</v>
      </c>
      <c r="H266" t="n">
        <v>0</v>
      </c>
      <c r="I266" t="n">
        <v>0</v>
      </c>
      <c r="J266" t="n">
        <v>0</v>
      </c>
      <c r="K266" t="n">
        <v>0</v>
      </c>
      <c r="L266" t="n">
        <v>0</v>
      </c>
      <c r="M266" t="n">
        <v>0</v>
      </c>
      <c r="N266" t="n">
        <v>0</v>
      </c>
      <c r="O266" t="n">
        <v>0</v>
      </c>
      <c r="P266" t="n">
        <v>0</v>
      </c>
      <c r="Q266" t="n">
        <v>0</v>
      </c>
      <c r="R266" s="2" t="inlineStr"/>
    </row>
    <row r="267" ht="15" customHeight="1">
      <c r="A267" t="inlineStr">
        <is>
          <t>A 17282-2025</t>
        </is>
      </c>
      <c r="B267" s="1" t="n">
        <v>45756.57114583333</v>
      </c>
      <c r="C267" s="1" t="n">
        <v>45890</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56016-2024</t>
        </is>
      </c>
      <c r="B268" s="1" t="n">
        <v>45623.87737268519</v>
      </c>
      <c r="C268" s="1" t="n">
        <v>45890</v>
      </c>
      <c r="D268" t="inlineStr">
        <is>
          <t>DALARNAS LÄN</t>
        </is>
      </c>
      <c r="E268" t="inlineStr">
        <is>
          <t>LEKSAND</t>
        </is>
      </c>
      <c r="G268" t="n">
        <v>6.1</v>
      </c>
      <c r="H268" t="n">
        <v>0</v>
      </c>
      <c r="I268" t="n">
        <v>0</v>
      </c>
      <c r="J268" t="n">
        <v>0</v>
      </c>
      <c r="K268" t="n">
        <v>0</v>
      </c>
      <c r="L268" t="n">
        <v>0</v>
      </c>
      <c r="M268" t="n">
        <v>0</v>
      </c>
      <c r="N268" t="n">
        <v>0</v>
      </c>
      <c r="O268" t="n">
        <v>0</v>
      </c>
      <c r="P268" t="n">
        <v>0</v>
      </c>
      <c r="Q268" t="n">
        <v>0</v>
      </c>
      <c r="R268" s="2" t="inlineStr"/>
    </row>
    <row r="269" ht="15" customHeight="1">
      <c r="A269" t="inlineStr">
        <is>
          <t>A 2158-2024</t>
        </is>
      </c>
      <c r="B269" s="1" t="n">
        <v>45309</v>
      </c>
      <c r="C269" s="1" t="n">
        <v>45890</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9857-2025</t>
        </is>
      </c>
      <c r="B270" s="1" t="n">
        <v>45716.62609953704</v>
      </c>
      <c r="C270" s="1" t="n">
        <v>45890</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5873-2025</t>
        </is>
      </c>
      <c r="B271" s="1" t="n">
        <v>45695.36715277778</v>
      </c>
      <c r="C271" s="1" t="n">
        <v>45890</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30994-2023</t>
        </is>
      </c>
      <c r="B272" s="1" t="n">
        <v>45113</v>
      </c>
      <c r="C272" s="1" t="n">
        <v>45890</v>
      </c>
      <c r="D272" t="inlineStr">
        <is>
          <t>DALARNAS LÄN</t>
        </is>
      </c>
      <c r="E272" t="inlineStr">
        <is>
          <t>LEKSAND</t>
        </is>
      </c>
      <c r="G272" t="n">
        <v>1.1</v>
      </c>
      <c r="H272" t="n">
        <v>0</v>
      </c>
      <c r="I272" t="n">
        <v>0</v>
      </c>
      <c r="J272" t="n">
        <v>0</v>
      </c>
      <c r="K272" t="n">
        <v>0</v>
      </c>
      <c r="L272" t="n">
        <v>0</v>
      </c>
      <c r="M272" t="n">
        <v>0</v>
      </c>
      <c r="N272" t="n">
        <v>0</v>
      </c>
      <c r="O272" t="n">
        <v>0</v>
      </c>
      <c r="P272" t="n">
        <v>0</v>
      </c>
      <c r="Q272" t="n">
        <v>0</v>
      </c>
      <c r="R272" s="2" t="inlineStr"/>
    </row>
    <row r="273" ht="15" customHeight="1">
      <c r="A273" t="inlineStr">
        <is>
          <t>A 33306-2023</t>
        </is>
      </c>
      <c r="B273" s="1" t="n">
        <v>45127</v>
      </c>
      <c r="C273" s="1" t="n">
        <v>45890</v>
      </c>
      <c r="D273" t="inlineStr">
        <is>
          <t>DALARNAS LÄN</t>
        </is>
      </c>
      <c r="E273" t="inlineStr">
        <is>
          <t>LEKSAND</t>
        </is>
      </c>
      <c r="G273" t="n">
        <v>2.2</v>
      </c>
      <c r="H273" t="n">
        <v>0</v>
      </c>
      <c r="I273" t="n">
        <v>0</v>
      </c>
      <c r="J273" t="n">
        <v>0</v>
      </c>
      <c r="K273" t="n">
        <v>0</v>
      </c>
      <c r="L273" t="n">
        <v>0</v>
      </c>
      <c r="M273" t="n">
        <v>0</v>
      </c>
      <c r="N273" t="n">
        <v>0</v>
      </c>
      <c r="O273" t="n">
        <v>0</v>
      </c>
      <c r="P273" t="n">
        <v>0</v>
      </c>
      <c r="Q273" t="n">
        <v>0</v>
      </c>
      <c r="R273" s="2" t="inlineStr"/>
    </row>
    <row r="274" ht="15" customHeight="1">
      <c r="A274" t="inlineStr">
        <is>
          <t>A 33316-2023</t>
        </is>
      </c>
      <c r="B274" s="1" t="n">
        <v>45127</v>
      </c>
      <c r="C274" s="1" t="n">
        <v>45890</v>
      </c>
      <c r="D274" t="inlineStr">
        <is>
          <t>DALARNAS LÄN</t>
        </is>
      </c>
      <c r="E274" t="inlineStr">
        <is>
          <t>LEKSAND</t>
        </is>
      </c>
      <c r="G274" t="n">
        <v>8.9</v>
      </c>
      <c r="H274" t="n">
        <v>0</v>
      </c>
      <c r="I274" t="n">
        <v>0</v>
      </c>
      <c r="J274" t="n">
        <v>0</v>
      </c>
      <c r="K274" t="n">
        <v>0</v>
      </c>
      <c r="L274" t="n">
        <v>0</v>
      </c>
      <c r="M274" t="n">
        <v>0</v>
      </c>
      <c r="N274" t="n">
        <v>0</v>
      </c>
      <c r="O274" t="n">
        <v>0</v>
      </c>
      <c r="P274" t="n">
        <v>0</v>
      </c>
      <c r="Q274" t="n">
        <v>0</v>
      </c>
      <c r="R274" s="2" t="inlineStr"/>
    </row>
    <row r="275" ht="15" customHeight="1">
      <c r="A275" t="inlineStr">
        <is>
          <t>A 47503-2024</t>
        </is>
      </c>
      <c r="B275" s="1" t="n">
        <v>45587.60262731482</v>
      </c>
      <c r="C275" s="1" t="n">
        <v>45890</v>
      </c>
      <c r="D275" t="inlineStr">
        <is>
          <t>DALARNAS LÄN</t>
        </is>
      </c>
      <c r="E275" t="inlineStr">
        <is>
          <t>LEKSAND</t>
        </is>
      </c>
      <c r="G275" t="n">
        <v>3.6</v>
      </c>
      <c r="H275" t="n">
        <v>0</v>
      </c>
      <c r="I275" t="n">
        <v>0</v>
      </c>
      <c r="J275" t="n">
        <v>0</v>
      </c>
      <c r="K275" t="n">
        <v>0</v>
      </c>
      <c r="L275" t="n">
        <v>0</v>
      </c>
      <c r="M275" t="n">
        <v>0</v>
      </c>
      <c r="N275" t="n">
        <v>0</v>
      </c>
      <c r="O275" t="n">
        <v>0</v>
      </c>
      <c r="P275" t="n">
        <v>0</v>
      </c>
      <c r="Q275" t="n">
        <v>0</v>
      </c>
      <c r="R275" s="2" t="inlineStr"/>
    </row>
    <row r="276" ht="15" customHeight="1">
      <c r="A276" t="inlineStr">
        <is>
          <t>A 37832-2023</t>
        </is>
      </c>
      <c r="B276" s="1" t="n">
        <v>45160.3479050926</v>
      </c>
      <c r="C276" s="1" t="n">
        <v>45890</v>
      </c>
      <c r="D276" t="inlineStr">
        <is>
          <t>DALARNAS LÄN</t>
        </is>
      </c>
      <c r="E276" t="inlineStr">
        <is>
          <t>LEKSAND</t>
        </is>
      </c>
      <c r="G276" t="n">
        <v>2</v>
      </c>
      <c r="H276" t="n">
        <v>0</v>
      </c>
      <c r="I276" t="n">
        <v>0</v>
      </c>
      <c r="J276" t="n">
        <v>0</v>
      </c>
      <c r="K276" t="n">
        <v>0</v>
      </c>
      <c r="L276" t="n">
        <v>0</v>
      </c>
      <c r="M276" t="n">
        <v>0</v>
      </c>
      <c r="N276" t="n">
        <v>0</v>
      </c>
      <c r="O276" t="n">
        <v>0</v>
      </c>
      <c r="P276" t="n">
        <v>0</v>
      </c>
      <c r="Q276" t="n">
        <v>0</v>
      </c>
      <c r="R276" s="2" t="inlineStr"/>
    </row>
    <row r="277" ht="15" customHeight="1">
      <c r="A277" t="inlineStr">
        <is>
          <t>A 20937-2025</t>
        </is>
      </c>
      <c r="B277" s="1" t="n">
        <v>45777.42769675926</v>
      </c>
      <c r="C277" s="1" t="n">
        <v>45890</v>
      </c>
      <c r="D277" t="inlineStr">
        <is>
          <t>DALARNAS LÄN</t>
        </is>
      </c>
      <c r="E277" t="inlineStr">
        <is>
          <t>LEKSAND</t>
        </is>
      </c>
      <c r="G277" t="n">
        <v>2.2</v>
      </c>
      <c r="H277" t="n">
        <v>0</v>
      </c>
      <c r="I277" t="n">
        <v>0</v>
      </c>
      <c r="J277" t="n">
        <v>0</v>
      </c>
      <c r="K277" t="n">
        <v>0</v>
      </c>
      <c r="L277" t="n">
        <v>0</v>
      </c>
      <c r="M277" t="n">
        <v>0</v>
      </c>
      <c r="N277" t="n">
        <v>0</v>
      </c>
      <c r="O277" t="n">
        <v>0</v>
      </c>
      <c r="P277" t="n">
        <v>0</v>
      </c>
      <c r="Q277" t="n">
        <v>0</v>
      </c>
      <c r="R277" s="2" t="inlineStr"/>
    </row>
    <row r="278" ht="15" customHeight="1">
      <c r="A278" t="inlineStr">
        <is>
          <t>A 402-2024</t>
        </is>
      </c>
      <c r="B278" s="1" t="n">
        <v>45296.45545138889</v>
      </c>
      <c r="C278" s="1" t="n">
        <v>45890</v>
      </c>
      <c r="D278" t="inlineStr">
        <is>
          <t>DALARNAS LÄN</t>
        </is>
      </c>
      <c r="E278" t="inlineStr">
        <is>
          <t>LEKSAND</t>
        </is>
      </c>
      <c r="G278" t="n">
        <v>1.5</v>
      </c>
      <c r="H278" t="n">
        <v>0</v>
      </c>
      <c r="I278" t="n">
        <v>0</v>
      </c>
      <c r="J278" t="n">
        <v>0</v>
      </c>
      <c r="K278" t="n">
        <v>0</v>
      </c>
      <c r="L278" t="n">
        <v>0</v>
      </c>
      <c r="M278" t="n">
        <v>0</v>
      </c>
      <c r="N278" t="n">
        <v>0</v>
      </c>
      <c r="O278" t="n">
        <v>0</v>
      </c>
      <c r="P278" t="n">
        <v>0</v>
      </c>
      <c r="Q278" t="n">
        <v>0</v>
      </c>
      <c r="R278" s="2" t="inlineStr"/>
    </row>
    <row r="279" ht="15" customHeight="1">
      <c r="A279" t="inlineStr">
        <is>
          <t>A 9143-2023</t>
        </is>
      </c>
      <c r="B279" s="1" t="n">
        <v>44974</v>
      </c>
      <c r="C279" s="1" t="n">
        <v>45890</v>
      </c>
      <c r="D279" t="inlineStr">
        <is>
          <t>DALARNAS LÄN</t>
        </is>
      </c>
      <c r="E279" t="inlineStr">
        <is>
          <t>LEKSAND</t>
        </is>
      </c>
      <c r="G279" t="n">
        <v>4.3</v>
      </c>
      <c r="H279" t="n">
        <v>0</v>
      </c>
      <c r="I279" t="n">
        <v>0</v>
      </c>
      <c r="J279" t="n">
        <v>0</v>
      </c>
      <c r="K279" t="n">
        <v>0</v>
      </c>
      <c r="L279" t="n">
        <v>0</v>
      </c>
      <c r="M279" t="n">
        <v>0</v>
      </c>
      <c r="N279" t="n">
        <v>0</v>
      </c>
      <c r="O279" t="n">
        <v>0</v>
      </c>
      <c r="P279" t="n">
        <v>0</v>
      </c>
      <c r="Q279" t="n">
        <v>0</v>
      </c>
      <c r="R279" s="2" t="inlineStr"/>
    </row>
    <row r="280" ht="15" customHeight="1">
      <c r="A280" t="inlineStr">
        <is>
          <t>A 19415-2025</t>
        </is>
      </c>
      <c r="B280" s="1" t="n">
        <v>45769</v>
      </c>
      <c r="C280" s="1" t="n">
        <v>45890</v>
      </c>
      <c r="D280" t="inlineStr">
        <is>
          <t>DALARNAS LÄN</t>
        </is>
      </c>
      <c r="E280" t="inlineStr">
        <is>
          <t>LEKSAND</t>
        </is>
      </c>
      <c r="F280" t="inlineStr">
        <is>
          <t>Bergvik skog väst AB</t>
        </is>
      </c>
      <c r="G280" t="n">
        <v>11.5</v>
      </c>
      <c r="H280" t="n">
        <v>0</v>
      </c>
      <c r="I280" t="n">
        <v>0</v>
      </c>
      <c r="J280" t="n">
        <v>0</v>
      </c>
      <c r="K280" t="n">
        <v>0</v>
      </c>
      <c r="L280" t="n">
        <v>0</v>
      </c>
      <c r="M280" t="n">
        <v>0</v>
      </c>
      <c r="N280" t="n">
        <v>0</v>
      </c>
      <c r="O280" t="n">
        <v>0</v>
      </c>
      <c r="P280" t="n">
        <v>0</v>
      </c>
      <c r="Q280" t="n">
        <v>0</v>
      </c>
      <c r="R280" s="2" t="inlineStr"/>
    </row>
    <row r="281" ht="15" customHeight="1">
      <c r="A281" t="inlineStr">
        <is>
          <t>A 20683-2025</t>
        </is>
      </c>
      <c r="B281" s="1" t="n">
        <v>45776</v>
      </c>
      <c r="C281" s="1" t="n">
        <v>45890</v>
      </c>
      <c r="D281" t="inlineStr">
        <is>
          <t>DALARNAS LÄN</t>
        </is>
      </c>
      <c r="E281" t="inlineStr">
        <is>
          <t>LEKSAND</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33310-2023</t>
        </is>
      </c>
      <c r="B282" s="1" t="n">
        <v>45127.82231481482</v>
      </c>
      <c r="C282" s="1" t="n">
        <v>45890</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54844-2021</t>
        </is>
      </c>
      <c r="B283" s="1" t="n">
        <v>44474.30614583333</v>
      </c>
      <c r="C283" s="1" t="n">
        <v>45890</v>
      </c>
      <c r="D283" t="inlineStr">
        <is>
          <t>DALARNAS LÄN</t>
        </is>
      </c>
      <c r="E283" t="inlineStr">
        <is>
          <t>LEKSAND</t>
        </is>
      </c>
      <c r="G283" t="n">
        <v>1.9</v>
      </c>
      <c r="H283" t="n">
        <v>0</v>
      </c>
      <c r="I283" t="n">
        <v>0</v>
      </c>
      <c r="J283" t="n">
        <v>0</v>
      </c>
      <c r="K283" t="n">
        <v>0</v>
      </c>
      <c r="L283" t="n">
        <v>0</v>
      </c>
      <c r="M283" t="n">
        <v>0</v>
      </c>
      <c r="N283" t="n">
        <v>0</v>
      </c>
      <c r="O283" t="n">
        <v>0</v>
      </c>
      <c r="P283" t="n">
        <v>0</v>
      </c>
      <c r="Q283" t="n">
        <v>0</v>
      </c>
      <c r="R283" s="2" t="inlineStr"/>
    </row>
    <row r="284" ht="15" customHeight="1">
      <c r="A284" t="inlineStr">
        <is>
          <t>A 471-2025</t>
        </is>
      </c>
      <c r="B284" s="1" t="n">
        <v>45664.43394675926</v>
      </c>
      <c r="C284" s="1" t="n">
        <v>45890</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21230-2025</t>
        </is>
      </c>
      <c r="B285" s="1" t="n">
        <v>45779.54589120371</v>
      </c>
      <c r="C285" s="1" t="n">
        <v>45890</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21193-2025</t>
        </is>
      </c>
      <c r="B286" s="1" t="n">
        <v>45779.46675925926</v>
      </c>
      <c r="C286" s="1" t="n">
        <v>45890</v>
      </c>
      <c r="D286" t="inlineStr">
        <is>
          <t>DALARNAS LÄN</t>
        </is>
      </c>
      <c r="E286" t="inlineStr">
        <is>
          <t>LEKSAND</t>
        </is>
      </c>
      <c r="G286" t="n">
        <v>3.7</v>
      </c>
      <c r="H286" t="n">
        <v>0</v>
      </c>
      <c r="I286" t="n">
        <v>0</v>
      </c>
      <c r="J286" t="n">
        <v>0</v>
      </c>
      <c r="K286" t="n">
        <v>0</v>
      </c>
      <c r="L286" t="n">
        <v>0</v>
      </c>
      <c r="M286" t="n">
        <v>0</v>
      </c>
      <c r="N286" t="n">
        <v>0</v>
      </c>
      <c r="O286" t="n">
        <v>0</v>
      </c>
      <c r="P286" t="n">
        <v>0</v>
      </c>
      <c r="Q286" t="n">
        <v>0</v>
      </c>
      <c r="R286" s="2" t="inlineStr"/>
    </row>
    <row r="287" ht="15" customHeight="1">
      <c r="A287" t="inlineStr">
        <is>
          <t>A 2517-2024</t>
        </is>
      </c>
      <c r="B287" s="1" t="n">
        <v>45313</v>
      </c>
      <c r="C287" s="1" t="n">
        <v>45890</v>
      </c>
      <c r="D287" t="inlineStr">
        <is>
          <t>DALARNAS LÄN</t>
        </is>
      </c>
      <c r="E287" t="inlineStr">
        <is>
          <t>LEKSAND</t>
        </is>
      </c>
      <c r="F287" t="inlineStr">
        <is>
          <t>Bergvik skog väst AB</t>
        </is>
      </c>
      <c r="G287" t="n">
        <v>4</v>
      </c>
      <c r="H287" t="n">
        <v>0</v>
      </c>
      <c r="I287" t="n">
        <v>0</v>
      </c>
      <c r="J287" t="n">
        <v>0</v>
      </c>
      <c r="K287" t="n">
        <v>0</v>
      </c>
      <c r="L287" t="n">
        <v>0</v>
      </c>
      <c r="M287" t="n">
        <v>0</v>
      </c>
      <c r="N287" t="n">
        <v>0</v>
      </c>
      <c r="O287" t="n">
        <v>0</v>
      </c>
      <c r="P287" t="n">
        <v>0</v>
      </c>
      <c r="Q287" t="n">
        <v>0</v>
      </c>
      <c r="R287" s="2" t="inlineStr"/>
    </row>
    <row r="288" ht="15" customHeight="1">
      <c r="A288" t="inlineStr">
        <is>
          <t>A 40627-2023</t>
        </is>
      </c>
      <c r="B288" s="1" t="n">
        <v>45170</v>
      </c>
      <c r="C288" s="1" t="n">
        <v>45890</v>
      </c>
      <c r="D288" t="inlineStr">
        <is>
          <t>DALARNAS LÄN</t>
        </is>
      </c>
      <c r="E288" t="inlineStr">
        <is>
          <t>LEKSAND</t>
        </is>
      </c>
      <c r="F288" t="inlineStr">
        <is>
          <t>Bergvik skog väst AB</t>
        </is>
      </c>
      <c r="G288" t="n">
        <v>3.3</v>
      </c>
      <c r="H288" t="n">
        <v>0</v>
      </c>
      <c r="I288" t="n">
        <v>0</v>
      </c>
      <c r="J288" t="n">
        <v>0</v>
      </c>
      <c r="K288" t="n">
        <v>0</v>
      </c>
      <c r="L288" t="n">
        <v>0</v>
      </c>
      <c r="M288" t="n">
        <v>0</v>
      </c>
      <c r="N288" t="n">
        <v>0</v>
      </c>
      <c r="O288" t="n">
        <v>0</v>
      </c>
      <c r="P288" t="n">
        <v>0</v>
      </c>
      <c r="Q288" t="n">
        <v>0</v>
      </c>
      <c r="R288" s="2" t="inlineStr"/>
    </row>
    <row r="289" ht="15" customHeight="1">
      <c r="A289" t="inlineStr">
        <is>
          <t>A 21600-2025</t>
        </is>
      </c>
      <c r="B289" s="1" t="n">
        <v>45783.3521875</v>
      </c>
      <c r="C289" s="1" t="n">
        <v>45890</v>
      </c>
      <c r="D289" t="inlineStr">
        <is>
          <t>DALARNAS LÄN</t>
        </is>
      </c>
      <c r="E289" t="inlineStr">
        <is>
          <t>LEKSAND</t>
        </is>
      </c>
      <c r="G289" t="n">
        <v>7.7</v>
      </c>
      <c r="H289" t="n">
        <v>0</v>
      </c>
      <c r="I289" t="n">
        <v>0</v>
      </c>
      <c r="J289" t="n">
        <v>0</v>
      </c>
      <c r="K289" t="n">
        <v>0</v>
      </c>
      <c r="L289" t="n">
        <v>0</v>
      </c>
      <c r="M289" t="n">
        <v>0</v>
      </c>
      <c r="N289" t="n">
        <v>0</v>
      </c>
      <c r="O289" t="n">
        <v>0</v>
      </c>
      <c r="P289" t="n">
        <v>0</v>
      </c>
      <c r="Q289" t="n">
        <v>0</v>
      </c>
      <c r="R289" s="2" t="inlineStr"/>
    </row>
    <row r="290" ht="15" customHeight="1">
      <c r="A290" t="inlineStr">
        <is>
          <t>A 11872-2024</t>
        </is>
      </c>
      <c r="B290" s="1" t="n">
        <v>45376.46833333333</v>
      </c>
      <c r="C290" s="1" t="n">
        <v>45890</v>
      </c>
      <c r="D290" t="inlineStr">
        <is>
          <t>DALARNAS LÄN</t>
        </is>
      </c>
      <c r="E290" t="inlineStr">
        <is>
          <t>LEKSAND</t>
        </is>
      </c>
      <c r="G290" t="n">
        <v>3.1</v>
      </c>
      <c r="H290" t="n">
        <v>0</v>
      </c>
      <c r="I290" t="n">
        <v>0</v>
      </c>
      <c r="J290" t="n">
        <v>0</v>
      </c>
      <c r="K290" t="n">
        <v>0</v>
      </c>
      <c r="L290" t="n">
        <v>0</v>
      </c>
      <c r="M290" t="n">
        <v>0</v>
      </c>
      <c r="N290" t="n">
        <v>0</v>
      </c>
      <c r="O290" t="n">
        <v>0</v>
      </c>
      <c r="P290" t="n">
        <v>0</v>
      </c>
      <c r="Q290" t="n">
        <v>0</v>
      </c>
      <c r="R290" s="2" t="inlineStr"/>
    </row>
    <row r="291" ht="15" customHeight="1">
      <c r="A291" t="inlineStr">
        <is>
          <t>A 21457-2025</t>
        </is>
      </c>
      <c r="B291" s="1" t="n">
        <v>45782.55451388889</v>
      </c>
      <c r="C291" s="1" t="n">
        <v>45890</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21366-2025</t>
        </is>
      </c>
      <c r="B292" s="1" t="n">
        <v>45782.44667824074</v>
      </c>
      <c r="C292" s="1" t="n">
        <v>45890</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52293-2024</t>
        </is>
      </c>
      <c r="B293" s="1" t="n">
        <v>45608.71297453704</v>
      </c>
      <c r="C293" s="1" t="n">
        <v>45890</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1182-2025</t>
        </is>
      </c>
      <c r="B294" s="1" t="n">
        <v>45667.35712962963</v>
      </c>
      <c r="C294" s="1" t="n">
        <v>45890</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59199-2024</t>
        </is>
      </c>
      <c r="B295" s="1" t="n">
        <v>45637</v>
      </c>
      <c r="C295" s="1" t="n">
        <v>45890</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36932-2023</t>
        </is>
      </c>
      <c r="B296" s="1" t="n">
        <v>45154</v>
      </c>
      <c r="C296" s="1" t="n">
        <v>45890</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2579-2022</t>
        </is>
      </c>
      <c r="B297" s="1" t="n">
        <v>44580</v>
      </c>
      <c r="C297" s="1" t="n">
        <v>45890</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57013-2023</t>
        </is>
      </c>
      <c r="B298" s="1" t="n">
        <v>45244</v>
      </c>
      <c r="C298" s="1" t="n">
        <v>45890</v>
      </c>
      <c r="D298" t="inlineStr">
        <is>
          <t>DALARNAS LÄN</t>
        </is>
      </c>
      <c r="E298" t="inlineStr">
        <is>
          <t>LEKSAND</t>
        </is>
      </c>
      <c r="G298" t="n">
        <v>1</v>
      </c>
      <c r="H298" t="n">
        <v>0</v>
      </c>
      <c r="I298" t="n">
        <v>0</v>
      </c>
      <c r="J298" t="n">
        <v>0</v>
      </c>
      <c r="K298" t="n">
        <v>0</v>
      </c>
      <c r="L298" t="n">
        <v>0</v>
      </c>
      <c r="M298" t="n">
        <v>0</v>
      </c>
      <c r="N298" t="n">
        <v>0</v>
      </c>
      <c r="O298" t="n">
        <v>0</v>
      </c>
      <c r="P298" t="n">
        <v>0</v>
      </c>
      <c r="Q298" t="n">
        <v>0</v>
      </c>
      <c r="R298" s="2" t="inlineStr"/>
    </row>
    <row r="299" ht="15" customHeight="1">
      <c r="A299" t="inlineStr">
        <is>
          <t>A 61554-2024</t>
        </is>
      </c>
      <c r="B299" s="1" t="n">
        <v>45646.60748842593</v>
      </c>
      <c r="C299" s="1" t="n">
        <v>45890</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2140-2024</t>
        </is>
      </c>
      <c r="B300" s="1" t="n">
        <v>45309</v>
      </c>
      <c r="C300" s="1" t="n">
        <v>45890</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23615-2024</t>
        </is>
      </c>
      <c r="B301" s="1" t="n">
        <v>45454.43050925926</v>
      </c>
      <c r="C301" s="1" t="n">
        <v>45890</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46665-2023</t>
        </is>
      </c>
      <c r="B302" s="1" t="n">
        <v>45198.47399305556</v>
      </c>
      <c r="C302" s="1" t="n">
        <v>45890</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22080-2025</t>
        </is>
      </c>
      <c r="B303" s="1" t="n">
        <v>45785</v>
      </c>
      <c r="C303" s="1" t="n">
        <v>45890</v>
      </c>
      <c r="D303" t="inlineStr">
        <is>
          <t>DALARNAS LÄN</t>
        </is>
      </c>
      <c r="E303" t="inlineStr">
        <is>
          <t>LEKSAND</t>
        </is>
      </c>
      <c r="G303" t="n">
        <v>7</v>
      </c>
      <c r="H303" t="n">
        <v>0</v>
      </c>
      <c r="I303" t="n">
        <v>0</v>
      </c>
      <c r="J303" t="n">
        <v>0</v>
      </c>
      <c r="K303" t="n">
        <v>0</v>
      </c>
      <c r="L303" t="n">
        <v>0</v>
      </c>
      <c r="M303" t="n">
        <v>0</v>
      </c>
      <c r="N303" t="n">
        <v>0</v>
      </c>
      <c r="O303" t="n">
        <v>0</v>
      </c>
      <c r="P303" t="n">
        <v>0</v>
      </c>
      <c r="Q303" t="n">
        <v>0</v>
      </c>
      <c r="R303" s="2" t="inlineStr"/>
    </row>
    <row r="304" ht="15" customHeight="1">
      <c r="A304" t="inlineStr">
        <is>
          <t>A 56943-2024</t>
        </is>
      </c>
      <c r="B304" s="1" t="n">
        <v>45625</v>
      </c>
      <c r="C304" s="1" t="n">
        <v>45890</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60715-2022</t>
        </is>
      </c>
      <c r="B305" s="1" t="n">
        <v>44912</v>
      </c>
      <c r="C305" s="1" t="n">
        <v>45890</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22349-2024</t>
        </is>
      </c>
      <c r="B306" s="1" t="n">
        <v>45446</v>
      </c>
      <c r="C306" s="1" t="n">
        <v>45890</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45991-2020</t>
        </is>
      </c>
      <c r="B307" s="1" t="n">
        <v>44088</v>
      </c>
      <c r="C307" s="1" t="n">
        <v>45890</v>
      </c>
      <c r="D307" t="inlineStr">
        <is>
          <t>DALARNAS LÄN</t>
        </is>
      </c>
      <c r="E307" t="inlineStr">
        <is>
          <t>LEKSAND</t>
        </is>
      </c>
      <c r="G307" t="n">
        <v>9.9</v>
      </c>
      <c r="H307" t="n">
        <v>0</v>
      </c>
      <c r="I307" t="n">
        <v>0</v>
      </c>
      <c r="J307" t="n">
        <v>0</v>
      </c>
      <c r="K307" t="n">
        <v>0</v>
      </c>
      <c r="L307" t="n">
        <v>0</v>
      </c>
      <c r="M307" t="n">
        <v>0</v>
      </c>
      <c r="N307" t="n">
        <v>0</v>
      </c>
      <c r="O307" t="n">
        <v>0</v>
      </c>
      <c r="P307" t="n">
        <v>0</v>
      </c>
      <c r="Q307" t="n">
        <v>0</v>
      </c>
      <c r="R307" s="2" t="inlineStr"/>
    </row>
    <row r="308" ht="15" customHeight="1">
      <c r="A308" t="inlineStr">
        <is>
          <t>A 21916-2025</t>
        </is>
      </c>
      <c r="B308" s="1" t="n">
        <v>45784.50115740741</v>
      </c>
      <c r="C308" s="1" t="n">
        <v>45890</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15619-2025</t>
        </is>
      </c>
      <c r="B309" s="1" t="n">
        <v>45747</v>
      </c>
      <c r="C309" s="1" t="n">
        <v>45890</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53717-2023</t>
        </is>
      </c>
      <c r="B310" s="1" t="n">
        <v>45230</v>
      </c>
      <c r="C310" s="1" t="n">
        <v>45890</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62307-2023</t>
        </is>
      </c>
      <c r="B311" s="1" t="n">
        <v>45266</v>
      </c>
      <c r="C311" s="1" t="n">
        <v>45890</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14967-2023</t>
        </is>
      </c>
      <c r="B312" s="1" t="n">
        <v>45015</v>
      </c>
      <c r="C312" s="1" t="n">
        <v>45890</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21881-2025</t>
        </is>
      </c>
      <c r="B313" s="1" t="n">
        <v>45784</v>
      </c>
      <c r="C313" s="1" t="n">
        <v>45890</v>
      </c>
      <c r="D313" t="inlineStr">
        <is>
          <t>DALARNAS LÄN</t>
        </is>
      </c>
      <c r="E313" t="inlineStr">
        <is>
          <t>LEKSAND</t>
        </is>
      </c>
      <c r="G313" t="n">
        <v>2</v>
      </c>
      <c r="H313" t="n">
        <v>0</v>
      </c>
      <c r="I313" t="n">
        <v>0</v>
      </c>
      <c r="J313" t="n">
        <v>0</v>
      </c>
      <c r="K313" t="n">
        <v>0</v>
      </c>
      <c r="L313" t="n">
        <v>0</v>
      </c>
      <c r="M313" t="n">
        <v>0</v>
      </c>
      <c r="N313" t="n">
        <v>0</v>
      </c>
      <c r="O313" t="n">
        <v>0</v>
      </c>
      <c r="P313" t="n">
        <v>0</v>
      </c>
      <c r="Q313" t="n">
        <v>0</v>
      </c>
      <c r="R313" s="2" t="inlineStr"/>
    </row>
    <row r="314" ht="15" customHeight="1">
      <c r="A314" t="inlineStr">
        <is>
          <t>A 21954-2023</t>
        </is>
      </c>
      <c r="B314" s="1" t="n">
        <v>45068</v>
      </c>
      <c r="C314" s="1" t="n">
        <v>45890</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7861-2024</t>
        </is>
      </c>
      <c r="B315" s="1" t="n">
        <v>45350.30831018519</v>
      </c>
      <c r="C315" s="1" t="n">
        <v>45890</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57925-2024</t>
        </is>
      </c>
      <c r="B316" s="1" t="n">
        <v>45630</v>
      </c>
      <c r="C316" s="1" t="n">
        <v>45890</v>
      </c>
      <c r="D316" t="inlineStr">
        <is>
          <t>DALARNAS LÄN</t>
        </is>
      </c>
      <c r="E316" t="inlineStr">
        <is>
          <t>LEKSAND</t>
        </is>
      </c>
      <c r="G316" t="n">
        <v>1.1</v>
      </c>
      <c r="H316" t="n">
        <v>0</v>
      </c>
      <c r="I316" t="n">
        <v>0</v>
      </c>
      <c r="J316" t="n">
        <v>0</v>
      </c>
      <c r="K316" t="n">
        <v>0</v>
      </c>
      <c r="L316" t="n">
        <v>0</v>
      </c>
      <c r="M316" t="n">
        <v>0</v>
      </c>
      <c r="N316" t="n">
        <v>0</v>
      </c>
      <c r="O316" t="n">
        <v>0</v>
      </c>
      <c r="P316" t="n">
        <v>0</v>
      </c>
      <c r="Q316" t="n">
        <v>0</v>
      </c>
      <c r="R316" s="2" t="inlineStr"/>
    </row>
    <row r="317" ht="15" customHeight="1">
      <c r="A317" t="inlineStr">
        <is>
          <t>A 36534-2024</t>
        </is>
      </c>
      <c r="B317" s="1" t="n">
        <v>45537.45143518518</v>
      </c>
      <c r="C317" s="1" t="n">
        <v>45890</v>
      </c>
      <c r="D317" t="inlineStr">
        <is>
          <t>DALARNAS LÄN</t>
        </is>
      </c>
      <c r="E317" t="inlineStr">
        <is>
          <t>LEKSAND</t>
        </is>
      </c>
      <c r="G317" t="n">
        <v>4</v>
      </c>
      <c r="H317" t="n">
        <v>0</v>
      </c>
      <c r="I317" t="n">
        <v>0</v>
      </c>
      <c r="J317" t="n">
        <v>0</v>
      </c>
      <c r="K317" t="n">
        <v>0</v>
      </c>
      <c r="L317" t="n">
        <v>0</v>
      </c>
      <c r="M317" t="n">
        <v>0</v>
      </c>
      <c r="N317" t="n">
        <v>0</v>
      </c>
      <c r="O317" t="n">
        <v>0</v>
      </c>
      <c r="P317" t="n">
        <v>0</v>
      </c>
      <c r="Q317" t="n">
        <v>0</v>
      </c>
      <c r="R317" s="2" t="inlineStr"/>
    </row>
    <row r="318" ht="15" customHeight="1">
      <c r="A318" t="inlineStr">
        <is>
          <t>A 11004-2023</t>
        </is>
      </c>
      <c r="B318" s="1" t="n">
        <v>44986</v>
      </c>
      <c r="C318" s="1" t="n">
        <v>45890</v>
      </c>
      <c r="D318" t="inlineStr">
        <is>
          <t>DALARNAS LÄN</t>
        </is>
      </c>
      <c r="E318" t="inlineStr">
        <is>
          <t>LEKSAND</t>
        </is>
      </c>
      <c r="G318" t="n">
        <v>1.3</v>
      </c>
      <c r="H318" t="n">
        <v>0</v>
      </c>
      <c r="I318" t="n">
        <v>0</v>
      </c>
      <c r="J318" t="n">
        <v>0</v>
      </c>
      <c r="K318" t="n">
        <v>0</v>
      </c>
      <c r="L318" t="n">
        <v>0</v>
      </c>
      <c r="M318" t="n">
        <v>0</v>
      </c>
      <c r="N318" t="n">
        <v>0</v>
      </c>
      <c r="O318" t="n">
        <v>0</v>
      </c>
      <c r="P318" t="n">
        <v>0</v>
      </c>
      <c r="Q318" t="n">
        <v>0</v>
      </c>
      <c r="R318" s="2" t="inlineStr"/>
    </row>
    <row r="319" ht="15" customHeight="1">
      <c r="A319" t="inlineStr">
        <is>
          <t>A 14797-2025</t>
        </is>
      </c>
      <c r="B319" s="1" t="n">
        <v>45742.90363425926</v>
      </c>
      <c r="C319" s="1" t="n">
        <v>45890</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32688-2024</t>
        </is>
      </c>
      <c r="B320" s="1" t="n">
        <v>45515.83091435185</v>
      </c>
      <c r="C320" s="1" t="n">
        <v>45890</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59751-2024</t>
        </is>
      </c>
      <c r="B321" s="1" t="n">
        <v>45638</v>
      </c>
      <c r="C321" s="1" t="n">
        <v>45890</v>
      </c>
      <c r="D321" t="inlineStr">
        <is>
          <t>DALARNAS LÄN</t>
        </is>
      </c>
      <c r="E321" t="inlineStr">
        <is>
          <t>LEKSAND</t>
        </is>
      </c>
      <c r="G321" t="n">
        <v>5.2</v>
      </c>
      <c r="H321" t="n">
        <v>0</v>
      </c>
      <c r="I321" t="n">
        <v>0</v>
      </c>
      <c r="J321" t="n">
        <v>0</v>
      </c>
      <c r="K321" t="n">
        <v>0</v>
      </c>
      <c r="L321" t="n">
        <v>0</v>
      </c>
      <c r="M321" t="n">
        <v>0</v>
      </c>
      <c r="N321" t="n">
        <v>0</v>
      </c>
      <c r="O321" t="n">
        <v>0</v>
      </c>
      <c r="P321" t="n">
        <v>0</v>
      </c>
      <c r="Q321" t="n">
        <v>0</v>
      </c>
      <c r="R321" s="2" t="inlineStr"/>
    </row>
    <row r="322" ht="15" customHeight="1">
      <c r="A322" t="inlineStr">
        <is>
          <t>A 28128-2022</t>
        </is>
      </c>
      <c r="B322" s="1" t="n">
        <v>44746.50628472222</v>
      </c>
      <c r="C322" s="1" t="n">
        <v>45890</v>
      </c>
      <c r="D322" t="inlineStr">
        <is>
          <t>DALARNAS LÄN</t>
        </is>
      </c>
      <c r="E322" t="inlineStr">
        <is>
          <t>LEKSAND</t>
        </is>
      </c>
      <c r="G322" t="n">
        <v>3.5</v>
      </c>
      <c r="H322" t="n">
        <v>0</v>
      </c>
      <c r="I322" t="n">
        <v>0</v>
      </c>
      <c r="J322" t="n">
        <v>0</v>
      </c>
      <c r="K322" t="n">
        <v>0</v>
      </c>
      <c r="L322" t="n">
        <v>0</v>
      </c>
      <c r="M322" t="n">
        <v>0</v>
      </c>
      <c r="N322" t="n">
        <v>0</v>
      </c>
      <c r="O322" t="n">
        <v>0</v>
      </c>
      <c r="P322" t="n">
        <v>0</v>
      </c>
      <c r="Q322" t="n">
        <v>0</v>
      </c>
      <c r="R322" s="2" t="inlineStr"/>
    </row>
    <row r="323" ht="15" customHeight="1">
      <c r="A323" t="inlineStr">
        <is>
          <t>A 61787-2022</t>
        </is>
      </c>
      <c r="B323" s="1" t="n">
        <v>44917</v>
      </c>
      <c r="C323" s="1" t="n">
        <v>45890</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43419-2024</t>
        </is>
      </c>
      <c r="B324" s="1" t="n">
        <v>45568</v>
      </c>
      <c r="C324" s="1" t="n">
        <v>45890</v>
      </c>
      <c r="D324" t="inlineStr">
        <is>
          <t>DALARNAS LÄN</t>
        </is>
      </c>
      <c r="E324" t="inlineStr">
        <is>
          <t>LEKSAND</t>
        </is>
      </c>
      <c r="G324" t="n">
        <v>0.4</v>
      </c>
      <c r="H324" t="n">
        <v>0</v>
      </c>
      <c r="I324" t="n">
        <v>0</v>
      </c>
      <c r="J324" t="n">
        <v>0</v>
      </c>
      <c r="K324" t="n">
        <v>0</v>
      </c>
      <c r="L324" t="n">
        <v>0</v>
      </c>
      <c r="M324" t="n">
        <v>0</v>
      </c>
      <c r="N324" t="n">
        <v>0</v>
      </c>
      <c r="O324" t="n">
        <v>0</v>
      </c>
      <c r="P324" t="n">
        <v>0</v>
      </c>
      <c r="Q324" t="n">
        <v>0</v>
      </c>
      <c r="R324" s="2" t="inlineStr"/>
    </row>
    <row r="325" ht="15" customHeight="1">
      <c r="A325" t="inlineStr">
        <is>
          <t>A 22536-2025</t>
        </is>
      </c>
      <c r="B325" s="1" t="n">
        <v>45787.33037037037</v>
      </c>
      <c r="C325" s="1" t="n">
        <v>45890</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22361-2025</t>
        </is>
      </c>
      <c r="B326" s="1" t="n">
        <v>45786.46650462963</v>
      </c>
      <c r="C326" s="1" t="n">
        <v>45890</v>
      </c>
      <c r="D326" t="inlineStr">
        <is>
          <t>DALARNAS LÄN</t>
        </is>
      </c>
      <c r="E326" t="inlineStr">
        <is>
          <t>LEKSAND</t>
        </is>
      </c>
      <c r="G326" t="n">
        <v>3.5</v>
      </c>
      <c r="H326" t="n">
        <v>0</v>
      </c>
      <c r="I326" t="n">
        <v>0</v>
      </c>
      <c r="J326" t="n">
        <v>0</v>
      </c>
      <c r="K326" t="n">
        <v>0</v>
      </c>
      <c r="L326" t="n">
        <v>0</v>
      </c>
      <c r="M326" t="n">
        <v>0</v>
      </c>
      <c r="N326" t="n">
        <v>0</v>
      </c>
      <c r="O326" t="n">
        <v>0</v>
      </c>
      <c r="P326" t="n">
        <v>0</v>
      </c>
      <c r="Q326" t="n">
        <v>0</v>
      </c>
      <c r="R326" s="2" t="inlineStr"/>
    </row>
    <row r="327" ht="15" customHeight="1">
      <c r="A327" t="inlineStr">
        <is>
          <t>A 47854-2023</t>
        </is>
      </c>
      <c r="B327" s="1" t="n">
        <v>45198</v>
      </c>
      <c r="C327" s="1" t="n">
        <v>45890</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60042-2023</t>
        </is>
      </c>
      <c r="B328" s="1" t="n">
        <v>45256</v>
      </c>
      <c r="C328" s="1" t="n">
        <v>45890</v>
      </c>
      <c r="D328" t="inlineStr">
        <is>
          <t>DALARNAS LÄN</t>
        </is>
      </c>
      <c r="E328" t="inlineStr">
        <is>
          <t>LEKSAND</t>
        </is>
      </c>
      <c r="G328" t="n">
        <v>2</v>
      </c>
      <c r="H328" t="n">
        <v>0</v>
      </c>
      <c r="I328" t="n">
        <v>0</v>
      </c>
      <c r="J328" t="n">
        <v>0</v>
      </c>
      <c r="K328" t="n">
        <v>0</v>
      </c>
      <c r="L328" t="n">
        <v>0</v>
      </c>
      <c r="M328" t="n">
        <v>0</v>
      </c>
      <c r="N328" t="n">
        <v>0</v>
      </c>
      <c r="O328" t="n">
        <v>0</v>
      </c>
      <c r="P328" t="n">
        <v>0</v>
      </c>
      <c r="Q328" t="n">
        <v>0</v>
      </c>
      <c r="R328" s="2" t="inlineStr"/>
    </row>
    <row r="329" ht="15" customHeight="1">
      <c r="A329" t="inlineStr">
        <is>
          <t>A 19417-2025</t>
        </is>
      </c>
      <c r="B329" s="1" t="n">
        <v>45769.7234837963</v>
      </c>
      <c r="C329" s="1" t="n">
        <v>45890</v>
      </c>
      <c r="D329" t="inlineStr">
        <is>
          <t>DALARNAS LÄN</t>
        </is>
      </c>
      <c r="E329" t="inlineStr">
        <is>
          <t>LEKSAND</t>
        </is>
      </c>
      <c r="G329" t="n">
        <v>3.3</v>
      </c>
      <c r="H329" t="n">
        <v>0</v>
      </c>
      <c r="I329" t="n">
        <v>0</v>
      </c>
      <c r="J329" t="n">
        <v>0</v>
      </c>
      <c r="K329" t="n">
        <v>0</v>
      </c>
      <c r="L329" t="n">
        <v>0</v>
      </c>
      <c r="M329" t="n">
        <v>0</v>
      </c>
      <c r="N329" t="n">
        <v>0</v>
      </c>
      <c r="O329" t="n">
        <v>0</v>
      </c>
      <c r="P329" t="n">
        <v>0</v>
      </c>
      <c r="Q329" t="n">
        <v>0</v>
      </c>
      <c r="R329" s="2" t="inlineStr"/>
    </row>
    <row r="330" ht="15" customHeight="1">
      <c r="A330" t="inlineStr">
        <is>
          <t>A 28633-2023</t>
        </is>
      </c>
      <c r="B330" s="1" t="n">
        <v>45103.61575231481</v>
      </c>
      <c r="C330" s="1" t="n">
        <v>45890</v>
      </c>
      <c r="D330" t="inlineStr">
        <is>
          <t>DALARNAS LÄN</t>
        </is>
      </c>
      <c r="E330" t="inlineStr">
        <is>
          <t>LEKSAND</t>
        </is>
      </c>
      <c r="F330" t="inlineStr">
        <is>
          <t>Bergvik skog väst AB</t>
        </is>
      </c>
      <c r="G330" t="n">
        <v>0.5</v>
      </c>
      <c r="H330" t="n">
        <v>0</v>
      </c>
      <c r="I330" t="n">
        <v>0</v>
      </c>
      <c r="J330" t="n">
        <v>0</v>
      </c>
      <c r="K330" t="n">
        <v>0</v>
      </c>
      <c r="L330" t="n">
        <v>0</v>
      </c>
      <c r="M330" t="n">
        <v>0</v>
      </c>
      <c r="N330" t="n">
        <v>0</v>
      </c>
      <c r="O330" t="n">
        <v>0</v>
      </c>
      <c r="P330" t="n">
        <v>0</v>
      </c>
      <c r="Q330" t="n">
        <v>0</v>
      </c>
      <c r="R330" s="2" t="inlineStr"/>
    </row>
    <row r="331" ht="15" customHeight="1">
      <c r="A331" t="inlineStr">
        <is>
          <t>A 61269-2022</t>
        </is>
      </c>
      <c r="B331" s="1" t="n">
        <v>44909</v>
      </c>
      <c r="C331" s="1" t="n">
        <v>45890</v>
      </c>
      <c r="D331" t="inlineStr">
        <is>
          <t>DALARNAS LÄN</t>
        </is>
      </c>
      <c r="E331" t="inlineStr">
        <is>
          <t>LEKSAND</t>
        </is>
      </c>
      <c r="G331" t="n">
        <v>4.2</v>
      </c>
      <c r="H331" t="n">
        <v>0</v>
      </c>
      <c r="I331" t="n">
        <v>0</v>
      </c>
      <c r="J331" t="n">
        <v>0</v>
      </c>
      <c r="K331" t="n">
        <v>0</v>
      </c>
      <c r="L331" t="n">
        <v>0</v>
      </c>
      <c r="M331" t="n">
        <v>0</v>
      </c>
      <c r="N331" t="n">
        <v>0</v>
      </c>
      <c r="O331" t="n">
        <v>0</v>
      </c>
      <c r="P331" t="n">
        <v>0</v>
      </c>
      <c r="Q331" t="n">
        <v>0</v>
      </c>
      <c r="R331" s="2" t="inlineStr"/>
    </row>
    <row r="332" ht="15" customHeight="1">
      <c r="A332" t="inlineStr">
        <is>
          <t>A 64933-2023</t>
        </is>
      </c>
      <c r="B332" s="1" t="n">
        <v>45282</v>
      </c>
      <c r="C332" s="1" t="n">
        <v>45890</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9459-2023</t>
        </is>
      </c>
      <c r="B333" s="1" t="n">
        <v>44977</v>
      </c>
      <c r="C333" s="1" t="n">
        <v>45890</v>
      </c>
      <c r="D333" t="inlineStr">
        <is>
          <t>DALARNAS LÄN</t>
        </is>
      </c>
      <c r="E333" t="inlineStr">
        <is>
          <t>LEKSAND</t>
        </is>
      </c>
      <c r="G333" t="n">
        <v>1.1</v>
      </c>
      <c r="H333" t="n">
        <v>0</v>
      </c>
      <c r="I333" t="n">
        <v>0</v>
      </c>
      <c r="J333" t="n">
        <v>0</v>
      </c>
      <c r="K333" t="n">
        <v>0</v>
      </c>
      <c r="L333" t="n">
        <v>0</v>
      </c>
      <c r="M333" t="n">
        <v>0</v>
      </c>
      <c r="N333" t="n">
        <v>0</v>
      </c>
      <c r="O333" t="n">
        <v>0</v>
      </c>
      <c r="P333" t="n">
        <v>0</v>
      </c>
      <c r="Q333" t="n">
        <v>0</v>
      </c>
      <c r="R333" s="2" t="inlineStr"/>
    </row>
    <row r="334" ht="15" customHeight="1">
      <c r="A334" t="inlineStr">
        <is>
          <t>A 24003-2024</t>
        </is>
      </c>
      <c r="B334" s="1" t="n">
        <v>45456.39003472222</v>
      </c>
      <c r="C334" s="1" t="n">
        <v>45890</v>
      </c>
      <c r="D334" t="inlineStr">
        <is>
          <t>DALARNAS LÄN</t>
        </is>
      </c>
      <c r="E334" t="inlineStr">
        <is>
          <t>LEKSAND</t>
        </is>
      </c>
      <c r="F334" t="inlineStr">
        <is>
          <t>Bergvik skog väst AB</t>
        </is>
      </c>
      <c r="G334" t="n">
        <v>3.2</v>
      </c>
      <c r="H334" t="n">
        <v>0</v>
      </c>
      <c r="I334" t="n">
        <v>0</v>
      </c>
      <c r="J334" t="n">
        <v>0</v>
      </c>
      <c r="K334" t="n">
        <v>0</v>
      </c>
      <c r="L334" t="n">
        <v>0</v>
      </c>
      <c r="M334" t="n">
        <v>0</v>
      </c>
      <c r="N334" t="n">
        <v>0</v>
      </c>
      <c r="O334" t="n">
        <v>0</v>
      </c>
      <c r="P334" t="n">
        <v>0</v>
      </c>
      <c r="Q334" t="n">
        <v>0</v>
      </c>
      <c r="R334" s="2" t="inlineStr"/>
    </row>
    <row r="335" ht="15" customHeight="1">
      <c r="A335" t="inlineStr">
        <is>
          <t>A 30198-2024</t>
        </is>
      </c>
      <c r="B335" s="1" t="n">
        <v>45490.34765046297</v>
      </c>
      <c r="C335" s="1" t="n">
        <v>45890</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59718-2023</t>
        </is>
      </c>
      <c r="B336" s="1" t="n">
        <v>45257</v>
      </c>
      <c r="C336" s="1" t="n">
        <v>45890</v>
      </c>
      <c r="D336" t="inlineStr">
        <is>
          <t>DALARNAS LÄN</t>
        </is>
      </c>
      <c r="E336" t="inlineStr">
        <is>
          <t>LEKSAND</t>
        </is>
      </c>
      <c r="G336" t="n">
        <v>2.2</v>
      </c>
      <c r="H336" t="n">
        <v>0</v>
      </c>
      <c r="I336" t="n">
        <v>0</v>
      </c>
      <c r="J336" t="n">
        <v>0</v>
      </c>
      <c r="K336" t="n">
        <v>0</v>
      </c>
      <c r="L336" t="n">
        <v>0</v>
      </c>
      <c r="M336" t="n">
        <v>0</v>
      </c>
      <c r="N336" t="n">
        <v>0</v>
      </c>
      <c r="O336" t="n">
        <v>0</v>
      </c>
      <c r="P336" t="n">
        <v>0</v>
      </c>
      <c r="Q336" t="n">
        <v>0</v>
      </c>
      <c r="R336" s="2" t="inlineStr"/>
    </row>
    <row r="337" ht="15" customHeight="1">
      <c r="A337" t="inlineStr">
        <is>
          <t>A 34244-2024</t>
        </is>
      </c>
      <c r="B337" s="1" t="n">
        <v>45524.58349537037</v>
      </c>
      <c r="C337" s="1" t="n">
        <v>45890</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7395-2025</t>
        </is>
      </c>
      <c r="B338" s="1" t="n">
        <v>45705.34516203704</v>
      </c>
      <c r="C338" s="1" t="n">
        <v>45890</v>
      </c>
      <c r="D338" t="inlineStr">
        <is>
          <t>DALARNAS LÄN</t>
        </is>
      </c>
      <c r="E338" t="inlineStr">
        <is>
          <t>LEKSAND</t>
        </is>
      </c>
      <c r="G338" t="n">
        <v>1.8</v>
      </c>
      <c r="H338" t="n">
        <v>0</v>
      </c>
      <c r="I338" t="n">
        <v>0</v>
      </c>
      <c r="J338" t="n">
        <v>0</v>
      </c>
      <c r="K338" t="n">
        <v>0</v>
      </c>
      <c r="L338" t="n">
        <v>0</v>
      </c>
      <c r="M338" t="n">
        <v>0</v>
      </c>
      <c r="N338" t="n">
        <v>0</v>
      </c>
      <c r="O338" t="n">
        <v>0</v>
      </c>
      <c r="P338" t="n">
        <v>0</v>
      </c>
      <c r="Q338" t="n">
        <v>0</v>
      </c>
      <c r="R338" s="2" t="inlineStr"/>
    </row>
    <row r="339" ht="15" customHeight="1">
      <c r="A339" t="inlineStr">
        <is>
          <t>A 16744-2025</t>
        </is>
      </c>
      <c r="B339" s="1" t="n">
        <v>45754</v>
      </c>
      <c r="C339" s="1" t="n">
        <v>45890</v>
      </c>
      <c r="D339" t="inlineStr">
        <is>
          <t>DALARNAS LÄN</t>
        </is>
      </c>
      <c r="E339" t="inlineStr">
        <is>
          <t>LEKSAND</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34585-2024</t>
        </is>
      </c>
      <c r="B340" s="1" t="n">
        <v>45526.37697916666</v>
      </c>
      <c r="C340" s="1" t="n">
        <v>45890</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11859-2024</t>
        </is>
      </c>
      <c r="B341" s="1" t="n">
        <v>45376.44569444445</v>
      </c>
      <c r="C341" s="1" t="n">
        <v>45890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10743-2024</t>
        </is>
      </c>
      <c r="B342" s="1" t="n">
        <v>45369.52167824074</v>
      </c>
      <c r="C342" s="1" t="n">
        <v>45890</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10771-2024</t>
        </is>
      </c>
      <c r="B343" s="1" t="n">
        <v>45369.57342592593</v>
      </c>
      <c r="C343" s="1" t="n">
        <v>45890</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51320-2023</t>
        </is>
      </c>
      <c r="B344" s="1" t="n">
        <v>45219.57456018519</v>
      </c>
      <c r="C344" s="1" t="n">
        <v>45890</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28630-2023</t>
        </is>
      </c>
      <c r="B345" s="1" t="n">
        <v>45103.61003472222</v>
      </c>
      <c r="C345" s="1" t="n">
        <v>45890</v>
      </c>
      <c r="D345" t="inlineStr">
        <is>
          <t>DALARNAS LÄN</t>
        </is>
      </c>
      <c r="E345" t="inlineStr">
        <is>
          <t>LEKSAND</t>
        </is>
      </c>
      <c r="F345" t="inlineStr">
        <is>
          <t>Bergvik skog väst AB</t>
        </is>
      </c>
      <c r="G345" t="n">
        <v>0.3</v>
      </c>
      <c r="H345" t="n">
        <v>0</v>
      </c>
      <c r="I345" t="n">
        <v>0</v>
      </c>
      <c r="J345" t="n">
        <v>0</v>
      </c>
      <c r="K345" t="n">
        <v>0</v>
      </c>
      <c r="L345" t="n">
        <v>0</v>
      </c>
      <c r="M345" t="n">
        <v>0</v>
      </c>
      <c r="N345" t="n">
        <v>0</v>
      </c>
      <c r="O345" t="n">
        <v>0</v>
      </c>
      <c r="P345" t="n">
        <v>0</v>
      </c>
      <c r="Q345" t="n">
        <v>0</v>
      </c>
      <c r="R345" s="2" t="inlineStr"/>
    </row>
    <row r="346" ht="15" customHeight="1">
      <c r="A346" t="inlineStr">
        <is>
          <t>A 16829-2025</t>
        </is>
      </c>
      <c r="B346" s="1" t="n">
        <v>45754</v>
      </c>
      <c r="C346" s="1" t="n">
        <v>45890</v>
      </c>
      <c r="D346" t="inlineStr">
        <is>
          <t>DALARNAS LÄN</t>
        </is>
      </c>
      <c r="E346" t="inlineStr">
        <is>
          <t>LEKSAND</t>
        </is>
      </c>
      <c r="F346" t="inlineStr">
        <is>
          <t>Bergvik skog väst AB</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30860-2024</t>
        </is>
      </c>
      <c r="B347" s="1" t="n">
        <v>45497.69108796296</v>
      </c>
      <c r="C347" s="1" t="n">
        <v>45890</v>
      </c>
      <c r="D347" t="inlineStr">
        <is>
          <t>DALARNAS LÄN</t>
        </is>
      </c>
      <c r="E347" t="inlineStr">
        <is>
          <t>LEKSAND</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30864-2024</t>
        </is>
      </c>
      <c r="B348" s="1" t="n">
        <v>45497.71550925926</v>
      </c>
      <c r="C348" s="1" t="n">
        <v>45890</v>
      </c>
      <c r="D348" t="inlineStr">
        <is>
          <t>DALARNAS LÄN</t>
        </is>
      </c>
      <c r="E348" t="inlineStr">
        <is>
          <t>LEKSAND</t>
        </is>
      </c>
      <c r="F348" t="inlineStr">
        <is>
          <t>Bergvik skog väst AB</t>
        </is>
      </c>
      <c r="G348" t="n">
        <v>2.3</v>
      </c>
      <c r="H348" t="n">
        <v>0</v>
      </c>
      <c r="I348" t="n">
        <v>0</v>
      </c>
      <c r="J348" t="n">
        <v>0</v>
      </c>
      <c r="K348" t="n">
        <v>0</v>
      </c>
      <c r="L348" t="n">
        <v>0</v>
      </c>
      <c r="M348" t="n">
        <v>0</v>
      </c>
      <c r="N348" t="n">
        <v>0</v>
      </c>
      <c r="O348" t="n">
        <v>0</v>
      </c>
      <c r="P348" t="n">
        <v>0</v>
      </c>
      <c r="Q348" t="n">
        <v>0</v>
      </c>
      <c r="R348" s="2" t="inlineStr"/>
    </row>
    <row r="349" ht="15" customHeight="1">
      <c r="A349" t="inlineStr">
        <is>
          <t>A 56941-2024</t>
        </is>
      </c>
      <c r="B349" s="1" t="n">
        <v>45625</v>
      </c>
      <c r="C349" s="1" t="n">
        <v>45890</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57468-2023</t>
        </is>
      </c>
      <c r="B350" s="1" t="n">
        <v>45246</v>
      </c>
      <c r="C350" s="1" t="n">
        <v>45890</v>
      </c>
      <c r="D350" t="inlineStr">
        <is>
          <t>DALARNAS LÄN</t>
        </is>
      </c>
      <c r="E350" t="inlineStr">
        <is>
          <t>LEKSAND</t>
        </is>
      </c>
      <c r="G350" t="n">
        <v>4.6</v>
      </c>
      <c r="H350" t="n">
        <v>0</v>
      </c>
      <c r="I350" t="n">
        <v>0</v>
      </c>
      <c r="J350" t="n">
        <v>0</v>
      </c>
      <c r="K350" t="n">
        <v>0</v>
      </c>
      <c r="L350" t="n">
        <v>0</v>
      </c>
      <c r="M350" t="n">
        <v>0</v>
      </c>
      <c r="N350" t="n">
        <v>0</v>
      </c>
      <c r="O350" t="n">
        <v>0</v>
      </c>
      <c r="P350" t="n">
        <v>0</v>
      </c>
      <c r="Q350" t="n">
        <v>0</v>
      </c>
      <c r="R350" s="2" t="inlineStr"/>
    </row>
    <row r="351" ht="15" customHeight="1">
      <c r="A351" t="inlineStr">
        <is>
          <t>A 16051-2023</t>
        </is>
      </c>
      <c r="B351" s="1" t="n">
        <v>45027</v>
      </c>
      <c r="C351" s="1" t="n">
        <v>45890</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63514-2023</t>
        </is>
      </c>
      <c r="B352" s="1" t="n">
        <v>45274</v>
      </c>
      <c r="C352" s="1" t="n">
        <v>45890</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2311-2021</t>
        </is>
      </c>
      <c r="B353" s="1" t="n">
        <v>44213</v>
      </c>
      <c r="C353" s="1" t="n">
        <v>45890</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46446-2023</t>
        </is>
      </c>
      <c r="B354" s="1" t="n">
        <v>45197.59344907408</v>
      </c>
      <c r="C354" s="1" t="n">
        <v>45890</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52100-2024</t>
        </is>
      </c>
      <c r="B355" s="1" t="n">
        <v>45608.41634259259</v>
      </c>
      <c r="C355" s="1" t="n">
        <v>45890</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53981-2024</t>
        </is>
      </c>
      <c r="B356" s="1" t="n">
        <v>45615</v>
      </c>
      <c r="C356" s="1" t="n">
        <v>45890</v>
      </c>
      <c r="D356" t="inlineStr">
        <is>
          <t>DALARNAS LÄN</t>
        </is>
      </c>
      <c r="E356" t="inlineStr">
        <is>
          <t>LEKSAND</t>
        </is>
      </c>
      <c r="G356" t="n">
        <v>5.4</v>
      </c>
      <c r="H356" t="n">
        <v>0</v>
      </c>
      <c r="I356" t="n">
        <v>0</v>
      </c>
      <c r="J356" t="n">
        <v>0</v>
      </c>
      <c r="K356" t="n">
        <v>0</v>
      </c>
      <c r="L356" t="n">
        <v>0</v>
      </c>
      <c r="M356" t="n">
        <v>0</v>
      </c>
      <c r="N356" t="n">
        <v>0</v>
      </c>
      <c r="O356" t="n">
        <v>0</v>
      </c>
      <c r="P356" t="n">
        <v>0</v>
      </c>
      <c r="Q356" t="n">
        <v>0</v>
      </c>
      <c r="R356" s="2" t="inlineStr"/>
    </row>
    <row r="357" ht="15" customHeight="1">
      <c r="A357" t="inlineStr">
        <is>
          <t>A 61252-2023</t>
        </is>
      </c>
      <c r="B357" s="1" t="n">
        <v>45261</v>
      </c>
      <c r="C357" s="1" t="n">
        <v>45890</v>
      </c>
      <c r="D357" t="inlineStr">
        <is>
          <t>DALARNAS LÄN</t>
        </is>
      </c>
      <c r="E357" t="inlineStr">
        <is>
          <t>LEKSAND</t>
        </is>
      </c>
      <c r="G357" t="n">
        <v>1.9</v>
      </c>
      <c r="H357" t="n">
        <v>0</v>
      </c>
      <c r="I357" t="n">
        <v>0</v>
      </c>
      <c r="J357" t="n">
        <v>0</v>
      </c>
      <c r="K357" t="n">
        <v>0</v>
      </c>
      <c r="L357" t="n">
        <v>0</v>
      </c>
      <c r="M357" t="n">
        <v>0</v>
      </c>
      <c r="N357" t="n">
        <v>0</v>
      </c>
      <c r="O357" t="n">
        <v>0</v>
      </c>
      <c r="P357" t="n">
        <v>0</v>
      </c>
      <c r="Q357" t="n">
        <v>0</v>
      </c>
      <c r="R357" s="2" t="inlineStr"/>
    </row>
    <row r="358" ht="15" customHeight="1">
      <c r="A358" t="inlineStr">
        <is>
          <t>A 34033-2024</t>
        </is>
      </c>
      <c r="B358" s="1" t="n">
        <v>45523.59265046296</v>
      </c>
      <c r="C358" s="1" t="n">
        <v>45890</v>
      </c>
      <c r="D358" t="inlineStr">
        <is>
          <t>DALARNAS LÄN</t>
        </is>
      </c>
      <c r="E358" t="inlineStr">
        <is>
          <t>LEKSAND</t>
        </is>
      </c>
      <c r="G358" t="n">
        <v>2.6</v>
      </c>
      <c r="H358" t="n">
        <v>0</v>
      </c>
      <c r="I358" t="n">
        <v>0</v>
      </c>
      <c r="J358" t="n">
        <v>0</v>
      </c>
      <c r="K358" t="n">
        <v>0</v>
      </c>
      <c r="L358" t="n">
        <v>0</v>
      </c>
      <c r="M358" t="n">
        <v>0</v>
      </c>
      <c r="N358" t="n">
        <v>0</v>
      </c>
      <c r="O358" t="n">
        <v>0</v>
      </c>
      <c r="P358" t="n">
        <v>0</v>
      </c>
      <c r="Q358" t="n">
        <v>0</v>
      </c>
      <c r="R358" s="2" t="inlineStr"/>
    </row>
    <row r="359" ht="15" customHeight="1">
      <c r="A359" t="inlineStr">
        <is>
          <t>A 22876-2025</t>
        </is>
      </c>
      <c r="B359" s="1" t="n">
        <v>45790.3728587963</v>
      </c>
      <c r="C359" s="1" t="n">
        <v>45890</v>
      </c>
      <c r="D359" t="inlineStr">
        <is>
          <t>DALARNAS LÄN</t>
        </is>
      </c>
      <c r="E359" t="inlineStr">
        <is>
          <t>LEKSAND</t>
        </is>
      </c>
      <c r="G359" t="n">
        <v>5.9</v>
      </c>
      <c r="H359" t="n">
        <v>0</v>
      </c>
      <c r="I359" t="n">
        <v>0</v>
      </c>
      <c r="J359" t="n">
        <v>0</v>
      </c>
      <c r="K359" t="n">
        <v>0</v>
      </c>
      <c r="L359" t="n">
        <v>0</v>
      </c>
      <c r="M359" t="n">
        <v>0</v>
      </c>
      <c r="N359" t="n">
        <v>0</v>
      </c>
      <c r="O359" t="n">
        <v>0</v>
      </c>
      <c r="P359" t="n">
        <v>0</v>
      </c>
      <c r="Q359" t="n">
        <v>0</v>
      </c>
      <c r="R359" s="2" t="inlineStr"/>
    </row>
    <row r="360" ht="15" customHeight="1">
      <c r="A360" t="inlineStr">
        <is>
          <t>A 14504-2025</t>
        </is>
      </c>
      <c r="B360" s="1" t="n">
        <v>45741</v>
      </c>
      <c r="C360" s="1" t="n">
        <v>45890</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45512-2023</t>
        </is>
      </c>
      <c r="B361" s="1" t="n">
        <v>45194.49178240741</v>
      </c>
      <c r="C361" s="1" t="n">
        <v>45890</v>
      </c>
      <c r="D361" t="inlineStr">
        <is>
          <t>DALARNAS LÄN</t>
        </is>
      </c>
      <c r="E361" t="inlineStr">
        <is>
          <t>LEKSAND</t>
        </is>
      </c>
      <c r="F361" t="inlineStr">
        <is>
          <t>Bergvik skog väst AB</t>
        </is>
      </c>
      <c r="G361" t="n">
        <v>3.4</v>
      </c>
      <c r="H361" t="n">
        <v>0</v>
      </c>
      <c r="I361" t="n">
        <v>0</v>
      </c>
      <c r="J361" t="n">
        <v>0</v>
      </c>
      <c r="K361" t="n">
        <v>0</v>
      </c>
      <c r="L361" t="n">
        <v>0</v>
      </c>
      <c r="M361" t="n">
        <v>0</v>
      </c>
      <c r="N361" t="n">
        <v>0</v>
      </c>
      <c r="O361" t="n">
        <v>0</v>
      </c>
      <c r="P361" t="n">
        <v>0</v>
      </c>
      <c r="Q361" t="n">
        <v>0</v>
      </c>
      <c r="R361" s="2" t="inlineStr"/>
    </row>
    <row r="362" ht="15" customHeight="1">
      <c r="A362" t="inlineStr">
        <is>
          <t>A 49499-2024</t>
        </is>
      </c>
      <c r="B362" s="1" t="n">
        <v>45596</v>
      </c>
      <c r="C362" s="1" t="n">
        <v>45890</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44822-2024</t>
        </is>
      </c>
      <c r="B363" s="1" t="n">
        <v>45574.6646412037</v>
      </c>
      <c r="C363" s="1" t="n">
        <v>45890</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22947-2025</t>
        </is>
      </c>
      <c r="B364" s="1" t="n">
        <v>45790.48791666667</v>
      </c>
      <c r="C364" s="1" t="n">
        <v>45890</v>
      </c>
      <c r="D364" t="inlineStr">
        <is>
          <t>DALARNAS LÄN</t>
        </is>
      </c>
      <c r="E364" t="inlineStr">
        <is>
          <t>LEKSAND</t>
        </is>
      </c>
      <c r="G364" t="n">
        <v>4.6</v>
      </c>
      <c r="H364" t="n">
        <v>0</v>
      </c>
      <c r="I364" t="n">
        <v>0</v>
      </c>
      <c r="J364" t="n">
        <v>0</v>
      </c>
      <c r="K364" t="n">
        <v>0</v>
      </c>
      <c r="L364" t="n">
        <v>0</v>
      </c>
      <c r="M364" t="n">
        <v>0</v>
      </c>
      <c r="N364" t="n">
        <v>0</v>
      </c>
      <c r="O364" t="n">
        <v>0</v>
      </c>
      <c r="P364" t="n">
        <v>0</v>
      </c>
      <c r="Q364" t="n">
        <v>0</v>
      </c>
      <c r="R364" s="2" t="inlineStr"/>
    </row>
    <row r="365" ht="15" customHeight="1">
      <c r="A365" t="inlineStr">
        <is>
          <t>A 23058-2025</t>
        </is>
      </c>
      <c r="B365" s="1" t="n">
        <v>45790.78076388889</v>
      </c>
      <c r="C365" s="1" t="n">
        <v>45890</v>
      </c>
      <c r="D365" t="inlineStr">
        <is>
          <t>DALARNAS LÄN</t>
        </is>
      </c>
      <c r="E365" t="inlineStr">
        <is>
          <t>LEKSAND</t>
        </is>
      </c>
      <c r="G365" t="n">
        <v>6.7</v>
      </c>
      <c r="H365" t="n">
        <v>0</v>
      </c>
      <c r="I365" t="n">
        <v>0</v>
      </c>
      <c r="J365" t="n">
        <v>0</v>
      </c>
      <c r="K365" t="n">
        <v>0</v>
      </c>
      <c r="L365" t="n">
        <v>0</v>
      </c>
      <c r="M365" t="n">
        <v>0</v>
      </c>
      <c r="N365" t="n">
        <v>0</v>
      </c>
      <c r="O365" t="n">
        <v>0</v>
      </c>
      <c r="P365" t="n">
        <v>0</v>
      </c>
      <c r="Q365" t="n">
        <v>0</v>
      </c>
      <c r="R365" s="2" t="inlineStr"/>
    </row>
    <row r="366" ht="15" customHeight="1">
      <c r="A366" t="inlineStr">
        <is>
          <t>A 23076-2025</t>
        </is>
      </c>
      <c r="B366" s="1" t="n">
        <v>45790.90960648148</v>
      </c>
      <c r="C366" s="1" t="n">
        <v>45890</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23852-2025</t>
        </is>
      </c>
      <c r="B367" s="1" t="n">
        <v>45793.65388888889</v>
      </c>
      <c r="C367" s="1" t="n">
        <v>45890</v>
      </c>
      <c r="D367" t="inlineStr">
        <is>
          <t>DALARNAS LÄN</t>
        </is>
      </c>
      <c r="E367" t="inlineStr">
        <is>
          <t>LEKSAND</t>
        </is>
      </c>
      <c r="G367" t="n">
        <v>3</v>
      </c>
      <c r="H367" t="n">
        <v>0</v>
      </c>
      <c r="I367" t="n">
        <v>0</v>
      </c>
      <c r="J367" t="n">
        <v>0</v>
      </c>
      <c r="K367" t="n">
        <v>0</v>
      </c>
      <c r="L367" t="n">
        <v>0</v>
      </c>
      <c r="M367" t="n">
        <v>0</v>
      </c>
      <c r="N367" t="n">
        <v>0</v>
      </c>
      <c r="O367" t="n">
        <v>0</v>
      </c>
      <c r="P367" t="n">
        <v>0</v>
      </c>
      <c r="Q367" t="n">
        <v>0</v>
      </c>
      <c r="R367" s="2" t="inlineStr"/>
    </row>
    <row r="368" ht="15" customHeight="1">
      <c r="A368" t="inlineStr">
        <is>
          <t>A 23855-2025</t>
        </is>
      </c>
      <c r="B368" s="1" t="n">
        <v>45793.65900462963</v>
      </c>
      <c r="C368" s="1" t="n">
        <v>45890</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60024-2023</t>
        </is>
      </c>
      <c r="B369" s="1" t="n">
        <v>45258</v>
      </c>
      <c r="C369" s="1" t="n">
        <v>45890</v>
      </c>
      <c r="D369" t="inlineStr">
        <is>
          <t>DALARNAS LÄN</t>
        </is>
      </c>
      <c r="E369" t="inlineStr">
        <is>
          <t>LEKSAND</t>
        </is>
      </c>
      <c r="G369" t="n">
        <v>4.2</v>
      </c>
      <c r="H369" t="n">
        <v>0</v>
      </c>
      <c r="I369" t="n">
        <v>0</v>
      </c>
      <c r="J369" t="n">
        <v>0</v>
      </c>
      <c r="K369" t="n">
        <v>0</v>
      </c>
      <c r="L369" t="n">
        <v>0</v>
      </c>
      <c r="M369" t="n">
        <v>0</v>
      </c>
      <c r="N369" t="n">
        <v>0</v>
      </c>
      <c r="O369" t="n">
        <v>0</v>
      </c>
      <c r="P369" t="n">
        <v>0</v>
      </c>
      <c r="Q369" t="n">
        <v>0</v>
      </c>
      <c r="R369" s="2" t="inlineStr"/>
    </row>
    <row r="370" ht="15" customHeight="1">
      <c r="A370" t="inlineStr">
        <is>
          <t>A 64516-2023</t>
        </is>
      </c>
      <c r="B370" s="1" t="n">
        <v>45280</v>
      </c>
      <c r="C370" s="1" t="n">
        <v>45890</v>
      </c>
      <c r="D370" t="inlineStr">
        <is>
          <t>DALARNAS LÄN</t>
        </is>
      </c>
      <c r="E370" t="inlineStr">
        <is>
          <t>LEKSAND</t>
        </is>
      </c>
      <c r="G370" t="n">
        <v>4.4</v>
      </c>
      <c r="H370" t="n">
        <v>0</v>
      </c>
      <c r="I370" t="n">
        <v>0</v>
      </c>
      <c r="J370" t="n">
        <v>0</v>
      </c>
      <c r="K370" t="n">
        <v>0</v>
      </c>
      <c r="L370" t="n">
        <v>0</v>
      </c>
      <c r="M370" t="n">
        <v>0</v>
      </c>
      <c r="N370" t="n">
        <v>0</v>
      </c>
      <c r="O370" t="n">
        <v>0</v>
      </c>
      <c r="P370" t="n">
        <v>0</v>
      </c>
      <c r="Q370" t="n">
        <v>0</v>
      </c>
      <c r="R370" s="2" t="inlineStr"/>
    </row>
    <row r="371" ht="15" customHeight="1">
      <c r="A371" t="inlineStr">
        <is>
          <t>A 19330-2025</t>
        </is>
      </c>
      <c r="B371" s="1" t="n">
        <v>45769</v>
      </c>
      <c r="C371" s="1" t="n">
        <v>45890</v>
      </c>
      <c r="D371" t="inlineStr">
        <is>
          <t>DALARNAS LÄN</t>
        </is>
      </c>
      <c r="E371" t="inlineStr">
        <is>
          <t>LEKSAND</t>
        </is>
      </c>
      <c r="G371" t="n">
        <v>1.6</v>
      </c>
      <c r="H371" t="n">
        <v>0</v>
      </c>
      <c r="I371" t="n">
        <v>0</v>
      </c>
      <c r="J371" t="n">
        <v>0</v>
      </c>
      <c r="K371" t="n">
        <v>0</v>
      </c>
      <c r="L371" t="n">
        <v>0</v>
      </c>
      <c r="M371" t="n">
        <v>0</v>
      </c>
      <c r="N371" t="n">
        <v>0</v>
      </c>
      <c r="O371" t="n">
        <v>0</v>
      </c>
      <c r="P371" t="n">
        <v>0</v>
      </c>
      <c r="Q371" t="n">
        <v>0</v>
      </c>
      <c r="R371" s="2" t="inlineStr"/>
    </row>
    <row r="372" ht="15" customHeight="1">
      <c r="A372" t="inlineStr">
        <is>
          <t>A 45788-2021</t>
        </is>
      </c>
      <c r="B372" s="1" t="n">
        <v>44441</v>
      </c>
      <c r="C372" s="1" t="n">
        <v>45890</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59826-2023</t>
        </is>
      </c>
      <c r="B373" s="1" t="n">
        <v>45254</v>
      </c>
      <c r="C373" s="1" t="n">
        <v>45890</v>
      </c>
      <c r="D373" t="inlineStr">
        <is>
          <t>DALARNAS LÄN</t>
        </is>
      </c>
      <c r="E373" t="inlineStr">
        <is>
          <t>LEKSAND</t>
        </is>
      </c>
      <c r="G373" t="n">
        <v>1.1</v>
      </c>
      <c r="H373" t="n">
        <v>0</v>
      </c>
      <c r="I373" t="n">
        <v>0</v>
      </c>
      <c r="J373" t="n">
        <v>0</v>
      </c>
      <c r="K373" t="n">
        <v>0</v>
      </c>
      <c r="L373" t="n">
        <v>0</v>
      </c>
      <c r="M373" t="n">
        <v>0</v>
      </c>
      <c r="N373" t="n">
        <v>0</v>
      </c>
      <c r="O373" t="n">
        <v>0</v>
      </c>
      <c r="P373" t="n">
        <v>0</v>
      </c>
      <c r="Q373" t="n">
        <v>0</v>
      </c>
      <c r="R373" s="2" t="inlineStr"/>
    </row>
    <row r="374" ht="15" customHeight="1">
      <c r="A374" t="inlineStr">
        <is>
          <t>A 28913-2024</t>
        </is>
      </c>
      <c r="B374" s="1" t="n">
        <v>45480.75318287037</v>
      </c>
      <c r="C374" s="1" t="n">
        <v>45890</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14617-2024</t>
        </is>
      </c>
      <c r="B375" s="1" t="n">
        <v>45397</v>
      </c>
      <c r="C375" s="1" t="n">
        <v>45890</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23891-2025</t>
        </is>
      </c>
      <c r="B376" s="1" t="n">
        <v>45793</v>
      </c>
      <c r="C376" s="1" t="n">
        <v>45890</v>
      </c>
      <c r="D376" t="inlineStr">
        <is>
          <t>DALARNAS LÄN</t>
        </is>
      </c>
      <c r="E376" t="inlineStr">
        <is>
          <t>LEKSAND</t>
        </is>
      </c>
      <c r="F376" t="inlineStr">
        <is>
          <t>Kommuner</t>
        </is>
      </c>
      <c r="G376" t="n">
        <v>1.5</v>
      </c>
      <c r="H376" t="n">
        <v>0</v>
      </c>
      <c r="I376" t="n">
        <v>0</v>
      </c>
      <c r="J376" t="n">
        <v>0</v>
      </c>
      <c r="K376" t="n">
        <v>0</v>
      </c>
      <c r="L376" t="n">
        <v>0</v>
      </c>
      <c r="M376" t="n">
        <v>0</v>
      </c>
      <c r="N376" t="n">
        <v>0</v>
      </c>
      <c r="O376" t="n">
        <v>0</v>
      </c>
      <c r="P376" t="n">
        <v>0</v>
      </c>
      <c r="Q376" t="n">
        <v>0</v>
      </c>
      <c r="R376" s="2" t="inlineStr"/>
    </row>
    <row r="377" ht="15" customHeight="1">
      <c r="A377" t="inlineStr">
        <is>
          <t>A 52977-2022</t>
        </is>
      </c>
      <c r="B377" s="1" t="n">
        <v>44875</v>
      </c>
      <c r="C377" s="1" t="n">
        <v>45890</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60945-2024</t>
        </is>
      </c>
      <c r="B378" s="1" t="n">
        <v>45645.37893518519</v>
      </c>
      <c r="C378" s="1" t="n">
        <v>45890</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60692-2023</t>
        </is>
      </c>
      <c r="B379" s="1" t="n">
        <v>45260.50008101852</v>
      </c>
      <c r="C379" s="1" t="n">
        <v>45890</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45890</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43221-2024</t>
        </is>
      </c>
      <c r="B381" s="1" t="n">
        <v>45567.86695601852</v>
      </c>
      <c r="C381" s="1" t="n">
        <v>45890</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44491-2023</t>
        </is>
      </c>
      <c r="B382" s="1" t="n">
        <v>45183</v>
      </c>
      <c r="C382" s="1" t="n">
        <v>45890</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23517-2025</t>
        </is>
      </c>
      <c r="B383" s="1" t="n">
        <v>45792</v>
      </c>
      <c r="C383" s="1" t="n">
        <v>45890</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17589-2025</t>
        </is>
      </c>
      <c r="B384" s="1" t="n">
        <v>45757.67844907408</v>
      </c>
      <c r="C384" s="1" t="n">
        <v>45890</v>
      </c>
      <c r="D384" t="inlineStr">
        <is>
          <t>DALARNAS LÄN</t>
        </is>
      </c>
      <c r="E384" t="inlineStr">
        <is>
          <t>LEKSAND</t>
        </is>
      </c>
      <c r="G384" t="n">
        <v>5.8</v>
      </c>
      <c r="H384" t="n">
        <v>0</v>
      </c>
      <c r="I384" t="n">
        <v>0</v>
      </c>
      <c r="J384" t="n">
        <v>0</v>
      </c>
      <c r="K384" t="n">
        <v>0</v>
      </c>
      <c r="L384" t="n">
        <v>0</v>
      </c>
      <c r="M384" t="n">
        <v>0</v>
      </c>
      <c r="N384" t="n">
        <v>0</v>
      </c>
      <c r="O384" t="n">
        <v>0</v>
      </c>
      <c r="P384" t="n">
        <v>0</v>
      </c>
      <c r="Q384" t="n">
        <v>0</v>
      </c>
      <c r="R384" s="2" t="inlineStr"/>
    </row>
    <row r="385" ht="15" customHeight="1">
      <c r="A385" t="inlineStr">
        <is>
          <t>A 29157-2022</t>
        </is>
      </c>
      <c r="B385" s="1" t="n">
        <v>44750.48355324074</v>
      </c>
      <c r="C385" s="1" t="n">
        <v>45890</v>
      </c>
      <c r="D385" t="inlineStr">
        <is>
          <t>DALARNAS LÄN</t>
        </is>
      </c>
      <c r="E385" t="inlineStr">
        <is>
          <t>LEKSAND</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60920-2020</t>
        </is>
      </c>
      <c r="B386" s="1" t="n">
        <v>44153</v>
      </c>
      <c r="C386" s="1" t="n">
        <v>45890</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61614-2023</t>
        </is>
      </c>
      <c r="B387" s="1" t="n">
        <v>45261</v>
      </c>
      <c r="C387" s="1" t="n">
        <v>45890</v>
      </c>
      <c r="D387" t="inlineStr">
        <is>
          <t>DALARNAS LÄN</t>
        </is>
      </c>
      <c r="E387" t="inlineStr">
        <is>
          <t>LEKSAND</t>
        </is>
      </c>
      <c r="G387" t="n">
        <v>0.8</v>
      </c>
      <c r="H387" t="n">
        <v>0</v>
      </c>
      <c r="I387" t="n">
        <v>0</v>
      </c>
      <c r="J387" t="n">
        <v>0</v>
      </c>
      <c r="K387" t="n">
        <v>0</v>
      </c>
      <c r="L387" t="n">
        <v>0</v>
      </c>
      <c r="M387" t="n">
        <v>0</v>
      </c>
      <c r="N387" t="n">
        <v>0</v>
      </c>
      <c r="O387" t="n">
        <v>0</v>
      </c>
      <c r="P387" t="n">
        <v>0</v>
      </c>
      <c r="Q387" t="n">
        <v>0</v>
      </c>
      <c r="R387" s="2" t="inlineStr"/>
    </row>
    <row r="388" ht="15" customHeight="1">
      <c r="A388" t="inlineStr">
        <is>
          <t>A 11080-2023</t>
        </is>
      </c>
      <c r="B388" s="1" t="n">
        <v>44992</v>
      </c>
      <c r="C388" s="1" t="n">
        <v>45890</v>
      </c>
      <c r="D388" t="inlineStr">
        <is>
          <t>DALARNAS LÄN</t>
        </is>
      </c>
      <c r="E388" t="inlineStr">
        <is>
          <t>LEKSAND</t>
        </is>
      </c>
      <c r="G388" t="n">
        <v>6.9</v>
      </c>
      <c r="H388" t="n">
        <v>0</v>
      </c>
      <c r="I388" t="n">
        <v>0</v>
      </c>
      <c r="J388" t="n">
        <v>0</v>
      </c>
      <c r="K388" t="n">
        <v>0</v>
      </c>
      <c r="L388" t="n">
        <v>0</v>
      </c>
      <c r="M388" t="n">
        <v>0</v>
      </c>
      <c r="N388" t="n">
        <v>0</v>
      </c>
      <c r="O388" t="n">
        <v>0</v>
      </c>
      <c r="P388" t="n">
        <v>0</v>
      </c>
      <c r="Q388" t="n">
        <v>0</v>
      </c>
      <c r="R388" s="2" t="inlineStr"/>
    </row>
    <row r="389" ht="15" customHeight="1">
      <c r="A389" t="inlineStr">
        <is>
          <t>A 320-2023</t>
        </is>
      </c>
      <c r="B389" s="1" t="n">
        <v>44929</v>
      </c>
      <c r="C389" s="1" t="n">
        <v>45890</v>
      </c>
      <c r="D389" t="inlineStr">
        <is>
          <t>DALARNAS LÄN</t>
        </is>
      </c>
      <c r="E389" t="inlineStr">
        <is>
          <t>LEKSAND</t>
        </is>
      </c>
      <c r="F389" t="inlineStr">
        <is>
          <t>Övriga Aktiebolag</t>
        </is>
      </c>
      <c r="G389" t="n">
        <v>5.4</v>
      </c>
      <c r="H389" t="n">
        <v>0</v>
      </c>
      <c r="I389" t="n">
        <v>0</v>
      </c>
      <c r="J389" t="n">
        <v>0</v>
      </c>
      <c r="K389" t="n">
        <v>0</v>
      </c>
      <c r="L389" t="n">
        <v>0</v>
      </c>
      <c r="M389" t="n">
        <v>0</v>
      </c>
      <c r="N389" t="n">
        <v>0</v>
      </c>
      <c r="O389" t="n">
        <v>0</v>
      </c>
      <c r="P389" t="n">
        <v>0</v>
      </c>
      <c r="Q389" t="n">
        <v>0</v>
      </c>
      <c r="R389" s="2" t="inlineStr"/>
    </row>
    <row r="390" ht="15" customHeight="1">
      <c r="A390" t="inlineStr">
        <is>
          <t>A 40181-2023</t>
        </is>
      </c>
      <c r="B390" s="1" t="n">
        <v>45169</v>
      </c>
      <c r="C390" s="1" t="n">
        <v>45890</v>
      </c>
      <c r="D390" t="inlineStr">
        <is>
          <t>DALARNAS LÄN</t>
        </is>
      </c>
      <c r="E390" t="inlineStr">
        <is>
          <t>LEKSAND</t>
        </is>
      </c>
      <c r="G390" t="n">
        <v>2.8</v>
      </c>
      <c r="H390" t="n">
        <v>0</v>
      </c>
      <c r="I390" t="n">
        <v>0</v>
      </c>
      <c r="J390" t="n">
        <v>0</v>
      </c>
      <c r="K390" t="n">
        <v>0</v>
      </c>
      <c r="L390" t="n">
        <v>0</v>
      </c>
      <c r="M390" t="n">
        <v>0</v>
      </c>
      <c r="N390" t="n">
        <v>0</v>
      </c>
      <c r="O390" t="n">
        <v>0</v>
      </c>
      <c r="P390" t="n">
        <v>0</v>
      </c>
      <c r="Q390" t="n">
        <v>0</v>
      </c>
      <c r="R390" s="2" t="inlineStr"/>
    </row>
    <row r="391" ht="15" customHeight="1">
      <c r="A391" t="inlineStr">
        <is>
          <t>A 51857-2022</t>
        </is>
      </c>
      <c r="B391" s="1" t="n">
        <v>44867</v>
      </c>
      <c r="C391" s="1" t="n">
        <v>45890</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24187-2025</t>
        </is>
      </c>
      <c r="B392" s="1" t="n">
        <v>45796</v>
      </c>
      <c r="C392" s="1" t="n">
        <v>45890</v>
      </c>
      <c r="D392" t="inlineStr">
        <is>
          <t>DALARNAS LÄN</t>
        </is>
      </c>
      <c r="E392" t="inlineStr">
        <is>
          <t>LEKSAND</t>
        </is>
      </c>
      <c r="G392" t="n">
        <v>2.1</v>
      </c>
      <c r="H392" t="n">
        <v>0</v>
      </c>
      <c r="I392" t="n">
        <v>0</v>
      </c>
      <c r="J392" t="n">
        <v>0</v>
      </c>
      <c r="K392" t="n">
        <v>0</v>
      </c>
      <c r="L392" t="n">
        <v>0</v>
      </c>
      <c r="M392" t="n">
        <v>0</v>
      </c>
      <c r="N392" t="n">
        <v>0</v>
      </c>
      <c r="O392" t="n">
        <v>0</v>
      </c>
      <c r="P392" t="n">
        <v>0</v>
      </c>
      <c r="Q392" t="n">
        <v>0</v>
      </c>
      <c r="R392" s="2" t="inlineStr"/>
    </row>
    <row r="393" ht="15" customHeight="1">
      <c r="A393" t="inlineStr">
        <is>
          <t>A 24188-2025</t>
        </is>
      </c>
      <c r="B393" s="1" t="n">
        <v>45796</v>
      </c>
      <c r="C393" s="1" t="n">
        <v>45890</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7450-2023</t>
        </is>
      </c>
      <c r="B394" s="1" t="n">
        <v>44971</v>
      </c>
      <c r="C394" s="1" t="n">
        <v>45890</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63544-2023</t>
        </is>
      </c>
      <c r="B395" s="1" t="n">
        <v>45275</v>
      </c>
      <c r="C395" s="1" t="n">
        <v>45890</v>
      </c>
      <c r="D395" t="inlineStr">
        <is>
          <t>DALARNAS LÄN</t>
        </is>
      </c>
      <c r="E395" t="inlineStr">
        <is>
          <t>LEKSAND</t>
        </is>
      </c>
      <c r="G395" t="n">
        <v>0.3</v>
      </c>
      <c r="H395" t="n">
        <v>0</v>
      </c>
      <c r="I395" t="n">
        <v>0</v>
      </c>
      <c r="J395" t="n">
        <v>0</v>
      </c>
      <c r="K395" t="n">
        <v>0</v>
      </c>
      <c r="L395" t="n">
        <v>0</v>
      </c>
      <c r="M395" t="n">
        <v>0</v>
      </c>
      <c r="N395" t="n">
        <v>0</v>
      </c>
      <c r="O395" t="n">
        <v>0</v>
      </c>
      <c r="P395" t="n">
        <v>0</v>
      </c>
      <c r="Q395" t="n">
        <v>0</v>
      </c>
      <c r="R395" s="2" t="inlineStr"/>
    </row>
    <row r="396" ht="15" customHeight="1">
      <c r="A396" t="inlineStr">
        <is>
          <t>A 24373-2025</t>
        </is>
      </c>
      <c r="B396" s="1" t="n">
        <v>45797.61113425926</v>
      </c>
      <c r="C396" s="1" t="n">
        <v>45890</v>
      </c>
      <c r="D396" t="inlineStr">
        <is>
          <t>DALARNAS LÄN</t>
        </is>
      </c>
      <c r="E396" t="inlineStr">
        <is>
          <t>LEKSAND</t>
        </is>
      </c>
      <c r="G396" t="n">
        <v>2.4</v>
      </c>
      <c r="H396" t="n">
        <v>0</v>
      </c>
      <c r="I396" t="n">
        <v>0</v>
      </c>
      <c r="J396" t="n">
        <v>0</v>
      </c>
      <c r="K396" t="n">
        <v>0</v>
      </c>
      <c r="L396" t="n">
        <v>0</v>
      </c>
      <c r="M396" t="n">
        <v>0</v>
      </c>
      <c r="N396" t="n">
        <v>0</v>
      </c>
      <c r="O396" t="n">
        <v>0</v>
      </c>
      <c r="P396" t="n">
        <v>0</v>
      </c>
      <c r="Q396" t="n">
        <v>0</v>
      </c>
      <c r="R396" s="2" t="inlineStr"/>
    </row>
    <row r="397" ht="15" customHeight="1">
      <c r="A397" t="inlineStr">
        <is>
          <t>A 58877-2023</t>
        </is>
      </c>
      <c r="B397" s="1" t="n">
        <v>45252</v>
      </c>
      <c r="C397" s="1" t="n">
        <v>45890</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22646-2025</t>
        </is>
      </c>
      <c r="B398" s="1" t="n">
        <v>45786</v>
      </c>
      <c r="C398" s="1" t="n">
        <v>45890</v>
      </c>
      <c r="D398" t="inlineStr">
        <is>
          <t>DALARNAS LÄN</t>
        </is>
      </c>
      <c r="E398" t="inlineStr">
        <is>
          <t>LEKSAND</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51377-2023</t>
        </is>
      </c>
      <c r="B399" s="1" t="n">
        <v>45219</v>
      </c>
      <c r="C399" s="1" t="n">
        <v>45890</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1267-2025</t>
        </is>
      </c>
      <c r="B400" s="1" t="n">
        <v>45667</v>
      </c>
      <c r="C400" s="1" t="n">
        <v>45890</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24317-2025</t>
        </is>
      </c>
      <c r="B401" s="1" t="n">
        <v>45797.53577546297</v>
      </c>
      <c r="C401" s="1" t="n">
        <v>45890</v>
      </c>
      <c r="D401" t="inlineStr">
        <is>
          <t>DALARNAS LÄN</t>
        </is>
      </c>
      <c r="E401" t="inlineStr">
        <is>
          <t>LEKSAND</t>
        </is>
      </c>
      <c r="G401" t="n">
        <v>3.4</v>
      </c>
      <c r="H401" t="n">
        <v>0</v>
      </c>
      <c r="I401" t="n">
        <v>0</v>
      </c>
      <c r="J401" t="n">
        <v>0</v>
      </c>
      <c r="K401" t="n">
        <v>0</v>
      </c>
      <c r="L401" t="n">
        <v>0</v>
      </c>
      <c r="M401" t="n">
        <v>0</v>
      </c>
      <c r="N401" t="n">
        <v>0</v>
      </c>
      <c r="O401" t="n">
        <v>0</v>
      </c>
      <c r="P401" t="n">
        <v>0</v>
      </c>
      <c r="Q401" t="n">
        <v>0</v>
      </c>
      <c r="R401" s="2" t="inlineStr"/>
    </row>
    <row r="402" ht="15" customHeight="1">
      <c r="A402" t="inlineStr">
        <is>
          <t>A 24919-2024</t>
        </is>
      </c>
      <c r="B402" s="1" t="n">
        <v>45461.60636574074</v>
      </c>
      <c r="C402" s="1" t="n">
        <v>45890</v>
      </c>
      <c r="D402" t="inlineStr">
        <is>
          <t>DALARNAS LÄN</t>
        </is>
      </c>
      <c r="E402" t="inlineStr">
        <is>
          <t>LEKSAND</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56211-2023</t>
        </is>
      </c>
      <c r="B403" s="1" t="n">
        <v>45240</v>
      </c>
      <c r="C403" s="1" t="n">
        <v>45890</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24369-2025</t>
        </is>
      </c>
      <c r="B404" s="1" t="n">
        <v>45797.60731481481</v>
      </c>
      <c r="C404" s="1" t="n">
        <v>45890</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19700-2025</t>
        </is>
      </c>
      <c r="B405" s="1" t="n">
        <v>45771.32445601852</v>
      </c>
      <c r="C405" s="1" t="n">
        <v>45890</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52572-2024</t>
        </is>
      </c>
      <c r="B406" s="1" t="n">
        <v>45609.66488425926</v>
      </c>
      <c r="C406" s="1" t="n">
        <v>45890</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24715-2025</t>
        </is>
      </c>
      <c r="B407" s="1" t="n">
        <v>45798.97899305556</v>
      </c>
      <c r="C407" s="1" t="n">
        <v>45890</v>
      </c>
      <c r="D407" t="inlineStr">
        <is>
          <t>DALARNAS LÄN</t>
        </is>
      </c>
      <c r="E407" t="inlineStr">
        <is>
          <t>LEKSAND</t>
        </is>
      </c>
      <c r="G407" t="n">
        <v>8.4</v>
      </c>
      <c r="H407" t="n">
        <v>0</v>
      </c>
      <c r="I407" t="n">
        <v>0</v>
      </c>
      <c r="J407" t="n">
        <v>0</v>
      </c>
      <c r="K407" t="n">
        <v>0</v>
      </c>
      <c r="L407" t="n">
        <v>0</v>
      </c>
      <c r="M407" t="n">
        <v>0</v>
      </c>
      <c r="N407" t="n">
        <v>0</v>
      </c>
      <c r="O407" t="n">
        <v>0</v>
      </c>
      <c r="P407" t="n">
        <v>0</v>
      </c>
      <c r="Q407" t="n">
        <v>0</v>
      </c>
      <c r="R407" s="2" t="inlineStr"/>
    </row>
    <row r="408" ht="15" customHeight="1">
      <c r="A408" t="inlineStr">
        <is>
          <t>A 40868-2024</t>
        </is>
      </c>
      <c r="B408" s="1" t="n">
        <v>45558</v>
      </c>
      <c r="C408" s="1" t="n">
        <v>45890</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41853-2023</t>
        </is>
      </c>
      <c r="B409" s="1" t="n">
        <v>45176.62483796296</v>
      </c>
      <c r="C409" s="1" t="n">
        <v>45890</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12582-2025</t>
        </is>
      </c>
      <c r="B410" s="1" t="n">
        <v>45732.62988425926</v>
      </c>
      <c r="C410" s="1" t="n">
        <v>45890</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27520-2023</t>
        </is>
      </c>
      <c r="B411" s="1" t="n">
        <v>45097</v>
      </c>
      <c r="C411" s="1" t="n">
        <v>45890</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55926-2024</t>
        </is>
      </c>
      <c r="B412" s="1" t="n">
        <v>45623.601875</v>
      </c>
      <c r="C412" s="1" t="n">
        <v>45890</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62116-2024</t>
        </is>
      </c>
      <c r="B413" s="1" t="n">
        <v>45646</v>
      </c>
      <c r="C413" s="1" t="n">
        <v>45890</v>
      </c>
      <c r="D413" t="inlineStr">
        <is>
          <t>DALARNAS LÄN</t>
        </is>
      </c>
      <c r="E413" t="inlineStr">
        <is>
          <t>LEKSAND</t>
        </is>
      </c>
      <c r="G413" t="n">
        <v>1.4</v>
      </c>
      <c r="H413" t="n">
        <v>0</v>
      </c>
      <c r="I413" t="n">
        <v>0</v>
      </c>
      <c r="J413" t="n">
        <v>0</v>
      </c>
      <c r="K413" t="n">
        <v>0</v>
      </c>
      <c r="L413" t="n">
        <v>0</v>
      </c>
      <c r="M413" t="n">
        <v>0</v>
      </c>
      <c r="N413" t="n">
        <v>0</v>
      </c>
      <c r="O413" t="n">
        <v>0</v>
      </c>
      <c r="P413" t="n">
        <v>0</v>
      </c>
      <c r="Q413" t="n">
        <v>0</v>
      </c>
      <c r="R413" s="2" t="inlineStr"/>
    </row>
    <row r="414" ht="15" customHeight="1">
      <c r="A414" t="inlineStr">
        <is>
          <t>A 49405-2024</t>
        </is>
      </c>
      <c r="B414" s="1" t="n">
        <v>45595</v>
      </c>
      <c r="C414" s="1" t="n">
        <v>45890</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30169-2023</t>
        </is>
      </c>
      <c r="B415" s="1" t="n">
        <v>45110</v>
      </c>
      <c r="C415" s="1" t="n">
        <v>45890</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24714-2025</t>
        </is>
      </c>
      <c r="B416" s="1" t="n">
        <v>45798.96927083333</v>
      </c>
      <c r="C416" s="1" t="n">
        <v>45890</v>
      </c>
      <c r="D416" t="inlineStr">
        <is>
          <t>DALARNAS LÄN</t>
        </is>
      </c>
      <c r="E416" t="inlineStr">
        <is>
          <t>LEKSAND</t>
        </is>
      </c>
      <c r="F416" t="inlineStr">
        <is>
          <t>Bergvik skog väst AB</t>
        </is>
      </c>
      <c r="G416" t="n">
        <v>6.2</v>
      </c>
      <c r="H416" t="n">
        <v>0</v>
      </c>
      <c r="I416" t="n">
        <v>0</v>
      </c>
      <c r="J416" t="n">
        <v>0</v>
      </c>
      <c r="K416" t="n">
        <v>0</v>
      </c>
      <c r="L416" t="n">
        <v>0</v>
      </c>
      <c r="M416" t="n">
        <v>0</v>
      </c>
      <c r="N416" t="n">
        <v>0</v>
      </c>
      <c r="O416" t="n">
        <v>0</v>
      </c>
      <c r="P416" t="n">
        <v>0</v>
      </c>
      <c r="Q416" t="n">
        <v>0</v>
      </c>
      <c r="R416" s="2" t="inlineStr"/>
    </row>
    <row r="417" ht="15" customHeight="1">
      <c r="A417" t="inlineStr">
        <is>
          <t>A 13063-2023</t>
        </is>
      </c>
      <c r="B417" s="1" t="n">
        <v>45001</v>
      </c>
      <c r="C417" s="1" t="n">
        <v>45890</v>
      </c>
      <c r="D417" t="inlineStr">
        <is>
          <t>DALARNAS LÄN</t>
        </is>
      </c>
      <c r="E417" t="inlineStr">
        <is>
          <t>LEKSAND</t>
        </is>
      </c>
      <c r="G417" t="n">
        <v>1</v>
      </c>
      <c r="H417" t="n">
        <v>0</v>
      </c>
      <c r="I417" t="n">
        <v>0</v>
      </c>
      <c r="J417" t="n">
        <v>0</v>
      </c>
      <c r="K417" t="n">
        <v>0</v>
      </c>
      <c r="L417" t="n">
        <v>0</v>
      </c>
      <c r="M417" t="n">
        <v>0</v>
      </c>
      <c r="N417" t="n">
        <v>0</v>
      </c>
      <c r="O417" t="n">
        <v>0</v>
      </c>
      <c r="P417" t="n">
        <v>0</v>
      </c>
      <c r="Q417" t="n">
        <v>0</v>
      </c>
      <c r="R417" s="2" t="inlineStr"/>
    </row>
    <row r="418" ht="15" customHeight="1">
      <c r="A418" t="inlineStr">
        <is>
          <t>A 17078-2023</t>
        </is>
      </c>
      <c r="B418" s="1" t="n">
        <v>45034</v>
      </c>
      <c r="C418" s="1" t="n">
        <v>45890</v>
      </c>
      <c r="D418" t="inlineStr">
        <is>
          <t>DALARNAS LÄN</t>
        </is>
      </c>
      <c r="E418" t="inlineStr">
        <is>
          <t>LEKSAND</t>
        </is>
      </c>
      <c r="G418" t="n">
        <v>0.5</v>
      </c>
      <c r="H418" t="n">
        <v>0</v>
      </c>
      <c r="I418" t="n">
        <v>0</v>
      </c>
      <c r="J418" t="n">
        <v>0</v>
      </c>
      <c r="K418" t="n">
        <v>0</v>
      </c>
      <c r="L418" t="n">
        <v>0</v>
      </c>
      <c r="M418" t="n">
        <v>0</v>
      </c>
      <c r="N418" t="n">
        <v>0</v>
      </c>
      <c r="O418" t="n">
        <v>0</v>
      </c>
      <c r="P418" t="n">
        <v>0</v>
      </c>
      <c r="Q418" t="n">
        <v>0</v>
      </c>
      <c r="R418" s="2" t="inlineStr"/>
    </row>
    <row r="419" ht="15" customHeight="1">
      <c r="A419" t="inlineStr">
        <is>
          <t>A 14943-2023</t>
        </is>
      </c>
      <c r="B419" s="1" t="n">
        <v>45015</v>
      </c>
      <c r="C419" s="1" t="n">
        <v>45890</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24711-2025</t>
        </is>
      </c>
      <c r="B420" s="1" t="n">
        <v>45798.87723379629</v>
      </c>
      <c r="C420" s="1" t="n">
        <v>45890</v>
      </c>
      <c r="D420" t="inlineStr">
        <is>
          <t>DALARNAS LÄN</t>
        </is>
      </c>
      <c r="E420" t="inlineStr">
        <is>
          <t>LEKSAND</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45890</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25610-2025</t>
        </is>
      </c>
      <c r="B422" s="1" t="n">
        <v>45803.56033564815</v>
      </c>
      <c r="C422" s="1" t="n">
        <v>45890</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12646-2025</t>
        </is>
      </c>
      <c r="B423" s="1" t="n">
        <v>45733.39496527778</v>
      </c>
      <c r="C423" s="1" t="n">
        <v>45890</v>
      </c>
      <c r="D423" t="inlineStr">
        <is>
          <t>DALARNAS LÄN</t>
        </is>
      </c>
      <c r="E423" t="inlineStr">
        <is>
          <t>LEKSAND</t>
        </is>
      </c>
      <c r="G423" t="n">
        <v>2.3</v>
      </c>
      <c r="H423" t="n">
        <v>0</v>
      </c>
      <c r="I423" t="n">
        <v>0</v>
      </c>
      <c r="J423" t="n">
        <v>0</v>
      </c>
      <c r="K423" t="n">
        <v>0</v>
      </c>
      <c r="L423" t="n">
        <v>0</v>
      </c>
      <c r="M423" t="n">
        <v>0</v>
      </c>
      <c r="N423" t="n">
        <v>0</v>
      </c>
      <c r="O423" t="n">
        <v>0</v>
      </c>
      <c r="P423" t="n">
        <v>0</v>
      </c>
      <c r="Q423" t="n">
        <v>0</v>
      </c>
      <c r="R423" s="2" t="inlineStr"/>
    </row>
    <row r="424" ht="15" customHeight="1">
      <c r="A424" t="inlineStr">
        <is>
          <t>A 25105-2025</t>
        </is>
      </c>
      <c r="B424" s="1" t="n">
        <v>45800.34751157407</v>
      </c>
      <c r="C424" s="1" t="n">
        <v>45890</v>
      </c>
      <c r="D424" t="inlineStr">
        <is>
          <t>DALARNAS LÄN</t>
        </is>
      </c>
      <c r="E424" t="inlineStr">
        <is>
          <t>LEKSAND</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56059-2024</t>
        </is>
      </c>
      <c r="B425" s="1" t="n">
        <v>45624.36729166667</v>
      </c>
      <c r="C425" s="1" t="n">
        <v>45890</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54289-2023</t>
        </is>
      </c>
      <c r="B426" s="1" t="n">
        <v>45232.71193287037</v>
      </c>
      <c r="C426" s="1" t="n">
        <v>45890</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45943-2022</t>
        </is>
      </c>
      <c r="B427" s="1" t="n">
        <v>44846.64418981481</v>
      </c>
      <c r="C427" s="1" t="n">
        <v>45890</v>
      </c>
      <c r="D427" t="inlineStr">
        <is>
          <t>DALARNAS LÄN</t>
        </is>
      </c>
      <c r="E427" t="inlineStr">
        <is>
          <t>LEKSAND</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25096-2025</t>
        </is>
      </c>
      <c r="B428" s="1" t="n">
        <v>45800.33868055556</v>
      </c>
      <c r="C428" s="1" t="n">
        <v>45890</v>
      </c>
      <c r="D428" t="inlineStr">
        <is>
          <t>DALARNAS LÄN</t>
        </is>
      </c>
      <c r="E428" t="inlineStr">
        <is>
          <t>LEKSAND</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31255-2023</t>
        </is>
      </c>
      <c r="B429" s="1" t="n">
        <v>45114.36729166667</v>
      </c>
      <c r="C429" s="1" t="n">
        <v>45890</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7928-2023</t>
        </is>
      </c>
      <c r="B430" s="1" t="n">
        <v>44973</v>
      </c>
      <c r="C430" s="1" t="n">
        <v>45890</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11869-2024</t>
        </is>
      </c>
      <c r="B431" s="1" t="n">
        <v>45376.45800925926</v>
      </c>
      <c r="C431" s="1" t="n">
        <v>45890</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32666-2023</t>
        </is>
      </c>
      <c r="B432" s="1" t="n">
        <v>45121</v>
      </c>
      <c r="C432" s="1" t="n">
        <v>45890</v>
      </c>
      <c r="D432" t="inlineStr">
        <is>
          <t>DALARNAS LÄN</t>
        </is>
      </c>
      <c r="E432" t="inlineStr">
        <is>
          <t>LEKSAND</t>
        </is>
      </c>
      <c r="G432" t="n">
        <v>9.9</v>
      </c>
      <c r="H432" t="n">
        <v>0</v>
      </c>
      <c r="I432" t="n">
        <v>0</v>
      </c>
      <c r="J432" t="n">
        <v>0</v>
      </c>
      <c r="K432" t="n">
        <v>0</v>
      </c>
      <c r="L432" t="n">
        <v>0</v>
      </c>
      <c r="M432" t="n">
        <v>0</v>
      </c>
      <c r="N432" t="n">
        <v>0</v>
      </c>
      <c r="O432" t="n">
        <v>0</v>
      </c>
      <c r="P432" t="n">
        <v>0</v>
      </c>
      <c r="Q432" t="n">
        <v>0</v>
      </c>
      <c r="R432" s="2" t="inlineStr"/>
    </row>
    <row r="433" ht="15" customHeight="1">
      <c r="A433" t="inlineStr">
        <is>
          <t>A 25253-2024</t>
        </is>
      </c>
      <c r="B433" s="1" t="n">
        <v>45462.61121527778</v>
      </c>
      <c r="C433" s="1" t="n">
        <v>45890</v>
      </c>
      <c r="D433" t="inlineStr">
        <is>
          <t>DALARNAS LÄN</t>
        </is>
      </c>
      <c r="E433" t="inlineStr">
        <is>
          <t>LEKSAND</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60113-2022</t>
        </is>
      </c>
      <c r="B434" s="1" t="n">
        <v>44909</v>
      </c>
      <c r="C434" s="1" t="n">
        <v>45890</v>
      </c>
      <c r="D434" t="inlineStr">
        <is>
          <t>DALARNAS LÄN</t>
        </is>
      </c>
      <c r="E434" t="inlineStr">
        <is>
          <t>LEKSAND</t>
        </is>
      </c>
      <c r="G434" t="n">
        <v>3.7</v>
      </c>
      <c r="H434" t="n">
        <v>0</v>
      </c>
      <c r="I434" t="n">
        <v>0</v>
      </c>
      <c r="J434" t="n">
        <v>0</v>
      </c>
      <c r="K434" t="n">
        <v>0</v>
      </c>
      <c r="L434" t="n">
        <v>0</v>
      </c>
      <c r="M434" t="n">
        <v>0</v>
      </c>
      <c r="N434" t="n">
        <v>0</v>
      </c>
      <c r="O434" t="n">
        <v>0</v>
      </c>
      <c r="P434" t="n">
        <v>0</v>
      </c>
      <c r="Q434" t="n">
        <v>0</v>
      </c>
      <c r="R434" s="2" t="inlineStr"/>
    </row>
    <row r="435" ht="15" customHeight="1">
      <c r="A435" t="inlineStr">
        <is>
          <t>A 19550-2023</t>
        </is>
      </c>
      <c r="B435" s="1" t="n">
        <v>45049</v>
      </c>
      <c r="C435" s="1" t="n">
        <v>45890</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31915-2024</t>
        </is>
      </c>
      <c r="B436" s="1" t="n">
        <v>45510.38956018518</v>
      </c>
      <c r="C436" s="1" t="n">
        <v>45890</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51480-2022</t>
        </is>
      </c>
      <c r="B437" s="1" t="n">
        <v>44869.57961805556</v>
      </c>
      <c r="C437" s="1" t="n">
        <v>45890</v>
      </c>
      <c r="D437" t="inlineStr">
        <is>
          <t>DALARNAS LÄN</t>
        </is>
      </c>
      <c r="E437" t="inlineStr">
        <is>
          <t>LEKSAND</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14792-2024</t>
        </is>
      </c>
      <c r="B438" s="1" t="n">
        <v>45397.8344212963</v>
      </c>
      <c r="C438" s="1" t="n">
        <v>45890</v>
      </c>
      <c r="D438" t="inlineStr">
        <is>
          <t>DALARNAS LÄN</t>
        </is>
      </c>
      <c r="E438" t="inlineStr">
        <is>
          <t>LEKSAND</t>
        </is>
      </c>
      <c r="F438" t="inlineStr">
        <is>
          <t>Bergvik skog väst AB</t>
        </is>
      </c>
      <c r="G438" t="n">
        <v>3.9</v>
      </c>
      <c r="H438" t="n">
        <v>0</v>
      </c>
      <c r="I438" t="n">
        <v>0</v>
      </c>
      <c r="J438" t="n">
        <v>0</v>
      </c>
      <c r="K438" t="n">
        <v>0</v>
      </c>
      <c r="L438" t="n">
        <v>0</v>
      </c>
      <c r="M438" t="n">
        <v>0</v>
      </c>
      <c r="N438" t="n">
        <v>0</v>
      </c>
      <c r="O438" t="n">
        <v>0</v>
      </c>
      <c r="P438" t="n">
        <v>0</v>
      </c>
      <c r="Q438" t="n">
        <v>0</v>
      </c>
      <c r="R438" s="2" t="inlineStr"/>
    </row>
    <row r="439" ht="15" customHeight="1">
      <c r="A439" t="inlineStr">
        <is>
          <t>A 5231-2024</t>
        </is>
      </c>
      <c r="B439" s="1" t="n">
        <v>45330</v>
      </c>
      <c r="C439" s="1" t="n">
        <v>45890</v>
      </c>
      <c r="D439" t="inlineStr">
        <is>
          <t>DALARNAS LÄN</t>
        </is>
      </c>
      <c r="E439" t="inlineStr">
        <is>
          <t>LEKSAND</t>
        </is>
      </c>
      <c r="F439" t="inlineStr">
        <is>
          <t>Bergvik skog väst AB</t>
        </is>
      </c>
      <c r="G439" t="n">
        <v>11.2</v>
      </c>
      <c r="H439" t="n">
        <v>0</v>
      </c>
      <c r="I439" t="n">
        <v>0</v>
      </c>
      <c r="J439" t="n">
        <v>0</v>
      </c>
      <c r="K439" t="n">
        <v>0</v>
      </c>
      <c r="L439" t="n">
        <v>0</v>
      </c>
      <c r="M439" t="n">
        <v>0</v>
      </c>
      <c r="N439" t="n">
        <v>0</v>
      </c>
      <c r="O439" t="n">
        <v>0</v>
      </c>
      <c r="P439" t="n">
        <v>0</v>
      </c>
      <c r="Q439" t="n">
        <v>0</v>
      </c>
      <c r="R439" s="2" t="inlineStr"/>
    </row>
    <row r="440" ht="15" customHeight="1">
      <c r="A440" t="inlineStr">
        <is>
          <t>A 16137-2023</t>
        </is>
      </c>
      <c r="B440" s="1" t="n">
        <v>45027</v>
      </c>
      <c r="C440" s="1" t="n">
        <v>45890</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43220-2024</t>
        </is>
      </c>
      <c r="B441" s="1" t="n">
        <v>45567.86112268519</v>
      </c>
      <c r="C441" s="1" t="n">
        <v>45890</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19618-2024</t>
        </is>
      </c>
      <c r="B442" s="1" t="n">
        <v>45432.32896990741</v>
      </c>
      <c r="C442" s="1" t="n">
        <v>45890</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26423-2025</t>
        </is>
      </c>
      <c r="B443" s="1" t="n">
        <v>45807.37829861111</v>
      </c>
      <c r="C443" s="1" t="n">
        <v>45890</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54682-2023</t>
        </is>
      </c>
      <c r="B444" s="1" t="n">
        <v>45235.90439814814</v>
      </c>
      <c r="C444" s="1" t="n">
        <v>45890</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49397-2024</t>
        </is>
      </c>
      <c r="B445" s="1" t="n">
        <v>45595</v>
      </c>
      <c r="C445" s="1" t="n">
        <v>45890</v>
      </c>
      <c r="D445" t="inlineStr">
        <is>
          <t>DALARNAS LÄN</t>
        </is>
      </c>
      <c r="E445" t="inlineStr">
        <is>
          <t>LEKSAND</t>
        </is>
      </c>
      <c r="G445" t="n">
        <v>4.3</v>
      </c>
      <c r="H445" t="n">
        <v>0</v>
      </c>
      <c r="I445" t="n">
        <v>0</v>
      </c>
      <c r="J445" t="n">
        <v>0</v>
      </c>
      <c r="K445" t="n">
        <v>0</v>
      </c>
      <c r="L445" t="n">
        <v>0</v>
      </c>
      <c r="M445" t="n">
        <v>0</v>
      </c>
      <c r="N445" t="n">
        <v>0</v>
      </c>
      <c r="O445" t="n">
        <v>0</v>
      </c>
      <c r="P445" t="n">
        <v>0</v>
      </c>
      <c r="Q445" t="n">
        <v>0</v>
      </c>
      <c r="R445" s="2" t="inlineStr"/>
    </row>
    <row r="446" ht="15" customHeight="1">
      <c r="A446" t="inlineStr">
        <is>
          <t>A 57907-2024</t>
        </is>
      </c>
      <c r="B446" s="1" t="n">
        <v>45630</v>
      </c>
      <c r="C446" s="1" t="n">
        <v>45890</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26386-2025</t>
        </is>
      </c>
      <c r="B447" s="1" t="n">
        <v>45806</v>
      </c>
      <c r="C447" s="1" t="n">
        <v>45890</v>
      </c>
      <c r="D447" t="inlineStr">
        <is>
          <t>DALARNAS LÄN</t>
        </is>
      </c>
      <c r="E447" t="inlineStr">
        <is>
          <t>LEKSAND</t>
        </is>
      </c>
      <c r="F447" t="inlineStr">
        <is>
          <t>Bergvik skog väst AB</t>
        </is>
      </c>
      <c r="G447" t="n">
        <v>26.3</v>
      </c>
      <c r="H447" t="n">
        <v>0</v>
      </c>
      <c r="I447" t="n">
        <v>0</v>
      </c>
      <c r="J447" t="n">
        <v>0</v>
      </c>
      <c r="K447" t="n">
        <v>0</v>
      </c>
      <c r="L447" t="n">
        <v>0</v>
      </c>
      <c r="M447" t="n">
        <v>0</v>
      </c>
      <c r="N447" t="n">
        <v>0</v>
      </c>
      <c r="O447" t="n">
        <v>0</v>
      </c>
      <c r="P447" t="n">
        <v>0</v>
      </c>
      <c r="Q447" t="n">
        <v>0</v>
      </c>
      <c r="R447" s="2" t="inlineStr"/>
    </row>
    <row r="448" ht="15" customHeight="1">
      <c r="A448" t="inlineStr">
        <is>
          <t>A 26421-2025</t>
        </is>
      </c>
      <c r="B448" s="1" t="n">
        <v>45807.37355324074</v>
      </c>
      <c r="C448" s="1" t="n">
        <v>45890</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24135-2024</t>
        </is>
      </c>
      <c r="B449" s="1" t="n">
        <v>45456.63747685185</v>
      </c>
      <c r="C449" s="1" t="n">
        <v>45890</v>
      </c>
      <c r="D449" t="inlineStr">
        <is>
          <t>DALARNAS LÄN</t>
        </is>
      </c>
      <c r="E449" t="inlineStr">
        <is>
          <t>LEKSAND</t>
        </is>
      </c>
      <c r="F449" t="inlineStr">
        <is>
          <t>Bergvik skog väst AB</t>
        </is>
      </c>
      <c r="G449" t="n">
        <v>2.9</v>
      </c>
      <c r="H449" t="n">
        <v>0</v>
      </c>
      <c r="I449" t="n">
        <v>0</v>
      </c>
      <c r="J449" t="n">
        <v>0</v>
      </c>
      <c r="K449" t="n">
        <v>0</v>
      </c>
      <c r="L449" t="n">
        <v>0</v>
      </c>
      <c r="M449" t="n">
        <v>0</v>
      </c>
      <c r="N449" t="n">
        <v>0</v>
      </c>
      <c r="O449" t="n">
        <v>0</v>
      </c>
      <c r="P449" t="n">
        <v>0</v>
      </c>
      <c r="Q449" t="n">
        <v>0</v>
      </c>
      <c r="R449" s="2" t="inlineStr"/>
    </row>
    <row r="450" ht="15" customHeight="1">
      <c r="A450" t="inlineStr">
        <is>
          <t>A 34789-2025</t>
        </is>
      </c>
      <c r="B450" s="1" t="n">
        <v>45848</v>
      </c>
      <c r="C450" s="1" t="n">
        <v>45890</v>
      </c>
      <c r="D450" t="inlineStr">
        <is>
          <t>DALARNAS LÄN</t>
        </is>
      </c>
      <c r="E450" t="inlineStr">
        <is>
          <t>LEKSAND</t>
        </is>
      </c>
      <c r="F450" t="inlineStr">
        <is>
          <t>Bergvik skog väst AB</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5847-2025</t>
        </is>
      </c>
      <c r="B451" s="1" t="n">
        <v>45695.30824074074</v>
      </c>
      <c r="C451" s="1" t="n">
        <v>45890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60878-2023</t>
        </is>
      </c>
      <c r="B452" s="1" t="n">
        <v>45259</v>
      </c>
      <c r="C452" s="1" t="n">
        <v>45890</v>
      </c>
      <c r="D452" t="inlineStr">
        <is>
          <t>DALARNAS LÄN</t>
        </is>
      </c>
      <c r="E452" t="inlineStr">
        <is>
          <t>LEKSAND</t>
        </is>
      </c>
      <c r="G452" t="n">
        <v>0.6</v>
      </c>
      <c r="H452" t="n">
        <v>0</v>
      </c>
      <c r="I452" t="n">
        <v>0</v>
      </c>
      <c r="J452" t="n">
        <v>0</v>
      </c>
      <c r="K452" t="n">
        <v>0</v>
      </c>
      <c r="L452" t="n">
        <v>0</v>
      </c>
      <c r="M452" t="n">
        <v>0</v>
      </c>
      <c r="N452" t="n">
        <v>0</v>
      </c>
      <c r="O452" t="n">
        <v>0</v>
      </c>
      <c r="P452" t="n">
        <v>0</v>
      </c>
      <c r="Q452" t="n">
        <v>0</v>
      </c>
      <c r="R452" s="2" t="inlineStr"/>
    </row>
    <row r="453" ht="15" customHeight="1">
      <c r="A453" t="inlineStr">
        <is>
          <t>A 36262-2023</t>
        </is>
      </c>
      <c r="B453" s="1" t="n">
        <v>45151.9096875</v>
      </c>
      <c r="C453" s="1" t="n">
        <v>45890</v>
      </c>
      <c r="D453" t="inlineStr">
        <is>
          <t>DALARNAS LÄN</t>
        </is>
      </c>
      <c r="E453" t="inlineStr">
        <is>
          <t>LEKSAND</t>
        </is>
      </c>
      <c r="G453" t="n">
        <v>1.2</v>
      </c>
      <c r="H453" t="n">
        <v>0</v>
      </c>
      <c r="I453" t="n">
        <v>0</v>
      </c>
      <c r="J453" t="n">
        <v>0</v>
      </c>
      <c r="K453" t="n">
        <v>0</v>
      </c>
      <c r="L453" t="n">
        <v>0</v>
      </c>
      <c r="M453" t="n">
        <v>0</v>
      </c>
      <c r="N453" t="n">
        <v>0</v>
      </c>
      <c r="O453" t="n">
        <v>0</v>
      </c>
      <c r="P453" t="n">
        <v>0</v>
      </c>
      <c r="Q453" t="n">
        <v>0</v>
      </c>
      <c r="R453" s="2" t="inlineStr"/>
    </row>
    <row r="454" ht="15" customHeight="1">
      <c r="A454" t="inlineStr">
        <is>
          <t>A 10367-2023</t>
        </is>
      </c>
      <c r="B454" s="1" t="n">
        <v>44987</v>
      </c>
      <c r="C454" s="1" t="n">
        <v>45890</v>
      </c>
      <c r="D454" t="inlineStr">
        <is>
          <t>DALARNAS LÄN</t>
        </is>
      </c>
      <c r="E454" t="inlineStr">
        <is>
          <t>LEKSAND</t>
        </is>
      </c>
      <c r="G454" t="n">
        <v>0.7</v>
      </c>
      <c r="H454" t="n">
        <v>0</v>
      </c>
      <c r="I454" t="n">
        <v>0</v>
      </c>
      <c r="J454" t="n">
        <v>0</v>
      </c>
      <c r="K454" t="n">
        <v>0</v>
      </c>
      <c r="L454" t="n">
        <v>0</v>
      </c>
      <c r="M454" t="n">
        <v>0</v>
      </c>
      <c r="N454" t="n">
        <v>0</v>
      </c>
      <c r="O454" t="n">
        <v>0</v>
      </c>
      <c r="P454" t="n">
        <v>0</v>
      </c>
      <c r="Q454" t="n">
        <v>0</v>
      </c>
      <c r="R454" s="2" t="inlineStr"/>
    </row>
    <row r="455" ht="15" customHeight="1">
      <c r="A455" t="inlineStr">
        <is>
          <t>A 30863-2024</t>
        </is>
      </c>
      <c r="B455" s="1" t="n">
        <v>45497.71074074074</v>
      </c>
      <c r="C455" s="1" t="n">
        <v>45890</v>
      </c>
      <c r="D455" t="inlineStr">
        <is>
          <t>DALARNAS LÄN</t>
        </is>
      </c>
      <c r="E455" t="inlineStr">
        <is>
          <t>LEKSAND</t>
        </is>
      </c>
      <c r="F455" t="inlineStr">
        <is>
          <t>Bergvik skog väst AB</t>
        </is>
      </c>
      <c r="G455" t="n">
        <v>0.6</v>
      </c>
      <c r="H455" t="n">
        <v>0</v>
      </c>
      <c r="I455" t="n">
        <v>0</v>
      </c>
      <c r="J455" t="n">
        <v>0</v>
      </c>
      <c r="K455" t="n">
        <v>0</v>
      </c>
      <c r="L455" t="n">
        <v>0</v>
      </c>
      <c r="M455" t="n">
        <v>0</v>
      </c>
      <c r="N455" t="n">
        <v>0</v>
      </c>
      <c r="O455" t="n">
        <v>0</v>
      </c>
      <c r="P455" t="n">
        <v>0</v>
      </c>
      <c r="Q455" t="n">
        <v>0</v>
      </c>
      <c r="R455" s="2" t="inlineStr"/>
    </row>
    <row r="456" ht="15" customHeight="1">
      <c r="A456" t="inlineStr">
        <is>
          <t>A 34966-2025</t>
        </is>
      </c>
      <c r="B456" s="1" t="n">
        <v>45849</v>
      </c>
      <c r="C456" s="1" t="n">
        <v>45890</v>
      </c>
      <c r="D456" t="inlineStr">
        <is>
          <t>DALARNAS LÄN</t>
        </is>
      </c>
      <c r="E456" t="inlineStr">
        <is>
          <t>LEKSAND</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25329-2022</t>
        </is>
      </c>
      <c r="B457" s="1" t="n">
        <v>44731.8799537037</v>
      </c>
      <c r="C457" s="1" t="n">
        <v>45890</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9105-2024</t>
        </is>
      </c>
      <c r="B458" s="1" t="n">
        <v>45357</v>
      </c>
      <c r="C458" s="1" t="n">
        <v>45890</v>
      </c>
      <c r="D458" t="inlineStr">
        <is>
          <t>DALARNAS LÄN</t>
        </is>
      </c>
      <c r="E458" t="inlineStr">
        <is>
          <t>LEKSAND</t>
        </is>
      </c>
      <c r="G458" t="n">
        <v>1.2</v>
      </c>
      <c r="H458" t="n">
        <v>0</v>
      </c>
      <c r="I458" t="n">
        <v>0</v>
      </c>
      <c r="J458" t="n">
        <v>0</v>
      </c>
      <c r="K458" t="n">
        <v>0</v>
      </c>
      <c r="L458" t="n">
        <v>0</v>
      </c>
      <c r="M458" t="n">
        <v>0</v>
      </c>
      <c r="N458" t="n">
        <v>0</v>
      </c>
      <c r="O458" t="n">
        <v>0</v>
      </c>
      <c r="P458" t="n">
        <v>0</v>
      </c>
      <c r="Q458" t="n">
        <v>0</v>
      </c>
      <c r="R458" s="2" t="inlineStr"/>
    </row>
    <row r="459" ht="15" customHeight="1">
      <c r="A459" t="inlineStr">
        <is>
          <t>A 34965-2025</t>
        </is>
      </c>
      <c r="B459" s="1" t="n">
        <v>45849</v>
      </c>
      <c r="C459" s="1" t="n">
        <v>45890</v>
      </c>
      <c r="D459" t="inlineStr">
        <is>
          <t>DALARNAS LÄN</t>
        </is>
      </c>
      <c r="E459" t="inlineStr">
        <is>
          <t>LEKSAND</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25251-2024</t>
        </is>
      </c>
      <c r="B460" s="1" t="n">
        <v>45462.60913194445</v>
      </c>
      <c r="C460" s="1" t="n">
        <v>45890</v>
      </c>
      <c r="D460" t="inlineStr">
        <is>
          <t>DALARNAS LÄN</t>
        </is>
      </c>
      <c r="E460" t="inlineStr">
        <is>
          <t>LEKSAND</t>
        </is>
      </c>
      <c r="F460" t="inlineStr">
        <is>
          <t>Bergvik skog väst AB</t>
        </is>
      </c>
      <c r="G460" t="n">
        <v>2.4</v>
      </c>
      <c r="H460" t="n">
        <v>0</v>
      </c>
      <c r="I460" t="n">
        <v>0</v>
      </c>
      <c r="J460" t="n">
        <v>0</v>
      </c>
      <c r="K460" t="n">
        <v>0</v>
      </c>
      <c r="L460" t="n">
        <v>0</v>
      </c>
      <c r="M460" t="n">
        <v>0</v>
      </c>
      <c r="N460" t="n">
        <v>0</v>
      </c>
      <c r="O460" t="n">
        <v>0</v>
      </c>
      <c r="P460" t="n">
        <v>0</v>
      </c>
      <c r="Q460" t="n">
        <v>0</v>
      </c>
      <c r="R460" s="2" t="inlineStr"/>
    </row>
    <row r="461" ht="15" customHeight="1">
      <c r="A461" t="inlineStr">
        <is>
          <t>A 24005-2024</t>
        </is>
      </c>
      <c r="B461" s="1" t="n">
        <v>45456.39239583333</v>
      </c>
      <c r="C461" s="1" t="n">
        <v>45890</v>
      </c>
      <c r="D461" t="inlineStr">
        <is>
          <t>DALARNAS LÄN</t>
        </is>
      </c>
      <c r="E461" t="inlineStr">
        <is>
          <t>LEKSAND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27323-2025</t>
        </is>
      </c>
      <c r="B462" s="1" t="n">
        <v>45812.60392361111</v>
      </c>
      <c r="C462" s="1" t="n">
        <v>45890</v>
      </c>
      <c r="D462" t="inlineStr">
        <is>
          <t>DALARNAS LÄN</t>
        </is>
      </c>
      <c r="E462" t="inlineStr">
        <is>
          <t>LEKSAND</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24481-2024</t>
        </is>
      </c>
      <c r="B463" s="1" t="n">
        <v>45459.36460648148</v>
      </c>
      <c r="C463" s="1" t="n">
        <v>45890</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61225-2023</t>
        </is>
      </c>
      <c r="B464" s="1" t="n">
        <v>45264</v>
      </c>
      <c r="C464" s="1" t="n">
        <v>45890</v>
      </c>
      <c r="D464" t="inlineStr">
        <is>
          <t>DALARNAS LÄN</t>
        </is>
      </c>
      <c r="E464" t="inlineStr">
        <is>
          <t>LEKSAND</t>
        </is>
      </c>
      <c r="G464" t="n">
        <v>7</v>
      </c>
      <c r="H464" t="n">
        <v>0</v>
      </c>
      <c r="I464" t="n">
        <v>0</v>
      </c>
      <c r="J464" t="n">
        <v>0</v>
      </c>
      <c r="K464" t="n">
        <v>0</v>
      </c>
      <c r="L464" t="n">
        <v>0</v>
      </c>
      <c r="M464" t="n">
        <v>0</v>
      </c>
      <c r="N464" t="n">
        <v>0</v>
      </c>
      <c r="O464" t="n">
        <v>0</v>
      </c>
      <c r="P464" t="n">
        <v>0</v>
      </c>
      <c r="Q464" t="n">
        <v>0</v>
      </c>
      <c r="R464" s="2" t="inlineStr"/>
    </row>
    <row r="465" ht="15" customHeight="1">
      <c r="A465" t="inlineStr">
        <is>
          <t>A 27262-2025</t>
        </is>
      </c>
      <c r="B465" s="1" t="n">
        <v>45812</v>
      </c>
      <c r="C465" s="1" t="n">
        <v>45890</v>
      </c>
      <c r="D465" t="inlineStr">
        <is>
          <t>DALARNAS LÄN</t>
        </is>
      </c>
      <c r="E465" t="inlineStr">
        <is>
          <t>LEKSAND</t>
        </is>
      </c>
      <c r="F465" t="inlineStr">
        <is>
          <t>Bergvik skog väst AB</t>
        </is>
      </c>
      <c r="G465" t="n">
        <v>7.7</v>
      </c>
      <c r="H465" t="n">
        <v>0</v>
      </c>
      <c r="I465" t="n">
        <v>0</v>
      </c>
      <c r="J465" t="n">
        <v>0</v>
      </c>
      <c r="K465" t="n">
        <v>0</v>
      </c>
      <c r="L465" t="n">
        <v>0</v>
      </c>
      <c r="M465" t="n">
        <v>0</v>
      </c>
      <c r="N465" t="n">
        <v>0</v>
      </c>
      <c r="O465" t="n">
        <v>0</v>
      </c>
      <c r="P465" t="n">
        <v>0</v>
      </c>
      <c r="Q465" t="n">
        <v>0</v>
      </c>
      <c r="R465" s="2" t="inlineStr"/>
    </row>
    <row r="466" ht="15" customHeight="1">
      <c r="A466" t="inlineStr">
        <is>
          <t>A 15968-2025</t>
        </is>
      </c>
      <c r="B466" s="1" t="n">
        <v>45749.54818287037</v>
      </c>
      <c r="C466" s="1" t="n">
        <v>45890</v>
      </c>
      <c r="D466" t="inlineStr">
        <is>
          <t>DALARNAS LÄN</t>
        </is>
      </c>
      <c r="E466" t="inlineStr">
        <is>
          <t>LEKSAND</t>
        </is>
      </c>
      <c r="G466" t="n">
        <v>3.2</v>
      </c>
      <c r="H466" t="n">
        <v>0</v>
      </c>
      <c r="I466" t="n">
        <v>0</v>
      </c>
      <c r="J466" t="n">
        <v>0</v>
      </c>
      <c r="K466" t="n">
        <v>0</v>
      </c>
      <c r="L466" t="n">
        <v>0</v>
      </c>
      <c r="M466" t="n">
        <v>0</v>
      </c>
      <c r="N466" t="n">
        <v>0</v>
      </c>
      <c r="O466" t="n">
        <v>0</v>
      </c>
      <c r="P466" t="n">
        <v>0</v>
      </c>
      <c r="Q466" t="n">
        <v>0</v>
      </c>
      <c r="R466" s="2" t="inlineStr"/>
    </row>
    <row r="467" ht="15" customHeight="1">
      <c r="A467" t="inlineStr">
        <is>
          <t>A 27332-2025</t>
        </is>
      </c>
      <c r="B467" s="1" t="n">
        <v>45812.61265046296</v>
      </c>
      <c r="C467" s="1" t="n">
        <v>45890</v>
      </c>
      <c r="D467" t="inlineStr">
        <is>
          <t>DALARNAS LÄN</t>
        </is>
      </c>
      <c r="E467" t="inlineStr">
        <is>
          <t>LEKSAND</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58495-2023</t>
        </is>
      </c>
      <c r="B468" s="1" t="n">
        <v>45251</v>
      </c>
      <c r="C468" s="1" t="n">
        <v>45890</v>
      </c>
      <c r="D468" t="inlineStr">
        <is>
          <t>DALARNAS LÄN</t>
        </is>
      </c>
      <c r="E468" t="inlineStr">
        <is>
          <t>LEKSAND</t>
        </is>
      </c>
      <c r="G468" t="n">
        <v>1.7</v>
      </c>
      <c r="H468" t="n">
        <v>0</v>
      </c>
      <c r="I468" t="n">
        <v>0</v>
      </c>
      <c r="J468" t="n">
        <v>0</v>
      </c>
      <c r="K468" t="n">
        <v>0</v>
      </c>
      <c r="L468" t="n">
        <v>0</v>
      </c>
      <c r="M468" t="n">
        <v>0</v>
      </c>
      <c r="N468" t="n">
        <v>0</v>
      </c>
      <c r="O468" t="n">
        <v>0</v>
      </c>
      <c r="P468" t="n">
        <v>0</v>
      </c>
      <c r="Q468" t="n">
        <v>0</v>
      </c>
      <c r="R468" s="2" t="inlineStr"/>
    </row>
    <row r="469" ht="15" customHeight="1">
      <c r="A469" t="inlineStr">
        <is>
          <t>A 27183-2025</t>
        </is>
      </c>
      <c r="B469" s="1" t="n">
        <v>45812.36097222222</v>
      </c>
      <c r="C469" s="1" t="n">
        <v>45890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30196-2023</t>
        </is>
      </c>
      <c r="B470" s="1" t="n">
        <v>45110</v>
      </c>
      <c r="C470" s="1" t="n">
        <v>45890</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27680-2025</t>
        </is>
      </c>
      <c r="B471" s="1" t="n">
        <v>45813.64618055556</v>
      </c>
      <c r="C471" s="1" t="n">
        <v>45890</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27682-2025</t>
        </is>
      </c>
      <c r="B472" s="1" t="n">
        <v>45813.64782407408</v>
      </c>
      <c r="C472" s="1" t="n">
        <v>45890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10833-2023</t>
        </is>
      </c>
      <c r="B473" s="1" t="n">
        <v>44990</v>
      </c>
      <c r="C473" s="1" t="n">
        <v>45890</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27705-2025</t>
        </is>
      </c>
      <c r="B474" s="1" t="n">
        <v>45813</v>
      </c>
      <c r="C474" s="1" t="n">
        <v>45890</v>
      </c>
      <c r="D474" t="inlineStr">
        <is>
          <t>DALARNAS LÄN</t>
        </is>
      </c>
      <c r="E474" t="inlineStr">
        <is>
          <t>LEKSAND</t>
        </is>
      </c>
      <c r="G474" t="n">
        <v>0.8</v>
      </c>
      <c r="H474" t="n">
        <v>0</v>
      </c>
      <c r="I474" t="n">
        <v>0</v>
      </c>
      <c r="J474" t="n">
        <v>0</v>
      </c>
      <c r="K474" t="n">
        <v>0</v>
      </c>
      <c r="L474" t="n">
        <v>0</v>
      </c>
      <c r="M474" t="n">
        <v>0</v>
      </c>
      <c r="N474" t="n">
        <v>0</v>
      </c>
      <c r="O474" t="n">
        <v>0</v>
      </c>
      <c r="P474" t="n">
        <v>0</v>
      </c>
      <c r="Q474" t="n">
        <v>0</v>
      </c>
      <c r="R474" s="2" t="inlineStr"/>
    </row>
    <row r="475" ht="15" customHeight="1">
      <c r="A475" t="inlineStr">
        <is>
          <t>A 47121-2021</t>
        </is>
      </c>
      <c r="B475" s="1" t="n">
        <v>44446</v>
      </c>
      <c r="C475" s="1" t="n">
        <v>45890</v>
      </c>
      <c r="D475" t="inlineStr">
        <is>
          <t>DALARNAS LÄN</t>
        </is>
      </c>
      <c r="E475" t="inlineStr">
        <is>
          <t>LEKSAND</t>
        </is>
      </c>
      <c r="G475" t="n">
        <v>3.5</v>
      </c>
      <c r="H475" t="n">
        <v>0</v>
      </c>
      <c r="I475" t="n">
        <v>0</v>
      </c>
      <c r="J475" t="n">
        <v>0</v>
      </c>
      <c r="K475" t="n">
        <v>0</v>
      </c>
      <c r="L475" t="n">
        <v>0</v>
      </c>
      <c r="M475" t="n">
        <v>0</v>
      </c>
      <c r="N475" t="n">
        <v>0</v>
      </c>
      <c r="O475" t="n">
        <v>0</v>
      </c>
      <c r="P475" t="n">
        <v>0</v>
      </c>
      <c r="Q475" t="n">
        <v>0</v>
      </c>
      <c r="R475" s="2" t="inlineStr"/>
    </row>
    <row r="476" ht="15" customHeight="1">
      <c r="A476" t="inlineStr">
        <is>
          <t>A 36444-2023</t>
        </is>
      </c>
      <c r="B476" s="1" t="n">
        <v>45152.63138888889</v>
      </c>
      <c r="C476" s="1" t="n">
        <v>45890</v>
      </c>
      <c r="D476" t="inlineStr">
        <is>
          <t>DALARNAS LÄN</t>
        </is>
      </c>
      <c r="E476" t="inlineStr">
        <is>
          <t>LEKSAND</t>
        </is>
      </c>
      <c r="G476" t="n">
        <v>0.5</v>
      </c>
      <c r="H476" t="n">
        <v>0</v>
      </c>
      <c r="I476" t="n">
        <v>0</v>
      </c>
      <c r="J476" t="n">
        <v>0</v>
      </c>
      <c r="K476" t="n">
        <v>0</v>
      </c>
      <c r="L476" t="n">
        <v>0</v>
      </c>
      <c r="M476" t="n">
        <v>0</v>
      </c>
      <c r="N476" t="n">
        <v>0</v>
      </c>
      <c r="O476" t="n">
        <v>0</v>
      </c>
      <c r="P476" t="n">
        <v>0</v>
      </c>
      <c r="Q476" t="n">
        <v>0</v>
      </c>
      <c r="R476" s="2" t="inlineStr"/>
    </row>
    <row r="477" ht="15" customHeight="1">
      <c r="A477" t="inlineStr">
        <is>
          <t>A 27329-2025</t>
        </is>
      </c>
      <c r="B477" s="1" t="n">
        <v>45812.60864583333</v>
      </c>
      <c r="C477" s="1" t="n">
        <v>45890</v>
      </c>
      <c r="D477" t="inlineStr">
        <is>
          <t>DALARNAS LÄN</t>
        </is>
      </c>
      <c r="E477" t="inlineStr">
        <is>
          <t>LEKSAND</t>
        </is>
      </c>
      <c r="F477" t="inlineStr">
        <is>
          <t>Bergvik skog väst AB</t>
        </is>
      </c>
      <c r="G477" t="n">
        <v>3</v>
      </c>
      <c r="H477" t="n">
        <v>0</v>
      </c>
      <c r="I477" t="n">
        <v>0</v>
      </c>
      <c r="J477" t="n">
        <v>0</v>
      </c>
      <c r="K477" t="n">
        <v>0</v>
      </c>
      <c r="L477" t="n">
        <v>0</v>
      </c>
      <c r="M477" t="n">
        <v>0</v>
      </c>
      <c r="N477" t="n">
        <v>0</v>
      </c>
      <c r="O477" t="n">
        <v>0</v>
      </c>
      <c r="P477" t="n">
        <v>0</v>
      </c>
      <c r="Q477" t="n">
        <v>0</v>
      </c>
      <c r="R477" s="2" t="inlineStr"/>
    </row>
    <row r="478" ht="15" customHeight="1">
      <c r="A478" t="inlineStr">
        <is>
          <t>A 21402-2023</t>
        </is>
      </c>
      <c r="B478" s="1" t="n">
        <v>45061</v>
      </c>
      <c r="C478" s="1" t="n">
        <v>45890</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31391-2024</t>
        </is>
      </c>
      <c r="B479" s="1" t="n">
        <v>45505.46616898148</v>
      </c>
      <c r="C479" s="1" t="n">
        <v>45890</v>
      </c>
      <c r="D479" t="inlineStr">
        <is>
          <t>DALARNAS LÄN</t>
        </is>
      </c>
      <c r="E479" t="inlineStr">
        <is>
          <t>LEKSAND</t>
        </is>
      </c>
      <c r="F479" t="inlineStr">
        <is>
          <t>Bergvik skog väst AB</t>
        </is>
      </c>
      <c r="G479" t="n">
        <v>2.7</v>
      </c>
      <c r="H479" t="n">
        <v>0</v>
      </c>
      <c r="I479" t="n">
        <v>0</v>
      </c>
      <c r="J479" t="n">
        <v>0</v>
      </c>
      <c r="K479" t="n">
        <v>0</v>
      </c>
      <c r="L479" t="n">
        <v>0</v>
      </c>
      <c r="M479" t="n">
        <v>0</v>
      </c>
      <c r="N479" t="n">
        <v>0</v>
      </c>
      <c r="O479" t="n">
        <v>0</v>
      </c>
      <c r="P479" t="n">
        <v>0</v>
      </c>
      <c r="Q479" t="n">
        <v>0</v>
      </c>
      <c r="R479" s="2" t="inlineStr"/>
    </row>
    <row r="480" ht="15" customHeight="1">
      <c r="A480" t="inlineStr">
        <is>
          <t>A 167-2023</t>
        </is>
      </c>
      <c r="B480" s="1" t="n">
        <v>44918</v>
      </c>
      <c r="C480" s="1" t="n">
        <v>45890</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35094-2025</t>
        </is>
      </c>
      <c r="B481" s="1" t="n">
        <v>45852</v>
      </c>
      <c r="C481" s="1" t="n">
        <v>45890</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1519-2024</t>
        </is>
      </c>
      <c r="B482" s="1" t="n">
        <v>45306</v>
      </c>
      <c r="C482" s="1" t="n">
        <v>45890</v>
      </c>
      <c r="D482" t="inlineStr">
        <is>
          <t>DALARNAS LÄN</t>
        </is>
      </c>
      <c r="E482" t="inlineStr">
        <is>
          <t>LEKSAND</t>
        </is>
      </c>
      <c r="G482" t="n">
        <v>3.3</v>
      </c>
      <c r="H482" t="n">
        <v>0</v>
      </c>
      <c r="I482" t="n">
        <v>0</v>
      </c>
      <c r="J482" t="n">
        <v>0</v>
      </c>
      <c r="K482" t="n">
        <v>0</v>
      </c>
      <c r="L482" t="n">
        <v>0</v>
      </c>
      <c r="M482" t="n">
        <v>0</v>
      </c>
      <c r="N482" t="n">
        <v>0</v>
      </c>
      <c r="O482" t="n">
        <v>0</v>
      </c>
      <c r="P482" t="n">
        <v>0</v>
      </c>
      <c r="Q482" t="n">
        <v>0</v>
      </c>
      <c r="R482" s="2" t="inlineStr"/>
    </row>
    <row r="483" ht="15" customHeight="1">
      <c r="A483" t="inlineStr">
        <is>
          <t>A 31850-2024</t>
        </is>
      </c>
      <c r="B483" s="1" t="n">
        <v>45509.67334490741</v>
      </c>
      <c r="C483" s="1" t="n">
        <v>45890</v>
      </c>
      <c r="D483" t="inlineStr">
        <is>
          <t>DALARNAS LÄN</t>
        </is>
      </c>
      <c r="E483" t="inlineStr">
        <is>
          <t>LEKSAND</t>
        </is>
      </c>
      <c r="G483" t="n">
        <v>0.5</v>
      </c>
      <c r="H483" t="n">
        <v>0</v>
      </c>
      <c r="I483" t="n">
        <v>0</v>
      </c>
      <c r="J483" t="n">
        <v>0</v>
      </c>
      <c r="K483" t="n">
        <v>0</v>
      </c>
      <c r="L483" t="n">
        <v>0</v>
      </c>
      <c r="M483" t="n">
        <v>0</v>
      </c>
      <c r="N483" t="n">
        <v>0</v>
      </c>
      <c r="O483" t="n">
        <v>0</v>
      </c>
      <c r="P483" t="n">
        <v>0</v>
      </c>
      <c r="Q483" t="n">
        <v>0</v>
      </c>
      <c r="R483" s="2" t="inlineStr"/>
    </row>
    <row r="484" ht="15" customHeight="1">
      <c r="A484" t="inlineStr">
        <is>
          <t>A 27244-2023</t>
        </is>
      </c>
      <c r="B484" s="1" t="n">
        <v>45096</v>
      </c>
      <c r="C484" s="1" t="n">
        <v>45890</v>
      </c>
      <c r="D484" t="inlineStr">
        <is>
          <t>DALARNAS LÄN</t>
        </is>
      </c>
      <c r="E484" t="inlineStr">
        <is>
          <t>LEKSAND</t>
        </is>
      </c>
      <c r="G484" t="n">
        <v>5</v>
      </c>
      <c r="H484" t="n">
        <v>0</v>
      </c>
      <c r="I484" t="n">
        <v>0</v>
      </c>
      <c r="J484" t="n">
        <v>0</v>
      </c>
      <c r="K484" t="n">
        <v>0</v>
      </c>
      <c r="L484" t="n">
        <v>0</v>
      </c>
      <c r="M484" t="n">
        <v>0</v>
      </c>
      <c r="N484" t="n">
        <v>0</v>
      </c>
      <c r="O484" t="n">
        <v>0</v>
      </c>
      <c r="P484" t="n">
        <v>0</v>
      </c>
      <c r="Q484" t="n">
        <v>0</v>
      </c>
      <c r="R484" s="2" t="inlineStr"/>
    </row>
    <row r="485" ht="15" customHeight="1">
      <c r="A485" t="inlineStr">
        <is>
          <t>A 27984-2025</t>
        </is>
      </c>
      <c r="B485" s="1" t="n">
        <v>45817.57710648148</v>
      </c>
      <c r="C485" s="1" t="n">
        <v>45890</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2694-2025</t>
        </is>
      </c>
      <c r="B486" s="1" t="n">
        <v>45677.38246527778</v>
      </c>
      <c r="C486" s="1" t="n">
        <v>45890</v>
      </c>
      <c r="D486" t="inlineStr">
        <is>
          <t>DALARNAS LÄN</t>
        </is>
      </c>
      <c r="E486" t="inlineStr">
        <is>
          <t>LEKSAND</t>
        </is>
      </c>
      <c r="G486" t="n">
        <v>1</v>
      </c>
      <c r="H486" t="n">
        <v>0</v>
      </c>
      <c r="I486" t="n">
        <v>0</v>
      </c>
      <c r="J486" t="n">
        <v>0</v>
      </c>
      <c r="K486" t="n">
        <v>0</v>
      </c>
      <c r="L486" t="n">
        <v>0</v>
      </c>
      <c r="M486" t="n">
        <v>0</v>
      </c>
      <c r="N486" t="n">
        <v>0</v>
      </c>
      <c r="O486" t="n">
        <v>0</v>
      </c>
      <c r="P486" t="n">
        <v>0</v>
      </c>
      <c r="Q486" t="n">
        <v>0</v>
      </c>
      <c r="R486" s="2" t="inlineStr"/>
    </row>
    <row r="487" ht="15" customHeight="1">
      <c r="A487" t="inlineStr">
        <is>
          <t>A 28892-2022</t>
        </is>
      </c>
      <c r="B487" s="1" t="n">
        <v>44749</v>
      </c>
      <c r="C487" s="1" t="n">
        <v>45890</v>
      </c>
      <c r="D487" t="inlineStr">
        <is>
          <t>DALARNAS LÄN</t>
        </is>
      </c>
      <c r="E487" t="inlineStr">
        <is>
          <t>LEKSAND</t>
        </is>
      </c>
      <c r="F487" t="inlineStr">
        <is>
          <t>Bergvik skog väst AB</t>
        </is>
      </c>
      <c r="G487" t="n">
        <v>9.1</v>
      </c>
      <c r="H487" t="n">
        <v>0</v>
      </c>
      <c r="I487" t="n">
        <v>0</v>
      </c>
      <c r="J487" t="n">
        <v>0</v>
      </c>
      <c r="K487" t="n">
        <v>0</v>
      </c>
      <c r="L487" t="n">
        <v>0</v>
      </c>
      <c r="M487" t="n">
        <v>0</v>
      </c>
      <c r="N487" t="n">
        <v>0</v>
      </c>
      <c r="O487" t="n">
        <v>0</v>
      </c>
      <c r="P487" t="n">
        <v>0</v>
      </c>
      <c r="Q487" t="n">
        <v>0</v>
      </c>
      <c r="R487" s="2" t="inlineStr"/>
    </row>
    <row r="488" ht="15" customHeight="1">
      <c r="A488" t="inlineStr">
        <is>
          <t>A 3183-2025</t>
        </is>
      </c>
      <c r="B488" s="1" t="n">
        <v>45679.40298611111</v>
      </c>
      <c r="C488" s="1" t="n">
        <v>45890</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16592-2023</t>
        </is>
      </c>
      <c r="B489" s="1" t="n">
        <v>45030</v>
      </c>
      <c r="C489" s="1" t="n">
        <v>45890</v>
      </c>
      <c r="D489" t="inlineStr">
        <is>
          <t>DALARNAS LÄN</t>
        </is>
      </c>
      <c r="E489" t="inlineStr">
        <is>
          <t>LEKSAND</t>
        </is>
      </c>
      <c r="G489" t="n">
        <v>11.5</v>
      </c>
      <c r="H489" t="n">
        <v>0</v>
      </c>
      <c r="I489" t="n">
        <v>0</v>
      </c>
      <c r="J489" t="n">
        <v>0</v>
      </c>
      <c r="K489" t="n">
        <v>0</v>
      </c>
      <c r="L489" t="n">
        <v>0</v>
      </c>
      <c r="M489" t="n">
        <v>0</v>
      </c>
      <c r="N489" t="n">
        <v>0</v>
      </c>
      <c r="O489" t="n">
        <v>0</v>
      </c>
      <c r="P489" t="n">
        <v>0</v>
      </c>
      <c r="Q489" t="n">
        <v>0</v>
      </c>
      <c r="R489" s="2" t="inlineStr"/>
    </row>
    <row r="490" ht="15" customHeight="1">
      <c r="A490" t="inlineStr">
        <is>
          <t>A 33593-2024</t>
        </is>
      </c>
      <c r="B490" s="1" t="n">
        <v>45520.36055555556</v>
      </c>
      <c r="C490" s="1" t="n">
        <v>45890</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7778-2025</t>
        </is>
      </c>
      <c r="B491" s="1" t="n">
        <v>45706</v>
      </c>
      <c r="C491" s="1" t="n">
        <v>45890</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12290-2024</t>
        </is>
      </c>
      <c r="B492" s="1" t="n">
        <v>45378.57877314815</v>
      </c>
      <c r="C492" s="1" t="n">
        <v>45890</v>
      </c>
      <c r="D492" t="inlineStr">
        <is>
          <t>DALARNAS LÄN</t>
        </is>
      </c>
      <c r="E492" t="inlineStr">
        <is>
          <t>LEKSAND</t>
        </is>
      </c>
      <c r="G492" t="n">
        <v>2.5</v>
      </c>
      <c r="H492" t="n">
        <v>0</v>
      </c>
      <c r="I492" t="n">
        <v>0</v>
      </c>
      <c r="J492" t="n">
        <v>0</v>
      </c>
      <c r="K492" t="n">
        <v>0</v>
      </c>
      <c r="L492" t="n">
        <v>0</v>
      </c>
      <c r="M492" t="n">
        <v>0</v>
      </c>
      <c r="N492" t="n">
        <v>0</v>
      </c>
      <c r="O492" t="n">
        <v>0</v>
      </c>
      <c r="P492" t="n">
        <v>0</v>
      </c>
      <c r="Q492" t="n">
        <v>0</v>
      </c>
      <c r="R492" s="2" t="inlineStr"/>
    </row>
    <row r="493" ht="15" customHeight="1">
      <c r="A493" t="inlineStr">
        <is>
          <t>A 17606-2024</t>
        </is>
      </c>
      <c r="B493" s="1" t="n">
        <v>45415</v>
      </c>
      <c r="C493" s="1" t="n">
        <v>45890</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39819-2024</t>
        </is>
      </c>
      <c r="B494" s="1" t="n">
        <v>45553.38774305556</v>
      </c>
      <c r="C494" s="1" t="n">
        <v>45890</v>
      </c>
      <c r="D494" t="inlineStr">
        <is>
          <t>DALARNAS LÄN</t>
        </is>
      </c>
      <c r="E494" t="inlineStr">
        <is>
          <t>LEKSAND</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12857-2023</t>
        </is>
      </c>
      <c r="B495" s="1" t="n">
        <v>45001.5000462963</v>
      </c>
      <c r="C495" s="1" t="n">
        <v>45890</v>
      </c>
      <c r="D495" t="inlineStr">
        <is>
          <t>DALARNAS LÄN</t>
        </is>
      </c>
      <c r="E495" t="inlineStr">
        <is>
          <t>LEKSAND</t>
        </is>
      </c>
      <c r="G495" t="n">
        <v>0.2</v>
      </c>
      <c r="H495" t="n">
        <v>0</v>
      </c>
      <c r="I495" t="n">
        <v>0</v>
      </c>
      <c r="J495" t="n">
        <v>0</v>
      </c>
      <c r="K495" t="n">
        <v>0</v>
      </c>
      <c r="L495" t="n">
        <v>0</v>
      </c>
      <c r="M495" t="n">
        <v>0</v>
      </c>
      <c r="N495" t="n">
        <v>0</v>
      </c>
      <c r="O495" t="n">
        <v>0</v>
      </c>
      <c r="P495" t="n">
        <v>0</v>
      </c>
      <c r="Q495" t="n">
        <v>0</v>
      </c>
      <c r="R495" s="2" t="inlineStr"/>
    </row>
    <row r="496" ht="15" customHeight="1">
      <c r="A496" t="inlineStr">
        <is>
          <t>A 28499-2025</t>
        </is>
      </c>
      <c r="B496" s="1" t="n">
        <v>45818</v>
      </c>
      <c r="C496" s="1" t="n">
        <v>45890</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36450-2023</t>
        </is>
      </c>
      <c r="B497" s="1" t="n">
        <v>45152.64842592592</v>
      </c>
      <c r="C497" s="1" t="n">
        <v>45890</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32072-2024</t>
        </is>
      </c>
      <c r="B498" s="1" t="n">
        <v>45510.98405092592</v>
      </c>
      <c r="C498" s="1" t="n">
        <v>45890</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28483-2025</t>
        </is>
      </c>
      <c r="B499" s="1" t="n">
        <v>45818</v>
      </c>
      <c r="C499" s="1" t="n">
        <v>45890</v>
      </c>
      <c r="D499" t="inlineStr">
        <is>
          <t>DALARNAS LÄN</t>
        </is>
      </c>
      <c r="E499" t="inlineStr">
        <is>
          <t>LEKSAND</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28458-2025</t>
        </is>
      </c>
      <c r="B500" s="1" t="n">
        <v>45819.413125</v>
      </c>
      <c r="C500" s="1" t="n">
        <v>45890</v>
      </c>
      <c r="D500" t="inlineStr">
        <is>
          <t>DALARNAS LÄN</t>
        </is>
      </c>
      <c r="E500" t="inlineStr">
        <is>
          <t>LEKSAND</t>
        </is>
      </c>
      <c r="G500" t="n">
        <v>3</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45890</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56299-2024</t>
        </is>
      </c>
      <c r="B502" s="1" t="n">
        <v>45624.68607638889</v>
      </c>
      <c r="C502" s="1" t="n">
        <v>45890</v>
      </c>
      <c r="D502" t="inlineStr">
        <is>
          <t>DALARNAS LÄN</t>
        </is>
      </c>
      <c r="E502" t="inlineStr">
        <is>
          <t>LEKSAND</t>
        </is>
      </c>
      <c r="G502" t="n">
        <v>1.6</v>
      </c>
      <c r="H502" t="n">
        <v>0</v>
      </c>
      <c r="I502" t="n">
        <v>0</v>
      </c>
      <c r="J502" t="n">
        <v>0</v>
      </c>
      <c r="K502" t="n">
        <v>0</v>
      </c>
      <c r="L502" t="n">
        <v>0</v>
      </c>
      <c r="M502" t="n">
        <v>0</v>
      </c>
      <c r="N502" t="n">
        <v>0</v>
      </c>
      <c r="O502" t="n">
        <v>0</v>
      </c>
      <c r="P502" t="n">
        <v>0</v>
      </c>
      <c r="Q502" t="n">
        <v>0</v>
      </c>
      <c r="R502" s="2" t="inlineStr"/>
    </row>
    <row r="503" ht="15" customHeight="1">
      <c r="A503" t="inlineStr">
        <is>
          <t>A 48721-2023</t>
        </is>
      </c>
      <c r="B503" s="1" t="n">
        <v>45203</v>
      </c>
      <c r="C503" s="1" t="n">
        <v>45890</v>
      </c>
      <c r="D503" t="inlineStr">
        <is>
          <t>DALARNAS LÄN</t>
        </is>
      </c>
      <c r="E503" t="inlineStr">
        <is>
          <t>LEKSAND</t>
        </is>
      </c>
      <c r="G503" t="n">
        <v>2.9</v>
      </c>
      <c r="H503" t="n">
        <v>0</v>
      </c>
      <c r="I503" t="n">
        <v>0</v>
      </c>
      <c r="J503" t="n">
        <v>0</v>
      </c>
      <c r="K503" t="n">
        <v>0</v>
      </c>
      <c r="L503" t="n">
        <v>0</v>
      </c>
      <c r="M503" t="n">
        <v>0</v>
      </c>
      <c r="N503" t="n">
        <v>0</v>
      </c>
      <c r="O503" t="n">
        <v>0</v>
      </c>
      <c r="P503" t="n">
        <v>0</v>
      </c>
      <c r="Q503" t="n">
        <v>0</v>
      </c>
      <c r="R503" s="2" t="inlineStr"/>
    </row>
    <row r="504" ht="15" customHeight="1">
      <c r="A504" t="inlineStr">
        <is>
          <t>A 35746-2025</t>
        </is>
      </c>
      <c r="B504" s="1" t="n">
        <v>45860.55237268518</v>
      </c>
      <c r="C504" s="1" t="n">
        <v>45890</v>
      </c>
      <c r="D504" t="inlineStr">
        <is>
          <t>DALARNAS LÄN</t>
        </is>
      </c>
      <c r="E504" t="inlineStr">
        <is>
          <t>LEKSAND</t>
        </is>
      </c>
      <c r="G504" t="n">
        <v>1.9</v>
      </c>
      <c r="H504" t="n">
        <v>0</v>
      </c>
      <c r="I504" t="n">
        <v>0</v>
      </c>
      <c r="J504" t="n">
        <v>0</v>
      </c>
      <c r="K504" t="n">
        <v>0</v>
      </c>
      <c r="L504" t="n">
        <v>0</v>
      </c>
      <c r="M504" t="n">
        <v>0</v>
      </c>
      <c r="N504" t="n">
        <v>0</v>
      </c>
      <c r="O504" t="n">
        <v>0</v>
      </c>
      <c r="P504" t="n">
        <v>0</v>
      </c>
      <c r="Q504" t="n">
        <v>0</v>
      </c>
      <c r="R504" s="2" t="inlineStr"/>
    </row>
    <row r="505" ht="15" customHeight="1">
      <c r="A505" t="inlineStr">
        <is>
          <t>A 17483-2025</t>
        </is>
      </c>
      <c r="B505" s="1" t="n">
        <v>45757.49408564815</v>
      </c>
      <c r="C505" s="1" t="n">
        <v>45890</v>
      </c>
      <c r="D505" t="inlineStr">
        <is>
          <t>DALARNAS LÄN</t>
        </is>
      </c>
      <c r="E505" t="inlineStr">
        <is>
          <t>LEKSAND</t>
        </is>
      </c>
      <c r="G505" t="n">
        <v>4.1</v>
      </c>
      <c r="H505" t="n">
        <v>0</v>
      </c>
      <c r="I505" t="n">
        <v>0</v>
      </c>
      <c r="J505" t="n">
        <v>0</v>
      </c>
      <c r="K505" t="n">
        <v>0</v>
      </c>
      <c r="L505" t="n">
        <v>0</v>
      </c>
      <c r="M505" t="n">
        <v>0</v>
      </c>
      <c r="N505" t="n">
        <v>0</v>
      </c>
      <c r="O505" t="n">
        <v>0</v>
      </c>
      <c r="P505" t="n">
        <v>0</v>
      </c>
      <c r="Q505" t="n">
        <v>0</v>
      </c>
      <c r="R505" s="2" t="inlineStr"/>
    </row>
    <row r="506" ht="15" customHeight="1">
      <c r="A506" t="inlineStr">
        <is>
          <t>A 43142-2024</t>
        </is>
      </c>
      <c r="B506" s="1" t="n">
        <v>45567.62144675926</v>
      </c>
      <c r="C506" s="1" t="n">
        <v>45890</v>
      </c>
      <c r="D506" t="inlineStr">
        <is>
          <t>DALARNAS LÄN</t>
        </is>
      </c>
      <c r="E506" t="inlineStr">
        <is>
          <t>LEKSAND</t>
        </is>
      </c>
      <c r="F506" t="inlineStr">
        <is>
          <t>Bergvik skog väst AB</t>
        </is>
      </c>
      <c r="G506" t="n">
        <v>2.9</v>
      </c>
      <c r="H506" t="n">
        <v>0</v>
      </c>
      <c r="I506" t="n">
        <v>0</v>
      </c>
      <c r="J506" t="n">
        <v>0</v>
      </c>
      <c r="K506" t="n">
        <v>0</v>
      </c>
      <c r="L506" t="n">
        <v>0</v>
      </c>
      <c r="M506" t="n">
        <v>0</v>
      </c>
      <c r="N506" t="n">
        <v>0</v>
      </c>
      <c r="O506" t="n">
        <v>0</v>
      </c>
      <c r="P506" t="n">
        <v>0</v>
      </c>
      <c r="Q506" t="n">
        <v>0</v>
      </c>
      <c r="R506" s="2" t="inlineStr"/>
    </row>
    <row r="507" ht="15" customHeight="1">
      <c r="A507" t="inlineStr">
        <is>
          <t>A 1984-2025</t>
        </is>
      </c>
      <c r="B507" s="1" t="n">
        <v>45670</v>
      </c>
      <c r="C507" s="1" t="n">
        <v>45890</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1443-2024</t>
        </is>
      </c>
      <c r="B508" s="1" t="n">
        <v>45303</v>
      </c>
      <c r="C508" s="1" t="n">
        <v>45890</v>
      </c>
      <c r="D508" t="inlineStr">
        <is>
          <t>DALARNAS LÄN</t>
        </is>
      </c>
      <c r="E508" t="inlineStr">
        <is>
          <t>LEKSAND</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28505-2025</t>
        </is>
      </c>
      <c r="B509" s="1" t="n">
        <v>45818</v>
      </c>
      <c r="C509" s="1" t="n">
        <v>45890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28488-2025</t>
        </is>
      </c>
      <c r="B510" s="1" t="n">
        <v>45818</v>
      </c>
      <c r="C510" s="1" t="n">
        <v>45890</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28770-2025</t>
        </is>
      </c>
      <c r="B511" s="1" t="n">
        <v>45820</v>
      </c>
      <c r="C511" s="1" t="n">
        <v>45890</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18481-2024</t>
        </is>
      </c>
      <c r="B512" s="1" t="n">
        <v>45425.52193287037</v>
      </c>
      <c r="C512" s="1" t="n">
        <v>45890</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8046-2024</t>
        </is>
      </c>
      <c r="B513" s="1" t="n">
        <v>45351.31555555556</v>
      </c>
      <c r="C513" s="1" t="n">
        <v>45890</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7827-2024</t>
        </is>
      </c>
      <c r="B514" s="1" t="n">
        <v>45349.7467824074</v>
      </c>
      <c r="C514" s="1" t="n">
        <v>45890</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28985-2025</t>
        </is>
      </c>
      <c r="B515" s="1" t="n">
        <v>45821.36862268519</v>
      </c>
      <c r="C515" s="1" t="n">
        <v>45890</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43735-2022</t>
        </is>
      </c>
      <c r="B516" s="1" t="n">
        <v>44837.70210648148</v>
      </c>
      <c r="C516" s="1" t="n">
        <v>45890</v>
      </c>
      <c r="D516" t="inlineStr">
        <is>
          <t>DALARNAS LÄN</t>
        </is>
      </c>
      <c r="E516" t="inlineStr">
        <is>
          <t>LEKSAND</t>
        </is>
      </c>
      <c r="G516" t="n">
        <v>2.9</v>
      </c>
      <c r="H516" t="n">
        <v>0</v>
      </c>
      <c r="I516" t="n">
        <v>0</v>
      </c>
      <c r="J516" t="n">
        <v>0</v>
      </c>
      <c r="K516" t="n">
        <v>0</v>
      </c>
      <c r="L516" t="n">
        <v>0</v>
      </c>
      <c r="M516" t="n">
        <v>0</v>
      </c>
      <c r="N516" t="n">
        <v>0</v>
      </c>
      <c r="O516" t="n">
        <v>0</v>
      </c>
      <c r="P516" t="n">
        <v>0</v>
      </c>
      <c r="Q516" t="n">
        <v>0</v>
      </c>
      <c r="R516" s="2" t="inlineStr"/>
    </row>
    <row r="517" ht="15" customHeight="1">
      <c r="A517" t="inlineStr">
        <is>
          <t>A 35998-2025</t>
        </is>
      </c>
      <c r="B517" s="1" t="n">
        <v>45863.51550925926</v>
      </c>
      <c r="C517" s="1" t="n">
        <v>45890</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20936-2023</t>
        </is>
      </c>
      <c r="B518" s="1" t="n">
        <v>45061</v>
      </c>
      <c r="C518" s="1" t="n">
        <v>45890</v>
      </c>
      <c r="D518" t="inlineStr">
        <is>
          <t>DALARNAS LÄN</t>
        </is>
      </c>
      <c r="E518" t="inlineStr">
        <is>
          <t>LEKSAND</t>
        </is>
      </c>
      <c r="G518" t="n">
        <v>0.3</v>
      </c>
      <c r="H518" t="n">
        <v>0</v>
      </c>
      <c r="I518" t="n">
        <v>0</v>
      </c>
      <c r="J518" t="n">
        <v>0</v>
      </c>
      <c r="K518" t="n">
        <v>0</v>
      </c>
      <c r="L518" t="n">
        <v>0</v>
      </c>
      <c r="M518" t="n">
        <v>0</v>
      </c>
      <c r="N518" t="n">
        <v>0</v>
      </c>
      <c r="O518" t="n">
        <v>0</v>
      </c>
      <c r="P518" t="n">
        <v>0</v>
      </c>
      <c r="Q518" t="n">
        <v>0</v>
      </c>
      <c r="R518" s="2" t="inlineStr"/>
    </row>
    <row r="519" ht="15" customHeight="1">
      <c r="A519" t="inlineStr">
        <is>
          <t>A 44469-2024</t>
        </is>
      </c>
      <c r="B519" s="1" t="n">
        <v>45574</v>
      </c>
      <c r="C519" s="1" t="n">
        <v>45890</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27446-2024</t>
        </is>
      </c>
      <c r="B520" s="1" t="n">
        <v>45474.42671296297</v>
      </c>
      <c r="C520" s="1" t="n">
        <v>45890</v>
      </c>
      <c r="D520" t="inlineStr">
        <is>
          <t>DALARNAS LÄN</t>
        </is>
      </c>
      <c r="E520" t="inlineStr">
        <is>
          <t>LEKSAND</t>
        </is>
      </c>
      <c r="G520" t="n">
        <v>2.9</v>
      </c>
      <c r="H520" t="n">
        <v>0</v>
      </c>
      <c r="I520" t="n">
        <v>0</v>
      </c>
      <c r="J520" t="n">
        <v>0</v>
      </c>
      <c r="K520" t="n">
        <v>0</v>
      </c>
      <c r="L520" t="n">
        <v>0</v>
      </c>
      <c r="M520" t="n">
        <v>0</v>
      </c>
      <c r="N520" t="n">
        <v>0</v>
      </c>
      <c r="O520" t="n">
        <v>0</v>
      </c>
      <c r="P520" t="n">
        <v>0</v>
      </c>
      <c r="Q520" t="n">
        <v>0</v>
      </c>
      <c r="R520" s="2" t="inlineStr"/>
    </row>
    <row r="521" ht="15" customHeight="1">
      <c r="A521" t="inlineStr">
        <is>
          <t>A 29553-2025</t>
        </is>
      </c>
      <c r="B521" s="1" t="n">
        <v>45825.35315972222</v>
      </c>
      <c r="C521" s="1" t="n">
        <v>45890</v>
      </c>
      <c r="D521" t="inlineStr">
        <is>
          <t>DALARNAS LÄN</t>
        </is>
      </c>
      <c r="E521" t="inlineStr">
        <is>
          <t>LEKSAND</t>
        </is>
      </c>
      <c r="G521" t="n">
        <v>1.8</v>
      </c>
      <c r="H521" t="n">
        <v>0</v>
      </c>
      <c r="I521" t="n">
        <v>0</v>
      </c>
      <c r="J521" t="n">
        <v>0</v>
      </c>
      <c r="K521" t="n">
        <v>0</v>
      </c>
      <c r="L521" t="n">
        <v>0</v>
      </c>
      <c r="M521" t="n">
        <v>0</v>
      </c>
      <c r="N521" t="n">
        <v>0</v>
      </c>
      <c r="O521" t="n">
        <v>0</v>
      </c>
      <c r="P521" t="n">
        <v>0</v>
      </c>
      <c r="Q521" t="n">
        <v>0</v>
      </c>
      <c r="R521" s="2" t="inlineStr"/>
    </row>
    <row r="522" ht="15" customHeight="1">
      <c r="A522" t="inlineStr">
        <is>
          <t>A 53817-2023</t>
        </is>
      </c>
      <c r="B522" s="1" t="n">
        <v>45231.40488425926</v>
      </c>
      <c r="C522" s="1" t="n">
        <v>45890</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53464-2024</t>
        </is>
      </c>
      <c r="B523" s="1" t="n">
        <v>45611</v>
      </c>
      <c r="C523" s="1" t="n">
        <v>45890</v>
      </c>
      <c r="D523" t="inlineStr">
        <is>
          <t>DALARNAS LÄN</t>
        </is>
      </c>
      <c r="E523" t="inlineStr">
        <is>
          <t>LEKSAND</t>
        </is>
      </c>
      <c r="G523" t="n">
        <v>1.7</v>
      </c>
      <c r="H523" t="n">
        <v>0</v>
      </c>
      <c r="I523" t="n">
        <v>0</v>
      </c>
      <c r="J523" t="n">
        <v>0</v>
      </c>
      <c r="K523" t="n">
        <v>0</v>
      </c>
      <c r="L523" t="n">
        <v>0</v>
      </c>
      <c r="M523" t="n">
        <v>0</v>
      </c>
      <c r="N523" t="n">
        <v>0</v>
      </c>
      <c r="O523" t="n">
        <v>0</v>
      </c>
      <c r="P523" t="n">
        <v>0</v>
      </c>
      <c r="Q523" t="n">
        <v>0</v>
      </c>
      <c r="R523" s="2" t="inlineStr"/>
    </row>
    <row r="524" ht="15" customHeight="1">
      <c r="A524" t="inlineStr">
        <is>
          <t>A 62993-2023</t>
        </is>
      </c>
      <c r="B524" s="1" t="n">
        <v>45272</v>
      </c>
      <c r="C524" s="1" t="n">
        <v>45890</v>
      </c>
      <c r="D524" t="inlineStr">
        <is>
          <t>DALARNAS LÄN</t>
        </is>
      </c>
      <c r="E524" t="inlineStr">
        <is>
          <t>LEKSAND</t>
        </is>
      </c>
      <c r="G524" t="n">
        <v>0.6</v>
      </c>
      <c r="H524" t="n">
        <v>0</v>
      </c>
      <c r="I524" t="n">
        <v>0</v>
      </c>
      <c r="J524" t="n">
        <v>0</v>
      </c>
      <c r="K524" t="n">
        <v>0</v>
      </c>
      <c r="L524" t="n">
        <v>0</v>
      </c>
      <c r="M524" t="n">
        <v>0</v>
      </c>
      <c r="N524" t="n">
        <v>0</v>
      </c>
      <c r="O524" t="n">
        <v>0</v>
      </c>
      <c r="P524" t="n">
        <v>0</v>
      </c>
      <c r="Q524" t="n">
        <v>0</v>
      </c>
      <c r="R524" s="2" t="inlineStr"/>
    </row>
    <row r="525" ht="15" customHeight="1">
      <c r="A525" t="inlineStr">
        <is>
          <t>A 29005-2025</t>
        </is>
      </c>
      <c r="B525" s="1" t="n">
        <v>45821.39326388889</v>
      </c>
      <c r="C525" s="1" t="n">
        <v>45890</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36190-2025</t>
        </is>
      </c>
      <c r="B526" s="1" t="n">
        <v>45867</v>
      </c>
      <c r="C526" s="1" t="n">
        <v>45890</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17455-2022</t>
        </is>
      </c>
      <c r="B527" s="1" t="n">
        <v>44679.3775</v>
      </c>
      <c r="C527" s="1" t="n">
        <v>45890</v>
      </c>
      <c r="D527" t="inlineStr">
        <is>
          <t>DALARNAS LÄN</t>
        </is>
      </c>
      <c r="E527" t="inlineStr">
        <is>
          <t>LEKSAND</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29729-2025</t>
        </is>
      </c>
      <c r="B528" s="1" t="n">
        <v>45825.58077546296</v>
      </c>
      <c r="C528" s="1" t="n">
        <v>45890</v>
      </c>
      <c r="D528" t="inlineStr">
        <is>
          <t>DALARNAS LÄN</t>
        </is>
      </c>
      <c r="E528" t="inlineStr">
        <is>
          <t>LEKSAND</t>
        </is>
      </c>
      <c r="F528" t="inlineStr">
        <is>
          <t>Bergvik skog väst AB</t>
        </is>
      </c>
      <c r="G528" t="n">
        <v>4.3</v>
      </c>
      <c r="H528" t="n">
        <v>0</v>
      </c>
      <c r="I528" t="n">
        <v>0</v>
      </c>
      <c r="J528" t="n">
        <v>0</v>
      </c>
      <c r="K528" t="n">
        <v>0</v>
      </c>
      <c r="L528" t="n">
        <v>0</v>
      </c>
      <c r="M528" t="n">
        <v>0</v>
      </c>
      <c r="N528" t="n">
        <v>0</v>
      </c>
      <c r="O528" t="n">
        <v>0</v>
      </c>
      <c r="P528" t="n">
        <v>0</v>
      </c>
      <c r="Q528" t="n">
        <v>0</v>
      </c>
      <c r="R528" s="2" t="inlineStr"/>
    </row>
    <row r="529" ht="15" customHeight="1">
      <c r="A529" t="inlineStr">
        <is>
          <t>A 46628-2024</t>
        </is>
      </c>
      <c r="B529" s="1" t="n">
        <v>45583.33195601852</v>
      </c>
      <c r="C529" s="1" t="n">
        <v>45890</v>
      </c>
      <c r="D529" t="inlineStr">
        <is>
          <t>DALARNAS LÄN</t>
        </is>
      </c>
      <c r="E529" t="inlineStr">
        <is>
          <t>LEKSAND</t>
        </is>
      </c>
      <c r="G529" t="n">
        <v>0.2</v>
      </c>
      <c r="H529" t="n">
        <v>0</v>
      </c>
      <c r="I529" t="n">
        <v>0</v>
      </c>
      <c r="J529" t="n">
        <v>0</v>
      </c>
      <c r="K529" t="n">
        <v>0</v>
      </c>
      <c r="L529" t="n">
        <v>0</v>
      </c>
      <c r="M529" t="n">
        <v>0</v>
      </c>
      <c r="N529" t="n">
        <v>0</v>
      </c>
      <c r="O529" t="n">
        <v>0</v>
      </c>
      <c r="P529" t="n">
        <v>0</v>
      </c>
      <c r="Q529" t="n">
        <v>0</v>
      </c>
      <c r="R529" s="2" t="inlineStr"/>
    </row>
    <row r="530" ht="15" customHeight="1">
      <c r="A530" t="inlineStr">
        <is>
          <t>A 30254-2025</t>
        </is>
      </c>
      <c r="B530" s="1" t="n">
        <v>45827.42336805556</v>
      </c>
      <c r="C530" s="1" t="n">
        <v>45890</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43222-2024</t>
        </is>
      </c>
      <c r="B531" s="1" t="n">
        <v>45567.87177083334</v>
      </c>
      <c r="C531" s="1" t="n">
        <v>45890</v>
      </c>
      <c r="D531" t="inlineStr">
        <is>
          <t>DALARNAS LÄN</t>
        </is>
      </c>
      <c r="E531" t="inlineStr">
        <is>
          <t>LEKSAND</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43231-2024</t>
        </is>
      </c>
      <c r="B532" s="1" t="n">
        <v>45567.89709490741</v>
      </c>
      <c r="C532" s="1" t="n">
        <v>45890</v>
      </c>
      <c r="D532" t="inlineStr">
        <is>
          <t>DALARNAS LÄN</t>
        </is>
      </c>
      <c r="E532" t="inlineStr">
        <is>
          <t>LEKSAND</t>
        </is>
      </c>
      <c r="G532" t="n">
        <v>1.9</v>
      </c>
      <c r="H532" t="n">
        <v>0</v>
      </c>
      <c r="I532" t="n">
        <v>0</v>
      </c>
      <c r="J532" t="n">
        <v>0</v>
      </c>
      <c r="K532" t="n">
        <v>0</v>
      </c>
      <c r="L532" t="n">
        <v>0</v>
      </c>
      <c r="M532" t="n">
        <v>0</v>
      </c>
      <c r="N532" t="n">
        <v>0</v>
      </c>
      <c r="O532" t="n">
        <v>0</v>
      </c>
      <c r="P532" t="n">
        <v>0</v>
      </c>
      <c r="Q532" t="n">
        <v>0</v>
      </c>
      <c r="R532" s="2" t="inlineStr"/>
    </row>
    <row r="533" ht="15" customHeight="1">
      <c r="A533" t="inlineStr">
        <is>
          <t>A 7417-2024</t>
        </is>
      </c>
      <c r="B533" s="1" t="n">
        <v>45345.62378472222</v>
      </c>
      <c r="C533" s="1" t="n">
        <v>45890</v>
      </c>
      <c r="D533" t="inlineStr">
        <is>
          <t>DALARNAS LÄN</t>
        </is>
      </c>
      <c r="E533" t="inlineStr">
        <is>
          <t>LEKSAND</t>
        </is>
      </c>
      <c r="G533" t="n">
        <v>2.8</v>
      </c>
      <c r="H533" t="n">
        <v>0</v>
      </c>
      <c r="I533" t="n">
        <v>0</v>
      </c>
      <c r="J533" t="n">
        <v>0</v>
      </c>
      <c r="K533" t="n">
        <v>0</v>
      </c>
      <c r="L533" t="n">
        <v>0</v>
      </c>
      <c r="M533" t="n">
        <v>0</v>
      </c>
      <c r="N533" t="n">
        <v>0</v>
      </c>
      <c r="O533" t="n">
        <v>0</v>
      </c>
      <c r="P533" t="n">
        <v>0</v>
      </c>
      <c r="Q533" t="n">
        <v>0</v>
      </c>
      <c r="R533" s="2" t="inlineStr"/>
    </row>
    <row r="534" ht="15" customHeight="1">
      <c r="A534" t="inlineStr">
        <is>
          <t>A 17533-2023</t>
        </is>
      </c>
      <c r="B534" s="1" t="n">
        <v>45036</v>
      </c>
      <c r="C534" s="1" t="n">
        <v>45890</v>
      </c>
      <c r="D534" t="inlineStr">
        <is>
          <t>DALARNAS LÄN</t>
        </is>
      </c>
      <c r="E534" t="inlineStr">
        <is>
          <t>LEKSAND</t>
        </is>
      </c>
      <c r="G534" t="n">
        <v>3</v>
      </c>
      <c r="H534" t="n">
        <v>0</v>
      </c>
      <c r="I534" t="n">
        <v>0</v>
      </c>
      <c r="J534" t="n">
        <v>0</v>
      </c>
      <c r="K534" t="n">
        <v>0</v>
      </c>
      <c r="L534" t="n">
        <v>0</v>
      </c>
      <c r="M534" t="n">
        <v>0</v>
      </c>
      <c r="N534" t="n">
        <v>0</v>
      </c>
      <c r="O534" t="n">
        <v>0</v>
      </c>
      <c r="P534" t="n">
        <v>0</v>
      </c>
      <c r="Q534" t="n">
        <v>0</v>
      </c>
      <c r="R534" s="2" t="inlineStr"/>
    </row>
    <row r="535" ht="15" customHeight="1">
      <c r="A535" t="inlineStr">
        <is>
          <t>A 54914-2024</t>
        </is>
      </c>
      <c r="B535" s="1" t="n">
        <v>45618.69380787037</v>
      </c>
      <c r="C535" s="1" t="n">
        <v>45890</v>
      </c>
      <c r="D535" t="inlineStr">
        <is>
          <t>DALARNAS LÄN</t>
        </is>
      </c>
      <c r="E535" t="inlineStr">
        <is>
          <t>LEKSAND</t>
        </is>
      </c>
      <c r="G535" t="n">
        <v>1.7</v>
      </c>
      <c r="H535" t="n">
        <v>0</v>
      </c>
      <c r="I535" t="n">
        <v>0</v>
      </c>
      <c r="J535" t="n">
        <v>0</v>
      </c>
      <c r="K535" t="n">
        <v>0</v>
      </c>
      <c r="L535" t="n">
        <v>0</v>
      </c>
      <c r="M535" t="n">
        <v>0</v>
      </c>
      <c r="N535" t="n">
        <v>0</v>
      </c>
      <c r="O535" t="n">
        <v>0</v>
      </c>
      <c r="P535" t="n">
        <v>0</v>
      </c>
      <c r="Q535" t="n">
        <v>0</v>
      </c>
      <c r="R535" s="2" t="inlineStr"/>
    </row>
    <row r="536" ht="15" customHeight="1">
      <c r="A536" t="inlineStr">
        <is>
          <t>A 36540-2025</t>
        </is>
      </c>
      <c r="B536" s="1" t="n">
        <v>45869.63885416667</v>
      </c>
      <c r="C536" s="1" t="n">
        <v>45890</v>
      </c>
      <c r="D536" t="inlineStr">
        <is>
          <t>DALARNAS LÄN</t>
        </is>
      </c>
      <c r="E536" t="inlineStr">
        <is>
          <t>LEKSAND</t>
        </is>
      </c>
      <c r="G536" t="n">
        <v>0.6</v>
      </c>
      <c r="H536" t="n">
        <v>0</v>
      </c>
      <c r="I536" t="n">
        <v>0</v>
      </c>
      <c r="J536" t="n">
        <v>0</v>
      </c>
      <c r="K536" t="n">
        <v>0</v>
      </c>
      <c r="L536" t="n">
        <v>0</v>
      </c>
      <c r="M536" t="n">
        <v>0</v>
      </c>
      <c r="N536" t="n">
        <v>0</v>
      </c>
      <c r="O536" t="n">
        <v>0</v>
      </c>
      <c r="P536" t="n">
        <v>0</v>
      </c>
      <c r="Q536" t="n">
        <v>0</v>
      </c>
      <c r="R536" s="2" t="inlineStr"/>
    </row>
    <row r="537" ht="15" customHeight="1">
      <c r="A537" t="inlineStr">
        <is>
          <t>A 39921-2024</t>
        </is>
      </c>
      <c r="B537" s="1" t="n">
        <v>45553</v>
      </c>
      <c r="C537" s="1" t="n">
        <v>45890</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58244-2024</t>
        </is>
      </c>
      <c r="B538" s="1" t="n">
        <v>45631</v>
      </c>
      <c r="C538" s="1" t="n">
        <v>45890</v>
      </c>
      <c r="D538" t="inlineStr">
        <is>
          <t>DALARNAS LÄN</t>
        </is>
      </c>
      <c r="E538" t="inlineStr">
        <is>
          <t>LEKSAND</t>
        </is>
      </c>
      <c r="G538" t="n">
        <v>1.9</v>
      </c>
      <c r="H538" t="n">
        <v>0</v>
      </c>
      <c r="I538" t="n">
        <v>0</v>
      </c>
      <c r="J538" t="n">
        <v>0</v>
      </c>
      <c r="K538" t="n">
        <v>0</v>
      </c>
      <c r="L538" t="n">
        <v>0</v>
      </c>
      <c r="M538" t="n">
        <v>0</v>
      </c>
      <c r="N538" t="n">
        <v>0</v>
      </c>
      <c r="O538" t="n">
        <v>0</v>
      </c>
      <c r="P538" t="n">
        <v>0</v>
      </c>
      <c r="Q538" t="n">
        <v>0</v>
      </c>
      <c r="R538" s="2" t="inlineStr"/>
    </row>
    <row r="539" ht="15" customHeight="1">
      <c r="A539" t="inlineStr">
        <is>
          <t>A 23892-2025</t>
        </is>
      </c>
      <c r="B539" s="1" t="n">
        <v>45793</v>
      </c>
      <c r="C539" s="1" t="n">
        <v>45890</v>
      </c>
      <c r="D539" t="inlineStr">
        <is>
          <t>DALARNAS LÄN</t>
        </is>
      </c>
      <c r="E539" t="inlineStr">
        <is>
          <t>LEKSAND</t>
        </is>
      </c>
      <c r="F539" t="inlineStr">
        <is>
          <t>Kommuner</t>
        </is>
      </c>
      <c r="G539" t="n">
        <v>1.5</v>
      </c>
      <c r="H539" t="n">
        <v>0</v>
      </c>
      <c r="I539" t="n">
        <v>0</v>
      </c>
      <c r="J539" t="n">
        <v>0</v>
      </c>
      <c r="K539" t="n">
        <v>0</v>
      </c>
      <c r="L539" t="n">
        <v>0</v>
      </c>
      <c r="M539" t="n">
        <v>0</v>
      </c>
      <c r="N539" t="n">
        <v>0</v>
      </c>
      <c r="O539" t="n">
        <v>0</v>
      </c>
      <c r="P539" t="n">
        <v>0</v>
      </c>
      <c r="Q539" t="n">
        <v>0</v>
      </c>
      <c r="R539" s="2" t="inlineStr"/>
    </row>
    <row r="540" ht="15" customHeight="1">
      <c r="A540" t="inlineStr">
        <is>
          <t>A 41169-2024</t>
        </is>
      </c>
      <c r="B540" s="1" t="n">
        <v>45559.48637731482</v>
      </c>
      <c r="C540" s="1" t="n">
        <v>45890</v>
      </c>
      <c r="D540" t="inlineStr">
        <is>
          <t>DALARNAS LÄN</t>
        </is>
      </c>
      <c r="E540" t="inlineStr">
        <is>
          <t>LEKSAND</t>
        </is>
      </c>
      <c r="G540" t="n">
        <v>8.9</v>
      </c>
      <c r="H540" t="n">
        <v>0</v>
      </c>
      <c r="I540" t="n">
        <v>0</v>
      </c>
      <c r="J540" t="n">
        <v>0</v>
      </c>
      <c r="K540" t="n">
        <v>0</v>
      </c>
      <c r="L540" t="n">
        <v>0</v>
      </c>
      <c r="M540" t="n">
        <v>0</v>
      </c>
      <c r="N540" t="n">
        <v>0</v>
      </c>
      <c r="O540" t="n">
        <v>0</v>
      </c>
      <c r="P540" t="n">
        <v>0</v>
      </c>
      <c r="Q540" t="n">
        <v>0</v>
      </c>
      <c r="R540" s="2" t="inlineStr"/>
    </row>
    <row r="541" ht="15" customHeight="1">
      <c r="A541" t="inlineStr">
        <is>
          <t>A 61546-2021</t>
        </is>
      </c>
      <c r="B541" s="1" t="n">
        <v>44501</v>
      </c>
      <c r="C541" s="1" t="n">
        <v>45890</v>
      </c>
      <c r="D541" t="inlineStr">
        <is>
          <t>DALARNAS LÄN</t>
        </is>
      </c>
      <c r="E541" t="inlineStr">
        <is>
          <t>LEKSAND</t>
        </is>
      </c>
      <c r="G541" t="n">
        <v>3</v>
      </c>
      <c r="H541" t="n">
        <v>0</v>
      </c>
      <c r="I541" t="n">
        <v>0</v>
      </c>
      <c r="J541" t="n">
        <v>0</v>
      </c>
      <c r="K541" t="n">
        <v>0</v>
      </c>
      <c r="L541" t="n">
        <v>0</v>
      </c>
      <c r="M541" t="n">
        <v>0</v>
      </c>
      <c r="N541" t="n">
        <v>0</v>
      </c>
      <c r="O541" t="n">
        <v>0</v>
      </c>
      <c r="P541" t="n">
        <v>0</v>
      </c>
      <c r="Q541" t="n">
        <v>0</v>
      </c>
      <c r="R541" s="2" t="inlineStr"/>
    </row>
    <row r="542" ht="15" customHeight="1">
      <c r="A542" t="inlineStr">
        <is>
          <t>A 41046-2024</t>
        </is>
      </c>
      <c r="B542" s="1" t="n">
        <v>45559.36677083333</v>
      </c>
      <c r="C542" s="1" t="n">
        <v>45890</v>
      </c>
      <c r="D542" t="inlineStr">
        <is>
          <t>DALARNAS LÄN</t>
        </is>
      </c>
      <c r="E542" t="inlineStr">
        <is>
          <t>LEKSAND</t>
        </is>
      </c>
      <c r="G542" t="n">
        <v>1.9</v>
      </c>
      <c r="H542" t="n">
        <v>0</v>
      </c>
      <c r="I542" t="n">
        <v>0</v>
      </c>
      <c r="J542" t="n">
        <v>0</v>
      </c>
      <c r="K542" t="n">
        <v>0</v>
      </c>
      <c r="L542" t="n">
        <v>0</v>
      </c>
      <c r="M542" t="n">
        <v>0</v>
      </c>
      <c r="N542" t="n">
        <v>0</v>
      </c>
      <c r="O542" t="n">
        <v>0</v>
      </c>
      <c r="P542" t="n">
        <v>0</v>
      </c>
      <c r="Q542" t="n">
        <v>0</v>
      </c>
      <c r="R542" s="2" t="inlineStr"/>
    </row>
    <row r="543" ht="15" customHeight="1">
      <c r="A543" t="inlineStr">
        <is>
          <t>A 5574-2024</t>
        </is>
      </c>
      <c r="B543" s="1" t="n">
        <v>45334</v>
      </c>
      <c r="C543" s="1" t="n">
        <v>45890</v>
      </c>
      <c r="D543" t="inlineStr">
        <is>
          <t>DALARNAS LÄN</t>
        </is>
      </c>
      <c r="E543" t="inlineStr">
        <is>
          <t>LEKSAND</t>
        </is>
      </c>
      <c r="G543" t="n">
        <v>0.4</v>
      </c>
      <c r="H543" t="n">
        <v>0</v>
      </c>
      <c r="I543" t="n">
        <v>0</v>
      </c>
      <c r="J543" t="n">
        <v>0</v>
      </c>
      <c r="K543" t="n">
        <v>0</v>
      </c>
      <c r="L543" t="n">
        <v>0</v>
      </c>
      <c r="M543" t="n">
        <v>0</v>
      </c>
      <c r="N543" t="n">
        <v>0</v>
      </c>
      <c r="O543" t="n">
        <v>0</v>
      </c>
      <c r="P543" t="n">
        <v>0</v>
      </c>
      <c r="Q543" t="n">
        <v>0</v>
      </c>
      <c r="R543" s="2" t="inlineStr"/>
    </row>
    <row r="544" ht="15" customHeight="1">
      <c r="A544" t="inlineStr">
        <is>
          <t>A 4121-2024</t>
        </is>
      </c>
      <c r="B544" s="1" t="n">
        <v>45323</v>
      </c>
      <c r="C544" s="1" t="n">
        <v>45890</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27317-2021</t>
        </is>
      </c>
      <c r="B545" s="1" t="n">
        <v>44351</v>
      </c>
      <c r="C545" s="1" t="n">
        <v>45890</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16005-2025</t>
        </is>
      </c>
      <c r="B546" s="1" t="n">
        <v>45749.59765046297</v>
      </c>
      <c r="C546" s="1" t="n">
        <v>45890</v>
      </c>
      <c r="D546" t="inlineStr">
        <is>
          <t>DALARNAS LÄN</t>
        </is>
      </c>
      <c r="E546" t="inlineStr">
        <is>
          <t>LEKSAND</t>
        </is>
      </c>
      <c r="G546" t="n">
        <v>2.1</v>
      </c>
      <c r="H546" t="n">
        <v>0</v>
      </c>
      <c r="I546" t="n">
        <v>0</v>
      </c>
      <c r="J546" t="n">
        <v>0</v>
      </c>
      <c r="K546" t="n">
        <v>0</v>
      </c>
      <c r="L546" t="n">
        <v>0</v>
      </c>
      <c r="M546" t="n">
        <v>0</v>
      </c>
      <c r="N546" t="n">
        <v>0</v>
      </c>
      <c r="O546" t="n">
        <v>0</v>
      </c>
      <c r="P546" t="n">
        <v>0</v>
      </c>
      <c r="Q546" t="n">
        <v>0</v>
      </c>
      <c r="R546" s="2" t="inlineStr"/>
    </row>
    <row r="547" ht="15" customHeight="1">
      <c r="A547" t="inlineStr">
        <is>
          <t>A 57665-2023</t>
        </is>
      </c>
      <c r="B547" s="1" t="n">
        <v>45246</v>
      </c>
      <c r="C547" s="1" t="n">
        <v>45890</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30858-2024</t>
        </is>
      </c>
      <c r="B548" s="1" t="n">
        <v>45497.67601851852</v>
      </c>
      <c r="C548" s="1" t="n">
        <v>45890</v>
      </c>
      <c r="D548" t="inlineStr">
        <is>
          <t>DALARNAS LÄN</t>
        </is>
      </c>
      <c r="E548" t="inlineStr">
        <is>
          <t>LEKSAND</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12923-2025</t>
        </is>
      </c>
      <c r="B549" s="1" t="n">
        <v>45734.29193287037</v>
      </c>
      <c r="C549" s="1" t="n">
        <v>45890</v>
      </c>
      <c r="D549" t="inlineStr">
        <is>
          <t>DALARNAS LÄN</t>
        </is>
      </c>
      <c r="E549" t="inlineStr">
        <is>
          <t>LEKSAND</t>
        </is>
      </c>
      <c r="G549" t="n">
        <v>7.2</v>
      </c>
      <c r="H549" t="n">
        <v>0</v>
      </c>
      <c r="I549" t="n">
        <v>0</v>
      </c>
      <c r="J549" t="n">
        <v>0</v>
      </c>
      <c r="K549" t="n">
        <v>0</v>
      </c>
      <c r="L549" t="n">
        <v>0</v>
      </c>
      <c r="M549" t="n">
        <v>0</v>
      </c>
      <c r="N549" t="n">
        <v>0</v>
      </c>
      <c r="O549" t="n">
        <v>0</v>
      </c>
      <c r="P549" t="n">
        <v>0</v>
      </c>
      <c r="Q549" t="n">
        <v>0</v>
      </c>
      <c r="R549" s="2" t="inlineStr"/>
    </row>
    <row r="550" ht="15" customHeight="1">
      <c r="A550" t="inlineStr">
        <is>
          <t>A 5738-2023</t>
        </is>
      </c>
      <c r="B550" s="1" t="n">
        <v>44962</v>
      </c>
      <c r="C550" s="1" t="n">
        <v>45890</v>
      </c>
      <c r="D550" t="inlineStr">
        <is>
          <t>DALARNAS LÄN</t>
        </is>
      </c>
      <c r="E550" t="inlineStr">
        <is>
          <t>LEKSAND</t>
        </is>
      </c>
      <c r="G550" t="n">
        <v>0.2</v>
      </c>
      <c r="H550" t="n">
        <v>0</v>
      </c>
      <c r="I550" t="n">
        <v>0</v>
      </c>
      <c r="J550" t="n">
        <v>0</v>
      </c>
      <c r="K550" t="n">
        <v>0</v>
      </c>
      <c r="L550" t="n">
        <v>0</v>
      </c>
      <c r="M550" t="n">
        <v>0</v>
      </c>
      <c r="N550" t="n">
        <v>0</v>
      </c>
      <c r="O550" t="n">
        <v>0</v>
      </c>
      <c r="P550" t="n">
        <v>0</v>
      </c>
      <c r="Q550" t="n">
        <v>0</v>
      </c>
      <c r="R550" s="2" t="inlineStr"/>
    </row>
    <row r="551" ht="15" customHeight="1">
      <c r="A551" t="inlineStr">
        <is>
          <t>A 30920-2025</t>
        </is>
      </c>
      <c r="B551" s="1" t="n">
        <v>45832.38484953704</v>
      </c>
      <c r="C551" s="1" t="n">
        <v>45890</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30969-2025</t>
        </is>
      </c>
      <c r="B552" s="1" t="n">
        <v>45832.45914351852</v>
      </c>
      <c r="C552" s="1" t="n">
        <v>45890</v>
      </c>
      <c r="D552" t="inlineStr">
        <is>
          <t>DALARNAS LÄN</t>
        </is>
      </c>
      <c r="E552" t="inlineStr">
        <is>
          <t>LEKSAND</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30917-2025</t>
        </is>
      </c>
      <c r="B553" s="1" t="n">
        <v>45832.37989583334</v>
      </c>
      <c r="C553" s="1" t="n">
        <v>45890</v>
      </c>
      <c r="D553" t="inlineStr">
        <is>
          <t>DALARNAS LÄN</t>
        </is>
      </c>
      <c r="E553" t="inlineStr">
        <is>
          <t>LEKSAND</t>
        </is>
      </c>
      <c r="G553" t="n">
        <v>1.2</v>
      </c>
      <c r="H553" t="n">
        <v>0</v>
      </c>
      <c r="I553" t="n">
        <v>0</v>
      </c>
      <c r="J553" t="n">
        <v>0</v>
      </c>
      <c r="K553" t="n">
        <v>0</v>
      </c>
      <c r="L553" t="n">
        <v>0</v>
      </c>
      <c r="M553" t="n">
        <v>0</v>
      </c>
      <c r="N553" t="n">
        <v>0</v>
      </c>
      <c r="O553" t="n">
        <v>0</v>
      </c>
      <c r="P553" t="n">
        <v>0</v>
      </c>
      <c r="Q553" t="n">
        <v>0</v>
      </c>
      <c r="R553" s="2" t="inlineStr"/>
    </row>
    <row r="554" ht="15" customHeight="1">
      <c r="A554" t="inlineStr">
        <is>
          <t>A 25921-2024</t>
        </is>
      </c>
      <c r="B554" s="1" t="n">
        <v>45467.6053587963</v>
      </c>
      <c r="C554" s="1" t="n">
        <v>45890</v>
      </c>
      <c r="D554" t="inlineStr">
        <is>
          <t>DALARNAS LÄN</t>
        </is>
      </c>
      <c r="E554" t="inlineStr">
        <is>
          <t>LEKSAND</t>
        </is>
      </c>
      <c r="G554" t="n">
        <v>2.8</v>
      </c>
      <c r="H554" t="n">
        <v>0</v>
      </c>
      <c r="I554" t="n">
        <v>0</v>
      </c>
      <c r="J554" t="n">
        <v>0</v>
      </c>
      <c r="K554" t="n">
        <v>0</v>
      </c>
      <c r="L554" t="n">
        <v>0</v>
      </c>
      <c r="M554" t="n">
        <v>0</v>
      </c>
      <c r="N554" t="n">
        <v>0</v>
      </c>
      <c r="O554" t="n">
        <v>0</v>
      </c>
      <c r="P554" t="n">
        <v>0</v>
      </c>
      <c r="Q554" t="n">
        <v>0</v>
      </c>
      <c r="R554" s="2" t="inlineStr"/>
    </row>
    <row r="555" ht="15" customHeight="1">
      <c r="A555" t="inlineStr">
        <is>
          <t>A 41306-2024</t>
        </is>
      </c>
      <c r="B555" s="1" t="n">
        <v>45559.62550925926</v>
      </c>
      <c r="C555" s="1" t="n">
        <v>45890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31619-2025</t>
        </is>
      </c>
      <c r="B556" s="1" t="n">
        <v>45833</v>
      </c>
      <c r="C556" s="1" t="n">
        <v>45890</v>
      </c>
      <c r="D556" t="inlineStr">
        <is>
          <t>DALARNAS LÄN</t>
        </is>
      </c>
      <c r="E556" t="inlineStr">
        <is>
          <t>LEKSAND</t>
        </is>
      </c>
      <c r="G556" t="n">
        <v>2.5</v>
      </c>
      <c r="H556" t="n">
        <v>0</v>
      </c>
      <c r="I556" t="n">
        <v>0</v>
      </c>
      <c r="J556" t="n">
        <v>0</v>
      </c>
      <c r="K556" t="n">
        <v>0</v>
      </c>
      <c r="L556" t="n">
        <v>0</v>
      </c>
      <c r="M556" t="n">
        <v>0</v>
      </c>
      <c r="N556" t="n">
        <v>0</v>
      </c>
      <c r="O556" t="n">
        <v>0</v>
      </c>
      <c r="P556" t="n">
        <v>0</v>
      </c>
      <c r="Q556" t="n">
        <v>0</v>
      </c>
      <c r="R556" s="2" t="inlineStr"/>
    </row>
    <row r="557" ht="15" customHeight="1">
      <c r="A557" t="inlineStr">
        <is>
          <t>A 30916-2025</t>
        </is>
      </c>
      <c r="B557" s="1" t="n">
        <v>45832.37885416667</v>
      </c>
      <c r="C557" s="1" t="n">
        <v>45890</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8940-2023</t>
        </is>
      </c>
      <c r="B558" s="1" t="n">
        <v>44974</v>
      </c>
      <c r="C558" s="1" t="n">
        <v>45890</v>
      </c>
      <c r="D558" t="inlineStr">
        <is>
          <t>DALARNAS LÄN</t>
        </is>
      </c>
      <c r="E558" t="inlineStr">
        <is>
          <t>LEKSAND</t>
        </is>
      </c>
      <c r="G558" t="n">
        <v>1.5</v>
      </c>
      <c r="H558" t="n">
        <v>0</v>
      </c>
      <c r="I558" t="n">
        <v>0</v>
      </c>
      <c r="J558" t="n">
        <v>0</v>
      </c>
      <c r="K558" t="n">
        <v>0</v>
      </c>
      <c r="L558" t="n">
        <v>0</v>
      </c>
      <c r="M558" t="n">
        <v>0</v>
      </c>
      <c r="N558" t="n">
        <v>0</v>
      </c>
      <c r="O558" t="n">
        <v>0</v>
      </c>
      <c r="P558" t="n">
        <v>0</v>
      </c>
      <c r="Q558" t="n">
        <v>0</v>
      </c>
      <c r="R558" s="2" t="inlineStr"/>
    </row>
    <row r="559" ht="15" customHeight="1">
      <c r="A559" t="inlineStr">
        <is>
          <t>A 11128-2023</t>
        </is>
      </c>
      <c r="B559" s="1" t="n">
        <v>44992</v>
      </c>
      <c r="C559" s="1" t="n">
        <v>45890</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23509-2023</t>
        </is>
      </c>
      <c r="B560" s="1" t="n">
        <v>45076</v>
      </c>
      <c r="C560" s="1" t="n">
        <v>45890</v>
      </c>
      <c r="D560" t="inlineStr">
        <is>
          <t>DALARNAS LÄN</t>
        </is>
      </c>
      <c r="E560" t="inlineStr">
        <is>
          <t>LEKSAND</t>
        </is>
      </c>
      <c r="G560" t="n">
        <v>2.1</v>
      </c>
      <c r="H560" t="n">
        <v>0</v>
      </c>
      <c r="I560" t="n">
        <v>0</v>
      </c>
      <c r="J560" t="n">
        <v>0</v>
      </c>
      <c r="K560" t="n">
        <v>0</v>
      </c>
      <c r="L560" t="n">
        <v>0</v>
      </c>
      <c r="M560" t="n">
        <v>0</v>
      </c>
      <c r="N560" t="n">
        <v>0</v>
      </c>
      <c r="O560" t="n">
        <v>0</v>
      </c>
      <c r="P560" t="n">
        <v>0</v>
      </c>
      <c r="Q560" t="n">
        <v>0</v>
      </c>
      <c r="R560" s="2" t="inlineStr"/>
    </row>
    <row r="561" ht="15" customHeight="1">
      <c r="A561" t="inlineStr">
        <is>
          <t>A 31446-2025</t>
        </is>
      </c>
      <c r="B561" s="1" t="n">
        <v>45833</v>
      </c>
      <c r="C561" s="1" t="n">
        <v>45890</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30911-2025</t>
        </is>
      </c>
      <c r="B562" s="1" t="n">
        <v>45832.37547453704</v>
      </c>
      <c r="C562" s="1" t="n">
        <v>45890</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17377-2025</t>
        </is>
      </c>
      <c r="B563" s="1" t="n">
        <v>45756.983125</v>
      </c>
      <c r="C563" s="1" t="n">
        <v>45890</v>
      </c>
      <c r="D563" t="inlineStr">
        <is>
          <t>DALARNAS LÄN</t>
        </is>
      </c>
      <c r="E563" t="inlineStr">
        <is>
          <t>LEKSAND</t>
        </is>
      </c>
      <c r="G563" t="n">
        <v>0.9</v>
      </c>
      <c r="H563" t="n">
        <v>0</v>
      </c>
      <c r="I563" t="n">
        <v>0</v>
      </c>
      <c r="J563" t="n">
        <v>0</v>
      </c>
      <c r="K563" t="n">
        <v>0</v>
      </c>
      <c r="L563" t="n">
        <v>0</v>
      </c>
      <c r="M563" t="n">
        <v>0</v>
      </c>
      <c r="N563" t="n">
        <v>0</v>
      </c>
      <c r="O563" t="n">
        <v>0</v>
      </c>
      <c r="P563" t="n">
        <v>0</v>
      </c>
      <c r="Q563" t="n">
        <v>0</v>
      </c>
      <c r="R563" s="2" t="inlineStr"/>
    </row>
    <row r="564" ht="15" customHeight="1">
      <c r="A564" t="inlineStr">
        <is>
          <t>A 1458-2024</t>
        </is>
      </c>
      <c r="B564" s="1" t="n">
        <v>45303</v>
      </c>
      <c r="C564" s="1" t="n">
        <v>45890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1461-2024</t>
        </is>
      </c>
      <c r="B565" s="1" t="n">
        <v>45303</v>
      </c>
      <c r="C565" s="1" t="n">
        <v>45890</v>
      </c>
      <c r="D565" t="inlineStr">
        <is>
          <t>DALARNAS LÄN</t>
        </is>
      </c>
      <c r="E565" t="inlineStr">
        <is>
          <t>LEKSAND</t>
        </is>
      </c>
      <c r="G565" t="n">
        <v>2.4</v>
      </c>
      <c r="H565" t="n">
        <v>0</v>
      </c>
      <c r="I565" t="n">
        <v>0</v>
      </c>
      <c r="J565" t="n">
        <v>0</v>
      </c>
      <c r="K565" t="n">
        <v>0</v>
      </c>
      <c r="L565" t="n">
        <v>0</v>
      </c>
      <c r="M565" t="n">
        <v>0</v>
      </c>
      <c r="N565" t="n">
        <v>0</v>
      </c>
      <c r="O565" t="n">
        <v>0</v>
      </c>
      <c r="P565" t="n">
        <v>0</v>
      </c>
      <c r="Q565" t="n">
        <v>0</v>
      </c>
      <c r="R565" s="2" t="inlineStr"/>
    </row>
    <row r="566" ht="15" customHeight="1">
      <c r="A566" t="inlineStr">
        <is>
          <t>A 13288-2023</t>
        </is>
      </c>
      <c r="B566" s="1" t="n">
        <v>45004.8160300926</v>
      </c>
      <c r="C566" s="1" t="n">
        <v>45890</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17233-2023</t>
        </is>
      </c>
      <c r="B567" s="1" t="n">
        <v>45035</v>
      </c>
      <c r="C567" s="1" t="n">
        <v>45890</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31179-2025</t>
        </is>
      </c>
      <c r="B568" s="1" t="n">
        <v>45832.67648148148</v>
      </c>
      <c r="C568" s="1" t="n">
        <v>45890</v>
      </c>
      <c r="D568" t="inlineStr">
        <is>
          <t>DALARNAS LÄN</t>
        </is>
      </c>
      <c r="E568" t="inlineStr">
        <is>
          <t>LEKSAND</t>
        </is>
      </c>
      <c r="G568" t="n">
        <v>4.7</v>
      </c>
      <c r="H568" t="n">
        <v>0</v>
      </c>
      <c r="I568" t="n">
        <v>0</v>
      </c>
      <c r="J568" t="n">
        <v>0</v>
      </c>
      <c r="K568" t="n">
        <v>0</v>
      </c>
      <c r="L568" t="n">
        <v>0</v>
      </c>
      <c r="M568" t="n">
        <v>0</v>
      </c>
      <c r="N568" t="n">
        <v>0</v>
      </c>
      <c r="O568" t="n">
        <v>0</v>
      </c>
      <c r="P568" t="n">
        <v>0</v>
      </c>
      <c r="Q568" t="n">
        <v>0</v>
      </c>
      <c r="R568" s="2" t="inlineStr"/>
    </row>
    <row r="569" ht="15" customHeight="1">
      <c r="A569" t="inlineStr">
        <is>
          <t>A 31189-2025</t>
        </is>
      </c>
      <c r="B569" s="1" t="n">
        <v>45832.6799537037</v>
      </c>
      <c r="C569" s="1" t="n">
        <v>45890</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30973-2025</t>
        </is>
      </c>
      <c r="B570" s="1" t="n">
        <v>45832.46300925926</v>
      </c>
      <c r="C570" s="1" t="n">
        <v>45890</v>
      </c>
      <c r="D570" t="inlineStr">
        <is>
          <t>DALARNAS LÄN</t>
        </is>
      </c>
      <c r="E570" t="inlineStr">
        <is>
          <t>LEKSAND</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46931-2023</t>
        </is>
      </c>
      <c r="B571" s="1" t="n">
        <v>45201</v>
      </c>
      <c r="C571" s="1" t="n">
        <v>45890</v>
      </c>
      <c r="D571" t="inlineStr">
        <is>
          <t>DALARNAS LÄN</t>
        </is>
      </c>
      <c r="E571" t="inlineStr">
        <is>
          <t>LEKSAND</t>
        </is>
      </c>
      <c r="G571" t="n">
        <v>1.4</v>
      </c>
      <c r="H571" t="n">
        <v>0</v>
      </c>
      <c r="I571" t="n">
        <v>0</v>
      </c>
      <c r="J571" t="n">
        <v>0</v>
      </c>
      <c r="K571" t="n">
        <v>0</v>
      </c>
      <c r="L571" t="n">
        <v>0</v>
      </c>
      <c r="M571" t="n">
        <v>0</v>
      </c>
      <c r="N571" t="n">
        <v>0</v>
      </c>
      <c r="O571" t="n">
        <v>0</v>
      </c>
      <c r="P571" t="n">
        <v>0</v>
      </c>
      <c r="Q571" t="n">
        <v>0</v>
      </c>
      <c r="R571" s="2" t="inlineStr"/>
    </row>
    <row r="572" ht="15" customHeight="1">
      <c r="A572" t="inlineStr">
        <is>
          <t>A 38001-2023</t>
        </is>
      </c>
      <c r="B572" s="1" t="n">
        <v>45160</v>
      </c>
      <c r="C572" s="1" t="n">
        <v>45890</v>
      </c>
      <c r="D572" t="inlineStr">
        <is>
          <t>DALARNAS LÄN</t>
        </is>
      </c>
      <c r="E572" t="inlineStr">
        <is>
          <t>LEKSAND</t>
        </is>
      </c>
      <c r="G572" t="n">
        <v>3.6</v>
      </c>
      <c r="H572" t="n">
        <v>0</v>
      </c>
      <c r="I572" t="n">
        <v>0</v>
      </c>
      <c r="J572" t="n">
        <v>0</v>
      </c>
      <c r="K572" t="n">
        <v>0</v>
      </c>
      <c r="L572" t="n">
        <v>0</v>
      </c>
      <c r="M572" t="n">
        <v>0</v>
      </c>
      <c r="N572" t="n">
        <v>0</v>
      </c>
      <c r="O572" t="n">
        <v>0</v>
      </c>
      <c r="P572" t="n">
        <v>0</v>
      </c>
      <c r="Q572" t="n">
        <v>0</v>
      </c>
      <c r="R572" s="2" t="inlineStr"/>
    </row>
    <row r="573" ht="15" customHeight="1">
      <c r="A573" t="inlineStr">
        <is>
          <t>A 11740-2025</t>
        </is>
      </c>
      <c r="B573" s="1" t="n">
        <v>45727.62582175926</v>
      </c>
      <c r="C573" s="1" t="n">
        <v>45890</v>
      </c>
      <c r="D573" t="inlineStr">
        <is>
          <t>DALARNAS LÄN</t>
        </is>
      </c>
      <c r="E573" t="inlineStr">
        <is>
          <t>LEKSAND</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47673-2023</t>
        </is>
      </c>
      <c r="B574" s="1" t="n">
        <v>45203</v>
      </c>
      <c r="C574" s="1" t="n">
        <v>45890</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31493-2025</t>
        </is>
      </c>
      <c r="B575" s="1" t="n">
        <v>45833</v>
      </c>
      <c r="C575" s="1" t="n">
        <v>45890</v>
      </c>
      <c r="D575" t="inlineStr">
        <is>
          <t>DALARNAS LÄN</t>
        </is>
      </c>
      <c r="E575" t="inlineStr">
        <is>
          <t>LEKSAND</t>
        </is>
      </c>
      <c r="G575" t="n">
        <v>0.9</v>
      </c>
      <c r="H575" t="n">
        <v>0</v>
      </c>
      <c r="I575" t="n">
        <v>0</v>
      </c>
      <c r="J575" t="n">
        <v>0</v>
      </c>
      <c r="K575" t="n">
        <v>0</v>
      </c>
      <c r="L575" t="n">
        <v>0</v>
      </c>
      <c r="M575" t="n">
        <v>0</v>
      </c>
      <c r="N575" t="n">
        <v>0</v>
      </c>
      <c r="O575" t="n">
        <v>0</v>
      </c>
      <c r="P575" t="n">
        <v>0</v>
      </c>
      <c r="Q575" t="n">
        <v>0</v>
      </c>
      <c r="R575" s="2" t="inlineStr"/>
    </row>
    <row r="576" ht="15" customHeight="1">
      <c r="A576" t="inlineStr">
        <is>
          <t>A 19820-2024</t>
        </is>
      </c>
      <c r="B576" s="1" t="n">
        <v>45433.33907407407</v>
      </c>
      <c r="C576" s="1" t="n">
        <v>45890</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19823-2024</t>
        </is>
      </c>
      <c r="B577" s="1" t="n">
        <v>45433.34469907408</v>
      </c>
      <c r="C577" s="1" t="n">
        <v>45890</v>
      </c>
      <c r="D577" t="inlineStr">
        <is>
          <t>DALARNAS LÄN</t>
        </is>
      </c>
      <c r="E577" t="inlineStr">
        <is>
          <t>LEKSAND</t>
        </is>
      </c>
      <c r="G577" t="n">
        <v>0.3</v>
      </c>
      <c r="H577" t="n">
        <v>0</v>
      </c>
      <c r="I577" t="n">
        <v>0</v>
      </c>
      <c r="J577" t="n">
        <v>0</v>
      </c>
      <c r="K577" t="n">
        <v>0</v>
      </c>
      <c r="L577" t="n">
        <v>0</v>
      </c>
      <c r="M577" t="n">
        <v>0</v>
      </c>
      <c r="N577" t="n">
        <v>0</v>
      </c>
      <c r="O577" t="n">
        <v>0</v>
      </c>
      <c r="P577" t="n">
        <v>0</v>
      </c>
      <c r="Q577" t="n">
        <v>0</v>
      </c>
      <c r="R577" s="2" t="inlineStr"/>
    </row>
    <row r="578" ht="15" customHeight="1">
      <c r="A578" t="inlineStr">
        <is>
          <t>A 31945-2025</t>
        </is>
      </c>
      <c r="B578" s="1" t="n">
        <v>45835</v>
      </c>
      <c r="C578" s="1" t="n">
        <v>45890</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37508-2025</t>
        </is>
      </c>
      <c r="B579" s="1" t="n">
        <v>45877.66282407408</v>
      </c>
      <c r="C579" s="1" t="n">
        <v>45890</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7653-2025</t>
        </is>
      </c>
      <c r="B580" s="1" t="n">
        <v>45705.95238425926</v>
      </c>
      <c r="C580" s="1" t="n">
        <v>45890</v>
      </c>
      <c r="D580" t="inlineStr">
        <is>
          <t>DALARNAS LÄN</t>
        </is>
      </c>
      <c r="E580" t="inlineStr">
        <is>
          <t>LEKSAND</t>
        </is>
      </c>
      <c r="G580" t="n">
        <v>0.8</v>
      </c>
      <c r="H580" t="n">
        <v>0</v>
      </c>
      <c r="I580" t="n">
        <v>0</v>
      </c>
      <c r="J580" t="n">
        <v>0</v>
      </c>
      <c r="K580" t="n">
        <v>0</v>
      </c>
      <c r="L580" t="n">
        <v>0</v>
      </c>
      <c r="M580" t="n">
        <v>0</v>
      </c>
      <c r="N580" t="n">
        <v>0</v>
      </c>
      <c r="O580" t="n">
        <v>0</v>
      </c>
      <c r="P580" t="n">
        <v>0</v>
      </c>
      <c r="Q580" t="n">
        <v>0</v>
      </c>
      <c r="R580" s="2" t="inlineStr"/>
    </row>
    <row r="581" ht="15" customHeight="1">
      <c r="A581" t="inlineStr">
        <is>
          <t>A 6039-2023</t>
        </is>
      </c>
      <c r="B581" s="1" t="n">
        <v>44959</v>
      </c>
      <c r="C581" s="1" t="n">
        <v>45890</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10373-2023</t>
        </is>
      </c>
      <c r="B582" s="1" t="n">
        <v>44987</v>
      </c>
      <c r="C582" s="1" t="n">
        <v>45890</v>
      </c>
      <c r="D582" t="inlineStr">
        <is>
          <t>DALARNAS LÄN</t>
        </is>
      </c>
      <c r="E582" t="inlineStr">
        <is>
          <t>LEKSAND</t>
        </is>
      </c>
      <c r="G582" t="n">
        <v>0.3</v>
      </c>
      <c r="H582" t="n">
        <v>0</v>
      </c>
      <c r="I582" t="n">
        <v>0</v>
      </c>
      <c r="J582" t="n">
        <v>0</v>
      </c>
      <c r="K582" t="n">
        <v>0</v>
      </c>
      <c r="L582" t="n">
        <v>0</v>
      </c>
      <c r="M582" t="n">
        <v>0</v>
      </c>
      <c r="N582" t="n">
        <v>0</v>
      </c>
      <c r="O582" t="n">
        <v>0</v>
      </c>
      <c r="P582" t="n">
        <v>0</v>
      </c>
      <c r="Q582" t="n">
        <v>0</v>
      </c>
      <c r="R582" s="2" t="inlineStr"/>
    </row>
    <row r="583" ht="15" customHeight="1">
      <c r="A583" t="inlineStr">
        <is>
          <t>A 32104-2025</t>
        </is>
      </c>
      <c r="B583" s="1" t="n">
        <v>45835</v>
      </c>
      <c r="C583" s="1" t="n">
        <v>45890</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6758-2024</t>
        </is>
      </c>
      <c r="B584" s="1" t="n">
        <v>45342.46857638889</v>
      </c>
      <c r="C584" s="1" t="n">
        <v>45890</v>
      </c>
      <c r="D584" t="inlineStr">
        <is>
          <t>DALARNAS LÄN</t>
        </is>
      </c>
      <c r="E584" t="inlineStr">
        <is>
          <t>LEKSAND</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4257-2022</t>
        </is>
      </c>
      <c r="B585" s="1" t="n">
        <v>44588</v>
      </c>
      <c r="C585" s="1" t="n">
        <v>45890</v>
      </c>
      <c r="D585" t="inlineStr">
        <is>
          <t>DALARNAS LÄN</t>
        </is>
      </c>
      <c r="E585" t="inlineStr">
        <is>
          <t>LEKSAND</t>
        </is>
      </c>
      <c r="G585" t="n">
        <v>6.8</v>
      </c>
      <c r="H585" t="n">
        <v>0</v>
      </c>
      <c r="I585" t="n">
        <v>0</v>
      </c>
      <c r="J585" t="n">
        <v>0</v>
      </c>
      <c r="K585" t="n">
        <v>0</v>
      </c>
      <c r="L585" t="n">
        <v>0</v>
      </c>
      <c r="M585" t="n">
        <v>0</v>
      </c>
      <c r="N585" t="n">
        <v>0</v>
      </c>
      <c r="O585" t="n">
        <v>0</v>
      </c>
      <c r="P585" t="n">
        <v>0</v>
      </c>
      <c r="Q585" t="n">
        <v>0</v>
      </c>
      <c r="R585" s="2" t="inlineStr"/>
    </row>
    <row r="586" ht="15" customHeight="1">
      <c r="A586" t="inlineStr">
        <is>
          <t>A 2820-2024</t>
        </is>
      </c>
      <c r="B586" s="1" t="n">
        <v>45314.76287037037</v>
      </c>
      <c r="C586" s="1" t="n">
        <v>45890</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2822-2024</t>
        </is>
      </c>
      <c r="B587" s="1" t="n">
        <v>45314.76622685185</v>
      </c>
      <c r="C587" s="1" t="n">
        <v>45890</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31787-2025</t>
        </is>
      </c>
      <c r="B588" s="1" t="n">
        <v>45834</v>
      </c>
      <c r="C588" s="1" t="n">
        <v>45890</v>
      </c>
      <c r="D588" t="inlineStr">
        <is>
          <t>DALARNAS LÄN</t>
        </is>
      </c>
      <c r="E588" t="inlineStr">
        <is>
          <t>LEKSAND</t>
        </is>
      </c>
      <c r="F588" t="inlineStr">
        <is>
          <t>Bergvik skog väst AB</t>
        </is>
      </c>
      <c r="G588" t="n">
        <v>1.3</v>
      </c>
      <c r="H588" t="n">
        <v>0</v>
      </c>
      <c r="I588" t="n">
        <v>0</v>
      </c>
      <c r="J588" t="n">
        <v>0</v>
      </c>
      <c r="K588" t="n">
        <v>0</v>
      </c>
      <c r="L588" t="n">
        <v>0</v>
      </c>
      <c r="M588" t="n">
        <v>0</v>
      </c>
      <c r="N588" t="n">
        <v>0</v>
      </c>
      <c r="O588" t="n">
        <v>0</v>
      </c>
      <c r="P588" t="n">
        <v>0</v>
      </c>
      <c r="Q588" t="n">
        <v>0</v>
      </c>
      <c r="R588" s="2" t="inlineStr"/>
    </row>
    <row r="589" ht="15" customHeight="1">
      <c r="A589" t="inlineStr">
        <is>
          <t>A 32301-2025</t>
        </is>
      </c>
      <c r="B589" s="1" t="n">
        <v>45835</v>
      </c>
      <c r="C589" s="1" t="n">
        <v>45890</v>
      </c>
      <c r="D589" t="inlineStr">
        <is>
          <t>DALARNAS LÄN</t>
        </is>
      </c>
      <c r="E589" t="inlineStr">
        <is>
          <t>LEKSAND</t>
        </is>
      </c>
      <c r="G589" t="n">
        <v>2.2</v>
      </c>
      <c r="H589" t="n">
        <v>0</v>
      </c>
      <c r="I589" t="n">
        <v>0</v>
      </c>
      <c r="J589" t="n">
        <v>0</v>
      </c>
      <c r="K589" t="n">
        <v>0</v>
      </c>
      <c r="L589" t="n">
        <v>0</v>
      </c>
      <c r="M589" t="n">
        <v>0</v>
      </c>
      <c r="N589" t="n">
        <v>0</v>
      </c>
      <c r="O589" t="n">
        <v>0</v>
      </c>
      <c r="P589" t="n">
        <v>0</v>
      </c>
      <c r="Q589" t="n">
        <v>0</v>
      </c>
      <c r="R589" s="2" t="inlineStr"/>
    </row>
    <row r="590" ht="15" customHeight="1">
      <c r="A590" t="inlineStr">
        <is>
          <t>A 32274-2025</t>
        </is>
      </c>
      <c r="B590" s="1" t="n">
        <v>45835</v>
      </c>
      <c r="C590" s="1" t="n">
        <v>45890</v>
      </c>
      <c r="D590" t="inlineStr">
        <is>
          <t>DALARNAS LÄN</t>
        </is>
      </c>
      <c r="E590" t="inlineStr">
        <is>
          <t>LEKSAND</t>
        </is>
      </c>
      <c r="G590" t="n">
        <v>4.5</v>
      </c>
      <c r="H590" t="n">
        <v>0</v>
      </c>
      <c r="I590" t="n">
        <v>0</v>
      </c>
      <c r="J590" t="n">
        <v>0</v>
      </c>
      <c r="K590" t="n">
        <v>0</v>
      </c>
      <c r="L590" t="n">
        <v>0</v>
      </c>
      <c r="M590" t="n">
        <v>0</v>
      </c>
      <c r="N590" t="n">
        <v>0</v>
      </c>
      <c r="O590" t="n">
        <v>0</v>
      </c>
      <c r="P590" t="n">
        <v>0</v>
      </c>
      <c r="Q590" t="n">
        <v>0</v>
      </c>
      <c r="R590" s="2" t="inlineStr"/>
    </row>
    <row r="591" ht="15" customHeight="1">
      <c r="A591" t="inlineStr">
        <is>
          <t>A 28921-2023</t>
        </is>
      </c>
      <c r="B591" s="1" t="n">
        <v>45104</v>
      </c>
      <c r="C591" s="1" t="n">
        <v>45890</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37952-2024</t>
        </is>
      </c>
      <c r="B592" s="1" t="n">
        <v>45544.5200462963</v>
      </c>
      <c r="C592" s="1" t="n">
        <v>45890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45113.54193287037</v>
      </c>
      <c r="C593" s="1" t="n">
        <v>45890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36017-2025</t>
        </is>
      </c>
      <c r="B594" s="1" t="n">
        <v>45863</v>
      </c>
      <c r="C594" s="1" t="n">
        <v>45890</v>
      </c>
      <c r="D594" t="inlineStr">
        <is>
          <t>DALARNAS LÄN</t>
        </is>
      </c>
      <c r="E594" t="inlineStr">
        <is>
          <t>LEKSAND</t>
        </is>
      </c>
      <c r="F594" t="inlineStr">
        <is>
          <t>Bergvik skog väst AB</t>
        </is>
      </c>
      <c r="G594" t="n">
        <v>17.9</v>
      </c>
      <c r="H594" t="n">
        <v>0</v>
      </c>
      <c r="I594" t="n">
        <v>0</v>
      </c>
      <c r="J594" t="n">
        <v>0</v>
      </c>
      <c r="K594" t="n">
        <v>0</v>
      </c>
      <c r="L594" t="n">
        <v>0</v>
      </c>
      <c r="M594" t="n">
        <v>0</v>
      </c>
      <c r="N594" t="n">
        <v>0</v>
      </c>
      <c r="O594" t="n">
        <v>0</v>
      </c>
      <c r="P594" t="n">
        <v>0</v>
      </c>
      <c r="Q594" t="n">
        <v>0</v>
      </c>
      <c r="R594" s="2" t="inlineStr"/>
    </row>
    <row r="595" ht="15" customHeight="1">
      <c r="A595" t="inlineStr">
        <is>
          <t>A 32653-2025</t>
        </is>
      </c>
      <c r="B595" s="1" t="n">
        <v>45838</v>
      </c>
      <c r="C595" s="1" t="n">
        <v>45890</v>
      </c>
      <c r="D595" t="inlineStr">
        <is>
          <t>DALARNAS LÄN</t>
        </is>
      </c>
      <c r="E595" t="inlineStr">
        <is>
          <t>LEKSAND</t>
        </is>
      </c>
      <c r="G595" t="n">
        <v>5.6</v>
      </c>
      <c r="H595" t="n">
        <v>0</v>
      </c>
      <c r="I595" t="n">
        <v>0</v>
      </c>
      <c r="J595" t="n">
        <v>0</v>
      </c>
      <c r="K595" t="n">
        <v>0</v>
      </c>
      <c r="L595" t="n">
        <v>0</v>
      </c>
      <c r="M595" t="n">
        <v>0</v>
      </c>
      <c r="N595" t="n">
        <v>0</v>
      </c>
      <c r="O595" t="n">
        <v>0</v>
      </c>
      <c r="P595" t="n">
        <v>0</v>
      </c>
      <c r="Q595" t="n">
        <v>0</v>
      </c>
      <c r="R595" s="2" t="inlineStr"/>
    </row>
    <row r="596" ht="15" customHeight="1">
      <c r="A596" t="inlineStr">
        <is>
          <t>A 32855-2025</t>
        </is>
      </c>
      <c r="B596" s="1" t="n">
        <v>45839.57643518518</v>
      </c>
      <c r="C596" s="1" t="n">
        <v>45890</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32661-2025</t>
        </is>
      </c>
      <c r="B597" s="1" t="n">
        <v>45838.67953703704</v>
      </c>
      <c r="C597" s="1" t="n">
        <v>45890</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35866-2025</t>
        </is>
      </c>
      <c r="B598" s="1" t="n">
        <v>45861</v>
      </c>
      <c r="C598" s="1" t="n">
        <v>45890</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31254-2023</t>
        </is>
      </c>
      <c r="B599" s="1" t="n">
        <v>45114</v>
      </c>
      <c r="C599" s="1" t="n">
        <v>45890</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32593-2025</t>
        </is>
      </c>
      <c r="B600" s="1" t="n">
        <v>45838</v>
      </c>
      <c r="C600" s="1" t="n">
        <v>45890</v>
      </c>
      <c r="D600" t="inlineStr">
        <is>
          <t>DALARNAS LÄN</t>
        </is>
      </c>
      <c r="E600" t="inlineStr">
        <is>
          <t>LEKSAND</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32726-2025</t>
        </is>
      </c>
      <c r="B601" s="1" t="n">
        <v>45839.3969212963</v>
      </c>
      <c r="C601" s="1" t="n">
        <v>45890</v>
      </c>
      <c r="D601" t="inlineStr">
        <is>
          <t>DALARNAS LÄN</t>
        </is>
      </c>
      <c r="E601" t="inlineStr">
        <is>
          <t>LEKSAND</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23283-2024</t>
        </is>
      </c>
      <c r="B602" s="1" t="n">
        <v>45453</v>
      </c>
      <c r="C602" s="1" t="n">
        <v>45890</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15257-2025</t>
        </is>
      </c>
      <c r="B603" s="1" t="n">
        <v>45744</v>
      </c>
      <c r="C603" s="1" t="n">
        <v>45890</v>
      </c>
      <c r="D603" t="inlineStr">
        <is>
          <t>DALARNAS LÄN</t>
        </is>
      </c>
      <c r="E603" t="inlineStr">
        <is>
          <t>LEKSAND</t>
        </is>
      </c>
      <c r="G603" t="n">
        <v>0.9</v>
      </c>
      <c r="H603" t="n">
        <v>0</v>
      </c>
      <c r="I603" t="n">
        <v>0</v>
      </c>
      <c r="J603" t="n">
        <v>0</v>
      </c>
      <c r="K603" t="n">
        <v>0</v>
      </c>
      <c r="L603" t="n">
        <v>0</v>
      </c>
      <c r="M603" t="n">
        <v>0</v>
      </c>
      <c r="N603" t="n">
        <v>0</v>
      </c>
      <c r="O603" t="n">
        <v>0</v>
      </c>
      <c r="P603" t="n">
        <v>0</v>
      </c>
      <c r="Q603" t="n">
        <v>0</v>
      </c>
      <c r="R603" s="2" t="inlineStr"/>
    </row>
    <row r="604" ht="15" customHeight="1">
      <c r="A604" t="inlineStr">
        <is>
          <t>A 39807-2024</t>
        </is>
      </c>
      <c r="B604" s="1" t="n">
        <v>45553.35763888889</v>
      </c>
      <c r="C604" s="1" t="n">
        <v>45890</v>
      </c>
      <c r="D604" t="inlineStr">
        <is>
          <t>DALARNAS LÄN</t>
        </is>
      </c>
      <c r="E604" t="inlineStr">
        <is>
          <t>LEKSAND</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36020-2025</t>
        </is>
      </c>
      <c r="B605" s="1" t="n">
        <v>45863</v>
      </c>
      <c r="C605" s="1" t="n">
        <v>45890</v>
      </c>
      <c r="D605" t="inlineStr">
        <is>
          <t>DALARNAS LÄN</t>
        </is>
      </c>
      <c r="E605" t="inlineStr">
        <is>
          <t>LEKSAND</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1463-2024</t>
        </is>
      </c>
      <c r="B606" s="1" t="n">
        <v>45303</v>
      </c>
      <c r="C606" s="1" t="n">
        <v>45890</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16611-2024</t>
        </is>
      </c>
      <c r="B607" s="1" t="n">
        <v>45408.55504629629</v>
      </c>
      <c r="C607" s="1" t="n">
        <v>45890</v>
      </c>
      <c r="D607" t="inlineStr">
        <is>
          <t>DALARNAS LÄN</t>
        </is>
      </c>
      <c r="E607" t="inlineStr">
        <is>
          <t>LEKSAND</t>
        </is>
      </c>
      <c r="G607" t="n">
        <v>5.9</v>
      </c>
      <c r="H607" t="n">
        <v>0</v>
      </c>
      <c r="I607" t="n">
        <v>0</v>
      </c>
      <c r="J607" t="n">
        <v>0</v>
      </c>
      <c r="K607" t="n">
        <v>0</v>
      </c>
      <c r="L607" t="n">
        <v>0</v>
      </c>
      <c r="M607" t="n">
        <v>0</v>
      </c>
      <c r="N607" t="n">
        <v>0</v>
      </c>
      <c r="O607" t="n">
        <v>0</v>
      </c>
      <c r="P607" t="n">
        <v>0</v>
      </c>
      <c r="Q607" t="n">
        <v>0</v>
      </c>
      <c r="R607" s="2" t="inlineStr"/>
    </row>
    <row r="608" ht="15" customHeight="1">
      <c r="A608" t="inlineStr">
        <is>
          <t>A 46834-2023</t>
        </is>
      </c>
      <c r="B608" s="1" t="n">
        <v>45199.35668981481</v>
      </c>
      <c r="C608" s="1" t="n">
        <v>45890</v>
      </c>
      <c r="D608" t="inlineStr">
        <is>
          <t>DALARNAS LÄN</t>
        </is>
      </c>
      <c r="E608" t="inlineStr">
        <is>
          <t>LEKSAND</t>
        </is>
      </c>
      <c r="G608" t="n">
        <v>16.3</v>
      </c>
      <c r="H608" t="n">
        <v>0</v>
      </c>
      <c r="I608" t="n">
        <v>0</v>
      </c>
      <c r="J608" t="n">
        <v>0</v>
      </c>
      <c r="K608" t="n">
        <v>0</v>
      </c>
      <c r="L608" t="n">
        <v>0</v>
      </c>
      <c r="M608" t="n">
        <v>0</v>
      </c>
      <c r="N608" t="n">
        <v>0</v>
      </c>
      <c r="O608" t="n">
        <v>0</v>
      </c>
      <c r="P608" t="n">
        <v>0</v>
      </c>
      <c r="Q608" t="n">
        <v>0</v>
      </c>
      <c r="R608" s="2" t="inlineStr"/>
    </row>
    <row r="609" ht="15" customHeight="1">
      <c r="A609" t="inlineStr">
        <is>
          <t>A 37996-2025</t>
        </is>
      </c>
      <c r="B609" s="1" t="n">
        <v>45881.8299537037</v>
      </c>
      <c r="C609" s="1" t="n">
        <v>45890</v>
      </c>
      <c r="D609" t="inlineStr">
        <is>
          <t>DALARNAS LÄN</t>
        </is>
      </c>
      <c r="E609" t="inlineStr">
        <is>
          <t>LEKSAND</t>
        </is>
      </c>
      <c r="G609" t="n">
        <v>4.2</v>
      </c>
      <c r="H609" t="n">
        <v>0</v>
      </c>
      <c r="I609" t="n">
        <v>0</v>
      </c>
      <c r="J609" t="n">
        <v>0</v>
      </c>
      <c r="K609" t="n">
        <v>0</v>
      </c>
      <c r="L609" t="n">
        <v>0</v>
      </c>
      <c r="M609" t="n">
        <v>0</v>
      </c>
      <c r="N609" t="n">
        <v>0</v>
      </c>
      <c r="O609" t="n">
        <v>0</v>
      </c>
      <c r="P609" t="n">
        <v>0</v>
      </c>
      <c r="Q609" t="n">
        <v>0</v>
      </c>
      <c r="R609" s="2" t="inlineStr"/>
    </row>
    <row r="610" ht="15" customHeight="1">
      <c r="A610" t="inlineStr">
        <is>
          <t>A 12851-2023</t>
        </is>
      </c>
      <c r="B610" s="1" t="n">
        <v>45001.49347222222</v>
      </c>
      <c r="C610" s="1" t="n">
        <v>45890</v>
      </c>
      <c r="D610" t="inlineStr">
        <is>
          <t>DALARNAS LÄN</t>
        </is>
      </c>
      <c r="E610" t="inlineStr">
        <is>
          <t>LEKSAND</t>
        </is>
      </c>
      <c r="G610" t="n">
        <v>1.9</v>
      </c>
      <c r="H610" t="n">
        <v>0</v>
      </c>
      <c r="I610" t="n">
        <v>0</v>
      </c>
      <c r="J610" t="n">
        <v>0</v>
      </c>
      <c r="K610" t="n">
        <v>0</v>
      </c>
      <c r="L610" t="n">
        <v>0</v>
      </c>
      <c r="M610" t="n">
        <v>0</v>
      </c>
      <c r="N610" t="n">
        <v>0</v>
      </c>
      <c r="O610" t="n">
        <v>0</v>
      </c>
      <c r="P610" t="n">
        <v>0</v>
      </c>
      <c r="Q610" t="n">
        <v>0</v>
      </c>
      <c r="R610" s="2" t="inlineStr"/>
    </row>
    <row r="611" ht="15" customHeight="1">
      <c r="A611" t="inlineStr">
        <is>
          <t>A 38090-2025</t>
        </is>
      </c>
      <c r="B611" s="1" t="n">
        <v>45882.48440972222</v>
      </c>
      <c r="C611" s="1" t="n">
        <v>45890</v>
      </c>
      <c r="D611" t="inlineStr">
        <is>
          <t>DALARNAS LÄN</t>
        </is>
      </c>
      <c r="E611" t="inlineStr">
        <is>
          <t>LEKSAND</t>
        </is>
      </c>
      <c r="G611" t="n">
        <v>1.6</v>
      </c>
      <c r="H611" t="n">
        <v>0</v>
      </c>
      <c r="I611" t="n">
        <v>0</v>
      </c>
      <c r="J611" t="n">
        <v>0</v>
      </c>
      <c r="K611" t="n">
        <v>0</v>
      </c>
      <c r="L611" t="n">
        <v>0</v>
      </c>
      <c r="M611" t="n">
        <v>0</v>
      </c>
      <c r="N611" t="n">
        <v>0</v>
      </c>
      <c r="O611" t="n">
        <v>0</v>
      </c>
      <c r="P611" t="n">
        <v>0</v>
      </c>
      <c r="Q611" t="n">
        <v>0</v>
      </c>
      <c r="R611" s="2" t="inlineStr"/>
    </row>
    <row r="612" ht="15" customHeight="1">
      <c r="A612" t="inlineStr">
        <is>
          <t>A 33160-2025</t>
        </is>
      </c>
      <c r="B612" s="1" t="n">
        <v>45840</v>
      </c>
      <c r="C612" s="1" t="n">
        <v>45890</v>
      </c>
      <c r="D612" t="inlineStr">
        <is>
          <t>DALARNAS LÄN</t>
        </is>
      </c>
      <c r="E612" t="inlineStr">
        <is>
          <t>LEKSAND</t>
        </is>
      </c>
      <c r="G612" t="n">
        <v>2.3</v>
      </c>
      <c r="H612" t="n">
        <v>0</v>
      </c>
      <c r="I612" t="n">
        <v>0</v>
      </c>
      <c r="J612" t="n">
        <v>0</v>
      </c>
      <c r="K612" t="n">
        <v>0</v>
      </c>
      <c r="L612" t="n">
        <v>0</v>
      </c>
      <c r="M612" t="n">
        <v>0</v>
      </c>
      <c r="N612" t="n">
        <v>0</v>
      </c>
      <c r="O612" t="n">
        <v>0</v>
      </c>
      <c r="P612" t="n">
        <v>0</v>
      </c>
      <c r="Q612" t="n">
        <v>0</v>
      </c>
      <c r="R612" s="2" t="inlineStr"/>
    </row>
    <row r="613" ht="15" customHeight="1">
      <c r="A613" t="inlineStr">
        <is>
          <t>A 45768-2023</t>
        </is>
      </c>
      <c r="B613" s="1" t="n">
        <v>45195</v>
      </c>
      <c r="C613" s="1" t="n">
        <v>45890</v>
      </c>
      <c r="D613" t="inlineStr">
        <is>
          <t>DALARNAS LÄN</t>
        </is>
      </c>
      <c r="E613" t="inlineStr">
        <is>
          <t>LEKSAND</t>
        </is>
      </c>
      <c r="G613" t="n">
        <v>0.4</v>
      </c>
      <c r="H613" t="n">
        <v>0</v>
      </c>
      <c r="I613" t="n">
        <v>0</v>
      </c>
      <c r="J613" t="n">
        <v>0</v>
      </c>
      <c r="K613" t="n">
        <v>0</v>
      </c>
      <c r="L613" t="n">
        <v>0</v>
      </c>
      <c r="M613" t="n">
        <v>0</v>
      </c>
      <c r="N613" t="n">
        <v>0</v>
      </c>
      <c r="O613" t="n">
        <v>0</v>
      </c>
      <c r="P613" t="n">
        <v>0</v>
      </c>
      <c r="Q613" t="n">
        <v>0</v>
      </c>
      <c r="R613" s="2" t="inlineStr"/>
    </row>
    <row r="614" ht="15" customHeight="1">
      <c r="A614" t="inlineStr">
        <is>
          <t>A 25025-2023</t>
        </is>
      </c>
      <c r="B614" s="1" t="n">
        <v>45085.92146990741</v>
      </c>
      <c r="C614" s="1" t="n">
        <v>45890</v>
      </c>
      <c r="D614" t="inlineStr">
        <is>
          <t>DALARNAS LÄN</t>
        </is>
      </c>
      <c r="E614" t="inlineStr">
        <is>
          <t>LEKSAND</t>
        </is>
      </c>
      <c r="G614" t="n">
        <v>3</v>
      </c>
      <c r="H614" t="n">
        <v>0</v>
      </c>
      <c r="I614" t="n">
        <v>0</v>
      </c>
      <c r="J614" t="n">
        <v>0</v>
      </c>
      <c r="K614" t="n">
        <v>0</v>
      </c>
      <c r="L614" t="n">
        <v>0</v>
      </c>
      <c r="M614" t="n">
        <v>0</v>
      </c>
      <c r="N614" t="n">
        <v>0</v>
      </c>
      <c r="O614" t="n">
        <v>0</v>
      </c>
      <c r="P614" t="n">
        <v>0</v>
      </c>
      <c r="Q614" t="n">
        <v>0</v>
      </c>
      <c r="R614" s="2" t="inlineStr"/>
    </row>
    <row r="615" ht="15" customHeight="1">
      <c r="A615" t="inlineStr">
        <is>
          <t>A 25038-2023</t>
        </is>
      </c>
      <c r="B615" s="1" t="n">
        <v>45085</v>
      </c>
      <c r="C615" s="1" t="n">
        <v>45890</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11277-2025</t>
        </is>
      </c>
      <c r="B616" s="1" t="n">
        <v>45726.41565972222</v>
      </c>
      <c r="C616" s="1" t="n">
        <v>45890</v>
      </c>
      <c r="D616" t="inlineStr">
        <is>
          <t>DALARNAS LÄN</t>
        </is>
      </c>
      <c r="E616" t="inlineStr">
        <is>
          <t>LEKSAND</t>
        </is>
      </c>
      <c r="G616" t="n">
        <v>2</v>
      </c>
      <c r="H616" t="n">
        <v>0</v>
      </c>
      <c r="I616" t="n">
        <v>0</v>
      </c>
      <c r="J616" t="n">
        <v>0</v>
      </c>
      <c r="K616" t="n">
        <v>0</v>
      </c>
      <c r="L616" t="n">
        <v>0</v>
      </c>
      <c r="M616" t="n">
        <v>0</v>
      </c>
      <c r="N616" t="n">
        <v>0</v>
      </c>
      <c r="O616" t="n">
        <v>0</v>
      </c>
      <c r="P616" t="n">
        <v>0</v>
      </c>
      <c r="Q616" t="n">
        <v>0</v>
      </c>
      <c r="R616" s="2" t="inlineStr"/>
    </row>
    <row r="617" ht="15" customHeight="1">
      <c r="A617" t="inlineStr">
        <is>
          <t>A 34482-2022</t>
        </is>
      </c>
      <c r="B617" s="1" t="n">
        <v>44792</v>
      </c>
      <c r="C617" s="1" t="n">
        <v>45890</v>
      </c>
      <c r="D617" t="inlineStr">
        <is>
          <t>DALARNAS LÄN</t>
        </is>
      </c>
      <c r="E617" t="inlineStr">
        <is>
          <t>LEKSAND</t>
        </is>
      </c>
      <c r="G617" t="n">
        <v>2.6</v>
      </c>
      <c r="H617" t="n">
        <v>0</v>
      </c>
      <c r="I617" t="n">
        <v>0</v>
      </c>
      <c r="J617" t="n">
        <v>0</v>
      </c>
      <c r="K617" t="n">
        <v>0</v>
      </c>
      <c r="L617" t="n">
        <v>0</v>
      </c>
      <c r="M617" t="n">
        <v>0</v>
      </c>
      <c r="N617" t="n">
        <v>0</v>
      </c>
      <c r="O617" t="n">
        <v>0</v>
      </c>
      <c r="P617" t="n">
        <v>0</v>
      </c>
      <c r="Q617" t="n">
        <v>0</v>
      </c>
      <c r="R617" s="2" t="inlineStr"/>
    </row>
    <row r="618" ht="15" customHeight="1">
      <c r="A618" t="inlineStr">
        <is>
          <t>A 41896-2024</t>
        </is>
      </c>
      <c r="B618" s="1" t="n">
        <v>45561.51310185185</v>
      </c>
      <c r="C618" s="1" t="n">
        <v>45890</v>
      </c>
      <c r="D618" t="inlineStr">
        <is>
          <t>DALARNAS LÄN</t>
        </is>
      </c>
      <c r="E618" t="inlineStr">
        <is>
          <t>LEKSAND</t>
        </is>
      </c>
      <c r="F618" t="inlineStr">
        <is>
          <t>Bergvik skog väst AB</t>
        </is>
      </c>
      <c r="G618" t="n">
        <v>2.8</v>
      </c>
      <c r="H618" t="n">
        <v>0</v>
      </c>
      <c r="I618" t="n">
        <v>0</v>
      </c>
      <c r="J618" t="n">
        <v>0</v>
      </c>
      <c r="K618" t="n">
        <v>0</v>
      </c>
      <c r="L618" t="n">
        <v>0</v>
      </c>
      <c r="M618" t="n">
        <v>0</v>
      </c>
      <c r="N618" t="n">
        <v>0</v>
      </c>
      <c r="O618" t="n">
        <v>0</v>
      </c>
      <c r="P618" t="n">
        <v>0</v>
      </c>
      <c r="Q618" t="n">
        <v>0</v>
      </c>
      <c r="R618" s="2" t="inlineStr"/>
    </row>
    <row r="619" ht="15" customHeight="1">
      <c r="A619" t="inlineStr">
        <is>
          <t>A 5570-2024</t>
        </is>
      </c>
      <c r="B619" s="1" t="n">
        <v>45334</v>
      </c>
      <c r="C619" s="1" t="n">
        <v>45890</v>
      </c>
      <c r="D619" t="inlineStr">
        <is>
          <t>DALARNAS LÄN</t>
        </is>
      </c>
      <c r="E619" t="inlineStr">
        <is>
          <t>LEKSAND</t>
        </is>
      </c>
      <c r="G619" t="n">
        <v>0.3</v>
      </c>
      <c r="H619" t="n">
        <v>0</v>
      </c>
      <c r="I619" t="n">
        <v>0</v>
      </c>
      <c r="J619" t="n">
        <v>0</v>
      </c>
      <c r="K619" t="n">
        <v>0</v>
      </c>
      <c r="L619" t="n">
        <v>0</v>
      </c>
      <c r="M619" t="n">
        <v>0</v>
      </c>
      <c r="N619" t="n">
        <v>0</v>
      </c>
      <c r="O619" t="n">
        <v>0</v>
      </c>
      <c r="P619" t="n">
        <v>0</v>
      </c>
      <c r="Q619" t="n">
        <v>0</v>
      </c>
      <c r="R619" s="2" t="inlineStr"/>
    </row>
    <row r="620" ht="15" customHeight="1">
      <c r="A620" t="inlineStr">
        <is>
          <t>A 54917-2024</t>
        </is>
      </c>
      <c r="B620" s="1" t="n">
        <v>45618.69581018519</v>
      </c>
      <c r="C620" s="1" t="n">
        <v>45890</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5584-2024</t>
        </is>
      </c>
      <c r="B621" s="1" t="n">
        <v>45334</v>
      </c>
      <c r="C621" s="1" t="n">
        <v>45890</v>
      </c>
      <c r="D621" t="inlineStr">
        <is>
          <t>DALARNAS LÄN</t>
        </is>
      </c>
      <c r="E621" t="inlineStr">
        <is>
          <t>LEKSAND</t>
        </is>
      </c>
      <c r="F621" t="inlineStr">
        <is>
          <t>Kyrkan</t>
        </is>
      </c>
      <c r="G621" t="n">
        <v>0.4</v>
      </c>
      <c r="H621" t="n">
        <v>0</v>
      </c>
      <c r="I621" t="n">
        <v>0</v>
      </c>
      <c r="J621" t="n">
        <v>0</v>
      </c>
      <c r="K621" t="n">
        <v>0</v>
      </c>
      <c r="L621" t="n">
        <v>0</v>
      </c>
      <c r="M621" t="n">
        <v>0</v>
      </c>
      <c r="N621" t="n">
        <v>0</v>
      </c>
      <c r="O621" t="n">
        <v>0</v>
      </c>
      <c r="P621" t="n">
        <v>0</v>
      </c>
      <c r="Q621" t="n">
        <v>0</v>
      </c>
      <c r="R621" s="2" t="inlineStr"/>
    </row>
    <row r="622" ht="15" customHeight="1">
      <c r="A622" t="inlineStr">
        <is>
          <t>A 51860-2024</t>
        </is>
      </c>
      <c r="B622" s="1" t="n">
        <v>45607.54511574074</v>
      </c>
      <c r="C622" s="1" t="n">
        <v>45890</v>
      </c>
      <c r="D622" t="inlineStr">
        <is>
          <t>DALARNAS LÄN</t>
        </is>
      </c>
      <c r="E622" t="inlineStr">
        <is>
          <t>LEKSAND</t>
        </is>
      </c>
      <c r="F622" t="inlineStr">
        <is>
          <t>Bergvik skog väst AB</t>
        </is>
      </c>
      <c r="G622" t="n">
        <v>3.4</v>
      </c>
      <c r="H622" t="n">
        <v>0</v>
      </c>
      <c r="I622" t="n">
        <v>0</v>
      </c>
      <c r="J622" t="n">
        <v>0</v>
      </c>
      <c r="K622" t="n">
        <v>0</v>
      </c>
      <c r="L622" t="n">
        <v>0</v>
      </c>
      <c r="M622" t="n">
        <v>0</v>
      </c>
      <c r="N622" t="n">
        <v>0</v>
      </c>
      <c r="O622" t="n">
        <v>0</v>
      </c>
      <c r="P622" t="n">
        <v>0</v>
      </c>
      <c r="Q622" t="n">
        <v>0</v>
      </c>
      <c r="R622" s="2" t="inlineStr"/>
    </row>
    <row r="623" ht="15" customHeight="1">
      <c r="A623" t="inlineStr">
        <is>
          <t>A 22681-2022</t>
        </is>
      </c>
      <c r="B623" s="1" t="n">
        <v>44714.50961805556</v>
      </c>
      <c r="C623" s="1" t="n">
        <v>45890</v>
      </c>
      <c r="D623" t="inlineStr">
        <is>
          <t>DALARNAS LÄN</t>
        </is>
      </c>
      <c r="E623" t="inlineStr">
        <is>
          <t>LEKSAND</t>
        </is>
      </c>
      <c r="F623" t="inlineStr">
        <is>
          <t>Bergvik skog väst AB</t>
        </is>
      </c>
      <c r="G623" t="n">
        <v>2.8</v>
      </c>
      <c r="H623" t="n">
        <v>0</v>
      </c>
      <c r="I623" t="n">
        <v>0</v>
      </c>
      <c r="J623" t="n">
        <v>0</v>
      </c>
      <c r="K623" t="n">
        <v>0</v>
      </c>
      <c r="L623" t="n">
        <v>0</v>
      </c>
      <c r="M623" t="n">
        <v>0</v>
      </c>
      <c r="N623" t="n">
        <v>0</v>
      </c>
      <c r="O623" t="n">
        <v>0</v>
      </c>
      <c r="P623" t="n">
        <v>0</v>
      </c>
      <c r="Q623" t="n">
        <v>0</v>
      </c>
      <c r="R623" s="2" t="inlineStr"/>
    </row>
    <row r="624" ht="15" customHeight="1">
      <c r="A624" t="inlineStr">
        <is>
          <t>A 11403-2023</t>
        </is>
      </c>
      <c r="B624" s="1" t="n">
        <v>44993</v>
      </c>
      <c r="C624" s="1" t="n">
        <v>45890</v>
      </c>
      <c r="D624" t="inlineStr">
        <is>
          <t>DALARNAS LÄN</t>
        </is>
      </c>
      <c r="E624" t="inlineStr">
        <is>
          <t>LEKSAND</t>
        </is>
      </c>
      <c r="G624" t="n">
        <v>0.1</v>
      </c>
      <c r="H624" t="n">
        <v>0</v>
      </c>
      <c r="I624" t="n">
        <v>0</v>
      </c>
      <c r="J624" t="n">
        <v>0</v>
      </c>
      <c r="K624" t="n">
        <v>0</v>
      </c>
      <c r="L624" t="n">
        <v>0</v>
      </c>
      <c r="M624" t="n">
        <v>0</v>
      </c>
      <c r="N624" t="n">
        <v>0</v>
      </c>
      <c r="O624" t="n">
        <v>0</v>
      </c>
      <c r="P624" t="n">
        <v>0</v>
      </c>
      <c r="Q624" t="n">
        <v>0</v>
      </c>
      <c r="R624" s="2" t="inlineStr"/>
    </row>
    <row r="625" ht="15" customHeight="1">
      <c r="A625" t="inlineStr">
        <is>
          <t>A 1457-2024</t>
        </is>
      </c>
      <c r="B625" s="1" t="n">
        <v>45303</v>
      </c>
      <c r="C625" s="1" t="n">
        <v>45890</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36021-2025</t>
        </is>
      </c>
      <c r="B626" s="1" t="n">
        <v>45863.72346064815</v>
      </c>
      <c r="C626" s="1" t="n">
        <v>45890</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38721-2025</t>
        </is>
      </c>
      <c r="B627" s="1" t="n">
        <v>45886.83605324074</v>
      </c>
      <c r="C627" s="1" t="n">
        <v>45890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33804-2025</t>
        </is>
      </c>
      <c r="B628" s="1" t="n">
        <v>45842</v>
      </c>
      <c r="C628" s="1" t="n">
        <v>45890</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40007-2024</t>
        </is>
      </c>
      <c r="B629" s="1" t="n">
        <v>45553.6516550926</v>
      </c>
      <c r="C629" s="1" t="n">
        <v>45890</v>
      </c>
      <c r="D629" t="inlineStr">
        <is>
          <t>DALARNAS LÄN</t>
        </is>
      </c>
      <c r="E629" t="inlineStr">
        <is>
          <t>LEKSAND</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38498-2025</t>
        </is>
      </c>
      <c r="B630" s="1" t="n">
        <v>45884.3706712963</v>
      </c>
      <c r="C630" s="1" t="n">
        <v>45890</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33198-2022</t>
        </is>
      </c>
      <c r="B631" s="1" t="n">
        <v>44785.68597222222</v>
      </c>
      <c r="C631" s="1" t="n">
        <v>45890</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9938-2023</t>
        </is>
      </c>
      <c r="B632" s="1" t="n">
        <v>44985</v>
      </c>
      <c r="C632" s="1" t="n">
        <v>45890</v>
      </c>
      <c r="D632" t="inlineStr">
        <is>
          <t>DALARNAS LÄN</t>
        </is>
      </c>
      <c r="E632" t="inlineStr">
        <is>
          <t>LEKSAND</t>
        </is>
      </c>
      <c r="G632" t="n">
        <v>3.1</v>
      </c>
      <c r="H632" t="n">
        <v>0</v>
      </c>
      <c r="I632" t="n">
        <v>0</v>
      </c>
      <c r="J632" t="n">
        <v>0</v>
      </c>
      <c r="K632" t="n">
        <v>0</v>
      </c>
      <c r="L632" t="n">
        <v>0</v>
      </c>
      <c r="M632" t="n">
        <v>0</v>
      </c>
      <c r="N632" t="n">
        <v>0</v>
      </c>
      <c r="O632" t="n">
        <v>0</v>
      </c>
      <c r="P632" t="n">
        <v>0</v>
      </c>
      <c r="Q632" t="n">
        <v>0</v>
      </c>
      <c r="R632" s="2" t="inlineStr"/>
    </row>
    <row r="633" ht="15" customHeight="1">
      <c r="A633" t="inlineStr">
        <is>
          <t>A 60129-2023</t>
        </is>
      </c>
      <c r="B633" s="1" t="n">
        <v>45258.49056712963</v>
      </c>
      <c r="C633" s="1" t="n">
        <v>45890</v>
      </c>
      <c r="D633" t="inlineStr">
        <is>
          <t>DALARNAS LÄN</t>
        </is>
      </c>
      <c r="E633" t="inlineStr">
        <is>
          <t>LEKSAND</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3737-2023</t>
        </is>
      </c>
      <c r="B634" s="1" t="n">
        <v>44951.42983796296</v>
      </c>
      <c r="C634" s="1" t="n">
        <v>45890</v>
      </c>
      <c r="D634" t="inlineStr">
        <is>
          <t>DALARNAS LÄN</t>
        </is>
      </c>
      <c r="E634" t="inlineStr">
        <is>
          <t>LEKSAND</t>
        </is>
      </c>
      <c r="G634" t="n">
        <v>3.1</v>
      </c>
      <c r="H634" t="n">
        <v>0</v>
      </c>
      <c r="I634" t="n">
        <v>0</v>
      </c>
      <c r="J634" t="n">
        <v>0</v>
      </c>
      <c r="K634" t="n">
        <v>0</v>
      </c>
      <c r="L634" t="n">
        <v>0</v>
      </c>
      <c r="M634" t="n">
        <v>0</v>
      </c>
      <c r="N634" t="n">
        <v>0</v>
      </c>
      <c r="O634" t="n">
        <v>0</v>
      </c>
      <c r="P634" t="n">
        <v>0</v>
      </c>
      <c r="Q634" t="n">
        <v>0</v>
      </c>
      <c r="R634" s="2" t="inlineStr"/>
    </row>
    <row r="635" ht="15" customHeight="1">
      <c r="A635" t="inlineStr">
        <is>
          <t>A 43237-2024</t>
        </is>
      </c>
      <c r="B635" s="1" t="n">
        <v>45567</v>
      </c>
      <c r="C635" s="1" t="n">
        <v>45890</v>
      </c>
      <c r="D635" t="inlineStr">
        <is>
          <t>DALARNAS LÄN</t>
        </is>
      </c>
      <c r="E635" t="inlineStr">
        <is>
          <t>LEKSAND</t>
        </is>
      </c>
      <c r="G635" t="n">
        <v>0.8</v>
      </c>
      <c r="H635" t="n">
        <v>0</v>
      </c>
      <c r="I635" t="n">
        <v>0</v>
      </c>
      <c r="J635" t="n">
        <v>0</v>
      </c>
      <c r="K635" t="n">
        <v>0</v>
      </c>
      <c r="L635" t="n">
        <v>0</v>
      </c>
      <c r="M635" t="n">
        <v>0</v>
      </c>
      <c r="N635" t="n">
        <v>0</v>
      </c>
      <c r="O635" t="n">
        <v>0</v>
      </c>
      <c r="P635" t="n">
        <v>0</v>
      </c>
      <c r="Q635" t="n">
        <v>0</v>
      </c>
      <c r="R635" s="2" t="inlineStr"/>
    </row>
    <row r="636" ht="15" customHeight="1">
      <c r="A636" t="inlineStr">
        <is>
          <t>A 31726-2024</t>
        </is>
      </c>
      <c r="B636" s="1" t="n">
        <v>45509.33908564815</v>
      </c>
      <c r="C636" s="1" t="n">
        <v>45890</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26957-2023</t>
        </is>
      </c>
      <c r="B637" s="1" t="n">
        <v>45093</v>
      </c>
      <c r="C637" s="1" t="n">
        <v>45890</v>
      </c>
      <c r="D637" t="inlineStr">
        <is>
          <t>DALARNAS LÄN</t>
        </is>
      </c>
      <c r="E637" t="inlineStr">
        <is>
          <t>LEKSAND</t>
        </is>
      </c>
      <c r="G637" t="n">
        <v>1.1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45890</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23068-2024</t>
        </is>
      </c>
      <c r="B639" s="1" t="n">
        <v>45450.45521990741</v>
      </c>
      <c r="C639" s="1" t="n">
        <v>45890</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26959-2023</t>
        </is>
      </c>
      <c r="B640" s="1" t="n">
        <v>45093.67210648148</v>
      </c>
      <c r="C640" s="1" t="n">
        <v>45890</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7894-2025</t>
        </is>
      </c>
      <c r="B641" s="1" t="n">
        <v>45707.30268518518</v>
      </c>
      <c r="C641" s="1" t="n">
        <v>45890</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45890</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57933-2024</t>
        </is>
      </c>
      <c r="B643" s="1" t="n">
        <v>45630</v>
      </c>
      <c r="C643" s="1" t="n">
        <v>45890</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28965-2023</t>
        </is>
      </c>
      <c r="B644" s="1" t="n">
        <v>45104</v>
      </c>
      <c r="C644" s="1" t="n">
        <v>45890</v>
      </c>
      <c r="D644" t="inlineStr">
        <is>
          <t>DALARNAS LÄN</t>
        </is>
      </c>
      <c r="E644" t="inlineStr">
        <is>
          <t>LEKSAND</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16293-2025</t>
        </is>
      </c>
      <c r="B645" s="1" t="n">
        <v>45751.33447916667</v>
      </c>
      <c r="C645" s="1" t="n">
        <v>45890</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60095-2022</t>
        </is>
      </c>
      <c r="B646" s="1" t="n">
        <v>44909</v>
      </c>
      <c r="C646" s="1" t="n">
        <v>45890</v>
      </c>
      <c r="D646" t="inlineStr">
        <is>
          <t>DALARNAS LÄN</t>
        </is>
      </c>
      <c r="E646" t="inlineStr">
        <is>
          <t>LEKSAND</t>
        </is>
      </c>
      <c r="G646" t="n">
        <v>2.4</v>
      </c>
      <c r="H646" t="n">
        <v>0</v>
      </c>
      <c r="I646" t="n">
        <v>0</v>
      </c>
      <c r="J646" t="n">
        <v>0</v>
      </c>
      <c r="K646" t="n">
        <v>0</v>
      </c>
      <c r="L646" t="n">
        <v>0</v>
      </c>
      <c r="M646" t="n">
        <v>0</v>
      </c>
      <c r="N646" t="n">
        <v>0</v>
      </c>
      <c r="O646" t="n">
        <v>0</v>
      </c>
      <c r="P646" t="n">
        <v>0</v>
      </c>
      <c r="Q646" t="n">
        <v>0</v>
      </c>
      <c r="R646" s="2" t="inlineStr"/>
    </row>
    <row r="647" ht="15" customHeight="1">
      <c r="A647" t="inlineStr">
        <is>
          <t>A 30595-2023</t>
        </is>
      </c>
      <c r="B647" s="1" t="n">
        <v>45112</v>
      </c>
      <c r="C647" s="1" t="n">
        <v>45890</v>
      </c>
      <c r="D647" t="inlineStr">
        <is>
          <t>DALARNAS LÄN</t>
        </is>
      </c>
      <c r="E647" t="inlineStr">
        <is>
          <t>LEKSAND</t>
        </is>
      </c>
      <c r="G647" t="n">
        <v>1.1</v>
      </c>
      <c r="H647" t="n">
        <v>0</v>
      </c>
      <c r="I647" t="n">
        <v>0</v>
      </c>
      <c r="J647" t="n">
        <v>0</v>
      </c>
      <c r="K647" t="n">
        <v>0</v>
      </c>
      <c r="L647" t="n">
        <v>0</v>
      </c>
      <c r="M647" t="n">
        <v>0</v>
      </c>
      <c r="N647" t="n">
        <v>0</v>
      </c>
      <c r="O647" t="n">
        <v>0</v>
      </c>
      <c r="P647" t="n">
        <v>0</v>
      </c>
      <c r="Q647" t="n">
        <v>0</v>
      </c>
      <c r="R647" s="2" t="inlineStr"/>
    </row>
    <row r="648" ht="15" customHeight="1">
      <c r="A648" t="inlineStr">
        <is>
          <t>A 6027-2025</t>
        </is>
      </c>
      <c r="B648" s="1" t="n">
        <v>45695</v>
      </c>
      <c r="C648" s="1" t="n">
        <v>45890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6519-2025</t>
        </is>
      </c>
      <c r="B649" s="1" t="n">
        <v>45699</v>
      </c>
      <c r="C649" s="1" t="n">
        <v>45890</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34537-2025</t>
        </is>
      </c>
      <c r="B650" s="1" t="n">
        <v>45847</v>
      </c>
      <c r="C650" s="1" t="n">
        <v>45890</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40755-2024</t>
        </is>
      </c>
      <c r="B651" s="1" t="n">
        <v>45558.45815972222</v>
      </c>
      <c r="C651" s="1" t="n">
        <v>45890</v>
      </c>
      <c r="D651" t="inlineStr">
        <is>
          <t>DALARNAS LÄN</t>
        </is>
      </c>
      <c r="E651" t="inlineStr">
        <is>
          <t>LEKSAND</t>
        </is>
      </c>
      <c r="G651" t="n">
        <v>0.8</v>
      </c>
      <c r="H651" t="n">
        <v>0</v>
      </c>
      <c r="I651" t="n">
        <v>0</v>
      </c>
      <c r="J651" t="n">
        <v>0</v>
      </c>
      <c r="K651" t="n">
        <v>0</v>
      </c>
      <c r="L651" t="n">
        <v>0</v>
      </c>
      <c r="M651" t="n">
        <v>0</v>
      </c>
      <c r="N651" t="n">
        <v>0</v>
      </c>
      <c r="O651" t="n">
        <v>0</v>
      </c>
      <c r="P651" t="n">
        <v>0</v>
      </c>
      <c r="Q651" t="n">
        <v>0</v>
      </c>
      <c r="R651" s="2" t="inlineStr"/>
    </row>
    <row r="652" ht="15" customHeight="1">
      <c r="A652" t="inlineStr">
        <is>
          <t>A 11678-2023</t>
        </is>
      </c>
      <c r="B652" s="1" t="n">
        <v>44994</v>
      </c>
      <c r="C652" s="1" t="n">
        <v>45890</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11218-2023</t>
        </is>
      </c>
      <c r="B653" s="1" t="n">
        <v>44992.62401620371</v>
      </c>
      <c r="C653" s="1" t="n">
        <v>45890</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8755-2023</t>
        </is>
      </c>
      <c r="B654" s="1" t="n">
        <v>44978</v>
      </c>
      <c r="C654" s="1" t="n">
        <v>45890</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61680-2024</t>
        </is>
      </c>
      <c r="B655" s="1" t="n">
        <v>45647.42890046296</v>
      </c>
      <c r="C655" s="1" t="n">
        <v>45890</v>
      </c>
      <c r="D655" t="inlineStr">
        <is>
          <t>DALARNAS LÄN</t>
        </is>
      </c>
      <c r="E655" t="inlineStr">
        <is>
          <t>LEKSAND</t>
        </is>
      </c>
      <c r="G655" t="n">
        <v>3.6</v>
      </c>
      <c r="H655" t="n">
        <v>0</v>
      </c>
      <c r="I655" t="n">
        <v>0</v>
      </c>
      <c r="J655" t="n">
        <v>0</v>
      </c>
      <c r="K655" t="n">
        <v>0</v>
      </c>
      <c r="L655" t="n">
        <v>0</v>
      </c>
      <c r="M655" t="n">
        <v>0</v>
      </c>
      <c r="N655" t="n">
        <v>0</v>
      </c>
      <c r="O655" t="n">
        <v>0</v>
      </c>
      <c r="P655" t="n">
        <v>0</v>
      </c>
      <c r="Q655" t="n">
        <v>0</v>
      </c>
      <c r="R655" s="2" t="inlineStr"/>
    </row>
    <row r="656" ht="15" customHeight="1">
      <c r="A656" t="inlineStr">
        <is>
          <t>A 5582-2024</t>
        </is>
      </c>
      <c r="B656" s="1" t="n">
        <v>45334</v>
      </c>
      <c r="C656" s="1" t="n">
        <v>45890</v>
      </c>
      <c r="D656" t="inlineStr">
        <is>
          <t>DALARNAS LÄN</t>
        </is>
      </c>
      <c r="E656" t="inlineStr">
        <is>
          <t>LEKSAND</t>
        </is>
      </c>
      <c r="G656" t="n">
        <v>0.5</v>
      </c>
      <c r="H656" t="n">
        <v>0</v>
      </c>
      <c r="I656" t="n">
        <v>0</v>
      </c>
      <c r="J656" t="n">
        <v>0</v>
      </c>
      <c r="K656" t="n">
        <v>0</v>
      </c>
      <c r="L656" t="n">
        <v>0</v>
      </c>
      <c r="M656" t="n">
        <v>0</v>
      </c>
      <c r="N656" t="n">
        <v>0</v>
      </c>
      <c r="O656" t="n">
        <v>0</v>
      </c>
      <c r="P656" t="n">
        <v>0</v>
      </c>
      <c r="Q656" t="n">
        <v>0</v>
      </c>
      <c r="R656" s="2" t="inlineStr"/>
    </row>
    <row r="657" ht="15" customHeight="1">
      <c r="A657" t="inlineStr">
        <is>
          <t>A 62295-2023</t>
        </is>
      </c>
      <c r="B657" s="1" t="n">
        <v>45267</v>
      </c>
      <c r="C657" s="1" t="n">
        <v>45890</v>
      </c>
      <c r="D657" t="inlineStr">
        <is>
          <t>DALARNAS LÄN</t>
        </is>
      </c>
      <c r="E657" t="inlineStr">
        <is>
          <t>LEKSAND</t>
        </is>
      </c>
      <c r="G657" t="n">
        <v>2.5</v>
      </c>
      <c r="H657" t="n">
        <v>0</v>
      </c>
      <c r="I657" t="n">
        <v>0</v>
      </c>
      <c r="J657" t="n">
        <v>0</v>
      </c>
      <c r="K657" t="n">
        <v>0</v>
      </c>
      <c r="L657" t="n">
        <v>0</v>
      </c>
      <c r="M657" t="n">
        <v>0</v>
      </c>
      <c r="N657" t="n">
        <v>0</v>
      </c>
      <c r="O657" t="n">
        <v>0</v>
      </c>
      <c r="P657" t="n">
        <v>0</v>
      </c>
      <c r="Q657" t="n">
        <v>0</v>
      </c>
      <c r="R657" s="2" t="inlineStr"/>
    </row>
    <row r="658" ht="15" customHeight="1">
      <c r="A658" t="inlineStr">
        <is>
          <t>A 15173-2025</t>
        </is>
      </c>
      <c r="B658" s="1" t="n">
        <v>45744.50858796296</v>
      </c>
      <c r="C658" s="1" t="n">
        <v>45890</v>
      </c>
      <c r="D658" t="inlineStr">
        <is>
          <t>DALARNAS LÄN</t>
        </is>
      </c>
      <c r="E658" t="inlineStr">
        <is>
          <t>LEKSAND</t>
        </is>
      </c>
      <c r="G658" t="n">
        <v>0.3</v>
      </c>
      <c r="H658" t="n">
        <v>0</v>
      </c>
      <c r="I658" t="n">
        <v>0</v>
      </c>
      <c r="J658" t="n">
        <v>0</v>
      </c>
      <c r="K658" t="n">
        <v>0</v>
      </c>
      <c r="L658" t="n">
        <v>0</v>
      </c>
      <c r="M658" t="n">
        <v>0</v>
      </c>
      <c r="N658" t="n">
        <v>0</v>
      </c>
      <c r="O658" t="n">
        <v>0</v>
      </c>
      <c r="P658" t="n">
        <v>0</v>
      </c>
      <c r="Q658" t="n">
        <v>0</v>
      </c>
      <c r="R658" s="2" t="inlineStr"/>
    </row>
    <row r="659" ht="15" customHeight="1">
      <c r="A659" t="inlineStr">
        <is>
          <t>A 61054-2023</t>
        </is>
      </c>
      <c r="B659" s="1" t="n">
        <v>45261</v>
      </c>
      <c r="C659" s="1" t="n">
        <v>45890</v>
      </c>
      <c r="D659" t="inlineStr">
        <is>
          <t>DALARNAS LÄN</t>
        </is>
      </c>
      <c r="E659" t="inlineStr">
        <is>
          <t>LEKSAND</t>
        </is>
      </c>
      <c r="G659" t="n">
        <v>0.4</v>
      </c>
      <c r="H659" t="n">
        <v>0</v>
      </c>
      <c r="I659" t="n">
        <v>0</v>
      </c>
      <c r="J659" t="n">
        <v>0</v>
      </c>
      <c r="K659" t="n">
        <v>0</v>
      </c>
      <c r="L659" t="n">
        <v>0</v>
      </c>
      <c r="M659" t="n">
        <v>0</v>
      </c>
      <c r="N659" t="n">
        <v>0</v>
      </c>
      <c r="O659" t="n">
        <v>0</v>
      </c>
      <c r="P659" t="n">
        <v>0</v>
      </c>
      <c r="Q659" t="n">
        <v>0</v>
      </c>
      <c r="R659" s="2" t="inlineStr"/>
    </row>
    <row r="660" ht="15" customHeight="1">
      <c r="A660" t="inlineStr">
        <is>
          <t>A 61056-2023</t>
        </is>
      </c>
      <c r="B660" s="1" t="n">
        <v>45261</v>
      </c>
      <c r="C660" s="1" t="n">
        <v>45890</v>
      </c>
      <c r="D660" t="inlineStr">
        <is>
          <t>DALARNAS LÄN</t>
        </is>
      </c>
      <c r="E660" t="inlineStr">
        <is>
          <t>LEKSAND</t>
        </is>
      </c>
      <c r="G660" t="n">
        <v>0.3</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45890</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58619-2022</t>
        </is>
      </c>
      <c r="B662" s="1" t="n">
        <v>44902.59579861111</v>
      </c>
      <c r="C662" s="1" t="n">
        <v>45890</v>
      </c>
      <c r="D662" t="inlineStr">
        <is>
          <t>DALARNAS LÄN</t>
        </is>
      </c>
      <c r="E662" t="inlineStr">
        <is>
          <t>LEKSAND</t>
        </is>
      </c>
      <c r="G662" t="n">
        <v>0.9</v>
      </c>
      <c r="H662" t="n">
        <v>0</v>
      </c>
      <c r="I662" t="n">
        <v>0</v>
      </c>
      <c r="J662" t="n">
        <v>0</v>
      </c>
      <c r="K662" t="n">
        <v>0</v>
      </c>
      <c r="L662" t="n">
        <v>0</v>
      </c>
      <c r="M662" t="n">
        <v>0</v>
      </c>
      <c r="N662" t="n">
        <v>0</v>
      </c>
      <c r="O662" t="n">
        <v>0</v>
      </c>
      <c r="P662" t="n">
        <v>0</v>
      </c>
      <c r="Q662" t="n">
        <v>0</v>
      </c>
      <c r="R662" s="2" t="inlineStr"/>
    </row>
    <row r="663" ht="15" customHeight="1">
      <c r="A663" t="inlineStr">
        <is>
          <t>A 6846-2023</t>
        </is>
      </c>
      <c r="B663" s="1" t="n">
        <v>44967.43953703704</v>
      </c>
      <c r="C663" s="1" t="n">
        <v>45890</v>
      </c>
      <c r="D663" t="inlineStr">
        <is>
          <t>DALARNAS LÄN</t>
        </is>
      </c>
      <c r="E663" t="inlineStr">
        <is>
          <t>LEKSAND</t>
        </is>
      </c>
      <c r="F663" t="inlineStr">
        <is>
          <t>Bergvik skog väst AB</t>
        </is>
      </c>
      <c r="G663" t="n">
        <v>1</v>
      </c>
      <c r="H663" t="n">
        <v>0</v>
      </c>
      <c r="I663" t="n">
        <v>0</v>
      </c>
      <c r="J663" t="n">
        <v>0</v>
      </c>
      <c r="K663" t="n">
        <v>0</v>
      </c>
      <c r="L663" t="n">
        <v>0</v>
      </c>
      <c r="M663" t="n">
        <v>0</v>
      </c>
      <c r="N663" t="n">
        <v>0</v>
      </c>
      <c r="O663" t="n">
        <v>0</v>
      </c>
      <c r="P663" t="n">
        <v>0</v>
      </c>
      <c r="Q663" t="n">
        <v>0</v>
      </c>
      <c r="R663" s="2" t="inlineStr"/>
    </row>
    <row r="664" ht="15" customHeight="1">
      <c r="A664" t="inlineStr">
        <is>
          <t>A 17413-2023</t>
        </is>
      </c>
      <c r="B664" s="1" t="n">
        <v>45035</v>
      </c>
      <c r="C664" s="1" t="n">
        <v>45890</v>
      </c>
      <c r="D664" t="inlineStr">
        <is>
          <t>DALARNAS LÄN</t>
        </is>
      </c>
      <c r="E664" t="inlineStr">
        <is>
          <t>LEKSAND</t>
        </is>
      </c>
      <c r="G664" t="n">
        <v>1.7</v>
      </c>
      <c r="H664" t="n">
        <v>0</v>
      </c>
      <c r="I664" t="n">
        <v>0</v>
      </c>
      <c r="J664" t="n">
        <v>0</v>
      </c>
      <c r="K664" t="n">
        <v>0</v>
      </c>
      <c r="L664" t="n">
        <v>0</v>
      </c>
      <c r="M664" t="n">
        <v>0</v>
      </c>
      <c r="N664" t="n">
        <v>0</v>
      </c>
      <c r="O664" t="n">
        <v>0</v>
      </c>
      <c r="P664" t="n">
        <v>0</v>
      </c>
      <c r="Q664" t="n">
        <v>0</v>
      </c>
      <c r="R664" s="2" t="inlineStr"/>
    </row>
    <row r="665" ht="15" customHeight="1">
      <c r="A665" t="inlineStr">
        <is>
          <t>A 1775-2022</t>
        </is>
      </c>
      <c r="B665" s="1" t="n">
        <v>44574</v>
      </c>
      <c r="C665" s="1" t="n">
        <v>45890</v>
      </c>
      <c r="D665" t="inlineStr">
        <is>
          <t>DALARNAS LÄN</t>
        </is>
      </c>
      <c r="E665" t="inlineStr">
        <is>
          <t>LEKSAND</t>
        </is>
      </c>
      <c r="G665" t="n">
        <v>2</v>
      </c>
      <c r="H665" t="n">
        <v>0</v>
      </c>
      <c r="I665" t="n">
        <v>0</v>
      </c>
      <c r="J665" t="n">
        <v>0</v>
      </c>
      <c r="K665" t="n">
        <v>0</v>
      </c>
      <c r="L665" t="n">
        <v>0</v>
      </c>
      <c r="M665" t="n">
        <v>0</v>
      </c>
      <c r="N665" t="n">
        <v>0</v>
      </c>
      <c r="O665" t="n">
        <v>0</v>
      </c>
      <c r="P665" t="n">
        <v>0</v>
      </c>
      <c r="Q665" t="n">
        <v>0</v>
      </c>
      <c r="R665" s="2" t="inlineStr"/>
    </row>
    <row r="666" ht="15" customHeight="1">
      <c r="A666" t="inlineStr">
        <is>
          <t>A 56753-2023</t>
        </is>
      </c>
      <c r="B666" s="1" t="n">
        <v>45244.37094907407</v>
      </c>
      <c r="C666" s="1" t="n">
        <v>45890</v>
      </c>
      <c r="D666" t="inlineStr">
        <is>
          <t>DALARNAS LÄN</t>
        </is>
      </c>
      <c r="E666" t="inlineStr">
        <is>
          <t>LEKSAND</t>
        </is>
      </c>
      <c r="G666" t="n">
        <v>0.5</v>
      </c>
      <c r="H666" t="n">
        <v>0</v>
      </c>
      <c r="I666" t="n">
        <v>0</v>
      </c>
      <c r="J666" t="n">
        <v>0</v>
      </c>
      <c r="K666" t="n">
        <v>0</v>
      </c>
      <c r="L666" t="n">
        <v>0</v>
      </c>
      <c r="M666" t="n">
        <v>0</v>
      </c>
      <c r="N666" t="n">
        <v>0</v>
      </c>
      <c r="O666" t="n">
        <v>0</v>
      </c>
      <c r="P666" t="n">
        <v>0</v>
      </c>
      <c r="Q666" t="n">
        <v>0</v>
      </c>
      <c r="R666" s="2" t="inlineStr"/>
    </row>
    <row r="667" ht="15" customHeight="1">
      <c r="A667" t="inlineStr">
        <is>
          <t>A 18049-2025</t>
        </is>
      </c>
      <c r="B667" s="1" t="n">
        <v>45761.46743055555</v>
      </c>
      <c r="C667" s="1" t="n">
        <v>45890</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776-2021</t>
        </is>
      </c>
      <c r="B668" s="1" t="n">
        <v>44203</v>
      </c>
      <c r="C668" s="1" t="n">
        <v>45890</v>
      </c>
      <c r="D668" t="inlineStr">
        <is>
          <t>DALARNAS LÄN</t>
        </is>
      </c>
      <c r="E668" t="inlineStr">
        <is>
          <t>LEKSAND</t>
        </is>
      </c>
      <c r="G668" t="n">
        <v>21</v>
      </c>
      <c r="H668" t="n">
        <v>0</v>
      </c>
      <c r="I668" t="n">
        <v>0</v>
      </c>
      <c r="J668" t="n">
        <v>0</v>
      </c>
      <c r="K668" t="n">
        <v>0</v>
      </c>
      <c r="L668" t="n">
        <v>0</v>
      </c>
      <c r="M668" t="n">
        <v>0</v>
      </c>
      <c r="N668" t="n">
        <v>0</v>
      </c>
      <c r="O668" t="n">
        <v>0</v>
      </c>
      <c r="P668" t="n">
        <v>0</v>
      </c>
      <c r="Q668" t="n">
        <v>0</v>
      </c>
      <c r="R668" s="2" t="inlineStr"/>
    </row>
    <row r="669" ht="15" customHeight="1">
      <c r="A669" t="inlineStr">
        <is>
          <t>A 43077-2024</t>
        </is>
      </c>
      <c r="B669" s="1" t="n">
        <v>45567.50030092592</v>
      </c>
      <c r="C669" s="1" t="n">
        <v>45890</v>
      </c>
      <c r="D669" t="inlineStr">
        <is>
          <t>DALARNAS LÄN</t>
        </is>
      </c>
      <c r="E669" t="inlineStr">
        <is>
          <t>LEKSAND</t>
        </is>
      </c>
      <c r="G669" t="n">
        <v>1.6</v>
      </c>
      <c r="H669" t="n">
        <v>0</v>
      </c>
      <c r="I669" t="n">
        <v>0</v>
      </c>
      <c r="J669" t="n">
        <v>0</v>
      </c>
      <c r="K669" t="n">
        <v>0</v>
      </c>
      <c r="L669" t="n">
        <v>0</v>
      </c>
      <c r="M669" t="n">
        <v>0</v>
      </c>
      <c r="N669" t="n">
        <v>0</v>
      </c>
      <c r="O669" t="n">
        <v>0</v>
      </c>
      <c r="P669" t="n">
        <v>0</v>
      </c>
      <c r="Q669" t="n">
        <v>0</v>
      </c>
      <c r="R669" s="2" t="inlineStr"/>
    </row>
    <row r="670" ht="15" customHeight="1">
      <c r="A670" t="inlineStr">
        <is>
          <t>A 57899-2024</t>
        </is>
      </c>
      <c r="B670" s="1" t="n">
        <v>45630</v>
      </c>
      <c r="C670" s="1" t="n">
        <v>45890</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60873-2023</t>
        </is>
      </c>
      <c r="B671" s="1" t="n">
        <v>45261.03266203704</v>
      </c>
      <c r="C671" s="1" t="n">
        <v>45890</v>
      </c>
      <c r="D671" t="inlineStr">
        <is>
          <t>DALARNAS LÄN</t>
        </is>
      </c>
      <c r="E671" t="inlineStr">
        <is>
          <t>LEKSAND</t>
        </is>
      </c>
      <c r="G671" t="n">
        <v>5.2</v>
      </c>
      <c r="H671" t="n">
        <v>0</v>
      </c>
      <c r="I671" t="n">
        <v>0</v>
      </c>
      <c r="J671" t="n">
        <v>0</v>
      </c>
      <c r="K671" t="n">
        <v>0</v>
      </c>
      <c r="L671" t="n">
        <v>0</v>
      </c>
      <c r="M671" t="n">
        <v>0</v>
      </c>
      <c r="N671" t="n">
        <v>0</v>
      </c>
      <c r="O671" t="n">
        <v>0</v>
      </c>
      <c r="P671" t="n">
        <v>0</v>
      </c>
      <c r="Q671" t="n">
        <v>0</v>
      </c>
      <c r="R671" s="2" t="inlineStr"/>
    </row>
    <row r="672" ht="15" customHeight="1">
      <c r="A672" t="inlineStr">
        <is>
          <t>A 8045-2024</t>
        </is>
      </c>
      <c r="B672" s="1" t="n">
        <v>45351.31371527778</v>
      </c>
      <c r="C672" s="1" t="n">
        <v>45890</v>
      </c>
      <c r="D672" t="inlineStr">
        <is>
          <t>DALARNAS LÄN</t>
        </is>
      </c>
      <c r="E672" t="inlineStr">
        <is>
          <t>LEKSAND</t>
        </is>
      </c>
      <c r="G672" t="n">
        <v>6.7</v>
      </c>
      <c r="H672" t="n">
        <v>0</v>
      </c>
      <c r="I672" t="n">
        <v>0</v>
      </c>
      <c r="J672" t="n">
        <v>0</v>
      </c>
      <c r="K672" t="n">
        <v>0</v>
      </c>
      <c r="L672" t="n">
        <v>0</v>
      </c>
      <c r="M672" t="n">
        <v>0</v>
      </c>
      <c r="N672" t="n">
        <v>0</v>
      </c>
      <c r="O672" t="n">
        <v>0</v>
      </c>
      <c r="P672" t="n">
        <v>0</v>
      </c>
      <c r="Q672" t="n">
        <v>0</v>
      </c>
      <c r="R672" s="2" t="inlineStr"/>
    </row>
    <row r="673" ht="15" customHeight="1">
      <c r="A673" t="inlineStr">
        <is>
          <t>A 33001-2023</t>
        </is>
      </c>
      <c r="B673" s="1" t="n">
        <v>45125</v>
      </c>
      <c r="C673" s="1" t="n">
        <v>45890</v>
      </c>
      <c r="D673" t="inlineStr">
        <is>
          <t>DALARNAS LÄN</t>
        </is>
      </c>
      <c r="E673" t="inlineStr">
        <is>
          <t>LEKSAND</t>
        </is>
      </c>
      <c r="F673" t="inlineStr">
        <is>
          <t>Bergvik skog väst AB</t>
        </is>
      </c>
      <c r="G673" t="n">
        <v>3</v>
      </c>
      <c r="H673" t="n">
        <v>0</v>
      </c>
      <c r="I673" t="n">
        <v>0</v>
      </c>
      <c r="J673" t="n">
        <v>0</v>
      </c>
      <c r="K673" t="n">
        <v>0</v>
      </c>
      <c r="L673" t="n">
        <v>0</v>
      </c>
      <c r="M673" t="n">
        <v>0</v>
      </c>
      <c r="N673" t="n">
        <v>0</v>
      </c>
      <c r="O673" t="n">
        <v>0</v>
      </c>
      <c r="P673" t="n">
        <v>0</v>
      </c>
      <c r="Q673" t="n">
        <v>0</v>
      </c>
      <c r="R673" s="2" t="inlineStr"/>
    </row>
    <row r="674" ht="15" customHeight="1">
      <c r="A674" t="inlineStr">
        <is>
          <t>A 1946-2024</t>
        </is>
      </c>
      <c r="B674" s="1" t="n">
        <v>45308</v>
      </c>
      <c r="C674" s="1" t="n">
        <v>45890</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43234-2024</t>
        </is>
      </c>
      <c r="B675" s="1" t="n">
        <v>45567.92238425926</v>
      </c>
      <c r="C675" s="1" t="n">
        <v>45890</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12581-2025</t>
        </is>
      </c>
      <c r="B676" s="1" t="n">
        <v>45732.62201388889</v>
      </c>
      <c r="C676" s="1" t="n">
        <v>45890</v>
      </c>
      <c r="D676" t="inlineStr">
        <is>
          <t>DALARNAS LÄN</t>
        </is>
      </c>
      <c r="E676" t="inlineStr">
        <is>
          <t>LEKSAND</t>
        </is>
      </c>
      <c r="G676" t="n">
        <v>5.1</v>
      </c>
      <c r="H676" t="n">
        <v>0</v>
      </c>
      <c r="I676" t="n">
        <v>0</v>
      </c>
      <c r="J676" t="n">
        <v>0</v>
      </c>
      <c r="K676" t="n">
        <v>0</v>
      </c>
      <c r="L676" t="n">
        <v>0</v>
      </c>
      <c r="M676" t="n">
        <v>0</v>
      </c>
      <c r="N676" t="n">
        <v>0</v>
      </c>
      <c r="O676" t="n">
        <v>0</v>
      </c>
      <c r="P676" t="n">
        <v>0</v>
      </c>
      <c r="Q676" t="n">
        <v>0</v>
      </c>
      <c r="R676" s="2" t="inlineStr"/>
    </row>
    <row r="677" ht="15" customHeight="1">
      <c r="A677" t="inlineStr">
        <is>
          <t>A 12620-2025</t>
        </is>
      </c>
      <c r="B677" s="1" t="n">
        <v>45733.35498842593</v>
      </c>
      <c r="C677" s="1" t="n">
        <v>45890</v>
      </c>
      <c r="D677" t="inlineStr">
        <is>
          <t>DALARNAS LÄN</t>
        </is>
      </c>
      <c r="E677" t="inlineStr">
        <is>
          <t>LEKSAND</t>
        </is>
      </c>
      <c r="F677" t="inlineStr">
        <is>
          <t>Bergvik skog väst AB</t>
        </is>
      </c>
      <c r="G677" t="n">
        <v>3.9</v>
      </c>
      <c r="H677" t="n">
        <v>0</v>
      </c>
      <c r="I677" t="n">
        <v>0</v>
      </c>
      <c r="J677" t="n">
        <v>0</v>
      </c>
      <c r="K677" t="n">
        <v>0</v>
      </c>
      <c r="L677" t="n">
        <v>0</v>
      </c>
      <c r="M677" t="n">
        <v>0</v>
      </c>
      <c r="N677" t="n">
        <v>0</v>
      </c>
      <c r="O677" t="n">
        <v>0</v>
      </c>
      <c r="P677" t="n">
        <v>0</v>
      </c>
      <c r="Q677" t="n">
        <v>0</v>
      </c>
      <c r="R677" s="2" t="inlineStr"/>
    </row>
    <row r="678" ht="15" customHeight="1">
      <c r="A678" t="inlineStr">
        <is>
          <t>A 12623-2025</t>
        </is>
      </c>
      <c r="B678" s="1" t="n">
        <v>45733.36079861111</v>
      </c>
      <c r="C678" s="1" t="n">
        <v>45890</v>
      </c>
      <c r="D678" t="inlineStr">
        <is>
          <t>DALARNAS LÄN</t>
        </is>
      </c>
      <c r="E678" t="inlineStr">
        <is>
          <t>LEKSAND</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27445-2024</t>
        </is>
      </c>
      <c r="B679" s="1" t="n">
        <v>45474.42474537037</v>
      </c>
      <c r="C679" s="1" t="n">
        <v>45890</v>
      </c>
      <c r="D679" t="inlineStr">
        <is>
          <t>DALARNAS LÄN</t>
        </is>
      </c>
      <c r="E679" t="inlineStr">
        <is>
          <t>LEKSAND</t>
        </is>
      </c>
      <c r="G679" t="n">
        <v>0.7</v>
      </c>
      <c r="H679" t="n">
        <v>0</v>
      </c>
      <c r="I679" t="n">
        <v>0</v>
      </c>
      <c r="J679" t="n">
        <v>0</v>
      </c>
      <c r="K679" t="n">
        <v>0</v>
      </c>
      <c r="L679" t="n">
        <v>0</v>
      </c>
      <c r="M679" t="n">
        <v>0</v>
      </c>
      <c r="N679" t="n">
        <v>0</v>
      </c>
      <c r="O679" t="n">
        <v>0</v>
      </c>
      <c r="P679" t="n">
        <v>0</v>
      </c>
      <c r="Q679" t="n">
        <v>0</v>
      </c>
      <c r="R679" s="2" t="inlineStr"/>
    </row>
    <row r="680" ht="15" customHeight="1">
      <c r="A680" t="inlineStr">
        <is>
          <t>A 32394-2024</t>
        </is>
      </c>
      <c r="B680" s="1" t="n">
        <v>45512.64349537037</v>
      </c>
      <c r="C680" s="1" t="n">
        <v>45890</v>
      </c>
      <c r="D680" t="inlineStr">
        <is>
          <t>DALARNAS LÄN</t>
        </is>
      </c>
      <c r="E680" t="inlineStr">
        <is>
          <t>LEKSAND</t>
        </is>
      </c>
      <c r="F680" t="inlineStr">
        <is>
          <t>Bergvik skog väst AB</t>
        </is>
      </c>
      <c r="G680" t="n">
        <v>6</v>
      </c>
      <c r="H680" t="n">
        <v>0</v>
      </c>
      <c r="I680" t="n">
        <v>0</v>
      </c>
      <c r="J680" t="n">
        <v>0</v>
      </c>
      <c r="K680" t="n">
        <v>0</v>
      </c>
      <c r="L680" t="n">
        <v>0</v>
      </c>
      <c r="M680" t="n">
        <v>0</v>
      </c>
      <c r="N680" t="n">
        <v>0</v>
      </c>
      <c r="O680" t="n">
        <v>0</v>
      </c>
      <c r="P680" t="n">
        <v>0</v>
      </c>
      <c r="Q680" t="n">
        <v>0</v>
      </c>
      <c r="R680" s="2" t="inlineStr"/>
    </row>
    <row r="681" ht="15" customHeight="1">
      <c r="A681" t="inlineStr">
        <is>
          <t>A 11015-2022</t>
        </is>
      </c>
      <c r="B681" s="1" t="n">
        <v>44628.52340277778</v>
      </c>
      <c r="C681" s="1" t="n">
        <v>45890</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40752-2024</t>
        </is>
      </c>
      <c r="B682" s="1" t="n">
        <v>45558.45638888889</v>
      </c>
      <c r="C682" s="1" t="n">
        <v>45890</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15882-2023</t>
        </is>
      </c>
      <c r="B683" s="1" t="n">
        <v>45022</v>
      </c>
      <c r="C683" s="1" t="n">
        <v>45890</v>
      </c>
      <c r="D683" t="inlineStr">
        <is>
          <t>DALARNAS LÄN</t>
        </is>
      </c>
      <c r="E683" t="inlineStr">
        <is>
          <t>LEKSAND</t>
        </is>
      </c>
      <c r="G683" t="n">
        <v>0.1</v>
      </c>
      <c r="H683" t="n">
        <v>0</v>
      </c>
      <c r="I683" t="n">
        <v>0</v>
      </c>
      <c r="J683" t="n">
        <v>0</v>
      </c>
      <c r="K683" t="n">
        <v>0</v>
      </c>
      <c r="L683" t="n">
        <v>0</v>
      </c>
      <c r="M683" t="n">
        <v>0</v>
      </c>
      <c r="N683" t="n">
        <v>0</v>
      </c>
      <c r="O683" t="n">
        <v>0</v>
      </c>
      <c r="P683" t="n">
        <v>0</v>
      </c>
      <c r="Q683" t="n">
        <v>0</v>
      </c>
      <c r="R683" s="2" t="inlineStr"/>
    </row>
    <row r="684" ht="15" customHeight="1">
      <c r="A684" t="inlineStr">
        <is>
          <t>A 5583-2024</t>
        </is>
      </c>
      <c r="B684" s="1" t="n">
        <v>45334</v>
      </c>
      <c r="C684" s="1" t="n">
        <v>45890</v>
      </c>
      <c r="D684" t="inlineStr">
        <is>
          <t>DALARNAS LÄN</t>
        </is>
      </c>
      <c r="E684" t="inlineStr">
        <is>
          <t>LEKSAND</t>
        </is>
      </c>
      <c r="F684" t="inlineStr">
        <is>
          <t>Kyrkan</t>
        </is>
      </c>
      <c r="G684" t="n">
        <v>0.4</v>
      </c>
      <c r="H684" t="n">
        <v>0</v>
      </c>
      <c r="I684" t="n">
        <v>0</v>
      </c>
      <c r="J684" t="n">
        <v>0</v>
      </c>
      <c r="K684" t="n">
        <v>0</v>
      </c>
      <c r="L684" t="n">
        <v>0</v>
      </c>
      <c r="M684" t="n">
        <v>0</v>
      </c>
      <c r="N684" t="n">
        <v>0</v>
      </c>
      <c r="O684" t="n">
        <v>0</v>
      </c>
      <c r="P684" t="n">
        <v>0</v>
      </c>
      <c r="Q684" t="n">
        <v>0</v>
      </c>
      <c r="R684" s="2" t="inlineStr"/>
    </row>
    <row r="685" ht="15" customHeight="1">
      <c r="A685" t="inlineStr">
        <is>
          <t>A 56950-2024</t>
        </is>
      </c>
      <c r="B685" s="1" t="n">
        <v>45625</v>
      </c>
      <c r="C685" s="1" t="n">
        <v>45890</v>
      </c>
      <c r="D685" t="inlineStr">
        <is>
          <t>DALARNAS LÄN</t>
        </is>
      </c>
      <c r="E685" t="inlineStr">
        <is>
          <t>LEKSAND</t>
        </is>
      </c>
      <c r="G685" t="n">
        <v>1</v>
      </c>
      <c r="H685" t="n">
        <v>0</v>
      </c>
      <c r="I685" t="n">
        <v>0</v>
      </c>
      <c r="J685" t="n">
        <v>0</v>
      </c>
      <c r="K685" t="n">
        <v>0</v>
      </c>
      <c r="L685" t="n">
        <v>0</v>
      </c>
      <c r="M685" t="n">
        <v>0</v>
      </c>
      <c r="N685" t="n">
        <v>0</v>
      </c>
      <c r="O685" t="n">
        <v>0</v>
      </c>
      <c r="P685" t="n">
        <v>0</v>
      </c>
      <c r="Q685" t="n">
        <v>0</v>
      </c>
      <c r="R685" s="2" t="inlineStr"/>
    </row>
    <row r="686" ht="15" customHeight="1">
      <c r="A686" t="inlineStr">
        <is>
          <t>A 15120-2023</t>
        </is>
      </c>
      <c r="B686" s="1" t="n">
        <v>45016.46484953703</v>
      </c>
      <c r="C686" s="1" t="n">
        <v>45890</v>
      </c>
      <c r="D686" t="inlineStr">
        <is>
          <t>DALARNAS LÄN</t>
        </is>
      </c>
      <c r="E686" t="inlineStr">
        <is>
          <t>LEKSAND</t>
        </is>
      </c>
      <c r="G686" t="n">
        <v>2.7</v>
      </c>
      <c r="H686" t="n">
        <v>0</v>
      </c>
      <c r="I686" t="n">
        <v>0</v>
      </c>
      <c r="J686" t="n">
        <v>0</v>
      </c>
      <c r="K686" t="n">
        <v>0</v>
      </c>
      <c r="L686" t="n">
        <v>0</v>
      </c>
      <c r="M686" t="n">
        <v>0</v>
      </c>
      <c r="N686" t="n">
        <v>0</v>
      </c>
      <c r="O686" t="n">
        <v>0</v>
      </c>
      <c r="P686" t="n">
        <v>0</v>
      </c>
      <c r="Q686" t="n">
        <v>0</v>
      </c>
      <c r="R686" s="2" t="inlineStr"/>
    </row>
    <row r="687" ht="15" customHeight="1">
      <c r="A687" t="inlineStr">
        <is>
          <t>A 43693-2022</t>
        </is>
      </c>
      <c r="B687" s="1" t="n">
        <v>44837.6369212963</v>
      </c>
      <c r="C687" s="1" t="n">
        <v>45890</v>
      </c>
      <c r="D687" t="inlineStr">
        <is>
          <t>DALARNAS LÄN</t>
        </is>
      </c>
      <c r="E687" t="inlineStr">
        <is>
          <t>LEKSAND</t>
        </is>
      </c>
      <c r="G687" t="n">
        <v>2.7</v>
      </c>
      <c r="H687" t="n">
        <v>0</v>
      </c>
      <c r="I687" t="n">
        <v>0</v>
      </c>
      <c r="J687" t="n">
        <v>0</v>
      </c>
      <c r="K687" t="n">
        <v>0</v>
      </c>
      <c r="L687" t="n">
        <v>0</v>
      </c>
      <c r="M687" t="n">
        <v>0</v>
      </c>
      <c r="N687" t="n">
        <v>0</v>
      </c>
      <c r="O687" t="n">
        <v>0</v>
      </c>
      <c r="P687" t="n">
        <v>0</v>
      </c>
      <c r="Q687" t="n">
        <v>0</v>
      </c>
      <c r="R687" s="2" t="inlineStr"/>
    </row>
    <row r="688" ht="15" customHeight="1">
      <c r="A688" t="inlineStr">
        <is>
          <t>A 5453-2025</t>
        </is>
      </c>
      <c r="B688" s="1" t="n">
        <v>45692.95231481481</v>
      </c>
      <c r="C688" s="1" t="n">
        <v>45890</v>
      </c>
      <c r="D688" t="inlineStr">
        <is>
          <t>DALARNAS LÄN</t>
        </is>
      </c>
      <c r="E688" t="inlineStr">
        <is>
          <t>LEKSAND</t>
        </is>
      </c>
      <c r="G688" t="n">
        <v>2.2</v>
      </c>
      <c r="H688" t="n">
        <v>0</v>
      </c>
      <c r="I688" t="n">
        <v>0</v>
      </c>
      <c r="J688" t="n">
        <v>0</v>
      </c>
      <c r="K688" t="n">
        <v>0</v>
      </c>
      <c r="L688" t="n">
        <v>0</v>
      </c>
      <c r="M688" t="n">
        <v>0</v>
      </c>
      <c r="N688" t="n">
        <v>0</v>
      </c>
      <c r="O688" t="n">
        <v>0</v>
      </c>
      <c r="P688" t="n">
        <v>0</v>
      </c>
      <c r="Q688" t="n">
        <v>0</v>
      </c>
      <c r="R688" s="2" t="inlineStr"/>
    </row>
    <row r="689" ht="15" customHeight="1">
      <c r="A689" t="inlineStr">
        <is>
          <t>A 3352-2024</t>
        </is>
      </c>
      <c r="B689" s="1" t="n">
        <v>45317</v>
      </c>
      <c r="C689" s="1" t="n">
        <v>45890</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52755-2024</t>
        </is>
      </c>
      <c r="B690" s="1" t="n">
        <v>45610.50217592593</v>
      </c>
      <c r="C690" s="1" t="n">
        <v>45890</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13165-2023</t>
        </is>
      </c>
      <c r="B691" s="1" t="n">
        <v>45002.57731481481</v>
      </c>
      <c r="C691" s="1" t="n">
        <v>45890</v>
      </c>
      <c r="D691" t="inlineStr">
        <is>
          <t>DALARNAS LÄN</t>
        </is>
      </c>
      <c r="E691" t="inlineStr">
        <is>
          <t>LEKSAND</t>
        </is>
      </c>
      <c r="G691" t="n">
        <v>2.4</v>
      </c>
      <c r="H691" t="n">
        <v>0</v>
      </c>
      <c r="I691" t="n">
        <v>0</v>
      </c>
      <c r="J691" t="n">
        <v>0</v>
      </c>
      <c r="K691" t="n">
        <v>0</v>
      </c>
      <c r="L691" t="n">
        <v>0</v>
      </c>
      <c r="M691" t="n">
        <v>0</v>
      </c>
      <c r="N691" t="n">
        <v>0</v>
      </c>
      <c r="O691" t="n">
        <v>0</v>
      </c>
      <c r="P691" t="n">
        <v>0</v>
      </c>
      <c r="Q691" t="n">
        <v>0</v>
      </c>
      <c r="R691" s="2" t="inlineStr"/>
    </row>
    <row r="692" ht="15" customHeight="1">
      <c r="A692" t="inlineStr">
        <is>
          <t>A 39620-2024</t>
        </is>
      </c>
      <c r="B692" s="1" t="n">
        <v>45552.43163194445</v>
      </c>
      <c r="C692" s="1" t="n">
        <v>45890</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30204-2024</t>
        </is>
      </c>
      <c r="B693" s="1" t="n">
        <v>45490.35402777778</v>
      </c>
      <c r="C693" s="1" t="n">
        <v>45890</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6050-2023</t>
        </is>
      </c>
      <c r="B694" s="1" t="n">
        <v>44959</v>
      </c>
      <c r="C694" s="1" t="n">
        <v>45890</v>
      </c>
      <c r="D694" t="inlineStr">
        <is>
          <t>DALARNAS LÄN</t>
        </is>
      </c>
      <c r="E694" t="inlineStr">
        <is>
          <t>LEKSAND</t>
        </is>
      </c>
      <c r="G694" t="n">
        <v>6.2</v>
      </c>
      <c r="H694" t="n">
        <v>0</v>
      </c>
      <c r="I694" t="n">
        <v>0</v>
      </c>
      <c r="J694" t="n">
        <v>0</v>
      </c>
      <c r="K694" t="n">
        <v>0</v>
      </c>
      <c r="L694" t="n">
        <v>0</v>
      </c>
      <c r="M694" t="n">
        <v>0</v>
      </c>
      <c r="N694" t="n">
        <v>0</v>
      </c>
      <c r="O694" t="n">
        <v>0</v>
      </c>
      <c r="P694" t="n">
        <v>0</v>
      </c>
      <c r="Q694" t="n">
        <v>0</v>
      </c>
      <c r="R694" s="2" t="inlineStr"/>
    </row>
    <row r="695" ht="15" customHeight="1">
      <c r="A695" t="inlineStr">
        <is>
          <t>A 17730-2024</t>
        </is>
      </c>
      <c r="B695" s="1" t="n">
        <v>45418</v>
      </c>
      <c r="C695" s="1" t="n">
        <v>45890</v>
      </c>
      <c r="D695" t="inlineStr">
        <is>
          <t>DALARNAS LÄN</t>
        </is>
      </c>
      <c r="E695" t="inlineStr">
        <is>
          <t>LEKSAND</t>
        </is>
      </c>
      <c r="G695" t="n">
        <v>2.4</v>
      </c>
      <c r="H695" t="n">
        <v>0</v>
      </c>
      <c r="I695" t="n">
        <v>0</v>
      </c>
      <c r="J695" t="n">
        <v>0</v>
      </c>
      <c r="K695" t="n">
        <v>0</v>
      </c>
      <c r="L695" t="n">
        <v>0</v>
      </c>
      <c r="M695" t="n">
        <v>0</v>
      </c>
      <c r="N695" t="n">
        <v>0</v>
      </c>
      <c r="O695" t="n">
        <v>0</v>
      </c>
      <c r="P695" t="n">
        <v>0</v>
      </c>
      <c r="Q695" t="n">
        <v>0</v>
      </c>
      <c r="R695" s="2" t="inlineStr"/>
    </row>
    <row r="696" ht="15" customHeight="1">
      <c r="A696" t="inlineStr">
        <is>
          <t>A 20946-2023</t>
        </is>
      </c>
      <c r="B696" s="1" t="n">
        <v>45061</v>
      </c>
      <c r="C696" s="1" t="n">
        <v>45890</v>
      </c>
      <c r="D696" t="inlineStr">
        <is>
          <t>DALARNAS LÄN</t>
        </is>
      </c>
      <c r="E696" t="inlineStr">
        <is>
          <t>LEKSAND</t>
        </is>
      </c>
      <c r="G696" t="n">
        <v>2.7</v>
      </c>
      <c r="H696" t="n">
        <v>0</v>
      </c>
      <c r="I696" t="n">
        <v>0</v>
      </c>
      <c r="J696" t="n">
        <v>0</v>
      </c>
      <c r="K696" t="n">
        <v>0</v>
      </c>
      <c r="L696" t="n">
        <v>0</v>
      </c>
      <c r="M696" t="n">
        <v>0</v>
      </c>
      <c r="N696" t="n">
        <v>0</v>
      </c>
      <c r="O696" t="n">
        <v>0</v>
      </c>
      <c r="P696" t="n">
        <v>0</v>
      </c>
      <c r="Q696" t="n">
        <v>0</v>
      </c>
      <c r="R696" s="2" t="inlineStr"/>
    </row>
    <row r="697" ht="15" customHeight="1">
      <c r="A697" t="inlineStr">
        <is>
          <t>A 16748-2025</t>
        </is>
      </c>
      <c r="B697" s="1" t="n">
        <v>45754</v>
      </c>
      <c r="C697" s="1" t="n">
        <v>45890</v>
      </c>
      <c r="D697" t="inlineStr">
        <is>
          <t>DALARNAS LÄN</t>
        </is>
      </c>
      <c r="E697" t="inlineStr">
        <is>
          <t>LEKSAND</t>
        </is>
      </c>
      <c r="F697" t="inlineStr">
        <is>
          <t>Bergvik skog väst AB</t>
        </is>
      </c>
      <c r="G697" t="n">
        <v>2.9</v>
      </c>
      <c r="H697" t="n">
        <v>0</v>
      </c>
      <c r="I697" t="n">
        <v>0</v>
      </c>
      <c r="J697" t="n">
        <v>0</v>
      </c>
      <c r="K697" t="n">
        <v>0</v>
      </c>
      <c r="L697" t="n">
        <v>0</v>
      </c>
      <c r="M697" t="n">
        <v>0</v>
      </c>
      <c r="N697" t="n">
        <v>0</v>
      </c>
      <c r="O697" t="n">
        <v>0</v>
      </c>
      <c r="P697" t="n">
        <v>0</v>
      </c>
      <c r="Q697" t="n">
        <v>0</v>
      </c>
      <c r="R697" s="2" t="inlineStr"/>
    </row>
    <row r="698" ht="15" customHeight="1">
      <c r="A698" t="inlineStr">
        <is>
          <t>A 34039-2024</t>
        </is>
      </c>
      <c r="B698" s="1" t="n">
        <v>45523.5974537037</v>
      </c>
      <c r="C698" s="1" t="n">
        <v>45890</v>
      </c>
      <c r="D698" t="inlineStr">
        <is>
          <t>DALARNAS LÄN</t>
        </is>
      </c>
      <c r="E698" t="inlineStr">
        <is>
          <t>LEKSAND</t>
        </is>
      </c>
      <c r="G698" t="n">
        <v>7.1</v>
      </c>
      <c r="H698" t="n">
        <v>0</v>
      </c>
      <c r="I698" t="n">
        <v>0</v>
      </c>
      <c r="J698" t="n">
        <v>0</v>
      </c>
      <c r="K698" t="n">
        <v>0</v>
      </c>
      <c r="L698" t="n">
        <v>0</v>
      </c>
      <c r="M698" t="n">
        <v>0</v>
      </c>
      <c r="N698" t="n">
        <v>0</v>
      </c>
      <c r="O698" t="n">
        <v>0</v>
      </c>
      <c r="P698" t="n">
        <v>0</v>
      </c>
      <c r="Q698" t="n">
        <v>0</v>
      </c>
      <c r="R698" s="2" t="inlineStr"/>
    </row>
    <row r="699">
      <c r="A699" t="inlineStr">
        <is>
          <t>A 7759-2025</t>
        </is>
      </c>
      <c r="B699" s="1" t="n">
        <v>45706.53827546296</v>
      </c>
      <c r="C699" s="1" t="n">
        <v>45890</v>
      </c>
      <c r="D699" t="inlineStr">
        <is>
          <t>DALARNAS LÄN</t>
        </is>
      </c>
      <c r="E699" t="inlineStr">
        <is>
          <t>LEKSAND</t>
        </is>
      </c>
      <c r="G699" t="n">
        <v>3.3</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2025-08-21T08:31:41Z</dcterms:created>
  <dcterms:modified xmlns:dcterms="http://purl.org/dc/terms/" xmlns:xsi="http://www.w3.org/2001/XMLSchema-instance" xsi:type="dcterms:W3CDTF">2025-08-21T08:31:42Z</dcterms:modified>
</cp:coreProperties>
</file>