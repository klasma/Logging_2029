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45765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45765</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45765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45765</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45765</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45765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45765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45765</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45765</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45765</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45765</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45765</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45765</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45765</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45765</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45765</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45765</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45765</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45765</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45765</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45765</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45765</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45765</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45765</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45765</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45765</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45765</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45765</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45765</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45765</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45765</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45765</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45765</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45765</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18860-2025</t>
        </is>
      </c>
      <c r="B36" s="1" t="n">
        <v>45764</v>
      </c>
      <c r="C36" s="1" t="n">
        <v>45765</v>
      </c>
      <c r="D36" t="inlineStr">
        <is>
          <t>DALARNAS LÄN</t>
        </is>
      </c>
      <c r="E36" t="inlineStr">
        <is>
          <t>LEKSAND</t>
        </is>
      </c>
      <c r="G36" t="n">
        <v>5.8</v>
      </c>
      <c r="H36" t="n">
        <v>2</v>
      </c>
      <c r="I36" t="n">
        <v>0</v>
      </c>
      <c r="J36" t="n">
        <v>2</v>
      </c>
      <c r="K36" t="n">
        <v>0</v>
      </c>
      <c r="L36" t="n">
        <v>0</v>
      </c>
      <c r="M36" t="n">
        <v>0</v>
      </c>
      <c r="N36" t="n">
        <v>0</v>
      </c>
      <c r="O36" t="n">
        <v>2</v>
      </c>
      <c r="P36" t="n">
        <v>0</v>
      </c>
      <c r="Q36" t="n">
        <v>2</v>
      </c>
      <c r="R36" s="2" t="inlineStr">
        <is>
          <t>Entita
Järpe</t>
        </is>
      </c>
      <c r="S36">
        <f>HYPERLINK("https://klasma.github.io/Logging_202029/artfynd/A 18860-2025 artfynd.xlsx", "A 18860-2025")</f>
        <v/>
      </c>
      <c r="T36">
        <f>HYPERLINK("https://klasma.github.io/Logging_202029/kartor/A 18860-2025 karta.png", "A 18860-2025")</f>
        <v/>
      </c>
      <c r="V36">
        <f>HYPERLINK("https://klasma.github.io/Logging_202029/klagomål/A 18860-2025 FSC-klagomål.docx", "A 18860-2025")</f>
        <v/>
      </c>
      <c r="W36">
        <f>HYPERLINK("https://klasma.github.io/Logging_202029/klagomålsmail/A 18860-2025 FSC-klagomål mail.docx", "A 18860-2025")</f>
        <v/>
      </c>
      <c r="X36">
        <f>HYPERLINK("https://klasma.github.io/Logging_202029/tillsyn/A 18860-2025 tillsynsbegäran.docx", "A 18860-2025")</f>
        <v/>
      </c>
      <c r="Y36">
        <f>HYPERLINK("https://klasma.github.io/Logging_202029/tillsynsmail/A 18860-2025 tillsynsbegäran mail.docx", "A 18860-2025")</f>
        <v/>
      </c>
      <c r="Z36">
        <f>HYPERLINK("https://klasma.github.io/Logging_202029/fåglar/A 18860-2025 prioriterade fågelarter.docx", "A 18860-2025")</f>
        <v/>
      </c>
    </row>
    <row r="37" ht="15" customHeight="1">
      <c r="A37" t="inlineStr">
        <is>
          <t>A 36306-2020</t>
        </is>
      </c>
      <c r="B37" s="1" t="n">
        <v>44049</v>
      </c>
      <c r="C37" s="1" t="n">
        <v>45765</v>
      </c>
      <c r="D37" t="inlineStr">
        <is>
          <t>DALARNAS LÄN</t>
        </is>
      </c>
      <c r="E37" t="inlineStr">
        <is>
          <t>LEKSAND</t>
        </is>
      </c>
      <c r="G37" t="n">
        <v>0.6</v>
      </c>
      <c r="H37" t="n">
        <v>0</v>
      </c>
      <c r="I37" t="n">
        <v>0</v>
      </c>
      <c r="J37" t="n">
        <v>1</v>
      </c>
      <c r="K37" t="n">
        <v>0</v>
      </c>
      <c r="L37" t="n">
        <v>0</v>
      </c>
      <c r="M37" t="n">
        <v>0</v>
      </c>
      <c r="N37" t="n">
        <v>0</v>
      </c>
      <c r="O37" t="n">
        <v>1</v>
      </c>
      <c r="P37" t="n">
        <v>0</v>
      </c>
      <c r="Q37" t="n">
        <v>1</v>
      </c>
      <c r="R37" s="2" t="inlineStr">
        <is>
          <t>Igelkott</t>
        </is>
      </c>
      <c r="S37">
        <f>HYPERLINK("https://klasma.github.io/Logging_2029/artfynd/A 36306-2020 artfynd.xlsx", "A 36306-2020")</f>
        <v/>
      </c>
      <c r="T37">
        <f>HYPERLINK("https://klasma.github.io/Logging_2029/kartor/A 36306-2020 karta.png", "A 36306-2020")</f>
        <v/>
      </c>
      <c r="V37">
        <f>HYPERLINK("https://klasma.github.io/Logging_2029/klagomål/A 36306-2020 FSC-klagomål.docx", "A 36306-2020")</f>
        <v/>
      </c>
      <c r="W37">
        <f>HYPERLINK("https://klasma.github.io/Logging_2029/klagomålsmail/A 36306-2020 FSC-klagomål mail.docx", "A 36306-2020")</f>
        <v/>
      </c>
      <c r="X37">
        <f>HYPERLINK("https://klasma.github.io/Logging_2029/tillsyn/A 36306-2020 tillsynsbegäran.docx", "A 36306-2020")</f>
        <v/>
      </c>
      <c r="Y37">
        <f>HYPERLINK("https://klasma.github.io/Logging_2029/tillsynsmail/A 36306-2020 tillsynsbegäran mail.docx", "A 36306-2020")</f>
        <v/>
      </c>
    </row>
    <row r="38" ht="15" customHeight="1">
      <c r="A38" t="inlineStr">
        <is>
          <t>A 36549-2021</t>
        </is>
      </c>
      <c r="B38" s="1" t="n">
        <v>44391</v>
      </c>
      <c r="C38" s="1" t="n">
        <v>45765</v>
      </c>
      <c r="D38" t="inlineStr">
        <is>
          <t>DALARNAS LÄN</t>
        </is>
      </c>
      <c r="E38" t="inlineStr">
        <is>
          <t>LEKSAND</t>
        </is>
      </c>
      <c r="F38" t="inlineStr">
        <is>
          <t>Bergvik skog väst AB</t>
        </is>
      </c>
      <c r="G38" t="n">
        <v>5.9</v>
      </c>
      <c r="H38" t="n">
        <v>0</v>
      </c>
      <c r="I38" t="n">
        <v>1</v>
      </c>
      <c r="J38" t="n">
        <v>0</v>
      </c>
      <c r="K38" t="n">
        <v>0</v>
      </c>
      <c r="L38" t="n">
        <v>0</v>
      </c>
      <c r="M38" t="n">
        <v>0</v>
      </c>
      <c r="N38" t="n">
        <v>0</v>
      </c>
      <c r="O38" t="n">
        <v>0</v>
      </c>
      <c r="P38" t="n">
        <v>0</v>
      </c>
      <c r="Q38" t="n">
        <v>1</v>
      </c>
      <c r="R38" s="2" t="inlineStr">
        <is>
          <t>Dropptaggsvamp</t>
        </is>
      </c>
      <c r="S38">
        <f>HYPERLINK("https://klasma.github.io/Logging_2029/artfynd/A 36549-2021 artfynd.xlsx", "A 36549-2021")</f>
        <v/>
      </c>
      <c r="T38">
        <f>HYPERLINK("https://klasma.github.io/Logging_2029/kartor/A 36549-2021 karta.png", "A 36549-2021")</f>
        <v/>
      </c>
      <c r="V38">
        <f>HYPERLINK("https://klasma.github.io/Logging_2029/klagomål/A 36549-2021 FSC-klagomål.docx", "A 36549-2021")</f>
        <v/>
      </c>
      <c r="W38">
        <f>HYPERLINK("https://klasma.github.io/Logging_2029/klagomålsmail/A 36549-2021 FSC-klagomål mail.docx", "A 36549-2021")</f>
        <v/>
      </c>
      <c r="X38">
        <f>HYPERLINK("https://klasma.github.io/Logging_2029/tillsyn/A 36549-2021 tillsynsbegäran.docx", "A 36549-2021")</f>
        <v/>
      </c>
      <c r="Y38">
        <f>HYPERLINK("https://klasma.github.io/Logging_2029/tillsynsmail/A 36549-2021 tillsynsbegäran mail.docx", "A 36549-2021")</f>
        <v/>
      </c>
    </row>
    <row r="39" ht="15" customHeight="1">
      <c r="A39" t="inlineStr">
        <is>
          <t>A 41718-2021</t>
        </is>
      </c>
      <c r="B39" s="1" t="n">
        <v>44425</v>
      </c>
      <c r="C39" s="1" t="n">
        <v>45765</v>
      </c>
      <c r="D39" t="inlineStr">
        <is>
          <t>DALARNAS LÄN</t>
        </is>
      </c>
      <c r="E39" t="inlineStr">
        <is>
          <t>LEKSAND</t>
        </is>
      </c>
      <c r="F39" t="inlineStr">
        <is>
          <t>Bergvik skog väst AB</t>
        </is>
      </c>
      <c r="G39" t="n">
        <v>5.7</v>
      </c>
      <c r="H39" t="n">
        <v>0</v>
      </c>
      <c r="I39" t="n">
        <v>0</v>
      </c>
      <c r="J39" t="n">
        <v>1</v>
      </c>
      <c r="K39" t="n">
        <v>0</v>
      </c>
      <c r="L39" t="n">
        <v>0</v>
      </c>
      <c r="M39" t="n">
        <v>0</v>
      </c>
      <c r="N39" t="n">
        <v>0</v>
      </c>
      <c r="O39" t="n">
        <v>1</v>
      </c>
      <c r="P39" t="n">
        <v>0</v>
      </c>
      <c r="Q39" t="n">
        <v>1</v>
      </c>
      <c r="R39" s="2" t="inlineStr">
        <is>
          <t>Garnlav</t>
        </is>
      </c>
      <c r="S39">
        <f>HYPERLINK("https://klasma.github.io/Logging_2029/artfynd/A 41718-2021 artfynd.xlsx", "A 41718-2021")</f>
        <v/>
      </c>
      <c r="T39">
        <f>HYPERLINK("https://klasma.github.io/Logging_2029/kartor/A 41718-2021 karta.png", "A 41718-2021")</f>
        <v/>
      </c>
      <c r="V39">
        <f>HYPERLINK("https://klasma.github.io/Logging_2029/klagomål/A 41718-2021 FSC-klagomål.docx", "A 41718-2021")</f>
        <v/>
      </c>
      <c r="W39">
        <f>HYPERLINK("https://klasma.github.io/Logging_2029/klagomålsmail/A 41718-2021 FSC-klagomål mail.docx", "A 41718-2021")</f>
        <v/>
      </c>
      <c r="X39">
        <f>HYPERLINK("https://klasma.github.io/Logging_2029/tillsyn/A 41718-2021 tillsynsbegäran.docx", "A 41718-2021")</f>
        <v/>
      </c>
      <c r="Y39">
        <f>HYPERLINK("https://klasma.github.io/Logging_2029/tillsynsmail/A 41718-2021 tillsynsbegäran mail.docx", "A 41718-2021")</f>
        <v/>
      </c>
    </row>
    <row r="40" ht="15" customHeight="1">
      <c r="A40" t="inlineStr">
        <is>
          <t>A 23137-2022</t>
        </is>
      </c>
      <c r="B40" s="1" t="n">
        <v>44719</v>
      </c>
      <c r="C40" s="1" t="n">
        <v>45765</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41873-2022</t>
        </is>
      </c>
      <c r="B41" s="1" t="n">
        <v>44829</v>
      </c>
      <c r="C41" s="1" t="n">
        <v>45765</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50360-2022</t>
        </is>
      </c>
      <c r="B42" s="1" t="n">
        <v>44866</v>
      </c>
      <c r="C42" s="1" t="n">
        <v>45765</v>
      </c>
      <c r="D42" t="inlineStr">
        <is>
          <t>DALARNAS LÄN</t>
        </is>
      </c>
      <c r="E42" t="inlineStr">
        <is>
          <t>LEKSAND</t>
        </is>
      </c>
      <c r="F42" t="inlineStr">
        <is>
          <t>Bergvik skog väst AB</t>
        </is>
      </c>
      <c r="G42" t="n">
        <v>0.7</v>
      </c>
      <c r="H42" t="n">
        <v>1</v>
      </c>
      <c r="I42" t="n">
        <v>0</v>
      </c>
      <c r="J42" t="n">
        <v>0</v>
      </c>
      <c r="K42" t="n">
        <v>1</v>
      </c>
      <c r="L42" t="n">
        <v>0</v>
      </c>
      <c r="M42" t="n">
        <v>0</v>
      </c>
      <c r="N42" t="n">
        <v>0</v>
      </c>
      <c r="O42" t="n">
        <v>1</v>
      </c>
      <c r="P42" t="n">
        <v>1</v>
      </c>
      <c r="Q42" t="n">
        <v>1</v>
      </c>
      <c r="R42" s="2" t="inlineStr">
        <is>
          <t>Knärot</t>
        </is>
      </c>
      <c r="S42">
        <f>HYPERLINK("https://klasma.github.io/Logging_2029/artfynd/A 50360-2022 artfynd.xlsx", "A 50360-2022")</f>
        <v/>
      </c>
      <c r="T42">
        <f>HYPERLINK("https://klasma.github.io/Logging_2029/kartor/A 50360-2022 karta.png", "A 50360-2022")</f>
        <v/>
      </c>
      <c r="U42">
        <f>HYPERLINK("https://klasma.github.io/Logging_2029/knärot/A 50360-2022 karta knärot.png", "A 50360-2022")</f>
        <v/>
      </c>
      <c r="V42">
        <f>HYPERLINK("https://klasma.github.io/Logging_2029/klagomål/A 50360-2022 FSC-klagomål.docx", "A 50360-2022")</f>
        <v/>
      </c>
      <c r="W42">
        <f>HYPERLINK("https://klasma.github.io/Logging_2029/klagomålsmail/A 50360-2022 FSC-klagomål mail.docx", "A 50360-2022")</f>
        <v/>
      </c>
      <c r="X42">
        <f>HYPERLINK("https://klasma.github.io/Logging_2029/tillsyn/A 50360-2022 tillsynsbegäran.docx", "A 50360-2022")</f>
        <v/>
      </c>
      <c r="Y42">
        <f>HYPERLINK("https://klasma.github.io/Logging_2029/tillsynsmail/A 50360-2022 tillsynsbegäran mail.docx", "A 50360-2022")</f>
        <v/>
      </c>
    </row>
    <row r="43" ht="15" customHeight="1">
      <c r="A43" t="inlineStr">
        <is>
          <t>A 6977-2023</t>
        </is>
      </c>
      <c r="B43" s="1" t="n">
        <v>44967</v>
      </c>
      <c r="C43" s="1" t="n">
        <v>45765</v>
      </c>
      <c r="D43" t="inlineStr">
        <is>
          <t>DALARNAS LÄN</t>
        </is>
      </c>
      <c r="E43" t="inlineStr">
        <is>
          <t>LEKSAND</t>
        </is>
      </c>
      <c r="G43" t="n">
        <v>5</v>
      </c>
      <c r="H43" t="n">
        <v>0</v>
      </c>
      <c r="I43" t="n">
        <v>0</v>
      </c>
      <c r="J43" t="n">
        <v>1</v>
      </c>
      <c r="K43" t="n">
        <v>0</v>
      </c>
      <c r="L43" t="n">
        <v>0</v>
      </c>
      <c r="M43" t="n">
        <v>0</v>
      </c>
      <c r="N43" t="n">
        <v>0</v>
      </c>
      <c r="O43" t="n">
        <v>1</v>
      </c>
      <c r="P43" t="n">
        <v>0</v>
      </c>
      <c r="Q43" t="n">
        <v>1</v>
      </c>
      <c r="R43" s="2" t="inlineStr">
        <is>
          <t>Backstarr</t>
        </is>
      </c>
      <c r="S43">
        <f>HYPERLINK("https://klasma.github.io/Logging_2029/artfynd/A 6977-2023 artfynd.xlsx", "A 6977-2023")</f>
        <v/>
      </c>
      <c r="T43">
        <f>HYPERLINK("https://klasma.github.io/Logging_2029/kartor/A 6977-2023 karta.png", "A 6977-2023")</f>
        <v/>
      </c>
      <c r="V43">
        <f>HYPERLINK("https://klasma.github.io/Logging_2029/klagomål/A 6977-2023 FSC-klagomål.docx", "A 6977-2023")</f>
        <v/>
      </c>
      <c r="W43">
        <f>HYPERLINK("https://klasma.github.io/Logging_2029/klagomålsmail/A 6977-2023 FSC-klagomål mail.docx", "A 6977-2023")</f>
        <v/>
      </c>
      <c r="X43">
        <f>HYPERLINK("https://klasma.github.io/Logging_2029/tillsyn/A 6977-2023 tillsynsbegäran.docx", "A 6977-2023")</f>
        <v/>
      </c>
      <c r="Y43">
        <f>HYPERLINK("https://klasma.github.io/Logging_2029/tillsynsmail/A 6977-2023 tillsynsbegäran mail.docx", "A 6977-2023")</f>
        <v/>
      </c>
    </row>
    <row r="44" ht="15" customHeight="1">
      <c r="A44" t="inlineStr">
        <is>
          <t>A 8529-2023</t>
        </is>
      </c>
      <c r="B44" s="1" t="n">
        <v>44977</v>
      </c>
      <c r="C44" s="1" t="n">
        <v>45765</v>
      </c>
      <c r="D44" t="inlineStr">
        <is>
          <t>DALARNAS LÄN</t>
        </is>
      </c>
      <c r="E44" t="inlineStr">
        <is>
          <t>LEKSAND</t>
        </is>
      </c>
      <c r="G44" t="n">
        <v>2.7</v>
      </c>
      <c r="H44" t="n">
        <v>1</v>
      </c>
      <c r="I44" t="n">
        <v>0</v>
      </c>
      <c r="J44" t="n">
        <v>0</v>
      </c>
      <c r="K44" t="n">
        <v>1</v>
      </c>
      <c r="L44" t="n">
        <v>0</v>
      </c>
      <c r="M44" t="n">
        <v>0</v>
      </c>
      <c r="N44" t="n">
        <v>0</v>
      </c>
      <c r="O44" t="n">
        <v>1</v>
      </c>
      <c r="P44" t="n">
        <v>1</v>
      </c>
      <c r="Q44" t="n">
        <v>1</v>
      </c>
      <c r="R44" s="2" t="inlineStr">
        <is>
          <t>Knärot</t>
        </is>
      </c>
      <c r="S44">
        <f>HYPERLINK("https://klasma.github.io/Logging_2029/artfynd/A 8529-2023 artfynd.xlsx", "A 8529-2023")</f>
        <v/>
      </c>
      <c r="T44">
        <f>HYPERLINK("https://klasma.github.io/Logging_2029/kartor/A 8529-2023 karta.png", "A 8529-2023")</f>
        <v/>
      </c>
      <c r="U44">
        <f>HYPERLINK("https://klasma.github.io/Logging_2029/knärot/A 8529-2023 karta knärot.png", "A 8529-2023")</f>
        <v/>
      </c>
      <c r="V44">
        <f>HYPERLINK("https://klasma.github.io/Logging_2029/klagomål/A 8529-2023 FSC-klagomål.docx", "A 8529-2023")</f>
        <v/>
      </c>
      <c r="W44">
        <f>HYPERLINK("https://klasma.github.io/Logging_2029/klagomålsmail/A 8529-2023 FSC-klagomål mail.docx", "A 8529-2023")</f>
        <v/>
      </c>
      <c r="X44">
        <f>HYPERLINK("https://klasma.github.io/Logging_2029/tillsyn/A 8529-2023 tillsynsbegäran.docx", "A 8529-2023")</f>
        <v/>
      </c>
      <c r="Y44">
        <f>HYPERLINK("https://klasma.github.io/Logging_2029/tillsynsmail/A 8529-2023 tillsynsbegäran mail.docx", "A 8529-2023")</f>
        <v/>
      </c>
    </row>
    <row r="45" ht="15" customHeight="1">
      <c r="A45" t="inlineStr">
        <is>
          <t>A 11754-2023</t>
        </is>
      </c>
      <c r="B45" s="1" t="n">
        <v>44993</v>
      </c>
      <c r="C45" s="1" t="n">
        <v>45765</v>
      </c>
      <c r="D45" t="inlineStr">
        <is>
          <t>DALARNAS LÄN</t>
        </is>
      </c>
      <c r="E45" t="inlineStr">
        <is>
          <t>LEKSAND</t>
        </is>
      </c>
      <c r="G45" t="n">
        <v>4.7</v>
      </c>
      <c r="H45" t="n">
        <v>1</v>
      </c>
      <c r="I45" t="n">
        <v>0</v>
      </c>
      <c r="J45" t="n">
        <v>0</v>
      </c>
      <c r="K45" t="n">
        <v>1</v>
      </c>
      <c r="L45" t="n">
        <v>0</v>
      </c>
      <c r="M45" t="n">
        <v>0</v>
      </c>
      <c r="N45" t="n">
        <v>0</v>
      </c>
      <c r="O45" t="n">
        <v>1</v>
      </c>
      <c r="P45" t="n">
        <v>1</v>
      </c>
      <c r="Q45" t="n">
        <v>1</v>
      </c>
      <c r="R45" s="2" t="inlineStr">
        <is>
          <t>Knärot</t>
        </is>
      </c>
      <c r="S45">
        <f>HYPERLINK("https://klasma.github.io/Logging_2029/artfynd/A 11754-2023 artfynd.xlsx", "A 11754-2023")</f>
        <v/>
      </c>
      <c r="T45">
        <f>HYPERLINK("https://klasma.github.io/Logging_2029/kartor/A 11754-2023 karta.png", "A 11754-2023")</f>
        <v/>
      </c>
      <c r="U45">
        <f>HYPERLINK("https://klasma.github.io/Logging_2029/knärot/A 11754-2023 karta knärot.png", "A 11754-2023")</f>
        <v/>
      </c>
      <c r="V45">
        <f>HYPERLINK("https://klasma.github.io/Logging_2029/klagomål/A 11754-2023 FSC-klagomål.docx", "A 11754-2023")</f>
        <v/>
      </c>
      <c r="W45">
        <f>HYPERLINK("https://klasma.github.io/Logging_2029/klagomålsmail/A 11754-2023 FSC-klagomål mail.docx", "A 11754-2023")</f>
        <v/>
      </c>
      <c r="X45">
        <f>HYPERLINK("https://klasma.github.io/Logging_2029/tillsyn/A 11754-2023 tillsynsbegäran.docx", "A 11754-2023")</f>
        <v/>
      </c>
      <c r="Y45">
        <f>HYPERLINK("https://klasma.github.io/Logging_2029/tillsynsmail/A 11754-2023 tillsynsbegäran mail.docx", "A 11754-2023")</f>
        <v/>
      </c>
    </row>
    <row r="46" ht="15" customHeight="1">
      <c r="A46" t="inlineStr">
        <is>
          <t>A 15432-2023</t>
        </is>
      </c>
      <c r="B46" s="1" t="n">
        <v>45020</v>
      </c>
      <c r="C46" s="1" t="n">
        <v>45765</v>
      </c>
      <c r="D46" t="inlineStr">
        <is>
          <t>DALARNAS LÄN</t>
        </is>
      </c>
      <c r="E46" t="inlineStr">
        <is>
          <t>LEKSAND</t>
        </is>
      </c>
      <c r="G46" t="n">
        <v>2.5</v>
      </c>
      <c r="H46" t="n">
        <v>0</v>
      </c>
      <c r="I46" t="n">
        <v>1</v>
      </c>
      <c r="J46" t="n">
        <v>0</v>
      </c>
      <c r="K46" t="n">
        <v>0</v>
      </c>
      <c r="L46" t="n">
        <v>0</v>
      </c>
      <c r="M46" t="n">
        <v>0</v>
      </c>
      <c r="N46" t="n">
        <v>0</v>
      </c>
      <c r="O46" t="n">
        <v>0</v>
      </c>
      <c r="P46" t="n">
        <v>0</v>
      </c>
      <c r="Q46" t="n">
        <v>1</v>
      </c>
      <c r="R46" s="2" t="inlineStr">
        <is>
          <t>Mindre märgborre</t>
        </is>
      </c>
      <c r="S46">
        <f>HYPERLINK("https://klasma.github.io/Logging_2029/artfynd/A 15432-2023 artfynd.xlsx", "A 15432-2023")</f>
        <v/>
      </c>
      <c r="T46">
        <f>HYPERLINK("https://klasma.github.io/Logging_2029/kartor/A 15432-2023 karta.png", "A 15432-2023")</f>
        <v/>
      </c>
      <c r="V46">
        <f>HYPERLINK("https://klasma.github.io/Logging_2029/klagomål/A 15432-2023 FSC-klagomål.docx", "A 15432-2023")</f>
        <v/>
      </c>
      <c r="W46">
        <f>HYPERLINK("https://klasma.github.io/Logging_2029/klagomålsmail/A 15432-2023 FSC-klagomål mail.docx", "A 15432-2023")</f>
        <v/>
      </c>
      <c r="X46">
        <f>HYPERLINK("https://klasma.github.io/Logging_2029/tillsyn/A 15432-2023 tillsynsbegäran.docx", "A 15432-2023")</f>
        <v/>
      </c>
      <c r="Y46">
        <f>HYPERLINK("https://klasma.github.io/Logging_2029/tillsynsmail/A 15432-2023 tillsynsbegäran mail.docx", "A 15432-2023")</f>
        <v/>
      </c>
    </row>
    <row r="47" ht="15" customHeight="1">
      <c r="A47" t="inlineStr">
        <is>
          <t>A 15908-2023</t>
        </is>
      </c>
      <c r="B47" s="1" t="n">
        <v>45022</v>
      </c>
      <c r="C47" s="1" t="n">
        <v>45765</v>
      </c>
      <c r="D47" t="inlineStr">
        <is>
          <t>DALARNAS LÄN</t>
        </is>
      </c>
      <c r="E47" t="inlineStr">
        <is>
          <t>LEKSAND</t>
        </is>
      </c>
      <c r="G47" t="n">
        <v>2.4</v>
      </c>
      <c r="H47" t="n">
        <v>1</v>
      </c>
      <c r="I47" t="n">
        <v>0</v>
      </c>
      <c r="J47" t="n">
        <v>0</v>
      </c>
      <c r="K47" t="n">
        <v>0</v>
      </c>
      <c r="L47" t="n">
        <v>0</v>
      </c>
      <c r="M47" t="n">
        <v>0</v>
      </c>
      <c r="N47" t="n">
        <v>0</v>
      </c>
      <c r="O47" t="n">
        <v>0</v>
      </c>
      <c r="P47" t="n">
        <v>0</v>
      </c>
      <c r="Q47" t="n">
        <v>1</v>
      </c>
      <c r="R47" s="2" t="inlineStr">
        <is>
          <t>Blåsippa</t>
        </is>
      </c>
      <c r="S47">
        <f>HYPERLINK("https://klasma.github.io/Logging_2029/artfynd/A 15908-2023 artfynd.xlsx", "A 15908-2023")</f>
        <v/>
      </c>
      <c r="T47">
        <f>HYPERLINK("https://klasma.github.io/Logging_2029/kartor/A 15908-2023 karta.png", "A 15908-2023")</f>
        <v/>
      </c>
      <c r="V47">
        <f>HYPERLINK("https://klasma.github.io/Logging_2029/klagomål/A 15908-2023 FSC-klagomål.docx", "A 15908-2023")</f>
        <v/>
      </c>
      <c r="W47">
        <f>HYPERLINK("https://klasma.github.io/Logging_2029/klagomålsmail/A 15908-2023 FSC-klagomål mail.docx", "A 15908-2023")</f>
        <v/>
      </c>
      <c r="X47">
        <f>HYPERLINK("https://klasma.github.io/Logging_2029/tillsyn/A 15908-2023 tillsynsbegäran.docx", "A 15908-2023")</f>
        <v/>
      </c>
      <c r="Y47">
        <f>HYPERLINK("https://klasma.github.io/Logging_2029/tillsynsmail/A 15908-2023 tillsynsbegäran mail.docx", "A 15908-2023")</f>
        <v/>
      </c>
    </row>
    <row r="48" ht="15" customHeight="1">
      <c r="A48" t="inlineStr">
        <is>
          <t>A 16333-2023</t>
        </is>
      </c>
      <c r="B48" s="1" t="n">
        <v>45028</v>
      </c>
      <c r="C48" s="1" t="n">
        <v>45765</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17899-2023</t>
        </is>
      </c>
      <c r="B49" s="1" t="n">
        <v>45039</v>
      </c>
      <c r="C49" s="1" t="n">
        <v>45765</v>
      </c>
      <c r="D49" t="inlineStr">
        <is>
          <t>DALARNAS LÄN</t>
        </is>
      </c>
      <c r="E49" t="inlineStr">
        <is>
          <t>LEKSAND</t>
        </is>
      </c>
      <c r="G49" t="n">
        <v>1.9</v>
      </c>
      <c r="H49" t="n">
        <v>0</v>
      </c>
      <c r="I49" t="n">
        <v>0</v>
      </c>
      <c r="J49" t="n">
        <v>1</v>
      </c>
      <c r="K49" t="n">
        <v>0</v>
      </c>
      <c r="L49" t="n">
        <v>0</v>
      </c>
      <c r="M49" t="n">
        <v>0</v>
      </c>
      <c r="N49" t="n">
        <v>0</v>
      </c>
      <c r="O49" t="n">
        <v>1</v>
      </c>
      <c r="P49" t="n">
        <v>0</v>
      </c>
      <c r="Q49" t="n">
        <v>1</v>
      </c>
      <c r="R49" s="2" t="inlineStr">
        <is>
          <t>Grantaggsvamp</t>
        </is>
      </c>
      <c r="S49">
        <f>HYPERLINK("https://klasma.github.io/Logging_2029/artfynd/A 17899-2023 artfynd.xlsx", "A 17899-2023")</f>
        <v/>
      </c>
      <c r="T49">
        <f>HYPERLINK("https://klasma.github.io/Logging_2029/kartor/A 17899-2023 karta.png", "A 17899-2023")</f>
        <v/>
      </c>
      <c r="V49">
        <f>HYPERLINK("https://klasma.github.io/Logging_2029/klagomål/A 17899-2023 FSC-klagomål.docx", "A 17899-2023")</f>
        <v/>
      </c>
      <c r="W49">
        <f>HYPERLINK("https://klasma.github.io/Logging_2029/klagomålsmail/A 17899-2023 FSC-klagomål mail.docx", "A 17899-2023")</f>
        <v/>
      </c>
      <c r="X49">
        <f>HYPERLINK("https://klasma.github.io/Logging_2029/tillsyn/A 17899-2023 tillsynsbegäran.docx", "A 17899-2023")</f>
        <v/>
      </c>
      <c r="Y49">
        <f>HYPERLINK("https://klasma.github.io/Logging_2029/tillsynsmail/A 17899-2023 tillsynsbegäran mail.docx", "A 17899-2023")</f>
        <v/>
      </c>
    </row>
    <row r="50" ht="15" customHeight="1">
      <c r="A50" t="inlineStr">
        <is>
          <t>A 21419-2023</t>
        </is>
      </c>
      <c r="B50" s="1" t="n">
        <v>45061</v>
      </c>
      <c r="C50" s="1" t="n">
        <v>45765</v>
      </c>
      <c r="D50" t="inlineStr">
        <is>
          <t>DALARNAS LÄN</t>
        </is>
      </c>
      <c r="E50" t="inlineStr">
        <is>
          <t>LEKSAND</t>
        </is>
      </c>
      <c r="G50" t="n">
        <v>5.5</v>
      </c>
      <c r="H50" t="n">
        <v>1</v>
      </c>
      <c r="I50" t="n">
        <v>0</v>
      </c>
      <c r="J50" t="n">
        <v>0</v>
      </c>
      <c r="K50" t="n">
        <v>0</v>
      </c>
      <c r="L50" t="n">
        <v>0</v>
      </c>
      <c r="M50" t="n">
        <v>0</v>
      </c>
      <c r="N50" t="n">
        <v>0</v>
      </c>
      <c r="O50" t="n">
        <v>0</v>
      </c>
      <c r="P50" t="n">
        <v>0</v>
      </c>
      <c r="Q50" t="n">
        <v>1</v>
      </c>
      <c r="R50" s="2" t="inlineStr">
        <is>
          <t>Nattviol</t>
        </is>
      </c>
      <c r="S50">
        <f>HYPERLINK("https://klasma.github.io/Logging_2029/artfynd/A 21419-2023 artfynd.xlsx", "A 21419-2023")</f>
        <v/>
      </c>
      <c r="T50">
        <f>HYPERLINK("https://klasma.github.io/Logging_2029/kartor/A 21419-2023 karta.png", "A 21419-2023")</f>
        <v/>
      </c>
      <c r="V50">
        <f>HYPERLINK("https://klasma.github.io/Logging_2029/klagomål/A 21419-2023 FSC-klagomål.docx", "A 21419-2023")</f>
        <v/>
      </c>
      <c r="W50">
        <f>HYPERLINK("https://klasma.github.io/Logging_2029/klagomålsmail/A 21419-2023 FSC-klagomål mail.docx", "A 21419-2023")</f>
        <v/>
      </c>
      <c r="X50">
        <f>HYPERLINK("https://klasma.github.io/Logging_2029/tillsyn/A 21419-2023 tillsynsbegäran.docx", "A 21419-2023")</f>
        <v/>
      </c>
      <c r="Y50">
        <f>HYPERLINK("https://klasma.github.io/Logging_2029/tillsynsmail/A 21419-2023 tillsynsbegäran mail.docx", "A 21419-2023")</f>
        <v/>
      </c>
    </row>
    <row r="51" ht="15" customHeight="1">
      <c r="A51" t="inlineStr">
        <is>
          <t>A 26287-2023</t>
        </is>
      </c>
      <c r="B51" s="1" t="n">
        <v>45091</v>
      </c>
      <c r="C51" s="1" t="n">
        <v>45765</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47803-2023</t>
        </is>
      </c>
      <c r="B52" s="1" t="n">
        <v>45204</v>
      </c>
      <c r="C52" s="1" t="n">
        <v>45765</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Lappuggla</t>
        </is>
      </c>
      <c r="S52">
        <f>HYPERLINK("https://klasma.github.io/Logging_2029/artfynd/A 47803-2023 artfynd.xlsx", "A 47803-2023")</f>
        <v/>
      </c>
      <c r="T52">
        <f>HYPERLINK("https://klasma.github.io/Logging_2029/kartor/A 47803-2023 karta.png", "A 47803-2023")</f>
        <v/>
      </c>
      <c r="V52">
        <f>HYPERLINK("https://klasma.github.io/Logging_2029/klagomål/A 47803-2023 FSC-klagomål.docx", "A 47803-2023")</f>
        <v/>
      </c>
      <c r="W52">
        <f>HYPERLINK("https://klasma.github.io/Logging_2029/klagomålsmail/A 47803-2023 FSC-klagomål mail.docx", "A 47803-2023")</f>
        <v/>
      </c>
      <c r="X52">
        <f>HYPERLINK("https://klasma.github.io/Logging_2029/tillsyn/A 47803-2023 tillsynsbegäran.docx", "A 47803-2023")</f>
        <v/>
      </c>
      <c r="Y52">
        <f>HYPERLINK("https://klasma.github.io/Logging_2029/tillsynsmail/A 47803-2023 tillsynsbegäran mail.docx", "A 47803-2023")</f>
        <v/>
      </c>
      <c r="Z52">
        <f>HYPERLINK("https://klasma.github.io/Logging_2029/fåglar/A 47803-2023 prioriterade fågelarter.docx", "A 47803-2023")</f>
        <v/>
      </c>
    </row>
    <row r="53" ht="15" customHeight="1">
      <c r="A53" t="inlineStr">
        <is>
          <t>A 53262-2023</t>
        </is>
      </c>
      <c r="B53" s="1" t="n">
        <v>45229</v>
      </c>
      <c r="C53" s="1" t="n">
        <v>45765</v>
      </c>
      <c r="D53" t="inlineStr">
        <is>
          <t>DALARNAS LÄN</t>
        </is>
      </c>
      <c r="E53" t="inlineStr">
        <is>
          <t>LEKSAND</t>
        </is>
      </c>
      <c r="G53" t="n">
        <v>6.1</v>
      </c>
      <c r="H53" t="n">
        <v>1</v>
      </c>
      <c r="I53" t="n">
        <v>0</v>
      </c>
      <c r="J53" t="n">
        <v>0</v>
      </c>
      <c r="K53" t="n">
        <v>0</v>
      </c>
      <c r="L53" t="n">
        <v>1</v>
      </c>
      <c r="M53" t="n">
        <v>0</v>
      </c>
      <c r="N53" t="n">
        <v>0</v>
      </c>
      <c r="O53" t="n">
        <v>1</v>
      </c>
      <c r="P53" t="n">
        <v>1</v>
      </c>
      <c r="Q53" t="n">
        <v>1</v>
      </c>
      <c r="R53" s="2" t="inlineStr">
        <is>
          <t>Mosippa</t>
        </is>
      </c>
      <c r="S53">
        <f>HYPERLINK("https://klasma.github.io/Logging_2029/artfynd/A 53262-2023 artfynd.xlsx", "A 53262-2023")</f>
        <v/>
      </c>
      <c r="T53">
        <f>HYPERLINK("https://klasma.github.io/Logging_2029/kartor/A 53262-2023 karta.png", "A 53262-2023")</f>
        <v/>
      </c>
      <c r="V53">
        <f>HYPERLINK("https://klasma.github.io/Logging_2029/klagomål/A 53262-2023 FSC-klagomål.docx", "A 53262-2023")</f>
        <v/>
      </c>
      <c r="W53">
        <f>HYPERLINK("https://klasma.github.io/Logging_2029/klagomålsmail/A 53262-2023 FSC-klagomål mail.docx", "A 53262-2023")</f>
        <v/>
      </c>
      <c r="X53">
        <f>HYPERLINK("https://klasma.github.io/Logging_2029/tillsyn/A 53262-2023 tillsynsbegäran.docx", "A 53262-2023")</f>
        <v/>
      </c>
      <c r="Y53">
        <f>HYPERLINK("https://klasma.github.io/Logging_2029/tillsynsmail/A 53262-2023 tillsynsbegäran mail.docx", "A 53262-2023")</f>
        <v/>
      </c>
    </row>
    <row r="54" ht="15" customHeight="1">
      <c r="A54" t="inlineStr">
        <is>
          <t>A 59205-2023</t>
        </is>
      </c>
      <c r="B54" s="1" t="n">
        <v>45251</v>
      </c>
      <c r="C54" s="1" t="n">
        <v>45765</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60238-2023</t>
        </is>
      </c>
      <c r="B55" s="1" t="n">
        <v>45258</v>
      </c>
      <c r="C55" s="1" t="n">
        <v>45765</v>
      </c>
      <c r="D55" t="inlineStr">
        <is>
          <t>DALARNAS LÄN</t>
        </is>
      </c>
      <c r="E55" t="inlineStr">
        <is>
          <t>LEKSAND</t>
        </is>
      </c>
      <c r="G55" t="n">
        <v>3.2</v>
      </c>
      <c r="H55" t="n">
        <v>1</v>
      </c>
      <c r="I55" t="n">
        <v>0</v>
      </c>
      <c r="J55" t="n">
        <v>0</v>
      </c>
      <c r="K55" t="n">
        <v>0</v>
      </c>
      <c r="L55" t="n">
        <v>0</v>
      </c>
      <c r="M55" t="n">
        <v>0</v>
      </c>
      <c r="N55" t="n">
        <v>0</v>
      </c>
      <c r="O55" t="n">
        <v>0</v>
      </c>
      <c r="P55" t="n">
        <v>0</v>
      </c>
      <c r="Q55" t="n">
        <v>1</v>
      </c>
      <c r="R55" s="2" t="inlineStr">
        <is>
          <t>Blåsippa</t>
        </is>
      </c>
      <c r="S55">
        <f>HYPERLINK("https://klasma.github.io/Logging_2029/artfynd/A 60238-2023 artfynd.xlsx", "A 60238-2023")</f>
        <v/>
      </c>
      <c r="T55">
        <f>HYPERLINK("https://klasma.github.io/Logging_2029/kartor/A 60238-2023 karta.png", "A 60238-2023")</f>
        <v/>
      </c>
      <c r="V55">
        <f>HYPERLINK("https://klasma.github.io/Logging_2029/klagomål/A 60238-2023 FSC-klagomål.docx", "A 60238-2023")</f>
        <v/>
      </c>
      <c r="W55">
        <f>HYPERLINK("https://klasma.github.io/Logging_2029/klagomålsmail/A 60238-2023 FSC-klagomål mail.docx", "A 60238-2023")</f>
        <v/>
      </c>
      <c r="X55">
        <f>HYPERLINK("https://klasma.github.io/Logging_2029/tillsyn/A 60238-2023 tillsynsbegäran.docx", "A 60238-2023")</f>
        <v/>
      </c>
      <c r="Y55">
        <f>HYPERLINK("https://klasma.github.io/Logging_2029/tillsynsmail/A 60238-2023 tillsynsbegäran mail.docx", "A 60238-2023")</f>
        <v/>
      </c>
    </row>
    <row r="56" ht="15" customHeight="1">
      <c r="A56" t="inlineStr">
        <is>
          <t>A 164-2024</t>
        </is>
      </c>
      <c r="B56" s="1" t="n">
        <v>45294</v>
      </c>
      <c r="C56" s="1" t="n">
        <v>45765</v>
      </c>
      <c r="D56" t="inlineStr">
        <is>
          <t>DALARNAS LÄN</t>
        </is>
      </c>
      <c r="E56" t="inlineStr">
        <is>
          <t>LEKSAND</t>
        </is>
      </c>
      <c r="G56" t="n">
        <v>3.7</v>
      </c>
      <c r="H56" t="n">
        <v>1</v>
      </c>
      <c r="I56" t="n">
        <v>0</v>
      </c>
      <c r="J56" t="n">
        <v>1</v>
      </c>
      <c r="K56" t="n">
        <v>0</v>
      </c>
      <c r="L56" t="n">
        <v>0</v>
      </c>
      <c r="M56" t="n">
        <v>0</v>
      </c>
      <c r="N56" t="n">
        <v>0</v>
      </c>
      <c r="O56" t="n">
        <v>1</v>
      </c>
      <c r="P56" t="n">
        <v>0</v>
      </c>
      <c r="Q56" t="n">
        <v>1</v>
      </c>
      <c r="R56" s="2" t="inlineStr">
        <is>
          <t>Järpe</t>
        </is>
      </c>
      <c r="S56">
        <f>HYPERLINK("https://klasma.github.io/Logging_2029/artfynd/A 164-2024 artfynd.xlsx", "A 164-2024")</f>
        <v/>
      </c>
      <c r="T56">
        <f>HYPERLINK("https://klasma.github.io/Logging_2029/kartor/A 164-2024 karta.png", "A 164-2024")</f>
        <v/>
      </c>
      <c r="V56">
        <f>HYPERLINK("https://klasma.github.io/Logging_2029/klagomål/A 164-2024 FSC-klagomål.docx", "A 164-2024")</f>
        <v/>
      </c>
      <c r="W56">
        <f>HYPERLINK("https://klasma.github.io/Logging_2029/klagomålsmail/A 164-2024 FSC-klagomål mail.docx", "A 164-2024")</f>
        <v/>
      </c>
      <c r="X56">
        <f>HYPERLINK("https://klasma.github.io/Logging_2029/tillsyn/A 164-2024 tillsynsbegäran.docx", "A 164-2024")</f>
        <v/>
      </c>
      <c r="Y56">
        <f>HYPERLINK("https://klasma.github.io/Logging_2029/tillsynsmail/A 164-2024 tillsynsbegäran mail.docx", "A 164-2024")</f>
        <v/>
      </c>
      <c r="Z56">
        <f>HYPERLINK("https://klasma.github.io/Logging_2029/fåglar/A 164-2024 prioriterade fågelarter.docx", "A 164-2024")</f>
        <v/>
      </c>
    </row>
    <row r="57" ht="15" customHeight="1">
      <c r="A57" t="inlineStr">
        <is>
          <t>A 988-2024</t>
        </is>
      </c>
      <c r="B57" s="1" t="n">
        <v>45301</v>
      </c>
      <c r="C57" s="1" t="n">
        <v>45765</v>
      </c>
      <c r="D57" t="inlineStr">
        <is>
          <t>DALARNAS LÄN</t>
        </is>
      </c>
      <c r="E57" t="inlineStr">
        <is>
          <t>LEKSAND</t>
        </is>
      </c>
      <c r="G57" t="n">
        <v>2.2</v>
      </c>
      <c r="H57" t="n">
        <v>1</v>
      </c>
      <c r="I57" t="n">
        <v>0</v>
      </c>
      <c r="J57" t="n">
        <v>0</v>
      </c>
      <c r="K57" t="n">
        <v>0</v>
      </c>
      <c r="L57" t="n">
        <v>0</v>
      </c>
      <c r="M57" t="n">
        <v>0</v>
      </c>
      <c r="N57" t="n">
        <v>0</v>
      </c>
      <c r="O57" t="n">
        <v>0</v>
      </c>
      <c r="P57" t="n">
        <v>0</v>
      </c>
      <c r="Q57" t="n">
        <v>1</v>
      </c>
      <c r="R57" s="2" t="inlineStr">
        <is>
          <t>Nattviol</t>
        </is>
      </c>
      <c r="S57">
        <f>HYPERLINK("https://klasma.github.io/Logging_2029/artfynd/A 988-2024 artfynd.xlsx", "A 988-2024")</f>
        <v/>
      </c>
      <c r="T57">
        <f>HYPERLINK("https://klasma.github.io/Logging_2029/kartor/A 988-2024 karta.png", "A 988-2024")</f>
        <v/>
      </c>
      <c r="V57">
        <f>HYPERLINK("https://klasma.github.io/Logging_2029/klagomål/A 988-2024 FSC-klagomål.docx", "A 988-2024")</f>
        <v/>
      </c>
      <c r="W57">
        <f>HYPERLINK("https://klasma.github.io/Logging_2029/klagomålsmail/A 988-2024 FSC-klagomål mail.docx", "A 988-2024")</f>
        <v/>
      </c>
      <c r="X57">
        <f>HYPERLINK("https://klasma.github.io/Logging_2029/tillsyn/A 988-2024 tillsynsbegäran.docx", "A 988-2024")</f>
        <v/>
      </c>
      <c r="Y57">
        <f>HYPERLINK("https://klasma.github.io/Logging_2029/tillsynsmail/A 988-2024 tillsynsbegäran mail.docx", "A 988-2024")</f>
        <v/>
      </c>
    </row>
    <row r="58" ht="15" customHeight="1">
      <c r="A58" t="inlineStr">
        <is>
          <t>A 20794-2024</t>
        </is>
      </c>
      <c r="B58" s="1" t="n">
        <v>45438</v>
      </c>
      <c r="C58" s="1" t="n">
        <v>45765</v>
      </c>
      <c r="D58" t="inlineStr">
        <is>
          <t>DALARNAS LÄN</t>
        </is>
      </c>
      <c r="E58" t="inlineStr">
        <is>
          <t>LEKSAND</t>
        </is>
      </c>
      <c r="G58" t="n">
        <v>6.1</v>
      </c>
      <c r="H58" t="n">
        <v>1</v>
      </c>
      <c r="I58" t="n">
        <v>0</v>
      </c>
      <c r="J58" t="n">
        <v>1</v>
      </c>
      <c r="K58" t="n">
        <v>0</v>
      </c>
      <c r="L58" t="n">
        <v>0</v>
      </c>
      <c r="M58" t="n">
        <v>0</v>
      </c>
      <c r="N58" t="n">
        <v>0</v>
      </c>
      <c r="O58" t="n">
        <v>1</v>
      </c>
      <c r="P58" t="n">
        <v>0</v>
      </c>
      <c r="Q58" t="n">
        <v>1</v>
      </c>
      <c r="R58" s="2" t="inlineStr">
        <is>
          <t>Utter</t>
        </is>
      </c>
      <c r="S58">
        <f>HYPERLINK("https://klasma.github.io/Logging_2029/artfynd/A 20794-2024 artfynd.xlsx", "A 20794-2024")</f>
        <v/>
      </c>
      <c r="T58">
        <f>HYPERLINK("https://klasma.github.io/Logging_2029/kartor/A 20794-2024 karta.png", "A 20794-2024")</f>
        <v/>
      </c>
      <c r="V58">
        <f>HYPERLINK("https://klasma.github.io/Logging_2029/klagomål/A 20794-2024 FSC-klagomål.docx", "A 20794-2024")</f>
        <v/>
      </c>
      <c r="W58">
        <f>HYPERLINK("https://klasma.github.io/Logging_2029/klagomålsmail/A 20794-2024 FSC-klagomål mail.docx", "A 20794-2024")</f>
        <v/>
      </c>
      <c r="X58">
        <f>HYPERLINK("https://klasma.github.io/Logging_2029/tillsyn/A 20794-2024 tillsynsbegäran.docx", "A 20794-2024")</f>
        <v/>
      </c>
      <c r="Y58">
        <f>HYPERLINK("https://klasma.github.io/Logging_2029/tillsynsmail/A 20794-2024 tillsynsbegäran mail.docx", "A 20794-2024")</f>
        <v/>
      </c>
    </row>
    <row r="59" ht="15" customHeight="1">
      <c r="A59" t="inlineStr">
        <is>
          <t>A 23417-2024</t>
        </is>
      </c>
      <c r="B59" s="1" t="n">
        <v>45453</v>
      </c>
      <c r="C59" s="1" t="n">
        <v>45765</v>
      </c>
      <c r="D59" t="inlineStr">
        <is>
          <t>DALARNAS LÄN</t>
        </is>
      </c>
      <c r="E59" t="inlineStr">
        <is>
          <t>LEKSAND</t>
        </is>
      </c>
      <c r="F59" t="inlineStr">
        <is>
          <t>Bergvik skog väst AB</t>
        </is>
      </c>
      <c r="G59" t="n">
        <v>39.9</v>
      </c>
      <c r="H59" t="n">
        <v>0</v>
      </c>
      <c r="I59" t="n">
        <v>0</v>
      </c>
      <c r="J59" t="n">
        <v>1</v>
      </c>
      <c r="K59" t="n">
        <v>0</v>
      </c>
      <c r="L59" t="n">
        <v>0</v>
      </c>
      <c r="M59" t="n">
        <v>0</v>
      </c>
      <c r="N59" t="n">
        <v>0</v>
      </c>
      <c r="O59" t="n">
        <v>1</v>
      </c>
      <c r="P59" t="n">
        <v>0</v>
      </c>
      <c r="Q59" t="n">
        <v>1</v>
      </c>
      <c r="R59" s="2" t="inlineStr">
        <is>
          <t>Tallticka</t>
        </is>
      </c>
      <c r="S59">
        <f>HYPERLINK("https://klasma.github.io/Logging_2029/artfynd/A 23417-2024 artfynd.xlsx", "A 23417-2024")</f>
        <v/>
      </c>
      <c r="T59">
        <f>HYPERLINK("https://klasma.github.io/Logging_2029/kartor/A 23417-2024 karta.png", "A 23417-2024")</f>
        <v/>
      </c>
      <c r="V59">
        <f>HYPERLINK("https://klasma.github.io/Logging_2029/klagomål/A 23417-2024 FSC-klagomål.docx", "A 23417-2024")</f>
        <v/>
      </c>
      <c r="W59">
        <f>HYPERLINK("https://klasma.github.io/Logging_2029/klagomålsmail/A 23417-2024 FSC-klagomål mail.docx", "A 23417-2024")</f>
        <v/>
      </c>
      <c r="X59">
        <f>HYPERLINK("https://klasma.github.io/Logging_2029/tillsyn/A 23417-2024 tillsynsbegäran.docx", "A 23417-2024")</f>
        <v/>
      </c>
      <c r="Y59">
        <f>HYPERLINK("https://klasma.github.io/Logging_2029/tillsynsmail/A 23417-2024 tillsynsbegäran mail.docx", "A 23417-2024")</f>
        <v/>
      </c>
    </row>
    <row r="60" ht="15" customHeight="1">
      <c r="A60" t="inlineStr">
        <is>
          <t>A 31124-2024</t>
        </is>
      </c>
      <c r="B60" s="1" t="n">
        <v>45502</v>
      </c>
      <c r="C60" s="1" t="n">
        <v>45765</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31794-2024</t>
        </is>
      </c>
      <c r="B61" s="1" t="n">
        <v>45509</v>
      </c>
      <c r="C61" s="1" t="n">
        <v>45765</v>
      </c>
      <c r="D61" t="inlineStr">
        <is>
          <t>DALARNAS LÄN</t>
        </is>
      </c>
      <c r="E61" t="inlineStr">
        <is>
          <t>LEKSAND</t>
        </is>
      </c>
      <c r="F61" t="inlineStr">
        <is>
          <t>Bergvik skog väst AB</t>
        </is>
      </c>
      <c r="G61" t="n">
        <v>6.7</v>
      </c>
      <c r="H61" t="n">
        <v>1</v>
      </c>
      <c r="I61" t="n">
        <v>0</v>
      </c>
      <c r="J61" t="n">
        <v>0</v>
      </c>
      <c r="K61" t="n">
        <v>0</v>
      </c>
      <c r="L61" t="n">
        <v>0</v>
      </c>
      <c r="M61" t="n">
        <v>0</v>
      </c>
      <c r="N61" t="n">
        <v>0</v>
      </c>
      <c r="O61" t="n">
        <v>0</v>
      </c>
      <c r="P61" t="n">
        <v>0</v>
      </c>
      <c r="Q61" t="n">
        <v>1</v>
      </c>
      <c r="R61" s="2" t="inlineStr">
        <is>
          <t>Revlummer</t>
        </is>
      </c>
      <c r="S61">
        <f>HYPERLINK("https://klasma.github.io/Logging_2029/artfynd/A 31794-2024 artfynd.xlsx", "A 31794-2024")</f>
        <v/>
      </c>
      <c r="T61">
        <f>HYPERLINK("https://klasma.github.io/Logging_2029/kartor/A 31794-2024 karta.png", "A 31794-2024")</f>
        <v/>
      </c>
      <c r="V61">
        <f>HYPERLINK("https://klasma.github.io/Logging_2029/klagomål/A 31794-2024 FSC-klagomål.docx", "A 31794-2024")</f>
        <v/>
      </c>
      <c r="W61">
        <f>HYPERLINK("https://klasma.github.io/Logging_2029/klagomålsmail/A 31794-2024 FSC-klagomål mail.docx", "A 31794-2024")</f>
        <v/>
      </c>
      <c r="X61">
        <f>HYPERLINK("https://klasma.github.io/Logging_2029/tillsyn/A 31794-2024 tillsynsbegäran.docx", "A 31794-2024")</f>
        <v/>
      </c>
      <c r="Y61">
        <f>HYPERLINK("https://klasma.github.io/Logging_2029/tillsynsmail/A 31794-2024 tillsynsbegäran mail.docx", "A 31794-2024")</f>
        <v/>
      </c>
    </row>
    <row r="62" ht="15" customHeight="1">
      <c r="A62" t="inlineStr">
        <is>
          <t>A 33554-2024</t>
        </is>
      </c>
      <c r="B62" s="1" t="n">
        <v>45519</v>
      </c>
      <c r="C62" s="1" t="n">
        <v>45765</v>
      </c>
      <c r="D62" t="inlineStr">
        <is>
          <t>DALARNAS LÄN</t>
        </is>
      </c>
      <c r="E62" t="inlineStr">
        <is>
          <t>LEKSAND</t>
        </is>
      </c>
      <c r="G62" t="n">
        <v>11.1</v>
      </c>
      <c r="H62" t="n">
        <v>0</v>
      </c>
      <c r="I62" t="n">
        <v>1</v>
      </c>
      <c r="J62" t="n">
        <v>0</v>
      </c>
      <c r="K62" t="n">
        <v>0</v>
      </c>
      <c r="L62" t="n">
        <v>0</v>
      </c>
      <c r="M62" t="n">
        <v>0</v>
      </c>
      <c r="N62" t="n">
        <v>0</v>
      </c>
      <c r="O62" t="n">
        <v>0</v>
      </c>
      <c r="P62" t="n">
        <v>0</v>
      </c>
      <c r="Q62" t="n">
        <v>1</v>
      </c>
      <c r="R62" s="2" t="inlineStr">
        <is>
          <t>Mindre märgborre</t>
        </is>
      </c>
      <c r="S62">
        <f>HYPERLINK("https://klasma.github.io/Logging_2029/artfynd/A 33554-2024 artfynd.xlsx", "A 33554-2024")</f>
        <v/>
      </c>
      <c r="T62">
        <f>HYPERLINK("https://klasma.github.io/Logging_2029/kartor/A 33554-2024 karta.png", "A 33554-2024")</f>
        <v/>
      </c>
      <c r="V62">
        <f>HYPERLINK("https://klasma.github.io/Logging_2029/klagomål/A 33554-2024 FSC-klagomål.docx", "A 33554-2024")</f>
        <v/>
      </c>
      <c r="W62">
        <f>HYPERLINK("https://klasma.github.io/Logging_2029/klagomålsmail/A 33554-2024 FSC-klagomål mail.docx", "A 33554-2024")</f>
        <v/>
      </c>
      <c r="X62">
        <f>HYPERLINK("https://klasma.github.io/Logging_2029/tillsyn/A 33554-2024 tillsynsbegäran.docx", "A 33554-2024")</f>
        <v/>
      </c>
      <c r="Y62">
        <f>HYPERLINK("https://klasma.github.io/Logging_2029/tillsynsmail/A 33554-2024 tillsynsbegäran mail.docx", "A 33554-2024")</f>
        <v/>
      </c>
    </row>
    <row r="63" ht="15" customHeight="1">
      <c r="A63" t="inlineStr">
        <is>
          <t>A 44138-2024</t>
        </is>
      </c>
      <c r="B63" s="1" t="n">
        <v>45572</v>
      </c>
      <c r="C63" s="1" t="n">
        <v>45765</v>
      </c>
      <c r="D63" t="inlineStr">
        <is>
          <t>DALARNAS LÄN</t>
        </is>
      </c>
      <c r="E63" t="inlineStr">
        <is>
          <t>LEKSAND</t>
        </is>
      </c>
      <c r="G63" t="n">
        <v>2.5</v>
      </c>
      <c r="H63" t="n">
        <v>0</v>
      </c>
      <c r="I63" t="n">
        <v>0</v>
      </c>
      <c r="J63" t="n">
        <v>1</v>
      </c>
      <c r="K63" t="n">
        <v>0</v>
      </c>
      <c r="L63" t="n">
        <v>0</v>
      </c>
      <c r="M63" t="n">
        <v>0</v>
      </c>
      <c r="N63" t="n">
        <v>0</v>
      </c>
      <c r="O63" t="n">
        <v>1</v>
      </c>
      <c r="P63" t="n">
        <v>0</v>
      </c>
      <c r="Q63" t="n">
        <v>1</v>
      </c>
      <c r="R63" s="2" t="inlineStr">
        <is>
          <t>Garnlav</t>
        </is>
      </c>
      <c r="S63">
        <f>HYPERLINK("https://klasma.github.io/Logging_2029/artfynd/A 44138-2024 artfynd.xlsx", "A 44138-2024")</f>
        <v/>
      </c>
      <c r="T63">
        <f>HYPERLINK("https://klasma.github.io/Logging_2029/kartor/A 44138-2024 karta.png", "A 44138-2024")</f>
        <v/>
      </c>
      <c r="V63">
        <f>HYPERLINK("https://klasma.github.io/Logging_2029/klagomål/A 44138-2024 FSC-klagomål.docx", "A 44138-2024")</f>
        <v/>
      </c>
      <c r="W63">
        <f>HYPERLINK("https://klasma.github.io/Logging_2029/klagomålsmail/A 44138-2024 FSC-klagomål mail.docx", "A 44138-2024")</f>
        <v/>
      </c>
      <c r="X63">
        <f>HYPERLINK("https://klasma.github.io/Logging_2029/tillsyn/A 44138-2024 tillsynsbegäran.docx", "A 44138-2024")</f>
        <v/>
      </c>
      <c r="Y63">
        <f>HYPERLINK("https://klasma.github.io/Logging_2029/tillsynsmail/A 44138-2024 tillsynsbegäran mail.docx", "A 44138-2024")</f>
        <v/>
      </c>
    </row>
    <row r="64" ht="15" customHeight="1">
      <c r="A64" t="inlineStr">
        <is>
          <t>A 52600-2024</t>
        </is>
      </c>
      <c r="B64" s="1" t="n">
        <v>45609</v>
      </c>
      <c r="C64" s="1" t="n">
        <v>45765</v>
      </c>
      <c r="D64" t="inlineStr">
        <is>
          <t>DALARNAS LÄN</t>
        </is>
      </c>
      <c r="E64" t="inlineStr">
        <is>
          <t>LEKSAND</t>
        </is>
      </c>
      <c r="G64" t="n">
        <v>3.4</v>
      </c>
      <c r="H64" t="n">
        <v>1</v>
      </c>
      <c r="I64" t="n">
        <v>0</v>
      </c>
      <c r="J64" t="n">
        <v>0</v>
      </c>
      <c r="K64" t="n">
        <v>0</v>
      </c>
      <c r="L64" t="n">
        <v>0</v>
      </c>
      <c r="M64" t="n">
        <v>0</v>
      </c>
      <c r="N64" t="n">
        <v>0</v>
      </c>
      <c r="O64" t="n">
        <v>0</v>
      </c>
      <c r="P64" t="n">
        <v>0</v>
      </c>
      <c r="Q64" t="n">
        <v>1</v>
      </c>
      <c r="R64" s="2" t="inlineStr">
        <is>
          <t>Fläcknycklar</t>
        </is>
      </c>
      <c r="S64">
        <f>HYPERLINK("https://klasma.github.io/Logging_2029/artfynd/A 52600-2024 artfynd.xlsx", "A 52600-2024")</f>
        <v/>
      </c>
      <c r="T64">
        <f>HYPERLINK("https://klasma.github.io/Logging_2029/kartor/A 52600-2024 karta.png", "A 52600-2024")</f>
        <v/>
      </c>
      <c r="V64">
        <f>HYPERLINK("https://klasma.github.io/Logging_2029/klagomål/A 52600-2024 FSC-klagomål.docx", "A 52600-2024")</f>
        <v/>
      </c>
      <c r="W64">
        <f>HYPERLINK("https://klasma.github.io/Logging_2029/klagomålsmail/A 52600-2024 FSC-klagomål mail.docx", "A 52600-2024")</f>
        <v/>
      </c>
      <c r="X64">
        <f>HYPERLINK("https://klasma.github.io/Logging_2029/tillsyn/A 52600-2024 tillsynsbegäran.docx", "A 52600-2024")</f>
        <v/>
      </c>
      <c r="Y64">
        <f>HYPERLINK("https://klasma.github.io/Logging_2029/tillsynsmail/A 52600-2024 tillsynsbegäran mail.docx", "A 52600-2024")</f>
        <v/>
      </c>
    </row>
    <row r="65" ht="15" customHeight="1">
      <c r="A65" t="inlineStr">
        <is>
          <t>A 55633-2024</t>
        </is>
      </c>
      <c r="B65" s="1" t="n">
        <v>45621</v>
      </c>
      <c r="C65" s="1" t="n">
        <v>45765</v>
      </c>
      <c r="D65" t="inlineStr">
        <is>
          <t>DALARNAS LÄN</t>
        </is>
      </c>
      <c r="E65" t="inlineStr">
        <is>
          <t>LEKSAND</t>
        </is>
      </c>
      <c r="G65" t="n">
        <v>7.8</v>
      </c>
      <c r="H65" t="n">
        <v>0</v>
      </c>
      <c r="I65" t="n">
        <v>0</v>
      </c>
      <c r="J65" t="n">
        <v>1</v>
      </c>
      <c r="K65" t="n">
        <v>0</v>
      </c>
      <c r="L65" t="n">
        <v>0</v>
      </c>
      <c r="M65" t="n">
        <v>0</v>
      </c>
      <c r="N65" t="n">
        <v>0</v>
      </c>
      <c r="O65" t="n">
        <v>1</v>
      </c>
      <c r="P65" t="n">
        <v>0</v>
      </c>
      <c r="Q65" t="n">
        <v>1</v>
      </c>
      <c r="R65" s="2" t="inlineStr">
        <is>
          <t>Ullticka</t>
        </is>
      </c>
      <c r="S65">
        <f>HYPERLINK("https://klasma.github.io/Logging_2029/artfynd/A 55633-2024 artfynd.xlsx", "A 55633-2024")</f>
        <v/>
      </c>
      <c r="T65">
        <f>HYPERLINK("https://klasma.github.io/Logging_2029/kartor/A 55633-2024 karta.png", "A 55633-2024")</f>
        <v/>
      </c>
      <c r="V65">
        <f>HYPERLINK("https://klasma.github.io/Logging_2029/klagomål/A 55633-2024 FSC-klagomål.docx", "A 55633-2024")</f>
        <v/>
      </c>
      <c r="W65">
        <f>HYPERLINK("https://klasma.github.io/Logging_2029/klagomålsmail/A 55633-2024 FSC-klagomål mail.docx", "A 55633-2024")</f>
        <v/>
      </c>
      <c r="X65">
        <f>HYPERLINK("https://klasma.github.io/Logging_2029/tillsyn/A 55633-2024 tillsynsbegäran.docx", "A 55633-2024")</f>
        <v/>
      </c>
      <c r="Y65">
        <f>HYPERLINK("https://klasma.github.io/Logging_2029/tillsynsmail/A 55633-2024 tillsynsbegäran mail.docx", "A 55633-2024")</f>
        <v/>
      </c>
    </row>
    <row r="66" ht="15" customHeight="1">
      <c r="A66" t="inlineStr">
        <is>
          <t>A 6029-2025</t>
        </is>
      </c>
      <c r="B66" s="1" t="n">
        <v>45695</v>
      </c>
      <c r="C66" s="1" t="n">
        <v>45765</v>
      </c>
      <c r="D66" t="inlineStr">
        <is>
          <t>DALARNAS LÄN</t>
        </is>
      </c>
      <c r="E66" t="inlineStr">
        <is>
          <t>LEKSAND</t>
        </is>
      </c>
      <c r="G66" t="n">
        <v>3.5</v>
      </c>
      <c r="H66" t="n">
        <v>1</v>
      </c>
      <c r="I66" t="n">
        <v>0</v>
      </c>
      <c r="J66" t="n">
        <v>1</v>
      </c>
      <c r="K66" t="n">
        <v>0</v>
      </c>
      <c r="L66" t="n">
        <v>0</v>
      </c>
      <c r="M66" t="n">
        <v>0</v>
      </c>
      <c r="N66" t="n">
        <v>0</v>
      </c>
      <c r="O66" t="n">
        <v>1</v>
      </c>
      <c r="P66" t="n">
        <v>0</v>
      </c>
      <c r="Q66" t="n">
        <v>1</v>
      </c>
      <c r="R66" s="2" t="inlineStr">
        <is>
          <t>Spillkråka</t>
        </is>
      </c>
      <c r="S66">
        <f>HYPERLINK("https://klasma.github.io/Logging_2029/artfynd/A 6029-2025 artfynd.xlsx", "A 6029-2025")</f>
        <v/>
      </c>
      <c r="T66">
        <f>HYPERLINK("https://klasma.github.io/Logging_2029/kartor/A 6029-2025 karta.png", "A 6029-2025")</f>
        <v/>
      </c>
      <c r="V66">
        <f>HYPERLINK("https://klasma.github.io/Logging_2029/klagomål/A 6029-2025 FSC-klagomål.docx", "A 6029-2025")</f>
        <v/>
      </c>
      <c r="W66">
        <f>HYPERLINK("https://klasma.github.io/Logging_2029/klagomålsmail/A 6029-2025 FSC-klagomål mail.docx", "A 6029-2025")</f>
        <v/>
      </c>
      <c r="X66">
        <f>HYPERLINK("https://klasma.github.io/Logging_2029/tillsyn/A 6029-2025 tillsynsbegäran.docx", "A 6029-2025")</f>
        <v/>
      </c>
      <c r="Y66">
        <f>HYPERLINK("https://klasma.github.io/Logging_2029/tillsynsmail/A 6029-2025 tillsynsbegäran mail.docx", "A 6029-2025")</f>
        <v/>
      </c>
      <c r="Z66">
        <f>HYPERLINK("https://klasma.github.io/Logging_2029/fåglar/A 6029-2025 prioriterade fågelarter.docx", "A 6029-2025")</f>
        <v/>
      </c>
    </row>
    <row r="67" ht="15" customHeight="1">
      <c r="A67" t="inlineStr">
        <is>
          <t>A 16735-2025</t>
        </is>
      </c>
      <c r="B67" s="1" t="n">
        <v>45754</v>
      </c>
      <c r="C67" s="1" t="n">
        <v>45765</v>
      </c>
      <c r="D67" t="inlineStr">
        <is>
          <t>DALARNAS LÄN</t>
        </is>
      </c>
      <c r="E67" t="inlineStr">
        <is>
          <t>LEKSAND</t>
        </is>
      </c>
      <c r="G67" t="n">
        <v>1.8</v>
      </c>
      <c r="H67" t="n">
        <v>1</v>
      </c>
      <c r="I67" t="n">
        <v>0</v>
      </c>
      <c r="J67" t="n">
        <v>0</v>
      </c>
      <c r="K67" t="n">
        <v>0</v>
      </c>
      <c r="L67" t="n">
        <v>0</v>
      </c>
      <c r="M67" t="n">
        <v>0</v>
      </c>
      <c r="N67" t="n">
        <v>0</v>
      </c>
      <c r="O67" t="n">
        <v>0</v>
      </c>
      <c r="P67" t="n">
        <v>0</v>
      </c>
      <c r="Q67" t="n">
        <v>1</v>
      </c>
      <c r="R67" s="2" t="inlineStr">
        <is>
          <t>Gröngöling</t>
        </is>
      </c>
      <c r="S67">
        <f>HYPERLINK("https://klasma.github.io/Logging_202029/artfynd/A 16735-2025 artfynd.xlsx", "A 16735-2025")</f>
        <v/>
      </c>
      <c r="T67">
        <f>HYPERLINK("https://klasma.github.io/Logging_202029/kartor/A 16735-2025 karta.png", "A 16735-2025")</f>
        <v/>
      </c>
      <c r="V67">
        <f>HYPERLINK("https://klasma.github.io/Logging_202029/klagomål/A 16735-2025 FSC-klagomål.docx", "A 16735-2025")</f>
        <v/>
      </c>
      <c r="W67">
        <f>HYPERLINK("https://klasma.github.io/Logging_202029/klagomålsmail/A 16735-2025 FSC-klagomål mail.docx", "A 16735-2025")</f>
        <v/>
      </c>
      <c r="X67">
        <f>HYPERLINK("https://klasma.github.io/Logging_202029/tillsyn/A 16735-2025 tillsynsbegäran.docx", "A 16735-2025")</f>
        <v/>
      </c>
      <c r="Y67">
        <f>HYPERLINK("https://klasma.github.io/Logging_202029/tillsynsmail/A 16735-2025 tillsynsbegäran mail.docx", "A 16735-2025")</f>
        <v/>
      </c>
      <c r="Z67">
        <f>HYPERLINK("https://klasma.github.io/Logging_202029/fåglar/A 16735-2025 prioriterade fågelarter.docx", "A 16735-2025")</f>
        <v/>
      </c>
    </row>
    <row r="68" ht="15" customHeight="1">
      <c r="A68" t="inlineStr">
        <is>
          <t>A 17822-2019</t>
        </is>
      </c>
      <c r="B68" s="1" t="n">
        <v>43556</v>
      </c>
      <c r="C68" s="1" t="n">
        <v>45765</v>
      </c>
      <c r="D68" t="inlineStr">
        <is>
          <t>DALARNAS LÄN</t>
        </is>
      </c>
      <c r="E68" t="inlineStr">
        <is>
          <t>LEKSAND</t>
        </is>
      </c>
      <c r="G68" t="n">
        <v>0.8</v>
      </c>
      <c r="H68" t="n">
        <v>0</v>
      </c>
      <c r="I68" t="n">
        <v>0</v>
      </c>
      <c r="J68" t="n">
        <v>0</v>
      </c>
      <c r="K68" t="n">
        <v>0</v>
      </c>
      <c r="L68" t="n">
        <v>0</v>
      </c>
      <c r="M68" t="n">
        <v>0</v>
      </c>
      <c r="N68" t="n">
        <v>0</v>
      </c>
      <c r="O68" t="n">
        <v>0</v>
      </c>
      <c r="P68" t="n">
        <v>0</v>
      </c>
      <c r="Q68" t="n">
        <v>0</v>
      </c>
      <c r="R68" s="2" t="inlineStr"/>
    </row>
    <row r="69" ht="15" customHeight="1">
      <c r="A69" t="inlineStr">
        <is>
          <t>A 17967-2019</t>
        </is>
      </c>
      <c r="B69" s="1" t="n">
        <v>43557</v>
      </c>
      <c r="C69" s="1" t="n">
        <v>45765</v>
      </c>
      <c r="D69" t="inlineStr">
        <is>
          <t>DALARNAS LÄN</t>
        </is>
      </c>
      <c r="E69" t="inlineStr">
        <is>
          <t>LEKSAND</t>
        </is>
      </c>
      <c r="G69" t="n">
        <v>0.6</v>
      </c>
      <c r="H69" t="n">
        <v>0</v>
      </c>
      <c r="I69" t="n">
        <v>0</v>
      </c>
      <c r="J69" t="n">
        <v>0</v>
      </c>
      <c r="K69" t="n">
        <v>0</v>
      </c>
      <c r="L69" t="n">
        <v>0</v>
      </c>
      <c r="M69" t="n">
        <v>0</v>
      </c>
      <c r="N69" t="n">
        <v>0</v>
      </c>
      <c r="O69" t="n">
        <v>0</v>
      </c>
      <c r="P69" t="n">
        <v>0</v>
      </c>
      <c r="Q69" t="n">
        <v>0</v>
      </c>
      <c r="R69" s="2" t="inlineStr"/>
    </row>
    <row r="70" ht="15" customHeight="1">
      <c r="A70" t="inlineStr">
        <is>
          <t>A 17970-2019</t>
        </is>
      </c>
      <c r="B70" s="1" t="n">
        <v>43557</v>
      </c>
      <c r="C70" s="1" t="n">
        <v>45765</v>
      </c>
      <c r="D70" t="inlineStr">
        <is>
          <t>DALARNAS LÄN</t>
        </is>
      </c>
      <c r="E70" t="inlineStr">
        <is>
          <t>LEKSAND</t>
        </is>
      </c>
      <c r="G70" t="n">
        <v>2.5</v>
      </c>
      <c r="H70" t="n">
        <v>0</v>
      </c>
      <c r="I70" t="n">
        <v>0</v>
      </c>
      <c r="J70" t="n">
        <v>0</v>
      </c>
      <c r="K70" t="n">
        <v>0</v>
      </c>
      <c r="L70" t="n">
        <v>0</v>
      </c>
      <c r="M70" t="n">
        <v>0</v>
      </c>
      <c r="N70" t="n">
        <v>0</v>
      </c>
      <c r="O70" t="n">
        <v>0</v>
      </c>
      <c r="P70" t="n">
        <v>0</v>
      </c>
      <c r="Q70" t="n">
        <v>0</v>
      </c>
      <c r="R70" s="2" t="inlineStr"/>
    </row>
    <row r="71" ht="15" customHeight="1">
      <c r="A71" t="inlineStr">
        <is>
          <t>A 18238-2019</t>
        </is>
      </c>
      <c r="B71" s="1" t="n">
        <v>43558</v>
      </c>
      <c r="C71" s="1" t="n">
        <v>45765</v>
      </c>
      <c r="D71" t="inlineStr">
        <is>
          <t>DALARNAS LÄN</t>
        </is>
      </c>
      <c r="E71" t="inlineStr">
        <is>
          <t>LEKSAND</t>
        </is>
      </c>
      <c r="G71" t="n">
        <v>3.3</v>
      </c>
      <c r="H71" t="n">
        <v>0</v>
      </c>
      <c r="I71" t="n">
        <v>0</v>
      </c>
      <c r="J71" t="n">
        <v>0</v>
      </c>
      <c r="K71" t="n">
        <v>0</v>
      </c>
      <c r="L71" t="n">
        <v>0</v>
      </c>
      <c r="M71" t="n">
        <v>0</v>
      </c>
      <c r="N71" t="n">
        <v>0</v>
      </c>
      <c r="O71" t="n">
        <v>0</v>
      </c>
      <c r="P71" t="n">
        <v>0</v>
      </c>
      <c r="Q71" t="n">
        <v>0</v>
      </c>
      <c r="R71" s="2" t="inlineStr"/>
    </row>
    <row r="72" ht="15" customHeight="1">
      <c r="A72" t="inlineStr">
        <is>
          <t>A 19703-2019</t>
        </is>
      </c>
      <c r="B72" s="1" t="n">
        <v>43566</v>
      </c>
      <c r="C72" s="1" t="n">
        <v>45765</v>
      </c>
      <c r="D72" t="inlineStr">
        <is>
          <t>DALARNAS LÄN</t>
        </is>
      </c>
      <c r="E72" t="inlineStr">
        <is>
          <t>LEKSAND</t>
        </is>
      </c>
      <c r="G72" t="n">
        <v>0.4</v>
      </c>
      <c r="H72" t="n">
        <v>0</v>
      </c>
      <c r="I72" t="n">
        <v>0</v>
      </c>
      <c r="J72" t="n">
        <v>0</v>
      </c>
      <c r="K72" t="n">
        <v>0</v>
      </c>
      <c r="L72" t="n">
        <v>0</v>
      </c>
      <c r="M72" t="n">
        <v>0</v>
      </c>
      <c r="N72" t="n">
        <v>0</v>
      </c>
      <c r="O72" t="n">
        <v>0</v>
      </c>
      <c r="P72" t="n">
        <v>0</v>
      </c>
      <c r="Q72" t="n">
        <v>0</v>
      </c>
      <c r="R72" s="2" t="inlineStr"/>
    </row>
    <row r="73" ht="15" customHeight="1">
      <c r="A73" t="inlineStr">
        <is>
          <t>A 19790-2019</t>
        </is>
      </c>
      <c r="B73" s="1" t="n">
        <v>43566</v>
      </c>
      <c r="C73" s="1" t="n">
        <v>45765</v>
      </c>
      <c r="D73" t="inlineStr">
        <is>
          <t>DALARNAS LÄN</t>
        </is>
      </c>
      <c r="E73" t="inlineStr">
        <is>
          <t>LEKSAND</t>
        </is>
      </c>
      <c r="G73" t="n">
        <v>11.4</v>
      </c>
      <c r="H73" t="n">
        <v>0</v>
      </c>
      <c r="I73" t="n">
        <v>0</v>
      </c>
      <c r="J73" t="n">
        <v>0</v>
      </c>
      <c r="K73" t="n">
        <v>0</v>
      </c>
      <c r="L73" t="n">
        <v>0</v>
      </c>
      <c r="M73" t="n">
        <v>0</v>
      </c>
      <c r="N73" t="n">
        <v>0</v>
      </c>
      <c r="O73" t="n">
        <v>0</v>
      </c>
      <c r="P73" t="n">
        <v>0</v>
      </c>
      <c r="Q73" t="n">
        <v>0</v>
      </c>
      <c r="R73" s="2" t="inlineStr"/>
    </row>
    <row r="74" ht="15" customHeight="1">
      <c r="A74" t="inlineStr">
        <is>
          <t>A 22975-2019</t>
        </is>
      </c>
      <c r="B74" s="1" t="n">
        <v>43591</v>
      </c>
      <c r="C74" s="1" t="n">
        <v>45765</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24300-2019</t>
        </is>
      </c>
      <c r="B75" s="1" t="n">
        <v>43598</v>
      </c>
      <c r="C75" s="1" t="n">
        <v>45765</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24051-2019</t>
        </is>
      </c>
      <c r="B76" s="1" t="n">
        <v>43598</v>
      </c>
      <c r="C76" s="1" t="n">
        <v>45765</v>
      </c>
      <c r="D76" t="inlineStr">
        <is>
          <t>DALARNAS LÄN</t>
        </is>
      </c>
      <c r="E76" t="inlineStr">
        <is>
          <t>LEKSAND</t>
        </is>
      </c>
      <c r="G76" t="n">
        <v>5.4</v>
      </c>
      <c r="H76" t="n">
        <v>0</v>
      </c>
      <c r="I76" t="n">
        <v>0</v>
      </c>
      <c r="J76" t="n">
        <v>0</v>
      </c>
      <c r="K76" t="n">
        <v>0</v>
      </c>
      <c r="L76" t="n">
        <v>0</v>
      </c>
      <c r="M76" t="n">
        <v>0</v>
      </c>
      <c r="N76" t="n">
        <v>0</v>
      </c>
      <c r="O76" t="n">
        <v>0</v>
      </c>
      <c r="P76" t="n">
        <v>0</v>
      </c>
      <c r="Q76" t="n">
        <v>0</v>
      </c>
      <c r="R76" s="2" t="inlineStr"/>
    </row>
    <row r="77" ht="15" customHeight="1">
      <c r="A77" t="inlineStr">
        <is>
          <t>A 24542-2019</t>
        </is>
      </c>
      <c r="B77" s="1" t="n">
        <v>43600</v>
      </c>
      <c r="C77" s="1" t="n">
        <v>45765</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32532-2019</t>
        </is>
      </c>
      <c r="B78" s="1" t="n">
        <v>43646</v>
      </c>
      <c r="C78" s="1" t="n">
        <v>45765</v>
      </c>
      <c r="D78" t="inlineStr">
        <is>
          <t>DALARNAS LÄN</t>
        </is>
      </c>
      <c r="E78" t="inlineStr">
        <is>
          <t>LEKSAND</t>
        </is>
      </c>
      <c r="G78" t="n">
        <v>3.1</v>
      </c>
      <c r="H78" t="n">
        <v>0</v>
      </c>
      <c r="I78" t="n">
        <v>0</v>
      </c>
      <c r="J78" t="n">
        <v>0</v>
      </c>
      <c r="K78" t="n">
        <v>0</v>
      </c>
      <c r="L78" t="n">
        <v>0</v>
      </c>
      <c r="M78" t="n">
        <v>0</v>
      </c>
      <c r="N78" t="n">
        <v>0</v>
      </c>
      <c r="O78" t="n">
        <v>0</v>
      </c>
      <c r="P78" t="n">
        <v>0</v>
      </c>
      <c r="Q78" t="n">
        <v>0</v>
      </c>
      <c r="R78" s="2" t="inlineStr"/>
    </row>
    <row r="79" ht="15" customHeight="1">
      <c r="A79" t="inlineStr">
        <is>
          <t>A 33903-2019</t>
        </is>
      </c>
      <c r="B79" s="1" t="n">
        <v>43654</v>
      </c>
      <c r="C79" s="1" t="n">
        <v>45765</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36014-2019</t>
        </is>
      </c>
      <c r="B80" s="1" t="n">
        <v>43657</v>
      </c>
      <c r="C80" s="1" t="n">
        <v>45765</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36023-2019</t>
        </is>
      </c>
      <c r="B81" s="1" t="n">
        <v>43657</v>
      </c>
      <c r="C81" s="1" t="n">
        <v>45765</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36287-2019</t>
        </is>
      </c>
      <c r="B82" s="1" t="n">
        <v>43669</v>
      </c>
      <c r="C82" s="1" t="n">
        <v>45765</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37733-2019</t>
        </is>
      </c>
      <c r="B83" s="1" t="n">
        <v>43682</v>
      </c>
      <c r="C83" s="1" t="n">
        <v>45765</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37822-2019</t>
        </is>
      </c>
      <c r="B84" s="1" t="n">
        <v>43682</v>
      </c>
      <c r="C84" s="1" t="n">
        <v>45765</v>
      </c>
      <c r="D84" t="inlineStr">
        <is>
          <t>DALARNAS LÄN</t>
        </is>
      </c>
      <c r="E84" t="inlineStr">
        <is>
          <t>LEKSAND</t>
        </is>
      </c>
      <c r="G84" t="n">
        <v>8.9</v>
      </c>
      <c r="H84" t="n">
        <v>0</v>
      </c>
      <c r="I84" t="n">
        <v>0</v>
      </c>
      <c r="J84" t="n">
        <v>0</v>
      </c>
      <c r="K84" t="n">
        <v>0</v>
      </c>
      <c r="L84" t="n">
        <v>0</v>
      </c>
      <c r="M84" t="n">
        <v>0</v>
      </c>
      <c r="N84" t="n">
        <v>0</v>
      </c>
      <c r="O84" t="n">
        <v>0</v>
      </c>
      <c r="P84" t="n">
        <v>0</v>
      </c>
      <c r="Q84" t="n">
        <v>0</v>
      </c>
      <c r="R84" s="2" t="inlineStr"/>
    </row>
    <row r="85" ht="15" customHeight="1">
      <c r="A85" t="inlineStr">
        <is>
          <t>A 38350-2019</t>
        </is>
      </c>
      <c r="B85" s="1" t="n">
        <v>43685</v>
      </c>
      <c r="C85" s="1" t="n">
        <v>45765</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39025-2019</t>
        </is>
      </c>
      <c r="B86" s="1" t="n">
        <v>43689</v>
      </c>
      <c r="C86" s="1" t="n">
        <v>45765</v>
      </c>
      <c r="D86" t="inlineStr">
        <is>
          <t>DALARNAS LÄN</t>
        </is>
      </c>
      <c r="E86" t="inlineStr">
        <is>
          <t>LEKSAND</t>
        </is>
      </c>
      <c r="F86" t="inlineStr">
        <is>
          <t>Bergvik skog väst AB</t>
        </is>
      </c>
      <c r="G86" t="n">
        <v>10.1</v>
      </c>
      <c r="H86" t="n">
        <v>0</v>
      </c>
      <c r="I86" t="n">
        <v>0</v>
      </c>
      <c r="J86" t="n">
        <v>0</v>
      </c>
      <c r="K86" t="n">
        <v>0</v>
      </c>
      <c r="L86" t="n">
        <v>0</v>
      </c>
      <c r="M86" t="n">
        <v>0</v>
      </c>
      <c r="N86" t="n">
        <v>0</v>
      </c>
      <c r="O86" t="n">
        <v>0</v>
      </c>
      <c r="P86" t="n">
        <v>0</v>
      </c>
      <c r="Q86" t="n">
        <v>0</v>
      </c>
      <c r="R86" s="2" t="inlineStr"/>
    </row>
    <row r="87" ht="15" customHeight="1">
      <c r="A87" t="inlineStr">
        <is>
          <t>A 41329-2019</t>
        </is>
      </c>
      <c r="B87" s="1" t="n">
        <v>43698</v>
      </c>
      <c r="C87" s="1" t="n">
        <v>45765</v>
      </c>
      <c r="D87" t="inlineStr">
        <is>
          <t>DALARNAS LÄN</t>
        </is>
      </c>
      <c r="E87" t="inlineStr">
        <is>
          <t>LEKSAND</t>
        </is>
      </c>
      <c r="G87" t="n">
        <v>2</v>
      </c>
      <c r="H87" t="n">
        <v>0</v>
      </c>
      <c r="I87" t="n">
        <v>0</v>
      </c>
      <c r="J87" t="n">
        <v>0</v>
      </c>
      <c r="K87" t="n">
        <v>0</v>
      </c>
      <c r="L87" t="n">
        <v>0</v>
      </c>
      <c r="M87" t="n">
        <v>0</v>
      </c>
      <c r="N87" t="n">
        <v>0</v>
      </c>
      <c r="O87" t="n">
        <v>0</v>
      </c>
      <c r="P87" t="n">
        <v>0</v>
      </c>
      <c r="Q87" t="n">
        <v>0</v>
      </c>
      <c r="R87" s="2" t="inlineStr"/>
    </row>
    <row r="88" ht="15" customHeight="1">
      <c r="A88" t="inlineStr">
        <is>
          <t>A 43082-2019</t>
        </is>
      </c>
      <c r="B88" s="1" t="n">
        <v>43705</v>
      </c>
      <c r="C88" s="1" t="n">
        <v>45765</v>
      </c>
      <c r="D88" t="inlineStr">
        <is>
          <t>DALARNAS LÄN</t>
        </is>
      </c>
      <c r="E88" t="inlineStr">
        <is>
          <t>LEKSAND</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43887-2019</t>
        </is>
      </c>
      <c r="B89" s="1" t="n">
        <v>43707</v>
      </c>
      <c r="C89" s="1" t="n">
        <v>45765</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43884-2019</t>
        </is>
      </c>
      <c r="B90" s="1" t="n">
        <v>43707</v>
      </c>
      <c r="C90" s="1" t="n">
        <v>45765</v>
      </c>
      <c r="D90" t="inlineStr">
        <is>
          <t>DALARNAS LÄN</t>
        </is>
      </c>
      <c r="E90" t="inlineStr">
        <is>
          <t>LEKSAND</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44058-2019</t>
        </is>
      </c>
      <c r="B91" s="1" t="n">
        <v>43710</v>
      </c>
      <c r="C91" s="1" t="n">
        <v>45765</v>
      </c>
      <c r="D91" t="inlineStr">
        <is>
          <t>DALARNAS LÄN</t>
        </is>
      </c>
      <c r="E91" t="inlineStr">
        <is>
          <t>LEKSAND</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45526-2019</t>
        </is>
      </c>
      <c r="B92" s="1" t="n">
        <v>43714</v>
      </c>
      <c r="C92" s="1" t="n">
        <v>45765</v>
      </c>
      <c r="D92" t="inlineStr">
        <is>
          <t>DALARNAS LÄN</t>
        </is>
      </c>
      <c r="E92" t="inlineStr">
        <is>
          <t>LEKSAND</t>
        </is>
      </c>
      <c r="F92" t="inlineStr">
        <is>
          <t>Bergvik skog väst AB</t>
        </is>
      </c>
      <c r="G92" t="n">
        <v>5.9</v>
      </c>
      <c r="H92" t="n">
        <v>0</v>
      </c>
      <c r="I92" t="n">
        <v>0</v>
      </c>
      <c r="J92" t="n">
        <v>0</v>
      </c>
      <c r="K92" t="n">
        <v>0</v>
      </c>
      <c r="L92" t="n">
        <v>0</v>
      </c>
      <c r="M92" t="n">
        <v>0</v>
      </c>
      <c r="N92" t="n">
        <v>0</v>
      </c>
      <c r="O92" t="n">
        <v>0</v>
      </c>
      <c r="P92" t="n">
        <v>0</v>
      </c>
      <c r="Q92" t="n">
        <v>0</v>
      </c>
      <c r="R92" s="2" t="inlineStr"/>
    </row>
    <row r="93" ht="15" customHeight="1">
      <c r="A93" t="inlineStr">
        <is>
          <t>A 45572-2019</t>
        </is>
      </c>
      <c r="B93" s="1" t="n">
        <v>43716</v>
      </c>
      <c r="C93" s="1" t="n">
        <v>45765</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46739-2019</t>
        </is>
      </c>
      <c r="B94" s="1" t="n">
        <v>43719</v>
      </c>
      <c r="C94" s="1" t="n">
        <v>45765</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46740-2019</t>
        </is>
      </c>
      <c r="B95" s="1" t="n">
        <v>43719</v>
      </c>
      <c r="C95" s="1" t="n">
        <v>45765</v>
      </c>
      <c r="D95" t="inlineStr">
        <is>
          <t>DALARNAS LÄN</t>
        </is>
      </c>
      <c r="E95" t="inlineStr">
        <is>
          <t>LEKSAND</t>
        </is>
      </c>
      <c r="G95" t="n">
        <v>0.3</v>
      </c>
      <c r="H95" t="n">
        <v>0</v>
      </c>
      <c r="I95" t="n">
        <v>0</v>
      </c>
      <c r="J95" t="n">
        <v>0</v>
      </c>
      <c r="K95" t="n">
        <v>0</v>
      </c>
      <c r="L95" t="n">
        <v>0</v>
      </c>
      <c r="M95" t="n">
        <v>0</v>
      </c>
      <c r="N95" t="n">
        <v>0</v>
      </c>
      <c r="O95" t="n">
        <v>0</v>
      </c>
      <c r="P95" t="n">
        <v>0</v>
      </c>
      <c r="Q95" t="n">
        <v>0</v>
      </c>
      <c r="R95" s="2" t="inlineStr"/>
    </row>
    <row r="96" ht="15" customHeight="1">
      <c r="A96" t="inlineStr">
        <is>
          <t>A 47532-2019</t>
        </is>
      </c>
      <c r="B96" s="1" t="n">
        <v>43724</v>
      </c>
      <c r="C96" s="1" t="n">
        <v>45765</v>
      </c>
      <c r="D96" t="inlineStr">
        <is>
          <t>DALARNAS LÄN</t>
        </is>
      </c>
      <c r="E96" t="inlineStr">
        <is>
          <t>LEKSAND</t>
        </is>
      </c>
      <c r="G96" t="n">
        <v>2.3</v>
      </c>
      <c r="H96" t="n">
        <v>0</v>
      </c>
      <c r="I96" t="n">
        <v>0</v>
      </c>
      <c r="J96" t="n">
        <v>0</v>
      </c>
      <c r="K96" t="n">
        <v>0</v>
      </c>
      <c r="L96" t="n">
        <v>0</v>
      </c>
      <c r="M96" t="n">
        <v>0</v>
      </c>
      <c r="N96" t="n">
        <v>0</v>
      </c>
      <c r="O96" t="n">
        <v>0</v>
      </c>
      <c r="P96" t="n">
        <v>0</v>
      </c>
      <c r="Q96" t="n">
        <v>0</v>
      </c>
      <c r="R96" s="2" t="inlineStr"/>
    </row>
    <row r="97" ht="15" customHeight="1">
      <c r="A97" t="inlineStr">
        <is>
          <t>A 49132-2019</t>
        </is>
      </c>
      <c r="B97" s="1" t="n">
        <v>43728</v>
      </c>
      <c r="C97" s="1" t="n">
        <v>45765</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51390-2019</t>
        </is>
      </c>
      <c r="B98" s="1" t="n">
        <v>43733</v>
      </c>
      <c r="C98" s="1" t="n">
        <v>45765</v>
      </c>
      <c r="D98" t="inlineStr">
        <is>
          <t>DALARNAS LÄN</t>
        </is>
      </c>
      <c r="E98" t="inlineStr">
        <is>
          <t>LEKSAND</t>
        </is>
      </c>
      <c r="G98" t="n">
        <v>4.7</v>
      </c>
      <c r="H98" t="n">
        <v>0</v>
      </c>
      <c r="I98" t="n">
        <v>0</v>
      </c>
      <c r="J98" t="n">
        <v>0</v>
      </c>
      <c r="K98" t="n">
        <v>0</v>
      </c>
      <c r="L98" t="n">
        <v>0</v>
      </c>
      <c r="M98" t="n">
        <v>0</v>
      </c>
      <c r="N98" t="n">
        <v>0</v>
      </c>
      <c r="O98" t="n">
        <v>0</v>
      </c>
      <c r="P98" t="n">
        <v>0</v>
      </c>
      <c r="Q98" t="n">
        <v>0</v>
      </c>
      <c r="R98" s="2" t="inlineStr"/>
    </row>
    <row r="99" ht="15" customHeight="1">
      <c r="A99" t="inlineStr">
        <is>
          <t>A 50532-2019</t>
        </is>
      </c>
      <c r="B99" s="1" t="n">
        <v>43735</v>
      </c>
      <c r="C99" s="1" t="n">
        <v>45765</v>
      </c>
      <c r="D99" t="inlineStr">
        <is>
          <t>DALARNAS LÄN</t>
        </is>
      </c>
      <c r="E99" t="inlineStr">
        <is>
          <t>LEKSAND</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52130-2019</t>
        </is>
      </c>
      <c r="B100" s="1" t="n">
        <v>43735</v>
      </c>
      <c r="C100" s="1" t="n">
        <v>45765</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52827-2019</t>
        </is>
      </c>
      <c r="B101" s="1" t="n">
        <v>43746</v>
      </c>
      <c r="C101" s="1" t="n">
        <v>45765</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52957-2019</t>
        </is>
      </c>
      <c r="B102" s="1" t="n">
        <v>43747</v>
      </c>
      <c r="C102" s="1" t="n">
        <v>45765</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53553-2019</t>
        </is>
      </c>
      <c r="B103" s="1" t="n">
        <v>43749</v>
      </c>
      <c r="C103" s="1" t="n">
        <v>45765</v>
      </c>
      <c r="D103" t="inlineStr">
        <is>
          <t>DALARNAS LÄN</t>
        </is>
      </c>
      <c r="E103" t="inlineStr">
        <is>
          <t>LEKSAND</t>
        </is>
      </c>
      <c r="G103" t="n">
        <v>1.4</v>
      </c>
      <c r="H103" t="n">
        <v>0</v>
      </c>
      <c r="I103" t="n">
        <v>0</v>
      </c>
      <c r="J103" t="n">
        <v>0</v>
      </c>
      <c r="K103" t="n">
        <v>0</v>
      </c>
      <c r="L103" t="n">
        <v>0</v>
      </c>
      <c r="M103" t="n">
        <v>0</v>
      </c>
      <c r="N103" t="n">
        <v>0</v>
      </c>
      <c r="O103" t="n">
        <v>0</v>
      </c>
      <c r="P103" t="n">
        <v>0</v>
      </c>
      <c r="Q103" t="n">
        <v>0</v>
      </c>
      <c r="R103" s="2" t="inlineStr"/>
    </row>
    <row r="104" ht="15" customHeight="1">
      <c r="A104" t="inlineStr">
        <is>
          <t>A 56844-2019</t>
        </is>
      </c>
      <c r="B104" s="1" t="n">
        <v>43765</v>
      </c>
      <c r="C104" s="1" t="n">
        <v>45765</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57221-2019</t>
        </is>
      </c>
      <c r="B105" s="1" t="n">
        <v>43767</v>
      </c>
      <c r="C105" s="1" t="n">
        <v>45765</v>
      </c>
      <c r="D105" t="inlineStr">
        <is>
          <t>DALARNAS LÄN</t>
        </is>
      </c>
      <c r="E105" t="inlineStr">
        <is>
          <t>LEKSAND</t>
        </is>
      </c>
      <c r="G105" t="n">
        <v>1</v>
      </c>
      <c r="H105" t="n">
        <v>0</v>
      </c>
      <c r="I105" t="n">
        <v>0</v>
      </c>
      <c r="J105" t="n">
        <v>0</v>
      </c>
      <c r="K105" t="n">
        <v>0</v>
      </c>
      <c r="L105" t="n">
        <v>0</v>
      </c>
      <c r="M105" t="n">
        <v>0</v>
      </c>
      <c r="N105" t="n">
        <v>0</v>
      </c>
      <c r="O105" t="n">
        <v>0</v>
      </c>
      <c r="P105" t="n">
        <v>0</v>
      </c>
      <c r="Q105" t="n">
        <v>0</v>
      </c>
      <c r="R105" s="2" t="inlineStr"/>
    </row>
    <row r="106" ht="15" customHeight="1">
      <c r="A106" t="inlineStr">
        <is>
          <t>A 58237-2019</t>
        </is>
      </c>
      <c r="B106" s="1" t="n">
        <v>43770</v>
      </c>
      <c r="C106" s="1" t="n">
        <v>45765</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59714-2019</t>
        </is>
      </c>
      <c r="B107" s="1" t="n">
        <v>43776</v>
      </c>
      <c r="C107" s="1" t="n">
        <v>45765</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59721-2019</t>
        </is>
      </c>
      <c r="B108" s="1" t="n">
        <v>43776</v>
      </c>
      <c r="C108" s="1" t="n">
        <v>45765</v>
      </c>
      <c r="D108" t="inlineStr">
        <is>
          <t>DALARNAS LÄN</t>
        </is>
      </c>
      <c r="E108" t="inlineStr">
        <is>
          <t>LEKSAND</t>
        </is>
      </c>
      <c r="F108" t="inlineStr">
        <is>
          <t>Bergvik skog väst AB</t>
        </is>
      </c>
      <c r="G108" t="n">
        <v>4.8</v>
      </c>
      <c r="H108" t="n">
        <v>0</v>
      </c>
      <c r="I108" t="n">
        <v>0</v>
      </c>
      <c r="J108" t="n">
        <v>0</v>
      </c>
      <c r="K108" t="n">
        <v>0</v>
      </c>
      <c r="L108" t="n">
        <v>0</v>
      </c>
      <c r="M108" t="n">
        <v>0</v>
      </c>
      <c r="N108" t="n">
        <v>0</v>
      </c>
      <c r="O108" t="n">
        <v>0</v>
      </c>
      <c r="P108" t="n">
        <v>0</v>
      </c>
      <c r="Q108" t="n">
        <v>0</v>
      </c>
      <c r="R108" s="2" t="inlineStr"/>
    </row>
    <row r="109" ht="15" customHeight="1">
      <c r="A109" t="inlineStr">
        <is>
          <t>A 60809-2019</t>
        </is>
      </c>
      <c r="B109" s="1" t="n">
        <v>43780</v>
      </c>
      <c r="C109" s="1" t="n">
        <v>45765</v>
      </c>
      <c r="D109" t="inlineStr">
        <is>
          <t>DALARNAS LÄN</t>
        </is>
      </c>
      <c r="E109" t="inlineStr">
        <is>
          <t>LEKSAND</t>
        </is>
      </c>
      <c r="G109" t="n">
        <v>1.9</v>
      </c>
      <c r="H109" t="n">
        <v>0</v>
      </c>
      <c r="I109" t="n">
        <v>0</v>
      </c>
      <c r="J109" t="n">
        <v>0</v>
      </c>
      <c r="K109" t="n">
        <v>0</v>
      </c>
      <c r="L109" t="n">
        <v>0</v>
      </c>
      <c r="M109" t="n">
        <v>0</v>
      </c>
      <c r="N109" t="n">
        <v>0</v>
      </c>
      <c r="O109" t="n">
        <v>0</v>
      </c>
      <c r="P109" t="n">
        <v>0</v>
      </c>
      <c r="Q109" t="n">
        <v>0</v>
      </c>
      <c r="R109" s="2" t="inlineStr"/>
    </row>
    <row r="110" ht="15" customHeight="1">
      <c r="A110" t="inlineStr">
        <is>
          <t>A 61111-2019</t>
        </is>
      </c>
      <c r="B110" s="1" t="n">
        <v>43782</v>
      </c>
      <c r="C110" s="1" t="n">
        <v>45765</v>
      </c>
      <c r="D110" t="inlineStr">
        <is>
          <t>DALARNAS LÄN</t>
        </is>
      </c>
      <c r="E110" t="inlineStr">
        <is>
          <t>LEKSAND</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61113-2019</t>
        </is>
      </c>
      <c r="B111" s="1" t="n">
        <v>43782</v>
      </c>
      <c r="C111" s="1" t="n">
        <v>45765</v>
      </c>
      <c r="D111" t="inlineStr">
        <is>
          <t>DALARNAS LÄN</t>
        </is>
      </c>
      <c r="E111" t="inlineStr">
        <is>
          <t>LEKSAND</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64635-2019</t>
        </is>
      </c>
      <c r="B112" s="1" t="n">
        <v>43794</v>
      </c>
      <c r="C112" s="1" t="n">
        <v>45765</v>
      </c>
      <c r="D112" t="inlineStr">
        <is>
          <t>DALARNAS LÄN</t>
        </is>
      </c>
      <c r="E112" t="inlineStr">
        <is>
          <t>LEKSAND</t>
        </is>
      </c>
      <c r="G112" t="n">
        <v>5.4</v>
      </c>
      <c r="H112" t="n">
        <v>0</v>
      </c>
      <c r="I112" t="n">
        <v>0</v>
      </c>
      <c r="J112" t="n">
        <v>0</v>
      </c>
      <c r="K112" t="n">
        <v>0</v>
      </c>
      <c r="L112" t="n">
        <v>0</v>
      </c>
      <c r="M112" t="n">
        <v>0</v>
      </c>
      <c r="N112" t="n">
        <v>0</v>
      </c>
      <c r="O112" t="n">
        <v>0</v>
      </c>
      <c r="P112" t="n">
        <v>0</v>
      </c>
      <c r="Q112" t="n">
        <v>0</v>
      </c>
      <c r="R112" s="2" t="inlineStr"/>
    </row>
    <row r="113" ht="15" customHeight="1">
      <c r="A113" t="inlineStr">
        <is>
          <t>A 66288-2019</t>
        </is>
      </c>
      <c r="B113" s="1" t="n">
        <v>43808</v>
      </c>
      <c r="C113" s="1" t="n">
        <v>45765</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66822-2019</t>
        </is>
      </c>
      <c r="B114" s="1" t="n">
        <v>43810</v>
      </c>
      <c r="C114" s="1" t="n">
        <v>45765</v>
      </c>
      <c r="D114" t="inlineStr">
        <is>
          <t>DALARNAS LÄN</t>
        </is>
      </c>
      <c r="E114" t="inlineStr">
        <is>
          <t>LEKSAND</t>
        </is>
      </c>
      <c r="G114" t="n">
        <v>5.2</v>
      </c>
      <c r="H114" t="n">
        <v>0</v>
      </c>
      <c r="I114" t="n">
        <v>0</v>
      </c>
      <c r="J114" t="n">
        <v>0</v>
      </c>
      <c r="K114" t="n">
        <v>0</v>
      </c>
      <c r="L114" t="n">
        <v>0</v>
      </c>
      <c r="M114" t="n">
        <v>0</v>
      </c>
      <c r="N114" t="n">
        <v>0</v>
      </c>
      <c r="O114" t="n">
        <v>0</v>
      </c>
      <c r="P114" t="n">
        <v>0</v>
      </c>
      <c r="Q114" t="n">
        <v>0</v>
      </c>
      <c r="R114" s="2" t="inlineStr"/>
    </row>
    <row r="115" ht="15" customHeight="1">
      <c r="A115" t="inlineStr">
        <is>
          <t>A 67123-2019</t>
        </is>
      </c>
      <c r="B115" s="1" t="n">
        <v>43811</v>
      </c>
      <c r="C115" s="1" t="n">
        <v>45765</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68808-2019</t>
        </is>
      </c>
      <c r="B116" s="1" t="n">
        <v>43815</v>
      </c>
      <c r="C116" s="1" t="n">
        <v>45765</v>
      </c>
      <c r="D116" t="inlineStr">
        <is>
          <t>DALARNAS LÄN</t>
        </is>
      </c>
      <c r="E116" t="inlineStr">
        <is>
          <t>LEKSAND</t>
        </is>
      </c>
      <c r="G116" t="n">
        <v>1.1</v>
      </c>
      <c r="H116" t="n">
        <v>0</v>
      </c>
      <c r="I116" t="n">
        <v>0</v>
      </c>
      <c r="J116" t="n">
        <v>0</v>
      </c>
      <c r="K116" t="n">
        <v>0</v>
      </c>
      <c r="L116" t="n">
        <v>0</v>
      </c>
      <c r="M116" t="n">
        <v>0</v>
      </c>
      <c r="N116" t="n">
        <v>0</v>
      </c>
      <c r="O116" t="n">
        <v>0</v>
      </c>
      <c r="P116" t="n">
        <v>0</v>
      </c>
      <c r="Q116" t="n">
        <v>0</v>
      </c>
      <c r="R116" s="2" t="inlineStr"/>
    </row>
    <row r="117" ht="15" customHeight="1">
      <c r="A117" t="inlineStr">
        <is>
          <t>A 1604-2020</t>
        </is>
      </c>
      <c r="B117" s="1" t="n">
        <v>43829</v>
      </c>
      <c r="C117" s="1" t="n">
        <v>45765</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1915-2020</t>
        </is>
      </c>
      <c r="B118" s="1" t="n">
        <v>43837</v>
      </c>
      <c r="C118" s="1" t="n">
        <v>45765</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1778-2020</t>
        </is>
      </c>
      <c r="B119" s="1" t="n">
        <v>43844</v>
      </c>
      <c r="C119" s="1" t="n">
        <v>45765</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2670-2020</t>
        </is>
      </c>
      <c r="B120" s="1" t="n">
        <v>43849</v>
      </c>
      <c r="C120" s="1" t="n">
        <v>45765</v>
      </c>
      <c r="D120" t="inlineStr">
        <is>
          <t>DALARNAS LÄN</t>
        </is>
      </c>
      <c r="E120" t="inlineStr">
        <is>
          <t>LEKSAND</t>
        </is>
      </c>
      <c r="G120" t="n">
        <v>2.4</v>
      </c>
      <c r="H120" t="n">
        <v>0</v>
      </c>
      <c r="I120" t="n">
        <v>0</v>
      </c>
      <c r="J120" t="n">
        <v>0</v>
      </c>
      <c r="K120" t="n">
        <v>0</v>
      </c>
      <c r="L120" t="n">
        <v>0</v>
      </c>
      <c r="M120" t="n">
        <v>0</v>
      </c>
      <c r="N120" t="n">
        <v>0</v>
      </c>
      <c r="O120" t="n">
        <v>0</v>
      </c>
      <c r="P120" t="n">
        <v>0</v>
      </c>
      <c r="Q120" t="n">
        <v>0</v>
      </c>
      <c r="R120" s="2" t="inlineStr"/>
    </row>
    <row r="121" ht="15" customHeight="1">
      <c r="A121" t="inlineStr">
        <is>
          <t>A 4479-2020</t>
        </is>
      </c>
      <c r="B121" s="1" t="n">
        <v>43850</v>
      </c>
      <c r="C121" s="1" t="n">
        <v>45765</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4004-2020</t>
        </is>
      </c>
      <c r="B122" s="1" t="n">
        <v>43856</v>
      </c>
      <c r="C122" s="1" t="n">
        <v>45765</v>
      </c>
      <c r="D122" t="inlineStr">
        <is>
          <t>DALARNAS LÄN</t>
        </is>
      </c>
      <c r="E122" t="inlineStr">
        <is>
          <t>LEKSAND</t>
        </is>
      </c>
      <c r="G122" t="n">
        <v>6</v>
      </c>
      <c r="H122" t="n">
        <v>0</v>
      </c>
      <c r="I122" t="n">
        <v>0</v>
      </c>
      <c r="J122" t="n">
        <v>0</v>
      </c>
      <c r="K122" t="n">
        <v>0</v>
      </c>
      <c r="L122" t="n">
        <v>0</v>
      </c>
      <c r="M122" t="n">
        <v>0</v>
      </c>
      <c r="N122" t="n">
        <v>0</v>
      </c>
      <c r="O122" t="n">
        <v>0</v>
      </c>
      <c r="P122" t="n">
        <v>0</v>
      </c>
      <c r="Q122" t="n">
        <v>0</v>
      </c>
      <c r="R122" s="2" t="inlineStr"/>
    </row>
    <row r="123" ht="15" customHeight="1">
      <c r="A123" t="inlineStr">
        <is>
          <t>A 6002-2020</t>
        </is>
      </c>
      <c r="B123" s="1" t="n">
        <v>43864</v>
      </c>
      <c r="C123" s="1" t="n">
        <v>45765</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6017-2020</t>
        </is>
      </c>
      <c r="B124" s="1" t="n">
        <v>43864</v>
      </c>
      <c r="C124" s="1" t="n">
        <v>45765</v>
      </c>
      <c r="D124" t="inlineStr">
        <is>
          <t>DALARNAS LÄN</t>
        </is>
      </c>
      <c r="E124" t="inlineStr">
        <is>
          <t>LEKSAND</t>
        </is>
      </c>
      <c r="G124" t="n">
        <v>2.6</v>
      </c>
      <c r="H124" t="n">
        <v>0</v>
      </c>
      <c r="I124" t="n">
        <v>0</v>
      </c>
      <c r="J124" t="n">
        <v>0</v>
      </c>
      <c r="K124" t="n">
        <v>0</v>
      </c>
      <c r="L124" t="n">
        <v>0</v>
      </c>
      <c r="M124" t="n">
        <v>0</v>
      </c>
      <c r="N124" t="n">
        <v>0</v>
      </c>
      <c r="O124" t="n">
        <v>0</v>
      </c>
      <c r="P124" t="n">
        <v>0</v>
      </c>
      <c r="Q124" t="n">
        <v>0</v>
      </c>
      <c r="R124" s="2" t="inlineStr"/>
    </row>
    <row r="125" ht="15" customHeight="1">
      <c r="A125" t="inlineStr">
        <is>
          <t>A 6751-2020</t>
        </is>
      </c>
      <c r="B125" s="1" t="n">
        <v>43866</v>
      </c>
      <c r="C125" s="1" t="n">
        <v>45765</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7351-2020</t>
        </is>
      </c>
      <c r="B126" s="1" t="n">
        <v>43871</v>
      </c>
      <c r="C126" s="1" t="n">
        <v>45765</v>
      </c>
      <c r="D126" t="inlineStr">
        <is>
          <t>DALARNAS LÄN</t>
        </is>
      </c>
      <c r="E126" t="inlineStr">
        <is>
          <t>LEKSAND</t>
        </is>
      </c>
      <c r="F126" t="inlineStr">
        <is>
          <t>Bergvik skog väst AB</t>
        </is>
      </c>
      <c r="G126" t="n">
        <v>5.4</v>
      </c>
      <c r="H126" t="n">
        <v>0</v>
      </c>
      <c r="I126" t="n">
        <v>0</v>
      </c>
      <c r="J126" t="n">
        <v>0</v>
      </c>
      <c r="K126" t="n">
        <v>0</v>
      </c>
      <c r="L126" t="n">
        <v>0</v>
      </c>
      <c r="M126" t="n">
        <v>0</v>
      </c>
      <c r="N126" t="n">
        <v>0</v>
      </c>
      <c r="O126" t="n">
        <v>0</v>
      </c>
      <c r="P126" t="n">
        <v>0</v>
      </c>
      <c r="Q126" t="n">
        <v>0</v>
      </c>
      <c r="R126" s="2" t="inlineStr"/>
    </row>
    <row r="127" ht="15" customHeight="1">
      <c r="A127" t="inlineStr">
        <is>
          <t>A 7868-2020</t>
        </is>
      </c>
      <c r="B127" s="1" t="n">
        <v>43873</v>
      </c>
      <c r="C127" s="1" t="n">
        <v>45765</v>
      </c>
      <c r="D127" t="inlineStr">
        <is>
          <t>DALARNAS LÄN</t>
        </is>
      </c>
      <c r="E127" t="inlineStr">
        <is>
          <t>LEKSAND</t>
        </is>
      </c>
      <c r="G127" t="n">
        <v>1.7</v>
      </c>
      <c r="H127" t="n">
        <v>0</v>
      </c>
      <c r="I127" t="n">
        <v>0</v>
      </c>
      <c r="J127" t="n">
        <v>0</v>
      </c>
      <c r="K127" t="n">
        <v>0</v>
      </c>
      <c r="L127" t="n">
        <v>0</v>
      </c>
      <c r="M127" t="n">
        <v>0</v>
      </c>
      <c r="N127" t="n">
        <v>0</v>
      </c>
      <c r="O127" t="n">
        <v>0</v>
      </c>
      <c r="P127" t="n">
        <v>0</v>
      </c>
      <c r="Q127" t="n">
        <v>0</v>
      </c>
      <c r="R127" s="2" t="inlineStr"/>
    </row>
    <row r="128" ht="15" customHeight="1">
      <c r="A128" t="inlineStr">
        <is>
          <t>A 9710-2020</t>
        </is>
      </c>
      <c r="B128" s="1" t="n">
        <v>43881</v>
      </c>
      <c r="C128" s="1" t="n">
        <v>45765</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11372-2020</t>
        </is>
      </c>
      <c r="B129" s="1" t="n">
        <v>43892</v>
      </c>
      <c r="C129" s="1" t="n">
        <v>45765</v>
      </c>
      <c r="D129" t="inlineStr">
        <is>
          <t>DALARNAS LÄN</t>
        </is>
      </c>
      <c r="E129" t="inlineStr">
        <is>
          <t>LEKSAND</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12176-2020</t>
        </is>
      </c>
      <c r="B130" s="1" t="n">
        <v>43895</v>
      </c>
      <c r="C130" s="1" t="n">
        <v>45765</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12247-2020</t>
        </is>
      </c>
      <c r="B131" s="1" t="n">
        <v>43895</v>
      </c>
      <c r="C131" s="1" t="n">
        <v>45765</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13340-2020</t>
        </is>
      </c>
      <c r="B132" s="1" t="n">
        <v>43902</v>
      </c>
      <c r="C132" s="1" t="n">
        <v>45765</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13356-2020</t>
        </is>
      </c>
      <c r="B133" s="1" t="n">
        <v>43902</v>
      </c>
      <c r="C133" s="1" t="n">
        <v>45765</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13352-2020</t>
        </is>
      </c>
      <c r="B134" s="1" t="n">
        <v>43902</v>
      </c>
      <c r="C134" s="1" t="n">
        <v>45765</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15165-2020</t>
        </is>
      </c>
      <c r="B135" s="1" t="n">
        <v>43912</v>
      </c>
      <c r="C135" s="1" t="n">
        <v>45765</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16288-2020</t>
        </is>
      </c>
      <c r="B136" s="1" t="n">
        <v>43917</v>
      </c>
      <c r="C136" s="1" t="n">
        <v>45765</v>
      </c>
      <c r="D136" t="inlineStr">
        <is>
          <t>DALARNAS LÄN</t>
        </is>
      </c>
      <c r="E136" t="inlineStr">
        <is>
          <t>LEKSAND</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18803-2020</t>
        </is>
      </c>
      <c r="B137" s="1" t="n">
        <v>43933</v>
      </c>
      <c r="C137" s="1" t="n">
        <v>45765</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19361-2020</t>
        </is>
      </c>
      <c r="B138" s="1" t="n">
        <v>43938</v>
      </c>
      <c r="C138" s="1" t="n">
        <v>45765</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21141-2020</t>
        </is>
      </c>
      <c r="B139" s="1" t="n">
        <v>43951</v>
      </c>
      <c r="C139" s="1" t="n">
        <v>45765</v>
      </c>
      <c r="D139" t="inlineStr">
        <is>
          <t>DALARNAS LÄN</t>
        </is>
      </c>
      <c r="E139" t="inlineStr">
        <is>
          <t>LEKSAND</t>
        </is>
      </c>
      <c r="F139" t="inlineStr">
        <is>
          <t>Bergvik skog väst AB</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22718-2020</t>
        </is>
      </c>
      <c r="B140" s="1" t="n">
        <v>43964</v>
      </c>
      <c r="C140" s="1" t="n">
        <v>45765</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24207-2020</t>
        </is>
      </c>
      <c r="B141" s="1" t="n">
        <v>43973</v>
      </c>
      <c r="C141" s="1" t="n">
        <v>45765</v>
      </c>
      <c r="D141" t="inlineStr">
        <is>
          <t>DALARNAS LÄN</t>
        </is>
      </c>
      <c r="E141" t="inlineStr">
        <is>
          <t>LEKSAND</t>
        </is>
      </c>
      <c r="G141" t="n">
        <v>2.2</v>
      </c>
      <c r="H141" t="n">
        <v>0</v>
      </c>
      <c r="I141" t="n">
        <v>0</v>
      </c>
      <c r="J141" t="n">
        <v>0</v>
      </c>
      <c r="K141" t="n">
        <v>0</v>
      </c>
      <c r="L141" t="n">
        <v>0</v>
      </c>
      <c r="M141" t="n">
        <v>0</v>
      </c>
      <c r="N141" t="n">
        <v>0</v>
      </c>
      <c r="O141" t="n">
        <v>0</v>
      </c>
      <c r="P141" t="n">
        <v>0</v>
      </c>
      <c r="Q141" t="n">
        <v>0</v>
      </c>
      <c r="R141" s="2" t="inlineStr"/>
    </row>
    <row r="142" ht="15" customHeight="1">
      <c r="A142" t="inlineStr">
        <is>
          <t>A 25156-2020</t>
        </is>
      </c>
      <c r="B142" s="1" t="n">
        <v>43978</v>
      </c>
      <c r="C142" s="1" t="n">
        <v>45765</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25720-2020</t>
        </is>
      </c>
      <c r="B143" s="1" t="n">
        <v>43984</v>
      </c>
      <c r="C143" s="1" t="n">
        <v>45765</v>
      </c>
      <c r="D143" t="inlineStr">
        <is>
          <t>DALARNAS LÄN</t>
        </is>
      </c>
      <c r="E143" t="inlineStr">
        <is>
          <t>LEKSAND</t>
        </is>
      </c>
      <c r="G143" t="n">
        <v>3.5</v>
      </c>
      <c r="H143" t="n">
        <v>0</v>
      </c>
      <c r="I143" t="n">
        <v>0</v>
      </c>
      <c r="J143" t="n">
        <v>0</v>
      </c>
      <c r="K143" t="n">
        <v>0</v>
      </c>
      <c r="L143" t="n">
        <v>0</v>
      </c>
      <c r="M143" t="n">
        <v>0</v>
      </c>
      <c r="N143" t="n">
        <v>0</v>
      </c>
      <c r="O143" t="n">
        <v>0</v>
      </c>
      <c r="P143" t="n">
        <v>0</v>
      </c>
      <c r="Q143" t="n">
        <v>0</v>
      </c>
      <c r="R143" s="2" t="inlineStr"/>
    </row>
    <row r="144" ht="15" customHeight="1">
      <c r="A144" t="inlineStr">
        <is>
          <t>A 25989-2020</t>
        </is>
      </c>
      <c r="B144" s="1" t="n">
        <v>43985</v>
      </c>
      <c r="C144" s="1" t="n">
        <v>45765</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26456-2020</t>
        </is>
      </c>
      <c r="B145" s="1" t="n">
        <v>43986</v>
      </c>
      <c r="C145" s="1" t="n">
        <v>45765</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26560-2020</t>
        </is>
      </c>
      <c r="B146" s="1" t="n">
        <v>43987</v>
      </c>
      <c r="C146" s="1" t="n">
        <v>45765</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28161-2020</t>
        </is>
      </c>
      <c r="B147" s="1" t="n">
        <v>43997</v>
      </c>
      <c r="C147" s="1" t="n">
        <v>45765</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28796-2020</t>
        </is>
      </c>
      <c r="B148" s="1" t="n">
        <v>44000</v>
      </c>
      <c r="C148" s="1" t="n">
        <v>45765</v>
      </c>
      <c r="D148" t="inlineStr">
        <is>
          <t>DALARNAS LÄN</t>
        </is>
      </c>
      <c r="E148" t="inlineStr">
        <is>
          <t>LEKSAND</t>
        </is>
      </c>
      <c r="F148" t="inlineStr">
        <is>
          <t>Bergvik skog väst AB</t>
        </is>
      </c>
      <c r="G148" t="n">
        <v>4.7</v>
      </c>
      <c r="H148" t="n">
        <v>0</v>
      </c>
      <c r="I148" t="n">
        <v>0</v>
      </c>
      <c r="J148" t="n">
        <v>0</v>
      </c>
      <c r="K148" t="n">
        <v>0</v>
      </c>
      <c r="L148" t="n">
        <v>0</v>
      </c>
      <c r="M148" t="n">
        <v>0</v>
      </c>
      <c r="N148" t="n">
        <v>0</v>
      </c>
      <c r="O148" t="n">
        <v>0</v>
      </c>
      <c r="P148" t="n">
        <v>0</v>
      </c>
      <c r="Q148" t="n">
        <v>0</v>
      </c>
      <c r="R148" s="2" t="inlineStr"/>
    </row>
    <row r="149" ht="15" customHeight="1">
      <c r="A149" t="inlineStr">
        <is>
          <t>A 29089-2020</t>
        </is>
      </c>
      <c r="B149" s="1" t="n">
        <v>44002</v>
      </c>
      <c r="C149" s="1" t="n">
        <v>45765</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29088-2020</t>
        </is>
      </c>
      <c r="B150" s="1" t="n">
        <v>44002</v>
      </c>
      <c r="C150" s="1" t="n">
        <v>45765</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29672-2020</t>
        </is>
      </c>
      <c r="B151" s="1" t="n">
        <v>44005</v>
      </c>
      <c r="C151" s="1" t="n">
        <v>45765</v>
      </c>
      <c r="D151" t="inlineStr">
        <is>
          <t>DALARNAS LÄN</t>
        </is>
      </c>
      <c r="E151" t="inlineStr">
        <is>
          <t>LEKSAND</t>
        </is>
      </c>
      <c r="G151" t="n">
        <v>0.4</v>
      </c>
      <c r="H151" t="n">
        <v>0</v>
      </c>
      <c r="I151" t="n">
        <v>0</v>
      </c>
      <c r="J151" t="n">
        <v>0</v>
      </c>
      <c r="K151" t="n">
        <v>0</v>
      </c>
      <c r="L151" t="n">
        <v>0</v>
      </c>
      <c r="M151" t="n">
        <v>0</v>
      </c>
      <c r="N151" t="n">
        <v>0</v>
      </c>
      <c r="O151" t="n">
        <v>0</v>
      </c>
      <c r="P151" t="n">
        <v>0</v>
      </c>
      <c r="Q151" t="n">
        <v>0</v>
      </c>
      <c r="R151" s="2" t="inlineStr"/>
    </row>
    <row r="152" ht="15" customHeight="1">
      <c r="A152" t="inlineStr">
        <is>
          <t>A 31629-2020</t>
        </is>
      </c>
      <c r="B152" s="1" t="n">
        <v>44013</v>
      </c>
      <c r="C152" s="1" t="n">
        <v>45765</v>
      </c>
      <c r="D152" t="inlineStr">
        <is>
          <t>DALARNAS LÄN</t>
        </is>
      </c>
      <c r="E152" t="inlineStr">
        <is>
          <t>LEKSAND</t>
        </is>
      </c>
      <c r="G152" t="n">
        <v>5.4</v>
      </c>
      <c r="H152" t="n">
        <v>0</v>
      </c>
      <c r="I152" t="n">
        <v>0</v>
      </c>
      <c r="J152" t="n">
        <v>0</v>
      </c>
      <c r="K152" t="n">
        <v>0</v>
      </c>
      <c r="L152" t="n">
        <v>0</v>
      </c>
      <c r="M152" t="n">
        <v>0</v>
      </c>
      <c r="N152" t="n">
        <v>0</v>
      </c>
      <c r="O152" t="n">
        <v>0</v>
      </c>
      <c r="P152" t="n">
        <v>0</v>
      </c>
      <c r="Q152" t="n">
        <v>0</v>
      </c>
      <c r="R152" s="2" t="inlineStr"/>
    </row>
    <row r="153" ht="15" customHeight="1">
      <c r="A153" t="inlineStr">
        <is>
          <t>A 37568-2020</t>
        </is>
      </c>
      <c r="B153" s="1" t="n">
        <v>44056</v>
      </c>
      <c r="C153" s="1" t="n">
        <v>45765</v>
      </c>
      <c r="D153" t="inlineStr">
        <is>
          <t>DALARNAS LÄN</t>
        </is>
      </c>
      <c r="E153" t="inlineStr">
        <is>
          <t>LEKSAND</t>
        </is>
      </c>
      <c r="G153" t="n">
        <v>3.4</v>
      </c>
      <c r="H153" t="n">
        <v>0</v>
      </c>
      <c r="I153" t="n">
        <v>0</v>
      </c>
      <c r="J153" t="n">
        <v>0</v>
      </c>
      <c r="K153" t="n">
        <v>0</v>
      </c>
      <c r="L153" t="n">
        <v>0</v>
      </c>
      <c r="M153" t="n">
        <v>0</v>
      </c>
      <c r="N153" t="n">
        <v>0</v>
      </c>
      <c r="O153" t="n">
        <v>0</v>
      </c>
      <c r="P153" t="n">
        <v>0</v>
      </c>
      <c r="Q153" t="n">
        <v>0</v>
      </c>
      <c r="R153" s="2" t="inlineStr"/>
    </row>
    <row r="154" ht="15" customHeight="1">
      <c r="A154" t="inlineStr">
        <is>
          <t>A 41093-2020</t>
        </is>
      </c>
      <c r="B154" s="1" t="n">
        <v>44071</v>
      </c>
      <c r="C154" s="1" t="n">
        <v>45765</v>
      </c>
      <c r="D154" t="inlineStr">
        <is>
          <t>DALARNAS LÄN</t>
        </is>
      </c>
      <c r="E154" t="inlineStr">
        <is>
          <t>LEKSAND</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41200-2020</t>
        </is>
      </c>
      <c r="B155" s="1" t="n">
        <v>44071</v>
      </c>
      <c r="C155" s="1" t="n">
        <v>45765</v>
      </c>
      <c r="D155" t="inlineStr">
        <is>
          <t>DALARNAS LÄN</t>
        </is>
      </c>
      <c r="E155" t="inlineStr">
        <is>
          <t>LEKSAND</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41432-2020</t>
        </is>
      </c>
      <c r="B156" s="1" t="n">
        <v>44073</v>
      </c>
      <c r="C156" s="1" t="n">
        <v>45765</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42890-2020</t>
        </is>
      </c>
      <c r="B157" s="1" t="n">
        <v>44078</v>
      </c>
      <c r="C157" s="1" t="n">
        <v>45765</v>
      </c>
      <c r="D157" t="inlineStr">
        <is>
          <t>DALARNAS LÄN</t>
        </is>
      </c>
      <c r="E157" t="inlineStr">
        <is>
          <t>LEKSAND</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44665-2020</t>
        </is>
      </c>
      <c r="B158" s="1" t="n">
        <v>44085</v>
      </c>
      <c r="C158" s="1" t="n">
        <v>45765</v>
      </c>
      <c r="D158" t="inlineStr">
        <is>
          <t>DALARNAS LÄN</t>
        </is>
      </c>
      <c r="E158" t="inlineStr">
        <is>
          <t>LEKSAND</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45995-2020</t>
        </is>
      </c>
      <c r="B159" s="1" t="n">
        <v>44088</v>
      </c>
      <c r="C159" s="1" t="n">
        <v>45765</v>
      </c>
      <c r="D159" t="inlineStr">
        <is>
          <t>DALARNAS LÄN</t>
        </is>
      </c>
      <c r="E159" t="inlineStr">
        <is>
          <t>LEKSAND</t>
        </is>
      </c>
      <c r="G159" t="n">
        <v>7.8</v>
      </c>
      <c r="H159" t="n">
        <v>0</v>
      </c>
      <c r="I159" t="n">
        <v>0</v>
      </c>
      <c r="J159" t="n">
        <v>0</v>
      </c>
      <c r="K159" t="n">
        <v>0</v>
      </c>
      <c r="L159" t="n">
        <v>0</v>
      </c>
      <c r="M159" t="n">
        <v>0</v>
      </c>
      <c r="N159" t="n">
        <v>0</v>
      </c>
      <c r="O159" t="n">
        <v>0</v>
      </c>
      <c r="P159" t="n">
        <v>0</v>
      </c>
      <c r="Q159" t="n">
        <v>0</v>
      </c>
      <c r="R159" s="2" t="inlineStr"/>
    </row>
    <row r="160" ht="15" customHeight="1">
      <c r="A160" t="inlineStr">
        <is>
          <t>A 45950-2020</t>
        </is>
      </c>
      <c r="B160" s="1" t="n">
        <v>44088</v>
      </c>
      <c r="C160" s="1" t="n">
        <v>45765</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45991-2020</t>
        </is>
      </c>
      <c r="B161" s="1" t="n">
        <v>44088</v>
      </c>
      <c r="C161" s="1" t="n">
        <v>45765</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46854-2020</t>
        </is>
      </c>
      <c r="B162" s="1" t="n">
        <v>44090</v>
      </c>
      <c r="C162" s="1" t="n">
        <v>45765</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47004-2020</t>
        </is>
      </c>
      <c r="B163" s="1" t="n">
        <v>44091</v>
      </c>
      <c r="C163" s="1" t="n">
        <v>45765</v>
      </c>
      <c r="D163" t="inlineStr">
        <is>
          <t>DALARNAS LÄN</t>
        </is>
      </c>
      <c r="E163" t="inlineStr">
        <is>
          <t>LEKSAND</t>
        </is>
      </c>
      <c r="G163" t="n">
        <v>3.2</v>
      </c>
      <c r="H163" t="n">
        <v>0</v>
      </c>
      <c r="I163" t="n">
        <v>0</v>
      </c>
      <c r="J163" t="n">
        <v>0</v>
      </c>
      <c r="K163" t="n">
        <v>0</v>
      </c>
      <c r="L163" t="n">
        <v>0</v>
      </c>
      <c r="M163" t="n">
        <v>0</v>
      </c>
      <c r="N163" t="n">
        <v>0</v>
      </c>
      <c r="O163" t="n">
        <v>0</v>
      </c>
      <c r="P163" t="n">
        <v>0</v>
      </c>
      <c r="Q163" t="n">
        <v>0</v>
      </c>
      <c r="R163" s="2" t="inlineStr"/>
    </row>
    <row r="164" ht="15" customHeight="1">
      <c r="A164" t="inlineStr">
        <is>
          <t>A 47069-2020</t>
        </is>
      </c>
      <c r="B164" s="1" t="n">
        <v>44096</v>
      </c>
      <c r="C164" s="1" t="n">
        <v>45765</v>
      </c>
      <c r="D164" t="inlineStr">
        <is>
          <t>DALARNAS LÄN</t>
        </is>
      </c>
      <c r="E164" t="inlineStr">
        <is>
          <t>LEKSAND</t>
        </is>
      </c>
      <c r="G164" t="n">
        <v>5.5</v>
      </c>
      <c r="H164" t="n">
        <v>0</v>
      </c>
      <c r="I164" t="n">
        <v>0</v>
      </c>
      <c r="J164" t="n">
        <v>0</v>
      </c>
      <c r="K164" t="n">
        <v>0</v>
      </c>
      <c r="L164" t="n">
        <v>0</v>
      </c>
      <c r="M164" t="n">
        <v>0</v>
      </c>
      <c r="N164" t="n">
        <v>0</v>
      </c>
      <c r="O164" t="n">
        <v>0</v>
      </c>
      <c r="P164" t="n">
        <v>0</v>
      </c>
      <c r="Q164" t="n">
        <v>0</v>
      </c>
      <c r="R164" s="2" t="inlineStr"/>
    </row>
    <row r="165" ht="15" customHeight="1">
      <c r="A165" t="inlineStr">
        <is>
          <t>A 50123-2020</t>
        </is>
      </c>
      <c r="B165" s="1" t="n">
        <v>44104</v>
      </c>
      <c r="C165" s="1" t="n">
        <v>45765</v>
      </c>
      <c r="D165" t="inlineStr">
        <is>
          <t>DALARNAS LÄN</t>
        </is>
      </c>
      <c r="E165" t="inlineStr">
        <is>
          <t>LEKSAND</t>
        </is>
      </c>
      <c r="F165" t="inlineStr">
        <is>
          <t>Övriga Aktiebolag</t>
        </is>
      </c>
      <c r="G165" t="n">
        <v>2.7</v>
      </c>
      <c r="H165" t="n">
        <v>0</v>
      </c>
      <c r="I165" t="n">
        <v>0</v>
      </c>
      <c r="J165" t="n">
        <v>0</v>
      </c>
      <c r="K165" t="n">
        <v>0</v>
      </c>
      <c r="L165" t="n">
        <v>0</v>
      </c>
      <c r="M165" t="n">
        <v>0</v>
      </c>
      <c r="N165" t="n">
        <v>0</v>
      </c>
      <c r="O165" t="n">
        <v>0</v>
      </c>
      <c r="P165" t="n">
        <v>0</v>
      </c>
      <c r="Q165" t="n">
        <v>0</v>
      </c>
      <c r="R165" s="2" t="inlineStr"/>
    </row>
    <row r="166" ht="15" customHeight="1">
      <c r="A166" t="inlineStr">
        <is>
          <t>A 50102-2020</t>
        </is>
      </c>
      <c r="B166" s="1" t="n">
        <v>44104</v>
      </c>
      <c r="C166" s="1" t="n">
        <v>45765</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60920-2020</t>
        </is>
      </c>
      <c r="B167" s="1" t="n">
        <v>44153</v>
      </c>
      <c r="C167" s="1" t="n">
        <v>45765</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60963-2020</t>
        </is>
      </c>
      <c r="B168" s="1" t="n">
        <v>44154</v>
      </c>
      <c r="C168" s="1" t="n">
        <v>45765</v>
      </c>
      <c r="D168" t="inlineStr">
        <is>
          <t>DALARNAS LÄN</t>
        </is>
      </c>
      <c r="E168" t="inlineStr">
        <is>
          <t>LEKSAND</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62118-2020</t>
        </is>
      </c>
      <c r="B169" s="1" t="n">
        <v>44159</v>
      </c>
      <c r="C169" s="1" t="n">
        <v>45765</v>
      </c>
      <c r="D169" t="inlineStr">
        <is>
          <t>DALARNAS LÄN</t>
        </is>
      </c>
      <c r="E169" t="inlineStr">
        <is>
          <t>LEKSAND</t>
        </is>
      </c>
      <c r="F169" t="inlineStr">
        <is>
          <t>Bergvik skog väst AB</t>
        </is>
      </c>
      <c r="G169" t="n">
        <v>3.9</v>
      </c>
      <c r="H169" t="n">
        <v>0</v>
      </c>
      <c r="I169" t="n">
        <v>0</v>
      </c>
      <c r="J169" t="n">
        <v>0</v>
      </c>
      <c r="K169" t="n">
        <v>0</v>
      </c>
      <c r="L169" t="n">
        <v>0</v>
      </c>
      <c r="M169" t="n">
        <v>0</v>
      </c>
      <c r="N169" t="n">
        <v>0</v>
      </c>
      <c r="O169" t="n">
        <v>0</v>
      </c>
      <c r="P169" t="n">
        <v>0</v>
      </c>
      <c r="Q169" t="n">
        <v>0</v>
      </c>
      <c r="R169" s="2" t="inlineStr"/>
    </row>
    <row r="170" ht="15" customHeight="1">
      <c r="A170" t="inlineStr">
        <is>
          <t>A 63481-2020</t>
        </is>
      </c>
      <c r="B170" s="1" t="n">
        <v>44161</v>
      </c>
      <c r="C170" s="1" t="n">
        <v>45765</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64109-2020</t>
        </is>
      </c>
      <c r="B171" s="1" t="n">
        <v>44167</v>
      </c>
      <c r="C171" s="1" t="n">
        <v>45765</v>
      </c>
      <c r="D171" t="inlineStr">
        <is>
          <t>DALARNAS LÄN</t>
        </is>
      </c>
      <c r="E171" t="inlineStr">
        <is>
          <t>LEKSAND</t>
        </is>
      </c>
      <c r="G171" t="n">
        <v>2.7</v>
      </c>
      <c r="H171" t="n">
        <v>0</v>
      </c>
      <c r="I171" t="n">
        <v>0</v>
      </c>
      <c r="J171" t="n">
        <v>0</v>
      </c>
      <c r="K171" t="n">
        <v>0</v>
      </c>
      <c r="L171" t="n">
        <v>0</v>
      </c>
      <c r="M171" t="n">
        <v>0</v>
      </c>
      <c r="N171" t="n">
        <v>0</v>
      </c>
      <c r="O171" t="n">
        <v>0</v>
      </c>
      <c r="P171" t="n">
        <v>0</v>
      </c>
      <c r="Q171" t="n">
        <v>0</v>
      </c>
      <c r="R171" s="2" t="inlineStr"/>
    </row>
    <row r="172" ht="15" customHeight="1">
      <c r="A172" t="inlineStr">
        <is>
          <t>A 64449-2020</t>
        </is>
      </c>
      <c r="B172" s="1" t="n">
        <v>44168</v>
      </c>
      <c r="C172" s="1" t="n">
        <v>45765</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64876-2020</t>
        </is>
      </c>
      <c r="B173" s="1" t="n">
        <v>44171</v>
      </c>
      <c r="C173" s="1" t="n">
        <v>45765</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65058-2020</t>
        </is>
      </c>
      <c r="B174" s="1" t="n">
        <v>44172</v>
      </c>
      <c r="C174" s="1" t="n">
        <v>45765</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66169-2020</t>
        </is>
      </c>
      <c r="B175" s="1" t="n">
        <v>44174</v>
      </c>
      <c r="C175" s="1" t="n">
        <v>45765</v>
      </c>
      <c r="D175" t="inlineStr">
        <is>
          <t>DALARNAS LÄN</t>
        </is>
      </c>
      <c r="E175" t="inlineStr">
        <is>
          <t>LEKSAND</t>
        </is>
      </c>
      <c r="G175" t="n">
        <v>5.3</v>
      </c>
      <c r="H175" t="n">
        <v>0</v>
      </c>
      <c r="I175" t="n">
        <v>0</v>
      </c>
      <c r="J175" t="n">
        <v>0</v>
      </c>
      <c r="K175" t="n">
        <v>0</v>
      </c>
      <c r="L175" t="n">
        <v>0</v>
      </c>
      <c r="M175" t="n">
        <v>0</v>
      </c>
      <c r="N175" t="n">
        <v>0</v>
      </c>
      <c r="O175" t="n">
        <v>0</v>
      </c>
      <c r="P175" t="n">
        <v>0</v>
      </c>
      <c r="Q175" t="n">
        <v>0</v>
      </c>
      <c r="R175" s="2" t="inlineStr"/>
    </row>
    <row r="176" ht="15" customHeight="1">
      <c r="A176" t="inlineStr">
        <is>
          <t>A 67100-2020</t>
        </is>
      </c>
      <c r="B176" s="1" t="n">
        <v>44179</v>
      </c>
      <c r="C176" s="1" t="n">
        <v>45765</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67307-2020</t>
        </is>
      </c>
      <c r="B177" s="1" t="n">
        <v>44181</v>
      </c>
      <c r="C177" s="1" t="n">
        <v>45765</v>
      </c>
      <c r="D177" t="inlineStr">
        <is>
          <t>DALARNAS LÄN</t>
        </is>
      </c>
      <c r="E177" t="inlineStr">
        <is>
          <t>LEKSAND</t>
        </is>
      </c>
      <c r="G177" t="n">
        <v>5.9</v>
      </c>
      <c r="H177" t="n">
        <v>0</v>
      </c>
      <c r="I177" t="n">
        <v>0</v>
      </c>
      <c r="J177" t="n">
        <v>0</v>
      </c>
      <c r="K177" t="n">
        <v>0</v>
      </c>
      <c r="L177" t="n">
        <v>0</v>
      </c>
      <c r="M177" t="n">
        <v>0</v>
      </c>
      <c r="N177" t="n">
        <v>0</v>
      </c>
      <c r="O177" t="n">
        <v>0</v>
      </c>
      <c r="P177" t="n">
        <v>0</v>
      </c>
      <c r="Q177" t="n">
        <v>0</v>
      </c>
      <c r="R177" s="2" t="inlineStr"/>
    </row>
    <row r="178" ht="15" customHeight="1">
      <c r="A178" t="inlineStr">
        <is>
          <t>A 68058-2020</t>
        </is>
      </c>
      <c r="B178" s="1" t="n">
        <v>44183</v>
      </c>
      <c r="C178" s="1" t="n">
        <v>45765</v>
      </c>
      <c r="D178" t="inlineStr">
        <is>
          <t>DALARNAS LÄN</t>
        </is>
      </c>
      <c r="E178" t="inlineStr">
        <is>
          <t>LEKSAND</t>
        </is>
      </c>
      <c r="F178" t="inlineStr">
        <is>
          <t>Bergvik skog väst AB</t>
        </is>
      </c>
      <c r="G178" t="n">
        <v>4.9</v>
      </c>
      <c r="H178" t="n">
        <v>0</v>
      </c>
      <c r="I178" t="n">
        <v>0</v>
      </c>
      <c r="J178" t="n">
        <v>0</v>
      </c>
      <c r="K178" t="n">
        <v>0</v>
      </c>
      <c r="L178" t="n">
        <v>0</v>
      </c>
      <c r="M178" t="n">
        <v>0</v>
      </c>
      <c r="N178" t="n">
        <v>0</v>
      </c>
      <c r="O178" t="n">
        <v>0</v>
      </c>
      <c r="P178" t="n">
        <v>0</v>
      </c>
      <c r="Q178" t="n">
        <v>0</v>
      </c>
      <c r="R178" s="2" t="inlineStr"/>
    </row>
    <row r="179" ht="15" customHeight="1">
      <c r="A179" t="inlineStr">
        <is>
          <t>A 776-2021</t>
        </is>
      </c>
      <c r="B179" s="1" t="n">
        <v>44203</v>
      </c>
      <c r="C179" s="1" t="n">
        <v>45765</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1078-2021</t>
        </is>
      </c>
      <c r="B180" s="1" t="n">
        <v>44207</v>
      </c>
      <c r="C180" s="1" t="n">
        <v>45765</v>
      </c>
      <c r="D180" t="inlineStr">
        <is>
          <t>DALARNAS LÄN</t>
        </is>
      </c>
      <c r="E180" t="inlineStr">
        <is>
          <t>LEKSAND</t>
        </is>
      </c>
      <c r="G180" t="n">
        <v>4.9</v>
      </c>
      <c r="H180" t="n">
        <v>0</v>
      </c>
      <c r="I180" t="n">
        <v>0</v>
      </c>
      <c r="J180" t="n">
        <v>0</v>
      </c>
      <c r="K180" t="n">
        <v>0</v>
      </c>
      <c r="L180" t="n">
        <v>0</v>
      </c>
      <c r="M180" t="n">
        <v>0</v>
      </c>
      <c r="N180" t="n">
        <v>0</v>
      </c>
      <c r="O180" t="n">
        <v>0</v>
      </c>
      <c r="P180" t="n">
        <v>0</v>
      </c>
      <c r="Q180" t="n">
        <v>0</v>
      </c>
      <c r="R180" s="2" t="inlineStr"/>
    </row>
    <row r="181" ht="15" customHeight="1">
      <c r="A181" t="inlineStr">
        <is>
          <t>A 2311-2021</t>
        </is>
      </c>
      <c r="B181" s="1" t="n">
        <v>44213</v>
      </c>
      <c r="C181" s="1" t="n">
        <v>45765</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9131-2021</t>
        </is>
      </c>
      <c r="B182" s="1" t="n">
        <v>44249</v>
      </c>
      <c r="C182" s="1" t="n">
        <v>45765</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9133-2021</t>
        </is>
      </c>
      <c r="B183" s="1" t="n">
        <v>44249</v>
      </c>
      <c r="C183" s="1" t="n">
        <v>45765</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13705-2021</t>
        </is>
      </c>
      <c r="B184" s="1" t="n">
        <v>44274</v>
      </c>
      <c r="C184" s="1" t="n">
        <v>45765</v>
      </c>
      <c r="D184" t="inlineStr">
        <is>
          <t>DALARNAS LÄN</t>
        </is>
      </c>
      <c r="E184" t="inlineStr">
        <is>
          <t>LEKSAND</t>
        </is>
      </c>
      <c r="G184" t="n">
        <v>3.8</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45765</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17615-2021</t>
        </is>
      </c>
      <c r="B186" s="1" t="n">
        <v>44299</v>
      </c>
      <c r="C186" s="1" t="n">
        <v>45765</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18267-2021</t>
        </is>
      </c>
      <c r="B187" s="1" t="n">
        <v>44305</v>
      </c>
      <c r="C187" s="1" t="n">
        <v>45765</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18706-2021</t>
        </is>
      </c>
      <c r="B188" s="1" t="n">
        <v>44307</v>
      </c>
      <c r="C188" s="1" t="n">
        <v>45765</v>
      </c>
      <c r="D188" t="inlineStr">
        <is>
          <t>DALARNAS LÄN</t>
        </is>
      </c>
      <c r="E188" t="inlineStr">
        <is>
          <t>LEKSAND</t>
        </is>
      </c>
      <c r="G188" t="n">
        <v>3.4</v>
      </c>
      <c r="H188" t="n">
        <v>0</v>
      </c>
      <c r="I188" t="n">
        <v>0</v>
      </c>
      <c r="J188" t="n">
        <v>0</v>
      </c>
      <c r="K188" t="n">
        <v>0</v>
      </c>
      <c r="L188" t="n">
        <v>0</v>
      </c>
      <c r="M188" t="n">
        <v>0</v>
      </c>
      <c r="N188" t="n">
        <v>0</v>
      </c>
      <c r="O188" t="n">
        <v>0</v>
      </c>
      <c r="P188" t="n">
        <v>0</v>
      </c>
      <c r="Q188" t="n">
        <v>0</v>
      </c>
      <c r="R188" s="2" t="inlineStr"/>
    </row>
    <row r="189" ht="15" customHeight="1">
      <c r="A189" t="inlineStr">
        <is>
          <t>A 19677-2021</t>
        </is>
      </c>
      <c r="B189" s="1" t="n">
        <v>44312</v>
      </c>
      <c r="C189" s="1" t="n">
        <v>45765</v>
      </c>
      <c r="D189" t="inlineStr">
        <is>
          <t>DALARNAS LÄN</t>
        </is>
      </c>
      <c r="E189" t="inlineStr">
        <is>
          <t>LEKSAND</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21132-2021</t>
        </is>
      </c>
      <c r="B190" s="1" t="n">
        <v>44319</v>
      </c>
      <c r="C190" s="1" t="n">
        <v>45765</v>
      </c>
      <c r="D190" t="inlineStr">
        <is>
          <t>DALARNAS LÄN</t>
        </is>
      </c>
      <c r="E190" t="inlineStr">
        <is>
          <t>LEKSAND</t>
        </is>
      </c>
      <c r="G190" t="n">
        <v>6.8</v>
      </c>
      <c r="H190" t="n">
        <v>0</v>
      </c>
      <c r="I190" t="n">
        <v>0</v>
      </c>
      <c r="J190" t="n">
        <v>0</v>
      </c>
      <c r="K190" t="n">
        <v>0</v>
      </c>
      <c r="L190" t="n">
        <v>0</v>
      </c>
      <c r="M190" t="n">
        <v>0</v>
      </c>
      <c r="N190" t="n">
        <v>0</v>
      </c>
      <c r="O190" t="n">
        <v>0</v>
      </c>
      <c r="P190" t="n">
        <v>0</v>
      </c>
      <c r="Q190" t="n">
        <v>0</v>
      </c>
      <c r="R190" s="2" t="inlineStr"/>
    </row>
    <row r="191" ht="15" customHeight="1">
      <c r="A191" t="inlineStr">
        <is>
          <t>A 21968-2021</t>
        </is>
      </c>
      <c r="B191" s="1" t="n">
        <v>44323</v>
      </c>
      <c r="C191" s="1" t="n">
        <v>45765</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21969-2021</t>
        </is>
      </c>
      <c r="B192" s="1" t="n">
        <v>44323</v>
      </c>
      <c r="C192" s="1" t="n">
        <v>45765</v>
      </c>
      <c r="D192" t="inlineStr">
        <is>
          <t>DALARNAS LÄN</t>
        </is>
      </c>
      <c r="E192" t="inlineStr">
        <is>
          <t>LEKSAND</t>
        </is>
      </c>
      <c r="G192" t="n">
        <v>3.8</v>
      </c>
      <c r="H192" t="n">
        <v>0</v>
      </c>
      <c r="I192" t="n">
        <v>0</v>
      </c>
      <c r="J192" t="n">
        <v>0</v>
      </c>
      <c r="K192" t="n">
        <v>0</v>
      </c>
      <c r="L192" t="n">
        <v>0</v>
      </c>
      <c r="M192" t="n">
        <v>0</v>
      </c>
      <c r="N192" t="n">
        <v>0</v>
      </c>
      <c r="O192" t="n">
        <v>0</v>
      </c>
      <c r="P192" t="n">
        <v>0</v>
      </c>
      <c r="Q192" t="n">
        <v>0</v>
      </c>
      <c r="R192" s="2" t="inlineStr"/>
    </row>
    <row r="193" ht="15" customHeight="1">
      <c r="A193" t="inlineStr">
        <is>
          <t>A 21965-2021</t>
        </is>
      </c>
      <c r="B193" s="1" t="n">
        <v>44323</v>
      </c>
      <c r="C193" s="1" t="n">
        <v>45765</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22431-2021</t>
        </is>
      </c>
      <c r="B194" s="1" t="n">
        <v>44326</v>
      </c>
      <c r="C194" s="1" t="n">
        <v>45765</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22703-2021</t>
        </is>
      </c>
      <c r="B195" s="1" t="n">
        <v>44327</v>
      </c>
      <c r="C195" s="1" t="n">
        <v>45765</v>
      </c>
      <c r="D195" t="inlineStr">
        <is>
          <t>DALARNAS LÄN</t>
        </is>
      </c>
      <c r="E195" t="inlineStr">
        <is>
          <t>LEKSAND</t>
        </is>
      </c>
      <c r="F195" t="inlineStr">
        <is>
          <t>Bergvik skog väst AB</t>
        </is>
      </c>
      <c r="G195" t="n">
        <v>3.4</v>
      </c>
      <c r="H195" t="n">
        <v>0</v>
      </c>
      <c r="I195" t="n">
        <v>0</v>
      </c>
      <c r="J195" t="n">
        <v>0</v>
      </c>
      <c r="K195" t="n">
        <v>0</v>
      </c>
      <c r="L195" t="n">
        <v>0</v>
      </c>
      <c r="M195" t="n">
        <v>0</v>
      </c>
      <c r="N195" t="n">
        <v>0</v>
      </c>
      <c r="O195" t="n">
        <v>0</v>
      </c>
      <c r="P195" t="n">
        <v>0</v>
      </c>
      <c r="Q195" t="n">
        <v>0</v>
      </c>
      <c r="R195" s="2" t="inlineStr"/>
      <c r="U195">
        <f>HYPERLINK("https://klasma.github.io/Logging_2029/knärot/A 22703-2021 karta knärot.png", "A 22703-2021")</f>
        <v/>
      </c>
      <c r="V195">
        <f>HYPERLINK("https://klasma.github.io/Logging_2029/klagomål/A 22703-2021 FSC-klagomål.docx", "A 22703-2021")</f>
        <v/>
      </c>
      <c r="W195">
        <f>HYPERLINK("https://klasma.github.io/Logging_2029/klagomålsmail/A 22703-2021 FSC-klagomål mail.docx", "A 22703-2021")</f>
        <v/>
      </c>
      <c r="X195">
        <f>HYPERLINK("https://klasma.github.io/Logging_2029/tillsyn/A 22703-2021 tillsynsbegäran.docx", "A 22703-2021")</f>
        <v/>
      </c>
      <c r="Y195">
        <f>HYPERLINK("https://klasma.github.io/Logging_2029/tillsynsmail/A 22703-2021 tillsynsbegäran mail.docx", "A 22703-2021")</f>
        <v/>
      </c>
    </row>
    <row r="196" ht="15" customHeight="1">
      <c r="A196" t="inlineStr">
        <is>
          <t>A 22684-2021</t>
        </is>
      </c>
      <c r="B196" s="1" t="n">
        <v>44327</v>
      </c>
      <c r="C196" s="1" t="n">
        <v>45765</v>
      </c>
      <c r="D196" t="inlineStr">
        <is>
          <t>DALARNAS LÄN</t>
        </is>
      </c>
      <c r="E196" t="inlineStr">
        <is>
          <t>LEKSAND</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22999-2021</t>
        </is>
      </c>
      <c r="B197" s="1" t="n">
        <v>44328</v>
      </c>
      <c r="C197" s="1" t="n">
        <v>45765</v>
      </c>
      <c r="D197" t="inlineStr">
        <is>
          <t>DALARNAS LÄN</t>
        </is>
      </c>
      <c r="E197" t="inlineStr">
        <is>
          <t>LEKSAND</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23824-2021</t>
        </is>
      </c>
      <c r="B198" s="1" t="n">
        <v>44335</v>
      </c>
      <c r="C198" s="1" t="n">
        <v>45765</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24142-2021</t>
        </is>
      </c>
      <c r="B199" s="1" t="n">
        <v>44336</v>
      </c>
      <c r="C199" s="1" t="n">
        <v>45765</v>
      </c>
      <c r="D199" t="inlineStr">
        <is>
          <t>DALARNAS LÄN</t>
        </is>
      </c>
      <c r="E199" t="inlineStr">
        <is>
          <t>LEKSAND</t>
        </is>
      </c>
      <c r="F199" t="inlineStr">
        <is>
          <t>Bergvik skog väst AB</t>
        </is>
      </c>
      <c r="G199" t="n">
        <v>18.9</v>
      </c>
      <c r="H199" t="n">
        <v>0</v>
      </c>
      <c r="I199" t="n">
        <v>0</v>
      </c>
      <c r="J199" t="n">
        <v>0</v>
      </c>
      <c r="K199" t="n">
        <v>0</v>
      </c>
      <c r="L199" t="n">
        <v>0</v>
      </c>
      <c r="M199" t="n">
        <v>0</v>
      </c>
      <c r="N199" t="n">
        <v>0</v>
      </c>
      <c r="O199" t="n">
        <v>0</v>
      </c>
      <c r="P199" t="n">
        <v>0</v>
      </c>
      <c r="Q199" t="n">
        <v>0</v>
      </c>
      <c r="R199" s="2" t="inlineStr"/>
    </row>
    <row r="200" ht="15" customHeight="1">
      <c r="A200" t="inlineStr">
        <is>
          <t>A 24479-2021</t>
        </is>
      </c>
      <c r="B200" s="1" t="n">
        <v>44337</v>
      </c>
      <c r="C200" s="1" t="n">
        <v>45765</v>
      </c>
      <c r="D200" t="inlineStr">
        <is>
          <t>DALARNAS LÄN</t>
        </is>
      </c>
      <c r="E200" t="inlineStr">
        <is>
          <t>LEKSAND</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26738-2021</t>
        </is>
      </c>
      <c r="B201" s="1" t="n">
        <v>44349</v>
      </c>
      <c r="C201" s="1" t="n">
        <v>45765</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27154-2021</t>
        </is>
      </c>
      <c r="B202" s="1" t="n">
        <v>44350</v>
      </c>
      <c r="C202" s="1" t="n">
        <v>45765</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27317-2021</t>
        </is>
      </c>
      <c r="B203" s="1" t="n">
        <v>44351</v>
      </c>
      <c r="C203" s="1" t="n">
        <v>45765</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32152-2021</t>
        </is>
      </c>
      <c r="B204" s="1" t="n">
        <v>44371</v>
      </c>
      <c r="C204" s="1" t="n">
        <v>45765</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32635-2021</t>
        </is>
      </c>
      <c r="B205" s="1" t="n">
        <v>44374</v>
      </c>
      <c r="C205" s="1" t="n">
        <v>45765</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33072-2021</t>
        </is>
      </c>
      <c r="B206" s="1" t="n">
        <v>44375</v>
      </c>
      <c r="C206" s="1" t="n">
        <v>45765</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33170-2021</t>
        </is>
      </c>
      <c r="B207" s="1" t="n">
        <v>44376</v>
      </c>
      <c r="C207" s="1" t="n">
        <v>45765</v>
      </c>
      <c r="D207" t="inlineStr">
        <is>
          <t>DALARNAS LÄN</t>
        </is>
      </c>
      <c r="E207" t="inlineStr">
        <is>
          <t>LEKSAND</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34869-2021</t>
        </is>
      </c>
      <c r="B208" s="1" t="n">
        <v>44383</v>
      </c>
      <c r="C208" s="1" t="n">
        <v>45765</v>
      </c>
      <c r="D208" t="inlineStr">
        <is>
          <t>DALARNAS LÄN</t>
        </is>
      </c>
      <c r="E208" t="inlineStr">
        <is>
          <t>LEKSAND</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34867-2021</t>
        </is>
      </c>
      <c r="B209" s="1" t="n">
        <v>44383</v>
      </c>
      <c r="C209" s="1" t="n">
        <v>45765</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34911-2021</t>
        </is>
      </c>
      <c r="B210" s="1" t="n">
        <v>44383</v>
      </c>
      <c r="C210" s="1" t="n">
        <v>45765</v>
      </c>
      <c r="D210" t="inlineStr">
        <is>
          <t>DALARNAS LÄN</t>
        </is>
      </c>
      <c r="E210" t="inlineStr">
        <is>
          <t>LEKSAND</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36438-2021</t>
        </is>
      </c>
      <c r="B211" s="1" t="n">
        <v>44390</v>
      </c>
      <c r="C211" s="1" t="n">
        <v>45765</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36956-2021</t>
        </is>
      </c>
      <c r="B212" s="1" t="n">
        <v>44393</v>
      </c>
      <c r="C212" s="1" t="n">
        <v>45765</v>
      </c>
      <c r="D212" t="inlineStr">
        <is>
          <t>DALARNAS LÄN</t>
        </is>
      </c>
      <c r="E212" t="inlineStr">
        <is>
          <t>LEKSAND</t>
        </is>
      </c>
      <c r="G212" t="n">
        <v>4.1</v>
      </c>
      <c r="H212" t="n">
        <v>0</v>
      </c>
      <c r="I212" t="n">
        <v>0</v>
      </c>
      <c r="J212" t="n">
        <v>0</v>
      </c>
      <c r="K212" t="n">
        <v>0</v>
      </c>
      <c r="L212" t="n">
        <v>0</v>
      </c>
      <c r="M212" t="n">
        <v>0</v>
      </c>
      <c r="N212" t="n">
        <v>0</v>
      </c>
      <c r="O212" t="n">
        <v>0</v>
      </c>
      <c r="P212" t="n">
        <v>0</v>
      </c>
      <c r="Q212" t="n">
        <v>0</v>
      </c>
      <c r="R212" s="2" t="inlineStr"/>
    </row>
    <row r="213" ht="15" customHeight="1">
      <c r="A213" t="inlineStr">
        <is>
          <t>A 37073-2021</t>
        </is>
      </c>
      <c r="B213" s="1" t="n">
        <v>44394</v>
      </c>
      <c r="C213" s="1" t="n">
        <v>45765</v>
      </c>
      <c r="D213" t="inlineStr">
        <is>
          <t>DALARNAS LÄN</t>
        </is>
      </c>
      <c r="E213" t="inlineStr">
        <is>
          <t>LEKSAND</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37283-2021</t>
        </is>
      </c>
      <c r="B214" s="1" t="n">
        <v>44397</v>
      </c>
      <c r="C214" s="1" t="n">
        <v>45765</v>
      </c>
      <c r="D214" t="inlineStr">
        <is>
          <t>DALARNAS LÄN</t>
        </is>
      </c>
      <c r="E214" t="inlineStr">
        <is>
          <t>LEKSAND</t>
        </is>
      </c>
      <c r="G214" t="n">
        <v>2.9</v>
      </c>
      <c r="H214" t="n">
        <v>0</v>
      </c>
      <c r="I214" t="n">
        <v>0</v>
      </c>
      <c r="J214" t="n">
        <v>0</v>
      </c>
      <c r="K214" t="n">
        <v>0</v>
      </c>
      <c r="L214" t="n">
        <v>0</v>
      </c>
      <c r="M214" t="n">
        <v>0</v>
      </c>
      <c r="N214" t="n">
        <v>0</v>
      </c>
      <c r="O214" t="n">
        <v>0</v>
      </c>
      <c r="P214" t="n">
        <v>0</v>
      </c>
      <c r="Q214" t="n">
        <v>0</v>
      </c>
      <c r="R214" s="2" t="inlineStr"/>
    </row>
    <row r="215" ht="15" customHeight="1">
      <c r="A215" t="inlineStr">
        <is>
          <t>A 37531-2021</t>
        </is>
      </c>
      <c r="B215" s="1" t="n">
        <v>44399</v>
      </c>
      <c r="C215" s="1" t="n">
        <v>45765</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38192-2021</t>
        </is>
      </c>
      <c r="B216" s="1" t="n">
        <v>44405</v>
      </c>
      <c r="C216" s="1" t="n">
        <v>45765</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38619-2021</t>
        </is>
      </c>
      <c r="B217" s="1" t="n">
        <v>44409</v>
      </c>
      <c r="C217" s="1" t="n">
        <v>45765</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39203-2021</t>
        </is>
      </c>
      <c r="B218" s="1" t="n">
        <v>44413</v>
      </c>
      <c r="C218" s="1" t="n">
        <v>45765</v>
      </c>
      <c r="D218" t="inlineStr">
        <is>
          <t>DALARNAS LÄN</t>
        </is>
      </c>
      <c r="E218" t="inlineStr">
        <is>
          <t>LEKSAND</t>
        </is>
      </c>
      <c r="G218" t="n">
        <v>5</v>
      </c>
      <c r="H218" t="n">
        <v>0</v>
      </c>
      <c r="I218" t="n">
        <v>0</v>
      </c>
      <c r="J218" t="n">
        <v>0</v>
      </c>
      <c r="K218" t="n">
        <v>0</v>
      </c>
      <c r="L218" t="n">
        <v>0</v>
      </c>
      <c r="M218" t="n">
        <v>0</v>
      </c>
      <c r="N218" t="n">
        <v>0</v>
      </c>
      <c r="O218" t="n">
        <v>0</v>
      </c>
      <c r="P218" t="n">
        <v>0</v>
      </c>
      <c r="Q218" t="n">
        <v>0</v>
      </c>
      <c r="R218" s="2" t="inlineStr"/>
    </row>
    <row r="219" ht="15" customHeight="1">
      <c r="A219" t="inlineStr">
        <is>
          <t>A 40584-2021</t>
        </is>
      </c>
      <c r="B219" s="1" t="n">
        <v>44420</v>
      </c>
      <c r="C219" s="1" t="n">
        <v>45765</v>
      </c>
      <c r="D219" t="inlineStr">
        <is>
          <t>DALARNAS LÄN</t>
        </is>
      </c>
      <c r="E219" t="inlineStr">
        <is>
          <t>LEKSAND</t>
        </is>
      </c>
      <c r="G219" t="n">
        <v>6</v>
      </c>
      <c r="H219" t="n">
        <v>0</v>
      </c>
      <c r="I219" t="n">
        <v>0</v>
      </c>
      <c r="J219" t="n">
        <v>0</v>
      </c>
      <c r="K219" t="n">
        <v>0</v>
      </c>
      <c r="L219" t="n">
        <v>0</v>
      </c>
      <c r="M219" t="n">
        <v>0</v>
      </c>
      <c r="N219" t="n">
        <v>0</v>
      </c>
      <c r="O219" t="n">
        <v>0</v>
      </c>
      <c r="P219" t="n">
        <v>0</v>
      </c>
      <c r="Q219" t="n">
        <v>0</v>
      </c>
      <c r="R219" s="2" t="inlineStr"/>
    </row>
    <row r="220" ht="15" customHeight="1">
      <c r="A220" t="inlineStr">
        <is>
          <t>A 42952-2021</t>
        </is>
      </c>
      <c r="B220" s="1" t="n">
        <v>44431</v>
      </c>
      <c r="C220" s="1" t="n">
        <v>45765</v>
      </c>
      <c r="D220" t="inlineStr">
        <is>
          <t>DALARNAS LÄN</t>
        </is>
      </c>
      <c r="E220" t="inlineStr">
        <is>
          <t>LEKSAND</t>
        </is>
      </c>
      <c r="G220" t="n">
        <v>5.4</v>
      </c>
      <c r="H220" t="n">
        <v>0</v>
      </c>
      <c r="I220" t="n">
        <v>0</v>
      </c>
      <c r="J220" t="n">
        <v>0</v>
      </c>
      <c r="K220" t="n">
        <v>0</v>
      </c>
      <c r="L220" t="n">
        <v>0</v>
      </c>
      <c r="M220" t="n">
        <v>0</v>
      </c>
      <c r="N220" t="n">
        <v>0</v>
      </c>
      <c r="O220" t="n">
        <v>0</v>
      </c>
      <c r="P220" t="n">
        <v>0</v>
      </c>
      <c r="Q220" t="n">
        <v>0</v>
      </c>
      <c r="R220" s="2" t="inlineStr"/>
    </row>
    <row r="221" ht="15" customHeight="1">
      <c r="A221" t="inlineStr">
        <is>
          <t>A 43410-2021</t>
        </is>
      </c>
      <c r="B221" s="1" t="n">
        <v>44432</v>
      </c>
      <c r="C221" s="1" t="n">
        <v>45765</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44922-2021</t>
        </is>
      </c>
      <c r="B222" s="1" t="n">
        <v>44438</v>
      </c>
      <c r="C222" s="1" t="n">
        <v>45765</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45155-2021</t>
        </is>
      </c>
      <c r="B223" s="1" t="n">
        <v>44439</v>
      </c>
      <c r="C223" s="1" t="n">
        <v>45765</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45788-2021</t>
        </is>
      </c>
      <c r="B224" s="1" t="n">
        <v>44441</v>
      </c>
      <c r="C224" s="1" t="n">
        <v>45765</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47121-2021</t>
        </is>
      </c>
      <c r="B225" s="1" t="n">
        <v>44446</v>
      </c>
      <c r="C225" s="1" t="n">
        <v>45765</v>
      </c>
      <c r="D225" t="inlineStr">
        <is>
          <t>DALARNAS LÄN</t>
        </is>
      </c>
      <c r="E225" t="inlineStr">
        <is>
          <t>LEKSAND</t>
        </is>
      </c>
      <c r="G225" t="n">
        <v>3.5</v>
      </c>
      <c r="H225" t="n">
        <v>0</v>
      </c>
      <c r="I225" t="n">
        <v>0</v>
      </c>
      <c r="J225" t="n">
        <v>0</v>
      </c>
      <c r="K225" t="n">
        <v>0</v>
      </c>
      <c r="L225" t="n">
        <v>0</v>
      </c>
      <c r="M225" t="n">
        <v>0</v>
      </c>
      <c r="N225" t="n">
        <v>0</v>
      </c>
      <c r="O225" t="n">
        <v>0</v>
      </c>
      <c r="P225" t="n">
        <v>0</v>
      </c>
      <c r="Q225" t="n">
        <v>0</v>
      </c>
      <c r="R225" s="2" t="inlineStr"/>
    </row>
    <row r="226" ht="15" customHeight="1">
      <c r="A226" t="inlineStr">
        <is>
          <t>A 48949-2021</t>
        </is>
      </c>
      <c r="B226" s="1" t="n">
        <v>44453</v>
      </c>
      <c r="C226" s="1" t="n">
        <v>45765</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53625-2021</t>
        </is>
      </c>
      <c r="B227" s="1" t="n">
        <v>44469</v>
      </c>
      <c r="C227" s="1" t="n">
        <v>45765</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56153-2021</t>
        </is>
      </c>
      <c r="B228" s="1" t="n">
        <v>44477</v>
      </c>
      <c r="C228" s="1" t="n">
        <v>45765</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58569-2021</t>
        </is>
      </c>
      <c r="B229" s="1" t="n">
        <v>44488</v>
      </c>
      <c r="C229" s="1" t="n">
        <v>45765</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59422-2021</t>
        </is>
      </c>
      <c r="B230" s="1" t="n">
        <v>44491</v>
      </c>
      <c r="C230" s="1" t="n">
        <v>45765</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61546-2021</t>
        </is>
      </c>
      <c r="B231" s="1" t="n">
        <v>44501</v>
      </c>
      <c r="C231" s="1" t="n">
        <v>45765</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61669-2021</t>
        </is>
      </c>
      <c r="B232" s="1" t="n">
        <v>44501</v>
      </c>
      <c r="C232" s="1" t="n">
        <v>45765</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61676-2021</t>
        </is>
      </c>
      <c r="B233" s="1" t="n">
        <v>44501</v>
      </c>
      <c r="C233" s="1" t="n">
        <v>45765</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62279-2021</t>
        </is>
      </c>
      <c r="B234" s="1" t="n">
        <v>44503</v>
      </c>
      <c r="C234" s="1" t="n">
        <v>45765</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64718-2021</t>
        </is>
      </c>
      <c r="B235" s="1" t="n">
        <v>44512</v>
      </c>
      <c r="C235" s="1" t="n">
        <v>45765</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68573-2021</t>
        </is>
      </c>
      <c r="B236" s="1" t="n">
        <v>44529</v>
      </c>
      <c r="C236" s="1" t="n">
        <v>45765</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68617-2021</t>
        </is>
      </c>
      <c r="B237" s="1" t="n">
        <v>44529</v>
      </c>
      <c r="C237" s="1" t="n">
        <v>45765</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69525-2021</t>
        </is>
      </c>
      <c r="B238" s="1" t="n">
        <v>44531</v>
      </c>
      <c r="C238" s="1" t="n">
        <v>45765</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70098-2021</t>
        </is>
      </c>
      <c r="B239" s="1" t="n">
        <v>44533</v>
      </c>
      <c r="C239" s="1" t="n">
        <v>45765</v>
      </c>
      <c r="D239" t="inlineStr">
        <is>
          <t>DALARNAS LÄN</t>
        </is>
      </c>
      <c r="E239" t="inlineStr">
        <is>
          <t>LEKSAND</t>
        </is>
      </c>
      <c r="G239" t="n">
        <v>0.8</v>
      </c>
      <c r="H239" t="n">
        <v>0</v>
      </c>
      <c r="I239" t="n">
        <v>0</v>
      </c>
      <c r="J239" t="n">
        <v>0</v>
      </c>
      <c r="K239" t="n">
        <v>0</v>
      </c>
      <c r="L239" t="n">
        <v>0</v>
      </c>
      <c r="M239" t="n">
        <v>0</v>
      </c>
      <c r="N239" t="n">
        <v>0</v>
      </c>
      <c r="O239" t="n">
        <v>0</v>
      </c>
      <c r="P239" t="n">
        <v>0</v>
      </c>
      <c r="Q239" t="n">
        <v>0</v>
      </c>
      <c r="R239" s="2" t="inlineStr"/>
    </row>
    <row r="240" ht="15" customHeight="1">
      <c r="A240" t="inlineStr">
        <is>
          <t>A 70099-2021</t>
        </is>
      </c>
      <c r="B240" s="1" t="n">
        <v>44533</v>
      </c>
      <c r="C240" s="1" t="n">
        <v>45765</v>
      </c>
      <c r="D240" t="inlineStr">
        <is>
          <t>DALARNAS LÄN</t>
        </is>
      </c>
      <c r="E240" t="inlineStr">
        <is>
          <t>LEKSAND</t>
        </is>
      </c>
      <c r="G240" t="n">
        <v>2.8</v>
      </c>
      <c r="H240" t="n">
        <v>0</v>
      </c>
      <c r="I240" t="n">
        <v>0</v>
      </c>
      <c r="J240" t="n">
        <v>0</v>
      </c>
      <c r="K240" t="n">
        <v>0</v>
      </c>
      <c r="L240" t="n">
        <v>0</v>
      </c>
      <c r="M240" t="n">
        <v>0</v>
      </c>
      <c r="N240" t="n">
        <v>0</v>
      </c>
      <c r="O240" t="n">
        <v>0</v>
      </c>
      <c r="P240" t="n">
        <v>0</v>
      </c>
      <c r="Q240" t="n">
        <v>0</v>
      </c>
      <c r="R240" s="2" t="inlineStr"/>
    </row>
    <row r="241" ht="15" customHeight="1">
      <c r="A241" t="inlineStr">
        <is>
          <t>A 70026-2021</t>
        </is>
      </c>
      <c r="B241" s="1" t="n">
        <v>44533</v>
      </c>
      <c r="C241" s="1" t="n">
        <v>45765</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70296-2021</t>
        </is>
      </c>
      <c r="B242" s="1" t="n">
        <v>44536</v>
      </c>
      <c r="C242" s="1" t="n">
        <v>45765</v>
      </c>
      <c r="D242" t="inlineStr">
        <is>
          <t>DALARNAS LÄN</t>
        </is>
      </c>
      <c r="E242" t="inlineStr">
        <is>
          <t>LEKSAND</t>
        </is>
      </c>
      <c r="G242" t="n">
        <v>2.7</v>
      </c>
      <c r="H242" t="n">
        <v>0</v>
      </c>
      <c r="I242" t="n">
        <v>0</v>
      </c>
      <c r="J242" t="n">
        <v>0</v>
      </c>
      <c r="K242" t="n">
        <v>0</v>
      </c>
      <c r="L242" t="n">
        <v>0</v>
      </c>
      <c r="M242" t="n">
        <v>0</v>
      </c>
      <c r="N242" t="n">
        <v>0</v>
      </c>
      <c r="O242" t="n">
        <v>0</v>
      </c>
      <c r="P242" t="n">
        <v>0</v>
      </c>
      <c r="Q242" t="n">
        <v>0</v>
      </c>
      <c r="R242" s="2" t="inlineStr"/>
    </row>
    <row r="243" ht="15" customHeight="1">
      <c r="A243" t="inlineStr">
        <is>
          <t>A 70451-2021</t>
        </is>
      </c>
      <c r="B243" s="1" t="n">
        <v>44536</v>
      </c>
      <c r="C243" s="1" t="n">
        <v>45765</v>
      </c>
      <c r="D243" t="inlineStr">
        <is>
          <t>DALARNAS LÄN</t>
        </is>
      </c>
      <c r="E243" t="inlineStr">
        <is>
          <t>LEKSAND</t>
        </is>
      </c>
      <c r="G243" t="n">
        <v>3.7</v>
      </c>
      <c r="H243" t="n">
        <v>0</v>
      </c>
      <c r="I243" t="n">
        <v>0</v>
      </c>
      <c r="J243" t="n">
        <v>0</v>
      </c>
      <c r="K243" t="n">
        <v>0</v>
      </c>
      <c r="L243" t="n">
        <v>0</v>
      </c>
      <c r="M243" t="n">
        <v>0</v>
      </c>
      <c r="N243" t="n">
        <v>0</v>
      </c>
      <c r="O243" t="n">
        <v>0</v>
      </c>
      <c r="P243" t="n">
        <v>0</v>
      </c>
      <c r="Q243" t="n">
        <v>0</v>
      </c>
      <c r="R243" s="2" t="inlineStr"/>
    </row>
    <row r="244" ht="15" customHeight="1">
      <c r="A244" t="inlineStr">
        <is>
          <t>A 71311-2021</t>
        </is>
      </c>
      <c r="B244" s="1" t="n">
        <v>44539</v>
      </c>
      <c r="C244" s="1" t="n">
        <v>45765</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71754-2021</t>
        </is>
      </c>
      <c r="B245" s="1" t="n">
        <v>44543</v>
      </c>
      <c r="C245" s="1" t="n">
        <v>45765</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71817-2021</t>
        </is>
      </c>
      <c r="B246" s="1" t="n">
        <v>44543</v>
      </c>
      <c r="C246" s="1" t="n">
        <v>45765</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72155-2021</t>
        </is>
      </c>
      <c r="B247" s="1" t="n">
        <v>44543</v>
      </c>
      <c r="C247" s="1" t="n">
        <v>45765</v>
      </c>
      <c r="D247" t="inlineStr">
        <is>
          <t>DALARNAS LÄN</t>
        </is>
      </c>
      <c r="E247" t="inlineStr">
        <is>
          <t>LEKSAND</t>
        </is>
      </c>
      <c r="G247" t="n">
        <v>2.5</v>
      </c>
      <c r="H247" t="n">
        <v>0</v>
      </c>
      <c r="I247" t="n">
        <v>0</v>
      </c>
      <c r="J247" t="n">
        <v>0</v>
      </c>
      <c r="K247" t="n">
        <v>0</v>
      </c>
      <c r="L247" t="n">
        <v>0</v>
      </c>
      <c r="M247" t="n">
        <v>0</v>
      </c>
      <c r="N247" t="n">
        <v>0</v>
      </c>
      <c r="O247" t="n">
        <v>0</v>
      </c>
      <c r="P247" t="n">
        <v>0</v>
      </c>
      <c r="Q247" t="n">
        <v>0</v>
      </c>
      <c r="R247" s="2" t="inlineStr"/>
    </row>
    <row r="248" ht="15" customHeight="1">
      <c r="A248" t="inlineStr">
        <is>
          <t>A 72000-2021</t>
        </is>
      </c>
      <c r="B248" s="1" t="n">
        <v>44544</v>
      </c>
      <c r="C248" s="1" t="n">
        <v>45765</v>
      </c>
      <c r="D248" t="inlineStr">
        <is>
          <t>DALARNAS LÄN</t>
        </is>
      </c>
      <c r="E248" t="inlineStr">
        <is>
          <t>LEKSAND</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72001-2021</t>
        </is>
      </c>
      <c r="B249" s="1" t="n">
        <v>44544</v>
      </c>
      <c r="C249" s="1" t="n">
        <v>45765</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72581-2021</t>
        </is>
      </c>
      <c r="B250" s="1" t="n">
        <v>44546</v>
      </c>
      <c r="C250" s="1" t="n">
        <v>45765</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72531-2021</t>
        </is>
      </c>
      <c r="B251" s="1" t="n">
        <v>44546</v>
      </c>
      <c r="C251" s="1" t="n">
        <v>45765</v>
      </c>
      <c r="D251" t="inlineStr">
        <is>
          <t>DALARNAS LÄN</t>
        </is>
      </c>
      <c r="E251" t="inlineStr">
        <is>
          <t>LEKSAND</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72575-2021</t>
        </is>
      </c>
      <c r="B252" s="1" t="n">
        <v>44546</v>
      </c>
      <c r="C252" s="1" t="n">
        <v>45765</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74067-2021</t>
        </is>
      </c>
      <c r="B253" s="1" t="n">
        <v>44553</v>
      </c>
      <c r="C253" s="1" t="n">
        <v>45765</v>
      </c>
      <c r="D253" t="inlineStr">
        <is>
          <t>DALARNAS LÄN</t>
        </is>
      </c>
      <c r="E253" t="inlineStr">
        <is>
          <t>LEKSAND</t>
        </is>
      </c>
      <c r="G253" t="n">
        <v>1.8</v>
      </c>
      <c r="H253" t="n">
        <v>0</v>
      </c>
      <c r="I253" t="n">
        <v>0</v>
      </c>
      <c r="J253" t="n">
        <v>0</v>
      </c>
      <c r="K253" t="n">
        <v>0</v>
      </c>
      <c r="L253" t="n">
        <v>0</v>
      </c>
      <c r="M253" t="n">
        <v>0</v>
      </c>
      <c r="N253" t="n">
        <v>0</v>
      </c>
      <c r="O253" t="n">
        <v>0</v>
      </c>
      <c r="P253" t="n">
        <v>0</v>
      </c>
      <c r="Q253" t="n">
        <v>0</v>
      </c>
      <c r="R253" s="2" t="inlineStr"/>
    </row>
    <row r="254" ht="15" customHeight="1">
      <c r="A254" t="inlineStr">
        <is>
          <t>A 791-2022</t>
        </is>
      </c>
      <c r="B254" s="1" t="n">
        <v>44570</v>
      </c>
      <c r="C254" s="1" t="n">
        <v>45765</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1775-2022</t>
        </is>
      </c>
      <c r="B255" s="1" t="n">
        <v>44574</v>
      </c>
      <c r="C255" s="1" t="n">
        <v>45765</v>
      </c>
      <c r="D255" t="inlineStr">
        <is>
          <t>DALARNAS LÄN</t>
        </is>
      </c>
      <c r="E255" t="inlineStr">
        <is>
          <t>LEKSAND</t>
        </is>
      </c>
      <c r="G255" t="n">
        <v>2</v>
      </c>
      <c r="H255" t="n">
        <v>0</v>
      </c>
      <c r="I255" t="n">
        <v>0</v>
      </c>
      <c r="J255" t="n">
        <v>0</v>
      </c>
      <c r="K255" t="n">
        <v>0</v>
      </c>
      <c r="L255" t="n">
        <v>0</v>
      </c>
      <c r="M255" t="n">
        <v>0</v>
      </c>
      <c r="N255" t="n">
        <v>0</v>
      </c>
      <c r="O255" t="n">
        <v>0</v>
      </c>
      <c r="P255" t="n">
        <v>0</v>
      </c>
      <c r="Q255" t="n">
        <v>0</v>
      </c>
      <c r="R255" s="2" t="inlineStr"/>
    </row>
    <row r="256" ht="15" customHeight="1">
      <c r="A256" t="inlineStr">
        <is>
          <t>A 2579-2022</t>
        </is>
      </c>
      <c r="B256" s="1" t="n">
        <v>44580</v>
      </c>
      <c r="C256" s="1" t="n">
        <v>45765</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4257-2022</t>
        </is>
      </c>
      <c r="B257" s="1" t="n">
        <v>44588</v>
      </c>
      <c r="C257" s="1" t="n">
        <v>45765</v>
      </c>
      <c r="D257" t="inlineStr">
        <is>
          <t>DALARNAS LÄN</t>
        </is>
      </c>
      <c r="E257" t="inlineStr">
        <is>
          <t>LEKSAND</t>
        </is>
      </c>
      <c r="G257" t="n">
        <v>6.8</v>
      </c>
      <c r="H257" t="n">
        <v>0</v>
      </c>
      <c r="I257" t="n">
        <v>0</v>
      </c>
      <c r="J257" t="n">
        <v>0</v>
      </c>
      <c r="K257" t="n">
        <v>0</v>
      </c>
      <c r="L257" t="n">
        <v>0</v>
      </c>
      <c r="M257" t="n">
        <v>0</v>
      </c>
      <c r="N257" t="n">
        <v>0</v>
      </c>
      <c r="O257" t="n">
        <v>0</v>
      </c>
      <c r="P257" t="n">
        <v>0</v>
      </c>
      <c r="Q257" t="n">
        <v>0</v>
      </c>
      <c r="R257" s="2" t="inlineStr"/>
    </row>
    <row r="258" ht="15" customHeight="1">
      <c r="A258" t="inlineStr">
        <is>
          <t>A 4609-2022</t>
        </is>
      </c>
      <c r="B258" s="1" t="n">
        <v>44592</v>
      </c>
      <c r="C258" s="1" t="n">
        <v>45765</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8501-2022</t>
        </is>
      </c>
      <c r="B259" s="1" t="n">
        <v>44613</v>
      </c>
      <c r="C259" s="1" t="n">
        <v>45765</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11015-2022</t>
        </is>
      </c>
      <c r="B260" s="1" t="n">
        <v>44628</v>
      </c>
      <c r="C260" s="1" t="n">
        <v>45765</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11412-2022</t>
        </is>
      </c>
      <c r="B261" s="1" t="n">
        <v>44630</v>
      </c>
      <c r="C261" s="1" t="n">
        <v>45765</v>
      </c>
      <c r="D261" t="inlineStr">
        <is>
          <t>DALARNAS LÄN</t>
        </is>
      </c>
      <c r="E261" t="inlineStr">
        <is>
          <t>LEKSAND</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45765</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14140-2022</t>
        </is>
      </c>
      <c r="B263" s="1" t="n">
        <v>44651</v>
      </c>
      <c r="C263" s="1" t="n">
        <v>45765</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14806-2022</t>
        </is>
      </c>
      <c r="B264" s="1" t="n">
        <v>44656</v>
      </c>
      <c r="C264" s="1" t="n">
        <v>45765</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16353-2022</t>
        </is>
      </c>
      <c r="B265" s="1" t="n">
        <v>44670</v>
      </c>
      <c r="C265" s="1" t="n">
        <v>45765</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16375-2022</t>
        </is>
      </c>
      <c r="B266" s="1" t="n">
        <v>44671</v>
      </c>
      <c r="C266" s="1" t="n">
        <v>45765</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16976-2022</t>
        </is>
      </c>
      <c r="B267" s="1" t="n">
        <v>44676</v>
      </c>
      <c r="C267" s="1" t="n">
        <v>45765</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17455-2022</t>
        </is>
      </c>
      <c r="B268" s="1" t="n">
        <v>44679</v>
      </c>
      <c r="C268" s="1" t="n">
        <v>45765</v>
      </c>
      <c r="D268" t="inlineStr">
        <is>
          <t>DALARNAS LÄN</t>
        </is>
      </c>
      <c r="E268" t="inlineStr">
        <is>
          <t>LEKSAND</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18140-2022</t>
        </is>
      </c>
      <c r="B269" s="1" t="n">
        <v>44684</v>
      </c>
      <c r="C269" s="1" t="n">
        <v>45765</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18866-2022</t>
        </is>
      </c>
      <c r="B270" s="1" t="n">
        <v>44690</v>
      </c>
      <c r="C270" s="1" t="n">
        <v>45765</v>
      </c>
      <c r="D270" t="inlineStr">
        <is>
          <t>DALARNAS LÄN</t>
        </is>
      </c>
      <c r="E270" t="inlineStr">
        <is>
          <t>LEKSAND</t>
        </is>
      </c>
      <c r="F270" t="inlineStr">
        <is>
          <t>Övriga Aktiebolag</t>
        </is>
      </c>
      <c r="G270" t="n">
        <v>5.1</v>
      </c>
      <c r="H270" t="n">
        <v>0</v>
      </c>
      <c r="I270" t="n">
        <v>0</v>
      </c>
      <c r="J270" t="n">
        <v>0</v>
      </c>
      <c r="K270" t="n">
        <v>0</v>
      </c>
      <c r="L270" t="n">
        <v>0</v>
      </c>
      <c r="M270" t="n">
        <v>0</v>
      </c>
      <c r="N270" t="n">
        <v>0</v>
      </c>
      <c r="O270" t="n">
        <v>0</v>
      </c>
      <c r="P270" t="n">
        <v>0</v>
      </c>
      <c r="Q270" t="n">
        <v>0</v>
      </c>
      <c r="R270" s="2" t="inlineStr"/>
    </row>
    <row r="271" ht="15" customHeight="1">
      <c r="A271" t="inlineStr">
        <is>
          <t>A 18870-2022</t>
        </is>
      </c>
      <c r="B271" s="1" t="n">
        <v>44690</v>
      </c>
      <c r="C271" s="1" t="n">
        <v>45765</v>
      </c>
      <c r="D271" t="inlineStr">
        <is>
          <t>DALARNAS LÄN</t>
        </is>
      </c>
      <c r="E271" t="inlineStr">
        <is>
          <t>LEKSAND</t>
        </is>
      </c>
      <c r="F271" t="inlineStr">
        <is>
          <t>Övriga Aktiebolag</t>
        </is>
      </c>
      <c r="G271" t="n">
        <v>3.1</v>
      </c>
      <c r="H271" t="n">
        <v>0</v>
      </c>
      <c r="I271" t="n">
        <v>0</v>
      </c>
      <c r="J271" t="n">
        <v>0</v>
      </c>
      <c r="K271" t="n">
        <v>0</v>
      </c>
      <c r="L271" t="n">
        <v>0</v>
      </c>
      <c r="M271" t="n">
        <v>0</v>
      </c>
      <c r="N271" t="n">
        <v>0</v>
      </c>
      <c r="O271" t="n">
        <v>0</v>
      </c>
      <c r="P271" t="n">
        <v>0</v>
      </c>
      <c r="Q271" t="n">
        <v>0</v>
      </c>
      <c r="R271" s="2" t="inlineStr"/>
    </row>
    <row r="272" ht="15" customHeight="1">
      <c r="A272" t="inlineStr">
        <is>
          <t>A 19467-2022</t>
        </is>
      </c>
      <c r="B272" s="1" t="n">
        <v>44693</v>
      </c>
      <c r="C272" s="1" t="n">
        <v>45765</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19480-2022</t>
        </is>
      </c>
      <c r="B273" s="1" t="n">
        <v>44693</v>
      </c>
      <c r="C273" s="1" t="n">
        <v>45765</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19993-2022</t>
        </is>
      </c>
      <c r="B274" s="1" t="n">
        <v>44697</v>
      </c>
      <c r="C274" s="1" t="n">
        <v>45765</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20274-2022</t>
        </is>
      </c>
      <c r="B275" s="1" t="n">
        <v>44698</v>
      </c>
      <c r="C275" s="1" t="n">
        <v>45765</v>
      </c>
      <c r="D275" t="inlineStr">
        <is>
          <t>DALARNAS LÄN</t>
        </is>
      </c>
      <c r="E275" t="inlineStr">
        <is>
          <t>LEKSAND</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21565-2022</t>
        </is>
      </c>
      <c r="B276" s="1" t="n">
        <v>44704</v>
      </c>
      <c r="C276" s="1" t="n">
        <v>45765</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21841-2022</t>
        </is>
      </c>
      <c r="B277" s="1" t="n">
        <v>44711</v>
      </c>
      <c r="C277" s="1" t="n">
        <v>45765</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21839-2022</t>
        </is>
      </c>
      <c r="B278" s="1" t="n">
        <v>44711</v>
      </c>
      <c r="C278" s="1" t="n">
        <v>45765</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21840-2022</t>
        </is>
      </c>
      <c r="B279" s="1" t="n">
        <v>44711</v>
      </c>
      <c r="C279" s="1" t="n">
        <v>45765</v>
      </c>
      <c r="D279" t="inlineStr">
        <is>
          <t>DALARNAS LÄN</t>
        </is>
      </c>
      <c r="E279" t="inlineStr">
        <is>
          <t>LEKSAND</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22683-2022</t>
        </is>
      </c>
      <c r="B280" s="1" t="n">
        <v>44714</v>
      </c>
      <c r="C280" s="1" t="n">
        <v>45765</v>
      </c>
      <c r="D280" t="inlineStr">
        <is>
          <t>DALARNAS LÄN</t>
        </is>
      </c>
      <c r="E280" t="inlineStr">
        <is>
          <t>LEKSAND</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22681-2022</t>
        </is>
      </c>
      <c r="B281" s="1" t="n">
        <v>44714</v>
      </c>
      <c r="C281" s="1" t="n">
        <v>45765</v>
      </c>
      <c r="D281" t="inlineStr">
        <is>
          <t>DALARNAS LÄN</t>
        </is>
      </c>
      <c r="E281" t="inlineStr">
        <is>
          <t>LEKSAND</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22684-2022</t>
        </is>
      </c>
      <c r="B282" s="1" t="n">
        <v>44714</v>
      </c>
      <c r="C282" s="1" t="n">
        <v>45765</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25329-2022</t>
        </is>
      </c>
      <c r="B283" s="1" t="n">
        <v>44731</v>
      </c>
      <c r="C283" s="1" t="n">
        <v>45765</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26289-2022</t>
        </is>
      </c>
      <c r="B284" s="1" t="n">
        <v>44735</v>
      </c>
      <c r="C284" s="1" t="n">
        <v>45765</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26882-2022</t>
        </is>
      </c>
      <c r="B285" s="1" t="n">
        <v>44740</v>
      </c>
      <c r="C285" s="1" t="n">
        <v>45765</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28128-2022</t>
        </is>
      </c>
      <c r="B286" s="1" t="n">
        <v>44746</v>
      </c>
      <c r="C286" s="1" t="n">
        <v>45765</v>
      </c>
      <c r="D286" t="inlineStr">
        <is>
          <t>DALARNAS LÄN</t>
        </is>
      </c>
      <c r="E286" t="inlineStr">
        <is>
          <t>LEKSAND</t>
        </is>
      </c>
      <c r="G286" t="n">
        <v>3.5</v>
      </c>
      <c r="H286" t="n">
        <v>0</v>
      </c>
      <c r="I286" t="n">
        <v>0</v>
      </c>
      <c r="J286" t="n">
        <v>0</v>
      </c>
      <c r="K286" t="n">
        <v>0</v>
      </c>
      <c r="L286" t="n">
        <v>0</v>
      </c>
      <c r="M286" t="n">
        <v>0</v>
      </c>
      <c r="N286" t="n">
        <v>0</v>
      </c>
      <c r="O286" t="n">
        <v>0</v>
      </c>
      <c r="P286" t="n">
        <v>0</v>
      </c>
      <c r="Q286" t="n">
        <v>0</v>
      </c>
      <c r="R286" s="2" t="inlineStr"/>
    </row>
    <row r="287" ht="15" customHeight="1">
      <c r="A287" t="inlineStr">
        <is>
          <t>A 28911-2022</t>
        </is>
      </c>
      <c r="B287" s="1" t="n">
        <v>44749</v>
      </c>
      <c r="C287" s="1" t="n">
        <v>45765</v>
      </c>
      <c r="D287" t="inlineStr">
        <is>
          <t>DALARNAS LÄN</t>
        </is>
      </c>
      <c r="E287" t="inlineStr">
        <is>
          <t>LEKSAND</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28892-2022</t>
        </is>
      </c>
      <c r="B288" s="1" t="n">
        <v>44749</v>
      </c>
      <c r="C288" s="1" t="n">
        <v>45765</v>
      </c>
      <c r="D288" t="inlineStr">
        <is>
          <t>DALARNAS LÄN</t>
        </is>
      </c>
      <c r="E288" t="inlineStr">
        <is>
          <t>LEKSAND</t>
        </is>
      </c>
      <c r="F288" t="inlineStr">
        <is>
          <t>Bergvik skog väst AB</t>
        </is>
      </c>
      <c r="G288" t="n">
        <v>9.1</v>
      </c>
      <c r="H288" t="n">
        <v>0</v>
      </c>
      <c r="I288" t="n">
        <v>0</v>
      </c>
      <c r="J288" t="n">
        <v>0</v>
      </c>
      <c r="K288" t="n">
        <v>0</v>
      </c>
      <c r="L288" t="n">
        <v>0</v>
      </c>
      <c r="M288" t="n">
        <v>0</v>
      </c>
      <c r="N288" t="n">
        <v>0</v>
      </c>
      <c r="O288" t="n">
        <v>0</v>
      </c>
      <c r="P288" t="n">
        <v>0</v>
      </c>
      <c r="Q288" t="n">
        <v>0</v>
      </c>
      <c r="R288" s="2" t="inlineStr"/>
    </row>
    <row r="289" ht="15" customHeight="1">
      <c r="A289" t="inlineStr">
        <is>
          <t>A 28912-2022</t>
        </is>
      </c>
      <c r="B289" s="1" t="n">
        <v>44749</v>
      </c>
      <c r="C289" s="1" t="n">
        <v>45765</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29205-2022</t>
        </is>
      </c>
      <c r="B290" s="1" t="n">
        <v>44750</v>
      </c>
      <c r="C290" s="1" t="n">
        <v>45765</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v>
      </c>
      <c r="C291" s="1" t="n">
        <v>45765</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30449-2022</t>
        </is>
      </c>
      <c r="B292" s="1" t="n">
        <v>44761</v>
      </c>
      <c r="C292" s="1" t="n">
        <v>45765</v>
      </c>
      <c r="D292" t="inlineStr">
        <is>
          <t>DALARNAS LÄN</t>
        </is>
      </c>
      <c r="E292" t="inlineStr">
        <is>
          <t>LEKSAND</t>
        </is>
      </c>
      <c r="G292" t="n">
        <v>5.7</v>
      </c>
      <c r="H292" t="n">
        <v>0</v>
      </c>
      <c r="I292" t="n">
        <v>0</v>
      </c>
      <c r="J292" t="n">
        <v>0</v>
      </c>
      <c r="K292" t="n">
        <v>0</v>
      </c>
      <c r="L292" t="n">
        <v>0</v>
      </c>
      <c r="M292" t="n">
        <v>0</v>
      </c>
      <c r="N292" t="n">
        <v>0</v>
      </c>
      <c r="O292" t="n">
        <v>0</v>
      </c>
      <c r="P292" t="n">
        <v>0</v>
      </c>
      <c r="Q292" t="n">
        <v>0</v>
      </c>
      <c r="R292" s="2" t="inlineStr"/>
    </row>
    <row r="293" ht="15" customHeight="1">
      <c r="A293" t="inlineStr">
        <is>
          <t>A 31746-2022</t>
        </is>
      </c>
      <c r="B293" s="1" t="n">
        <v>44776</v>
      </c>
      <c r="C293" s="1" t="n">
        <v>45765</v>
      </c>
      <c r="D293" t="inlineStr">
        <is>
          <t>DALARNAS LÄN</t>
        </is>
      </c>
      <c r="E293" t="inlineStr">
        <is>
          <t>LEKSAND</t>
        </is>
      </c>
      <c r="G293" t="n">
        <v>3.3</v>
      </c>
      <c r="H293" t="n">
        <v>0</v>
      </c>
      <c r="I293" t="n">
        <v>0</v>
      </c>
      <c r="J293" t="n">
        <v>0</v>
      </c>
      <c r="K293" t="n">
        <v>0</v>
      </c>
      <c r="L293" t="n">
        <v>0</v>
      </c>
      <c r="M293" t="n">
        <v>0</v>
      </c>
      <c r="N293" t="n">
        <v>0</v>
      </c>
      <c r="O293" t="n">
        <v>0</v>
      </c>
      <c r="P293" t="n">
        <v>0</v>
      </c>
      <c r="Q293" t="n">
        <v>0</v>
      </c>
      <c r="R293" s="2" t="inlineStr"/>
    </row>
    <row r="294" ht="15" customHeight="1">
      <c r="A294" t="inlineStr">
        <is>
          <t>A 31871-2022</t>
        </is>
      </c>
      <c r="B294" s="1" t="n">
        <v>44777</v>
      </c>
      <c r="C294" s="1" t="n">
        <v>45765</v>
      </c>
      <c r="D294" t="inlineStr">
        <is>
          <t>DALARNAS LÄN</t>
        </is>
      </c>
      <c r="E294" t="inlineStr">
        <is>
          <t>LEKSAND</t>
        </is>
      </c>
      <c r="G294" t="n">
        <v>4.1</v>
      </c>
      <c r="H294" t="n">
        <v>0</v>
      </c>
      <c r="I294" t="n">
        <v>0</v>
      </c>
      <c r="J294" t="n">
        <v>0</v>
      </c>
      <c r="K294" t="n">
        <v>0</v>
      </c>
      <c r="L294" t="n">
        <v>0</v>
      </c>
      <c r="M294" t="n">
        <v>0</v>
      </c>
      <c r="N294" t="n">
        <v>0</v>
      </c>
      <c r="O294" t="n">
        <v>0</v>
      </c>
      <c r="P294" t="n">
        <v>0</v>
      </c>
      <c r="Q294" t="n">
        <v>0</v>
      </c>
      <c r="R294" s="2" t="inlineStr"/>
    </row>
    <row r="295" ht="15" customHeight="1">
      <c r="A295" t="inlineStr">
        <is>
          <t>A 32225-2022</t>
        </is>
      </c>
      <c r="B295" s="1" t="n">
        <v>44781</v>
      </c>
      <c r="C295" s="1" t="n">
        <v>45765</v>
      </c>
      <c r="D295" t="inlineStr">
        <is>
          <t>DALARNAS LÄN</t>
        </is>
      </c>
      <c r="E295" t="inlineStr">
        <is>
          <t>LEKSAND</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32476-2022</t>
        </is>
      </c>
      <c r="B296" s="1" t="n">
        <v>44782</v>
      </c>
      <c r="C296" s="1" t="n">
        <v>45765</v>
      </c>
      <c r="D296" t="inlineStr">
        <is>
          <t>DALARNAS LÄN</t>
        </is>
      </c>
      <c r="E296" t="inlineStr">
        <is>
          <t>LEKSAND</t>
        </is>
      </c>
      <c r="G296" t="n">
        <v>5.6</v>
      </c>
      <c r="H296" t="n">
        <v>0</v>
      </c>
      <c r="I296" t="n">
        <v>0</v>
      </c>
      <c r="J296" t="n">
        <v>0</v>
      </c>
      <c r="K296" t="n">
        <v>0</v>
      </c>
      <c r="L296" t="n">
        <v>0</v>
      </c>
      <c r="M296" t="n">
        <v>0</v>
      </c>
      <c r="N296" t="n">
        <v>0</v>
      </c>
      <c r="O296" t="n">
        <v>0</v>
      </c>
      <c r="P296" t="n">
        <v>0</v>
      </c>
      <c r="Q296" t="n">
        <v>0</v>
      </c>
      <c r="R296" s="2" t="inlineStr"/>
    </row>
    <row r="297" ht="15" customHeight="1">
      <c r="A297" t="inlineStr">
        <is>
          <t>A 32791-2022</t>
        </is>
      </c>
      <c r="B297" s="1" t="n">
        <v>44784</v>
      </c>
      <c r="C297" s="1" t="n">
        <v>45765</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33198-2022</t>
        </is>
      </c>
      <c r="B298" s="1" t="n">
        <v>44785</v>
      </c>
      <c r="C298" s="1" t="n">
        <v>45765</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34317-2022</t>
        </is>
      </c>
      <c r="B299" s="1" t="n">
        <v>44792</v>
      </c>
      <c r="C299" s="1" t="n">
        <v>45765</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34482-2022</t>
        </is>
      </c>
      <c r="B300" s="1" t="n">
        <v>44792</v>
      </c>
      <c r="C300" s="1" t="n">
        <v>45765</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35080-2022</t>
        </is>
      </c>
      <c r="B301" s="1" t="n">
        <v>44797</v>
      </c>
      <c r="C301" s="1" t="n">
        <v>45765</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35087-2022</t>
        </is>
      </c>
      <c r="B302" s="1" t="n">
        <v>44797</v>
      </c>
      <c r="C302" s="1" t="n">
        <v>45765</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35801-2022</t>
        </is>
      </c>
      <c r="B303" s="1" t="n">
        <v>44802</v>
      </c>
      <c r="C303" s="1" t="n">
        <v>45765</v>
      </c>
      <c r="D303" t="inlineStr">
        <is>
          <t>DALARNAS LÄN</t>
        </is>
      </c>
      <c r="E303" t="inlineStr">
        <is>
          <t>LEKSAND</t>
        </is>
      </c>
      <c r="F303" t="inlineStr">
        <is>
          <t>Bergvik skog väst AB</t>
        </is>
      </c>
      <c r="G303" t="n">
        <v>6.4</v>
      </c>
      <c r="H303" t="n">
        <v>0</v>
      </c>
      <c r="I303" t="n">
        <v>0</v>
      </c>
      <c r="J303" t="n">
        <v>0</v>
      </c>
      <c r="K303" t="n">
        <v>0</v>
      </c>
      <c r="L303" t="n">
        <v>0</v>
      </c>
      <c r="M303" t="n">
        <v>0</v>
      </c>
      <c r="N303" t="n">
        <v>0</v>
      </c>
      <c r="O303" t="n">
        <v>0</v>
      </c>
      <c r="P303" t="n">
        <v>0</v>
      </c>
      <c r="Q303" t="n">
        <v>0</v>
      </c>
      <c r="R303" s="2" t="inlineStr"/>
    </row>
    <row r="304" ht="15" customHeight="1">
      <c r="A304" t="inlineStr">
        <is>
          <t>A 35952-2022</t>
        </is>
      </c>
      <c r="B304" s="1" t="n">
        <v>44802</v>
      </c>
      <c r="C304" s="1" t="n">
        <v>45765</v>
      </c>
      <c r="D304" t="inlineStr">
        <is>
          <t>DALARNAS LÄN</t>
        </is>
      </c>
      <c r="E304" t="inlineStr">
        <is>
          <t>LEKSAND</t>
        </is>
      </c>
      <c r="G304" t="n">
        <v>4.6</v>
      </c>
      <c r="H304" t="n">
        <v>0</v>
      </c>
      <c r="I304" t="n">
        <v>0</v>
      </c>
      <c r="J304" t="n">
        <v>0</v>
      </c>
      <c r="K304" t="n">
        <v>0</v>
      </c>
      <c r="L304" t="n">
        <v>0</v>
      </c>
      <c r="M304" t="n">
        <v>0</v>
      </c>
      <c r="N304" t="n">
        <v>0</v>
      </c>
      <c r="O304" t="n">
        <v>0</v>
      </c>
      <c r="P304" t="n">
        <v>0</v>
      </c>
      <c r="Q304" t="n">
        <v>0</v>
      </c>
      <c r="R304" s="2" t="inlineStr"/>
    </row>
    <row r="305" ht="15" customHeight="1">
      <c r="A305" t="inlineStr">
        <is>
          <t>A 37300-2022</t>
        </is>
      </c>
      <c r="B305" s="1" t="n">
        <v>44808</v>
      </c>
      <c r="C305" s="1" t="n">
        <v>45765</v>
      </c>
      <c r="D305" t="inlineStr">
        <is>
          <t>DALARNAS LÄN</t>
        </is>
      </c>
      <c r="E305" t="inlineStr">
        <is>
          <t>LEKSAND</t>
        </is>
      </c>
      <c r="G305" t="n">
        <v>6.3</v>
      </c>
      <c r="H305" t="n">
        <v>0</v>
      </c>
      <c r="I305" t="n">
        <v>0</v>
      </c>
      <c r="J305" t="n">
        <v>0</v>
      </c>
      <c r="K305" t="n">
        <v>0</v>
      </c>
      <c r="L305" t="n">
        <v>0</v>
      </c>
      <c r="M305" t="n">
        <v>0</v>
      </c>
      <c r="N305" t="n">
        <v>0</v>
      </c>
      <c r="O305" t="n">
        <v>0</v>
      </c>
      <c r="P305" t="n">
        <v>0</v>
      </c>
      <c r="Q305" t="n">
        <v>0</v>
      </c>
      <c r="R305" s="2" t="inlineStr"/>
    </row>
    <row r="306" ht="15" customHeight="1">
      <c r="A306" t="inlineStr">
        <is>
          <t>A 37928-2022</t>
        </is>
      </c>
      <c r="B306" s="1" t="n">
        <v>44811</v>
      </c>
      <c r="C306" s="1" t="n">
        <v>45765</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38236-2022</t>
        </is>
      </c>
      <c r="B307" s="1" t="n">
        <v>44812</v>
      </c>
      <c r="C307" s="1" t="n">
        <v>45765</v>
      </c>
      <c r="D307" t="inlineStr">
        <is>
          <t>DALARNAS LÄN</t>
        </is>
      </c>
      <c r="E307" t="inlineStr">
        <is>
          <t>LEKSAND</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38258-2022</t>
        </is>
      </c>
      <c r="B308" s="1" t="n">
        <v>44812</v>
      </c>
      <c r="C308" s="1" t="n">
        <v>45765</v>
      </c>
      <c r="D308" t="inlineStr">
        <is>
          <t>DALARNAS LÄN</t>
        </is>
      </c>
      <c r="E308" t="inlineStr">
        <is>
          <t>LEKSAND</t>
        </is>
      </c>
      <c r="G308" t="n">
        <v>3.9</v>
      </c>
      <c r="H308" t="n">
        <v>0</v>
      </c>
      <c r="I308" t="n">
        <v>0</v>
      </c>
      <c r="J308" t="n">
        <v>0</v>
      </c>
      <c r="K308" t="n">
        <v>0</v>
      </c>
      <c r="L308" t="n">
        <v>0</v>
      </c>
      <c r="M308" t="n">
        <v>0</v>
      </c>
      <c r="N308" t="n">
        <v>0</v>
      </c>
      <c r="O308" t="n">
        <v>0</v>
      </c>
      <c r="P308" t="n">
        <v>0</v>
      </c>
      <c r="Q308" t="n">
        <v>0</v>
      </c>
      <c r="R308" s="2" t="inlineStr"/>
    </row>
    <row r="309" ht="15" customHeight="1">
      <c r="A309" t="inlineStr">
        <is>
          <t>A 38764-2022</t>
        </is>
      </c>
      <c r="B309" s="1" t="n">
        <v>44816</v>
      </c>
      <c r="C309" s="1" t="n">
        <v>45765</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39658-2022</t>
        </is>
      </c>
      <c r="B310" s="1" t="n">
        <v>44818</v>
      </c>
      <c r="C310" s="1" t="n">
        <v>45765</v>
      </c>
      <c r="D310" t="inlineStr">
        <is>
          <t>DALARNAS LÄN</t>
        </is>
      </c>
      <c r="E310" t="inlineStr">
        <is>
          <t>LEKSAND</t>
        </is>
      </c>
      <c r="G310" t="n">
        <v>5.4</v>
      </c>
      <c r="H310" t="n">
        <v>0</v>
      </c>
      <c r="I310" t="n">
        <v>0</v>
      </c>
      <c r="J310" t="n">
        <v>0</v>
      </c>
      <c r="K310" t="n">
        <v>0</v>
      </c>
      <c r="L310" t="n">
        <v>0</v>
      </c>
      <c r="M310" t="n">
        <v>0</v>
      </c>
      <c r="N310" t="n">
        <v>0</v>
      </c>
      <c r="O310" t="n">
        <v>0</v>
      </c>
      <c r="P310" t="n">
        <v>0</v>
      </c>
      <c r="Q310" t="n">
        <v>0</v>
      </c>
      <c r="R310" s="2" t="inlineStr"/>
    </row>
    <row r="311" ht="15" customHeight="1">
      <c r="A311" t="inlineStr">
        <is>
          <t>A 40165-2022</t>
        </is>
      </c>
      <c r="B311" s="1" t="n">
        <v>44820</v>
      </c>
      <c r="C311" s="1" t="n">
        <v>45765</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41351-2022</t>
        </is>
      </c>
      <c r="B312" s="1" t="n">
        <v>44824</v>
      </c>
      <c r="C312" s="1" t="n">
        <v>45765</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43275-2022</t>
        </is>
      </c>
      <c r="B313" s="1" t="n">
        <v>44824</v>
      </c>
      <c r="C313" s="1" t="n">
        <v>45765</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41869-2022</t>
        </is>
      </c>
      <c r="B314" s="1" t="n">
        <v>44829</v>
      </c>
      <c r="C314" s="1" t="n">
        <v>45765</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43300-2022</t>
        </is>
      </c>
      <c r="B315" s="1" t="n">
        <v>44834</v>
      </c>
      <c r="C315" s="1" t="n">
        <v>45765</v>
      </c>
      <c r="D315" t="inlineStr">
        <is>
          <t>DALARNAS LÄN</t>
        </is>
      </c>
      <c r="E315" t="inlineStr">
        <is>
          <t>LEKSAND</t>
        </is>
      </c>
      <c r="G315" t="n">
        <v>1.4</v>
      </c>
      <c r="H315" t="n">
        <v>0</v>
      </c>
      <c r="I315" t="n">
        <v>0</v>
      </c>
      <c r="J315" t="n">
        <v>0</v>
      </c>
      <c r="K315" t="n">
        <v>0</v>
      </c>
      <c r="L315" t="n">
        <v>0</v>
      </c>
      <c r="M315" t="n">
        <v>0</v>
      </c>
      <c r="N315" t="n">
        <v>0</v>
      </c>
      <c r="O315" t="n">
        <v>0</v>
      </c>
      <c r="P315" t="n">
        <v>0</v>
      </c>
      <c r="Q315" t="n">
        <v>0</v>
      </c>
      <c r="R315" s="2" t="inlineStr"/>
    </row>
    <row r="316" ht="15" customHeight="1">
      <c r="A316" t="inlineStr">
        <is>
          <t>A 43304-2022</t>
        </is>
      </c>
      <c r="B316" s="1" t="n">
        <v>44834</v>
      </c>
      <c r="C316" s="1" t="n">
        <v>45765</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43604-2022</t>
        </is>
      </c>
      <c r="B317" s="1" t="n">
        <v>44837</v>
      </c>
      <c r="C317" s="1" t="n">
        <v>45765</v>
      </c>
      <c r="D317" t="inlineStr">
        <is>
          <t>DALARNAS LÄN</t>
        </is>
      </c>
      <c r="E317" t="inlineStr">
        <is>
          <t>LEKSAND</t>
        </is>
      </c>
      <c r="F317" t="inlineStr">
        <is>
          <t>Bergvik skog väst AB</t>
        </is>
      </c>
      <c r="G317" t="n">
        <v>8</v>
      </c>
      <c r="H317" t="n">
        <v>0</v>
      </c>
      <c r="I317" t="n">
        <v>0</v>
      </c>
      <c r="J317" t="n">
        <v>0</v>
      </c>
      <c r="K317" t="n">
        <v>0</v>
      </c>
      <c r="L317" t="n">
        <v>0</v>
      </c>
      <c r="M317" t="n">
        <v>0</v>
      </c>
      <c r="N317" t="n">
        <v>0</v>
      </c>
      <c r="O317" t="n">
        <v>0</v>
      </c>
      <c r="P317" t="n">
        <v>0</v>
      </c>
      <c r="Q317" t="n">
        <v>0</v>
      </c>
      <c r="R317" s="2" t="inlineStr"/>
    </row>
    <row r="318" ht="15" customHeight="1">
      <c r="A318" t="inlineStr">
        <is>
          <t>A 43693-2022</t>
        </is>
      </c>
      <c r="B318" s="1" t="n">
        <v>44837</v>
      </c>
      <c r="C318" s="1" t="n">
        <v>45765</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43735-2022</t>
        </is>
      </c>
      <c r="B319" s="1" t="n">
        <v>44837</v>
      </c>
      <c r="C319" s="1" t="n">
        <v>45765</v>
      </c>
      <c r="D319" t="inlineStr">
        <is>
          <t>DALARNAS LÄN</t>
        </is>
      </c>
      <c r="E319" t="inlineStr">
        <is>
          <t>LEKSAND</t>
        </is>
      </c>
      <c r="G319" t="n">
        <v>2.9</v>
      </c>
      <c r="H319" t="n">
        <v>0</v>
      </c>
      <c r="I319" t="n">
        <v>0</v>
      </c>
      <c r="J319" t="n">
        <v>0</v>
      </c>
      <c r="K319" t="n">
        <v>0</v>
      </c>
      <c r="L319" t="n">
        <v>0</v>
      </c>
      <c r="M319" t="n">
        <v>0</v>
      </c>
      <c r="N319" t="n">
        <v>0</v>
      </c>
      <c r="O319" t="n">
        <v>0</v>
      </c>
      <c r="P319" t="n">
        <v>0</v>
      </c>
      <c r="Q319" t="n">
        <v>0</v>
      </c>
      <c r="R319" s="2" t="inlineStr"/>
    </row>
    <row r="320" ht="15" customHeight="1">
      <c r="A320" t="inlineStr">
        <is>
          <t>A 44124-2022</t>
        </is>
      </c>
      <c r="B320" s="1" t="n">
        <v>44839</v>
      </c>
      <c r="C320" s="1" t="n">
        <v>45765</v>
      </c>
      <c r="D320" t="inlineStr">
        <is>
          <t>DALARNAS LÄN</t>
        </is>
      </c>
      <c r="E320" t="inlineStr">
        <is>
          <t>LEKSAND</t>
        </is>
      </c>
      <c r="G320" t="n">
        <v>8</v>
      </c>
      <c r="H320" t="n">
        <v>0</v>
      </c>
      <c r="I320" t="n">
        <v>0</v>
      </c>
      <c r="J320" t="n">
        <v>0</v>
      </c>
      <c r="K320" t="n">
        <v>0</v>
      </c>
      <c r="L320" t="n">
        <v>0</v>
      </c>
      <c r="M320" t="n">
        <v>0</v>
      </c>
      <c r="N320" t="n">
        <v>0</v>
      </c>
      <c r="O320" t="n">
        <v>0</v>
      </c>
      <c r="P320" t="n">
        <v>0</v>
      </c>
      <c r="Q320" t="n">
        <v>0</v>
      </c>
      <c r="R320" s="2" t="inlineStr"/>
    </row>
    <row r="321" ht="15" customHeight="1">
      <c r="A321" t="inlineStr">
        <is>
          <t>A 44700-2022</t>
        </is>
      </c>
      <c r="B321" s="1" t="n">
        <v>44840</v>
      </c>
      <c r="C321" s="1" t="n">
        <v>45765</v>
      </c>
      <c r="D321" t="inlineStr">
        <is>
          <t>DALARNAS LÄN</t>
        </is>
      </c>
      <c r="E321" t="inlineStr">
        <is>
          <t>LEKSAND</t>
        </is>
      </c>
      <c r="G321" t="n">
        <v>3.1</v>
      </c>
      <c r="H321" t="n">
        <v>0</v>
      </c>
      <c r="I321" t="n">
        <v>0</v>
      </c>
      <c r="J321" t="n">
        <v>0</v>
      </c>
      <c r="K321" t="n">
        <v>0</v>
      </c>
      <c r="L321" t="n">
        <v>0</v>
      </c>
      <c r="M321" t="n">
        <v>0</v>
      </c>
      <c r="N321" t="n">
        <v>0</v>
      </c>
      <c r="O321" t="n">
        <v>0</v>
      </c>
      <c r="P321" t="n">
        <v>0</v>
      </c>
      <c r="Q321" t="n">
        <v>0</v>
      </c>
      <c r="R321" s="2" t="inlineStr"/>
    </row>
    <row r="322" ht="15" customHeight="1">
      <c r="A322" t="inlineStr">
        <is>
          <t>A 45943-2022</t>
        </is>
      </c>
      <c r="B322" s="1" t="n">
        <v>44846</v>
      </c>
      <c r="C322" s="1" t="n">
        <v>45765</v>
      </c>
      <c r="D322" t="inlineStr">
        <is>
          <t>DALARNAS LÄN</t>
        </is>
      </c>
      <c r="E322" t="inlineStr">
        <is>
          <t>LEKSAND</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46141-2022</t>
        </is>
      </c>
      <c r="B323" s="1" t="n">
        <v>44846</v>
      </c>
      <c r="C323" s="1" t="n">
        <v>45765</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46672-2022</t>
        </is>
      </c>
      <c r="B324" s="1" t="n">
        <v>44851</v>
      </c>
      <c r="C324" s="1" t="n">
        <v>45765</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46916-2022</t>
        </is>
      </c>
      <c r="B325" s="1" t="n">
        <v>44851</v>
      </c>
      <c r="C325" s="1" t="n">
        <v>45765</v>
      </c>
      <c r="D325" t="inlineStr">
        <is>
          <t>DALARNAS LÄN</t>
        </is>
      </c>
      <c r="E325" t="inlineStr">
        <is>
          <t>LEKSAND</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47441-2022</t>
        </is>
      </c>
      <c r="B326" s="1" t="n">
        <v>44853</v>
      </c>
      <c r="C326" s="1" t="n">
        <v>45765</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49342-2022</t>
        </is>
      </c>
      <c r="B327" s="1" t="n">
        <v>44861</v>
      </c>
      <c r="C327" s="1" t="n">
        <v>45765</v>
      </c>
      <c r="D327" t="inlineStr">
        <is>
          <t>DALARNAS LÄN</t>
        </is>
      </c>
      <c r="E327" t="inlineStr">
        <is>
          <t>LEKSAND</t>
        </is>
      </c>
      <c r="F327" t="inlineStr">
        <is>
          <t>Bergvik skog väst AB</t>
        </is>
      </c>
      <c r="G327" t="n">
        <v>4.2</v>
      </c>
      <c r="H327" t="n">
        <v>0</v>
      </c>
      <c r="I327" t="n">
        <v>0</v>
      </c>
      <c r="J327" t="n">
        <v>0</v>
      </c>
      <c r="K327" t="n">
        <v>0</v>
      </c>
      <c r="L327" t="n">
        <v>0</v>
      </c>
      <c r="M327" t="n">
        <v>0</v>
      </c>
      <c r="N327" t="n">
        <v>0</v>
      </c>
      <c r="O327" t="n">
        <v>0</v>
      </c>
      <c r="P327" t="n">
        <v>0</v>
      </c>
      <c r="Q327" t="n">
        <v>0</v>
      </c>
      <c r="R327" s="2" t="inlineStr"/>
    </row>
    <row r="328" ht="15" customHeight="1">
      <c r="A328" t="inlineStr">
        <is>
          <t>A 49345-2022</t>
        </is>
      </c>
      <c r="B328" s="1" t="n">
        <v>44861</v>
      </c>
      <c r="C328" s="1" t="n">
        <v>45765</v>
      </c>
      <c r="D328" t="inlineStr">
        <is>
          <t>DALARNAS LÄN</t>
        </is>
      </c>
      <c r="E328" t="inlineStr">
        <is>
          <t>LEKSAND</t>
        </is>
      </c>
      <c r="F328" t="inlineStr">
        <is>
          <t>Bergvik skog väst AB</t>
        </is>
      </c>
      <c r="G328" t="n">
        <v>4.8</v>
      </c>
      <c r="H328" t="n">
        <v>0</v>
      </c>
      <c r="I328" t="n">
        <v>0</v>
      </c>
      <c r="J328" t="n">
        <v>0</v>
      </c>
      <c r="K328" t="n">
        <v>0</v>
      </c>
      <c r="L328" t="n">
        <v>0</v>
      </c>
      <c r="M328" t="n">
        <v>0</v>
      </c>
      <c r="N328" t="n">
        <v>0</v>
      </c>
      <c r="O328" t="n">
        <v>0</v>
      </c>
      <c r="P328" t="n">
        <v>0</v>
      </c>
      <c r="Q328" t="n">
        <v>0</v>
      </c>
      <c r="R328" s="2" t="inlineStr"/>
    </row>
    <row r="329" ht="15" customHeight="1">
      <c r="A329" t="inlineStr">
        <is>
          <t>A 49581-2022</t>
        </is>
      </c>
      <c r="B329" s="1" t="n">
        <v>44862</v>
      </c>
      <c r="C329" s="1" t="n">
        <v>45765</v>
      </c>
      <c r="D329" t="inlineStr">
        <is>
          <t>DALARNAS LÄN</t>
        </is>
      </c>
      <c r="E329" t="inlineStr">
        <is>
          <t>LEKSAND</t>
        </is>
      </c>
      <c r="G329" t="n">
        <v>1.8</v>
      </c>
      <c r="H329" t="n">
        <v>0</v>
      </c>
      <c r="I329" t="n">
        <v>0</v>
      </c>
      <c r="J329" t="n">
        <v>0</v>
      </c>
      <c r="K329" t="n">
        <v>0</v>
      </c>
      <c r="L329" t="n">
        <v>0</v>
      </c>
      <c r="M329" t="n">
        <v>0</v>
      </c>
      <c r="N329" t="n">
        <v>0</v>
      </c>
      <c r="O329" t="n">
        <v>0</v>
      </c>
      <c r="P329" t="n">
        <v>0</v>
      </c>
      <c r="Q329" t="n">
        <v>0</v>
      </c>
      <c r="R329" s="2" t="inlineStr"/>
    </row>
    <row r="330" ht="15" customHeight="1">
      <c r="A330" t="inlineStr">
        <is>
          <t>A 50219-2022</t>
        </is>
      </c>
      <c r="B330" s="1" t="n">
        <v>44865</v>
      </c>
      <c r="C330" s="1" t="n">
        <v>45765</v>
      </c>
      <c r="D330" t="inlineStr">
        <is>
          <t>DALARNAS LÄN</t>
        </is>
      </c>
      <c r="E330" t="inlineStr">
        <is>
          <t>LEKSAND</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50353-2022</t>
        </is>
      </c>
      <c r="B331" s="1" t="n">
        <v>44866</v>
      </c>
      <c r="C331" s="1" t="n">
        <v>45765</v>
      </c>
      <c r="D331" t="inlineStr">
        <is>
          <t>DALARNAS LÄN</t>
        </is>
      </c>
      <c r="E331" t="inlineStr">
        <is>
          <t>LEKSAND</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50352-2022</t>
        </is>
      </c>
      <c r="B332" s="1" t="n">
        <v>44866</v>
      </c>
      <c r="C332" s="1" t="n">
        <v>45765</v>
      </c>
      <c r="D332" t="inlineStr">
        <is>
          <t>DALARNAS LÄN</t>
        </is>
      </c>
      <c r="E332" t="inlineStr">
        <is>
          <t>LEKSAND</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50354-2022</t>
        </is>
      </c>
      <c r="B333" s="1" t="n">
        <v>44866</v>
      </c>
      <c r="C333" s="1" t="n">
        <v>45765</v>
      </c>
      <c r="D333" t="inlineStr">
        <is>
          <t>DALARNAS LÄN</t>
        </is>
      </c>
      <c r="E333" t="inlineStr">
        <is>
          <t>LEKSAND</t>
        </is>
      </c>
      <c r="F333" t="inlineStr">
        <is>
          <t>Bergvik skog väst AB</t>
        </is>
      </c>
      <c r="G333" t="n">
        <v>7.4</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45765</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51449-2022</t>
        </is>
      </c>
      <c r="B335" s="1" t="n">
        <v>44869</v>
      </c>
      <c r="C335" s="1" t="n">
        <v>45765</v>
      </c>
      <c r="D335" t="inlineStr">
        <is>
          <t>DALARNAS LÄN</t>
        </is>
      </c>
      <c r="E335" t="inlineStr">
        <is>
          <t>LEKSAND</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51480-2022</t>
        </is>
      </c>
      <c r="B336" s="1" t="n">
        <v>44869</v>
      </c>
      <c r="C336" s="1" t="n">
        <v>45765</v>
      </c>
      <c r="D336" t="inlineStr">
        <is>
          <t>DALARNAS LÄN</t>
        </is>
      </c>
      <c r="E336" t="inlineStr">
        <is>
          <t>LEKSAND</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51502-2022</t>
        </is>
      </c>
      <c r="B337" s="1" t="n">
        <v>44869</v>
      </c>
      <c r="C337" s="1" t="n">
        <v>45765</v>
      </c>
      <c r="D337" t="inlineStr">
        <is>
          <t>DALARNAS LÄN</t>
        </is>
      </c>
      <c r="E337" t="inlineStr">
        <is>
          <t>LEKSAND</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51498-2022</t>
        </is>
      </c>
      <c r="B338" s="1" t="n">
        <v>44869</v>
      </c>
      <c r="C338" s="1" t="n">
        <v>45765</v>
      </c>
      <c r="D338" t="inlineStr">
        <is>
          <t>DALARNAS LÄN</t>
        </is>
      </c>
      <c r="E338" t="inlineStr">
        <is>
          <t>LEKSAND</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51842-2022</t>
        </is>
      </c>
      <c r="B339" s="1" t="n">
        <v>44872</v>
      </c>
      <c r="C339" s="1" t="n">
        <v>45765</v>
      </c>
      <c r="D339" t="inlineStr">
        <is>
          <t>DALARNAS LÄN</t>
        </is>
      </c>
      <c r="E339" t="inlineStr">
        <is>
          <t>LEKSAND</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52977-2022</t>
        </is>
      </c>
      <c r="B340" s="1" t="n">
        <v>44875</v>
      </c>
      <c r="C340" s="1" t="n">
        <v>45765</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53293-2022</t>
        </is>
      </c>
      <c r="B341" s="1" t="n">
        <v>44877</v>
      </c>
      <c r="C341" s="1" t="n">
        <v>45765</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53787-2022</t>
        </is>
      </c>
      <c r="B342" s="1" t="n">
        <v>44880</v>
      </c>
      <c r="C342" s="1" t="n">
        <v>45765</v>
      </c>
      <c r="D342" t="inlineStr">
        <is>
          <t>DALARNAS LÄN</t>
        </is>
      </c>
      <c r="E342" t="inlineStr">
        <is>
          <t>LEKSAND</t>
        </is>
      </c>
      <c r="G342" t="n">
        <v>7.6</v>
      </c>
      <c r="H342" t="n">
        <v>0</v>
      </c>
      <c r="I342" t="n">
        <v>0</v>
      </c>
      <c r="J342" t="n">
        <v>0</v>
      </c>
      <c r="K342" t="n">
        <v>0</v>
      </c>
      <c r="L342" t="n">
        <v>0</v>
      </c>
      <c r="M342" t="n">
        <v>0</v>
      </c>
      <c r="N342" t="n">
        <v>0</v>
      </c>
      <c r="O342" t="n">
        <v>0</v>
      </c>
      <c r="P342" t="n">
        <v>0</v>
      </c>
      <c r="Q342" t="n">
        <v>0</v>
      </c>
      <c r="R342" s="2" t="inlineStr"/>
    </row>
    <row r="343" ht="15" customHeight="1">
      <c r="A343" t="inlineStr">
        <is>
          <t>A 54070-2022</t>
        </is>
      </c>
      <c r="B343" s="1" t="n">
        <v>44881</v>
      </c>
      <c r="C343" s="1" t="n">
        <v>45765</v>
      </c>
      <c r="D343" t="inlineStr">
        <is>
          <t>DALARNAS LÄN</t>
        </is>
      </c>
      <c r="E343" t="inlineStr">
        <is>
          <t>LEKSAND</t>
        </is>
      </c>
      <c r="G343" t="n">
        <v>4.7</v>
      </c>
      <c r="H343" t="n">
        <v>0</v>
      </c>
      <c r="I343" t="n">
        <v>0</v>
      </c>
      <c r="J343" t="n">
        <v>0</v>
      </c>
      <c r="K343" t="n">
        <v>0</v>
      </c>
      <c r="L343" t="n">
        <v>0</v>
      </c>
      <c r="M343" t="n">
        <v>0</v>
      </c>
      <c r="N343" t="n">
        <v>0</v>
      </c>
      <c r="O343" t="n">
        <v>0</v>
      </c>
      <c r="P343" t="n">
        <v>0</v>
      </c>
      <c r="Q343" t="n">
        <v>0</v>
      </c>
      <c r="R343" s="2" t="inlineStr"/>
    </row>
    <row r="344" ht="15" customHeight="1">
      <c r="A344" t="inlineStr">
        <is>
          <t>A 56330-2022</t>
        </is>
      </c>
      <c r="B344" s="1" t="n">
        <v>44890</v>
      </c>
      <c r="C344" s="1" t="n">
        <v>45765</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56702-2022</t>
        </is>
      </c>
      <c r="B345" s="1" t="n">
        <v>44893</v>
      </c>
      <c r="C345" s="1" t="n">
        <v>45765</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57415-2022</t>
        </is>
      </c>
      <c r="B346" s="1" t="n">
        <v>44896</v>
      </c>
      <c r="C346" s="1" t="n">
        <v>45765</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57438-2022</t>
        </is>
      </c>
      <c r="B347" s="1" t="n">
        <v>44896</v>
      </c>
      <c r="C347" s="1" t="n">
        <v>45765</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58619-2022</t>
        </is>
      </c>
      <c r="B348" s="1" t="n">
        <v>44902</v>
      </c>
      <c r="C348" s="1" t="n">
        <v>45765</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60300-2022</t>
        </is>
      </c>
      <c r="B349" s="1" t="n">
        <v>44903</v>
      </c>
      <c r="C349" s="1" t="n">
        <v>45765</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60095-2022</t>
        </is>
      </c>
      <c r="B350" s="1" t="n">
        <v>44909</v>
      </c>
      <c r="C350" s="1" t="n">
        <v>45765</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60113-2022</t>
        </is>
      </c>
      <c r="B351" s="1" t="n">
        <v>44909</v>
      </c>
      <c r="C351" s="1" t="n">
        <v>45765</v>
      </c>
      <c r="D351" t="inlineStr">
        <is>
          <t>DALARNAS LÄN</t>
        </is>
      </c>
      <c r="E351" t="inlineStr">
        <is>
          <t>LEKSAND</t>
        </is>
      </c>
      <c r="G351" t="n">
        <v>3.7</v>
      </c>
      <c r="H351" t="n">
        <v>0</v>
      </c>
      <c r="I351" t="n">
        <v>0</v>
      </c>
      <c r="J351" t="n">
        <v>0</v>
      </c>
      <c r="K351" t="n">
        <v>0</v>
      </c>
      <c r="L351" t="n">
        <v>0</v>
      </c>
      <c r="M351" t="n">
        <v>0</v>
      </c>
      <c r="N351" t="n">
        <v>0</v>
      </c>
      <c r="O351" t="n">
        <v>0</v>
      </c>
      <c r="P351" t="n">
        <v>0</v>
      </c>
      <c r="Q351" t="n">
        <v>0</v>
      </c>
      <c r="R351" s="2" t="inlineStr"/>
    </row>
    <row r="352" ht="15" customHeight="1">
      <c r="A352" t="inlineStr">
        <is>
          <t>A 61269-2022</t>
        </is>
      </c>
      <c r="B352" s="1" t="n">
        <v>44909</v>
      </c>
      <c r="C352" s="1" t="n">
        <v>45765</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60550-2022</t>
        </is>
      </c>
      <c r="B353" s="1" t="n">
        <v>44911</v>
      </c>
      <c r="C353" s="1" t="n">
        <v>45765</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60715-2022</t>
        </is>
      </c>
      <c r="B354" s="1" t="n">
        <v>44912</v>
      </c>
      <c r="C354" s="1" t="n">
        <v>45765</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60913-2022</t>
        </is>
      </c>
      <c r="B355" s="1" t="n">
        <v>44914</v>
      </c>
      <c r="C355" s="1" t="n">
        <v>45765</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61288-2022</t>
        </is>
      </c>
      <c r="B356" s="1" t="n">
        <v>44915</v>
      </c>
      <c r="C356" s="1" t="n">
        <v>45765</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61786-2022</t>
        </is>
      </c>
      <c r="B357" s="1" t="n">
        <v>44917</v>
      </c>
      <c r="C357" s="1" t="n">
        <v>45765</v>
      </c>
      <c r="D357" t="inlineStr">
        <is>
          <t>DALARNAS LÄN</t>
        </is>
      </c>
      <c r="E357" t="inlineStr">
        <is>
          <t>LEKSAND</t>
        </is>
      </c>
      <c r="G357" t="n">
        <v>4.3</v>
      </c>
      <c r="H357" t="n">
        <v>0</v>
      </c>
      <c r="I357" t="n">
        <v>0</v>
      </c>
      <c r="J357" t="n">
        <v>0</v>
      </c>
      <c r="K357" t="n">
        <v>0</v>
      </c>
      <c r="L357" t="n">
        <v>0</v>
      </c>
      <c r="M357" t="n">
        <v>0</v>
      </c>
      <c r="N357" t="n">
        <v>0</v>
      </c>
      <c r="O357" t="n">
        <v>0</v>
      </c>
      <c r="P357" t="n">
        <v>0</v>
      </c>
      <c r="Q357" t="n">
        <v>0</v>
      </c>
      <c r="R357" s="2" t="inlineStr"/>
    </row>
    <row r="358" ht="15" customHeight="1">
      <c r="A358" t="inlineStr">
        <is>
          <t>A 61787-2022</t>
        </is>
      </c>
      <c r="B358" s="1" t="n">
        <v>44917</v>
      </c>
      <c r="C358" s="1" t="n">
        <v>45765</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164-2023</t>
        </is>
      </c>
      <c r="B359" s="1" t="n">
        <v>44918</v>
      </c>
      <c r="C359" s="1" t="n">
        <v>45765</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151-2023</t>
        </is>
      </c>
      <c r="B360" s="1" t="n">
        <v>44918</v>
      </c>
      <c r="C360" s="1" t="n">
        <v>45765</v>
      </c>
      <c r="D360" t="inlineStr">
        <is>
          <t>DALARNAS LÄN</t>
        </is>
      </c>
      <c r="E360" t="inlineStr">
        <is>
          <t>LEKSAND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167-2023</t>
        </is>
      </c>
      <c r="B361" s="1" t="n">
        <v>44918</v>
      </c>
      <c r="C361" s="1" t="n">
        <v>45765</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325-2023</t>
        </is>
      </c>
      <c r="B362" s="1" t="n">
        <v>44929</v>
      </c>
      <c r="C362" s="1" t="n">
        <v>45765</v>
      </c>
      <c r="D362" t="inlineStr">
        <is>
          <t>DALARNAS LÄN</t>
        </is>
      </c>
      <c r="E362" t="inlineStr">
        <is>
          <t>LEKSAND</t>
        </is>
      </c>
      <c r="F362" t="inlineStr">
        <is>
          <t>Övriga Aktiebolag</t>
        </is>
      </c>
      <c r="G362" t="n">
        <v>7.1</v>
      </c>
      <c r="H362" t="n">
        <v>0</v>
      </c>
      <c r="I362" t="n">
        <v>0</v>
      </c>
      <c r="J362" t="n">
        <v>0</v>
      </c>
      <c r="K362" t="n">
        <v>0</v>
      </c>
      <c r="L362" t="n">
        <v>0</v>
      </c>
      <c r="M362" t="n">
        <v>0</v>
      </c>
      <c r="N362" t="n">
        <v>0</v>
      </c>
      <c r="O362" t="n">
        <v>0</v>
      </c>
      <c r="P362" t="n">
        <v>0</v>
      </c>
      <c r="Q362" t="n">
        <v>0</v>
      </c>
      <c r="R362" s="2" t="inlineStr"/>
    </row>
    <row r="363" ht="15" customHeight="1">
      <c r="A363" t="inlineStr">
        <is>
          <t>A 315-2023</t>
        </is>
      </c>
      <c r="B363" s="1" t="n">
        <v>44929</v>
      </c>
      <c r="C363" s="1" t="n">
        <v>45765</v>
      </c>
      <c r="D363" t="inlineStr">
        <is>
          <t>DALARNAS LÄN</t>
        </is>
      </c>
      <c r="E363" t="inlineStr">
        <is>
          <t>LEKSAND</t>
        </is>
      </c>
      <c r="F363" t="inlineStr">
        <is>
          <t>Övriga Aktiebolag</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320-2023</t>
        </is>
      </c>
      <c r="B364" s="1" t="n">
        <v>44929</v>
      </c>
      <c r="C364" s="1" t="n">
        <v>45765</v>
      </c>
      <c r="D364" t="inlineStr">
        <is>
          <t>DALARNAS LÄN</t>
        </is>
      </c>
      <c r="E364" t="inlineStr">
        <is>
          <t>LEKSAND</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391-2023</t>
        </is>
      </c>
      <c r="B365" s="1" t="n">
        <v>44929</v>
      </c>
      <c r="C365" s="1" t="n">
        <v>45765</v>
      </c>
      <c r="D365" t="inlineStr">
        <is>
          <t>DALARNAS LÄN</t>
        </is>
      </c>
      <c r="E365" t="inlineStr">
        <is>
          <t>LEKSAND</t>
        </is>
      </c>
      <c r="F365" t="inlineStr">
        <is>
          <t>Övriga Aktiebolag</t>
        </is>
      </c>
      <c r="G365" t="n">
        <v>10</v>
      </c>
      <c r="H365" t="n">
        <v>0</v>
      </c>
      <c r="I365" t="n">
        <v>0</v>
      </c>
      <c r="J365" t="n">
        <v>0</v>
      </c>
      <c r="K365" t="n">
        <v>0</v>
      </c>
      <c r="L365" t="n">
        <v>0</v>
      </c>
      <c r="M365" t="n">
        <v>0</v>
      </c>
      <c r="N365" t="n">
        <v>0</v>
      </c>
      <c r="O365" t="n">
        <v>0</v>
      </c>
      <c r="P365" t="n">
        <v>0</v>
      </c>
      <c r="Q365" t="n">
        <v>0</v>
      </c>
      <c r="R365" s="2" t="inlineStr"/>
    </row>
    <row r="366" ht="15" customHeight="1">
      <c r="A366" t="inlineStr">
        <is>
          <t>A 784-2023</t>
        </is>
      </c>
      <c r="B366" s="1" t="n">
        <v>44931</v>
      </c>
      <c r="C366" s="1" t="n">
        <v>45765</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1510-2023</t>
        </is>
      </c>
      <c r="B367" s="1" t="n">
        <v>44937</v>
      </c>
      <c r="C367" s="1" t="n">
        <v>45765</v>
      </c>
      <c r="D367" t="inlineStr">
        <is>
          <t>DALARNAS LÄN</t>
        </is>
      </c>
      <c r="E367" t="inlineStr">
        <is>
          <t>LEKSAND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3262-2023</t>
        </is>
      </c>
      <c r="B368" s="1" t="n">
        <v>44948</v>
      </c>
      <c r="C368" s="1" t="n">
        <v>45765</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3445-2023</t>
        </is>
      </c>
      <c r="B369" s="1" t="n">
        <v>44949</v>
      </c>
      <c r="C369" s="1" t="n">
        <v>45765</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3737-2023</t>
        </is>
      </c>
      <c r="B370" s="1" t="n">
        <v>44951</v>
      </c>
      <c r="C370" s="1" t="n">
        <v>45765</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4182-2023</t>
        </is>
      </c>
      <c r="B371" s="1" t="n">
        <v>44951</v>
      </c>
      <c r="C371" s="1" t="n">
        <v>45765</v>
      </c>
      <c r="D371" t="inlineStr">
        <is>
          <t>DALARNAS LÄN</t>
        </is>
      </c>
      <c r="E371" t="inlineStr">
        <is>
          <t>LEKSAND</t>
        </is>
      </c>
      <c r="G371" t="n">
        <v>3.1</v>
      </c>
      <c r="H371" t="n">
        <v>0</v>
      </c>
      <c r="I371" t="n">
        <v>0</v>
      </c>
      <c r="J371" t="n">
        <v>0</v>
      </c>
      <c r="K371" t="n">
        <v>0</v>
      </c>
      <c r="L371" t="n">
        <v>0</v>
      </c>
      <c r="M371" t="n">
        <v>0</v>
      </c>
      <c r="N371" t="n">
        <v>0</v>
      </c>
      <c r="O371" t="n">
        <v>0</v>
      </c>
      <c r="P371" t="n">
        <v>0</v>
      </c>
      <c r="Q371" t="n">
        <v>0</v>
      </c>
      <c r="R371" s="2" t="inlineStr"/>
    </row>
    <row r="372" ht="15" customHeight="1">
      <c r="A372" t="inlineStr">
        <is>
          <t>A 4217-2023</t>
        </is>
      </c>
      <c r="B372" s="1" t="n">
        <v>44953</v>
      </c>
      <c r="C372" s="1" t="n">
        <v>45765</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6057-2023</t>
        </is>
      </c>
      <c r="B373" s="1" t="n">
        <v>44959</v>
      </c>
      <c r="C373" s="1" t="n">
        <v>45765</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6039-2023</t>
        </is>
      </c>
      <c r="B374" s="1" t="n">
        <v>44959</v>
      </c>
      <c r="C374" s="1" t="n">
        <v>45765</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6079-2023</t>
        </is>
      </c>
      <c r="B375" s="1" t="n">
        <v>44959</v>
      </c>
      <c r="C375" s="1" t="n">
        <v>45765</v>
      </c>
      <c r="D375" t="inlineStr">
        <is>
          <t>DALARNAS LÄN</t>
        </is>
      </c>
      <c r="E375" t="inlineStr">
        <is>
          <t>LEKSAND</t>
        </is>
      </c>
      <c r="G375" t="n">
        <v>4.1</v>
      </c>
      <c r="H375" t="n">
        <v>0</v>
      </c>
      <c r="I375" t="n">
        <v>0</v>
      </c>
      <c r="J375" t="n">
        <v>0</v>
      </c>
      <c r="K375" t="n">
        <v>0</v>
      </c>
      <c r="L375" t="n">
        <v>0</v>
      </c>
      <c r="M375" t="n">
        <v>0</v>
      </c>
      <c r="N375" t="n">
        <v>0</v>
      </c>
      <c r="O375" t="n">
        <v>0</v>
      </c>
      <c r="P375" t="n">
        <v>0</v>
      </c>
      <c r="Q375" t="n">
        <v>0</v>
      </c>
      <c r="R375" s="2" t="inlineStr"/>
    </row>
    <row r="376" ht="15" customHeight="1">
      <c r="A376" t="inlineStr">
        <is>
          <t>A 6050-2023</t>
        </is>
      </c>
      <c r="B376" s="1" t="n">
        <v>44959</v>
      </c>
      <c r="C376" s="1" t="n">
        <v>45765</v>
      </c>
      <c r="D376" t="inlineStr">
        <is>
          <t>DALARNAS LÄN</t>
        </is>
      </c>
      <c r="E376" t="inlineStr">
        <is>
          <t>LEKSAND</t>
        </is>
      </c>
      <c r="G376" t="n">
        <v>6.2</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45765</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6074-2023</t>
        </is>
      </c>
      <c r="B378" s="1" t="n">
        <v>44964</v>
      </c>
      <c r="C378" s="1" t="n">
        <v>45765</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7441-2023</t>
        </is>
      </c>
      <c r="B379" s="1" t="n">
        <v>44966</v>
      </c>
      <c r="C379" s="1" t="n">
        <v>45765</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45765</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6846-2023</t>
        </is>
      </c>
      <c r="B381" s="1" t="n">
        <v>44967</v>
      </c>
      <c r="C381" s="1" t="n">
        <v>45765</v>
      </c>
      <c r="D381" t="inlineStr">
        <is>
          <t>DALARNAS LÄN</t>
        </is>
      </c>
      <c r="E381" t="inlineStr">
        <is>
          <t>LEKSAND</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8170-2023</t>
        </is>
      </c>
      <c r="B382" s="1" t="n">
        <v>44971</v>
      </c>
      <c r="C382" s="1" t="n">
        <v>45765</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7450-2023</t>
        </is>
      </c>
      <c r="B383" s="1" t="n">
        <v>44971</v>
      </c>
      <c r="C383" s="1" t="n">
        <v>45765</v>
      </c>
      <c r="D383" t="inlineStr">
        <is>
          <t>DALARNAS LÄN</t>
        </is>
      </c>
      <c r="E383" t="inlineStr">
        <is>
          <t>LEKSAND</t>
        </is>
      </c>
      <c r="G383" t="n">
        <v>3</v>
      </c>
      <c r="H383" t="n">
        <v>0</v>
      </c>
      <c r="I383" t="n">
        <v>0</v>
      </c>
      <c r="J383" t="n">
        <v>0</v>
      </c>
      <c r="K383" t="n">
        <v>0</v>
      </c>
      <c r="L383" t="n">
        <v>0</v>
      </c>
      <c r="M383" t="n">
        <v>0</v>
      </c>
      <c r="N383" t="n">
        <v>0</v>
      </c>
      <c r="O383" t="n">
        <v>0</v>
      </c>
      <c r="P383" t="n">
        <v>0</v>
      </c>
      <c r="Q383" t="n">
        <v>0</v>
      </c>
      <c r="R383" s="2" t="inlineStr"/>
    </row>
    <row r="384" ht="15" customHeight="1">
      <c r="A384" t="inlineStr">
        <is>
          <t>A 7928-2023</t>
        </is>
      </c>
      <c r="B384" s="1" t="n">
        <v>44973</v>
      </c>
      <c r="C384" s="1" t="n">
        <v>45765</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8211-2023</t>
        </is>
      </c>
      <c r="B385" s="1" t="n">
        <v>44974</v>
      </c>
      <c r="C385" s="1" t="n">
        <v>45765</v>
      </c>
      <c r="D385" t="inlineStr">
        <is>
          <t>DALARNAS LÄN</t>
        </is>
      </c>
      <c r="E385" t="inlineStr">
        <is>
          <t>LEKSAND</t>
        </is>
      </c>
      <c r="G385" t="n">
        <v>5.2</v>
      </c>
      <c r="H385" t="n">
        <v>0</v>
      </c>
      <c r="I385" t="n">
        <v>0</v>
      </c>
      <c r="J385" t="n">
        <v>0</v>
      </c>
      <c r="K385" t="n">
        <v>0</v>
      </c>
      <c r="L385" t="n">
        <v>0</v>
      </c>
      <c r="M385" t="n">
        <v>0</v>
      </c>
      <c r="N385" t="n">
        <v>0</v>
      </c>
      <c r="O385" t="n">
        <v>0</v>
      </c>
      <c r="P385" t="n">
        <v>0</v>
      </c>
      <c r="Q385" t="n">
        <v>0</v>
      </c>
      <c r="R385" s="2" t="inlineStr"/>
    </row>
    <row r="386" ht="15" customHeight="1">
      <c r="A386" t="inlineStr">
        <is>
          <t>A 8936-2023</t>
        </is>
      </c>
      <c r="B386" s="1" t="n">
        <v>44974</v>
      </c>
      <c r="C386" s="1" t="n">
        <v>45765</v>
      </c>
      <c r="D386" t="inlineStr">
        <is>
          <t>DALARNAS LÄN</t>
        </is>
      </c>
      <c r="E386" t="inlineStr">
        <is>
          <t>LEKSAND</t>
        </is>
      </c>
      <c r="G386" t="n">
        <v>7</v>
      </c>
      <c r="H386" t="n">
        <v>0</v>
      </c>
      <c r="I386" t="n">
        <v>0</v>
      </c>
      <c r="J386" t="n">
        <v>0</v>
      </c>
      <c r="K386" t="n">
        <v>0</v>
      </c>
      <c r="L386" t="n">
        <v>0</v>
      </c>
      <c r="M386" t="n">
        <v>0</v>
      </c>
      <c r="N386" t="n">
        <v>0</v>
      </c>
      <c r="O386" t="n">
        <v>0</v>
      </c>
      <c r="P386" t="n">
        <v>0</v>
      </c>
      <c r="Q386" t="n">
        <v>0</v>
      </c>
      <c r="R386" s="2" t="inlineStr"/>
    </row>
    <row r="387" ht="15" customHeight="1">
      <c r="A387" t="inlineStr">
        <is>
          <t>A 9143-2023</t>
        </is>
      </c>
      <c r="B387" s="1" t="n">
        <v>44974</v>
      </c>
      <c r="C387" s="1" t="n">
        <v>45765</v>
      </c>
      <c r="D387" t="inlineStr">
        <is>
          <t>DALARNAS LÄN</t>
        </is>
      </c>
      <c r="E387" t="inlineStr">
        <is>
          <t>LEKSAND</t>
        </is>
      </c>
      <c r="G387" t="n">
        <v>4.3</v>
      </c>
      <c r="H387" t="n">
        <v>0</v>
      </c>
      <c r="I387" t="n">
        <v>0</v>
      </c>
      <c r="J387" t="n">
        <v>0</v>
      </c>
      <c r="K387" t="n">
        <v>0</v>
      </c>
      <c r="L387" t="n">
        <v>0</v>
      </c>
      <c r="M387" t="n">
        <v>0</v>
      </c>
      <c r="N387" t="n">
        <v>0</v>
      </c>
      <c r="O387" t="n">
        <v>0</v>
      </c>
      <c r="P387" t="n">
        <v>0</v>
      </c>
      <c r="Q387" t="n">
        <v>0</v>
      </c>
      <c r="R387" s="2" t="inlineStr"/>
    </row>
    <row r="388" ht="15" customHeight="1">
      <c r="A388" t="inlineStr">
        <is>
          <t>A 8940-2023</t>
        </is>
      </c>
      <c r="B388" s="1" t="n">
        <v>44974</v>
      </c>
      <c r="C388" s="1" t="n">
        <v>45765</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9138-2023</t>
        </is>
      </c>
      <c r="B389" s="1" t="n">
        <v>44974</v>
      </c>
      <c r="C389" s="1" t="n">
        <v>45765</v>
      </c>
      <c r="D389" t="inlineStr">
        <is>
          <t>DALARNAS LÄN</t>
        </is>
      </c>
      <c r="E389" t="inlineStr">
        <is>
          <t>LEKSAND</t>
        </is>
      </c>
      <c r="G389" t="n">
        <v>4.6</v>
      </c>
      <c r="H389" t="n">
        <v>0</v>
      </c>
      <c r="I389" t="n">
        <v>0</v>
      </c>
      <c r="J389" t="n">
        <v>0</v>
      </c>
      <c r="K389" t="n">
        <v>0</v>
      </c>
      <c r="L389" t="n">
        <v>0</v>
      </c>
      <c r="M389" t="n">
        <v>0</v>
      </c>
      <c r="N389" t="n">
        <v>0</v>
      </c>
      <c r="O389" t="n">
        <v>0</v>
      </c>
      <c r="P389" t="n">
        <v>0</v>
      </c>
      <c r="Q389" t="n">
        <v>0</v>
      </c>
      <c r="R389" s="2" t="inlineStr"/>
    </row>
    <row r="390" ht="15" customHeight="1">
      <c r="A390" t="inlineStr">
        <is>
          <t>A 9141-2023</t>
        </is>
      </c>
      <c r="B390" s="1" t="n">
        <v>44974</v>
      </c>
      <c r="C390" s="1" t="n">
        <v>45765</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9459-2023</t>
        </is>
      </c>
      <c r="B391" s="1" t="n">
        <v>44977</v>
      </c>
      <c r="C391" s="1" t="n">
        <v>45765</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8773-2023</t>
        </is>
      </c>
      <c r="B392" s="1" t="n">
        <v>44978</v>
      </c>
      <c r="C392" s="1" t="n">
        <v>45765</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8695-2023</t>
        </is>
      </c>
      <c r="B393" s="1" t="n">
        <v>44978</v>
      </c>
      <c r="C393" s="1" t="n">
        <v>45765</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8743-2023</t>
        </is>
      </c>
      <c r="B394" s="1" t="n">
        <v>44978</v>
      </c>
      <c r="C394" s="1" t="n">
        <v>45765</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8755-2023</t>
        </is>
      </c>
      <c r="B395" s="1" t="n">
        <v>44978</v>
      </c>
      <c r="C395" s="1" t="n">
        <v>45765</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9324-2023</t>
        </is>
      </c>
      <c r="B396" s="1" t="n">
        <v>44980</v>
      </c>
      <c r="C396" s="1" t="n">
        <v>45765</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9336-2023</t>
        </is>
      </c>
      <c r="B397" s="1" t="n">
        <v>44980</v>
      </c>
      <c r="C397" s="1" t="n">
        <v>45765</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9938-2023</t>
        </is>
      </c>
      <c r="B398" s="1" t="n">
        <v>44985</v>
      </c>
      <c r="C398" s="1" t="n">
        <v>45765</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9947-2023</t>
        </is>
      </c>
      <c r="B399" s="1" t="n">
        <v>44985</v>
      </c>
      <c r="C399" s="1" t="n">
        <v>45765</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11010-2023</t>
        </is>
      </c>
      <c r="B400" s="1" t="n">
        <v>44986</v>
      </c>
      <c r="C400" s="1" t="n">
        <v>45765</v>
      </c>
      <c r="D400" t="inlineStr">
        <is>
          <t>DALARNAS LÄN</t>
        </is>
      </c>
      <c r="E400" t="inlineStr">
        <is>
          <t>LEKSAND</t>
        </is>
      </c>
      <c r="G400" t="n">
        <v>3.7</v>
      </c>
      <c r="H400" t="n">
        <v>0</v>
      </c>
      <c r="I400" t="n">
        <v>0</v>
      </c>
      <c r="J400" t="n">
        <v>0</v>
      </c>
      <c r="K400" t="n">
        <v>0</v>
      </c>
      <c r="L400" t="n">
        <v>0</v>
      </c>
      <c r="M400" t="n">
        <v>0</v>
      </c>
      <c r="N400" t="n">
        <v>0</v>
      </c>
      <c r="O400" t="n">
        <v>0</v>
      </c>
      <c r="P400" t="n">
        <v>0</v>
      </c>
      <c r="Q400" t="n">
        <v>0</v>
      </c>
      <c r="R400" s="2" t="inlineStr"/>
    </row>
    <row r="401" ht="15" customHeight="1">
      <c r="A401" t="inlineStr">
        <is>
          <t>A 11004-2023</t>
        </is>
      </c>
      <c r="B401" s="1" t="n">
        <v>44986</v>
      </c>
      <c r="C401" s="1" t="n">
        <v>45765</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10367-2023</t>
        </is>
      </c>
      <c r="B402" s="1" t="n">
        <v>44987</v>
      </c>
      <c r="C402" s="1" t="n">
        <v>45765</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10373-2023</t>
        </is>
      </c>
      <c r="B403" s="1" t="n">
        <v>44987</v>
      </c>
      <c r="C403" s="1" t="n">
        <v>45765</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10368-2023</t>
        </is>
      </c>
      <c r="B404" s="1" t="n">
        <v>44987</v>
      </c>
      <c r="C404" s="1" t="n">
        <v>45765</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11398-2023</t>
        </is>
      </c>
      <c r="B405" s="1" t="n">
        <v>44988</v>
      </c>
      <c r="C405" s="1" t="n">
        <v>45765</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11423-2023</t>
        </is>
      </c>
      <c r="B406" s="1" t="n">
        <v>44988</v>
      </c>
      <c r="C406" s="1" t="n">
        <v>45765</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11420-2023</t>
        </is>
      </c>
      <c r="B407" s="1" t="n">
        <v>44988</v>
      </c>
      <c r="C407" s="1" t="n">
        <v>45765</v>
      </c>
      <c r="D407" t="inlineStr">
        <is>
          <t>DALARNAS LÄN</t>
        </is>
      </c>
      <c r="E407" t="inlineStr">
        <is>
          <t>LEKSAND</t>
        </is>
      </c>
      <c r="G407" t="n">
        <v>6.5</v>
      </c>
      <c r="H407" t="n">
        <v>0</v>
      </c>
      <c r="I407" t="n">
        <v>0</v>
      </c>
      <c r="J407" t="n">
        <v>0</v>
      </c>
      <c r="K407" t="n">
        <v>0</v>
      </c>
      <c r="L407" t="n">
        <v>0</v>
      </c>
      <c r="M407" t="n">
        <v>0</v>
      </c>
      <c r="N407" t="n">
        <v>0</v>
      </c>
      <c r="O407" t="n">
        <v>0</v>
      </c>
      <c r="P407" t="n">
        <v>0</v>
      </c>
      <c r="Q407" t="n">
        <v>0</v>
      </c>
      <c r="R407" s="2" t="inlineStr"/>
    </row>
    <row r="408" ht="15" customHeight="1">
      <c r="A408" t="inlineStr">
        <is>
          <t>A 10828-2023</t>
        </is>
      </c>
      <c r="B408" s="1" t="n">
        <v>44990</v>
      </c>
      <c r="C408" s="1" t="n">
        <v>45765</v>
      </c>
      <c r="D408" t="inlineStr">
        <is>
          <t>DALARNAS LÄN</t>
        </is>
      </c>
      <c r="E408" t="inlineStr">
        <is>
          <t>LEKSAND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10833-2023</t>
        </is>
      </c>
      <c r="B409" s="1" t="n">
        <v>44990</v>
      </c>
      <c r="C409" s="1" t="n">
        <v>45765</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10967-2023</t>
        </is>
      </c>
      <c r="B410" s="1" t="n">
        <v>44991</v>
      </c>
      <c r="C410" s="1" t="n">
        <v>45765</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10987-2023</t>
        </is>
      </c>
      <c r="B411" s="1" t="n">
        <v>44991</v>
      </c>
      <c r="C411" s="1" t="n">
        <v>45765</v>
      </c>
      <c r="D411" t="inlineStr">
        <is>
          <t>DALARNAS LÄN</t>
        </is>
      </c>
      <c r="E411" t="inlineStr">
        <is>
          <t>LEKSAND</t>
        </is>
      </c>
      <c r="G411" t="n">
        <v>2.7</v>
      </c>
      <c r="H411" t="n">
        <v>0</v>
      </c>
      <c r="I411" t="n">
        <v>0</v>
      </c>
      <c r="J411" t="n">
        <v>0</v>
      </c>
      <c r="K411" t="n">
        <v>0</v>
      </c>
      <c r="L411" t="n">
        <v>0</v>
      </c>
      <c r="M411" t="n">
        <v>0</v>
      </c>
      <c r="N411" t="n">
        <v>0</v>
      </c>
      <c r="O411" t="n">
        <v>0</v>
      </c>
      <c r="P411" t="n">
        <v>0</v>
      </c>
      <c r="Q411" t="n">
        <v>0</v>
      </c>
      <c r="R411" s="2" t="inlineStr"/>
    </row>
    <row r="412" ht="15" customHeight="1">
      <c r="A412" t="inlineStr">
        <is>
          <t>A 10869-2023</t>
        </is>
      </c>
      <c r="B412" s="1" t="n">
        <v>44991</v>
      </c>
      <c r="C412" s="1" t="n">
        <v>45765</v>
      </c>
      <c r="D412" t="inlineStr">
        <is>
          <t>DALARNAS LÄN</t>
        </is>
      </c>
      <c r="E412" t="inlineStr">
        <is>
          <t>LEKSAND</t>
        </is>
      </c>
      <c r="G412" t="n">
        <v>2.1</v>
      </c>
      <c r="H412" t="n">
        <v>0</v>
      </c>
      <c r="I412" t="n">
        <v>0</v>
      </c>
      <c r="J412" t="n">
        <v>0</v>
      </c>
      <c r="K412" t="n">
        <v>0</v>
      </c>
      <c r="L412" t="n">
        <v>0</v>
      </c>
      <c r="M412" t="n">
        <v>0</v>
      </c>
      <c r="N412" t="n">
        <v>0</v>
      </c>
      <c r="O412" t="n">
        <v>0</v>
      </c>
      <c r="P412" t="n">
        <v>0</v>
      </c>
      <c r="Q412" t="n">
        <v>0</v>
      </c>
      <c r="R412" s="2" t="inlineStr"/>
    </row>
    <row r="413" ht="15" customHeight="1">
      <c r="A413" t="inlineStr">
        <is>
          <t>A 10974-2023</t>
        </is>
      </c>
      <c r="B413" s="1" t="n">
        <v>44991</v>
      </c>
      <c r="C413" s="1" t="n">
        <v>45765</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10896-2023</t>
        </is>
      </c>
      <c r="B414" s="1" t="n">
        <v>44991</v>
      </c>
      <c r="C414" s="1" t="n">
        <v>45765</v>
      </c>
      <c r="D414" t="inlineStr">
        <is>
          <t>DALARNAS LÄN</t>
        </is>
      </c>
      <c r="E414" t="inlineStr">
        <is>
          <t>LEKSAND</t>
        </is>
      </c>
      <c r="G414" t="n">
        <v>4.1</v>
      </c>
      <c r="H414" t="n">
        <v>0</v>
      </c>
      <c r="I414" t="n">
        <v>0</v>
      </c>
      <c r="J414" t="n">
        <v>0</v>
      </c>
      <c r="K414" t="n">
        <v>0</v>
      </c>
      <c r="L414" t="n">
        <v>0</v>
      </c>
      <c r="M414" t="n">
        <v>0</v>
      </c>
      <c r="N414" t="n">
        <v>0</v>
      </c>
      <c r="O414" t="n">
        <v>0</v>
      </c>
      <c r="P414" t="n">
        <v>0</v>
      </c>
      <c r="Q414" t="n">
        <v>0</v>
      </c>
      <c r="R414" s="2" t="inlineStr"/>
    </row>
    <row r="415" ht="15" customHeight="1">
      <c r="A415" t="inlineStr">
        <is>
          <t>A 11233-2023</t>
        </is>
      </c>
      <c r="B415" s="1" t="n">
        <v>44992</v>
      </c>
      <c r="C415" s="1" t="n">
        <v>45765</v>
      </c>
      <c r="D415" t="inlineStr">
        <is>
          <t>DALARNAS LÄN</t>
        </is>
      </c>
      <c r="E415" t="inlineStr">
        <is>
          <t>LEKSAND</t>
        </is>
      </c>
      <c r="G415" t="n">
        <v>4.2</v>
      </c>
      <c r="H415" t="n">
        <v>0</v>
      </c>
      <c r="I415" t="n">
        <v>0</v>
      </c>
      <c r="J415" t="n">
        <v>0</v>
      </c>
      <c r="K415" t="n">
        <v>0</v>
      </c>
      <c r="L415" t="n">
        <v>0</v>
      </c>
      <c r="M415" t="n">
        <v>0</v>
      </c>
      <c r="N415" t="n">
        <v>0</v>
      </c>
      <c r="O415" t="n">
        <v>0</v>
      </c>
      <c r="P415" t="n">
        <v>0</v>
      </c>
      <c r="Q415" t="n">
        <v>0</v>
      </c>
      <c r="R415" s="2" t="inlineStr"/>
    </row>
    <row r="416" ht="15" customHeight="1">
      <c r="A416" t="inlineStr">
        <is>
          <t>A 11238-2023</t>
        </is>
      </c>
      <c r="B416" s="1" t="n">
        <v>44992</v>
      </c>
      <c r="C416" s="1" t="n">
        <v>45765</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11092-2023</t>
        </is>
      </c>
      <c r="B417" s="1" t="n">
        <v>44992</v>
      </c>
      <c r="C417" s="1" t="n">
        <v>45765</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11248-2023</t>
        </is>
      </c>
      <c r="B418" s="1" t="n">
        <v>44992</v>
      </c>
      <c r="C418" s="1" t="n">
        <v>45765</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11128-2023</t>
        </is>
      </c>
      <c r="B419" s="1" t="n">
        <v>44992</v>
      </c>
      <c r="C419" s="1" t="n">
        <v>45765</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11080-2023</t>
        </is>
      </c>
      <c r="B420" s="1" t="n">
        <v>44992</v>
      </c>
      <c r="C420" s="1" t="n">
        <v>45765</v>
      </c>
      <c r="D420" t="inlineStr">
        <is>
          <t>DALARNAS LÄN</t>
        </is>
      </c>
      <c r="E420" t="inlineStr">
        <is>
          <t>LEKSAND</t>
        </is>
      </c>
      <c r="G420" t="n">
        <v>6.9</v>
      </c>
      <c r="H420" t="n">
        <v>0</v>
      </c>
      <c r="I420" t="n">
        <v>0</v>
      </c>
      <c r="J420" t="n">
        <v>0</v>
      </c>
      <c r="K420" t="n">
        <v>0</v>
      </c>
      <c r="L420" t="n">
        <v>0</v>
      </c>
      <c r="M420" t="n">
        <v>0</v>
      </c>
      <c r="N420" t="n">
        <v>0</v>
      </c>
      <c r="O420" t="n">
        <v>0</v>
      </c>
      <c r="P420" t="n">
        <v>0</v>
      </c>
      <c r="Q420" t="n">
        <v>0</v>
      </c>
      <c r="R420" s="2" t="inlineStr"/>
    </row>
    <row r="421" ht="15" customHeight="1">
      <c r="A421" t="inlineStr">
        <is>
          <t>A 11110-2023</t>
        </is>
      </c>
      <c r="B421" s="1" t="n">
        <v>44992</v>
      </c>
      <c r="C421" s="1" t="n">
        <v>45765</v>
      </c>
      <c r="D421" t="inlineStr">
        <is>
          <t>DALARNAS LÄN</t>
        </is>
      </c>
      <c r="E421" t="inlineStr">
        <is>
          <t>LEKSAND</t>
        </is>
      </c>
      <c r="G421" t="n">
        <v>11.2</v>
      </c>
      <c r="H421" t="n">
        <v>0</v>
      </c>
      <c r="I421" t="n">
        <v>0</v>
      </c>
      <c r="J421" t="n">
        <v>0</v>
      </c>
      <c r="K421" t="n">
        <v>0</v>
      </c>
      <c r="L421" t="n">
        <v>0</v>
      </c>
      <c r="M421" t="n">
        <v>0</v>
      </c>
      <c r="N421" t="n">
        <v>0</v>
      </c>
      <c r="O421" t="n">
        <v>0</v>
      </c>
      <c r="P421" t="n">
        <v>0</v>
      </c>
      <c r="Q421" t="n">
        <v>0</v>
      </c>
      <c r="R421" s="2" t="inlineStr"/>
    </row>
    <row r="422" ht="15" customHeight="1">
      <c r="A422" t="inlineStr">
        <is>
          <t>A 11218-2023</t>
        </is>
      </c>
      <c r="B422" s="1" t="n">
        <v>44992</v>
      </c>
      <c r="C422" s="1" t="n">
        <v>45765</v>
      </c>
      <c r="D422" t="inlineStr">
        <is>
          <t>DALARNAS LÄN</t>
        </is>
      </c>
      <c r="E422" t="inlineStr">
        <is>
          <t>LEKSAND</t>
        </is>
      </c>
      <c r="G422" t="n">
        <v>2.6</v>
      </c>
      <c r="H422" t="n">
        <v>0</v>
      </c>
      <c r="I422" t="n">
        <v>0</v>
      </c>
      <c r="J422" t="n">
        <v>0</v>
      </c>
      <c r="K422" t="n">
        <v>0</v>
      </c>
      <c r="L422" t="n">
        <v>0</v>
      </c>
      <c r="M422" t="n">
        <v>0</v>
      </c>
      <c r="N422" t="n">
        <v>0</v>
      </c>
      <c r="O422" t="n">
        <v>0</v>
      </c>
      <c r="P422" t="n">
        <v>0</v>
      </c>
      <c r="Q422" t="n">
        <v>0</v>
      </c>
      <c r="R422" s="2" t="inlineStr"/>
    </row>
    <row r="423" ht="15" customHeight="1">
      <c r="A423" t="inlineStr">
        <is>
          <t>A 11225-2023</t>
        </is>
      </c>
      <c r="B423" s="1" t="n">
        <v>44992</v>
      </c>
      <c r="C423" s="1" t="n">
        <v>45765</v>
      </c>
      <c r="D423" t="inlineStr">
        <is>
          <t>DALARNAS LÄN</t>
        </is>
      </c>
      <c r="E423" t="inlineStr">
        <is>
          <t>LEKSAND</t>
        </is>
      </c>
      <c r="G423" t="n">
        <v>6.1</v>
      </c>
      <c r="H423" t="n">
        <v>0</v>
      </c>
      <c r="I423" t="n">
        <v>0</v>
      </c>
      <c r="J423" t="n">
        <v>0</v>
      </c>
      <c r="K423" t="n">
        <v>0</v>
      </c>
      <c r="L423" t="n">
        <v>0</v>
      </c>
      <c r="M423" t="n">
        <v>0</v>
      </c>
      <c r="N423" t="n">
        <v>0</v>
      </c>
      <c r="O423" t="n">
        <v>0</v>
      </c>
      <c r="P423" t="n">
        <v>0</v>
      </c>
      <c r="Q423" t="n">
        <v>0</v>
      </c>
      <c r="R423" s="2" t="inlineStr"/>
    </row>
    <row r="424" ht="15" customHeight="1">
      <c r="A424" t="inlineStr">
        <is>
          <t>A 11347-2023</t>
        </is>
      </c>
      <c r="B424" s="1" t="n">
        <v>44993</v>
      </c>
      <c r="C424" s="1" t="n">
        <v>45765</v>
      </c>
      <c r="D424" t="inlineStr">
        <is>
          <t>DALARNAS LÄN</t>
        </is>
      </c>
      <c r="E424" t="inlineStr">
        <is>
          <t>LEKSAND</t>
        </is>
      </c>
      <c r="G424" t="n">
        <v>6.7</v>
      </c>
      <c r="H424" t="n">
        <v>0</v>
      </c>
      <c r="I424" t="n">
        <v>0</v>
      </c>
      <c r="J424" t="n">
        <v>0</v>
      </c>
      <c r="K424" t="n">
        <v>0</v>
      </c>
      <c r="L424" t="n">
        <v>0</v>
      </c>
      <c r="M424" t="n">
        <v>0</v>
      </c>
      <c r="N424" t="n">
        <v>0</v>
      </c>
      <c r="O424" t="n">
        <v>0</v>
      </c>
      <c r="P424" t="n">
        <v>0</v>
      </c>
      <c r="Q424" t="n">
        <v>0</v>
      </c>
      <c r="R424" s="2" t="inlineStr"/>
    </row>
    <row r="425" ht="15" customHeight="1">
      <c r="A425" t="inlineStr">
        <is>
          <t>A 11392-2023</t>
        </is>
      </c>
      <c r="B425" s="1" t="n">
        <v>44993</v>
      </c>
      <c r="C425" s="1" t="n">
        <v>45765</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11403-2023</t>
        </is>
      </c>
      <c r="B426" s="1" t="n">
        <v>44993</v>
      </c>
      <c r="C426" s="1" t="n">
        <v>45765</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11418-2023</t>
        </is>
      </c>
      <c r="B427" s="1" t="n">
        <v>44993</v>
      </c>
      <c r="C427" s="1" t="n">
        <v>45765</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11747-2023</t>
        </is>
      </c>
      <c r="B428" s="1" t="n">
        <v>44993</v>
      </c>
      <c r="C428" s="1" t="n">
        <v>45765</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11913-2023</t>
        </is>
      </c>
      <c r="B429" s="1" t="n">
        <v>44993</v>
      </c>
      <c r="C429" s="1" t="n">
        <v>45765</v>
      </c>
      <c r="D429" t="inlineStr">
        <is>
          <t>DALARNAS LÄN</t>
        </is>
      </c>
      <c r="E429" t="inlineStr">
        <is>
          <t>LEKSAND</t>
        </is>
      </c>
      <c r="G429" t="n">
        <v>7</v>
      </c>
      <c r="H429" t="n">
        <v>0</v>
      </c>
      <c r="I429" t="n">
        <v>0</v>
      </c>
      <c r="J429" t="n">
        <v>0</v>
      </c>
      <c r="K429" t="n">
        <v>0</v>
      </c>
      <c r="L429" t="n">
        <v>0</v>
      </c>
      <c r="M429" t="n">
        <v>0</v>
      </c>
      <c r="N429" t="n">
        <v>0</v>
      </c>
      <c r="O429" t="n">
        <v>0</v>
      </c>
      <c r="P429" t="n">
        <v>0</v>
      </c>
      <c r="Q429" t="n">
        <v>0</v>
      </c>
      <c r="R429" s="2" t="inlineStr"/>
    </row>
    <row r="430" ht="15" customHeight="1">
      <c r="A430" t="inlineStr">
        <is>
          <t>A 11582-2023</t>
        </is>
      </c>
      <c r="B430" s="1" t="n">
        <v>44994</v>
      </c>
      <c r="C430" s="1" t="n">
        <v>45765</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11592-2023</t>
        </is>
      </c>
      <c r="B431" s="1" t="n">
        <v>44994</v>
      </c>
      <c r="C431" s="1" t="n">
        <v>45765</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11678-2023</t>
        </is>
      </c>
      <c r="B432" s="1" t="n">
        <v>44994</v>
      </c>
      <c r="C432" s="1" t="n">
        <v>45765</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12144-2023</t>
        </is>
      </c>
      <c r="B433" s="1" t="n">
        <v>44998</v>
      </c>
      <c r="C433" s="1" t="n">
        <v>45765</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12117-2023</t>
        </is>
      </c>
      <c r="B434" s="1" t="n">
        <v>44998</v>
      </c>
      <c r="C434" s="1" t="n">
        <v>45765</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12120-2023</t>
        </is>
      </c>
      <c r="B435" s="1" t="n">
        <v>44998</v>
      </c>
      <c r="C435" s="1" t="n">
        <v>45765</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12356-2023</t>
        </is>
      </c>
      <c r="B436" s="1" t="n">
        <v>44998</v>
      </c>
      <c r="C436" s="1" t="n">
        <v>45765</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12363-2023</t>
        </is>
      </c>
      <c r="B437" s="1" t="n">
        <v>44998</v>
      </c>
      <c r="C437" s="1" t="n">
        <v>45765</v>
      </c>
      <c r="D437" t="inlineStr">
        <is>
          <t>DALARNAS LÄN</t>
        </is>
      </c>
      <c r="E437" t="inlineStr">
        <is>
          <t>LEKSAND</t>
        </is>
      </c>
      <c r="G437" t="n">
        <v>10</v>
      </c>
      <c r="H437" t="n">
        <v>0</v>
      </c>
      <c r="I437" t="n">
        <v>0</v>
      </c>
      <c r="J437" t="n">
        <v>0</v>
      </c>
      <c r="K437" t="n">
        <v>0</v>
      </c>
      <c r="L437" t="n">
        <v>0</v>
      </c>
      <c r="M437" t="n">
        <v>0</v>
      </c>
      <c r="N437" t="n">
        <v>0</v>
      </c>
      <c r="O437" t="n">
        <v>0</v>
      </c>
      <c r="P437" t="n">
        <v>0</v>
      </c>
      <c r="Q437" t="n">
        <v>0</v>
      </c>
      <c r="R437" s="2" t="inlineStr"/>
    </row>
    <row r="438" ht="15" customHeight="1">
      <c r="A438" t="inlineStr">
        <is>
          <t>A 12414-2023</t>
        </is>
      </c>
      <c r="B438" s="1" t="n">
        <v>44999</v>
      </c>
      <c r="C438" s="1" t="n">
        <v>45765</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v>
      </c>
      <c r="C439" s="1" t="n">
        <v>45765</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12851-2023</t>
        </is>
      </c>
      <c r="B440" s="1" t="n">
        <v>45001</v>
      </c>
      <c r="C440" s="1" t="n">
        <v>45765</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13024-2023</t>
        </is>
      </c>
      <c r="B441" s="1" t="n">
        <v>45001</v>
      </c>
      <c r="C441" s="1" t="n">
        <v>45765</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13063-2023</t>
        </is>
      </c>
      <c r="B442" s="1" t="n">
        <v>45001</v>
      </c>
      <c r="C442" s="1" t="n">
        <v>45765</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13027-2023</t>
        </is>
      </c>
      <c r="B443" s="1" t="n">
        <v>45001</v>
      </c>
      <c r="C443" s="1" t="n">
        <v>45765</v>
      </c>
      <c r="D443" t="inlineStr">
        <is>
          <t>DALARNAS LÄN</t>
        </is>
      </c>
      <c r="E443" t="inlineStr">
        <is>
          <t>LEKSAND</t>
        </is>
      </c>
      <c r="G443" t="n">
        <v>2.8</v>
      </c>
      <c r="H443" t="n">
        <v>0</v>
      </c>
      <c r="I443" t="n">
        <v>0</v>
      </c>
      <c r="J443" t="n">
        <v>0</v>
      </c>
      <c r="K443" t="n">
        <v>0</v>
      </c>
      <c r="L443" t="n">
        <v>0</v>
      </c>
      <c r="M443" t="n">
        <v>0</v>
      </c>
      <c r="N443" t="n">
        <v>0</v>
      </c>
      <c r="O443" t="n">
        <v>0</v>
      </c>
      <c r="P443" t="n">
        <v>0</v>
      </c>
      <c r="Q443" t="n">
        <v>0</v>
      </c>
      <c r="R443" s="2" t="inlineStr"/>
    </row>
    <row r="444" ht="15" customHeight="1">
      <c r="A444" t="inlineStr">
        <is>
          <t>A 13079-2023</t>
        </is>
      </c>
      <c r="B444" s="1" t="n">
        <v>45001</v>
      </c>
      <c r="C444" s="1" t="n">
        <v>45765</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13165-2023</t>
        </is>
      </c>
      <c r="B445" s="1" t="n">
        <v>45002</v>
      </c>
      <c r="C445" s="1" t="n">
        <v>45765</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13288-2023</t>
        </is>
      </c>
      <c r="B446" s="1" t="n">
        <v>45004</v>
      </c>
      <c r="C446" s="1" t="n">
        <v>45765</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13397-2023</t>
        </is>
      </c>
      <c r="B447" s="1" t="n">
        <v>45005</v>
      </c>
      <c r="C447" s="1" t="n">
        <v>45765</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13401-2023</t>
        </is>
      </c>
      <c r="B448" s="1" t="n">
        <v>45005</v>
      </c>
      <c r="C448" s="1" t="n">
        <v>45765</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13376-2023</t>
        </is>
      </c>
      <c r="B449" s="1" t="n">
        <v>45005</v>
      </c>
      <c r="C449" s="1" t="n">
        <v>45765</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13760-2023</t>
        </is>
      </c>
      <c r="B450" s="1" t="n">
        <v>45007</v>
      </c>
      <c r="C450" s="1" t="n">
        <v>45765</v>
      </c>
      <c r="D450" t="inlineStr">
        <is>
          <t>DALARNAS LÄN</t>
        </is>
      </c>
      <c r="E450" t="inlineStr">
        <is>
          <t>LEKSAND</t>
        </is>
      </c>
      <c r="G450" t="n">
        <v>7.9</v>
      </c>
      <c r="H450" t="n">
        <v>0</v>
      </c>
      <c r="I450" t="n">
        <v>0</v>
      </c>
      <c r="J450" t="n">
        <v>0</v>
      </c>
      <c r="K450" t="n">
        <v>0</v>
      </c>
      <c r="L450" t="n">
        <v>0</v>
      </c>
      <c r="M450" t="n">
        <v>0</v>
      </c>
      <c r="N450" t="n">
        <v>0</v>
      </c>
      <c r="O450" t="n">
        <v>0</v>
      </c>
      <c r="P450" t="n">
        <v>0</v>
      </c>
      <c r="Q450" t="n">
        <v>0</v>
      </c>
      <c r="R450" s="2" t="inlineStr"/>
    </row>
    <row r="451" ht="15" customHeight="1">
      <c r="A451" t="inlineStr">
        <is>
          <t>A 14339-2023</t>
        </is>
      </c>
      <c r="B451" s="1" t="n">
        <v>45012</v>
      </c>
      <c r="C451" s="1" t="n">
        <v>45765</v>
      </c>
      <c r="D451" t="inlineStr">
        <is>
          <t>DALARNAS LÄN</t>
        </is>
      </c>
      <c r="E451" t="inlineStr">
        <is>
          <t>LEKSAND</t>
        </is>
      </c>
      <c r="G451" t="n">
        <v>5.3</v>
      </c>
      <c r="H451" t="n">
        <v>0</v>
      </c>
      <c r="I451" t="n">
        <v>0</v>
      </c>
      <c r="J451" t="n">
        <v>0</v>
      </c>
      <c r="K451" t="n">
        <v>0</v>
      </c>
      <c r="L451" t="n">
        <v>0</v>
      </c>
      <c r="M451" t="n">
        <v>0</v>
      </c>
      <c r="N451" t="n">
        <v>0</v>
      </c>
      <c r="O451" t="n">
        <v>0</v>
      </c>
      <c r="P451" t="n">
        <v>0</v>
      </c>
      <c r="Q451" t="n">
        <v>0</v>
      </c>
      <c r="R451" s="2" t="inlineStr"/>
    </row>
    <row r="452" ht="15" customHeight="1">
      <c r="A452" t="inlineStr">
        <is>
          <t>A 14558-2023</t>
        </is>
      </c>
      <c r="B452" s="1" t="n">
        <v>45013</v>
      </c>
      <c r="C452" s="1" t="n">
        <v>45765</v>
      </c>
      <c r="D452" t="inlineStr">
        <is>
          <t>DALARNAS LÄN</t>
        </is>
      </c>
      <c r="E452" t="inlineStr">
        <is>
          <t>LEKSAND</t>
        </is>
      </c>
      <c r="G452" t="n">
        <v>3.9</v>
      </c>
      <c r="H452" t="n">
        <v>0</v>
      </c>
      <c r="I452" t="n">
        <v>0</v>
      </c>
      <c r="J452" t="n">
        <v>0</v>
      </c>
      <c r="K452" t="n">
        <v>0</v>
      </c>
      <c r="L452" t="n">
        <v>0</v>
      </c>
      <c r="M452" t="n">
        <v>0</v>
      </c>
      <c r="N452" t="n">
        <v>0</v>
      </c>
      <c r="O452" t="n">
        <v>0</v>
      </c>
      <c r="P452" t="n">
        <v>0</v>
      </c>
      <c r="Q452" t="n">
        <v>0</v>
      </c>
      <c r="R452" s="2" t="inlineStr"/>
    </row>
    <row r="453" ht="15" customHeight="1">
      <c r="A453" t="inlineStr">
        <is>
          <t>A 14809-2023</t>
        </is>
      </c>
      <c r="B453" s="1" t="n">
        <v>45014</v>
      </c>
      <c r="C453" s="1" t="n">
        <v>45765</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14943-2023</t>
        </is>
      </c>
      <c r="B454" s="1" t="n">
        <v>45015</v>
      </c>
      <c r="C454" s="1" t="n">
        <v>45765</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14967-2023</t>
        </is>
      </c>
      <c r="B455" s="1" t="n">
        <v>45015</v>
      </c>
      <c r="C455" s="1" t="n">
        <v>45765</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15020-2023</t>
        </is>
      </c>
      <c r="B456" s="1" t="n">
        <v>45015</v>
      </c>
      <c r="C456" s="1" t="n">
        <v>45765</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15025-2023</t>
        </is>
      </c>
      <c r="B457" s="1" t="n">
        <v>45015</v>
      </c>
      <c r="C457" s="1" t="n">
        <v>45765</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15120-2023</t>
        </is>
      </c>
      <c r="B458" s="1" t="n">
        <v>45016</v>
      </c>
      <c r="C458" s="1" t="n">
        <v>45765</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15261-2023</t>
        </is>
      </c>
      <c r="B459" s="1" t="n">
        <v>45019</v>
      </c>
      <c r="C459" s="1" t="n">
        <v>45765</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15271-2023</t>
        </is>
      </c>
      <c r="B460" s="1" t="n">
        <v>45019</v>
      </c>
      <c r="C460" s="1" t="n">
        <v>45765</v>
      </c>
      <c r="D460" t="inlineStr">
        <is>
          <t>DALARNAS LÄN</t>
        </is>
      </c>
      <c r="E460" t="inlineStr">
        <is>
          <t>LEKSAND</t>
        </is>
      </c>
      <c r="G460" t="n">
        <v>5.5</v>
      </c>
      <c r="H460" t="n">
        <v>0</v>
      </c>
      <c r="I460" t="n">
        <v>0</v>
      </c>
      <c r="J460" t="n">
        <v>0</v>
      </c>
      <c r="K460" t="n">
        <v>0</v>
      </c>
      <c r="L460" t="n">
        <v>0</v>
      </c>
      <c r="M460" t="n">
        <v>0</v>
      </c>
      <c r="N460" t="n">
        <v>0</v>
      </c>
      <c r="O460" t="n">
        <v>0</v>
      </c>
      <c r="P460" t="n">
        <v>0</v>
      </c>
      <c r="Q460" t="n">
        <v>0</v>
      </c>
      <c r="R460" s="2" t="inlineStr"/>
    </row>
    <row r="461" ht="15" customHeight="1">
      <c r="A461" t="inlineStr">
        <is>
          <t>A 15435-2023</t>
        </is>
      </c>
      <c r="B461" s="1" t="n">
        <v>45020</v>
      </c>
      <c r="C461" s="1" t="n">
        <v>45765</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15436-2023</t>
        </is>
      </c>
      <c r="B462" s="1" t="n">
        <v>45020</v>
      </c>
      <c r="C462" s="1" t="n">
        <v>45765</v>
      </c>
      <c r="D462" t="inlineStr">
        <is>
          <t>DALARNAS LÄN</t>
        </is>
      </c>
      <c r="E462" t="inlineStr">
        <is>
          <t>LEKSAND</t>
        </is>
      </c>
      <c r="G462" t="n">
        <v>2.1</v>
      </c>
      <c r="H462" t="n">
        <v>0</v>
      </c>
      <c r="I462" t="n">
        <v>0</v>
      </c>
      <c r="J462" t="n">
        <v>0</v>
      </c>
      <c r="K462" t="n">
        <v>0</v>
      </c>
      <c r="L462" t="n">
        <v>0</v>
      </c>
      <c r="M462" t="n">
        <v>0</v>
      </c>
      <c r="N462" t="n">
        <v>0</v>
      </c>
      <c r="O462" t="n">
        <v>0</v>
      </c>
      <c r="P462" t="n">
        <v>0</v>
      </c>
      <c r="Q462" t="n">
        <v>0</v>
      </c>
      <c r="R462" s="2" t="inlineStr"/>
    </row>
    <row r="463" ht="15" customHeight="1">
      <c r="A463" t="inlineStr">
        <is>
          <t>A 15433-2023</t>
        </is>
      </c>
      <c r="B463" s="1" t="n">
        <v>45020</v>
      </c>
      <c r="C463" s="1" t="n">
        <v>45765</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15882-2023</t>
        </is>
      </c>
      <c r="B464" s="1" t="n">
        <v>45022</v>
      </c>
      <c r="C464" s="1" t="n">
        <v>45765</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16051-2023</t>
        </is>
      </c>
      <c r="B465" s="1" t="n">
        <v>45027</v>
      </c>
      <c r="C465" s="1" t="n">
        <v>45765</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16139-2023</t>
        </is>
      </c>
      <c r="B466" s="1" t="n">
        <v>45027</v>
      </c>
      <c r="C466" s="1" t="n">
        <v>45765</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16143-2023</t>
        </is>
      </c>
      <c r="B467" s="1" t="n">
        <v>45027</v>
      </c>
      <c r="C467" s="1" t="n">
        <v>45765</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16137-2023</t>
        </is>
      </c>
      <c r="B468" s="1" t="n">
        <v>45027</v>
      </c>
      <c r="C468" s="1" t="n">
        <v>45765</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16135-2023</t>
        </is>
      </c>
      <c r="B469" s="1" t="n">
        <v>45027</v>
      </c>
      <c r="C469" s="1" t="n">
        <v>45765</v>
      </c>
      <c r="D469" t="inlineStr">
        <is>
          <t>DALARNAS LÄN</t>
        </is>
      </c>
      <c r="E469" t="inlineStr">
        <is>
          <t>LEKSAND</t>
        </is>
      </c>
      <c r="G469" t="n">
        <v>4.9</v>
      </c>
      <c r="H469" t="n">
        <v>0</v>
      </c>
      <c r="I469" t="n">
        <v>0</v>
      </c>
      <c r="J469" t="n">
        <v>0</v>
      </c>
      <c r="K469" t="n">
        <v>0</v>
      </c>
      <c r="L469" t="n">
        <v>0</v>
      </c>
      <c r="M469" t="n">
        <v>0</v>
      </c>
      <c r="N469" t="n">
        <v>0</v>
      </c>
      <c r="O469" t="n">
        <v>0</v>
      </c>
      <c r="P469" t="n">
        <v>0</v>
      </c>
      <c r="Q469" t="n">
        <v>0</v>
      </c>
      <c r="R469" s="2" t="inlineStr"/>
    </row>
    <row r="470" ht="15" customHeight="1">
      <c r="A470" t="inlineStr">
        <is>
          <t>A 16332-2023</t>
        </is>
      </c>
      <c r="B470" s="1" t="n">
        <v>45028</v>
      </c>
      <c r="C470" s="1" t="n">
        <v>45765</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16592-2023</t>
        </is>
      </c>
      <c r="B471" s="1" t="n">
        <v>45030</v>
      </c>
      <c r="C471" s="1" t="n">
        <v>45765</v>
      </c>
      <c r="D471" t="inlineStr">
        <is>
          <t>DALARNAS LÄN</t>
        </is>
      </c>
      <c r="E471" t="inlineStr">
        <is>
          <t>LEKSAND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16818-2023</t>
        </is>
      </c>
      <c r="B472" s="1" t="n">
        <v>45033</v>
      </c>
      <c r="C472" s="1" t="n">
        <v>45765</v>
      </c>
      <c r="D472" t="inlineStr">
        <is>
          <t>DALARNAS LÄN</t>
        </is>
      </c>
      <c r="E472" t="inlineStr">
        <is>
          <t>LEKSAND</t>
        </is>
      </c>
      <c r="F472" t="inlineStr">
        <is>
          <t>Övriga statliga verk och myndigheter</t>
        </is>
      </c>
      <c r="G472" t="n">
        <v>1.3</v>
      </c>
      <c r="H472" t="n">
        <v>0</v>
      </c>
      <c r="I472" t="n">
        <v>0</v>
      </c>
      <c r="J472" t="n">
        <v>0</v>
      </c>
      <c r="K472" t="n">
        <v>0</v>
      </c>
      <c r="L472" t="n">
        <v>0</v>
      </c>
      <c r="M472" t="n">
        <v>0</v>
      </c>
      <c r="N472" t="n">
        <v>0</v>
      </c>
      <c r="O472" t="n">
        <v>0</v>
      </c>
      <c r="P472" t="n">
        <v>0</v>
      </c>
      <c r="Q472" t="n">
        <v>0</v>
      </c>
      <c r="R472" s="2" t="inlineStr"/>
    </row>
    <row r="473" ht="15" customHeight="1">
      <c r="A473" t="inlineStr">
        <is>
          <t>A 16882-2023</t>
        </is>
      </c>
      <c r="B473" s="1" t="n">
        <v>45033</v>
      </c>
      <c r="C473" s="1" t="n">
        <v>45765</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16926-2023</t>
        </is>
      </c>
      <c r="B474" s="1" t="n">
        <v>45033</v>
      </c>
      <c r="C474" s="1" t="n">
        <v>45765</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17078-2023</t>
        </is>
      </c>
      <c r="B475" s="1" t="n">
        <v>45034</v>
      </c>
      <c r="C475" s="1" t="n">
        <v>45765</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17070-2023</t>
        </is>
      </c>
      <c r="B476" s="1" t="n">
        <v>45034</v>
      </c>
      <c r="C476" s="1" t="n">
        <v>45765</v>
      </c>
      <c r="D476" t="inlineStr">
        <is>
          <t>DALARNAS LÄN</t>
        </is>
      </c>
      <c r="E476" t="inlineStr">
        <is>
          <t>LEKSAND</t>
        </is>
      </c>
      <c r="G476" t="n">
        <v>5.9</v>
      </c>
      <c r="H476" t="n">
        <v>0</v>
      </c>
      <c r="I476" t="n">
        <v>0</v>
      </c>
      <c r="J476" t="n">
        <v>0</v>
      </c>
      <c r="K476" t="n">
        <v>0</v>
      </c>
      <c r="L476" t="n">
        <v>0</v>
      </c>
      <c r="M476" t="n">
        <v>0</v>
      </c>
      <c r="N476" t="n">
        <v>0</v>
      </c>
      <c r="O476" t="n">
        <v>0</v>
      </c>
      <c r="P476" t="n">
        <v>0</v>
      </c>
      <c r="Q476" t="n">
        <v>0</v>
      </c>
      <c r="R476" s="2" t="inlineStr"/>
    </row>
    <row r="477" ht="15" customHeight="1">
      <c r="A477" t="inlineStr">
        <is>
          <t>A 17076-2023</t>
        </is>
      </c>
      <c r="B477" s="1" t="n">
        <v>45034</v>
      </c>
      <c r="C477" s="1" t="n">
        <v>45765</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17072-2023</t>
        </is>
      </c>
      <c r="B478" s="1" t="n">
        <v>45034</v>
      </c>
      <c r="C478" s="1" t="n">
        <v>45765</v>
      </c>
      <c r="D478" t="inlineStr">
        <is>
          <t>DALARNAS LÄN</t>
        </is>
      </c>
      <c r="E478" t="inlineStr">
        <is>
          <t>LEKSAND</t>
        </is>
      </c>
      <c r="G478" t="n">
        <v>5.3</v>
      </c>
      <c r="H478" t="n">
        <v>0</v>
      </c>
      <c r="I478" t="n">
        <v>0</v>
      </c>
      <c r="J478" t="n">
        <v>0</v>
      </c>
      <c r="K478" t="n">
        <v>0</v>
      </c>
      <c r="L478" t="n">
        <v>0</v>
      </c>
      <c r="M478" t="n">
        <v>0</v>
      </c>
      <c r="N478" t="n">
        <v>0</v>
      </c>
      <c r="O478" t="n">
        <v>0</v>
      </c>
      <c r="P478" t="n">
        <v>0</v>
      </c>
      <c r="Q478" t="n">
        <v>0</v>
      </c>
      <c r="R478" s="2" t="inlineStr"/>
    </row>
    <row r="479" ht="15" customHeight="1">
      <c r="A479" t="inlineStr">
        <is>
          <t>A 17084-2023</t>
        </is>
      </c>
      <c r="B479" s="1" t="n">
        <v>45034</v>
      </c>
      <c r="C479" s="1" t="n">
        <v>45765</v>
      </c>
      <c r="D479" t="inlineStr">
        <is>
          <t>DALARNAS LÄN</t>
        </is>
      </c>
      <c r="E479" t="inlineStr">
        <is>
          <t>LEKSAND</t>
        </is>
      </c>
      <c r="G479" t="n">
        <v>3.1</v>
      </c>
      <c r="H479" t="n">
        <v>0</v>
      </c>
      <c r="I479" t="n">
        <v>0</v>
      </c>
      <c r="J479" t="n">
        <v>0</v>
      </c>
      <c r="K479" t="n">
        <v>0</v>
      </c>
      <c r="L479" t="n">
        <v>0</v>
      </c>
      <c r="M479" t="n">
        <v>0</v>
      </c>
      <c r="N479" t="n">
        <v>0</v>
      </c>
      <c r="O479" t="n">
        <v>0</v>
      </c>
      <c r="P479" t="n">
        <v>0</v>
      </c>
      <c r="Q479" t="n">
        <v>0</v>
      </c>
      <c r="R479" s="2" t="inlineStr"/>
    </row>
    <row r="480" ht="15" customHeight="1">
      <c r="A480" t="inlineStr">
        <is>
          <t>A 17089-2023</t>
        </is>
      </c>
      <c r="B480" s="1" t="n">
        <v>45034</v>
      </c>
      <c r="C480" s="1" t="n">
        <v>45765</v>
      </c>
      <c r="D480" t="inlineStr">
        <is>
          <t>DALARNAS LÄN</t>
        </is>
      </c>
      <c r="E480" t="inlineStr">
        <is>
          <t>LEKSAND</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17233-2023</t>
        </is>
      </c>
      <c r="B481" s="1" t="n">
        <v>45035</v>
      </c>
      <c r="C481" s="1" t="n">
        <v>45765</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17231-2023</t>
        </is>
      </c>
      <c r="B482" s="1" t="n">
        <v>45035</v>
      </c>
      <c r="C482" s="1" t="n">
        <v>45765</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17331-2023</t>
        </is>
      </c>
      <c r="B483" s="1" t="n">
        <v>45035</v>
      </c>
      <c r="C483" s="1" t="n">
        <v>45765</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17413-2023</t>
        </is>
      </c>
      <c r="B484" s="1" t="n">
        <v>45035</v>
      </c>
      <c r="C484" s="1" t="n">
        <v>45765</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17533-2023</t>
        </is>
      </c>
      <c r="B485" s="1" t="n">
        <v>45036</v>
      </c>
      <c r="C485" s="1" t="n">
        <v>45765</v>
      </c>
      <c r="D485" t="inlineStr">
        <is>
          <t>DALARNAS LÄN</t>
        </is>
      </c>
      <c r="E485" t="inlineStr">
        <is>
          <t>LEKSAND</t>
        </is>
      </c>
      <c r="G485" t="n">
        <v>3</v>
      </c>
      <c r="H485" t="n">
        <v>0</v>
      </c>
      <c r="I485" t="n">
        <v>0</v>
      </c>
      <c r="J485" t="n">
        <v>0</v>
      </c>
      <c r="K485" t="n">
        <v>0</v>
      </c>
      <c r="L485" t="n">
        <v>0</v>
      </c>
      <c r="M485" t="n">
        <v>0</v>
      </c>
      <c r="N485" t="n">
        <v>0</v>
      </c>
      <c r="O485" t="n">
        <v>0</v>
      </c>
      <c r="P485" t="n">
        <v>0</v>
      </c>
      <c r="Q485" t="n">
        <v>0</v>
      </c>
      <c r="R485" s="2" t="inlineStr"/>
    </row>
    <row r="486" ht="15" customHeight="1">
      <c r="A486" t="inlineStr">
        <is>
          <t>A 17759-2023</t>
        </is>
      </c>
      <c r="B486" s="1" t="n">
        <v>45037</v>
      </c>
      <c r="C486" s="1" t="n">
        <v>45765</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17947-2023</t>
        </is>
      </c>
      <c r="B487" s="1" t="n">
        <v>45040</v>
      </c>
      <c r="C487" s="1" t="n">
        <v>45765</v>
      </c>
      <c r="D487" t="inlineStr">
        <is>
          <t>DALARNAS LÄN</t>
        </is>
      </c>
      <c r="E487" t="inlineStr">
        <is>
          <t>LEKSAND</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18351-2023</t>
        </is>
      </c>
      <c r="B488" s="1" t="n">
        <v>45041</v>
      </c>
      <c r="C488" s="1" t="n">
        <v>45765</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18383-2023</t>
        </is>
      </c>
      <c r="B489" s="1" t="n">
        <v>45042</v>
      </c>
      <c r="C489" s="1" t="n">
        <v>45765</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18407-2023</t>
        </is>
      </c>
      <c r="B490" s="1" t="n">
        <v>45042</v>
      </c>
      <c r="C490" s="1" t="n">
        <v>45765</v>
      </c>
      <c r="D490" t="inlineStr">
        <is>
          <t>DALARNAS LÄN</t>
        </is>
      </c>
      <c r="E490" t="inlineStr">
        <is>
          <t>LEKSAND</t>
        </is>
      </c>
      <c r="G490" t="n">
        <v>4.2</v>
      </c>
      <c r="H490" t="n">
        <v>0</v>
      </c>
      <c r="I490" t="n">
        <v>0</v>
      </c>
      <c r="J490" t="n">
        <v>0</v>
      </c>
      <c r="K490" t="n">
        <v>0</v>
      </c>
      <c r="L490" t="n">
        <v>0</v>
      </c>
      <c r="M490" t="n">
        <v>0</v>
      </c>
      <c r="N490" t="n">
        <v>0</v>
      </c>
      <c r="O490" t="n">
        <v>0</v>
      </c>
      <c r="P490" t="n">
        <v>0</v>
      </c>
      <c r="Q490" t="n">
        <v>0</v>
      </c>
      <c r="R490" s="2" t="inlineStr"/>
    </row>
    <row r="491" ht="15" customHeight="1">
      <c r="A491" t="inlineStr">
        <is>
          <t>A 18677-2023</t>
        </is>
      </c>
      <c r="B491" s="1" t="n">
        <v>45043</v>
      </c>
      <c r="C491" s="1" t="n">
        <v>45765</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18632-2023</t>
        </is>
      </c>
      <c r="B492" s="1" t="n">
        <v>45043</v>
      </c>
      <c r="C492" s="1" t="n">
        <v>45765</v>
      </c>
      <c r="D492" t="inlineStr">
        <is>
          <t>DALARNAS LÄN</t>
        </is>
      </c>
      <c r="E492" t="inlineStr">
        <is>
          <t>LEKSAND</t>
        </is>
      </c>
      <c r="G492" t="n">
        <v>6.8</v>
      </c>
      <c r="H492" t="n">
        <v>0</v>
      </c>
      <c r="I492" t="n">
        <v>0</v>
      </c>
      <c r="J492" t="n">
        <v>0</v>
      </c>
      <c r="K492" t="n">
        <v>0</v>
      </c>
      <c r="L492" t="n">
        <v>0</v>
      </c>
      <c r="M492" t="n">
        <v>0</v>
      </c>
      <c r="N492" t="n">
        <v>0</v>
      </c>
      <c r="O492" t="n">
        <v>0</v>
      </c>
      <c r="P492" t="n">
        <v>0</v>
      </c>
      <c r="Q492" t="n">
        <v>0</v>
      </c>
      <c r="R492" s="2" t="inlineStr"/>
    </row>
    <row r="493" ht="15" customHeight="1">
      <c r="A493" t="inlineStr">
        <is>
          <t>A 18666-2023</t>
        </is>
      </c>
      <c r="B493" s="1" t="n">
        <v>45043</v>
      </c>
      <c r="C493" s="1" t="n">
        <v>45765</v>
      </c>
      <c r="D493" t="inlineStr">
        <is>
          <t>DALARNAS LÄN</t>
        </is>
      </c>
      <c r="E493" t="inlineStr">
        <is>
          <t>LEKSAND</t>
        </is>
      </c>
      <c r="G493" t="n">
        <v>3.3</v>
      </c>
      <c r="H493" t="n">
        <v>0</v>
      </c>
      <c r="I493" t="n">
        <v>0</v>
      </c>
      <c r="J493" t="n">
        <v>0</v>
      </c>
      <c r="K493" t="n">
        <v>0</v>
      </c>
      <c r="L493" t="n">
        <v>0</v>
      </c>
      <c r="M493" t="n">
        <v>0</v>
      </c>
      <c r="N493" t="n">
        <v>0</v>
      </c>
      <c r="O493" t="n">
        <v>0</v>
      </c>
      <c r="P493" t="n">
        <v>0</v>
      </c>
      <c r="Q493" t="n">
        <v>0</v>
      </c>
      <c r="R493" s="2" t="inlineStr"/>
    </row>
    <row r="494" ht="15" customHeight="1">
      <c r="A494" t="inlineStr">
        <is>
          <t>A 18909-2023</t>
        </is>
      </c>
      <c r="B494" s="1" t="n">
        <v>45044</v>
      </c>
      <c r="C494" s="1" t="n">
        <v>45765</v>
      </c>
      <c r="D494" t="inlineStr">
        <is>
          <t>DALARNAS LÄN</t>
        </is>
      </c>
      <c r="E494" t="inlineStr">
        <is>
          <t>LEKSAND</t>
        </is>
      </c>
      <c r="G494" t="n">
        <v>10.7</v>
      </c>
      <c r="H494" t="n">
        <v>0</v>
      </c>
      <c r="I494" t="n">
        <v>0</v>
      </c>
      <c r="J494" t="n">
        <v>0</v>
      </c>
      <c r="K494" t="n">
        <v>0</v>
      </c>
      <c r="L494" t="n">
        <v>0</v>
      </c>
      <c r="M494" t="n">
        <v>0</v>
      </c>
      <c r="N494" t="n">
        <v>0</v>
      </c>
      <c r="O494" t="n">
        <v>0</v>
      </c>
      <c r="P494" t="n">
        <v>0</v>
      </c>
      <c r="Q494" t="n">
        <v>0</v>
      </c>
      <c r="R494" s="2" t="inlineStr"/>
    </row>
    <row r="495" ht="15" customHeight="1">
      <c r="A495" t="inlineStr">
        <is>
          <t>A 18837-2023</t>
        </is>
      </c>
      <c r="B495" s="1" t="n">
        <v>45044</v>
      </c>
      <c r="C495" s="1" t="n">
        <v>45765</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19103-2023</t>
        </is>
      </c>
      <c r="B496" s="1" t="n">
        <v>45048</v>
      </c>
      <c r="C496" s="1" t="n">
        <v>45765</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19316-2023</t>
        </is>
      </c>
      <c r="B497" s="1" t="n">
        <v>45049</v>
      </c>
      <c r="C497" s="1" t="n">
        <v>45765</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19331-2023</t>
        </is>
      </c>
      <c r="B498" s="1" t="n">
        <v>45049</v>
      </c>
      <c r="C498" s="1" t="n">
        <v>45765</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19550-2023</t>
        </is>
      </c>
      <c r="B499" s="1" t="n">
        <v>45049</v>
      </c>
      <c r="C499" s="1" t="n">
        <v>45765</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19590-2023</t>
        </is>
      </c>
      <c r="B500" s="1" t="n">
        <v>45049</v>
      </c>
      <c r="C500" s="1" t="n">
        <v>45765</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19559-2023</t>
        </is>
      </c>
      <c r="B501" s="1" t="n">
        <v>45050</v>
      </c>
      <c r="C501" s="1" t="n">
        <v>45765</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19689-2023</t>
        </is>
      </c>
      <c r="B502" s="1" t="n">
        <v>45051</v>
      </c>
      <c r="C502" s="1" t="n">
        <v>45765</v>
      </c>
      <c r="D502" t="inlineStr">
        <is>
          <t>DALARNAS LÄN</t>
        </is>
      </c>
      <c r="E502" t="inlineStr">
        <is>
          <t>LEKSAND</t>
        </is>
      </c>
      <c r="G502" t="n">
        <v>15.9</v>
      </c>
      <c r="H502" t="n">
        <v>0</v>
      </c>
      <c r="I502" t="n">
        <v>0</v>
      </c>
      <c r="J502" t="n">
        <v>0</v>
      </c>
      <c r="K502" t="n">
        <v>0</v>
      </c>
      <c r="L502" t="n">
        <v>0</v>
      </c>
      <c r="M502" t="n">
        <v>0</v>
      </c>
      <c r="N502" t="n">
        <v>0</v>
      </c>
      <c r="O502" t="n">
        <v>0</v>
      </c>
      <c r="P502" t="n">
        <v>0</v>
      </c>
      <c r="Q502" t="n">
        <v>0</v>
      </c>
      <c r="R502" s="2" t="inlineStr"/>
    </row>
    <row r="503" ht="15" customHeight="1">
      <c r="A503" t="inlineStr">
        <is>
          <t>A 20150-2023</t>
        </is>
      </c>
      <c r="B503" s="1" t="n">
        <v>45051</v>
      </c>
      <c r="C503" s="1" t="n">
        <v>45765</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20514-2023</t>
        </is>
      </c>
      <c r="B504" s="1" t="n">
        <v>45054</v>
      </c>
      <c r="C504" s="1" t="n">
        <v>45765</v>
      </c>
      <c r="D504" t="inlineStr">
        <is>
          <t>DALARNAS LÄN</t>
        </is>
      </c>
      <c r="E504" t="inlineStr">
        <is>
          <t>LEKSAND</t>
        </is>
      </c>
      <c r="G504" t="n">
        <v>3.2</v>
      </c>
      <c r="H504" t="n">
        <v>0</v>
      </c>
      <c r="I504" t="n">
        <v>0</v>
      </c>
      <c r="J504" t="n">
        <v>0</v>
      </c>
      <c r="K504" t="n">
        <v>0</v>
      </c>
      <c r="L504" t="n">
        <v>0</v>
      </c>
      <c r="M504" t="n">
        <v>0</v>
      </c>
      <c r="N504" t="n">
        <v>0</v>
      </c>
      <c r="O504" t="n">
        <v>0</v>
      </c>
      <c r="P504" t="n">
        <v>0</v>
      </c>
      <c r="Q504" t="n">
        <v>0</v>
      </c>
      <c r="R504" s="2" t="inlineStr"/>
    </row>
    <row r="505" ht="15" customHeight="1">
      <c r="A505" t="inlineStr">
        <is>
          <t>A 20222-2023</t>
        </is>
      </c>
      <c r="B505" s="1" t="n">
        <v>45055</v>
      </c>
      <c r="C505" s="1" t="n">
        <v>45765</v>
      </c>
      <c r="D505" t="inlineStr">
        <is>
          <t>DALARNAS LÄN</t>
        </is>
      </c>
      <c r="E505" t="inlineStr">
        <is>
          <t>LEKSAND</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20114-2023</t>
        </is>
      </c>
      <c r="B506" s="1" t="n">
        <v>45055</v>
      </c>
      <c r="C506" s="1" t="n">
        <v>45765</v>
      </c>
      <c r="D506" t="inlineStr">
        <is>
          <t>DALARNAS LÄN</t>
        </is>
      </c>
      <c r="E506" t="inlineStr">
        <is>
          <t>LEKSAND</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20936-2023</t>
        </is>
      </c>
      <c r="B507" s="1" t="n">
        <v>45061</v>
      </c>
      <c r="C507" s="1" t="n">
        <v>45765</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45765</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21402-2023</t>
        </is>
      </c>
      <c r="B509" s="1" t="n">
        <v>45061</v>
      </c>
      <c r="C509" s="1" t="n">
        <v>45765</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21299-2023</t>
        </is>
      </c>
      <c r="B510" s="1" t="n">
        <v>45062</v>
      </c>
      <c r="C510" s="1" t="n">
        <v>45765</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21817-2023</t>
        </is>
      </c>
      <c r="B511" s="1" t="n">
        <v>45068</v>
      </c>
      <c r="C511" s="1" t="n">
        <v>45765</v>
      </c>
      <c r="D511" t="inlineStr">
        <is>
          <t>DALARNAS LÄN</t>
        </is>
      </c>
      <c r="E511" t="inlineStr">
        <is>
          <t>LEKSAND</t>
        </is>
      </c>
      <c r="G511" t="n">
        <v>3.5</v>
      </c>
      <c r="H511" t="n">
        <v>0</v>
      </c>
      <c r="I511" t="n">
        <v>0</v>
      </c>
      <c r="J511" t="n">
        <v>0</v>
      </c>
      <c r="K511" t="n">
        <v>0</v>
      </c>
      <c r="L511" t="n">
        <v>0</v>
      </c>
      <c r="M511" t="n">
        <v>0</v>
      </c>
      <c r="N511" t="n">
        <v>0</v>
      </c>
      <c r="O511" t="n">
        <v>0</v>
      </c>
      <c r="P511" t="n">
        <v>0</v>
      </c>
      <c r="Q511" t="n">
        <v>0</v>
      </c>
      <c r="R511" s="2" t="inlineStr"/>
    </row>
    <row r="512" ht="15" customHeight="1">
      <c r="A512" t="inlineStr">
        <is>
          <t>A 21910-2023</t>
        </is>
      </c>
      <c r="B512" s="1" t="n">
        <v>45068</v>
      </c>
      <c r="C512" s="1" t="n">
        <v>45765</v>
      </c>
      <c r="D512" t="inlineStr">
        <is>
          <t>DALARNAS LÄN</t>
        </is>
      </c>
      <c r="E512" t="inlineStr">
        <is>
          <t>LEKSAND</t>
        </is>
      </c>
      <c r="F512" t="inlineStr">
        <is>
          <t>Bergvik skog väst AB</t>
        </is>
      </c>
      <c r="G512" t="n">
        <v>9.4</v>
      </c>
      <c r="H512" t="n">
        <v>0</v>
      </c>
      <c r="I512" t="n">
        <v>0</v>
      </c>
      <c r="J512" t="n">
        <v>0</v>
      </c>
      <c r="K512" t="n">
        <v>0</v>
      </c>
      <c r="L512" t="n">
        <v>0</v>
      </c>
      <c r="M512" t="n">
        <v>0</v>
      </c>
      <c r="N512" t="n">
        <v>0</v>
      </c>
      <c r="O512" t="n">
        <v>0</v>
      </c>
      <c r="P512" t="n">
        <v>0</v>
      </c>
      <c r="Q512" t="n">
        <v>0</v>
      </c>
      <c r="R512" s="2" t="inlineStr"/>
    </row>
    <row r="513" ht="15" customHeight="1">
      <c r="A513" t="inlineStr">
        <is>
          <t>A 21849-2023</t>
        </is>
      </c>
      <c r="B513" s="1" t="n">
        <v>45068</v>
      </c>
      <c r="C513" s="1" t="n">
        <v>45765</v>
      </c>
      <c r="D513" t="inlineStr">
        <is>
          <t>DALARNAS LÄN</t>
        </is>
      </c>
      <c r="E513" t="inlineStr">
        <is>
          <t>LEKSAND</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21954-2023</t>
        </is>
      </c>
      <c r="B514" s="1" t="n">
        <v>45068</v>
      </c>
      <c r="C514" s="1" t="n">
        <v>45765</v>
      </c>
      <c r="D514" t="inlineStr">
        <is>
          <t>DALARNAS LÄN</t>
        </is>
      </c>
      <c r="E514" t="inlineStr">
        <is>
          <t>LEKSAND</t>
        </is>
      </c>
      <c r="G514" t="n">
        <v>0.8</v>
      </c>
      <c r="H514" t="n">
        <v>0</v>
      </c>
      <c r="I514" t="n">
        <v>0</v>
      </c>
      <c r="J514" t="n">
        <v>0</v>
      </c>
      <c r="K514" t="n">
        <v>0</v>
      </c>
      <c r="L514" t="n">
        <v>0</v>
      </c>
      <c r="M514" t="n">
        <v>0</v>
      </c>
      <c r="N514" t="n">
        <v>0</v>
      </c>
      <c r="O514" t="n">
        <v>0</v>
      </c>
      <c r="P514" t="n">
        <v>0</v>
      </c>
      <c r="Q514" t="n">
        <v>0</v>
      </c>
      <c r="R514" s="2" t="inlineStr"/>
    </row>
    <row r="515" ht="15" customHeight="1">
      <c r="A515" t="inlineStr">
        <is>
          <t>A 22196-2023</t>
        </is>
      </c>
      <c r="B515" s="1" t="n">
        <v>45069</v>
      </c>
      <c r="C515" s="1" t="n">
        <v>45765</v>
      </c>
      <c r="D515" t="inlineStr">
        <is>
          <t>DALARNAS LÄN</t>
        </is>
      </c>
      <c r="E515" t="inlineStr">
        <is>
          <t>LEKSAND</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22197-2023</t>
        </is>
      </c>
      <c r="B516" s="1" t="n">
        <v>45069</v>
      </c>
      <c r="C516" s="1" t="n">
        <v>45765</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22570-2023</t>
        </is>
      </c>
      <c r="B517" s="1" t="n">
        <v>45071</v>
      </c>
      <c r="C517" s="1" t="n">
        <v>45765</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22684-2023</t>
        </is>
      </c>
      <c r="B518" s="1" t="n">
        <v>45071</v>
      </c>
      <c r="C518" s="1" t="n">
        <v>45765</v>
      </c>
      <c r="D518" t="inlineStr">
        <is>
          <t>DALARNAS LÄN</t>
        </is>
      </c>
      <c r="E518" t="inlineStr">
        <is>
          <t>LEKSAND</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23226-2023</t>
        </is>
      </c>
      <c r="B519" s="1" t="n">
        <v>45075</v>
      </c>
      <c r="C519" s="1" t="n">
        <v>45765</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23323-2023</t>
        </is>
      </c>
      <c r="B520" s="1" t="n">
        <v>45076</v>
      </c>
      <c r="C520" s="1" t="n">
        <v>45765</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23348-2023</t>
        </is>
      </c>
      <c r="B521" s="1" t="n">
        <v>45076</v>
      </c>
      <c r="C521" s="1" t="n">
        <v>45765</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23509-2023</t>
        </is>
      </c>
      <c r="B522" s="1" t="n">
        <v>45076</v>
      </c>
      <c r="C522" s="1" t="n">
        <v>45765</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23882-2023</t>
        </is>
      </c>
      <c r="B523" s="1" t="n">
        <v>45078</v>
      </c>
      <c r="C523" s="1" t="n">
        <v>45765</v>
      </c>
      <c r="D523" t="inlineStr">
        <is>
          <t>DALARNAS LÄN</t>
        </is>
      </c>
      <c r="E523" t="inlineStr">
        <is>
          <t>LEKSAND</t>
        </is>
      </c>
      <c r="F523" t="inlineStr">
        <is>
          <t>Bergvik skog väst AB</t>
        </is>
      </c>
      <c r="G523" t="n">
        <v>2.6</v>
      </c>
      <c r="H523" t="n">
        <v>0</v>
      </c>
      <c r="I523" t="n">
        <v>0</v>
      </c>
      <c r="J523" t="n">
        <v>0</v>
      </c>
      <c r="K523" t="n">
        <v>0</v>
      </c>
      <c r="L523" t="n">
        <v>0</v>
      </c>
      <c r="M523" t="n">
        <v>0</v>
      </c>
      <c r="N523" t="n">
        <v>0</v>
      </c>
      <c r="O523" t="n">
        <v>0</v>
      </c>
      <c r="P523" t="n">
        <v>0</v>
      </c>
      <c r="Q523" t="n">
        <v>0</v>
      </c>
      <c r="R523" s="2" t="inlineStr"/>
    </row>
    <row r="524" ht="15" customHeight="1">
      <c r="A524" t="inlineStr">
        <is>
          <t>A 23910-2023</t>
        </is>
      </c>
      <c r="B524" s="1" t="n">
        <v>45078</v>
      </c>
      <c r="C524" s="1" t="n">
        <v>45765</v>
      </c>
      <c r="D524" t="inlineStr">
        <is>
          <t>DALARNAS LÄN</t>
        </is>
      </c>
      <c r="E524" t="inlineStr">
        <is>
          <t>LEKSAND</t>
        </is>
      </c>
      <c r="G524" t="n">
        <v>3.8</v>
      </c>
      <c r="H524" t="n">
        <v>0</v>
      </c>
      <c r="I524" t="n">
        <v>0</v>
      </c>
      <c r="J524" t="n">
        <v>0</v>
      </c>
      <c r="K524" t="n">
        <v>0</v>
      </c>
      <c r="L524" t="n">
        <v>0</v>
      </c>
      <c r="M524" t="n">
        <v>0</v>
      </c>
      <c r="N524" t="n">
        <v>0</v>
      </c>
      <c r="O524" t="n">
        <v>0</v>
      </c>
      <c r="P524" t="n">
        <v>0</v>
      </c>
      <c r="Q524" t="n">
        <v>0</v>
      </c>
      <c r="R524" s="2" t="inlineStr"/>
    </row>
    <row r="525" ht="15" customHeight="1">
      <c r="A525" t="inlineStr">
        <is>
          <t>A 24728-2023</t>
        </is>
      </c>
      <c r="B525" s="1" t="n">
        <v>45084</v>
      </c>
      <c r="C525" s="1" t="n">
        <v>45765</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24823-2023</t>
        </is>
      </c>
      <c r="B526" s="1" t="n">
        <v>45084</v>
      </c>
      <c r="C526" s="1" t="n">
        <v>45765</v>
      </c>
      <c r="D526" t="inlineStr">
        <is>
          <t>DALARNAS LÄN</t>
        </is>
      </c>
      <c r="E526" t="inlineStr">
        <is>
          <t>LEKSAND</t>
        </is>
      </c>
      <c r="G526" t="n">
        <v>2.9</v>
      </c>
      <c r="H526" t="n">
        <v>0</v>
      </c>
      <c r="I526" t="n">
        <v>0</v>
      </c>
      <c r="J526" t="n">
        <v>0</v>
      </c>
      <c r="K526" t="n">
        <v>0</v>
      </c>
      <c r="L526" t="n">
        <v>0</v>
      </c>
      <c r="M526" t="n">
        <v>0</v>
      </c>
      <c r="N526" t="n">
        <v>0</v>
      </c>
      <c r="O526" t="n">
        <v>0</v>
      </c>
      <c r="P526" t="n">
        <v>0</v>
      </c>
      <c r="Q526" t="n">
        <v>0</v>
      </c>
      <c r="R526" s="2" t="inlineStr"/>
    </row>
    <row r="527" ht="15" customHeight="1">
      <c r="A527" t="inlineStr">
        <is>
          <t>A 24814-2023</t>
        </is>
      </c>
      <c r="B527" s="1" t="n">
        <v>45084</v>
      </c>
      <c r="C527" s="1" t="n">
        <v>45765</v>
      </c>
      <c r="D527" t="inlineStr">
        <is>
          <t>DALARNAS LÄN</t>
        </is>
      </c>
      <c r="E527" t="inlineStr">
        <is>
          <t>LEKSAND</t>
        </is>
      </c>
      <c r="G527" t="n">
        <v>5.6</v>
      </c>
      <c r="H527" t="n">
        <v>0</v>
      </c>
      <c r="I527" t="n">
        <v>0</v>
      </c>
      <c r="J527" t="n">
        <v>0</v>
      </c>
      <c r="K527" t="n">
        <v>0</v>
      </c>
      <c r="L527" t="n">
        <v>0</v>
      </c>
      <c r="M527" t="n">
        <v>0</v>
      </c>
      <c r="N527" t="n">
        <v>0</v>
      </c>
      <c r="O527" t="n">
        <v>0</v>
      </c>
      <c r="P527" t="n">
        <v>0</v>
      </c>
      <c r="Q527" t="n">
        <v>0</v>
      </c>
      <c r="R527" s="2" t="inlineStr"/>
    </row>
    <row r="528" ht="15" customHeight="1">
      <c r="A528" t="inlineStr">
        <is>
          <t>A 25025-2023</t>
        </is>
      </c>
      <c r="B528" s="1" t="n">
        <v>45086</v>
      </c>
      <c r="C528" s="1" t="n">
        <v>45765</v>
      </c>
      <c r="D528" t="inlineStr">
        <is>
          <t>DALARNAS LÄN</t>
        </is>
      </c>
      <c r="E528" t="inlineStr">
        <is>
          <t>LEKSAND</t>
        </is>
      </c>
      <c r="G528" t="n">
        <v>3</v>
      </c>
      <c r="H528" t="n">
        <v>0</v>
      </c>
      <c r="I528" t="n">
        <v>0</v>
      </c>
      <c r="J528" t="n">
        <v>0</v>
      </c>
      <c r="K528" t="n">
        <v>0</v>
      </c>
      <c r="L528" t="n">
        <v>0</v>
      </c>
      <c r="M528" t="n">
        <v>0</v>
      </c>
      <c r="N528" t="n">
        <v>0</v>
      </c>
      <c r="O528" t="n">
        <v>0</v>
      </c>
      <c r="P528" t="n">
        <v>0</v>
      </c>
      <c r="Q528" t="n">
        <v>0</v>
      </c>
      <c r="R528" s="2" t="inlineStr"/>
    </row>
    <row r="529" ht="15" customHeight="1">
      <c r="A529" t="inlineStr">
        <is>
          <t>A 25067-2023</t>
        </is>
      </c>
      <c r="B529" s="1" t="n">
        <v>45086</v>
      </c>
      <c r="C529" s="1" t="n">
        <v>45765</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25038-2023</t>
        </is>
      </c>
      <c r="B530" s="1" t="n">
        <v>45085</v>
      </c>
      <c r="C530" s="1" t="n">
        <v>45765</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25627-2023</t>
        </is>
      </c>
      <c r="B531" s="1" t="n">
        <v>45089</v>
      </c>
      <c r="C531" s="1" t="n">
        <v>45765</v>
      </c>
      <c r="D531" t="inlineStr">
        <is>
          <t>DALARNAS LÄN</t>
        </is>
      </c>
      <c r="E531" t="inlineStr">
        <is>
          <t>LEKSAND</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25637-2023</t>
        </is>
      </c>
      <c r="B532" s="1" t="n">
        <v>45089</v>
      </c>
      <c r="C532" s="1" t="n">
        <v>45765</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25652-2023</t>
        </is>
      </c>
      <c r="B533" s="1" t="n">
        <v>45089</v>
      </c>
      <c r="C533" s="1" t="n">
        <v>45765</v>
      </c>
      <c r="D533" t="inlineStr">
        <is>
          <t>DALARNAS LÄN</t>
        </is>
      </c>
      <c r="E533" t="inlineStr">
        <is>
          <t>LEKSAND</t>
        </is>
      </c>
      <c r="F533" t="inlineStr">
        <is>
          <t>Bergvik skog väst AB</t>
        </is>
      </c>
      <c r="G533" t="n">
        <v>3.3</v>
      </c>
      <c r="H533" t="n">
        <v>0</v>
      </c>
      <c r="I533" t="n">
        <v>0</v>
      </c>
      <c r="J533" t="n">
        <v>0</v>
      </c>
      <c r="K533" t="n">
        <v>0</v>
      </c>
      <c r="L533" t="n">
        <v>0</v>
      </c>
      <c r="M533" t="n">
        <v>0</v>
      </c>
      <c r="N533" t="n">
        <v>0</v>
      </c>
      <c r="O533" t="n">
        <v>0</v>
      </c>
      <c r="P533" t="n">
        <v>0</v>
      </c>
      <c r="Q533" t="n">
        <v>0</v>
      </c>
      <c r="R533" s="2" t="inlineStr"/>
    </row>
    <row r="534" ht="15" customHeight="1">
      <c r="A534" t="inlineStr">
        <is>
          <t>A 25715-2023</t>
        </is>
      </c>
      <c r="B534" s="1" t="n">
        <v>45090</v>
      </c>
      <c r="C534" s="1" t="n">
        <v>45765</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25907-2023</t>
        </is>
      </c>
      <c r="B535" s="1" t="n">
        <v>45090</v>
      </c>
      <c r="C535" s="1" t="n">
        <v>45765</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26742-2023</t>
        </is>
      </c>
      <c r="B536" s="1" t="n">
        <v>45090</v>
      </c>
      <c r="C536" s="1" t="n">
        <v>45765</v>
      </c>
      <c r="D536" t="inlineStr">
        <is>
          <t>DALARNAS LÄN</t>
        </is>
      </c>
      <c r="E536" t="inlineStr">
        <is>
          <t>LEKSAND</t>
        </is>
      </c>
      <c r="G536" t="n">
        <v>1.8</v>
      </c>
      <c r="H536" t="n">
        <v>0</v>
      </c>
      <c r="I536" t="n">
        <v>0</v>
      </c>
      <c r="J536" t="n">
        <v>0</v>
      </c>
      <c r="K536" t="n">
        <v>0</v>
      </c>
      <c r="L536" t="n">
        <v>0</v>
      </c>
      <c r="M536" t="n">
        <v>0</v>
      </c>
      <c r="N536" t="n">
        <v>0</v>
      </c>
      <c r="O536" t="n">
        <v>0</v>
      </c>
      <c r="P536" t="n">
        <v>0</v>
      </c>
      <c r="Q536" t="n">
        <v>0</v>
      </c>
      <c r="R536" s="2" t="inlineStr"/>
    </row>
    <row r="537" ht="15" customHeight="1">
      <c r="A537" t="inlineStr">
        <is>
          <t>A 26038-2023</t>
        </is>
      </c>
      <c r="B537" s="1" t="n">
        <v>45091</v>
      </c>
      <c r="C537" s="1" t="n">
        <v>45765</v>
      </c>
      <c r="D537" t="inlineStr">
        <is>
          <t>DALARNAS LÄN</t>
        </is>
      </c>
      <c r="E537" t="inlineStr">
        <is>
          <t>LEKSAND</t>
        </is>
      </c>
      <c r="G537" t="n">
        <v>6.8</v>
      </c>
      <c r="H537" t="n">
        <v>0</v>
      </c>
      <c r="I537" t="n">
        <v>0</v>
      </c>
      <c r="J537" t="n">
        <v>0</v>
      </c>
      <c r="K537" t="n">
        <v>0</v>
      </c>
      <c r="L537" t="n">
        <v>0</v>
      </c>
      <c r="M537" t="n">
        <v>0</v>
      </c>
      <c r="N537" t="n">
        <v>0</v>
      </c>
      <c r="O537" t="n">
        <v>0</v>
      </c>
      <c r="P537" t="n">
        <v>0</v>
      </c>
      <c r="Q537" t="n">
        <v>0</v>
      </c>
      <c r="R537" s="2" t="inlineStr"/>
    </row>
    <row r="538" ht="15" customHeight="1">
      <c r="A538" t="inlineStr">
        <is>
          <t>A 26044-2023</t>
        </is>
      </c>
      <c r="B538" s="1" t="n">
        <v>45091</v>
      </c>
      <c r="C538" s="1" t="n">
        <v>45765</v>
      </c>
      <c r="D538" t="inlineStr">
        <is>
          <t>DALARNAS LÄN</t>
        </is>
      </c>
      <c r="E538" t="inlineStr">
        <is>
          <t>LEKSAND</t>
        </is>
      </c>
      <c r="G538" t="n">
        <v>5.3</v>
      </c>
      <c r="H538" t="n">
        <v>0</v>
      </c>
      <c r="I538" t="n">
        <v>0</v>
      </c>
      <c r="J538" t="n">
        <v>0</v>
      </c>
      <c r="K538" t="n">
        <v>0</v>
      </c>
      <c r="L538" t="n">
        <v>0</v>
      </c>
      <c r="M538" t="n">
        <v>0</v>
      </c>
      <c r="N538" t="n">
        <v>0</v>
      </c>
      <c r="O538" t="n">
        <v>0</v>
      </c>
      <c r="P538" t="n">
        <v>0</v>
      </c>
      <c r="Q538" t="n">
        <v>0</v>
      </c>
      <c r="R538" s="2" t="inlineStr"/>
    </row>
    <row r="539" ht="15" customHeight="1">
      <c r="A539" t="inlineStr">
        <is>
          <t>A 26107-2023</t>
        </is>
      </c>
      <c r="B539" s="1" t="n">
        <v>45091</v>
      </c>
      <c r="C539" s="1" t="n">
        <v>45765</v>
      </c>
      <c r="D539" t="inlineStr">
        <is>
          <t>DALARNAS LÄN</t>
        </is>
      </c>
      <c r="E539" t="inlineStr">
        <is>
          <t>LEKSAND</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26847-2023</t>
        </is>
      </c>
      <c r="B540" s="1" t="n">
        <v>45093</v>
      </c>
      <c r="C540" s="1" t="n">
        <v>45765</v>
      </c>
      <c r="D540" t="inlineStr">
        <is>
          <t>DALARNAS LÄN</t>
        </is>
      </c>
      <c r="E540" t="inlineStr">
        <is>
          <t>LEKSAND</t>
        </is>
      </c>
      <c r="G540" t="n">
        <v>3.9</v>
      </c>
      <c r="H540" t="n">
        <v>0</v>
      </c>
      <c r="I540" t="n">
        <v>0</v>
      </c>
      <c r="J540" t="n">
        <v>0</v>
      </c>
      <c r="K540" t="n">
        <v>0</v>
      </c>
      <c r="L540" t="n">
        <v>0</v>
      </c>
      <c r="M540" t="n">
        <v>0</v>
      </c>
      <c r="N540" t="n">
        <v>0</v>
      </c>
      <c r="O540" t="n">
        <v>0</v>
      </c>
      <c r="P540" t="n">
        <v>0</v>
      </c>
      <c r="Q540" t="n">
        <v>0</v>
      </c>
      <c r="R540" s="2" t="inlineStr"/>
    </row>
    <row r="541" ht="15" customHeight="1">
      <c r="A541" t="inlineStr">
        <is>
          <t>A 26957-2023</t>
        </is>
      </c>
      <c r="B541" s="1" t="n">
        <v>45093</v>
      </c>
      <c r="C541" s="1" t="n">
        <v>45765</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26924-2023</t>
        </is>
      </c>
      <c r="B542" s="1" t="n">
        <v>45093</v>
      </c>
      <c r="C542" s="1" t="n">
        <v>45765</v>
      </c>
      <c r="D542" t="inlineStr">
        <is>
          <t>DALARNAS LÄN</t>
        </is>
      </c>
      <c r="E542" t="inlineStr">
        <is>
          <t>LEKSAND</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26959-2023</t>
        </is>
      </c>
      <c r="B543" s="1" t="n">
        <v>45093</v>
      </c>
      <c r="C543" s="1" t="n">
        <v>45765</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26931-2023</t>
        </is>
      </c>
      <c r="B544" s="1" t="n">
        <v>45093</v>
      </c>
      <c r="C544" s="1" t="n">
        <v>45765</v>
      </c>
      <c r="D544" t="inlineStr">
        <is>
          <t>DALARNAS LÄN</t>
        </is>
      </c>
      <c r="E544" t="inlineStr">
        <is>
          <t>LEKSAND</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26946-2023</t>
        </is>
      </c>
      <c r="B545" s="1" t="n">
        <v>45093</v>
      </c>
      <c r="C545" s="1" t="n">
        <v>45765</v>
      </c>
      <c r="D545" t="inlineStr">
        <is>
          <t>DALARNAS LÄN</t>
        </is>
      </c>
      <c r="E545" t="inlineStr">
        <is>
          <t>LEKSAND</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27047-2023</t>
        </is>
      </c>
      <c r="B546" s="1" t="n">
        <v>45095</v>
      </c>
      <c r="C546" s="1" t="n">
        <v>45765</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27055-2023</t>
        </is>
      </c>
      <c r="B547" s="1" t="n">
        <v>45095</v>
      </c>
      <c r="C547" s="1" t="n">
        <v>45765</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c r="U547">
        <f>HYPERLINK("https://klasma.github.io/Logging_2029/knärot/A 27055-2023 karta knärot.png", "A 27055-2023")</f>
        <v/>
      </c>
      <c r="V547">
        <f>HYPERLINK("https://klasma.github.io/Logging_2029/klagomål/A 27055-2023 FSC-klagomål.docx", "A 27055-2023")</f>
        <v/>
      </c>
      <c r="W547">
        <f>HYPERLINK("https://klasma.github.io/Logging_2029/klagomålsmail/A 27055-2023 FSC-klagomål mail.docx", "A 27055-2023")</f>
        <v/>
      </c>
      <c r="X547">
        <f>HYPERLINK("https://klasma.github.io/Logging_2029/tillsyn/A 27055-2023 tillsynsbegäran.docx", "A 27055-2023")</f>
        <v/>
      </c>
      <c r="Y547">
        <f>HYPERLINK("https://klasma.github.io/Logging_2029/tillsynsmail/A 27055-2023 tillsynsbegäran mail.docx", "A 27055-2023")</f>
        <v/>
      </c>
    </row>
    <row r="548" ht="15" customHeight="1">
      <c r="A548" t="inlineStr">
        <is>
          <t>A 27048-2023</t>
        </is>
      </c>
      <c r="B548" s="1" t="n">
        <v>45095</v>
      </c>
      <c r="C548" s="1" t="n">
        <v>45765</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27046-2023</t>
        </is>
      </c>
      <c r="B549" s="1" t="n">
        <v>45095</v>
      </c>
      <c r="C549" s="1" t="n">
        <v>45765</v>
      </c>
      <c r="D549" t="inlineStr">
        <is>
          <t>DALARNAS LÄN</t>
        </is>
      </c>
      <c r="E549" t="inlineStr">
        <is>
          <t>LEKSAND</t>
        </is>
      </c>
      <c r="G549" t="n">
        <v>4</v>
      </c>
      <c r="H549" t="n">
        <v>0</v>
      </c>
      <c r="I549" t="n">
        <v>0</v>
      </c>
      <c r="J549" t="n">
        <v>0</v>
      </c>
      <c r="K549" t="n">
        <v>0</v>
      </c>
      <c r="L549" t="n">
        <v>0</v>
      </c>
      <c r="M549" t="n">
        <v>0</v>
      </c>
      <c r="N549" t="n">
        <v>0</v>
      </c>
      <c r="O549" t="n">
        <v>0</v>
      </c>
      <c r="P549" t="n">
        <v>0</v>
      </c>
      <c r="Q549" t="n">
        <v>0</v>
      </c>
      <c r="R549" s="2" t="inlineStr"/>
    </row>
    <row r="550" ht="15" customHeight="1">
      <c r="A550" t="inlineStr">
        <is>
          <t>A 27054-2023</t>
        </is>
      </c>
      <c r="B550" s="1" t="n">
        <v>45095</v>
      </c>
      <c r="C550" s="1" t="n">
        <v>45765</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27244-2023</t>
        </is>
      </c>
      <c r="B551" s="1" t="n">
        <v>45096</v>
      </c>
      <c r="C551" s="1" t="n">
        <v>45765</v>
      </c>
      <c r="D551" t="inlineStr">
        <is>
          <t>DALARNAS LÄN</t>
        </is>
      </c>
      <c r="E551" t="inlineStr">
        <is>
          <t>LEKSAND</t>
        </is>
      </c>
      <c r="G551" t="n">
        <v>5</v>
      </c>
      <c r="H551" t="n">
        <v>0</v>
      </c>
      <c r="I551" t="n">
        <v>0</v>
      </c>
      <c r="J551" t="n">
        <v>0</v>
      </c>
      <c r="K551" t="n">
        <v>0</v>
      </c>
      <c r="L551" t="n">
        <v>0</v>
      </c>
      <c r="M551" t="n">
        <v>0</v>
      </c>
      <c r="N551" t="n">
        <v>0</v>
      </c>
      <c r="O551" t="n">
        <v>0</v>
      </c>
      <c r="P551" t="n">
        <v>0</v>
      </c>
      <c r="Q551" t="n">
        <v>0</v>
      </c>
      <c r="R551" s="2" t="inlineStr"/>
    </row>
    <row r="552" ht="15" customHeight="1">
      <c r="A552" t="inlineStr">
        <is>
          <t>A 27348-2023</t>
        </is>
      </c>
      <c r="B552" s="1" t="n">
        <v>45096</v>
      </c>
      <c r="C552" s="1" t="n">
        <v>45765</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27511-2023</t>
        </is>
      </c>
      <c r="B553" s="1" t="n">
        <v>45097</v>
      </c>
      <c r="C553" s="1" t="n">
        <v>45765</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27520-2023</t>
        </is>
      </c>
      <c r="B554" s="1" t="n">
        <v>45097</v>
      </c>
      <c r="C554" s="1" t="n">
        <v>45765</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27543-2023</t>
        </is>
      </c>
      <c r="B555" s="1" t="n">
        <v>45097</v>
      </c>
      <c r="C555" s="1" t="n">
        <v>45765</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27791-2023</t>
        </is>
      </c>
      <c r="B556" s="1" t="n">
        <v>45098</v>
      </c>
      <c r="C556" s="1" t="n">
        <v>45765</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28103-2023</t>
        </is>
      </c>
      <c r="B557" s="1" t="n">
        <v>45099</v>
      </c>
      <c r="C557" s="1" t="n">
        <v>45765</v>
      </c>
      <c r="D557" t="inlineStr">
        <is>
          <t>DALARNAS LÄN</t>
        </is>
      </c>
      <c r="E557" t="inlineStr">
        <is>
          <t>LEKSAND</t>
        </is>
      </c>
      <c r="F557" t="inlineStr">
        <is>
          <t>Bergvik skog väst AB</t>
        </is>
      </c>
      <c r="G557" t="n">
        <v>15.3</v>
      </c>
      <c r="H557" t="n">
        <v>0</v>
      </c>
      <c r="I557" t="n">
        <v>0</v>
      </c>
      <c r="J557" t="n">
        <v>0</v>
      </c>
      <c r="K557" t="n">
        <v>0</v>
      </c>
      <c r="L557" t="n">
        <v>0</v>
      </c>
      <c r="M557" t="n">
        <v>0</v>
      </c>
      <c r="N557" t="n">
        <v>0</v>
      </c>
      <c r="O557" t="n">
        <v>0</v>
      </c>
      <c r="P557" t="n">
        <v>0</v>
      </c>
      <c r="Q557" t="n">
        <v>0</v>
      </c>
      <c r="R557" s="2" t="inlineStr"/>
    </row>
    <row r="558" ht="15" customHeight="1">
      <c r="A558" t="inlineStr">
        <is>
          <t>A 28108-2023</t>
        </is>
      </c>
      <c r="B558" s="1" t="n">
        <v>45099</v>
      </c>
      <c r="C558" s="1" t="n">
        <v>45765</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28578-2023</t>
        </is>
      </c>
      <c r="B559" s="1" t="n">
        <v>45103</v>
      </c>
      <c r="C559" s="1" t="n">
        <v>45765</v>
      </c>
      <c r="D559" t="inlineStr">
        <is>
          <t>DALARNAS LÄN</t>
        </is>
      </c>
      <c r="E559" t="inlineStr">
        <is>
          <t>LEKSAND</t>
        </is>
      </c>
      <c r="G559" t="n">
        <v>4.4</v>
      </c>
      <c r="H559" t="n">
        <v>0</v>
      </c>
      <c r="I559" t="n">
        <v>0</v>
      </c>
      <c r="J559" t="n">
        <v>0</v>
      </c>
      <c r="K559" t="n">
        <v>0</v>
      </c>
      <c r="L559" t="n">
        <v>0</v>
      </c>
      <c r="M559" t="n">
        <v>0</v>
      </c>
      <c r="N559" t="n">
        <v>0</v>
      </c>
      <c r="O559" t="n">
        <v>0</v>
      </c>
      <c r="P559" t="n">
        <v>0</v>
      </c>
      <c r="Q559" t="n">
        <v>0</v>
      </c>
      <c r="R559" s="2" t="inlineStr"/>
    </row>
    <row r="560" ht="15" customHeight="1">
      <c r="A560" t="inlineStr">
        <is>
          <t>A 28592-2023</t>
        </is>
      </c>
      <c r="B560" s="1" t="n">
        <v>45103</v>
      </c>
      <c r="C560" s="1" t="n">
        <v>45765</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28633-2023</t>
        </is>
      </c>
      <c r="B561" s="1" t="n">
        <v>45103</v>
      </c>
      <c r="C561" s="1" t="n">
        <v>45765</v>
      </c>
      <c r="D561" t="inlineStr">
        <is>
          <t>DALARNAS LÄN</t>
        </is>
      </c>
      <c r="E561" t="inlineStr">
        <is>
          <t>LEKSAND</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28630-2023</t>
        </is>
      </c>
      <c r="B562" s="1" t="n">
        <v>45103</v>
      </c>
      <c r="C562" s="1" t="n">
        <v>45765</v>
      </c>
      <c r="D562" t="inlineStr">
        <is>
          <t>DALARNAS LÄN</t>
        </is>
      </c>
      <c r="E562" t="inlineStr">
        <is>
          <t>LEKSAND</t>
        </is>
      </c>
      <c r="F562" t="inlineStr">
        <is>
          <t>Bergvik skog väst AB</t>
        </is>
      </c>
      <c r="G562" t="n">
        <v>0.3</v>
      </c>
      <c r="H562" t="n">
        <v>0</v>
      </c>
      <c r="I562" t="n">
        <v>0</v>
      </c>
      <c r="J562" t="n">
        <v>0</v>
      </c>
      <c r="K562" t="n">
        <v>0</v>
      </c>
      <c r="L562" t="n">
        <v>0</v>
      </c>
      <c r="M562" t="n">
        <v>0</v>
      </c>
      <c r="N562" t="n">
        <v>0</v>
      </c>
      <c r="O562" t="n">
        <v>0</v>
      </c>
      <c r="P562" t="n">
        <v>0</v>
      </c>
      <c r="Q562" t="n">
        <v>0</v>
      </c>
      <c r="R562" s="2" t="inlineStr"/>
    </row>
    <row r="563" ht="15" customHeight="1">
      <c r="A563" t="inlineStr">
        <is>
          <t>A 28946-2023</t>
        </is>
      </c>
      <c r="B563" s="1" t="n">
        <v>45104</v>
      </c>
      <c r="C563" s="1" t="n">
        <v>45765</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28935-2023</t>
        </is>
      </c>
      <c r="B564" s="1" t="n">
        <v>45104</v>
      </c>
      <c r="C564" s="1" t="n">
        <v>45765</v>
      </c>
      <c r="D564" t="inlineStr">
        <is>
          <t>DALARNAS LÄN</t>
        </is>
      </c>
      <c r="E564" t="inlineStr">
        <is>
          <t>LEKSAND</t>
        </is>
      </c>
      <c r="G564" t="n">
        <v>2.6</v>
      </c>
      <c r="H564" t="n">
        <v>0</v>
      </c>
      <c r="I564" t="n">
        <v>0</v>
      </c>
      <c r="J564" t="n">
        <v>0</v>
      </c>
      <c r="K564" t="n">
        <v>0</v>
      </c>
      <c r="L564" t="n">
        <v>0</v>
      </c>
      <c r="M564" t="n">
        <v>0</v>
      </c>
      <c r="N564" t="n">
        <v>0</v>
      </c>
      <c r="O564" t="n">
        <v>0</v>
      </c>
      <c r="P564" t="n">
        <v>0</v>
      </c>
      <c r="Q564" t="n">
        <v>0</v>
      </c>
      <c r="R564" s="2" t="inlineStr"/>
    </row>
    <row r="565" ht="15" customHeight="1">
      <c r="A565" t="inlineStr">
        <is>
          <t>A 28965-2023</t>
        </is>
      </c>
      <c r="B565" s="1" t="n">
        <v>45104</v>
      </c>
      <c r="C565" s="1" t="n">
        <v>45765</v>
      </c>
      <c r="D565" t="inlineStr">
        <is>
          <t>DALARNAS LÄN</t>
        </is>
      </c>
      <c r="E565" t="inlineStr">
        <is>
          <t>LEKSAND</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31401-2023</t>
        </is>
      </c>
      <c r="B566" s="1" t="n">
        <v>45104</v>
      </c>
      <c r="C566" s="1" t="n">
        <v>45765</v>
      </c>
      <c r="D566" t="inlineStr">
        <is>
          <t>DALARNAS LÄN</t>
        </is>
      </c>
      <c r="E566" t="inlineStr">
        <is>
          <t>LEKSAND</t>
        </is>
      </c>
      <c r="G566" t="n">
        <v>4.9</v>
      </c>
      <c r="H566" t="n">
        <v>0</v>
      </c>
      <c r="I566" t="n">
        <v>0</v>
      </c>
      <c r="J566" t="n">
        <v>0</v>
      </c>
      <c r="K566" t="n">
        <v>0</v>
      </c>
      <c r="L566" t="n">
        <v>0</v>
      </c>
      <c r="M566" t="n">
        <v>0</v>
      </c>
      <c r="N566" t="n">
        <v>0</v>
      </c>
      <c r="O566" t="n">
        <v>0</v>
      </c>
      <c r="P566" t="n">
        <v>0</v>
      </c>
      <c r="Q566" t="n">
        <v>0</v>
      </c>
      <c r="R566" s="2" t="inlineStr"/>
    </row>
    <row r="567" ht="15" customHeight="1">
      <c r="A567" t="inlineStr">
        <is>
          <t>A 28921-2023</t>
        </is>
      </c>
      <c r="B567" s="1" t="n">
        <v>45104</v>
      </c>
      <c r="C567" s="1" t="n">
        <v>45765</v>
      </c>
      <c r="D567" t="inlineStr">
        <is>
          <t>DALARNAS LÄN</t>
        </is>
      </c>
      <c r="E567" t="inlineStr">
        <is>
          <t>LEKSAND</t>
        </is>
      </c>
      <c r="G567" t="n">
        <v>4.4</v>
      </c>
      <c r="H567" t="n">
        <v>0</v>
      </c>
      <c r="I567" t="n">
        <v>0</v>
      </c>
      <c r="J567" t="n">
        <v>0</v>
      </c>
      <c r="K567" t="n">
        <v>0</v>
      </c>
      <c r="L567" t="n">
        <v>0</v>
      </c>
      <c r="M567" t="n">
        <v>0</v>
      </c>
      <c r="N567" t="n">
        <v>0</v>
      </c>
      <c r="O567" t="n">
        <v>0</v>
      </c>
      <c r="P567" t="n">
        <v>0</v>
      </c>
      <c r="Q567" t="n">
        <v>0</v>
      </c>
      <c r="R567" s="2" t="inlineStr"/>
    </row>
    <row r="568" ht="15" customHeight="1">
      <c r="A568" t="inlineStr">
        <is>
          <t>A 31422-2023</t>
        </is>
      </c>
      <c r="B568" s="1" t="n">
        <v>45104</v>
      </c>
      <c r="C568" s="1" t="n">
        <v>45765</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29122-2023</t>
        </is>
      </c>
      <c r="B569" s="1" t="n">
        <v>45105</v>
      </c>
      <c r="C569" s="1" t="n">
        <v>45765</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29139-2023</t>
        </is>
      </c>
      <c r="B570" s="1" t="n">
        <v>45105</v>
      </c>
      <c r="C570" s="1" t="n">
        <v>45765</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29222-2023</t>
        </is>
      </c>
      <c r="B571" s="1" t="n">
        <v>45105</v>
      </c>
      <c r="C571" s="1" t="n">
        <v>45765</v>
      </c>
      <c r="D571" t="inlineStr">
        <is>
          <t>DALARNAS LÄN</t>
        </is>
      </c>
      <c r="E571" t="inlineStr">
        <is>
          <t>LEKSAND</t>
        </is>
      </c>
      <c r="G571" t="n">
        <v>5</v>
      </c>
      <c r="H571" t="n">
        <v>0</v>
      </c>
      <c r="I571" t="n">
        <v>0</v>
      </c>
      <c r="J571" t="n">
        <v>0</v>
      </c>
      <c r="K571" t="n">
        <v>0</v>
      </c>
      <c r="L571" t="n">
        <v>0</v>
      </c>
      <c r="M571" t="n">
        <v>0</v>
      </c>
      <c r="N571" t="n">
        <v>0</v>
      </c>
      <c r="O571" t="n">
        <v>0</v>
      </c>
      <c r="P571" t="n">
        <v>0</v>
      </c>
      <c r="Q571" t="n">
        <v>0</v>
      </c>
      <c r="R571" s="2" t="inlineStr"/>
    </row>
    <row r="572" ht="15" customHeight="1">
      <c r="A572" t="inlineStr">
        <is>
          <t>A 29916-2023</t>
        </is>
      </c>
      <c r="B572" s="1" t="n">
        <v>45107</v>
      </c>
      <c r="C572" s="1" t="n">
        <v>45765</v>
      </c>
      <c r="D572" t="inlineStr">
        <is>
          <t>DALARNAS LÄN</t>
        </is>
      </c>
      <c r="E572" t="inlineStr">
        <is>
          <t>LEKSAND</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29881-2023</t>
        </is>
      </c>
      <c r="B573" s="1" t="n">
        <v>45107</v>
      </c>
      <c r="C573" s="1" t="n">
        <v>45765</v>
      </c>
      <c r="D573" t="inlineStr">
        <is>
          <t>DALARNAS LÄN</t>
        </is>
      </c>
      <c r="E573" t="inlineStr">
        <is>
          <t>LEKSAND</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29694-2023</t>
        </is>
      </c>
      <c r="B574" s="1" t="n">
        <v>45107</v>
      </c>
      <c r="C574" s="1" t="n">
        <v>45765</v>
      </c>
      <c r="D574" t="inlineStr">
        <is>
          <t>DALARNAS LÄN</t>
        </is>
      </c>
      <c r="E574" t="inlineStr">
        <is>
          <t>LEKSAND</t>
        </is>
      </c>
      <c r="G574" t="n">
        <v>4.8</v>
      </c>
      <c r="H574" t="n">
        <v>0</v>
      </c>
      <c r="I574" t="n">
        <v>0</v>
      </c>
      <c r="J574" t="n">
        <v>0</v>
      </c>
      <c r="K574" t="n">
        <v>0</v>
      </c>
      <c r="L574" t="n">
        <v>0</v>
      </c>
      <c r="M574" t="n">
        <v>0</v>
      </c>
      <c r="N574" t="n">
        <v>0</v>
      </c>
      <c r="O574" t="n">
        <v>0</v>
      </c>
      <c r="P574" t="n">
        <v>0</v>
      </c>
      <c r="Q574" t="n">
        <v>0</v>
      </c>
      <c r="R574" s="2" t="inlineStr"/>
    </row>
    <row r="575" ht="15" customHeight="1">
      <c r="A575" t="inlineStr">
        <is>
          <t>A 32261-2023</t>
        </is>
      </c>
      <c r="B575" s="1" t="n">
        <v>45108</v>
      </c>
      <c r="C575" s="1" t="n">
        <v>45765</v>
      </c>
      <c r="D575" t="inlineStr">
        <is>
          <t>DALARNAS LÄN</t>
        </is>
      </c>
      <c r="E575" t="inlineStr">
        <is>
          <t>LEKSAND</t>
        </is>
      </c>
      <c r="G575" t="n">
        <v>2.9</v>
      </c>
      <c r="H575" t="n">
        <v>0</v>
      </c>
      <c r="I575" t="n">
        <v>0</v>
      </c>
      <c r="J575" t="n">
        <v>0</v>
      </c>
      <c r="K575" t="n">
        <v>0</v>
      </c>
      <c r="L575" t="n">
        <v>0</v>
      </c>
      <c r="M575" t="n">
        <v>0</v>
      </c>
      <c r="N575" t="n">
        <v>0</v>
      </c>
      <c r="O575" t="n">
        <v>0</v>
      </c>
      <c r="P575" t="n">
        <v>0</v>
      </c>
      <c r="Q575" t="n">
        <v>0</v>
      </c>
      <c r="R575" s="2" t="inlineStr"/>
    </row>
    <row r="576" ht="15" customHeight="1">
      <c r="A576" t="inlineStr">
        <is>
          <t>A 30000-2023</t>
        </is>
      </c>
      <c r="B576" s="1" t="n">
        <v>45109</v>
      </c>
      <c r="C576" s="1" t="n">
        <v>45765</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30082-2023</t>
        </is>
      </c>
      <c r="B577" s="1" t="n">
        <v>45110</v>
      </c>
      <c r="C577" s="1" t="n">
        <v>45765</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30169-2023</t>
        </is>
      </c>
      <c r="B578" s="1" t="n">
        <v>45110</v>
      </c>
      <c r="C578" s="1" t="n">
        <v>45765</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30135-2023</t>
        </is>
      </c>
      <c r="B579" s="1" t="n">
        <v>45110</v>
      </c>
      <c r="C579" s="1" t="n">
        <v>45765</v>
      </c>
      <c r="D579" t="inlineStr">
        <is>
          <t>DALARNAS LÄN</t>
        </is>
      </c>
      <c r="E579" t="inlineStr">
        <is>
          <t>LEKSAND</t>
        </is>
      </c>
      <c r="F579" t="inlineStr">
        <is>
          <t>Bergvik skog väst AB</t>
        </is>
      </c>
      <c r="G579" t="n">
        <v>8.4</v>
      </c>
      <c r="H579" t="n">
        <v>0</v>
      </c>
      <c r="I579" t="n">
        <v>0</v>
      </c>
      <c r="J579" t="n">
        <v>0</v>
      </c>
      <c r="K579" t="n">
        <v>0</v>
      </c>
      <c r="L579" t="n">
        <v>0</v>
      </c>
      <c r="M579" t="n">
        <v>0</v>
      </c>
      <c r="N579" t="n">
        <v>0</v>
      </c>
      <c r="O579" t="n">
        <v>0</v>
      </c>
      <c r="P579" t="n">
        <v>0</v>
      </c>
      <c r="Q579" t="n">
        <v>0</v>
      </c>
      <c r="R579" s="2" t="inlineStr"/>
    </row>
    <row r="580" ht="15" customHeight="1">
      <c r="A580" t="inlineStr">
        <is>
          <t>A 30195-2023</t>
        </is>
      </c>
      <c r="B580" s="1" t="n">
        <v>45110</v>
      </c>
      <c r="C580" s="1" t="n">
        <v>45765</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30196-2023</t>
        </is>
      </c>
      <c r="B581" s="1" t="n">
        <v>45110</v>
      </c>
      <c r="C581" s="1" t="n">
        <v>45765</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30175-2023</t>
        </is>
      </c>
      <c r="B582" s="1" t="n">
        <v>45110</v>
      </c>
      <c r="C582" s="1" t="n">
        <v>45765</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30523-2023</t>
        </is>
      </c>
      <c r="B583" s="1" t="n">
        <v>45111</v>
      </c>
      <c r="C583" s="1" t="n">
        <v>45765</v>
      </c>
      <c r="D583" t="inlineStr">
        <is>
          <t>DALARNAS LÄN</t>
        </is>
      </c>
      <c r="E583" t="inlineStr">
        <is>
          <t>LEKSAND</t>
        </is>
      </c>
      <c r="G583" t="n">
        <v>5.6</v>
      </c>
      <c r="H583" t="n">
        <v>0</v>
      </c>
      <c r="I583" t="n">
        <v>0</v>
      </c>
      <c r="J583" t="n">
        <v>0</v>
      </c>
      <c r="K583" t="n">
        <v>0</v>
      </c>
      <c r="L583" t="n">
        <v>0</v>
      </c>
      <c r="M583" t="n">
        <v>0</v>
      </c>
      <c r="N583" t="n">
        <v>0</v>
      </c>
      <c r="O583" t="n">
        <v>0</v>
      </c>
      <c r="P583" t="n">
        <v>0</v>
      </c>
      <c r="Q583" t="n">
        <v>0</v>
      </c>
      <c r="R583" s="2" t="inlineStr"/>
    </row>
    <row r="584" ht="15" customHeight="1">
      <c r="A584" t="inlineStr">
        <is>
          <t>A 30595-2023</t>
        </is>
      </c>
      <c r="B584" s="1" t="n">
        <v>45112</v>
      </c>
      <c r="C584" s="1" t="n">
        <v>45765</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30611-2023</t>
        </is>
      </c>
      <c r="B585" s="1" t="n">
        <v>45112</v>
      </c>
      <c r="C585" s="1" t="n">
        <v>45765</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30700-2023</t>
        </is>
      </c>
      <c r="B586" s="1" t="n">
        <v>45112</v>
      </c>
      <c r="C586" s="1" t="n">
        <v>45765</v>
      </c>
      <c r="D586" t="inlineStr">
        <is>
          <t>DALARNAS LÄN</t>
        </is>
      </c>
      <c r="E586" t="inlineStr">
        <is>
          <t>LEKSAND</t>
        </is>
      </c>
      <c r="G586" t="n">
        <v>2.1</v>
      </c>
      <c r="H586" t="n">
        <v>0</v>
      </c>
      <c r="I586" t="n">
        <v>0</v>
      </c>
      <c r="J586" t="n">
        <v>0</v>
      </c>
      <c r="K586" t="n">
        <v>0</v>
      </c>
      <c r="L586" t="n">
        <v>0</v>
      </c>
      <c r="M586" t="n">
        <v>0</v>
      </c>
      <c r="N586" t="n">
        <v>0</v>
      </c>
      <c r="O586" t="n">
        <v>0</v>
      </c>
      <c r="P586" t="n">
        <v>0</v>
      </c>
      <c r="Q586" t="n">
        <v>0</v>
      </c>
      <c r="R586" s="2" t="inlineStr"/>
    </row>
    <row r="587" ht="15" customHeight="1">
      <c r="A587" t="inlineStr">
        <is>
          <t>A 30654-2023</t>
        </is>
      </c>
      <c r="B587" s="1" t="n">
        <v>45112</v>
      </c>
      <c r="C587" s="1" t="n">
        <v>45765</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30880-2023</t>
        </is>
      </c>
      <c r="B588" s="1" t="n">
        <v>45113</v>
      </c>
      <c r="C588" s="1" t="n">
        <v>45765</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30992-2023</t>
        </is>
      </c>
      <c r="B589" s="1" t="n">
        <v>45113</v>
      </c>
      <c r="C589" s="1" t="n">
        <v>45765</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30994-2023</t>
        </is>
      </c>
      <c r="B590" s="1" t="n">
        <v>45113</v>
      </c>
      <c r="C590" s="1" t="n">
        <v>45765</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30998-2023</t>
        </is>
      </c>
      <c r="B591" s="1" t="n">
        <v>45113</v>
      </c>
      <c r="C591" s="1" t="n">
        <v>45765</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32989-2023</t>
        </is>
      </c>
      <c r="B592" s="1" t="n">
        <v>45113</v>
      </c>
      <c r="C592" s="1" t="n">
        <v>45765</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31255-2023</t>
        </is>
      </c>
      <c r="B593" s="1" t="n">
        <v>45114</v>
      </c>
      <c r="C593" s="1" t="n">
        <v>45765</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31250-2023</t>
        </is>
      </c>
      <c r="B594" s="1" t="n">
        <v>45114</v>
      </c>
      <c r="C594" s="1" t="n">
        <v>45765</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31254-2023</t>
        </is>
      </c>
      <c r="B595" s="1" t="n">
        <v>45114</v>
      </c>
      <c r="C595" s="1" t="n">
        <v>45765</v>
      </c>
      <c r="D595" t="inlineStr">
        <is>
          <t>DALARNAS LÄN</t>
        </is>
      </c>
      <c r="E595" t="inlineStr">
        <is>
          <t>LEKSAND</t>
        </is>
      </c>
      <c r="G595" t="n">
        <v>1.4</v>
      </c>
      <c r="H595" t="n">
        <v>0</v>
      </c>
      <c r="I595" t="n">
        <v>0</v>
      </c>
      <c r="J595" t="n">
        <v>0</v>
      </c>
      <c r="K595" t="n">
        <v>0</v>
      </c>
      <c r="L595" t="n">
        <v>0</v>
      </c>
      <c r="M595" t="n">
        <v>0</v>
      </c>
      <c r="N595" t="n">
        <v>0</v>
      </c>
      <c r="O595" t="n">
        <v>0</v>
      </c>
      <c r="P595" t="n">
        <v>0</v>
      </c>
      <c r="Q595" t="n">
        <v>0</v>
      </c>
      <c r="R595" s="2" t="inlineStr"/>
    </row>
    <row r="596" ht="15" customHeight="1">
      <c r="A596" t="inlineStr">
        <is>
          <t>A 31761-2023</t>
        </is>
      </c>
      <c r="B596" s="1" t="n">
        <v>45118</v>
      </c>
      <c r="C596" s="1" t="n">
        <v>45765</v>
      </c>
      <c r="D596" t="inlineStr">
        <is>
          <t>DALARNAS LÄN</t>
        </is>
      </c>
      <c r="E596" t="inlineStr">
        <is>
          <t>LEKSAND</t>
        </is>
      </c>
      <c r="G596" t="n">
        <v>6</v>
      </c>
      <c r="H596" t="n">
        <v>0</v>
      </c>
      <c r="I596" t="n">
        <v>0</v>
      </c>
      <c r="J596" t="n">
        <v>0</v>
      </c>
      <c r="K596" t="n">
        <v>0</v>
      </c>
      <c r="L596" t="n">
        <v>0</v>
      </c>
      <c r="M596" t="n">
        <v>0</v>
      </c>
      <c r="N596" t="n">
        <v>0</v>
      </c>
      <c r="O596" t="n">
        <v>0</v>
      </c>
      <c r="P596" t="n">
        <v>0</v>
      </c>
      <c r="Q596" t="n">
        <v>0</v>
      </c>
      <c r="R596" s="2" t="inlineStr"/>
    </row>
    <row r="597" ht="15" customHeight="1">
      <c r="A597" t="inlineStr">
        <is>
          <t>A 32307-2023</t>
        </is>
      </c>
      <c r="B597" s="1" t="n">
        <v>45120</v>
      </c>
      <c r="C597" s="1" t="n">
        <v>45765</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32311-2023</t>
        </is>
      </c>
      <c r="B598" s="1" t="n">
        <v>45120</v>
      </c>
      <c r="C598" s="1" t="n">
        <v>45765</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32544-2023</t>
        </is>
      </c>
      <c r="B599" s="1" t="n">
        <v>45121</v>
      </c>
      <c r="C599" s="1" t="n">
        <v>45765</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32666-2023</t>
        </is>
      </c>
      <c r="B600" s="1" t="n">
        <v>45121</v>
      </c>
      <c r="C600" s="1" t="n">
        <v>45765</v>
      </c>
      <c r="D600" t="inlineStr">
        <is>
          <t>DALARNAS LÄN</t>
        </is>
      </c>
      <c r="E600" t="inlineStr">
        <is>
          <t>LEKSAND</t>
        </is>
      </c>
      <c r="G600" t="n">
        <v>9.9</v>
      </c>
      <c r="H600" t="n">
        <v>0</v>
      </c>
      <c r="I600" t="n">
        <v>0</v>
      </c>
      <c r="J600" t="n">
        <v>0</v>
      </c>
      <c r="K600" t="n">
        <v>0</v>
      </c>
      <c r="L600" t="n">
        <v>0</v>
      </c>
      <c r="M600" t="n">
        <v>0</v>
      </c>
      <c r="N600" t="n">
        <v>0</v>
      </c>
      <c r="O600" t="n">
        <v>0</v>
      </c>
      <c r="P600" t="n">
        <v>0</v>
      </c>
      <c r="Q600" t="n">
        <v>0</v>
      </c>
      <c r="R600" s="2" t="inlineStr"/>
    </row>
    <row r="601" ht="15" customHeight="1">
      <c r="A601" t="inlineStr">
        <is>
          <t>A 33788-2023</t>
        </is>
      </c>
      <c r="B601" s="1" t="n">
        <v>45121</v>
      </c>
      <c r="C601" s="1" t="n">
        <v>45765</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33001-2023</t>
        </is>
      </c>
      <c r="B602" s="1" t="n">
        <v>45125</v>
      </c>
      <c r="C602" s="1" t="n">
        <v>45765</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33308-2023</t>
        </is>
      </c>
      <c r="B603" s="1" t="n">
        <v>45127</v>
      </c>
      <c r="C603" s="1" t="n">
        <v>45765</v>
      </c>
      <c r="D603" t="inlineStr">
        <is>
          <t>DALARNAS LÄN</t>
        </is>
      </c>
      <c r="E603" t="inlineStr">
        <is>
          <t>LEKSAND</t>
        </is>
      </c>
      <c r="G603" t="n">
        <v>3.2</v>
      </c>
      <c r="H603" t="n">
        <v>0</v>
      </c>
      <c r="I603" t="n">
        <v>0</v>
      </c>
      <c r="J603" t="n">
        <v>0</v>
      </c>
      <c r="K603" t="n">
        <v>0</v>
      </c>
      <c r="L603" t="n">
        <v>0</v>
      </c>
      <c r="M603" t="n">
        <v>0</v>
      </c>
      <c r="N603" t="n">
        <v>0</v>
      </c>
      <c r="O603" t="n">
        <v>0</v>
      </c>
      <c r="P603" t="n">
        <v>0</v>
      </c>
      <c r="Q603" t="n">
        <v>0</v>
      </c>
      <c r="R603" s="2" t="inlineStr"/>
    </row>
    <row r="604" ht="15" customHeight="1">
      <c r="A604" t="inlineStr">
        <is>
          <t>A 33318-2023</t>
        </is>
      </c>
      <c r="B604" s="1" t="n">
        <v>45127</v>
      </c>
      <c r="C604" s="1" t="n">
        <v>45765</v>
      </c>
      <c r="D604" t="inlineStr">
        <is>
          <t>DALARNAS LÄN</t>
        </is>
      </c>
      <c r="E604" t="inlineStr">
        <is>
          <t>LEKSAND</t>
        </is>
      </c>
      <c r="G604" t="n">
        <v>5.5</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45765</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33312-2023</t>
        </is>
      </c>
      <c r="B606" s="1" t="n">
        <v>45127</v>
      </c>
      <c r="C606" s="1" t="n">
        <v>45765</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45765</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33310-2023</t>
        </is>
      </c>
      <c r="B608" s="1" t="n">
        <v>45127</v>
      </c>
      <c r="C608" s="1" t="n">
        <v>45765</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33317-2023</t>
        </is>
      </c>
      <c r="B609" s="1" t="n">
        <v>45127</v>
      </c>
      <c r="C609" s="1" t="n">
        <v>45765</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33480-2023</t>
        </is>
      </c>
      <c r="B610" s="1" t="n">
        <v>45131</v>
      </c>
      <c r="C610" s="1" t="n">
        <v>45765</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33462-2023</t>
        </is>
      </c>
      <c r="B611" s="1" t="n">
        <v>45131</v>
      </c>
      <c r="C611" s="1" t="n">
        <v>45765</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33463-2023</t>
        </is>
      </c>
      <c r="B612" s="1" t="n">
        <v>45131</v>
      </c>
      <c r="C612" s="1" t="n">
        <v>45765</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33566-2023</t>
        </is>
      </c>
      <c r="B613" s="1" t="n">
        <v>45131</v>
      </c>
      <c r="C613" s="1" t="n">
        <v>45765</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33674-2023</t>
        </is>
      </c>
      <c r="B614" s="1" t="n">
        <v>45132</v>
      </c>
      <c r="C614" s="1" t="n">
        <v>45765</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34294-2023</t>
        </is>
      </c>
      <c r="B615" s="1" t="n">
        <v>45138</v>
      </c>
      <c r="C615" s="1" t="n">
        <v>45765</v>
      </c>
      <c r="D615" t="inlineStr">
        <is>
          <t>DALARNAS LÄN</t>
        </is>
      </c>
      <c r="E615" t="inlineStr">
        <is>
          <t>LEKSAND</t>
        </is>
      </c>
      <c r="G615" t="n">
        <v>6.1</v>
      </c>
      <c r="H615" t="n">
        <v>0</v>
      </c>
      <c r="I615" t="n">
        <v>0</v>
      </c>
      <c r="J615" t="n">
        <v>0</v>
      </c>
      <c r="K615" t="n">
        <v>0</v>
      </c>
      <c r="L615" t="n">
        <v>0</v>
      </c>
      <c r="M615" t="n">
        <v>0</v>
      </c>
      <c r="N615" t="n">
        <v>0</v>
      </c>
      <c r="O615" t="n">
        <v>0</v>
      </c>
      <c r="P615" t="n">
        <v>0</v>
      </c>
      <c r="Q615" t="n">
        <v>0</v>
      </c>
      <c r="R615" s="2" t="inlineStr"/>
    </row>
    <row r="616" ht="15" customHeight="1">
      <c r="A616" t="inlineStr">
        <is>
          <t>A 35228-2023</t>
        </is>
      </c>
      <c r="B616" s="1" t="n">
        <v>45145</v>
      </c>
      <c r="C616" s="1" t="n">
        <v>45765</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35173-2023</t>
        </is>
      </c>
      <c r="B617" s="1" t="n">
        <v>45145</v>
      </c>
      <c r="C617" s="1" t="n">
        <v>45765</v>
      </c>
      <c r="D617" t="inlineStr">
        <is>
          <t>DALARNAS LÄN</t>
        </is>
      </c>
      <c r="E617" t="inlineStr">
        <is>
          <t>LEKSAND</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35189-2023</t>
        </is>
      </c>
      <c r="B618" s="1" t="n">
        <v>45145</v>
      </c>
      <c r="C618" s="1" t="n">
        <v>45765</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36261-2023</t>
        </is>
      </c>
      <c r="B619" s="1" t="n">
        <v>45151</v>
      </c>
      <c r="C619" s="1" t="n">
        <v>45765</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36262-2023</t>
        </is>
      </c>
      <c r="B620" s="1" t="n">
        <v>45151</v>
      </c>
      <c r="C620" s="1" t="n">
        <v>45765</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36444-2023</t>
        </is>
      </c>
      <c r="B621" s="1" t="n">
        <v>45152</v>
      </c>
      <c r="C621" s="1" t="n">
        <v>45765</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36450-2023</t>
        </is>
      </c>
      <c r="B622" s="1" t="n">
        <v>45152</v>
      </c>
      <c r="C622" s="1" t="n">
        <v>45765</v>
      </c>
      <c r="D622" t="inlineStr">
        <is>
          <t>DALARNAS LÄN</t>
        </is>
      </c>
      <c r="E622" t="inlineStr">
        <is>
          <t>LEKSAND</t>
        </is>
      </c>
      <c r="G622" t="n">
        <v>2.4</v>
      </c>
      <c r="H622" t="n">
        <v>0</v>
      </c>
      <c r="I622" t="n">
        <v>0</v>
      </c>
      <c r="J622" t="n">
        <v>0</v>
      </c>
      <c r="K622" t="n">
        <v>0</v>
      </c>
      <c r="L622" t="n">
        <v>0</v>
      </c>
      <c r="M622" t="n">
        <v>0</v>
      </c>
      <c r="N622" t="n">
        <v>0</v>
      </c>
      <c r="O622" t="n">
        <v>0</v>
      </c>
      <c r="P622" t="n">
        <v>0</v>
      </c>
      <c r="Q622" t="n">
        <v>0</v>
      </c>
      <c r="R622" s="2" t="inlineStr"/>
    </row>
    <row r="623" ht="15" customHeight="1">
      <c r="A623" t="inlineStr">
        <is>
          <t>A 36515-2023</t>
        </is>
      </c>
      <c r="B623" s="1" t="n">
        <v>45153</v>
      </c>
      <c r="C623" s="1" t="n">
        <v>45765</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36932-2023</t>
        </is>
      </c>
      <c r="B624" s="1" t="n">
        <v>45154</v>
      </c>
      <c r="C624" s="1" t="n">
        <v>45765</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37397-2023</t>
        </is>
      </c>
      <c r="B625" s="1" t="n">
        <v>45156</v>
      </c>
      <c r="C625" s="1" t="n">
        <v>45765</v>
      </c>
      <c r="D625" t="inlineStr">
        <is>
          <t>DALARNAS LÄN</t>
        </is>
      </c>
      <c r="E625" t="inlineStr">
        <is>
          <t>LEKSAND</t>
        </is>
      </c>
      <c r="F625" t="inlineStr">
        <is>
          <t>Kommuner</t>
        </is>
      </c>
      <c r="G625" t="n">
        <v>2.9</v>
      </c>
      <c r="H625" t="n">
        <v>0</v>
      </c>
      <c r="I625" t="n">
        <v>0</v>
      </c>
      <c r="J625" t="n">
        <v>0</v>
      </c>
      <c r="K625" t="n">
        <v>0</v>
      </c>
      <c r="L625" t="n">
        <v>0</v>
      </c>
      <c r="M625" t="n">
        <v>0</v>
      </c>
      <c r="N625" t="n">
        <v>0</v>
      </c>
      <c r="O625" t="n">
        <v>0</v>
      </c>
      <c r="P625" t="n">
        <v>0</v>
      </c>
      <c r="Q625" t="n">
        <v>0</v>
      </c>
      <c r="R625" s="2" t="inlineStr"/>
    </row>
    <row r="626" ht="15" customHeight="1">
      <c r="A626" t="inlineStr">
        <is>
          <t>A 37516-2023</t>
        </is>
      </c>
      <c r="B626" s="1" t="n">
        <v>45158</v>
      </c>
      <c r="C626" s="1" t="n">
        <v>45765</v>
      </c>
      <c r="D626" t="inlineStr">
        <is>
          <t>DALARNAS LÄN</t>
        </is>
      </c>
      <c r="E626" t="inlineStr">
        <is>
          <t>LEKSAND</t>
        </is>
      </c>
      <c r="G626" t="n">
        <v>2.5</v>
      </c>
      <c r="H626" t="n">
        <v>0</v>
      </c>
      <c r="I626" t="n">
        <v>0</v>
      </c>
      <c r="J626" t="n">
        <v>0</v>
      </c>
      <c r="K626" t="n">
        <v>0</v>
      </c>
      <c r="L626" t="n">
        <v>0</v>
      </c>
      <c r="M626" t="n">
        <v>0</v>
      </c>
      <c r="N626" t="n">
        <v>0</v>
      </c>
      <c r="O626" t="n">
        <v>0</v>
      </c>
      <c r="P626" t="n">
        <v>0</v>
      </c>
      <c r="Q626" t="n">
        <v>0</v>
      </c>
      <c r="R626" s="2" t="inlineStr"/>
    </row>
    <row r="627" ht="15" customHeight="1">
      <c r="A627" t="inlineStr">
        <is>
          <t>A 37832-2023</t>
        </is>
      </c>
      <c r="B627" s="1" t="n">
        <v>45160</v>
      </c>
      <c r="C627" s="1" t="n">
        <v>45765</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37919-2023</t>
        </is>
      </c>
      <c r="B628" s="1" t="n">
        <v>45160</v>
      </c>
      <c r="C628" s="1" t="n">
        <v>45765</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38058-2023</t>
        </is>
      </c>
      <c r="B629" s="1" t="n">
        <v>45160</v>
      </c>
      <c r="C629" s="1" t="n">
        <v>45765</v>
      </c>
      <c r="D629" t="inlineStr">
        <is>
          <t>DALARNAS LÄN</t>
        </is>
      </c>
      <c r="E629" t="inlineStr">
        <is>
          <t>LEKSAND</t>
        </is>
      </c>
      <c r="G629" t="n">
        <v>4.2</v>
      </c>
      <c r="H629" t="n">
        <v>0</v>
      </c>
      <c r="I629" t="n">
        <v>0</v>
      </c>
      <c r="J629" t="n">
        <v>0</v>
      </c>
      <c r="K629" t="n">
        <v>0</v>
      </c>
      <c r="L629" t="n">
        <v>0</v>
      </c>
      <c r="M629" t="n">
        <v>0</v>
      </c>
      <c r="N629" t="n">
        <v>0</v>
      </c>
      <c r="O629" t="n">
        <v>0</v>
      </c>
      <c r="P629" t="n">
        <v>0</v>
      </c>
      <c r="Q629" t="n">
        <v>0</v>
      </c>
      <c r="R629" s="2" t="inlineStr"/>
    </row>
    <row r="630" ht="15" customHeight="1">
      <c r="A630" t="inlineStr">
        <is>
          <t>A 38001-2023</t>
        </is>
      </c>
      <c r="B630" s="1" t="n">
        <v>45160</v>
      </c>
      <c r="C630" s="1" t="n">
        <v>45765</v>
      </c>
      <c r="D630" t="inlineStr">
        <is>
          <t>DALARNAS LÄN</t>
        </is>
      </c>
      <c r="E630" t="inlineStr">
        <is>
          <t>LEKSAND</t>
        </is>
      </c>
      <c r="G630" t="n">
        <v>3.6</v>
      </c>
      <c r="H630" t="n">
        <v>0</v>
      </c>
      <c r="I630" t="n">
        <v>0</v>
      </c>
      <c r="J630" t="n">
        <v>0</v>
      </c>
      <c r="K630" t="n">
        <v>0</v>
      </c>
      <c r="L630" t="n">
        <v>0</v>
      </c>
      <c r="M630" t="n">
        <v>0</v>
      </c>
      <c r="N630" t="n">
        <v>0</v>
      </c>
      <c r="O630" t="n">
        <v>0</v>
      </c>
      <c r="P630" t="n">
        <v>0</v>
      </c>
      <c r="Q630" t="n">
        <v>0</v>
      </c>
      <c r="R630" s="2" t="inlineStr"/>
    </row>
    <row r="631" ht="15" customHeight="1">
      <c r="A631" t="inlineStr">
        <is>
          <t>A 38145-2023</t>
        </is>
      </c>
      <c r="B631" s="1" t="n">
        <v>45160</v>
      </c>
      <c r="C631" s="1" t="n">
        <v>45765</v>
      </c>
      <c r="D631" t="inlineStr">
        <is>
          <t>DALARNAS LÄN</t>
        </is>
      </c>
      <c r="E631" t="inlineStr">
        <is>
          <t>LEKSAND</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38273-2023</t>
        </is>
      </c>
      <c r="B632" s="1" t="n">
        <v>45161</v>
      </c>
      <c r="C632" s="1" t="n">
        <v>45765</v>
      </c>
      <c r="D632" t="inlineStr">
        <is>
          <t>DALARNAS LÄN</t>
        </is>
      </c>
      <c r="E632" t="inlineStr">
        <is>
          <t>LEKSAND</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38277-2023</t>
        </is>
      </c>
      <c r="B633" s="1" t="n">
        <v>45161</v>
      </c>
      <c r="C633" s="1" t="n">
        <v>45765</v>
      </c>
      <c r="D633" t="inlineStr">
        <is>
          <t>DALARNAS LÄN</t>
        </is>
      </c>
      <c r="E633" t="inlineStr">
        <is>
          <t>LEKSAND</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38117-2023</t>
        </is>
      </c>
      <c r="B634" s="1" t="n">
        <v>45161</v>
      </c>
      <c r="C634" s="1" t="n">
        <v>45765</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39136-2023</t>
        </is>
      </c>
      <c r="B635" s="1" t="n">
        <v>45165</v>
      </c>
      <c r="C635" s="1" t="n">
        <v>45765</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39387-2023</t>
        </is>
      </c>
      <c r="B636" s="1" t="n">
        <v>45166</v>
      </c>
      <c r="C636" s="1" t="n">
        <v>45765</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39332-2023</t>
        </is>
      </c>
      <c r="B637" s="1" t="n">
        <v>45166</v>
      </c>
      <c r="C637" s="1" t="n">
        <v>45765</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39354-2023</t>
        </is>
      </c>
      <c r="B638" s="1" t="n">
        <v>45166</v>
      </c>
      <c r="C638" s="1" t="n">
        <v>45765</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39595-2023</t>
        </is>
      </c>
      <c r="B639" s="1" t="n">
        <v>45167</v>
      </c>
      <c r="C639" s="1" t="n">
        <v>45765</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39558-2023</t>
        </is>
      </c>
      <c r="B640" s="1" t="n">
        <v>45167</v>
      </c>
      <c r="C640" s="1" t="n">
        <v>45765</v>
      </c>
      <c r="D640" t="inlineStr">
        <is>
          <t>DALARNAS LÄN</t>
        </is>
      </c>
      <c r="E640" t="inlineStr">
        <is>
          <t>LEKSAND</t>
        </is>
      </c>
      <c r="G640" t="n">
        <v>39.9</v>
      </c>
      <c r="H640" t="n">
        <v>0</v>
      </c>
      <c r="I640" t="n">
        <v>0</v>
      </c>
      <c r="J640" t="n">
        <v>0</v>
      </c>
      <c r="K640" t="n">
        <v>0</v>
      </c>
      <c r="L640" t="n">
        <v>0</v>
      </c>
      <c r="M640" t="n">
        <v>0</v>
      </c>
      <c r="N640" t="n">
        <v>0</v>
      </c>
      <c r="O640" t="n">
        <v>0</v>
      </c>
      <c r="P640" t="n">
        <v>0</v>
      </c>
      <c r="Q640" t="n">
        <v>0</v>
      </c>
      <c r="R640" s="2" t="inlineStr"/>
    </row>
    <row r="641" ht="15" customHeight="1">
      <c r="A641" t="inlineStr">
        <is>
          <t>A 39577-2023</t>
        </is>
      </c>
      <c r="B641" s="1" t="n">
        <v>45167</v>
      </c>
      <c r="C641" s="1" t="n">
        <v>45765</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39665-2023</t>
        </is>
      </c>
      <c r="B642" s="1" t="n">
        <v>45167</v>
      </c>
      <c r="C642" s="1" t="n">
        <v>45765</v>
      </c>
      <c r="D642" t="inlineStr">
        <is>
          <t>DALARNAS LÄN</t>
        </is>
      </c>
      <c r="E642" t="inlineStr">
        <is>
          <t>LEKSAND</t>
        </is>
      </c>
      <c r="F642" t="inlineStr">
        <is>
          <t>Bergvik skog väst AB</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40201-2023</t>
        </is>
      </c>
      <c r="B643" s="1" t="n">
        <v>45169</v>
      </c>
      <c r="C643" s="1" t="n">
        <v>45765</v>
      </c>
      <c r="D643" t="inlineStr">
        <is>
          <t>DALARNAS LÄN</t>
        </is>
      </c>
      <c r="E643" t="inlineStr">
        <is>
          <t>LEKSAND</t>
        </is>
      </c>
      <c r="G643" t="n">
        <v>3.2</v>
      </c>
      <c r="H643" t="n">
        <v>0</v>
      </c>
      <c r="I643" t="n">
        <v>0</v>
      </c>
      <c r="J643" t="n">
        <v>0</v>
      </c>
      <c r="K643" t="n">
        <v>0</v>
      </c>
      <c r="L643" t="n">
        <v>0</v>
      </c>
      <c r="M643" t="n">
        <v>0</v>
      </c>
      <c r="N643" t="n">
        <v>0</v>
      </c>
      <c r="O643" t="n">
        <v>0</v>
      </c>
      <c r="P643" t="n">
        <v>0</v>
      </c>
      <c r="Q643" t="n">
        <v>0</v>
      </c>
      <c r="R643" s="2" t="inlineStr"/>
    </row>
    <row r="644" ht="15" customHeight="1">
      <c r="A644" t="inlineStr">
        <is>
          <t>A 40181-2023</t>
        </is>
      </c>
      <c r="B644" s="1" t="n">
        <v>45169</v>
      </c>
      <c r="C644" s="1" t="n">
        <v>45765</v>
      </c>
      <c r="D644" t="inlineStr">
        <is>
          <t>DALARNAS LÄN</t>
        </is>
      </c>
      <c r="E644" t="inlineStr">
        <is>
          <t>LEKSAND</t>
        </is>
      </c>
      <c r="G644" t="n">
        <v>2.8</v>
      </c>
      <c r="H644" t="n">
        <v>0</v>
      </c>
      <c r="I644" t="n">
        <v>0</v>
      </c>
      <c r="J644" t="n">
        <v>0</v>
      </c>
      <c r="K644" t="n">
        <v>0</v>
      </c>
      <c r="L644" t="n">
        <v>0</v>
      </c>
      <c r="M644" t="n">
        <v>0</v>
      </c>
      <c r="N644" t="n">
        <v>0</v>
      </c>
      <c r="O644" t="n">
        <v>0</v>
      </c>
      <c r="P644" t="n">
        <v>0</v>
      </c>
      <c r="Q644" t="n">
        <v>0</v>
      </c>
      <c r="R644" s="2" t="inlineStr"/>
    </row>
    <row r="645" ht="15" customHeight="1">
      <c r="A645" t="inlineStr">
        <is>
          <t>A 40230-2023</t>
        </is>
      </c>
      <c r="B645" s="1" t="n">
        <v>45169</v>
      </c>
      <c r="C645" s="1" t="n">
        <v>45765</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40642-2023</t>
        </is>
      </c>
      <c r="B646" s="1" t="n">
        <v>45169</v>
      </c>
      <c r="C646" s="1" t="n">
        <v>45765</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40183-2023</t>
        </is>
      </c>
      <c r="B647" s="1" t="n">
        <v>45169</v>
      </c>
      <c r="C647" s="1" t="n">
        <v>45765</v>
      </c>
      <c r="D647" t="inlineStr">
        <is>
          <t>DALARNAS LÄN</t>
        </is>
      </c>
      <c r="E647" t="inlineStr">
        <is>
          <t>LEKSAND</t>
        </is>
      </c>
      <c r="G647" t="n">
        <v>1.7</v>
      </c>
      <c r="H647" t="n">
        <v>0</v>
      </c>
      <c r="I647" t="n">
        <v>0</v>
      </c>
      <c r="J647" t="n">
        <v>0</v>
      </c>
      <c r="K647" t="n">
        <v>0</v>
      </c>
      <c r="L647" t="n">
        <v>0</v>
      </c>
      <c r="M647" t="n">
        <v>0</v>
      </c>
      <c r="N647" t="n">
        <v>0</v>
      </c>
      <c r="O647" t="n">
        <v>0</v>
      </c>
      <c r="P647" t="n">
        <v>0</v>
      </c>
      <c r="Q647" t="n">
        <v>0</v>
      </c>
      <c r="R647" s="2" t="inlineStr"/>
    </row>
    <row r="648" ht="15" customHeight="1">
      <c r="A648" t="inlineStr">
        <is>
          <t>A 40580-2023</t>
        </is>
      </c>
      <c r="B648" s="1" t="n">
        <v>45170</v>
      </c>
      <c r="C648" s="1" t="n">
        <v>45765</v>
      </c>
      <c r="D648" t="inlineStr">
        <is>
          <t>DALARNAS LÄN</t>
        </is>
      </c>
      <c r="E648" t="inlineStr">
        <is>
          <t>LEKSAND</t>
        </is>
      </c>
      <c r="F648" t="inlineStr">
        <is>
          <t>Bergvik skog väst AB</t>
        </is>
      </c>
      <c r="G648" t="n">
        <v>5.8</v>
      </c>
      <c r="H648" t="n">
        <v>0</v>
      </c>
      <c r="I648" t="n">
        <v>0</v>
      </c>
      <c r="J648" t="n">
        <v>0</v>
      </c>
      <c r="K648" t="n">
        <v>0</v>
      </c>
      <c r="L648" t="n">
        <v>0</v>
      </c>
      <c r="M648" t="n">
        <v>0</v>
      </c>
      <c r="N648" t="n">
        <v>0</v>
      </c>
      <c r="O648" t="n">
        <v>0</v>
      </c>
      <c r="P648" t="n">
        <v>0</v>
      </c>
      <c r="Q648" t="n">
        <v>0</v>
      </c>
      <c r="R648" s="2" t="inlineStr"/>
    </row>
    <row r="649" ht="15" customHeight="1">
      <c r="A649" t="inlineStr">
        <is>
          <t>A 40634-2023</t>
        </is>
      </c>
      <c r="B649" s="1" t="n">
        <v>45170</v>
      </c>
      <c r="C649" s="1" t="n">
        <v>45765</v>
      </c>
      <c r="D649" t="inlineStr">
        <is>
          <t>DALARNAS LÄN</t>
        </is>
      </c>
      <c r="E649" t="inlineStr">
        <is>
          <t>LEKSAND</t>
        </is>
      </c>
      <c r="F649" t="inlineStr">
        <is>
          <t>Bergvik skog väst AB</t>
        </is>
      </c>
      <c r="G649" t="n">
        <v>4.9</v>
      </c>
      <c r="H649" t="n">
        <v>0</v>
      </c>
      <c r="I649" t="n">
        <v>0</v>
      </c>
      <c r="J649" t="n">
        <v>0</v>
      </c>
      <c r="K649" t="n">
        <v>0</v>
      </c>
      <c r="L649" t="n">
        <v>0</v>
      </c>
      <c r="M649" t="n">
        <v>0</v>
      </c>
      <c r="N649" t="n">
        <v>0</v>
      </c>
      <c r="O649" t="n">
        <v>0</v>
      </c>
      <c r="P649" t="n">
        <v>0</v>
      </c>
      <c r="Q649" t="n">
        <v>0</v>
      </c>
      <c r="R649" s="2" t="inlineStr"/>
    </row>
    <row r="650" ht="15" customHeight="1">
      <c r="A650" t="inlineStr">
        <is>
          <t>A 40640-2023</t>
        </is>
      </c>
      <c r="B650" s="1" t="n">
        <v>45170</v>
      </c>
      <c r="C650" s="1" t="n">
        <v>45765</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40577-2023</t>
        </is>
      </c>
      <c r="B651" s="1" t="n">
        <v>45170</v>
      </c>
      <c r="C651" s="1" t="n">
        <v>45765</v>
      </c>
      <c r="D651" t="inlineStr">
        <is>
          <t>DALARNAS LÄN</t>
        </is>
      </c>
      <c r="E651" t="inlineStr">
        <is>
          <t>LEKSAND</t>
        </is>
      </c>
      <c r="F651" t="inlineStr">
        <is>
          <t>Bergvik skog väst AB</t>
        </is>
      </c>
      <c r="G651" t="n">
        <v>20.6</v>
      </c>
      <c r="H651" t="n">
        <v>0</v>
      </c>
      <c r="I651" t="n">
        <v>0</v>
      </c>
      <c r="J651" t="n">
        <v>0</v>
      </c>
      <c r="K651" t="n">
        <v>0</v>
      </c>
      <c r="L651" t="n">
        <v>0</v>
      </c>
      <c r="M651" t="n">
        <v>0</v>
      </c>
      <c r="N651" t="n">
        <v>0</v>
      </c>
      <c r="O651" t="n">
        <v>0</v>
      </c>
      <c r="P651" t="n">
        <v>0</v>
      </c>
      <c r="Q651" t="n">
        <v>0</v>
      </c>
      <c r="R651" s="2" t="inlineStr"/>
    </row>
    <row r="652" ht="15" customHeight="1">
      <c r="A652" t="inlineStr">
        <is>
          <t>A 40627-2023</t>
        </is>
      </c>
      <c r="B652" s="1" t="n">
        <v>45170</v>
      </c>
      <c r="C652" s="1" t="n">
        <v>45765</v>
      </c>
      <c r="D652" t="inlineStr">
        <is>
          <t>DALARNAS LÄN</t>
        </is>
      </c>
      <c r="E652" t="inlineStr">
        <is>
          <t>LEKSAND</t>
        </is>
      </c>
      <c r="F652" t="inlineStr">
        <is>
          <t>Bergvik skog väst AB</t>
        </is>
      </c>
      <c r="G652" t="n">
        <v>3.3</v>
      </c>
      <c r="H652" t="n">
        <v>0</v>
      </c>
      <c r="I652" t="n">
        <v>0</v>
      </c>
      <c r="J652" t="n">
        <v>0</v>
      </c>
      <c r="K652" t="n">
        <v>0</v>
      </c>
      <c r="L652" t="n">
        <v>0</v>
      </c>
      <c r="M652" t="n">
        <v>0</v>
      </c>
      <c r="N652" t="n">
        <v>0</v>
      </c>
      <c r="O652" t="n">
        <v>0</v>
      </c>
      <c r="P652" t="n">
        <v>0</v>
      </c>
      <c r="Q652" t="n">
        <v>0</v>
      </c>
      <c r="R652" s="2" t="inlineStr"/>
    </row>
    <row r="653" ht="15" customHeight="1">
      <c r="A653" t="inlineStr">
        <is>
          <t>A 41853-2023</t>
        </is>
      </c>
      <c r="B653" s="1" t="n">
        <v>45176</v>
      </c>
      <c r="C653" s="1" t="n">
        <v>45765</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42230-2023</t>
        </is>
      </c>
      <c r="B654" s="1" t="n">
        <v>45180</v>
      </c>
      <c r="C654" s="1" t="n">
        <v>45765</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42305-2023</t>
        </is>
      </c>
      <c r="B655" s="1" t="n">
        <v>45180</v>
      </c>
      <c r="C655" s="1" t="n">
        <v>45765</v>
      </c>
      <c r="D655" t="inlineStr">
        <is>
          <t>DALARNAS LÄN</t>
        </is>
      </c>
      <c r="E655" t="inlineStr">
        <is>
          <t>LEKSAND</t>
        </is>
      </c>
      <c r="G655" t="n">
        <v>6.9</v>
      </c>
      <c r="H655" t="n">
        <v>0</v>
      </c>
      <c r="I655" t="n">
        <v>0</v>
      </c>
      <c r="J655" t="n">
        <v>0</v>
      </c>
      <c r="K655" t="n">
        <v>0</v>
      </c>
      <c r="L655" t="n">
        <v>0</v>
      </c>
      <c r="M655" t="n">
        <v>0</v>
      </c>
      <c r="N655" t="n">
        <v>0</v>
      </c>
      <c r="O655" t="n">
        <v>0</v>
      </c>
      <c r="P655" t="n">
        <v>0</v>
      </c>
      <c r="Q655" t="n">
        <v>0</v>
      </c>
      <c r="R655" s="2" t="inlineStr"/>
    </row>
    <row r="656" ht="15" customHeight="1">
      <c r="A656" t="inlineStr">
        <is>
          <t>A 42290-2023</t>
        </is>
      </c>
      <c r="B656" s="1" t="n">
        <v>45180</v>
      </c>
      <c r="C656" s="1" t="n">
        <v>45765</v>
      </c>
      <c r="D656" t="inlineStr">
        <is>
          <t>DALARNAS LÄN</t>
        </is>
      </c>
      <c r="E656" t="inlineStr">
        <is>
          <t>LEKSAND</t>
        </is>
      </c>
      <c r="G656" t="n">
        <v>6.8</v>
      </c>
      <c r="H656" t="n">
        <v>0</v>
      </c>
      <c r="I656" t="n">
        <v>0</v>
      </c>
      <c r="J656" t="n">
        <v>0</v>
      </c>
      <c r="K656" t="n">
        <v>0</v>
      </c>
      <c r="L656" t="n">
        <v>0</v>
      </c>
      <c r="M656" t="n">
        <v>0</v>
      </c>
      <c r="N656" t="n">
        <v>0</v>
      </c>
      <c r="O656" t="n">
        <v>0</v>
      </c>
      <c r="P656" t="n">
        <v>0</v>
      </c>
      <c r="Q656" t="n">
        <v>0</v>
      </c>
      <c r="R656" s="2" t="inlineStr"/>
    </row>
    <row r="657" ht="15" customHeight="1">
      <c r="A657" t="inlineStr">
        <is>
          <t>A 42739-2023</t>
        </is>
      </c>
      <c r="B657" s="1" t="n">
        <v>45181</v>
      </c>
      <c r="C657" s="1" t="n">
        <v>45765</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42774-2023</t>
        </is>
      </c>
      <c r="B658" s="1" t="n">
        <v>45181</v>
      </c>
      <c r="C658" s="1" t="n">
        <v>45765</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42771-2023</t>
        </is>
      </c>
      <c r="B659" s="1" t="n">
        <v>45181</v>
      </c>
      <c r="C659" s="1" t="n">
        <v>45765</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44491-2023</t>
        </is>
      </c>
      <c r="B660" s="1" t="n">
        <v>45183</v>
      </c>
      <c r="C660" s="1" t="n">
        <v>45765</v>
      </c>
      <c r="D660" t="inlineStr">
        <is>
          <t>DALARNAS LÄN</t>
        </is>
      </c>
      <c r="E660" t="inlineStr">
        <is>
          <t>LEKSAND</t>
        </is>
      </c>
      <c r="G660" t="n">
        <v>2.6</v>
      </c>
      <c r="H660" t="n">
        <v>0</v>
      </c>
      <c r="I660" t="n">
        <v>0</v>
      </c>
      <c r="J660" t="n">
        <v>0</v>
      </c>
      <c r="K660" t="n">
        <v>0</v>
      </c>
      <c r="L660" t="n">
        <v>0</v>
      </c>
      <c r="M660" t="n">
        <v>0</v>
      </c>
      <c r="N660" t="n">
        <v>0</v>
      </c>
      <c r="O660" t="n">
        <v>0</v>
      </c>
      <c r="P660" t="n">
        <v>0</v>
      </c>
      <c r="Q660" t="n">
        <v>0</v>
      </c>
      <c r="R660" s="2" t="inlineStr"/>
    </row>
    <row r="661" ht="15" customHeight="1">
      <c r="A661" t="inlineStr">
        <is>
          <t>A 43436-2023</t>
        </is>
      </c>
      <c r="B661" s="1" t="n">
        <v>45184</v>
      </c>
      <c r="C661" s="1" t="n">
        <v>45765</v>
      </c>
      <c r="D661" t="inlineStr">
        <is>
          <t>DALARNAS LÄN</t>
        </is>
      </c>
      <c r="E661" t="inlineStr">
        <is>
          <t>LEKSAND</t>
        </is>
      </c>
      <c r="G661" t="n">
        <v>6</v>
      </c>
      <c r="H661" t="n">
        <v>0</v>
      </c>
      <c r="I661" t="n">
        <v>0</v>
      </c>
      <c r="J661" t="n">
        <v>0</v>
      </c>
      <c r="K661" t="n">
        <v>0</v>
      </c>
      <c r="L661" t="n">
        <v>0</v>
      </c>
      <c r="M661" t="n">
        <v>0</v>
      </c>
      <c r="N661" t="n">
        <v>0</v>
      </c>
      <c r="O661" t="n">
        <v>0</v>
      </c>
      <c r="P661" t="n">
        <v>0</v>
      </c>
      <c r="Q661" t="n">
        <v>0</v>
      </c>
      <c r="R661" s="2" t="inlineStr"/>
    </row>
    <row r="662" ht="15" customHeight="1">
      <c r="A662" t="inlineStr">
        <is>
          <t>A 43440-2023</t>
        </is>
      </c>
      <c r="B662" s="1" t="n">
        <v>45184</v>
      </c>
      <c r="C662" s="1" t="n">
        <v>45765</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43508-2023</t>
        </is>
      </c>
      <c r="B663" s="1" t="n">
        <v>45184</v>
      </c>
      <c r="C663" s="1" t="n">
        <v>45765</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43642-2023</t>
        </is>
      </c>
      <c r="B664" s="1" t="n">
        <v>45186</v>
      </c>
      <c r="C664" s="1" t="n">
        <v>45765</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43650-2023</t>
        </is>
      </c>
      <c r="B665" s="1" t="n">
        <v>45187</v>
      </c>
      <c r="C665" s="1" t="n">
        <v>45765</v>
      </c>
      <c r="D665" t="inlineStr">
        <is>
          <t>DALARNAS LÄN</t>
        </is>
      </c>
      <c r="E665" t="inlineStr">
        <is>
          <t>LEKSAND</t>
        </is>
      </c>
      <c r="G665" t="n">
        <v>4.5</v>
      </c>
      <c r="H665" t="n">
        <v>0</v>
      </c>
      <c r="I665" t="n">
        <v>0</v>
      </c>
      <c r="J665" t="n">
        <v>0</v>
      </c>
      <c r="K665" t="n">
        <v>0</v>
      </c>
      <c r="L665" t="n">
        <v>0</v>
      </c>
      <c r="M665" t="n">
        <v>0</v>
      </c>
      <c r="N665" t="n">
        <v>0</v>
      </c>
      <c r="O665" t="n">
        <v>0</v>
      </c>
      <c r="P665" t="n">
        <v>0</v>
      </c>
      <c r="Q665" t="n">
        <v>0</v>
      </c>
      <c r="R665" s="2" t="inlineStr"/>
    </row>
    <row r="666" ht="15" customHeight="1">
      <c r="A666" t="inlineStr">
        <is>
          <t>A 44712-2023</t>
        </is>
      </c>
      <c r="B666" s="1" t="n">
        <v>45190</v>
      </c>
      <c r="C666" s="1" t="n">
        <v>45765</v>
      </c>
      <c r="D666" t="inlineStr">
        <is>
          <t>DALARNAS LÄN</t>
        </is>
      </c>
      <c r="E666" t="inlineStr">
        <is>
          <t>LEKSAND</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45254-2023</t>
        </is>
      </c>
      <c r="B667" s="1" t="n">
        <v>45191</v>
      </c>
      <c r="C667" s="1" t="n">
        <v>45765</v>
      </c>
      <c r="D667" t="inlineStr">
        <is>
          <t>DALARNAS LÄN</t>
        </is>
      </c>
      <c r="E667" t="inlineStr">
        <is>
          <t>LEKSAND</t>
        </is>
      </c>
      <c r="G667" t="n">
        <v>16.9</v>
      </c>
      <c r="H667" t="n">
        <v>0</v>
      </c>
      <c r="I667" t="n">
        <v>0</v>
      </c>
      <c r="J667" t="n">
        <v>0</v>
      </c>
      <c r="K667" t="n">
        <v>0</v>
      </c>
      <c r="L667" t="n">
        <v>0</v>
      </c>
      <c r="M667" t="n">
        <v>0</v>
      </c>
      <c r="N667" t="n">
        <v>0</v>
      </c>
      <c r="O667" t="n">
        <v>0</v>
      </c>
      <c r="P667" t="n">
        <v>0</v>
      </c>
      <c r="Q667" t="n">
        <v>0</v>
      </c>
      <c r="R667" s="2" t="inlineStr"/>
    </row>
    <row r="668" ht="15" customHeight="1">
      <c r="A668" t="inlineStr">
        <is>
          <t>A 45633-2023</t>
        </is>
      </c>
      <c r="B668" s="1" t="n">
        <v>45194</v>
      </c>
      <c r="C668" s="1" t="n">
        <v>45765</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45512-2023</t>
        </is>
      </c>
      <c r="B669" s="1" t="n">
        <v>45194</v>
      </c>
      <c r="C669" s="1" t="n">
        <v>45765</v>
      </c>
      <c r="D669" t="inlineStr">
        <is>
          <t>DALARNAS LÄN</t>
        </is>
      </c>
      <c r="E669" t="inlineStr">
        <is>
          <t>LEKSAND</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45768-2023</t>
        </is>
      </c>
      <c r="B670" s="1" t="n">
        <v>45195</v>
      </c>
      <c r="C670" s="1" t="n">
        <v>45765</v>
      </c>
      <c r="D670" t="inlineStr">
        <is>
          <t>DALARNAS LÄN</t>
        </is>
      </c>
      <c r="E670" t="inlineStr">
        <is>
          <t>LEKSAND</t>
        </is>
      </c>
      <c r="G670" t="n">
        <v>0.4</v>
      </c>
      <c r="H670" t="n">
        <v>0</v>
      </c>
      <c r="I670" t="n">
        <v>0</v>
      </c>
      <c r="J670" t="n">
        <v>0</v>
      </c>
      <c r="K670" t="n">
        <v>0</v>
      </c>
      <c r="L670" t="n">
        <v>0</v>
      </c>
      <c r="M670" t="n">
        <v>0</v>
      </c>
      <c r="N670" t="n">
        <v>0</v>
      </c>
      <c r="O670" t="n">
        <v>0</v>
      </c>
      <c r="P670" t="n">
        <v>0</v>
      </c>
      <c r="Q670" t="n">
        <v>0</v>
      </c>
      <c r="R670" s="2" t="inlineStr"/>
    </row>
    <row r="671" ht="15" customHeight="1">
      <c r="A671" t="inlineStr">
        <is>
          <t>A 45679-2023</t>
        </is>
      </c>
      <c r="B671" s="1" t="n">
        <v>45195</v>
      </c>
      <c r="C671" s="1" t="n">
        <v>45765</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45813-2023</t>
        </is>
      </c>
      <c r="B672" s="1" t="n">
        <v>45195</v>
      </c>
      <c r="C672" s="1" t="n">
        <v>45765</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46163-2023</t>
        </is>
      </c>
      <c r="B673" s="1" t="n">
        <v>45196</v>
      </c>
      <c r="C673" s="1" t="n">
        <v>45765</v>
      </c>
      <c r="D673" t="inlineStr">
        <is>
          <t>DALARNAS LÄN</t>
        </is>
      </c>
      <c r="E673" t="inlineStr">
        <is>
          <t>LEKSAND</t>
        </is>
      </c>
      <c r="G673" t="n">
        <v>7.3</v>
      </c>
      <c r="H673" t="n">
        <v>0</v>
      </c>
      <c r="I673" t="n">
        <v>0</v>
      </c>
      <c r="J673" t="n">
        <v>0</v>
      </c>
      <c r="K673" t="n">
        <v>0</v>
      </c>
      <c r="L673" t="n">
        <v>0</v>
      </c>
      <c r="M673" t="n">
        <v>0</v>
      </c>
      <c r="N673" t="n">
        <v>0</v>
      </c>
      <c r="O673" t="n">
        <v>0</v>
      </c>
      <c r="P673" t="n">
        <v>0</v>
      </c>
      <c r="Q673" t="n">
        <v>0</v>
      </c>
      <c r="R673" s="2" t="inlineStr"/>
    </row>
    <row r="674" ht="15" customHeight="1">
      <c r="A674" t="inlineStr">
        <is>
          <t>A 46446-2023</t>
        </is>
      </c>
      <c r="B674" s="1" t="n">
        <v>45197</v>
      </c>
      <c r="C674" s="1" t="n">
        <v>45765</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46505-2023</t>
        </is>
      </c>
      <c r="B675" s="1" t="n">
        <v>45197</v>
      </c>
      <c r="C675" s="1" t="n">
        <v>45765</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46593-2023</t>
        </is>
      </c>
      <c r="B676" s="1" t="n">
        <v>45198</v>
      </c>
      <c r="C676" s="1" t="n">
        <v>45765</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46669-2023</t>
        </is>
      </c>
      <c r="B677" s="1" t="n">
        <v>45198</v>
      </c>
      <c r="C677" s="1" t="n">
        <v>45765</v>
      </c>
      <c r="D677" t="inlineStr">
        <is>
          <t>DALARNAS LÄN</t>
        </is>
      </c>
      <c r="E677" t="inlineStr">
        <is>
          <t>LEKSAND</t>
        </is>
      </c>
      <c r="G677" t="n">
        <v>3.5</v>
      </c>
      <c r="H677" t="n">
        <v>0</v>
      </c>
      <c r="I677" t="n">
        <v>0</v>
      </c>
      <c r="J677" t="n">
        <v>0</v>
      </c>
      <c r="K677" t="n">
        <v>0</v>
      </c>
      <c r="L677" t="n">
        <v>0</v>
      </c>
      <c r="M677" t="n">
        <v>0</v>
      </c>
      <c r="N677" t="n">
        <v>0</v>
      </c>
      <c r="O677" t="n">
        <v>0</v>
      </c>
      <c r="P677" t="n">
        <v>0</v>
      </c>
      <c r="Q677" t="n">
        <v>0</v>
      </c>
      <c r="R677" s="2" t="inlineStr"/>
    </row>
    <row r="678" ht="15" customHeight="1">
      <c r="A678" t="inlineStr">
        <is>
          <t>A 46594-2023</t>
        </is>
      </c>
      <c r="B678" s="1" t="n">
        <v>45198</v>
      </c>
      <c r="C678" s="1" t="n">
        <v>45765</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46600-2023</t>
        </is>
      </c>
      <c r="B679" s="1" t="n">
        <v>45198</v>
      </c>
      <c r="C679" s="1" t="n">
        <v>45765</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46665-2023</t>
        </is>
      </c>
      <c r="B680" s="1" t="n">
        <v>45198</v>
      </c>
      <c r="C680" s="1" t="n">
        <v>45765</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46635-2023</t>
        </is>
      </c>
      <c r="B681" s="1" t="n">
        <v>45198</v>
      </c>
      <c r="C681" s="1" t="n">
        <v>45765</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46834-2023</t>
        </is>
      </c>
      <c r="B682" s="1" t="n">
        <v>45199</v>
      </c>
      <c r="C682" s="1" t="n">
        <v>45765</v>
      </c>
      <c r="D682" t="inlineStr">
        <is>
          <t>DALARNAS LÄN</t>
        </is>
      </c>
      <c r="E682" t="inlineStr">
        <is>
          <t>LEKSAND</t>
        </is>
      </c>
      <c r="G682" t="n">
        <v>16.3</v>
      </c>
      <c r="H682" t="n">
        <v>0</v>
      </c>
      <c r="I682" t="n">
        <v>0</v>
      </c>
      <c r="J682" t="n">
        <v>0</v>
      </c>
      <c r="K682" t="n">
        <v>0</v>
      </c>
      <c r="L682" t="n">
        <v>0</v>
      </c>
      <c r="M682" t="n">
        <v>0</v>
      </c>
      <c r="N682" t="n">
        <v>0</v>
      </c>
      <c r="O682" t="n">
        <v>0</v>
      </c>
      <c r="P682" t="n">
        <v>0</v>
      </c>
      <c r="Q682" t="n">
        <v>0</v>
      </c>
      <c r="R682" s="2" t="inlineStr"/>
    </row>
    <row r="683" ht="15" customHeight="1">
      <c r="A683" t="inlineStr">
        <is>
          <t>A 46876-2023</t>
        </is>
      </c>
      <c r="B683" s="1" t="n">
        <v>45200</v>
      </c>
      <c r="C683" s="1" t="n">
        <v>45765</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47039-2023</t>
        </is>
      </c>
      <c r="B684" s="1" t="n">
        <v>45201</v>
      </c>
      <c r="C684" s="1" t="n">
        <v>45765</v>
      </c>
      <c r="D684" t="inlineStr">
        <is>
          <t>DALARNAS LÄN</t>
        </is>
      </c>
      <c r="E684" t="inlineStr">
        <is>
          <t>LEKSAND</t>
        </is>
      </c>
      <c r="G684" t="n">
        <v>3.2</v>
      </c>
      <c r="H684" t="n">
        <v>0</v>
      </c>
      <c r="I684" t="n">
        <v>0</v>
      </c>
      <c r="J684" t="n">
        <v>0</v>
      </c>
      <c r="K684" t="n">
        <v>0</v>
      </c>
      <c r="L684" t="n">
        <v>0</v>
      </c>
      <c r="M684" t="n">
        <v>0</v>
      </c>
      <c r="N684" t="n">
        <v>0</v>
      </c>
      <c r="O684" t="n">
        <v>0</v>
      </c>
      <c r="P684" t="n">
        <v>0</v>
      </c>
      <c r="Q684" t="n">
        <v>0</v>
      </c>
      <c r="R684" s="2" t="inlineStr"/>
    </row>
    <row r="685" ht="15" customHeight="1">
      <c r="A685" t="inlineStr">
        <is>
          <t>A 46931-2023</t>
        </is>
      </c>
      <c r="B685" s="1" t="n">
        <v>45201</v>
      </c>
      <c r="C685" s="1" t="n">
        <v>45765</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47011-2023</t>
        </is>
      </c>
      <c r="B686" s="1" t="n">
        <v>45201</v>
      </c>
      <c r="C686" s="1" t="n">
        <v>45765</v>
      </c>
      <c r="D686" t="inlineStr">
        <is>
          <t>DALARNAS LÄN</t>
        </is>
      </c>
      <c r="E686" t="inlineStr">
        <is>
          <t>LEKSAND</t>
        </is>
      </c>
      <c r="G686" t="n">
        <v>4</v>
      </c>
      <c r="H686" t="n">
        <v>0</v>
      </c>
      <c r="I686" t="n">
        <v>0</v>
      </c>
      <c r="J686" t="n">
        <v>0</v>
      </c>
      <c r="K686" t="n">
        <v>0</v>
      </c>
      <c r="L686" t="n">
        <v>0</v>
      </c>
      <c r="M686" t="n">
        <v>0</v>
      </c>
      <c r="N686" t="n">
        <v>0</v>
      </c>
      <c r="O686" t="n">
        <v>0</v>
      </c>
      <c r="P686" t="n">
        <v>0</v>
      </c>
      <c r="Q686" t="n">
        <v>0</v>
      </c>
      <c r="R686" s="2" t="inlineStr"/>
    </row>
    <row r="687" ht="15" customHeight="1">
      <c r="A687" t="inlineStr">
        <is>
          <t>A 47203-2023</t>
        </is>
      </c>
      <c r="B687" s="1" t="n">
        <v>45202</v>
      </c>
      <c r="C687" s="1" t="n">
        <v>45765</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47673-2023</t>
        </is>
      </c>
      <c r="B688" s="1" t="n">
        <v>45203</v>
      </c>
      <c r="C688" s="1" t="n">
        <v>45765</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47655-2023</t>
        </is>
      </c>
      <c r="B689" s="1" t="n">
        <v>45203</v>
      </c>
      <c r="C689" s="1" t="n">
        <v>45765</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48714-2023</t>
        </is>
      </c>
      <c r="B690" s="1" t="n">
        <v>45203</v>
      </c>
      <c r="C690" s="1" t="n">
        <v>45765</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48721-2023</t>
        </is>
      </c>
      <c r="B691" s="1" t="n">
        <v>45203</v>
      </c>
      <c r="C691" s="1" t="n">
        <v>45765</v>
      </c>
      <c r="D691" t="inlineStr">
        <is>
          <t>DALARNAS LÄN</t>
        </is>
      </c>
      <c r="E691" t="inlineStr">
        <is>
          <t>LEKSAND</t>
        </is>
      </c>
      <c r="G691" t="n">
        <v>2.9</v>
      </c>
      <c r="H691" t="n">
        <v>0</v>
      </c>
      <c r="I691" t="n">
        <v>0</v>
      </c>
      <c r="J691" t="n">
        <v>0</v>
      </c>
      <c r="K691" t="n">
        <v>0</v>
      </c>
      <c r="L691" t="n">
        <v>0</v>
      </c>
      <c r="M691" t="n">
        <v>0</v>
      </c>
      <c r="N691" t="n">
        <v>0</v>
      </c>
      <c r="O691" t="n">
        <v>0</v>
      </c>
      <c r="P691" t="n">
        <v>0</v>
      </c>
      <c r="Q691" t="n">
        <v>0</v>
      </c>
      <c r="R691" s="2" t="inlineStr"/>
    </row>
    <row r="692" ht="15" customHeight="1">
      <c r="A692" t="inlineStr">
        <is>
          <t>A 48029-2023</t>
        </is>
      </c>
      <c r="B692" s="1" t="n">
        <v>45204</v>
      </c>
      <c r="C692" s="1" t="n">
        <v>45765</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48644-2023</t>
        </is>
      </c>
      <c r="B693" s="1" t="n">
        <v>45208</v>
      </c>
      <c r="C693" s="1" t="n">
        <v>45765</v>
      </c>
      <c r="D693" t="inlineStr">
        <is>
          <t>DALARNAS LÄN</t>
        </is>
      </c>
      <c r="E693" t="inlineStr">
        <is>
          <t>LEKSAND</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50374-2023</t>
        </is>
      </c>
      <c r="B694" s="1" t="n">
        <v>45209</v>
      </c>
      <c r="C694" s="1" t="n">
        <v>45765</v>
      </c>
      <c r="D694" t="inlineStr">
        <is>
          <t>DALARNAS LÄN</t>
        </is>
      </c>
      <c r="E694" t="inlineStr">
        <is>
          <t>LEKSAND</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50082-2023</t>
        </is>
      </c>
      <c r="B695" s="1" t="n">
        <v>45215</v>
      </c>
      <c r="C695" s="1" t="n">
        <v>45765</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50447-2023</t>
        </is>
      </c>
      <c r="B696" s="1" t="n">
        <v>45216</v>
      </c>
      <c r="C696" s="1" t="n">
        <v>45765</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50278-2023</t>
        </is>
      </c>
      <c r="B697" s="1" t="n">
        <v>45216</v>
      </c>
      <c r="C697" s="1" t="n">
        <v>45765</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50553-2023</t>
        </is>
      </c>
      <c r="B698" s="1" t="n">
        <v>45217</v>
      </c>
      <c r="C698" s="1" t="n">
        <v>45765</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51090-2023</t>
        </is>
      </c>
      <c r="B699" s="1" t="n">
        <v>45218</v>
      </c>
      <c r="C699" s="1" t="n">
        <v>45765</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45765</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52801-2023</t>
        </is>
      </c>
      <c r="B701" s="1" t="n">
        <v>45219</v>
      </c>
      <c r="C701" s="1" t="n">
        <v>45765</v>
      </c>
      <c r="D701" t="inlineStr">
        <is>
          <t>DALARNAS LÄN</t>
        </is>
      </c>
      <c r="E701" t="inlineStr">
        <is>
          <t>LEKSAND</t>
        </is>
      </c>
      <c r="G701" t="n">
        <v>4.9</v>
      </c>
      <c r="H701" t="n">
        <v>0</v>
      </c>
      <c r="I701" t="n">
        <v>0</v>
      </c>
      <c r="J701" t="n">
        <v>0</v>
      </c>
      <c r="K701" t="n">
        <v>0</v>
      </c>
      <c r="L701" t="n">
        <v>0</v>
      </c>
      <c r="M701" t="n">
        <v>0</v>
      </c>
      <c r="N701" t="n">
        <v>0</v>
      </c>
      <c r="O701" t="n">
        <v>0</v>
      </c>
      <c r="P701" t="n">
        <v>0</v>
      </c>
      <c r="Q701" t="n">
        <v>0</v>
      </c>
      <c r="R701" s="2" t="inlineStr"/>
    </row>
    <row r="702" ht="15" customHeight="1">
      <c r="A702" t="inlineStr">
        <is>
          <t>A 52216-2023</t>
        </is>
      </c>
      <c r="B702" s="1" t="n">
        <v>45219</v>
      </c>
      <c r="C702" s="1" t="n">
        <v>45765</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51320-2023</t>
        </is>
      </c>
      <c r="B703" s="1" t="n">
        <v>45219</v>
      </c>
      <c r="C703" s="1" t="n">
        <v>45765</v>
      </c>
      <c r="D703" t="inlineStr">
        <is>
          <t>DALARNAS LÄN</t>
        </is>
      </c>
      <c r="E703" t="inlineStr">
        <is>
          <t>LEKSAND</t>
        </is>
      </c>
      <c r="G703" t="n">
        <v>2.1</v>
      </c>
      <c r="H703" t="n">
        <v>0</v>
      </c>
      <c r="I703" t="n">
        <v>0</v>
      </c>
      <c r="J703" t="n">
        <v>0</v>
      </c>
      <c r="K703" t="n">
        <v>0</v>
      </c>
      <c r="L703" t="n">
        <v>0</v>
      </c>
      <c r="M703" t="n">
        <v>0</v>
      </c>
      <c r="N703" t="n">
        <v>0</v>
      </c>
      <c r="O703" t="n">
        <v>0</v>
      </c>
      <c r="P703" t="n">
        <v>0</v>
      </c>
      <c r="Q703" t="n">
        <v>0</v>
      </c>
      <c r="R703" s="2" t="inlineStr"/>
    </row>
    <row r="704" ht="15" customHeight="1">
      <c r="A704" t="inlineStr">
        <is>
          <t>A 51736-2023</t>
        </is>
      </c>
      <c r="B704" s="1" t="n">
        <v>45222</v>
      </c>
      <c r="C704" s="1" t="n">
        <v>45765</v>
      </c>
      <c r="D704" t="inlineStr">
        <is>
          <t>DALARNAS LÄN</t>
        </is>
      </c>
      <c r="E704" t="inlineStr">
        <is>
          <t>LEKSAND</t>
        </is>
      </c>
      <c r="G704" t="n">
        <v>2.8</v>
      </c>
      <c r="H704" t="n">
        <v>0</v>
      </c>
      <c r="I704" t="n">
        <v>0</v>
      </c>
      <c r="J704" t="n">
        <v>0</v>
      </c>
      <c r="K704" t="n">
        <v>0</v>
      </c>
      <c r="L704" t="n">
        <v>0</v>
      </c>
      <c r="M704" t="n">
        <v>0</v>
      </c>
      <c r="N704" t="n">
        <v>0</v>
      </c>
      <c r="O704" t="n">
        <v>0</v>
      </c>
      <c r="P704" t="n">
        <v>0</v>
      </c>
      <c r="Q704" t="n">
        <v>0</v>
      </c>
      <c r="R704" s="2" t="inlineStr"/>
    </row>
    <row r="705" ht="15" customHeight="1">
      <c r="A705" t="inlineStr">
        <is>
          <t>A 52959-2023</t>
        </is>
      </c>
      <c r="B705" s="1" t="n">
        <v>45222</v>
      </c>
      <c r="C705" s="1" t="n">
        <v>45765</v>
      </c>
      <c r="D705" t="inlineStr">
        <is>
          <t>DALARNAS LÄN</t>
        </is>
      </c>
      <c r="E705" t="inlineStr">
        <is>
          <t>LEKSAND</t>
        </is>
      </c>
      <c r="G705" t="n">
        <v>6.5</v>
      </c>
      <c r="H705" t="n">
        <v>0</v>
      </c>
      <c r="I705" t="n">
        <v>0</v>
      </c>
      <c r="J705" t="n">
        <v>0</v>
      </c>
      <c r="K705" t="n">
        <v>0</v>
      </c>
      <c r="L705" t="n">
        <v>0</v>
      </c>
      <c r="M705" t="n">
        <v>0</v>
      </c>
      <c r="N705" t="n">
        <v>0</v>
      </c>
      <c r="O705" t="n">
        <v>0</v>
      </c>
      <c r="P705" t="n">
        <v>0</v>
      </c>
      <c r="Q705" t="n">
        <v>0</v>
      </c>
      <c r="R705" s="2" t="inlineStr"/>
    </row>
    <row r="706" ht="15" customHeight="1">
      <c r="A706" t="inlineStr">
        <is>
          <t>A 52016-2023</t>
        </is>
      </c>
      <c r="B706" s="1" t="n">
        <v>45223</v>
      </c>
      <c r="C706" s="1" t="n">
        <v>45765</v>
      </c>
      <c r="D706" t="inlineStr">
        <is>
          <t>DALARNAS LÄN</t>
        </is>
      </c>
      <c r="E706" t="inlineStr">
        <is>
          <t>LEKSAND</t>
        </is>
      </c>
      <c r="F706" t="inlineStr">
        <is>
          <t>Bergvik skog väst AB</t>
        </is>
      </c>
      <c r="G706" t="n">
        <v>3.2</v>
      </c>
      <c r="H706" t="n">
        <v>0</v>
      </c>
      <c r="I706" t="n">
        <v>0</v>
      </c>
      <c r="J706" t="n">
        <v>0</v>
      </c>
      <c r="K706" t="n">
        <v>0</v>
      </c>
      <c r="L706" t="n">
        <v>0</v>
      </c>
      <c r="M706" t="n">
        <v>0</v>
      </c>
      <c r="N706" t="n">
        <v>0</v>
      </c>
      <c r="O706" t="n">
        <v>0</v>
      </c>
      <c r="P706" t="n">
        <v>0</v>
      </c>
      <c r="Q706" t="n">
        <v>0</v>
      </c>
      <c r="R706" s="2" t="inlineStr"/>
    </row>
    <row r="707" ht="15" customHeight="1">
      <c r="A707" t="inlineStr">
        <is>
          <t>A 52732-2023</t>
        </is>
      </c>
      <c r="B707" s="1" t="n">
        <v>45226</v>
      </c>
      <c r="C707" s="1" t="n">
        <v>45765</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53120-2023</t>
        </is>
      </c>
      <c r="B708" s="1" t="n">
        <v>45228</v>
      </c>
      <c r="C708" s="1" t="n">
        <v>45765</v>
      </c>
      <c r="D708" t="inlineStr">
        <is>
          <t>DALARNAS LÄN</t>
        </is>
      </c>
      <c r="E708" t="inlineStr">
        <is>
          <t>LEKSAND</t>
        </is>
      </c>
      <c r="G708" t="n">
        <v>18</v>
      </c>
      <c r="H708" t="n">
        <v>0</v>
      </c>
      <c r="I708" t="n">
        <v>0</v>
      </c>
      <c r="J708" t="n">
        <v>0</v>
      </c>
      <c r="K708" t="n">
        <v>0</v>
      </c>
      <c r="L708" t="n">
        <v>0</v>
      </c>
      <c r="M708" t="n">
        <v>0</v>
      </c>
      <c r="N708" t="n">
        <v>0</v>
      </c>
      <c r="O708" t="n">
        <v>0</v>
      </c>
      <c r="P708" t="n">
        <v>0</v>
      </c>
      <c r="Q708" t="n">
        <v>0</v>
      </c>
      <c r="R708" s="2" t="inlineStr"/>
    </row>
    <row r="709" ht="15" customHeight="1">
      <c r="A709" t="inlineStr">
        <is>
          <t>A 53122-2023</t>
        </is>
      </c>
      <c r="B709" s="1" t="n">
        <v>45228</v>
      </c>
      <c r="C709" s="1" t="n">
        <v>45765</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53248-2023</t>
        </is>
      </c>
      <c r="B710" s="1" t="n">
        <v>45229</v>
      </c>
      <c r="C710" s="1" t="n">
        <v>45765</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53128-2023</t>
        </is>
      </c>
      <c r="B711" s="1" t="n">
        <v>45229</v>
      </c>
      <c r="C711" s="1" t="n">
        <v>45765</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53291-2023</t>
        </is>
      </c>
      <c r="B712" s="1" t="n">
        <v>45229</v>
      </c>
      <c r="C712" s="1" t="n">
        <v>45765</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53621-2023</t>
        </is>
      </c>
      <c r="B713" s="1" t="n">
        <v>45230</v>
      </c>
      <c r="C713" s="1" t="n">
        <v>45765</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53636-2023</t>
        </is>
      </c>
      <c r="B714" s="1" t="n">
        <v>45230</v>
      </c>
      <c r="C714" s="1" t="n">
        <v>45765</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53717-2023</t>
        </is>
      </c>
      <c r="B715" s="1" t="n">
        <v>45230</v>
      </c>
      <c r="C715" s="1" t="n">
        <v>45765</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55196-2023</t>
        </is>
      </c>
      <c r="B716" s="1" t="n">
        <v>45230</v>
      </c>
      <c r="C716" s="1" t="n">
        <v>45765</v>
      </c>
      <c r="D716" t="inlineStr">
        <is>
          <t>DALARNAS LÄN</t>
        </is>
      </c>
      <c r="E716" t="inlineStr">
        <is>
          <t>LEKSAND</t>
        </is>
      </c>
      <c r="G716" t="n">
        <v>5.7</v>
      </c>
      <c r="H716" t="n">
        <v>0</v>
      </c>
      <c r="I716" t="n">
        <v>0</v>
      </c>
      <c r="J716" t="n">
        <v>0</v>
      </c>
      <c r="K716" t="n">
        <v>0</v>
      </c>
      <c r="L716" t="n">
        <v>0</v>
      </c>
      <c r="M716" t="n">
        <v>0</v>
      </c>
      <c r="N716" t="n">
        <v>0</v>
      </c>
      <c r="O716" t="n">
        <v>0</v>
      </c>
      <c r="P716" t="n">
        <v>0</v>
      </c>
      <c r="Q716" t="n">
        <v>0</v>
      </c>
      <c r="R716" s="2" t="inlineStr"/>
    </row>
    <row r="717" ht="15" customHeight="1">
      <c r="A717" t="inlineStr">
        <is>
          <t>A 53799-2023</t>
        </is>
      </c>
      <c r="B717" s="1" t="n">
        <v>45231</v>
      </c>
      <c r="C717" s="1" t="n">
        <v>45765</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53823-2023</t>
        </is>
      </c>
      <c r="B718" s="1" t="n">
        <v>45231</v>
      </c>
      <c r="C718" s="1" t="n">
        <v>45765</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53817-2023</t>
        </is>
      </c>
      <c r="B719" s="1" t="n">
        <v>45231</v>
      </c>
      <c r="C719" s="1" t="n">
        <v>45765</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54251-2023</t>
        </is>
      </c>
      <c r="B720" s="1" t="n">
        <v>45232</v>
      </c>
      <c r="C720" s="1" t="n">
        <v>45765</v>
      </c>
      <c r="D720" t="inlineStr">
        <is>
          <t>DALARNAS LÄN</t>
        </is>
      </c>
      <c r="E720" t="inlineStr">
        <is>
          <t>LEKSAND</t>
        </is>
      </c>
      <c r="F720" t="inlineStr">
        <is>
          <t>Övriga Aktiebolag</t>
        </is>
      </c>
      <c r="G720" t="n">
        <v>6.7</v>
      </c>
      <c r="H720" t="n">
        <v>0</v>
      </c>
      <c r="I720" t="n">
        <v>0</v>
      </c>
      <c r="J720" t="n">
        <v>0</v>
      </c>
      <c r="K720" t="n">
        <v>0</v>
      </c>
      <c r="L720" t="n">
        <v>0</v>
      </c>
      <c r="M720" t="n">
        <v>0</v>
      </c>
      <c r="N720" t="n">
        <v>0</v>
      </c>
      <c r="O720" t="n">
        <v>0</v>
      </c>
      <c r="P720" t="n">
        <v>0</v>
      </c>
      <c r="Q720" t="n">
        <v>0</v>
      </c>
      <c r="R720" s="2" t="inlineStr"/>
    </row>
    <row r="721" ht="15" customHeight="1">
      <c r="A721" t="inlineStr">
        <is>
          <t>A 54289-2023</t>
        </is>
      </c>
      <c r="B721" s="1" t="n">
        <v>45232</v>
      </c>
      <c r="C721" s="1" t="n">
        <v>45765</v>
      </c>
      <c r="D721" t="inlineStr">
        <is>
          <t>DALARNAS LÄN</t>
        </is>
      </c>
      <c r="E721" t="inlineStr">
        <is>
          <t>LEKSAND</t>
        </is>
      </c>
      <c r="G721" t="n">
        <v>2</v>
      </c>
      <c r="H721" t="n">
        <v>0</v>
      </c>
      <c r="I721" t="n">
        <v>0</v>
      </c>
      <c r="J721" t="n">
        <v>0</v>
      </c>
      <c r="K721" t="n">
        <v>0</v>
      </c>
      <c r="L721" t="n">
        <v>0</v>
      </c>
      <c r="M721" t="n">
        <v>0</v>
      </c>
      <c r="N721" t="n">
        <v>0</v>
      </c>
      <c r="O721" t="n">
        <v>0</v>
      </c>
      <c r="P721" t="n">
        <v>0</v>
      </c>
      <c r="Q721" t="n">
        <v>0</v>
      </c>
      <c r="R721" s="2" t="inlineStr"/>
    </row>
    <row r="722" ht="15" customHeight="1">
      <c r="A722" t="inlineStr">
        <is>
          <t>A 54682-2023</t>
        </is>
      </c>
      <c r="B722" s="1" t="n">
        <v>45235</v>
      </c>
      <c r="C722" s="1" t="n">
        <v>45765</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54690-2023</t>
        </is>
      </c>
      <c r="B723" s="1" t="n">
        <v>45236</v>
      </c>
      <c r="C723" s="1" t="n">
        <v>45765</v>
      </c>
      <c r="D723" t="inlineStr">
        <is>
          <t>DALARNAS LÄN</t>
        </is>
      </c>
      <c r="E723" t="inlineStr">
        <is>
          <t>LEKSAND</t>
        </is>
      </c>
      <c r="G723" t="n">
        <v>2.5</v>
      </c>
      <c r="H723" t="n">
        <v>0</v>
      </c>
      <c r="I723" t="n">
        <v>0</v>
      </c>
      <c r="J723" t="n">
        <v>0</v>
      </c>
      <c r="K723" t="n">
        <v>0</v>
      </c>
      <c r="L723" t="n">
        <v>0</v>
      </c>
      <c r="M723" t="n">
        <v>0</v>
      </c>
      <c r="N723" t="n">
        <v>0</v>
      </c>
      <c r="O723" t="n">
        <v>0</v>
      </c>
      <c r="P723" t="n">
        <v>0</v>
      </c>
      <c r="Q723" t="n">
        <v>0</v>
      </c>
      <c r="R723" s="2" t="inlineStr"/>
    </row>
    <row r="724" ht="15" customHeight="1">
      <c r="A724" t="inlineStr">
        <is>
          <t>A 55418-2023</t>
        </is>
      </c>
      <c r="B724" s="1" t="n">
        <v>45238</v>
      </c>
      <c r="C724" s="1" t="n">
        <v>45765</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55438-2023</t>
        </is>
      </c>
      <c r="B725" s="1" t="n">
        <v>45238</v>
      </c>
      <c r="C725" s="1" t="n">
        <v>45765</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55464-2023</t>
        </is>
      </c>
      <c r="B726" s="1" t="n">
        <v>45238</v>
      </c>
      <c r="C726" s="1" t="n">
        <v>45765</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55430-2023</t>
        </is>
      </c>
      <c r="B727" s="1" t="n">
        <v>45238</v>
      </c>
      <c r="C727" s="1" t="n">
        <v>45765</v>
      </c>
      <c r="D727" t="inlineStr">
        <is>
          <t>DALARNAS LÄN</t>
        </is>
      </c>
      <c r="E727" t="inlineStr">
        <is>
          <t>LEKSAND</t>
        </is>
      </c>
      <c r="G727" t="n">
        <v>1.6</v>
      </c>
      <c r="H727" t="n">
        <v>0</v>
      </c>
      <c r="I727" t="n">
        <v>0</v>
      </c>
      <c r="J727" t="n">
        <v>0</v>
      </c>
      <c r="K727" t="n">
        <v>0</v>
      </c>
      <c r="L727" t="n">
        <v>0</v>
      </c>
      <c r="M727" t="n">
        <v>0</v>
      </c>
      <c r="N727" t="n">
        <v>0</v>
      </c>
      <c r="O727" t="n">
        <v>0</v>
      </c>
      <c r="P727" t="n">
        <v>0</v>
      </c>
      <c r="Q727" t="n">
        <v>0</v>
      </c>
      <c r="R727" s="2" t="inlineStr"/>
    </row>
    <row r="728" ht="15" customHeight="1">
      <c r="A728" t="inlineStr">
        <is>
          <t>A 56221-2023</t>
        </is>
      </c>
      <c r="B728" s="1" t="n">
        <v>45240</v>
      </c>
      <c r="C728" s="1" t="n">
        <v>45765</v>
      </c>
      <c r="D728" t="inlineStr">
        <is>
          <t>DALARNAS LÄN</t>
        </is>
      </c>
      <c r="E728" t="inlineStr">
        <is>
          <t>LEKSAND</t>
        </is>
      </c>
      <c r="G728" t="n">
        <v>1.8</v>
      </c>
      <c r="H728" t="n">
        <v>0</v>
      </c>
      <c r="I728" t="n">
        <v>0</v>
      </c>
      <c r="J728" t="n">
        <v>0</v>
      </c>
      <c r="K728" t="n">
        <v>0</v>
      </c>
      <c r="L728" t="n">
        <v>0</v>
      </c>
      <c r="M728" t="n">
        <v>0</v>
      </c>
      <c r="N728" t="n">
        <v>0</v>
      </c>
      <c r="O728" t="n">
        <v>0</v>
      </c>
      <c r="P728" t="n">
        <v>0</v>
      </c>
      <c r="Q728" t="n">
        <v>0</v>
      </c>
      <c r="R728" s="2" t="inlineStr"/>
    </row>
    <row r="729" ht="15" customHeight="1">
      <c r="A729" t="inlineStr">
        <is>
          <t>A 56211-2023</t>
        </is>
      </c>
      <c r="B729" s="1" t="n">
        <v>45240</v>
      </c>
      <c r="C729" s="1" t="n">
        <v>45765</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56099-2023</t>
        </is>
      </c>
      <c r="B730" s="1" t="n">
        <v>45240</v>
      </c>
      <c r="C730" s="1" t="n">
        <v>45765</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56067-2023</t>
        </is>
      </c>
      <c r="B731" s="1" t="n">
        <v>45240</v>
      </c>
      <c r="C731" s="1" t="n">
        <v>45765</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56065-2023</t>
        </is>
      </c>
      <c r="B732" s="1" t="n">
        <v>45240</v>
      </c>
      <c r="C732" s="1" t="n">
        <v>45765</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56350-2023</t>
        </is>
      </c>
      <c r="B733" s="1" t="n">
        <v>45243</v>
      </c>
      <c r="C733" s="1" t="n">
        <v>45765</v>
      </c>
      <c r="D733" t="inlineStr">
        <is>
          <t>DALARNAS LÄN</t>
        </is>
      </c>
      <c r="E733" t="inlineStr">
        <is>
          <t>LEKSAND</t>
        </is>
      </c>
      <c r="G733" t="n">
        <v>4</v>
      </c>
      <c r="H733" t="n">
        <v>0</v>
      </c>
      <c r="I733" t="n">
        <v>0</v>
      </c>
      <c r="J733" t="n">
        <v>0</v>
      </c>
      <c r="K733" t="n">
        <v>0</v>
      </c>
      <c r="L733" t="n">
        <v>0</v>
      </c>
      <c r="M733" t="n">
        <v>0</v>
      </c>
      <c r="N733" t="n">
        <v>0</v>
      </c>
      <c r="O733" t="n">
        <v>0</v>
      </c>
      <c r="P733" t="n">
        <v>0</v>
      </c>
      <c r="Q733" t="n">
        <v>0</v>
      </c>
      <c r="R733" s="2" t="inlineStr"/>
    </row>
    <row r="734" ht="15" customHeight="1">
      <c r="A734" t="inlineStr">
        <is>
          <t>A 56632-2023</t>
        </is>
      </c>
      <c r="B734" s="1" t="n">
        <v>45243</v>
      </c>
      <c r="C734" s="1" t="n">
        <v>45765</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56753-2023</t>
        </is>
      </c>
      <c r="B735" s="1" t="n">
        <v>45244</v>
      </c>
      <c r="C735" s="1" t="n">
        <v>45765</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56810-2023</t>
        </is>
      </c>
      <c r="B736" s="1" t="n">
        <v>45244</v>
      </c>
      <c r="C736" s="1" t="n">
        <v>45765</v>
      </c>
      <c r="D736" t="inlineStr">
        <is>
          <t>DALARNAS LÄN</t>
        </is>
      </c>
      <c r="E736" t="inlineStr">
        <is>
          <t>LEKSAND</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56812-2023</t>
        </is>
      </c>
      <c r="B737" s="1" t="n">
        <v>45244</v>
      </c>
      <c r="C737" s="1" t="n">
        <v>45765</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57013-2023</t>
        </is>
      </c>
      <c r="B738" s="1" t="n">
        <v>45244</v>
      </c>
      <c r="C738" s="1" t="n">
        <v>45765</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57323-2023</t>
        </is>
      </c>
      <c r="B739" s="1" t="n">
        <v>45245</v>
      </c>
      <c r="C739" s="1" t="n">
        <v>45765</v>
      </c>
      <c r="D739" t="inlineStr">
        <is>
          <t>DALARNAS LÄN</t>
        </is>
      </c>
      <c r="E739" t="inlineStr">
        <is>
          <t>LEKSAND</t>
        </is>
      </c>
      <c r="G739" t="n">
        <v>4.9</v>
      </c>
      <c r="H739" t="n">
        <v>0</v>
      </c>
      <c r="I739" t="n">
        <v>0</v>
      </c>
      <c r="J739" t="n">
        <v>0</v>
      </c>
      <c r="K739" t="n">
        <v>0</v>
      </c>
      <c r="L739" t="n">
        <v>0</v>
      </c>
      <c r="M739" t="n">
        <v>0</v>
      </c>
      <c r="N739" t="n">
        <v>0</v>
      </c>
      <c r="O739" t="n">
        <v>0</v>
      </c>
      <c r="P739" t="n">
        <v>0</v>
      </c>
      <c r="Q739" t="n">
        <v>0</v>
      </c>
      <c r="R739" s="2" t="inlineStr"/>
    </row>
    <row r="740" ht="15" customHeight="1">
      <c r="A740" t="inlineStr">
        <is>
          <t>A 57106-2023</t>
        </is>
      </c>
      <c r="B740" s="1" t="n">
        <v>45245</v>
      </c>
      <c r="C740" s="1" t="n">
        <v>45765</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57093-2023</t>
        </is>
      </c>
      <c r="B741" s="1" t="n">
        <v>45245</v>
      </c>
      <c r="C741" s="1" t="n">
        <v>45765</v>
      </c>
      <c r="D741" t="inlineStr">
        <is>
          <t>DALARNAS LÄN</t>
        </is>
      </c>
      <c r="E741" t="inlineStr">
        <is>
          <t>LEKSAND</t>
        </is>
      </c>
      <c r="G741" t="n">
        <v>3.3</v>
      </c>
      <c r="H741" t="n">
        <v>0</v>
      </c>
      <c r="I741" t="n">
        <v>0</v>
      </c>
      <c r="J741" t="n">
        <v>0</v>
      </c>
      <c r="K741" t="n">
        <v>0</v>
      </c>
      <c r="L741" t="n">
        <v>0</v>
      </c>
      <c r="M741" t="n">
        <v>0</v>
      </c>
      <c r="N741" t="n">
        <v>0</v>
      </c>
      <c r="O741" t="n">
        <v>0</v>
      </c>
      <c r="P741" t="n">
        <v>0</v>
      </c>
      <c r="Q741" t="n">
        <v>0</v>
      </c>
      <c r="R741" s="2" t="inlineStr"/>
    </row>
    <row r="742" ht="15" customHeight="1">
      <c r="A742" t="inlineStr">
        <is>
          <t>A 57468-2023</t>
        </is>
      </c>
      <c r="B742" s="1" t="n">
        <v>45246</v>
      </c>
      <c r="C742" s="1" t="n">
        <v>45765</v>
      </c>
      <c r="D742" t="inlineStr">
        <is>
          <t>DALARNAS LÄN</t>
        </is>
      </c>
      <c r="E742" t="inlineStr">
        <is>
          <t>LEKSAND</t>
        </is>
      </c>
      <c r="G742" t="n">
        <v>4.6</v>
      </c>
      <c r="H742" t="n">
        <v>0</v>
      </c>
      <c r="I742" t="n">
        <v>0</v>
      </c>
      <c r="J742" t="n">
        <v>0</v>
      </c>
      <c r="K742" t="n">
        <v>0</v>
      </c>
      <c r="L742" t="n">
        <v>0</v>
      </c>
      <c r="M742" t="n">
        <v>0</v>
      </c>
      <c r="N742" t="n">
        <v>0</v>
      </c>
      <c r="O742" t="n">
        <v>0</v>
      </c>
      <c r="P742" t="n">
        <v>0</v>
      </c>
      <c r="Q742" t="n">
        <v>0</v>
      </c>
      <c r="R742" s="2" t="inlineStr"/>
    </row>
    <row r="743" ht="15" customHeight="1">
      <c r="A743" t="inlineStr">
        <is>
          <t>A 57635-2023</t>
        </is>
      </c>
      <c r="B743" s="1" t="n">
        <v>45246</v>
      </c>
      <c r="C743" s="1" t="n">
        <v>45765</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57681-2023</t>
        </is>
      </c>
      <c r="B744" s="1" t="n">
        <v>45246</v>
      </c>
      <c r="C744" s="1" t="n">
        <v>45765</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57665-2023</t>
        </is>
      </c>
      <c r="B745" s="1" t="n">
        <v>45246</v>
      </c>
      <c r="C745" s="1" t="n">
        <v>45765</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57852-2023</t>
        </is>
      </c>
      <c r="B746" s="1" t="n">
        <v>45247</v>
      </c>
      <c r="C746" s="1" t="n">
        <v>45765</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58405-2023</t>
        </is>
      </c>
      <c r="B747" s="1" t="n">
        <v>45250</v>
      </c>
      <c r="C747" s="1" t="n">
        <v>45765</v>
      </c>
      <c r="D747" t="inlineStr">
        <is>
          <t>DALARNAS LÄN</t>
        </is>
      </c>
      <c r="E747" t="inlineStr">
        <is>
          <t>LEKSAND</t>
        </is>
      </c>
      <c r="G747" t="n">
        <v>2.6</v>
      </c>
      <c r="H747" t="n">
        <v>0</v>
      </c>
      <c r="I747" t="n">
        <v>0</v>
      </c>
      <c r="J747" t="n">
        <v>0</v>
      </c>
      <c r="K747" t="n">
        <v>0</v>
      </c>
      <c r="L747" t="n">
        <v>0</v>
      </c>
      <c r="M747" t="n">
        <v>0</v>
      </c>
      <c r="N747" t="n">
        <v>0</v>
      </c>
      <c r="O747" t="n">
        <v>0</v>
      </c>
      <c r="P747" t="n">
        <v>0</v>
      </c>
      <c r="Q747" t="n">
        <v>0</v>
      </c>
      <c r="R747" s="2" t="inlineStr"/>
    </row>
    <row r="748" ht="15" customHeight="1">
      <c r="A748" t="inlineStr">
        <is>
          <t>A 58402-2023</t>
        </is>
      </c>
      <c r="B748" s="1" t="n">
        <v>45250</v>
      </c>
      <c r="C748" s="1" t="n">
        <v>45765</v>
      </c>
      <c r="D748" t="inlineStr">
        <is>
          <t>DALARNAS LÄN</t>
        </is>
      </c>
      <c r="E748" t="inlineStr">
        <is>
          <t>LEKSAND</t>
        </is>
      </c>
      <c r="G748" t="n">
        <v>4.5</v>
      </c>
      <c r="H748" t="n">
        <v>0</v>
      </c>
      <c r="I748" t="n">
        <v>0</v>
      </c>
      <c r="J748" t="n">
        <v>0</v>
      </c>
      <c r="K748" t="n">
        <v>0</v>
      </c>
      <c r="L748" t="n">
        <v>0</v>
      </c>
      <c r="M748" t="n">
        <v>0</v>
      </c>
      <c r="N748" t="n">
        <v>0</v>
      </c>
      <c r="O748" t="n">
        <v>0</v>
      </c>
      <c r="P748" t="n">
        <v>0</v>
      </c>
      <c r="Q748" t="n">
        <v>0</v>
      </c>
      <c r="R748" s="2" t="inlineStr"/>
    </row>
    <row r="749" ht="15" customHeight="1">
      <c r="A749" t="inlineStr">
        <is>
          <t>A 58495-2023</t>
        </is>
      </c>
      <c r="B749" s="1" t="n">
        <v>45251</v>
      </c>
      <c r="C749" s="1" t="n">
        <v>45765</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58730-2023</t>
        </is>
      </c>
      <c r="B750" s="1" t="n">
        <v>45251</v>
      </c>
      <c r="C750" s="1" t="n">
        <v>45765</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58877-2023</t>
        </is>
      </c>
      <c r="B751" s="1" t="n">
        <v>45252</v>
      </c>
      <c r="C751" s="1" t="n">
        <v>45765</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58950-2023</t>
        </is>
      </c>
      <c r="B752" s="1" t="n">
        <v>45252</v>
      </c>
      <c r="C752" s="1" t="n">
        <v>45765</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58949-2023</t>
        </is>
      </c>
      <c r="B753" s="1" t="n">
        <v>45252</v>
      </c>
      <c r="C753" s="1" t="n">
        <v>45765</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59011-2023</t>
        </is>
      </c>
      <c r="B754" s="1" t="n">
        <v>45252</v>
      </c>
      <c r="C754" s="1" t="n">
        <v>45765</v>
      </c>
      <c r="D754" t="inlineStr">
        <is>
          <t>DALARNAS LÄN</t>
        </is>
      </c>
      <c r="E754" t="inlineStr">
        <is>
          <t>LEKSAND</t>
        </is>
      </c>
      <c r="G754" t="n">
        <v>3.7</v>
      </c>
      <c r="H754" t="n">
        <v>0</v>
      </c>
      <c r="I754" t="n">
        <v>0</v>
      </c>
      <c r="J754" t="n">
        <v>0</v>
      </c>
      <c r="K754" t="n">
        <v>0</v>
      </c>
      <c r="L754" t="n">
        <v>0</v>
      </c>
      <c r="M754" t="n">
        <v>0</v>
      </c>
      <c r="N754" t="n">
        <v>0</v>
      </c>
      <c r="O754" t="n">
        <v>0</v>
      </c>
      <c r="P754" t="n">
        <v>0</v>
      </c>
      <c r="Q754" t="n">
        <v>0</v>
      </c>
      <c r="R754" s="2" t="inlineStr"/>
    </row>
    <row r="755" ht="15" customHeight="1">
      <c r="A755" t="inlineStr">
        <is>
          <t>A 58853-2023</t>
        </is>
      </c>
      <c r="B755" s="1" t="n">
        <v>45252</v>
      </c>
      <c r="C755" s="1" t="n">
        <v>45765</v>
      </c>
      <c r="D755" t="inlineStr">
        <is>
          <t>DALARNAS LÄN</t>
        </is>
      </c>
      <c r="E755" t="inlineStr">
        <is>
          <t>LEKSAND</t>
        </is>
      </c>
      <c r="G755" t="n">
        <v>2.4</v>
      </c>
      <c r="H755" t="n">
        <v>0</v>
      </c>
      <c r="I755" t="n">
        <v>0</v>
      </c>
      <c r="J755" t="n">
        <v>0</v>
      </c>
      <c r="K755" t="n">
        <v>0</v>
      </c>
      <c r="L755" t="n">
        <v>0</v>
      </c>
      <c r="M755" t="n">
        <v>0</v>
      </c>
      <c r="N755" t="n">
        <v>0</v>
      </c>
      <c r="O755" t="n">
        <v>0</v>
      </c>
      <c r="P755" t="n">
        <v>0</v>
      </c>
      <c r="Q755" t="n">
        <v>0</v>
      </c>
      <c r="R755" s="2" t="inlineStr"/>
    </row>
    <row r="756" ht="15" customHeight="1">
      <c r="A756" t="inlineStr">
        <is>
          <t>A 58880-2023</t>
        </is>
      </c>
      <c r="B756" s="1" t="n">
        <v>45252</v>
      </c>
      <c r="C756" s="1" t="n">
        <v>45765</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59222-2023</t>
        </is>
      </c>
      <c r="B757" s="1" t="n">
        <v>45252</v>
      </c>
      <c r="C757" s="1" t="n">
        <v>45765</v>
      </c>
      <c r="D757" t="inlineStr">
        <is>
          <t>DALARNAS LÄN</t>
        </is>
      </c>
      <c r="E757" t="inlineStr">
        <is>
          <t>LEKSAND</t>
        </is>
      </c>
      <c r="G757" t="n">
        <v>1.7</v>
      </c>
      <c r="H757" t="n">
        <v>0</v>
      </c>
      <c r="I757" t="n">
        <v>0</v>
      </c>
      <c r="J757" t="n">
        <v>0</v>
      </c>
      <c r="K757" t="n">
        <v>0</v>
      </c>
      <c r="L757" t="n">
        <v>0</v>
      </c>
      <c r="M757" t="n">
        <v>0</v>
      </c>
      <c r="N757" t="n">
        <v>0</v>
      </c>
      <c r="O757" t="n">
        <v>0</v>
      </c>
      <c r="P757" t="n">
        <v>0</v>
      </c>
      <c r="Q757" t="n">
        <v>0</v>
      </c>
      <c r="R757" s="2" t="inlineStr"/>
    </row>
    <row r="758" ht="15" customHeight="1">
      <c r="A758" t="inlineStr">
        <is>
          <t>A 59392-2023</t>
        </is>
      </c>
      <c r="B758" s="1" t="n">
        <v>45253</v>
      </c>
      <c r="C758" s="1" t="n">
        <v>45765</v>
      </c>
      <c r="D758" t="inlineStr">
        <is>
          <t>DALARNAS LÄN</t>
        </is>
      </c>
      <c r="E758" t="inlineStr">
        <is>
          <t>LEKSAND</t>
        </is>
      </c>
      <c r="G758" t="n">
        <v>1.6</v>
      </c>
      <c r="H758" t="n">
        <v>0</v>
      </c>
      <c r="I758" t="n">
        <v>0</v>
      </c>
      <c r="J758" t="n">
        <v>0</v>
      </c>
      <c r="K758" t="n">
        <v>0</v>
      </c>
      <c r="L758" t="n">
        <v>0</v>
      </c>
      <c r="M758" t="n">
        <v>0</v>
      </c>
      <c r="N758" t="n">
        <v>0</v>
      </c>
      <c r="O758" t="n">
        <v>0</v>
      </c>
      <c r="P758" t="n">
        <v>0</v>
      </c>
      <c r="Q758" t="n">
        <v>0</v>
      </c>
      <c r="R758" s="2" t="inlineStr"/>
    </row>
    <row r="759" ht="15" customHeight="1">
      <c r="A759" t="inlineStr">
        <is>
          <t>A 59562-2023</t>
        </is>
      </c>
      <c r="B759" s="1" t="n">
        <v>45253</v>
      </c>
      <c r="C759" s="1" t="n">
        <v>45765</v>
      </c>
      <c r="D759" t="inlineStr">
        <is>
          <t>DALARNAS LÄN</t>
        </is>
      </c>
      <c r="E759" t="inlineStr">
        <is>
          <t>LEKSAND</t>
        </is>
      </c>
      <c r="G759" t="n">
        <v>2.1</v>
      </c>
      <c r="H759" t="n">
        <v>0</v>
      </c>
      <c r="I759" t="n">
        <v>0</v>
      </c>
      <c r="J759" t="n">
        <v>0</v>
      </c>
      <c r="K759" t="n">
        <v>0</v>
      </c>
      <c r="L759" t="n">
        <v>0</v>
      </c>
      <c r="M759" t="n">
        <v>0</v>
      </c>
      <c r="N759" t="n">
        <v>0</v>
      </c>
      <c r="O759" t="n">
        <v>0</v>
      </c>
      <c r="P759" t="n">
        <v>0</v>
      </c>
      <c r="Q759" t="n">
        <v>0</v>
      </c>
      <c r="R759" s="2" t="inlineStr"/>
    </row>
    <row r="760" ht="15" customHeight="1">
      <c r="A760" t="inlineStr">
        <is>
          <t>A 59809-2023</t>
        </is>
      </c>
      <c r="B760" s="1" t="n">
        <v>45254</v>
      </c>
      <c r="C760" s="1" t="n">
        <v>45765</v>
      </c>
      <c r="D760" t="inlineStr">
        <is>
          <t>DALARNAS LÄN</t>
        </is>
      </c>
      <c r="E760" t="inlineStr">
        <is>
          <t>LEKSAND</t>
        </is>
      </c>
      <c r="G760" t="n">
        <v>3.9</v>
      </c>
      <c r="H760" t="n">
        <v>0</v>
      </c>
      <c r="I760" t="n">
        <v>0</v>
      </c>
      <c r="J760" t="n">
        <v>0</v>
      </c>
      <c r="K760" t="n">
        <v>0</v>
      </c>
      <c r="L760" t="n">
        <v>0</v>
      </c>
      <c r="M760" t="n">
        <v>0</v>
      </c>
      <c r="N760" t="n">
        <v>0</v>
      </c>
      <c r="O760" t="n">
        <v>0</v>
      </c>
      <c r="P760" t="n">
        <v>0</v>
      </c>
      <c r="Q760" t="n">
        <v>0</v>
      </c>
      <c r="R760" s="2" t="inlineStr"/>
    </row>
    <row r="761" ht="15" customHeight="1">
      <c r="A761" t="inlineStr">
        <is>
          <t>A 59803-2023</t>
        </is>
      </c>
      <c r="B761" s="1" t="n">
        <v>45254</v>
      </c>
      <c r="C761" s="1" t="n">
        <v>45765</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59826-2023</t>
        </is>
      </c>
      <c r="B762" s="1" t="n">
        <v>45254</v>
      </c>
      <c r="C762" s="1" t="n">
        <v>45765</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59673-2023</t>
        </is>
      </c>
      <c r="B763" s="1" t="n">
        <v>45255</v>
      </c>
      <c r="C763" s="1" t="n">
        <v>45765</v>
      </c>
      <c r="D763" t="inlineStr">
        <is>
          <t>DALARNAS LÄN</t>
        </is>
      </c>
      <c r="E763" t="inlineStr">
        <is>
          <t>LEKSAND</t>
        </is>
      </c>
      <c r="G763" t="n">
        <v>12.2</v>
      </c>
      <c r="H763" t="n">
        <v>0</v>
      </c>
      <c r="I763" t="n">
        <v>0</v>
      </c>
      <c r="J763" t="n">
        <v>0</v>
      </c>
      <c r="K763" t="n">
        <v>0</v>
      </c>
      <c r="L763" t="n">
        <v>0</v>
      </c>
      <c r="M763" t="n">
        <v>0</v>
      </c>
      <c r="N763" t="n">
        <v>0</v>
      </c>
      <c r="O763" t="n">
        <v>0</v>
      </c>
      <c r="P763" t="n">
        <v>0</v>
      </c>
      <c r="Q763" t="n">
        <v>0</v>
      </c>
      <c r="R763" s="2" t="inlineStr"/>
    </row>
    <row r="764" ht="15" customHeight="1">
      <c r="A764" t="inlineStr">
        <is>
          <t>A 60042-2023</t>
        </is>
      </c>
      <c r="B764" s="1" t="n">
        <v>45256</v>
      </c>
      <c r="C764" s="1" t="n">
        <v>45765</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60040-2023</t>
        </is>
      </c>
      <c r="B765" s="1" t="n">
        <v>45256</v>
      </c>
      <c r="C765" s="1" t="n">
        <v>45765</v>
      </c>
      <c r="D765" t="inlineStr">
        <is>
          <t>DALARNAS LÄN</t>
        </is>
      </c>
      <c r="E765" t="inlineStr">
        <is>
          <t>LEKSAND</t>
        </is>
      </c>
      <c r="G765" t="n">
        <v>0.9</v>
      </c>
      <c r="H765" t="n">
        <v>0</v>
      </c>
      <c r="I765" t="n">
        <v>0</v>
      </c>
      <c r="J765" t="n">
        <v>0</v>
      </c>
      <c r="K765" t="n">
        <v>0</v>
      </c>
      <c r="L765" t="n">
        <v>0</v>
      </c>
      <c r="M765" t="n">
        <v>0</v>
      </c>
      <c r="N765" t="n">
        <v>0</v>
      </c>
      <c r="O765" t="n">
        <v>0</v>
      </c>
      <c r="P765" t="n">
        <v>0</v>
      </c>
      <c r="Q765" t="n">
        <v>0</v>
      </c>
      <c r="R765" s="2" t="inlineStr"/>
    </row>
    <row r="766" ht="15" customHeight="1">
      <c r="A766" t="inlineStr">
        <is>
          <t>A 59718-2023</t>
        </is>
      </c>
      <c r="B766" s="1" t="n">
        <v>45257</v>
      </c>
      <c r="C766" s="1" t="n">
        <v>45765</v>
      </c>
      <c r="D766" t="inlineStr">
        <is>
          <t>DALARNAS LÄN</t>
        </is>
      </c>
      <c r="E766" t="inlineStr">
        <is>
          <t>LEKSAND</t>
        </is>
      </c>
      <c r="G766" t="n">
        <v>2.2</v>
      </c>
      <c r="H766" t="n">
        <v>0</v>
      </c>
      <c r="I766" t="n">
        <v>0</v>
      </c>
      <c r="J766" t="n">
        <v>0</v>
      </c>
      <c r="K766" t="n">
        <v>0</v>
      </c>
      <c r="L766" t="n">
        <v>0</v>
      </c>
      <c r="M766" t="n">
        <v>0</v>
      </c>
      <c r="N766" t="n">
        <v>0</v>
      </c>
      <c r="O766" t="n">
        <v>0</v>
      </c>
      <c r="P766" t="n">
        <v>0</v>
      </c>
      <c r="Q766" t="n">
        <v>0</v>
      </c>
      <c r="R766" s="2" t="inlineStr"/>
    </row>
    <row r="767" ht="15" customHeight="1">
      <c r="A767" t="inlineStr">
        <is>
          <t>A 59763-2023</t>
        </is>
      </c>
      <c r="B767" s="1" t="n">
        <v>45257</v>
      </c>
      <c r="C767" s="1" t="n">
        <v>45765</v>
      </c>
      <c r="D767" t="inlineStr">
        <is>
          <t>DALARNAS LÄN</t>
        </is>
      </c>
      <c r="E767" t="inlineStr">
        <is>
          <t>LEKSAND</t>
        </is>
      </c>
      <c r="G767" t="n">
        <v>1.6</v>
      </c>
      <c r="H767" t="n">
        <v>0</v>
      </c>
      <c r="I767" t="n">
        <v>0</v>
      </c>
      <c r="J767" t="n">
        <v>0</v>
      </c>
      <c r="K767" t="n">
        <v>0</v>
      </c>
      <c r="L767" t="n">
        <v>0</v>
      </c>
      <c r="M767" t="n">
        <v>0</v>
      </c>
      <c r="N767" t="n">
        <v>0</v>
      </c>
      <c r="O767" t="n">
        <v>0</v>
      </c>
      <c r="P767" t="n">
        <v>0</v>
      </c>
      <c r="Q767" t="n">
        <v>0</v>
      </c>
      <c r="R767" s="2" t="inlineStr"/>
    </row>
    <row r="768" ht="15" customHeight="1">
      <c r="A768" t="inlineStr">
        <is>
          <t>A 59859-2023</t>
        </is>
      </c>
      <c r="B768" s="1" t="n">
        <v>45257</v>
      </c>
      <c r="C768" s="1" t="n">
        <v>45765</v>
      </c>
      <c r="D768" t="inlineStr">
        <is>
          <t>DALARNAS LÄN</t>
        </is>
      </c>
      <c r="E768" t="inlineStr">
        <is>
          <t>LEKSAND</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60024-2023</t>
        </is>
      </c>
      <c r="B769" s="1" t="n">
        <v>45258</v>
      </c>
      <c r="C769" s="1" t="n">
        <v>45765</v>
      </c>
      <c r="D769" t="inlineStr">
        <is>
          <t>DALARNAS LÄN</t>
        </is>
      </c>
      <c r="E769" t="inlineStr">
        <is>
          <t>LEKSAND</t>
        </is>
      </c>
      <c r="G769" t="n">
        <v>4.2</v>
      </c>
      <c r="H769" t="n">
        <v>0</v>
      </c>
      <c r="I769" t="n">
        <v>0</v>
      </c>
      <c r="J769" t="n">
        <v>0</v>
      </c>
      <c r="K769" t="n">
        <v>0</v>
      </c>
      <c r="L769" t="n">
        <v>0</v>
      </c>
      <c r="M769" t="n">
        <v>0</v>
      </c>
      <c r="N769" t="n">
        <v>0</v>
      </c>
      <c r="O769" t="n">
        <v>0</v>
      </c>
      <c r="P769" t="n">
        <v>0</v>
      </c>
      <c r="Q769" t="n">
        <v>0</v>
      </c>
      <c r="R769" s="2" t="inlineStr"/>
    </row>
    <row r="770" ht="15" customHeight="1">
      <c r="A770" t="inlineStr">
        <is>
          <t>A 60028-2023</t>
        </is>
      </c>
      <c r="B770" s="1" t="n">
        <v>45258</v>
      </c>
      <c r="C770" s="1" t="n">
        <v>45765</v>
      </c>
      <c r="D770" t="inlineStr">
        <is>
          <t>DALARNAS LÄN</t>
        </is>
      </c>
      <c r="E770" t="inlineStr">
        <is>
          <t>LEKSAND</t>
        </is>
      </c>
      <c r="G770" t="n">
        <v>1.1</v>
      </c>
      <c r="H770" t="n">
        <v>0</v>
      </c>
      <c r="I770" t="n">
        <v>0</v>
      </c>
      <c r="J770" t="n">
        <v>0</v>
      </c>
      <c r="K770" t="n">
        <v>0</v>
      </c>
      <c r="L770" t="n">
        <v>0</v>
      </c>
      <c r="M770" t="n">
        <v>0</v>
      </c>
      <c r="N770" t="n">
        <v>0</v>
      </c>
      <c r="O770" t="n">
        <v>0</v>
      </c>
      <c r="P770" t="n">
        <v>0</v>
      </c>
      <c r="Q770" t="n">
        <v>0</v>
      </c>
      <c r="R770" s="2" t="inlineStr"/>
    </row>
    <row r="771" ht="15" customHeight="1">
      <c r="A771" t="inlineStr">
        <is>
          <t>A 60044-2023</t>
        </is>
      </c>
      <c r="B771" s="1" t="n">
        <v>45258</v>
      </c>
      <c r="C771" s="1" t="n">
        <v>45765</v>
      </c>
      <c r="D771" t="inlineStr">
        <is>
          <t>DALARNAS LÄN</t>
        </is>
      </c>
      <c r="E771" t="inlineStr">
        <is>
          <t>LEKSAND</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60080-2023</t>
        </is>
      </c>
      <c r="B772" s="1" t="n">
        <v>45258</v>
      </c>
      <c r="C772" s="1" t="n">
        <v>45765</v>
      </c>
      <c r="D772" t="inlineStr">
        <is>
          <t>DALARNAS LÄN</t>
        </is>
      </c>
      <c r="E772" t="inlineStr">
        <is>
          <t>LEKSAND</t>
        </is>
      </c>
      <c r="G772" t="n">
        <v>2.7</v>
      </c>
      <c r="H772" t="n">
        <v>0</v>
      </c>
      <c r="I772" t="n">
        <v>0</v>
      </c>
      <c r="J772" t="n">
        <v>0</v>
      </c>
      <c r="K772" t="n">
        <v>0</v>
      </c>
      <c r="L772" t="n">
        <v>0</v>
      </c>
      <c r="M772" t="n">
        <v>0</v>
      </c>
      <c r="N772" t="n">
        <v>0</v>
      </c>
      <c r="O772" t="n">
        <v>0</v>
      </c>
      <c r="P772" t="n">
        <v>0</v>
      </c>
      <c r="Q772" t="n">
        <v>0</v>
      </c>
      <c r="R772" s="2" t="inlineStr"/>
    </row>
    <row r="773" ht="15" customHeight="1">
      <c r="A773" t="inlineStr">
        <is>
          <t>A 60045-2023</t>
        </is>
      </c>
      <c r="B773" s="1" t="n">
        <v>45258</v>
      </c>
      <c r="C773" s="1" t="n">
        <v>45765</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60120-2023</t>
        </is>
      </c>
      <c r="B774" s="1" t="n">
        <v>45258</v>
      </c>
      <c r="C774" s="1" t="n">
        <v>45765</v>
      </c>
      <c r="D774" t="inlineStr">
        <is>
          <t>DALARNAS LÄN</t>
        </is>
      </c>
      <c r="E774" t="inlineStr">
        <is>
          <t>LEKSAND</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60129-2023</t>
        </is>
      </c>
      <c r="B775" s="1" t="n">
        <v>45258</v>
      </c>
      <c r="C775" s="1" t="n">
        <v>45765</v>
      </c>
      <c r="D775" t="inlineStr">
        <is>
          <t>DALARNAS LÄN</t>
        </is>
      </c>
      <c r="E775" t="inlineStr">
        <is>
          <t>LEKSAND</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60189-2023</t>
        </is>
      </c>
      <c r="B776" s="1" t="n">
        <v>45258</v>
      </c>
      <c r="C776" s="1" t="n">
        <v>45765</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60310-2023</t>
        </is>
      </c>
      <c r="B777" s="1" t="n">
        <v>45258</v>
      </c>
      <c r="C777" s="1" t="n">
        <v>45765</v>
      </c>
      <c r="D777" t="inlineStr">
        <is>
          <t>DALARNAS LÄN</t>
        </is>
      </c>
      <c r="E777" t="inlineStr">
        <is>
          <t>LEKSAND</t>
        </is>
      </c>
      <c r="G777" t="n">
        <v>4.9</v>
      </c>
      <c r="H777" t="n">
        <v>0</v>
      </c>
      <c r="I777" t="n">
        <v>0</v>
      </c>
      <c r="J777" t="n">
        <v>0</v>
      </c>
      <c r="K777" t="n">
        <v>0</v>
      </c>
      <c r="L777" t="n">
        <v>0</v>
      </c>
      <c r="M777" t="n">
        <v>0</v>
      </c>
      <c r="N777" t="n">
        <v>0</v>
      </c>
      <c r="O777" t="n">
        <v>0</v>
      </c>
      <c r="P777" t="n">
        <v>0</v>
      </c>
      <c r="Q777" t="n">
        <v>0</v>
      </c>
      <c r="R777" s="2" t="inlineStr"/>
    </row>
    <row r="778" ht="15" customHeight="1">
      <c r="A778" t="inlineStr">
        <is>
          <t>A 60309-2023</t>
        </is>
      </c>
      <c r="B778" s="1" t="n">
        <v>45258</v>
      </c>
      <c r="C778" s="1" t="n">
        <v>45765</v>
      </c>
      <c r="D778" t="inlineStr">
        <is>
          <t>DALARNAS LÄN</t>
        </is>
      </c>
      <c r="E778" t="inlineStr">
        <is>
          <t>LEKSAND</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60315-2023</t>
        </is>
      </c>
      <c r="B779" s="1" t="n">
        <v>45258</v>
      </c>
      <c r="C779" s="1" t="n">
        <v>45765</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60546-2023</t>
        </is>
      </c>
      <c r="B780" s="1" t="n">
        <v>45259</v>
      </c>
      <c r="C780" s="1" t="n">
        <v>45765</v>
      </c>
      <c r="D780" t="inlineStr">
        <is>
          <t>DALARNAS LÄN</t>
        </is>
      </c>
      <c r="E780" t="inlineStr">
        <is>
          <t>LEKSAND</t>
        </is>
      </c>
      <c r="G780" t="n">
        <v>6.6</v>
      </c>
      <c r="H780" t="n">
        <v>0</v>
      </c>
      <c r="I780" t="n">
        <v>0</v>
      </c>
      <c r="J780" t="n">
        <v>0</v>
      </c>
      <c r="K780" t="n">
        <v>0</v>
      </c>
      <c r="L780" t="n">
        <v>0</v>
      </c>
      <c r="M780" t="n">
        <v>0</v>
      </c>
      <c r="N780" t="n">
        <v>0</v>
      </c>
      <c r="O780" t="n">
        <v>0</v>
      </c>
      <c r="P780" t="n">
        <v>0</v>
      </c>
      <c r="Q780" t="n">
        <v>0</v>
      </c>
      <c r="R780" s="2" t="inlineStr"/>
    </row>
    <row r="781" ht="15" customHeight="1">
      <c r="A781" t="inlineStr">
        <is>
          <t>A 60878-2023</t>
        </is>
      </c>
      <c r="B781" s="1" t="n">
        <v>45259</v>
      </c>
      <c r="C781" s="1" t="n">
        <v>45765</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60692-2023</t>
        </is>
      </c>
      <c r="B782" s="1" t="n">
        <v>45260</v>
      </c>
      <c r="C782" s="1" t="n">
        <v>45765</v>
      </c>
      <c r="D782" t="inlineStr">
        <is>
          <t>DALARNAS LÄN</t>
        </is>
      </c>
      <c r="E782" t="inlineStr">
        <is>
          <t>LEKSAND</t>
        </is>
      </c>
      <c r="G782" t="n">
        <v>1.2</v>
      </c>
      <c r="H782" t="n">
        <v>0</v>
      </c>
      <c r="I782" t="n">
        <v>0</v>
      </c>
      <c r="J782" t="n">
        <v>0</v>
      </c>
      <c r="K782" t="n">
        <v>0</v>
      </c>
      <c r="L782" t="n">
        <v>0</v>
      </c>
      <c r="M782" t="n">
        <v>0</v>
      </c>
      <c r="N782" t="n">
        <v>0</v>
      </c>
      <c r="O782" t="n">
        <v>0</v>
      </c>
      <c r="P782" t="n">
        <v>0</v>
      </c>
      <c r="Q782" t="n">
        <v>0</v>
      </c>
      <c r="R782" s="2" t="inlineStr"/>
    </row>
    <row r="783" ht="15" customHeight="1">
      <c r="A783" t="inlineStr">
        <is>
          <t>A 60755-2023</t>
        </is>
      </c>
      <c r="B783" s="1" t="n">
        <v>45260</v>
      </c>
      <c r="C783" s="1" t="n">
        <v>45765</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61208-2023</t>
        </is>
      </c>
      <c r="B784" s="1" t="n">
        <v>45260</v>
      </c>
      <c r="C784" s="1" t="n">
        <v>45765</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61244-2023</t>
        </is>
      </c>
      <c r="B785" s="1" t="n">
        <v>45260</v>
      </c>
      <c r="C785" s="1" t="n">
        <v>45765</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60873-2023</t>
        </is>
      </c>
      <c r="B786" s="1" t="n">
        <v>45261</v>
      </c>
      <c r="C786" s="1" t="n">
        <v>45765</v>
      </c>
      <c r="D786" t="inlineStr">
        <is>
          <t>DALARNAS LÄN</t>
        </is>
      </c>
      <c r="E786" t="inlineStr">
        <is>
          <t>LEKSAND</t>
        </is>
      </c>
      <c r="G786" t="n">
        <v>5.2</v>
      </c>
      <c r="H786" t="n">
        <v>0</v>
      </c>
      <c r="I786" t="n">
        <v>0</v>
      </c>
      <c r="J786" t="n">
        <v>0</v>
      </c>
      <c r="K786" t="n">
        <v>0</v>
      </c>
      <c r="L786" t="n">
        <v>0</v>
      </c>
      <c r="M786" t="n">
        <v>0</v>
      </c>
      <c r="N786" t="n">
        <v>0</v>
      </c>
      <c r="O786" t="n">
        <v>0</v>
      </c>
      <c r="P786" t="n">
        <v>0</v>
      </c>
      <c r="Q786" t="n">
        <v>0</v>
      </c>
      <c r="R786" s="2" t="inlineStr"/>
    </row>
    <row r="787" ht="15" customHeight="1">
      <c r="A787" t="inlineStr">
        <is>
          <t>A 61052-2023</t>
        </is>
      </c>
      <c r="B787" s="1" t="n">
        <v>45261</v>
      </c>
      <c r="C787" s="1" t="n">
        <v>45765</v>
      </c>
      <c r="D787" t="inlineStr">
        <is>
          <t>DALARNAS LÄN</t>
        </is>
      </c>
      <c r="E787" t="inlineStr">
        <is>
          <t>LEKSAND</t>
        </is>
      </c>
      <c r="G787" t="n">
        <v>8.6</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45765</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61054-2023</t>
        </is>
      </c>
      <c r="B789" s="1" t="n">
        <v>45261</v>
      </c>
      <c r="C789" s="1" t="n">
        <v>45765</v>
      </c>
      <c r="D789" t="inlineStr">
        <is>
          <t>DALARNAS LÄN</t>
        </is>
      </c>
      <c r="E789" t="inlineStr">
        <is>
          <t>LEKSAND</t>
        </is>
      </c>
      <c r="G789" t="n">
        <v>0.4</v>
      </c>
      <c r="H789" t="n">
        <v>0</v>
      </c>
      <c r="I789" t="n">
        <v>0</v>
      </c>
      <c r="J789" t="n">
        <v>0</v>
      </c>
      <c r="K789" t="n">
        <v>0</v>
      </c>
      <c r="L789" t="n">
        <v>0</v>
      </c>
      <c r="M789" t="n">
        <v>0</v>
      </c>
      <c r="N789" t="n">
        <v>0</v>
      </c>
      <c r="O789" t="n">
        <v>0</v>
      </c>
      <c r="P789" t="n">
        <v>0</v>
      </c>
      <c r="Q789" t="n">
        <v>0</v>
      </c>
      <c r="R789" s="2" t="inlineStr"/>
    </row>
    <row r="790" ht="15" customHeight="1">
      <c r="A790" t="inlineStr">
        <is>
          <t>A 61055-2023</t>
        </is>
      </c>
      <c r="B790" s="1" t="n">
        <v>45261</v>
      </c>
      <c r="C790" s="1" t="n">
        <v>45765</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61252-2023</t>
        </is>
      </c>
      <c r="B791" s="1" t="n">
        <v>45261</v>
      </c>
      <c r="C791" s="1" t="n">
        <v>45765</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61617-2023</t>
        </is>
      </c>
      <c r="B792" s="1" t="n">
        <v>45261</v>
      </c>
      <c r="C792" s="1" t="n">
        <v>45765</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61637-2023</t>
        </is>
      </c>
      <c r="B793" s="1" t="n">
        <v>45261</v>
      </c>
      <c r="C793" s="1" t="n">
        <v>45765</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61614-2023</t>
        </is>
      </c>
      <c r="B794" s="1" t="n">
        <v>45261</v>
      </c>
      <c r="C794" s="1" t="n">
        <v>45765</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61627-2023</t>
        </is>
      </c>
      <c r="B795" s="1" t="n">
        <v>45261</v>
      </c>
      <c r="C795" s="1" t="n">
        <v>45765</v>
      </c>
      <c r="D795" t="inlineStr">
        <is>
          <t>DALARNAS LÄN</t>
        </is>
      </c>
      <c r="E795" t="inlineStr">
        <is>
          <t>LEKSAND</t>
        </is>
      </c>
      <c r="G795" t="n">
        <v>1.4</v>
      </c>
      <c r="H795" t="n">
        <v>0</v>
      </c>
      <c r="I795" t="n">
        <v>0</v>
      </c>
      <c r="J795" t="n">
        <v>0</v>
      </c>
      <c r="K795" t="n">
        <v>0</v>
      </c>
      <c r="L795" t="n">
        <v>0</v>
      </c>
      <c r="M795" t="n">
        <v>0</v>
      </c>
      <c r="N795" t="n">
        <v>0</v>
      </c>
      <c r="O795" t="n">
        <v>0</v>
      </c>
      <c r="P795" t="n">
        <v>0</v>
      </c>
      <c r="Q795" t="n">
        <v>0</v>
      </c>
      <c r="R795" s="2" t="inlineStr"/>
    </row>
    <row r="796" ht="15" customHeight="1">
      <c r="A796" t="inlineStr">
        <is>
          <t>A 61225-2023</t>
        </is>
      </c>
      <c r="B796" s="1" t="n">
        <v>45264</v>
      </c>
      <c r="C796" s="1" t="n">
        <v>45765</v>
      </c>
      <c r="D796" t="inlineStr">
        <is>
          <t>DALARNAS LÄN</t>
        </is>
      </c>
      <c r="E796" t="inlineStr">
        <is>
          <t>LEKSAND</t>
        </is>
      </c>
      <c r="G796" t="n">
        <v>7</v>
      </c>
      <c r="H796" t="n">
        <v>0</v>
      </c>
      <c r="I796" t="n">
        <v>0</v>
      </c>
      <c r="J796" t="n">
        <v>0</v>
      </c>
      <c r="K796" t="n">
        <v>0</v>
      </c>
      <c r="L796" t="n">
        <v>0</v>
      </c>
      <c r="M796" t="n">
        <v>0</v>
      </c>
      <c r="N796" t="n">
        <v>0</v>
      </c>
      <c r="O796" t="n">
        <v>0</v>
      </c>
      <c r="P796" t="n">
        <v>0</v>
      </c>
      <c r="Q796" t="n">
        <v>0</v>
      </c>
      <c r="R796" s="2" t="inlineStr"/>
    </row>
    <row r="797" ht="15" customHeight="1">
      <c r="A797" t="inlineStr">
        <is>
          <t>A 61502-2023</t>
        </is>
      </c>
      <c r="B797" s="1" t="n">
        <v>45264</v>
      </c>
      <c r="C797" s="1" t="n">
        <v>45765</v>
      </c>
      <c r="D797" t="inlineStr">
        <is>
          <t>DALARNAS LÄN</t>
        </is>
      </c>
      <c r="E797" t="inlineStr">
        <is>
          <t>LEKSAND</t>
        </is>
      </c>
      <c r="G797" t="n">
        <v>5.2</v>
      </c>
      <c r="H797" t="n">
        <v>0</v>
      </c>
      <c r="I797" t="n">
        <v>0</v>
      </c>
      <c r="J797" t="n">
        <v>0</v>
      </c>
      <c r="K797" t="n">
        <v>0</v>
      </c>
      <c r="L797" t="n">
        <v>0</v>
      </c>
      <c r="M797" t="n">
        <v>0</v>
      </c>
      <c r="N797" t="n">
        <v>0</v>
      </c>
      <c r="O797" t="n">
        <v>0</v>
      </c>
      <c r="P797" t="n">
        <v>0</v>
      </c>
      <c r="Q797" t="n">
        <v>0</v>
      </c>
      <c r="R797" s="2" t="inlineStr"/>
    </row>
    <row r="798" ht="15" customHeight="1">
      <c r="A798" t="inlineStr">
        <is>
          <t>A 61652-2023</t>
        </is>
      </c>
      <c r="B798" s="1" t="n">
        <v>45265</v>
      </c>
      <c r="C798" s="1" t="n">
        <v>45765</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61598-2023</t>
        </is>
      </c>
      <c r="B799" s="1" t="n">
        <v>45265</v>
      </c>
      <c r="C799" s="1" t="n">
        <v>45765</v>
      </c>
      <c r="D799" t="inlineStr">
        <is>
          <t>DALARNAS LÄN</t>
        </is>
      </c>
      <c r="E799" t="inlineStr">
        <is>
          <t>LEKSAND</t>
        </is>
      </c>
      <c r="F799" t="inlineStr">
        <is>
          <t>Bergvik skog väst AB</t>
        </is>
      </c>
      <c r="G799" t="n">
        <v>5.8</v>
      </c>
      <c r="H799" t="n">
        <v>0</v>
      </c>
      <c r="I799" t="n">
        <v>0</v>
      </c>
      <c r="J799" t="n">
        <v>0</v>
      </c>
      <c r="K799" t="n">
        <v>0</v>
      </c>
      <c r="L799" t="n">
        <v>0</v>
      </c>
      <c r="M799" t="n">
        <v>0</v>
      </c>
      <c r="N799" t="n">
        <v>0</v>
      </c>
      <c r="O799" t="n">
        <v>0</v>
      </c>
      <c r="P799" t="n">
        <v>0</v>
      </c>
      <c r="Q799" t="n">
        <v>0</v>
      </c>
      <c r="R799" s="2" t="inlineStr"/>
    </row>
    <row r="800" ht="15" customHeight="1">
      <c r="A800" t="inlineStr">
        <is>
          <t>A 61633-2023</t>
        </is>
      </c>
      <c r="B800" s="1" t="n">
        <v>45265</v>
      </c>
      <c r="C800" s="1" t="n">
        <v>45765</v>
      </c>
      <c r="D800" t="inlineStr">
        <is>
          <t>DALARNAS LÄN</t>
        </is>
      </c>
      <c r="E800" t="inlineStr">
        <is>
          <t>LEKSAND</t>
        </is>
      </c>
      <c r="G800" t="n">
        <v>5.3</v>
      </c>
      <c r="H800" t="n">
        <v>0</v>
      </c>
      <c r="I800" t="n">
        <v>0</v>
      </c>
      <c r="J800" t="n">
        <v>0</v>
      </c>
      <c r="K800" t="n">
        <v>0</v>
      </c>
      <c r="L800" t="n">
        <v>0</v>
      </c>
      <c r="M800" t="n">
        <v>0</v>
      </c>
      <c r="N800" t="n">
        <v>0</v>
      </c>
      <c r="O800" t="n">
        <v>0</v>
      </c>
      <c r="P800" t="n">
        <v>0</v>
      </c>
      <c r="Q800" t="n">
        <v>0</v>
      </c>
      <c r="R800" s="2" t="inlineStr"/>
    </row>
    <row r="801" ht="15" customHeight="1">
      <c r="A801" t="inlineStr">
        <is>
          <t>A 61910-2023</t>
        </is>
      </c>
      <c r="B801" s="1" t="n">
        <v>45266</v>
      </c>
      <c r="C801" s="1" t="n">
        <v>45765</v>
      </c>
      <c r="D801" t="inlineStr">
        <is>
          <t>DALARNAS LÄN</t>
        </is>
      </c>
      <c r="E801" t="inlineStr">
        <is>
          <t>LEKSAND</t>
        </is>
      </c>
      <c r="G801" t="n">
        <v>7.3</v>
      </c>
      <c r="H801" t="n">
        <v>0</v>
      </c>
      <c r="I801" t="n">
        <v>0</v>
      </c>
      <c r="J801" t="n">
        <v>0</v>
      </c>
      <c r="K801" t="n">
        <v>0</v>
      </c>
      <c r="L801" t="n">
        <v>0</v>
      </c>
      <c r="M801" t="n">
        <v>0</v>
      </c>
      <c r="N801" t="n">
        <v>0</v>
      </c>
      <c r="O801" t="n">
        <v>0</v>
      </c>
      <c r="P801" t="n">
        <v>0</v>
      </c>
      <c r="Q801" t="n">
        <v>0</v>
      </c>
      <c r="R801" s="2" t="inlineStr"/>
    </row>
    <row r="802" ht="15" customHeight="1">
      <c r="A802" t="inlineStr">
        <is>
          <t>A 61933-2023</t>
        </is>
      </c>
      <c r="B802" s="1" t="n">
        <v>45266</v>
      </c>
      <c r="C802" s="1" t="n">
        <v>45765</v>
      </c>
      <c r="D802" t="inlineStr">
        <is>
          <t>DALARNAS LÄN</t>
        </is>
      </c>
      <c r="E802" t="inlineStr">
        <is>
          <t>LEKSAND</t>
        </is>
      </c>
      <c r="G802" t="n">
        <v>0.2</v>
      </c>
      <c r="H802" t="n">
        <v>0</v>
      </c>
      <c r="I802" t="n">
        <v>0</v>
      </c>
      <c r="J802" t="n">
        <v>0</v>
      </c>
      <c r="K802" t="n">
        <v>0</v>
      </c>
      <c r="L802" t="n">
        <v>0</v>
      </c>
      <c r="M802" t="n">
        <v>0</v>
      </c>
      <c r="N802" t="n">
        <v>0</v>
      </c>
      <c r="O802" t="n">
        <v>0</v>
      </c>
      <c r="P802" t="n">
        <v>0</v>
      </c>
      <c r="Q802" t="n">
        <v>0</v>
      </c>
      <c r="R802" s="2" t="inlineStr"/>
    </row>
    <row r="803" ht="15" customHeight="1">
      <c r="A803" t="inlineStr">
        <is>
          <t>A 61953-2023</t>
        </is>
      </c>
      <c r="B803" s="1" t="n">
        <v>45266</v>
      </c>
      <c r="C803" s="1" t="n">
        <v>45765</v>
      </c>
      <c r="D803" t="inlineStr">
        <is>
          <t>DALARNAS LÄN</t>
        </is>
      </c>
      <c r="E803" t="inlineStr">
        <is>
          <t>LEKSAND</t>
        </is>
      </c>
      <c r="G803" t="n">
        <v>0.1</v>
      </c>
      <c r="H803" t="n">
        <v>0</v>
      </c>
      <c r="I803" t="n">
        <v>0</v>
      </c>
      <c r="J803" t="n">
        <v>0</v>
      </c>
      <c r="K803" t="n">
        <v>0</v>
      </c>
      <c r="L803" t="n">
        <v>0</v>
      </c>
      <c r="M803" t="n">
        <v>0</v>
      </c>
      <c r="N803" t="n">
        <v>0</v>
      </c>
      <c r="O803" t="n">
        <v>0</v>
      </c>
      <c r="P803" t="n">
        <v>0</v>
      </c>
      <c r="Q803" t="n">
        <v>0</v>
      </c>
      <c r="R803" s="2" t="inlineStr"/>
    </row>
    <row r="804" ht="15" customHeight="1">
      <c r="A804" t="inlineStr">
        <is>
          <t>A 61957-2023</t>
        </is>
      </c>
      <c r="B804" s="1" t="n">
        <v>45266</v>
      </c>
      <c r="C804" s="1" t="n">
        <v>45765</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61938-2023</t>
        </is>
      </c>
      <c r="B805" s="1" t="n">
        <v>45266</v>
      </c>
      <c r="C805" s="1" t="n">
        <v>45765</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61950-2023</t>
        </is>
      </c>
      <c r="B806" s="1" t="n">
        <v>45266</v>
      </c>
      <c r="C806" s="1" t="n">
        <v>45765</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62306-2023</t>
        </is>
      </c>
      <c r="B807" s="1" t="n">
        <v>45266</v>
      </c>
      <c r="C807" s="1" t="n">
        <v>45765</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62307-2023</t>
        </is>
      </c>
      <c r="B808" s="1" t="n">
        <v>45266</v>
      </c>
      <c r="C808" s="1" t="n">
        <v>45765</v>
      </c>
      <c r="D808" t="inlineStr">
        <is>
          <t>DALARNAS LÄN</t>
        </is>
      </c>
      <c r="E808" t="inlineStr">
        <is>
          <t>LEKSAND</t>
        </is>
      </c>
      <c r="G808" t="n">
        <v>3.9</v>
      </c>
      <c r="H808" t="n">
        <v>0</v>
      </c>
      <c r="I808" t="n">
        <v>0</v>
      </c>
      <c r="J808" t="n">
        <v>0</v>
      </c>
      <c r="K808" t="n">
        <v>0</v>
      </c>
      <c r="L808" t="n">
        <v>0</v>
      </c>
      <c r="M808" t="n">
        <v>0</v>
      </c>
      <c r="N808" t="n">
        <v>0</v>
      </c>
      <c r="O808" t="n">
        <v>0</v>
      </c>
      <c r="P808" t="n">
        <v>0</v>
      </c>
      <c r="Q808" t="n">
        <v>0</v>
      </c>
      <c r="R808" s="2" t="inlineStr"/>
    </row>
    <row r="809" ht="15" customHeight="1">
      <c r="A809" t="inlineStr">
        <is>
          <t>A 62133-2023</t>
        </is>
      </c>
      <c r="B809" s="1" t="n">
        <v>45267</v>
      </c>
      <c r="C809" s="1" t="n">
        <v>45765</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62295-2023</t>
        </is>
      </c>
      <c r="B810" s="1" t="n">
        <v>45267</v>
      </c>
      <c r="C810" s="1" t="n">
        <v>45765</v>
      </c>
      <c r="D810" t="inlineStr">
        <is>
          <t>DALARNAS LÄN</t>
        </is>
      </c>
      <c r="E810" t="inlineStr">
        <is>
          <t>LEKSAND</t>
        </is>
      </c>
      <c r="G810" t="n">
        <v>2.5</v>
      </c>
      <c r="H810" t="n">
        <v>0</v>
      </c>
      <c r="I810" t="n">
        <v>0</v>
      </c>
      <c r="J810" t="n">
        <v>0</v>
      </c>
      <c r="K810" t="n">
        <v>0</v>
      </c>
      <c r="L810" t="n">
        <v>0</v>
      </c>
      <c r="M810" t="n">
        <v>0</v>
      </c>
      <c r="N810" t="n">
        <v>0</v>
      </c>
      <c r="O810" t="n">
        <v>0</v>
      </c>
      <c r="P810" t="n">
        <v>0</v>
      </c>
      <c r="Q810" t="n">
        <v>0</v>
      </c>
      <c r="R810" s="2" t="inlineStr"/>
    </row>
    <row r="811" ht="15" customHeight="1">
      <c r="A811" t="inlineStr">
        <is>
          <t>A 62305-2023</t>
        </is>
      </c>
      <c r="B811" s="1" t="n">
        <v>45267</v>
      </c>
      <c r="C811" s="1" t="n">
        <v>45765</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62587-2023</t>
        </is>
      </c>
      <c r="B812" s="1" t="n">
        <v>45270</v>
      </c>
      <c r="C812" s="1" t="n">
        <v>45765</v>
      </c>
      <c r="D812" t="inlineStr">
        <is>
          <t>DALARNAS LÄN</t>
        </is>
      </c>
      <c r="E812" t="inlineStr">
        <is>
          <t>LEKSAND</t>
        </is>
      </c>
      <c r="G812" t="n">
        <v>4.8</v>
      </c>
      <c r="H812" t="n">
        <v>0</v>
      </c>
      <c r="I812" t="n">
        <v>0</v>
      </c>
      <c r="J812" t="n">
        <v>0</v>
      </c>
      <c r="K812" t="n">
        <v>0</v>
      </c>
      <c r="L812" t="n">
        <v>0</v>
      </c>
      <c r="M812" t="n">
        <v>0</v>
      </c>
      <c r="N812" t="n">
        <v>0</v>
      </c>
      <c r="O812" t="n">
        <v>0</v>
      </c>
      <c r="P812" t="n">
        <v>0</v>
      </c>
      <c r="Q812" t="n">
        <v>0</v>
      </c>
      <c r="R812" s="2" t="inlineStr"/>
    </row>
    <row r="813" ht="15" customHeight="1">
      <c r="A813" t="inlineStr">
        <is>
          <t>A 62863-2023</t>
        </is>
      </c>
      <c r="B813" s="1" t="n">
        <v>45272</v>
      </c>
      <c r="C813" s="1" t="n">
        <v>45765</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45765</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63105-2023</t>
        </is>
      </c>
      <c r="B815" s="1" t="n">
        <v>45273</v>
      </c>
      <c r="C815" s="1" t="n">
        <v>45765</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63107-2023</t>
        </is>
      </c>
      <c r="B816" s="1" t="n">
        <v>45273</v>
      </c>
      <c r="C816" s="1" t="n">
        <v>45765</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63514-2023</t>
        </is>
      </c>
      <c r="B817" s="1" t="n">
        <v>45274</v>
      </c>
      <c r="C817" s="1" t="n">
        <v>45765</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63513-2023</t>
        </is>
      </c>
      <c r="B818" s="1" t="n">
        <v>45274</v>
      </c>
      <c r="C818" s="1" t="n">
        <v>45765</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63544-2023</t>
        </is>
      </c>
      <c r="B819" s="1" t="n">
        <v>45275</v>
      </c>
      <c r="C819" s="1" t="n">
        <v>45765</v>
      </c>
      <c r="D819" t="inlineStr">
        <is>
          <t>DALARNAS LÄN</t>
        </is>
      </c>
      <c r="E819" t="inlineStr">
        <is>
          <t>LEKSAND</t>
        </is>
      </c>
      <c r="G819" t="n">
        <v>0.3</v>
      </c>
      <c r="H819" t="n">
        <v>0</v>
      </c>
      <c r="I819" t="n">
        <v>0</v>
      </c>
      <c r="J819" t="n">
        <v>0</v>
      </c>
      <c r="K819" t="n">
        <v>0</v>
      </c>
      <c r="L819" t="n">
        <v>0</v>
      </c>
      <c r="M819" t="n">
        <v>0</v>
      </c>
      <c r="N819" t="n">
        <v>0</v>
      </c>
      <c r="O819" t="n">
        <v>0</v>
      </c>
      <c r="P819" t="n">
        <v>0</v>
      </c>
      <c r="Q819" t="n">
        <v>0</v>
      </c>
      <c r="R819" s="2" t="inlineStr"/>
    </row>
    <row r="820" ht="15" customHeight="1">
      <c r="A820" t="inlineStr">
        <is>
          <t>A 63548-2023</t>
        </is>
      </c>
      <c r="B820" s="1" t="n">
        <v>45275</v>
      </c>
      <c r="C820" s="1" t="n">
        <v>45765</v>
      </c>
      <c r="D820" t="inlineStr">
        <is>
          <t>DALARNAS LÄN</t>
        </is>
      </c>
      <c r="E820" t="inlineStr">
        <is>
          <t>LEKSAND</t>
        </is>
      </c>
      <c r="G820" t="n">
        <v>1.7</v>
      </c>
      <c r="H820" t="n">
        <v>0</v>
      </c>
      <c r="I820" t="n">
        <v>0</v>
      </c>
      <c r="J820" t="n">
        <v>0</v>
      </c>
      <c r="K820" t="n">
        <v>0</v>
      </c>
      <c r="L820" t="n">
        <v>0</v>
      </c>
      <c r="M820" t="n">
        <v>0</v>
      </c>
      <c r="N820" t="n">
        <v>0</v>
      </c>
      <c r="O820" t="n">
        <v>0</v>
      </c>
      <c r="P820" t="n">
        <v>0</v>
      </c>
      <c r="Q820" t="n">
        <v>0</v>
      </c>
      <c r="R820" s="2" t="inlineStr"/>
    </row>
    <row r="821" ht="15" customHeight="1">
      <c r="A821" t="inlineStr">
        <is>
          <t>A 64146-2023</t>
        </is>
      </c>
      <c r="B821" s="1" t="n">
        <v>45279</v>
      </c>
      <c r="C821" s="1" t="n">
        <v>45765</v>
      </c>
      <c r="D821" t="inlineStr">
        <is>
          <t>DALARNAS LÄN</t>
        </is>
      </c>
      <c r="E821" t="inlineStr">
        <is>
          <t>LEKSAND</t>
        </is>
      </c>
      <c r="G821" t="n">
        <v>4.3</v>
      </c>
      <c r="H821" t="n">
        <v>0</v>
      </c>
      <c r="I821" t="n">
        <v>0</v>
      </c>
      <c r="J821" t="n">
        <v>0</v>
      </c>
      <c r="K821" t="n">
        <v>0</v>
      </c>
      <c r="L821" t="n">
        <v>0</v>
      </c>
      <c r="M821" t="n">
        <v>0</v>
      </c>
      <c r="N821" t="n">
        <v>0</v>
      </c>
      <c r="O821" t="n">
        <v>0</v>
      </c>
      <c r="P821" t="n">
        <v>0</v>
      </c>
      <c r="Q821" t="n">
        <v>0</v>
      </c>
      <c r="R821" s="2" t="inlineStr"/>
    </row>
    <row r="822" ht="15" customHeight="1">
      <c r="A822" t="inlineStr">
        <is>
          <t>A 64418-2023</t>
        </is>
      </c>
      <c r="B822" s="1" t="n">
        <v>45280</v>
      </c>
      <c r="C822" s="1" t="n">
        <v>45765</v>
      </c>
      <c r="D822" t="inlineStr">
        <is>
          <t>DALARNAS LÄN</t>
        </is>
      </c>
      <c r="E822" t="inlineStr">
        <is>
          <t>LEKSAND</t>
        </is>
      </c>
      <c r="G822" t="n">
        <v>3.4</v>
      </c>
      <c r="H822" t="n">
        <v>0</v>
      </c>
      <c r="I822" t="n">
        <v>0</v>
      </c>
      <c r="J822" t="n">
        <v>0</v>
      </c>
      <c r="K822" t="n">
        <v>0</v>
      </c>
      <c r="L822" t="n">
        <v>0</v>
      </c>
      <c r="M822" t="n">
        <v>0</v>
      </c>
      <c r="N822" t="n">
        <v>0</v>
      </c>
      <c r="O822" t="n">
        <v>0</v>
      </c>
      <c r="P822" t="n">
        <v>0</v>
      </c>
      <c r="Q822" t="n">
        <v>0</v>
      </c>
      <c r="R822" s="2" t="inlineStr"/>
    </row>
    <row r="823" ht="15" customHeight="1">
      <c r="A823" t="inlineStr">
        <is>
          <t>A 64516-2023</t>
        </is>
      </c>
      <c r="B823" s="1" t="n">
        <v>45280</v>
      </c>
      <c r="C823" s="1" t="n">
        <v>45765</v>
      </c>
      <c r="D823" t="inlineStr">
        <is>
          <t>DALARNAS LÄN</t>
        </is>
      </c>
      <c r="E823" t="inlineStr">
        <is>
          <t>LEKSAND</t>
        </is>
      </c>
      <c r="G823" t="n">
        <v>4.4</v>
      </c>
      <c r="H823" t="n">
        <v>0</v>
      </c>
      <c r="I823" t="n">
        <v>0</v>
      </c>
      <c r="J823" t="n">
        <v>0</v>
      </c>
      <c r="K823" t="n">
        <v>0</v>
      </c>
      <c r="L823" t="n">
        <v>0</v>
      </c>
      <c r="M823" t="n">
        <v>0</v>
      </c>
      <c r="N823" t="n">
        <v>0</v>
      </c>
      <c r="O823" t="n">
        <v>0</v>
      </c>
      <c r="P823" t="n">
        <v>0</v>
      </c>
      <c r="Q823" t="n">
        <v>0</v>
      </c>
      <c r="R823" s="2" t="inlineStr"/>
    </row>
    <row r="824" ht="15" customHeight="1">
      <c r="A824" t="inlineStr">
        <is>
          <t>A 64515-2023</t>
        </is>
      </c>
      <c r="B824" s="1" t="n">
        <v>45280</v>
      </c>
      <c r="C824" s="1" t="n">
        <v>45765</v>
      </c>
      <c r="D824" t="inlineStr">
        <is>
          <t>DALARNAS LÄN</t>
        </is>
      </c>
      <c r="E824" t="inlineStr">
        <is>
          <t>LEKSAND</t>
        </is>
      </c>
      <c r="G824" t="n">
        <v>9.1</v>
      </c>
      <c r="H824" t="n">
        <v>0</v>
      </c>
      <c r="I824" t="n">
        <v>0</v>
      </c>
      <c r="J824" t="n">
        <v>0</v>
      </c>
      <c r="K824" t="n">
        <v>0</v>
      </c>
      <c r="L824" t="n">
        <v>0</v>
      </c>
      <c r="M824" t="n">
        <v>0</v>
      </c>
      <c r="N824" t="n">
        <v>0</v>
      </c>
      <c r="O824" t="n">
        <v>0</v>
      </c>
      <c r="P824" t="n">
        <v>0</v>
      </c>
      <c r="Q824" t="n">
        <v>0</v>
      </c>
      <c r="R824" s="2" t="inlineStr"/>
    </row>
    <row r="825" ht="15" customHeight="1">
      <c r="A825" t="inlineStr">
        <is>
          <t>A 64677-2023</t>
        </is>
      </c>
      <c r="B825" s="1" t="n">
        <v>45281</v>
      </c>
      <c r="C825" s="1" t="n">
        <v>45765</v>
      </c>
      <c r="D825" t="inlineStr">
        <is>
          <t>DALARNAS LÄN</t>
        </is>
      </c>
      <c r="E825" t="inlineStr">
        <is>
          <t>LEKSAND</t>
        </is>
      </c>
      <c r="G825" t="n">
        <v>2.7</v>
      </c>
      <c r="H825" t="n">
        <v>0</v>
      </c>
      <c r="I825" t="n">
        <v>0</v>
      </c>
      <c r="J825" t="n">
        <v>0</v>
      </c>
      <c r="K825" t="n">
        <v>0</v>
      </c>
      <c r="L825" t="n">
        <v>0</v>
      </c>
      <c r="M825" t="n">
        <v>0</v>
      </c>
      <c r="N825" t="n">
        <v>0</v>
      </c>
      <c r="O825" t="n">
        <v>0</v>
      </c>
      <c r="P825" t="n">
        <v>0</v>
      </c>
      <c r="Q825" t="n">
        <v>0</v>
      </c>
      <c r="R825" s="2" t="inlineStr"/>
    </row>
    <row r="826" ht="15" customHeight="1">
      <c r="A826" t="inlineStr">
        <is>
          <t>A 64612-2023</t>
        </is>
      </c>
      <c r="B826" s="1" t="n">
        <v>45281</v>
      </c>
      <c r="C826" s="1" t="n">
        <v>45765</v>
      </c>
      <c r="D826" t="inlineStr">
        <is>
          <t>DALARNAS LÄN</t>
        </is>
      </c>
      <c r="E826" t="inlineStr">
        <is>
          <t>LEKSAND</t>
        </is>
      </c>
      <c r="G826" t="n">
        <v>3.6</v>
      </c>
      <c r="H826" t="n">
        <v>0</v>
      </c>
      <c r="I826" t="n">
        <v>0</v>
      </c>
      <c r="J826" t="n">
        <v>0</v>
      </c>
      <c r="K826" t="n">
        <v>0</v>
      </c>
      <c r="L826" t="n">
        <v>0</v>
      </c>
      <c r="M826" t="n">
        <v>0</v>
      </c>
      <c r="N826" t="n">
        <v>0</v>
      </c>
      <c r="O826" t="n">
        <v>0</v>
      </c>
      <c r="P826" t="n">
        <v>0</v>
      </c>
      <c r="Q826" t="n">
        <v>0</v>
      </c>
      <c r="R826" s="2" t="inlineStr"/>
    </row>
    <row r="827" ht="15" customHeight="1">
      <c r="A827" t="inlineStr">
        <is>
          <t>A 64867-2023</t>
        </is>
      </c>
      <c r="B827" s="1" t="n">
        <v>45282</v>
      </c>
      <c r="C827" s="1" t="n">
        <v>45765</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64931-2023</t>
        </is>
      </c>
      <c r="B828" s="1" t="n">
        <v>45282</v>
      </c>
      <c r="C828" s="1" t="n">
        <v>45765</v>
      </c>
      <c r="D828" t="inlineStr">
        <is>
          <t>DALARNAS LÄN</t>
        </is>
      </c>
      <c r="E828" t="inlineStr">
        <is>
          <t>LEKSAND</t>
        </is>
      </c>
      <c r="G828" t="n">
        <v>6.3</v>
      </c>
      <c r="H828" t="n">
        <v>0</v>
      </c>
      <c r="I828" t="n">
        <v>0</v>
      </c>
      <c r="J828" t="n">
        <v>0</v>
      </c>
      <c r="K828" t="n">
        <v>0</v>
      </c>
      <c r="L828" t="n">
        <v>0</v>
      </c>
      <c r="M828" t="n">
        <v>0</v>
      </c>
      <c r="N828" t="n">
        <v>0</v>
      </c>
      <c r="O828" t="n">
        <v>0</v>
      </c>
      <c r="P828" t="n">
        <v>0</v>
      </c>
      <c r="Q828" t="n">
        <v>0</v>
      </c>
      <c r="R828" s="2" t="inlineStr"/>
    </row>
    <row r="829" ht="15" customHeight="1">
      <c r="A829" t="inlineStr">
        <is>
          <t>A 64933-2023</t>
        </is>
      </c>
      <c r="B829" s="1" t="n">
        <v>45282</v>
      </c>
      <c r="C829" s="1" t="n">
        <v>45765</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65047-2023</t>
        </is>
      </c>
      <c r="B830" s="1" t="n">
        <v>45283</v>
      </c>
      <c r="C830" s="1" t="n">
        <v>45765</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23-2024</t>
        </is>
      </c>
      <c r="B831" s="1" t="n">
        <v>45293</v>
      </c>
      <c r="C831" s="1" t="n">
        <v>45765</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32-2024</t>
        </is>
      </c>
      <c r="B832" s="1" t="n">
        <v>45293</v>
      </c>
      <c r="C832" s="1" t="n">
        <v>45765</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121-2024</t>
        </is>
      </c>
      <c r="B833" s="1" t="n">
        <v>45294</v>
      </c>
      <c r="C833" s="1" t="n">
        <v>45765</v>
      </c>
      <c r="D833" t="inlineStr">
        <is>
          <t>DALARNAS LÄN</t>
        </is>
      </c>
      <c r="E833" t="inlineStr">
        <is>
          <t>LEKSAND</t>
        </is>
      </c>
      <c r="G833" t="n">
        <v>8.6</v>
      </c>
      <c r="H833" t="n">
        <v>0</v>
      </c>
      <c r="I833" t="n">
        <v>0</v>
      </c>
      <c r="J833" t="n">
        <v>0</v>
      </c>
      <c r="K833" t="n">
        <v>0</v>
      </c>
      <c r="L833" t="n">
        <v>0</v>
      </c>
      <c r="M833" t="n">
        <v>0</v>
      </c>
      <c r="N833" t="n">
        <v>0</v>
      </c>
      <c r="O833" t="n">
        <v>0</v>
      </c>
      <c r="P833" t="n">
        <v>0</v>
      </c>
      <c r="Q833" t="n">
        <v>0</v>
      </c>
      <c r="R833" s="2" t="inlineStr"/>
    </row>
    <row r="834" ht="15" customHeight="1">
      <c r="A834" t="inlineStr">
        <is>
          <t>A 402-2024</t>
        </is>
      </c>
      <c r="B834" s="1" t="n">
        <v>45296</v>
      </c>
      <c r="C834" s="1" t="n">
        <v>45765</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412-2024</t>
        </is>
      </c>
      <c r="B835" s="1" t="n">
        <v>45296</v>
      </c>
      <c r="C835" s="1" t="n">
        <v>45765</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481-2024</t>
        </is>
      </c>
      <c r="B836" s="1" t="n">
        <v>45298</v>
      </c>
      <c r="C836" s="1" t="n">
        <v>45765</v>
      </c>
      <c r="D836" t="inlineStr">
        <is>
          <t>DALARNAS LÄN</t>
        </is>
      </c>
      <c r="E836" t="inlineStr">
        <is>
          <t>LEKSAND</t>
        </is>
      </c>
      <c r="G836" t="n">
        <v>7</v>
      </c>
      <c r="H836" t="n">
        <v>0</v>
      </c>
      <c r="I836" t="n">
        <v>0</v>
      </c>
      <c r="J836" t="n">
        <v>0</v>
      </c>
      <c r="K836" t="n">
        <v>0</v>
      </c>
      <c r="L836" t="n">
        <v>0</v>
      </c>
      <c r="M836" t="n">
        <v>0</v>
      </c>
      <c r="N836" t="n">
        <v>0</v>
      </c>
      <c r="O836" t="n">
        <v>0</v>
      </c>
      <c r="P836" t="n">
        <v>0</v>
      </c>
      <c r="Q836" t="n">
        <v>0</v>
      </c>
      <c r="R836" s="2" t="inlineStr"/>
    </row>
    <row r="837" ht="15" customHeight="1">
      <c r="A837" t="inlineStr">
        <is>
          <t>A 511-2024</t>
        </is>
      </c>
      <c r="B837" s="1" t="n">
        <v>45299</v>
      </c>
      <c r="C837" s="1" t="n">
        <v>45765</v>
      </c>
      <c r="D837" t="inlineStr">
        <is>
          <t>DALARNAS LÄN</t>
        </is>
      </c>
      <c r="E837" t="inlineStr">
        <is>
          <t>LEKSAND</t>
        </is>
      </c>
      <c r="G837" t="n">
        <v>1.1</v>
      </c>
      <c r="H837" t="n">
        <v>0</v>
      </c>
      <c r="I837" t="n">
        <v>0</v>
      </c>
      <c r="J837" t="n">
        <v>0</v>
      </c>
      <c r="K837" t="n">
        <v>0</v>
      </c>
      <c r="L837" t="n">
        <v>0</v>
      </c>
      <c r="M837" t="n">
        <v>0</v>
      </c>
      <c r="N837" t="n">
        <v>0</v>
      </c>
      <c r="O837" t="n">
        <v>0</v>
      </c>
      <c r="P837" t="n">
        <v>0</v>
      </c>
      <c r="Q837" t="n">
        <v>0</v>
      </c>
      <c r="R837" s="2" t="inlineStr"/>
    </row>
    <row r="838" ht="15" customHeight="1">
      <c r="A838" t="inlineStr">
        <is>
          <t>A 613-2024</t>
        </is>
      </c>
      <c r="B838" s="1" t="n">
        <v>45299</v>
      </c>
      <c r="C838" s="1" t="n">
        <v>45765</v>
      </c>
      <c r="D838" t="inlineStr">
        <is>
          <t>DALARNAS LÄN</t>
        </is>
      </c>
      <c r="E838" t="inlineStr">
        <is>
          <t>LEKSAND</t>
        </is>
      </c>
      <c r="G838" t="n">
        <v>1.4</v>
      </c>
      <c r="H838" t="n">
        <v>0</v>
      </c>
      <c r="I838" t="n">
        <v>0</v>
      </c>
      <c r="J838" t="n">
        <v>0</v>
      </c>
      <c r="K838" t="n">
        <v>0</v>
      </c>
      <c r="L838" t="n">
        <v>0</v>
      </c>
      <c r="M838" t="n">
        <v>0</v>
      </c>
      <c r="N838" t="n">
        <v>0</v>
      </c>
      <c r="O838" t="n">
        <v>0</v>
      </c>
      <c r="P838" t="n">
        <v>0</v>
      </c>
      <c r="Q838" t="n">
        <v>0</v>
      </c>
      <c r="R838" s="2" t="inlineStr"/>
    </row>
    <row r="839" ht="15" customHeight="1">
      <c r="A839" t="inlineStr">
        <is>
          <t>A 962-2024</t>
        </is>
      </c>
      <c r="B839" s="1" t="n">
        <v>45301</v>
      </c>
      <c r="C839" s="1" t="n">
        <v>45765</v>
      </c>
      <c r="D839" t="inlineStr">
        <is>
          <t>DALARNAS LÄN</t>
        </is>
      </c>
      <c r="E839" t="inlineStr">
        <is>
          <t>LEKSAND</t>
        </is>
      </c>
      <c r="G839" t="n">
        <v>3.8</v>
      </c>
      <c r="H839" t="n">
        <v>0</v>
      </c>
      <c r="I839" t="n">
        <v>0</v>
      </c>
      <c r="J839" t="n">
        <v>0</v>
      </c>
      <c r="K839" t="n">
        <v>0</v>
      </c>
      <c r="L839" t="n">
        <v>0</v>
      </c>
      <c r="M839" t="n">
        <v>0</v>
      </c>
      <c r="N839" t="n">
        <v>0</v>
      </c>
      <c r="O839" t="n">
        <v>0</v>
      </c>
      <c r="P839" t="n">
        <v>0</v>
      </c>
      <c r="Q839" t="n">
        <v>0</v>
      </c>
      <c r="R839" s="2" t="inlineStr"/>
    </row>
    <row r="840" ht="15" customHeight="1">
      <c r="A840" t="inlineStr">
        <is>
          <t>A 1179-2024</t>
        </is>
      </c>
      <c r="B840" s="1" t="n">
        <v>45302</v>
      </c>
      <c r="C840" s="1" t="n">
        <v>45765</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1215-2024</t>
        </is>
      </c>
      <c r="B841" s="1" t="n">
        <v>45302</v>
      </c>
      <c r="C841" s="1" t="n">
        <v>45765</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1458-2024</t>
        </is>
      </c>
      <c r="B842" s="1" t="n">
        <v>45303</v>
      </c>
      <c r="C842" s="1" t="n">
        <v>45765</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1443-2024</t>
        </is>
      </c>
      <c r="B843" s="1" t="n">
        <v>45303</v>
      </c>
      <c r="C843" s="1" t="n">
        <v>45765</v>
      </c>
      <c r="D843" t="inlineStr">
        <is>
          <t>DALARNAS LÄN</t>
        </is>
      </c>
      <c r="E843" t="inlineStr">
        <is>
          <t>LEKSAND</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1457-2024</t>
        </is>
      </c>
      <c r="B844" s="1" t="n">
        <v>45303</v>
      </c>
      <c r="C844" s="1" t="n">
        <v>45765</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1461-2024</t>
        </is>
      </c>
      <c r="B845" s="1" t="n">
        <v>45303</v>
      </c>
      <c r="C845" s="1" t="n">
        <v>45765</v>
      </c>
      <c r="D845" t="inlineStr">
        <is>
          <t>DALARNAS LÄN</t>
        </is>
      </c>
      <c r="E845" t="inlineStr">
        <is>
          <t>LEKSAND</t>
        </is>
      </c>
      <c r="G845" t="n">
        <v>2.4</v>
      </c>
      <c r="H845" t="n">
        <v>0</v>
      </c>
      <c r="I845" t="n">
        <v>0</v>
      </c>
      <c r="J845" t="n">
        <v>0</v>
      </c>
      <c r="K845" t="n">
        <v>0</v>
      </c>
      <c r="L845" t="n">
        <v>0</v>
      </c>
      <c r="M845" t="n">
        <v>0</v>
      </c>
      <c r="N845" t="n">
        <v>0</v>
      </c>
      <c r="O845" t="n">
        <v>0</v>
      </c>
      <c r="P845" t="n">
        <v>0</v>
      </c>
      <c r="Q845" t="n">
        <v>0</v>
      </c>
      <c r="R845" s="2" t="inlineStr"/>
    </row>
    <row r="846" ht="15" customHeight="1">
      <c r="A846" t="inlineStr">
        <is>
          <t>A 1463-2024</t>
        </is>
      </c>
      <c r="B846" s="1" t="n">
        <v>45303</v>
      </c>
      <c r="C846" s="1" t="n">
        <v>45765</v>
      </c>
      <c r="D846" t="inlineStr">
        <is>
          <t>DALARNAS LÄN</t>
        </is>
      </c>
      <c r="E846" t="inlineStr">
        <is>
          <t>LEKSAND</t>
        </is>
      </c>
      <c r="G846" t="n">
        <v>1.5</v>
      </c>
      <c r="H846" t="n">
        <v>0</v>
      </c>
      <c r="I846" t="n">
        <v>0</v>
      </c>
      <c r="J846" t="n">
        <v>0</v>
      </c>
      <c r="K846" t="n">
        <v>0</v>
      </c>
      <c r="L846" t="n">
        <v>0</v>
      </c>
      <c r="M846" t="n">
        <v>0</v>
      </c>
      <c r="N846" t="n">
        <v>0</v>
      </c>
      <c r="O846" t="n">
        <v>0</v>
      </c>
      <c r="P846" t="n">
        <v>0</v>
      </c>
      <c r="Q846" t="n">
        <v>0</v>
      </c>
      <c r="R846" s="2" t="inlineStr"/>
    </row>
    <row r="847" ht="15" customHeight="1">
      <c r="A847" t="inlineStr">
        <is>
          <t>A 1476-2024</t>
        </is>
      </c>
      <c r="B847" s="1" t="n">
        <v>45304</v>
      </c>
      <c r="C847" s="1" t="n">
        <v>45765</v>
      </c>
      <c r="D847" t="inlineStr">
        <is>
          <t>DALARNAS LÄN</t>
        </is>
      </c>
      <c r="E847" t="inlineStr">
        <is>
          <t>LEKSAND</t>
        </is>
      </c>
      <c r="G847" t="n">
        <v>4.3</v>
      </c>
      <c r="H847" t="n">
        <v>0</v>
      </c>
      <c r="I847" t="n">
        <v>0</v>
      </c>
      <c r="J847" t="n">
        <v>0</v>
      </c>
      <c r="K847" t="n">
        <v>0</v>
      </c>
      <c r="L847" t="n">
        <v>0</v>
      </c>
      <c r="M847" t="n">
        <v>0</v>
      </c>
      <c r="N847" t="n">
        <v>0</v>
      </c>
      <c r="O847" t="n">
        <v>0</v>
      </c>
      <c r="P847" t="n">
        <v>0</v>
      </c>
      <c r="Q847" t="n">
        <v>0</v>
      </c>
      <c r="R847" s="2" t="inlineStr"/>
    </row>
    <row r="848" ht="15" customHeight="1">
      <c r="A848" t="inlineStr">
        <is>
          <t>A 1519-2024</t>
        </is>
      </c>
      <c r="B848" s="1" t="n">
        <v>45306</v>
      </c>
      <c r="C848" s="1" t="n">
        <v>45765</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1616-2024</t>
        </is>
      </c>
      <c r="B849" s="1" t="n">
        <v>45306</v>
      </c>
      <c r="C849" s="1" t="n">
        <v>45765</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1849-2024</t>
        </is>
      </c>
      <c r="B850" s="1" t="n">
        <v>45307</v>
      </c>
      <c r="C850" s="1" t="n">
        <v>45765</v>
      </c>
      <c r="D850" t="inlineStr">
        <is>
          <t>DALARNAS LÄN</t>
        </is>
      </c>
      <c r="E850" t="inlineStr">
        <is>
          <t>LEKSAND</t>
        </is>
      </c>
      <c r="F850" t="inlineStr">
        <is>
          <t>Kommuner</t>
        </is>
      </c>
      <c r="G850" t="n">
        <v>5</v>
      </c>
      <c r="H850" t="n">
        <v>0</v>
      </c>
      <c r="I850" t="n">
        <v>0</v>
      </c>
      <c r="J850" t="n">
        <v>0</v>
      </c>
      <c r="K850" t="n">
        <v>0</v>
      </c>
      <c r="L850" t="n">
        <v>0</v>
      </c>
      <c r="M850" t="n">
        <v>0</v>
      </c>
      <c r="N850" t="n">
        <v>0</v>
      </c>
      <c r="O850" t="n">
        <v>0</v>
      </c>
      <c r="P850" t="n">
        <v>0</v>
      </c>
      <c r="Q850" t="n">
        <v>0</v>
      </c>
      <c r="R850" s="2" t="inlineStr"/>
    </row>
    <row r="851" ht="15" customHeight="1">
      <c r="A851" t="inlineStr">
        <is>
          <t>A 1706-2024</t>
        </is>
      </c>
      <c r="B851" s="1" t="n">
        <v>45307</v>
      </c>
      <c r="C851" s="1" t="n">
        <v>45765</v>
      </c>
      <c r="D851" t="inlineStr">
        <is>
          <t>DALARNAS LÄN</t>
        </is>
      </c>
      <c r="E851" t="inlineStr">
        <is>
          <t>LEKSAND</t>
        </is>
      </c>
      <c r="G851" t="n">
        <v>0.7</v>
      </c>
      <c r="H851" t="n">
        <v>0</v>
      </c>
      <c r="I851" t="n">
        <v>0</v>
      </c>
      <c r="J851" t="n">
        <v>0</v>
      </c>
      <c r="K851" t="n">
        <v>0</v>
      </c>
      <c r="L851" t="n">
        <v>0</v>
      </c>
      <c r="M851" t="n">
        <v>0</v>
      </c>
      <c r="N851" t="n">
        <v>0</v>
      </c>
      <c r="O851" t="n">
        <v>0</v>
      </c>
      <c r="P851" t="n">
        <v>0</v>
      </c>
      <c r="Q851" t="n">
        <v>0</v>
      </c>
      <c r="R851" s="2" t="inlineStr"/>
    </row>
    <row r="852" ht="15" customHeight="1">
      <c r="A852" t="inlineStr">
        <is>
          <t>A 1719-2024</t>
        </is>
      </c>
      <c r="B852" s="1" t="n">
        <v>45307</v>
      </c>
      <c r="C852" s="1" t="n">
        <v>45765</v>
      </c>
      <c r="D852" t="inlineStr">
        <is>
          <t>DALARNAS LÄN</t>
        </is>
      </c>
      <c r="E852" t="inlineStr">
        <is>
          <t>LEKSAND</t>
        </is>
      </c>
      <c r="G852" t="n">
        <v>2.8</v>
      </c>
      <c r="H852" t="n">
        <v>0</v>
      </c>
      <c r="I852" t="n">
        <v>0</v>
      </c>
      <c r="J852" t="n">
        <v>0</v>
      </c>
      <c r="K852" t="n">
        <v>0</v>
      </c>
      <c r="L852" t="n">
        <v>0</v>
      </c>
      <c r="M852" t="n">
        <v>0</v>
      </c>
      <c r="N852" t="n">
        <v>0</v>
      </c>
      <c r="O852" t="n">
        <v>0</v>
      </c>
      <c r="P852" t="n">
        <v>0</v>
      </c>
      <c r="Q852" t="n">
        <v>0</v>
      </c>
      <c r="R852" s="2" t="inlineStr"/>
    </row>
    <row r="853" ht="15" customHeight="1">
      <c r="A853" t="inlineStr">
        <is>
          <t>A 1946-2024</t>
        </is>
      </c>
      <c r="B853" s="1" t="n">
        <v>45308</v>
      </c>
      <c r="C853" s="1" t="n">
        <v>45765</v>
      </c>
      <c r="D853" t="inlineStr">
        <is>
          <t>DALARNAS LÄN</t>
        </is>
      </c>
      <c r="E853" t="inlineStr">
        <is>
          <t>LEKSAND</t>
        </is>
      </c>
      <c r="G853" t="n">
        <v>2.3</v>
      </c>
      <c r="H853" t="n">
        <v>0</v>
      </c>
      <c r="I853" t="n">
        <v>0</v>
      </c>
      <c r="J853" t="n">
        <v>0</v>
      </c>
      <c r="K853" t="n">
        <v>0</v>
      </c>
      <c r="L853" t="n">
        <v>0</v>
      </c>
      <c r="M853" t="n">
        <v>0</v>
      </c>
      <c r="N853" t="n">
        <v>0</v>
      </c>
      <c r="O853" t="n">
        <v>0</v>
      </c>
      <c r="P853" t="n">
        <v>0</v>
      </c>
      <c r="Q853" t="n">
        <v>0</v>
      </c>
      <c r="R853" s="2" t="inlineStr"/>
    </row>
    <row r="854" ht="15" customHeight="1">
      <c r="A854" t="inlineStr">
        <is>
          <t>A 2158-2024</t>
        </is>
      </c>
      <c r="B854" s="1" t="n">
        <v>45309</v>
      </c>
      <c r="C854" s="1" t="n">
        <v>45765</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2140-2024</t>
        </is>
      </c>
      <c r="B855" s="1" t="n">
        <v>45309</v>
      </c>
      <c r="C855" s="1" t="n">
        <v>45765</v>
      </c>
      <c r="D855" t="inlineStr">
        <is>
          <t>DALARNAS LÄN</t>
        </is>
      </c>
      <c r="E855" t="inlineStr">
        <is>
          <t>LEKSAND</t>
        </is>
      </c>
      <c r="G855" t="n">
        <v>1.5</v>
      </c>
      <c r="H855" t="n">
        <v>0</v>
      </c>
      <c r="I855" t="n">
        <v>0</v>
      </c>
      <c r="J855" t="n">
        <v>0</v>
      </c>
      <c r="K855" t="n">
        <v>0</v>
      </c>
      <c r="L855" t="n">
        <v>0</v>
      </c>
      <c r="M855" t="n">
        <v>0</v>
      </c>
      <c r="N855" t="n">
        <v>0</v>
      </c>
      <c r="O855" t="n">
        <v>0</v>
      </c>
      <c r="P855" t="n">
        <v>0</v>
      </c>
      <c r="Q855" t="n">
        <v>0</v>
      </c>
      <c r="R855" s="2" t="inlineStr"/>
    </row>
    <row r="856" ht="15" customHeight="1">
      <c r="A856" t="inlineStr">
        <is>
          <t>A 2517-2024</t>
        </is>
      </c>
      <c r="B856" s="1" t="n">
        <v>45313</v>
      </c>
      <c r="C856" s="1" t="n">
        <v>45765</v>
      </c>
      <c r="D856" t="inlineStr">
        <is>
          <t>DALARNAS LÄN</t>
        </is>
      </c>
      <c r="E856" t="inlineStr">
        <is>
          <t>LEKSAND</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2536-2024</t>
        </is>
      </c>
      <c r="B857" s="1" t="n">
        <v>45313</v>
      </c>
      <c r="C857" s="1" t="n">
        <v>45765</v>
      </c>
      <c r="D857" t="inlineStr">
        <is>
          <t>DALARNAS LÄN</t>
        </is>
      </c>
      <c r="E857" t="inlineStr">
        <is>
          <t>LEKSAND</t>
        </is>
      </c>
      <c r="G857" t="n">
        <v>2.2</v>
      </c>
      <c r="H857" t="n">
        <v>0</v>
      </c>
      <c r="I857" t="n">
        <v>0</v>
      </c>
      <c r="J857" t="n">
        <v>0</v>
      </c>
      <c r="K857" t="n">
        <v>0</v>
      </c>
      <c r="L857" t="n">
        <v>0</v>
      </c>
      <c r="M857" t="n">
        <v>0</v>
      </c>
      <c r="N857" t="n">
        <v>0</v>
      </c>
      <c r="O857" t="n">
        <v>0</v>
      </c>
      <c r="P857" t="n">
        <v>0</v>
      </c>
      <c r="Q857" t="n">
        <v>0</v>
      </c>
      <c r="R857" s="2" t="inlineStr"/>
    </row>
    <row r="858" ht="15" customHeight="1">
      <c r="A858" t="inlineStr">
        <is>
          <t>A 2820-2024</t>
        </is>
      </c>
      <c r="B858" s="1" t="n">
        <v>45314</v>
      </c>
      <c r="C858" s="1" t="n">
        <v>45765</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2822-2024</t>
        </is>
      </c>
      <c r="B859" s="1" t="n">
        <v>45314</v>
      </c>
      <c r="C859" s="1" t="n">
        <v>45765</v>
      </c>
      <c r="D859" t="inlineStr">
        <is>
          <t>DALARNAS LÄN</t>
        </is>
      </c>
      <c r="E859" t="inlineStr">
        <is>
          <t>LEKSAND</t>
        </is>
      </c>
      <c r="G859" t="n">
        <v>1.6</v>
      </c>
      <c r="H859" t="n">
        <v>0</v>
      </c>
      <c r="I859" t="n">
        <v>0</v>
      </c>
      <c r="J859" t="n">
        <v>0</v>
      </c>
      <c r="K859" t="n">
        <v>0</v>
      </c>
      <c r="L859" t="n">
        <v>0</v>
      </c>
      <c r="M859" t="n">
        <v>0</v>
      </c>
      <c r="N859" t="n">
        <v>0</v>
      </c>
      <c r="O859" t="n">
        <v>0</v>
      </c>
      <c r="P859" t="n">
        <v>0</v>
      </c>
      <c r="Q859" t="n">
        <v>0</v>
      </c>
      <c r="R859" s="2" t="inlineStr"/>
    </row>
    <row r="860" ht="15" customHeight="1">
      <c r="A860" t="inlineStr">
        <is>
          <t>A 3138-2024</t>
        </is>
      </c>
      <c r="B860" s="1" t="n">
        <v>45316</v>
      </c>
      <c r="C860" s="1" t="n">
        <v>45765</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3048-2024</t>
        </is>
      </c>
      <c r="B861" s="1" t="n">
        <v>45316</v>
      </c>
      <c r="C861" s="1" t="n">
        <v>45765</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3205-2024</t>
        </is>
      </c>
      <c r="B862" s="1" t="n">
        <v>45316</v>
      </c>
      <c r="C862" s="1" t="n">
        <v>45765</v>
      </c>
      <c r="D862" t="inlineStr">
        <is>
          <t>DALARNAS LÄN</t>
        </is>
      </c>
      <c r="E862" t="inlineStr">
        <is>
          <t>LEKSAND</t>
        </is>
      </c>
      <c r="G862" t="n">
        <v>0.8</v>
      </c>
      <c r="H862" t="n">
        <v>0</v>
      </c>
      <c r="I862" t="n">
        <v>0</v>
      </c>
      <c r="J862" t="n">
        <v>0</v>
      </c>
      <c r="K862" t="n">
        <v>0</v>
      </c>
      <c r="L862" t="n">
        <v>0</v>
      </c>
      <c r="M862" t="n">
        <v>0</v>
      </c>
      <c r="N862" t="n">
        <v>0</v>
      </c>
      <c r="O862" t="n">
        <v>0</v>
      </c>
      <c r="P862" t="n">
        <v>0</v>
      </c>
      <c r="Q862" t="n">
        <v>0</v>
      </c>
      <c r="R862" s="2" t="inlineStr"/>
    </row>
    <row r="863" ht="15" customHeight="1">
      <c r="A863" t="inlineStr">
        <is>
          <t>A 3202-2024</t>
        </is>
      </c>
      <c r="B863" s="1" t="n">
        <v>45316</v>
      </c>
      <c r="C863" s="1" t="n">
        <v>45765</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3352-2024</t>
        </is>
      </c>
      <c r="B864" s="1" t="n">
        <v>45317</v>
      </c>
      <c r="C864" s="1" t="n">
        <v>45765</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3970-2024</t>
        </is>
      </c>
      <c r="B865" s="1" t="n">
        <v>45322</v>
      </c>
      <c r="C865" s="1" t="n">
        <v>45765</v>
      </c>
      <c r="D865" t="inlineStr">
        <is>
          <t>DALARNAS LÄN</t>
        </is>
      </c>
      <c r="E865" t="inlineStr">
        <is>
          <t>LEKSAND</t>
        </is>
      </c>
      <c r="G865" t="n">
        <v>2.4</v>
      </c>
      <c r="H865" t="n">
        <v>0</v>
      </c>
      <c r="I865" t="n">
        <v>0</v>
      </c>
      <c r="J865" t="n">
        <v>0</v>
      </c>
      <c r="K865" t="n">
        <v>0</v>
      </c>
      <c r="L865" t="n">
        <v>0</v>
      </c>
      <c r="M865" t="n">
        <v>0</v>
      </c>
      <c r="N865" t="n">
        <v>0</v>
      </c>
      <c r="O865" t="n">
        <v>0</v>
      </c>
      <c r="P865" t="n">
        <v>0</v>
      </c>
      <c r="Q865" t="n">
        <v>0</v>
      </c>
      <c r="R865" s="2" t="inlineStr"/>
    </row>
    <row r="866" ht="15" customHeight="1">
      <c r="A866" t="inlineStr">
        <is>
          <t>A 3974-2024</t>
        </is>
      </c>
      <c r="B866" s="1" t="n">
        <v>45322</v>
      </c>
      <c r="C866" s="1" t="n">
        <v>45765</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3901-2024</t>
        </is>
      </c>
      <c r="B867" s="1" t="n">
        <v>45322</v>
      </c>
      <c r="C867" s="1" t="n">
        <v>45765</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4121-2024</t>
        </is>
      </c>
      <c r="B868" s="1" t="n">
        <v>45323</v>
      </c>
      <c r="C868" s="1" t="n">
        <v>45765</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4248-2024</t>
        </is>
      </c>
      <c r="B869" s="1" t="n">
        <v>45324</v>
      </c>
      <c r="C869" s="1" t="n">
        <v>45765</v>
      </c>
      <c r="D869" t="inlineStr">
        <is>
          <t>DALARNAS LÄN</t>
        </is>
      </c>
      <c r="E869" t="inlineStr">
        <is>
          <t>LEKSAND</t>
        </is>
      </c>
      <c r="G869" t="n">
        <v>3.6</v>
      </c>
      <c r="H869" t="n">
        <v>0</v>
      </c>
      <c r="I869" t="n">
        <v>0</v>
      </c>
      <c r="J869" t="n">
        <v>0</v>
      </c>
      <c r="K869" t="n">
        <v>0</v>
      </c>
      <c r="L869" t="n">
        <v>0</v>
      </c>
      <c r="M869" t="n">
        <v>0</v>
      </c>
      <c r="N869" t="n">
        <v>0</v>
      </c>
      <c r="O869" t="n">
        <v>0</v>
      </c>
      <c r="P869" t="n">
        <v>0</v>
      </c>
      <c r="Q869" t="n">
        <v>0</v>
      </c>
      <c r="R869" s="2" t="inlineStr"/>
    </row>
    <row r="870" ht="15" customHeight="1">
      <c r="A870" t="inlineStr">
        <is>
          <t>A 4938-2024</t>
        </is>
      </c>
      <c r="B870" s="1" t="n">
        <v>45329</v>
      </c>
      <c r="C870" s="1" t="n">
        <v>45765</v>
      </c>
      <c r="D870" t="inlineStr">
        <is>
          <t>DALARNAS LÄN</t>
        </is>
      </c>
      <c r="E870" t="inlineStr">
        <is>
          <t>LEKSAND</t>
        </is>
      </c>
      <c r="G870" t="n">
        <v>7.7</v>
      </c>
      <c r="H870" t="n">
        <v>0</v>
      </c>
      <c r="I870" t="n">
        <v>0</v>
      </c>
      <c r="J870" t="n">
        <v>0</v>
      </c>
      <c r="K870" t="n">
        <v>0</v>
      </c>
      <c r="L870" t="n">
        <v>0</v>
      </c>
      <c r="M870" t="n">
        <v>0</v>
      </c>
      <c r="N870" t="n">
        <v>0</v>
      </c>
      <c r="O870" t="n">
        <v>0</v>
      </c>
      <c r="P870" t="n">
        <v>0</v>
      </c>
      <c r="Q870" t="n">
        <v>0</v>
      </c>
      <c r="R870" s="2" t="inlineStr"/>
    </row>
    <row r="871" ht="15" customHeight="1">
      <c r="A871" t="inlineStr">
        <is>
          <t>A 4956-2024</t>
        </is>
      </c>
      <c r="B871" s="1" t="n">
        <v>45329</v>
      </c>
      <c r="C871" s="1" t="n">
        <v>45765</v>
      </c>
      <c r="D871" t="inlineStr">
        <is>
          <t>DALARNAS LÄN</t>
        </is>
      </c>
      <c r="E871" t="inlineStr">
        <is>
          <t>LEKSAND</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5231-2024</t>
        </is>
      </c>
      <c r="B872" s="1" t="n">
        <v>45330</v>
      </c>
      <c r="C872" s="1" t="n">
        <v>45765</v>
      </c>
      <c r="D872" t="inlineStr">
        <is>
          <t>DALARNAS LÄN</t>
        </is>
      </c>
      <c r="E872" t="inlineStr">
        <is>
          <t>LEKSAND</t>
        </is>
      </c>
      <c r="F872" t="inlineStr">
        <is>
          <t>Bergvik skog väst AB</t>
        </is>
      </c>
      <c r="G872" t="n">
        <v>11.2</v>
      </c>
      <c r="H872" t="n">
        <v>0</v>
      </c>
      <c r="I872" t="n">
        <v>0</v>
      </c>
      <c r="J872" t="n">
        <v>0</v>
      </c>
      <c r="K872" t="n">
        <v>0</v>
      </c>
      <c r="L872" t="n">
        <v>0</v>
      </c>
      <c r="M872" t="n">
        <v>0</v>
      </c>
      <c r="N872" t="n">
        <v>0</v>
      </c>
      <c r="O872" t="n">
        <v>0</v>
      </c>
      <c r="P872" t="n">
        <v>0</v>
      </c>
      <c r="Q872" t="n">
        <v>0</v>
      </c>
      <c r="R872" s="2" t="inlineStr"/>
    </row>
    <row r="873" ht="15" customHeight="1">
      <c r="A873" t="inlineStr">
        <is>
          <t>A 5369-2024</t>
        </is>
      </c>
      <c r="B873" s="1" t="n">
        <v>45331</v>
      </c>
      <c r="C873" s="1" t="n">
        <v>45765</v>
      </c>
      <c r="D873" t="inlineStr">
        <is>
          <t>DALARNAS LÄN</t>
        </is>
      </c>
      <c r="E873" t="inlineStr">
        <is>
          <t>LEKSAND</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5514-2024</t>
        </is>
      </c>
      <c r="B874" s="1" t="n">
        <v>45334</v>
      </c>
      <c r="C874" s="1" t="n">
        <v>45765</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5570-2024</t>
        </is>
      </c>
      <c r="B875" s="1" t="n">
        <v>45334</v>
      </c>
      <c r="C875" s="1" t="n">
        <v>45765</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5574-2024</t>
        </is>
      </c>
      <c r="B876" s="1" t="n">
        <v>45334</v>
      </c>
      <c r="C876" s="1" t="n">
        <v>45765</v>
      </c>
      <c r="D876" t="inlineStr">
        <is>
          <t>DALARNAS LÄN</t>
        </is>
      </c>
      <c r="E876" t="inlineStr">
        <is>
          <t>LEKSAND</t>
        </is>
      </c>
      <c r="G876" t="n">
        <v>0.4</v>
      </c>
      <c r="H876" t="n">
        <v>0</v>
      </c>
      <c r="I876" t="n">
        <v>0</v>
      </c>
      <c r="J876" t="n">
        <v>0</v>
      </c>
      <c r="K876" t="n">
        <v>0</v>
      </c>
      <c r="L876" t="n">
        <v>0</v>
      </c>
      <c r="M876" t="n">
        <v>0</v>
      </c>
      <c r="N876" t="n">
        <v>0</v>
      </c>
      <c r="O876" t="n">
        <v>0</v>
      </c>
      <c r="P876" t="n">
        <v>0</v>
      </c>
      <c r="Q876" t="n">
        <v>0</v>
      </c>
      <c r="R876" s="2" t="inlineStr"/>
    </row>
    <row r="877" ht="15" customHeight="1">
      <c r="A877" t="inlineStr">
        <is>
          <t>A 5583-2024</t>
        </is>
      </c>
      <c r="B877" s="1" t="n">
        <v>45334</v>
      </c>
      <c r="C877" s="1" t="n">
        <v>45765</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5584-2024</t>
        </is>
      </c>
      <c r="B878" s="1" t="n">
        <v>45334</v>
      </c>
      <c r="C878" s="1" t="n">
        <v>45765</v>
      </c>
      <c r="D878" t="inlineStr">
        <is>
          <t>DALARNAS LÄN</t>
        </is>
      </c>
      <c r="E878" t="inlineStr">
        <is>
          <t>LEKSAND</t>
        </is>
      </c>
      <c r="F878" t="inlineStr">
        <is>
          <t>Kyrkan</t>
        </is>
      </c>
      <c r="G878" t="n">
        <v>0.4</v>
      </c>
      <c r="H878" t="n">
        <v>0</v>
      </c>
      <c r="I878" t="n">
        <v>0</v>
      </c>
      <c r="J878" t="n">
        <v>0</v>
      </c>
      <c r="K878" t="n">
        <v>0</v>
      </c>
      <c r="L878" t="n">
        <v>0</v>
      </c>
      <c r="M878" t="n">
        <v>0</v>
      </c>
      <c r="N878" t="n">
        <v>0</v>
      </c>
      <c r="O878" t="n">
        <v>0</v>
      </c>
      <c r="P878" t="n">
        <v>0</v>
      </c>
      <c r="Q878" t="n">
        <v>0</v>
      </c>
      <c r="R878" s="2" t="inlineStr"/>
    </row>
    <row r="879" ht="15" customHeight="1">
      <c r="A879" t="inlineStr">
        <is>
          <t>A 5582-2024</t>
        </is>
      </c>
      <c r="B879" s="1" t="n">
        <v>45334</v>
      </c>
      <c r="C879" s="1" t="n">
        <v>45765</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5900-2024</t>
        </is>
      </c>
      <c r="B880" s="1" t="n">
        <v>45335</v>
      </c>
      <c r="C880" s="1" t="n">
        <v>45765</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6758-2024</t>
        </is>
      </c>
      <c r="B881" s="1" t="n">
        <v>45342</v>
      </c>
      <c r="C881" s="1" t="n">
        <v>45765</v>
      </c>
      <c r="D881" t="inlineStr">
        <is>
          <t>DALARNAS LÄN</t>
        </is>
      </c>
      <c r="E881" t="inlineStr">
        <is>
          <t>LEKSAND</t>
        </is>
      </c>
      <c r="F881" t="inlineStr">
        <is>
          <t>Bergvik skog väst AB</t>
        </is>
      </c>
      <c r="G881" t="n">
        <v>6.2</v>
      </c>
      <c r="H881" t="n">
        <v>0</v>
      </c>
      <c r="I881" t="n">
        <v>0</v>
      </c>
      <c r="J881" t="n">
        <v>0</v>
      </c>
      <c r="K881" t="n">
        <v>0</v>
      </c>
      <c r="L881" t="n">
        <v>0</v>
      </c>
      <c r="M881" t="n">
        <v>0</v>
      </c>
      <c r="N881" t="n">
        <v>0</v>
      </c>
      <c r="O881" t="n">
        <v>0</v>
      </c>
      <c r="P881" t="n">
        <v>0</v>
      </c>
      <c r="Q881" t="n">
        <v>0</v>
      </c>
      <c r="R881" s="2" t="inlineStr"/>
    </row>
    <row r="882" ht="15" customHeight="1">
      <c r="A882" t="inlineStr">
        <is>
          <t>A 7417-2024</t>
        </is>
      </c>
      <c r="B882" s="1" t="n">
        <v>45345</v>
      </c>
      <c r="C882" s="1" t="n">
        <v>45765</v>
      </c>
      <c r="D882" t="inlineStr">
        <is>
          <t>DALARNAS LÄN</t>
        </is>
      </c>
      <c r="E882" t="inlineStr">
        <is>
          <t>LEKSAND</t>
        </is>
      </c>
      <c r="G882" t="n">
        <v>2.8</v>
      </c>
      <c r="H882" t="n">
        <v>0</v>
      </c>
      <c r="I882" t="n">
        <v>0</v>
      </c>
      <c r="J882" t="n">
        <v>0</v>
      </c>
      <c r="K882" t="n">
        <v>0</v>
      </c>
      <c r="L882" t="n">
        <v>0</v>
      </c>
      <c r="M882" t="n">
        <v>0</v>
      </c>
      <c r="N882" t="n">
        <v>0</v>
      </c>
      <c r="O882" t="n">
        <v>0</v>
      </c>
      <c r="P882" t="n">
        <v>0</v>
      </c>
      <c r="Q882" t="n">
        <v>0</v>
      </c>
      <c r="R882" s="2" t="inlineStr"/>
    </row>
    <row r="883" ht="15" customHeight="1">
      <c r="A883" t="inlineStr">
        <is>
          <t>A 7775-2024</t>
        </is>
      </c>
      <c r="B883" s="1" t="n">
        <v>45349</v>
      </c>
      <c r="C883" s="1" t="n">
        <v>45765</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7768-2024</t>
        </is>
      </c>
      <c r="B884" s="1" t="n">
        <v>45349</v>
      </c>
      <c r="C884" s="1" t="n">
        <v>45765</v>
      </c>
      <c r="D884" t="inlineStr">
        <is>
          <t>DALARNAS LÄN</t>
        </is>
      </c>
      <c r="E884" t="inlineStr">
        <is>
          <t>LEKSAND</t>
        </is>
      </c>
      <c r="G884" t="n">
        <v>5.4</v>
      </c>
      <c r="H884" t="n">
        <v>0</v>
      </c>
      <c r="I884" t="n">
        <v>0</v>
      </c>
      <c r="J884" t="n">
        <v>0</v>
      </c>
      <c r="K884" t="n">
        <v>0</v>
      </c>
      <c r="L884" t="n">
        <v>0</v>
      </c>
      <c r="M884" t="n">
        <v>0</v>
      </c>
      <c r="N884" t="n">
        <v>0</v>
      </c>
      <c r="O884" t="n">
        <v>0</v>
      </c>
      <c r="P884" t="n">
        <v>0</v>
      </c>
      <c r="Q884" t="n">
        <v>0</v>
      </c>
      <c r="R884" s="2" t="inlineStr"/>
    </row>
    <row r="885" ht="15" customHeight="1">
      <c r="A885" t="inlineStr">
        <is>
          <t>A 7773-2024</t>
        </is>
      </c>
      <c r="B885" s="1" t="n">
        <v>45349</v>
      </c>
      <c r="C885" s="1" t="n">
        <v>45765</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7827-2024</t>
        </is>
      </c>
      <c r="B886" s="1" t="n">
        <v>45349</v>
      </c>
      <c r="C886" s="1" t="n">
        <v>45765</v>
      </c>
      <c r="D886" t="inlineStr">
        <is>
          <t>DALARNAS LÄN</t>
        </is>
      </c>
      <c r="E886" t="inlineStr">
        <is>
          <t>LEKSAND</t>
        </is>
      </c>
      <c r="G886" t="n">
        <v>2.2</v>
      </c>
      <c r="H886" t="n">
        <v>0</v>
      </c>
      <c r="I886" t="n">
        <v>0</v>
      </c>
      <c r="J886" t="n">
        <v>0</v>
      </c>
      <c r="K886" t="n">
        <v>0</v>
      </c>
      <c r="L886" t="n">
        <v>0</v>
      </c>
      <c r="M886" t="n">
        <v>0</v>
      </c>
      <c r="N886" t="n">
        <v>0</v>
      </c>
      <c r="O886" t="n">
        <v>0</v>
      </c>
      <c r="P886" t="n">
        <v>0</v>
      </c>
      <c r="Q886" t="n">
        <v>0</v>
      </c>
      <c r="R886" s="2" t="inlineStr"/>
    </row>
    <row r="887" ht="15" customHeight="1">
      <c r="A887" t="inlineStr">
        <is>
          <t>A 7861-2024</t>
        </is>
      </c>
      <c r="B887" s="1" t="n">
        <v>45350</v>
      </c>
      <c r="C887" s="1" t="n">
        <v>45765</v>
      </c>
      <c r="D887" t="inlineStr">
        <is>
          <t>DALARNAS LÄN</t>
        </is>
      </c>
      <c r="E887" t="inlineStr">
        <is>
          <t>LEKSAND</t>
        </is>
      </c>
      <c r="G887" t="n">
        <v>1.8</v>
      </c>
      <c r="H887" t="n">
        <v>0</v>
      </c>
      <c r="I887" t="n">
        <v>0</v>
      </c>
      <c r="J887" t="n">
        <v>0</v>
      </c>
      <c r="K887" t="n">
        <v>0</v>
      </c>
      <c r="L887" t="n">
        <v>0</v>
      </c>
      <c r="M887" t="n">
        <v>0</v>
      </c>
      <c r="N887" t="n">
        <v>0</v>
      </c>
      <c r="O887" t="n">
        <v>0</v>
      </c>
      <c r="P887" t="n">
        <v>0</v>
      </c>
      <c r="Q887" t="n">
        <v>0</v>
      </c>
      <c r="R887" s="2" t="inlineStr"/>
    </row>
    <row r="888" ht="15" customHeight="1">
      <c r="A888" t="inlineStr">
        <is>
          <t>A 8046-2024</t>
        </is>
      </c>
      <c r="B888" s="1" t="n">
        <v>45351</v>
      </c>
      <c r="C888" s="1" t="n">
        <v>45765</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8045-2024</t>
        </is>
      </c>
      <c r="B889" s="1" t="n">
        <v>45351</v>
      </c>
      <c r="C889" s="1" t="n">
        <v>45765</v>
      </c>
      <c r="D889" t="inlineStr">
        <is>
          <t>DALARNAS LÄN</t>
        </is>
      </c>
      <c r="E889" t="inlineStr">
        <is>
          <t>LEKSAND</t>
        </is>
      </c>
      <c r="G889" t="n">
        <v>6.7</v>
      </c>
      <c r="H889" t="n">
        <v>0</v>
      </c>
      <c r="I889" t="n">
        <v>0</v>
      </c>
      <c r="J889" t="n">
        <v>0</v>
      </c>
      <c r="K889" t="n">
        <v>0</v>
      </c>
      <c r="L889" t="n">
        <v>0</v>
      </c>
      <c r="M889" t="n">
        <v>0</v>
      </c>
      <c r="N889" t="n">
        <v>0</v>
      </c>
      <c r="O889" t="n">
        <v>0</v>
      </c>
      <c r="P889" t="n">
        <v>0</v>
      </c>
      <c r="Q889" t="n">
        <v>0</v>
      </c>
      <c r="R889" s="2" t="inlineStr"/>
    </row>
    <row r="890" ht="15" customHeight="1">
      <c r="A890" t="inlineStr">
        <is>
          <t>A 9781-2024</t>
        </is>
      </c>
      <c r="B890" s="1" t="n">
        <v>45362</v>
      </c>
      <c r="C890" s="1" t="n">
        <v>45765</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10299-2024</t>
        </is>
      </c>
      <c r="B891" s="1" t="n">
        <v>45365</v>
      </c>
      <c r="C891" s="1" t="n">
        <v>45765</v>
      </c>
      <c r="D891" t="inlineStr">
        <is>
          <t>DALARNAS LÄN</t>
        </is>
      </c>
      <c r="E891" t="inlineStr">
        <is>
          <t>LEKSAND</t>
        </is>
      </c>
      <c r="G891" t="n">
        <v>3.6</v>
      </c>
      <c r="H891" t="n">
        <v>0</v>
      </c>
      <c r="I891" t="n">
        <v>0</v>
      </c>
      <c r="J891" t="n">
        <v>0</v>
      </c>
      <c r="K891" t="n">
        <v>0</v>
      </c>
      <c r="L891" t="n">
        <v>0</v>
      </c>
      <c r="M891" t="n">
        <v>0</v>
      </c>
      <c r="N891" t="n">
        <v>0</v>
      </c>
      <c r="O891" t="n">
        <v>0</v>
      </c>
      <c r="P891" t="n">
        <v>0</v>
      </c>
      <c r="Q891" t="n">
        <v>0</v>
      </c>
      <c r="R891" s="2" t="inlineStr"/>
    </row>
    <row r="892" ht="15" customHeight="1">
      <c r="A892" t="inlineStr">
        <is>
          <t>A 10462-2024</t>
        </is>
      </c>
      <c r="B892" s="1" t="n">
        <v>45366</v>
      </c>
      <c r="C892" s="1" t="n">
        <v>45765</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10743-2024</t>
        </is>
      </c>
      <c r="B893" s="1" t="n">
        <v>45369</v>
      </c>
      <c r="C893" s="1" t="n">
        <v>45765</v>
      </c>
      <c r="D893" t="inlineStr">
        <is>
          <t>DALARNAS LÄN</t>
        </is>
      </c>
      <c r="E893" t="inlineStr">
        <is>
          <t>LEKSAND</t>
        </is>
      </c>
      <c r="G893" t="n">
        <v>2.7</v>
      </c>
      <c r="H893" t="n">
        <v>0</v>
      </c>
      <c r="I893" t="n">
        <v>0</v>
      </c>
      <c r="J893" t="n">
        <v>0</v>
      </c>
      <c r="K893" t="n">
        <v>0</v>
      </c>
      <c r="L893" t="n">
        <v>0</v>
      </c>
      <c r="M893" t="n">
        <v>0</v>
      </c>
      <c r="N893" t="n">
        <v>0</v>
      </c>
      <c r="O893" t="n">
        <v>0</v>
      </c>
      <c r="P893" t="n">
        <v>0</v>
      </c>
      <c r="Q893" t="n">
        <v>0</v>
      </c>
      <c r="R893" s="2" t="inlineStr"/>
    </row>
    <row r="894" ht="15" customHeight="1">
      <c r="A894" t="inlineStr">
        <is>
          <t>A 10771-2024</t>
        </is>
      </c>
      <c r="B894" s="1" t="n">
        <v>45369</v>
      </c>
      <c r="C894" s="1" t="n">
        <v>45765</v>
      </c>
      <c r="D894" t="inlineStr">
        <is>
          <t>DALARNAS LÄN</t>
        </is>
      </c>
      <c r="E894" t="inlineStr">
        <is>
          <t>LEKSAND</t>
        </is>
      </c>
      <c r="G894" t="n">
        <v>0.4</v>
      </c>
      <c r="H894" t="n">
        <v>0</v>
      </c>
      <c r="I894" t="n">
        <v>0</v>
      </c>
      <c r="J894" t="n">
        <v>0</v>
      </c>
      <c r="K894" t="n">
        <v>0</v>
      </c>
      <c r="L894" t="n">
        <v>0</v>
      </c>
      <c r="M894" t="n">
        <v>0</v>
      </c>
      <c r="N894" t="n">
        <v>0</v>
      </c>
      <c r="O894" t="n">
        <v>0</v>
      </c>
      <c r="P894" t="n">
        <v>0</v>
      </c>
      <c r="Q894" t="n">
        <v>0</v>
      </c>
      <c r="R894" s="2" t="inlineStr"/>
    </row>
    <row r="895" ht="15" customHeight="1">
      <c r="A895" t="inlineStr">
        <is>
          <t>A 11617-2024</t>
        </is>
      </c>
      <c r="B895" s="1" t="n">
        <v>45373</v>
      </c>
      <c r="C895" s="1" t="n">
        <v>45765</v>
      </c>
      <c r="D895" t="inlineStr">
        <is>
          <t>DALARNAS LÄN</t>
        </is>
      </c>
      <c r="E895" t="inlineStr">
        <is>
          <t>LEKSAND</t>
        </is>
      </c>
      <c r="G895" t="n">
        <v>1.9</v>
      </c>
      <c r="H895" t="n">
        <v>0</v>
      </c>
      <c r="I895" t="n">
        <v>0</v>
      </c>
      <c r="J895" t="n">
        <v>0</v>
      </c>
      <c r="K895" t="n">
        <v>0</v>
      </c>
      <c r="L895" t="n">
        <v>0</v>
      </c>
      <c r="M895" t="n">
        <v>0</v>
      </c>
      <c r="N895" t="n">
        <v>0</v>
      </c>
      <c r="O895" t="n">
        <v>0</v>
      </c>
      <c r="P895" t="n">
        <v>0</v>
      </c>
      <c r="Q895" t="n">
        <v>0</v>
      </c>
      <c r="R895" s="2" t="inlineStr"/>
    </row>
    <row r="896" ht="15" customHeight="1">
      <c r="A896" t="inlineStr">
        <is>
          <t>A 11869-2024</t>
        </is>
      </c>
      <c r="B896" s="1" t="n">
        <v>45376</v>
      </c>
      <c r="C896" s="1" t="n">
        <v>45765</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11855-2024</t>
        </is>
      </c>
      <c r="B897" s="1" t="n">
        <v>45376</v>
      </c>
      <c r="C897" s="1" t="n">
        <v>45765</v>
      </c>
      <c r="D897" t="inlineStr">
        <is>
          <t>DALARNAS LÄN</t>
        </is>
      </c>
      <c r="E897" t="inlineStr">
        <is>
          <t>LEKSAND</t>
        </is>
      </c>
      <c r="G897" t="n">
        <v>4</v>
      </c>
      <c r="H897" t="n">
        <v>0</v>
      </c>
      <c r="I897" t="n">
        <v>0</v>
      </c>
      <c r="J897" t="n">
        <v>0</v>
      </c>
      <c r="K897" t="n">
        <v>0</v>
      </c>
      <c r="L897" t="n">
        <v>0</v>
      </c>
      <c r="M897" t="n">
        <v>0</v>
      </c>
      <c r="N897" t="n">
        <v>0</v>
      </c>
      <c r="O897" t="n">
        <v>0</v>
      </c>
      <c r="P897" t="n">
        <v>0</v>
      </c>
      <c r="Q897" t="n">
        <v>0</v>
      </c>
      <c r="R897" s="2" t="inlineStr"/>
      <c r="U897">
        <f>HYPERLINK("https://klasma.github.io/Logging_2029/knärot/A 11855-2024 karta knärot.png", "A 11855-2024")</f>
        <v/>
      </c>
      <c r="V897">
        <f>HYPERLINK("https://klasma.github.io/Logging_2029/klagomål/A 11855-2024 FSC-klagomål.docx", "A 11855-2024")</f>
        <v/>
      </c>
      <c r="W897">
        <f>HYPERLINK("https://klasma.github.io/Logging_2029/klagomålsmail/A 11855-2024 FSC-klagomål mail.docx", "A 11855-2024")</f>
        <v/>
      </c>
      <c r="X897">
        <f>HYPERLINK("https://klasma.github.io/Logging_2029/tillsyn/A 11855-2024 tillsynsbegäran.docx", "A 11855-2024")</f>
        <v/>
      </c>
      <c r="Y897">
        <f>HYPERLINK("https://klasma.github.io/Logging_2029/tillsynsmail/A 11855-2024 tillsynsbegäran mail.docx", "A 11855-2024")</f>
        <v/>
      </c>
    </row>
    <row r="898" ht="15" customHeight="1">
      <c r="A898" t="inlineStr">
        <is>
          <t>A 11859-2024</t>
        </is>
      </c>
      <c r="B898" s="1" t="n">
        <v>45376</v>
      </c>
      <c r="C898" s="1" t="n">
        <v>45765</v>
      </c>
      <c r="D898" t="inlineStr">
        <is>
          <t>DALARNAS LÄN</t>
        </is>
      </c>
      <c r="E898" t="inlineStr">
        <is>
          <t>LEKSAND</t>
        </is>
      </c>
      <c r="G898" t="n">
        <v>2.1</v>
      </c>
      <c r="H898" t="n">
        <v>0</v>
      </c>
      <c r="I898" t="n">
        <v>0</v>
      </c>
      <c r="J898" t="n">
        <v>0</v>
      </c>
      <c r="K898" t="n">
        <v>0</v>
      </c>
      <c r="L898" t="n">
        <v>0</v>
      </c>
      <c r="M898" t="n">
        <v>0</v>
      </c>
      <c r="N898" t="n">
        <v>0</v>
      </c>
      <c r="O898" t="n">
        <v>0</v>
      </c>
      <c r="P898" t="n">
        <v>0</v>
      </c>
      <c r="Q898" t="n">
        <v>0</v>
      </c>
      <c r="R898" s="2" t="inlineStr"/>
    </row>
    <row r="899" ht="15" customHeight="1">
      <c r="A899" t="inlineStr">
        <is>
          <t>A 11872-2024</t>
        </is>
      </c>
      <c r="B899" s="1" t="n">
        <v>45376</v>
      </c>
      <c r="C899" s="1" t="n">
        <v>45765</v>
      </c>
      <c r="D899" t="inlineStr">
        <is>
          <t>DALARNAS LÄN</t>
        </is>
      </c>
      <c r="E899" t="inlineStr">
        <is>
          <t>LEKSAND</t>
        </is>
      </c>
      <c r="G899" t="n">
        <v>3.1</v>
      </c>
      <c r="H899" t="n">
        <v>0</v>
      </c>
      <c r="I899" t="n">
        <v>0</v>
      </c>
      <c r="J899" t="n">
        <v>0</v>
      </c>
      <c r="K899" t="n">
        <v>0</v>
      </c>
      <c r="L899" t="n">
        <v>0</v>
      </c>
      <c r="M899" t="n">
        <v>0</v>
      </c>
      <c r="N899" t="n">
        <v>0</v>
      </c>
      <c r="O899" t="n">
        <v>0</v>
      </c>
      <c r="P899" t="n">
        <v>0</v>
      </c>
      <c r="Q899" t="n">
        <v>0</v>
      </c>
      <c r="R899" s="2" t="inlineStr"/>
    </row>
    <row r="900" ht="15" customHeight="1">
      <c r="A900" t="inlineStr">
        <is>
          <t>A 11870-2024</t>
        </is>
      </c>
      <c r="B900" s="1" t="n">
        <v>45376</v>
      </c>
      <c r="C900" s="1" t="n">
        <v>45765</v>
      </c>
      <c r="D900" t="inlineStr">
        <is>
          <t>DALARNAS LÄN</t>
        </is>
      </c>
      <c r="E900" t="inlineStr">
        <is>
          <t>LEKSAND</t>
        </is>
      </c>
      <c r="G900" t="n">
        <v>1.5</v>
      </c>
      <c r="H900" t="n">
        <v>0</v>
      </c>
      <c r="I900" t="n">
        <v>0</v>
      </c>
      <c r="J900" t="n">
        <v>0</v>
      </c>
      <c r="K900" t="n">
        <v>0</v>
      </c>
      <c r="L900" t="n">
        <v>0</v>
      </c>
      <c r="M900" t="n">
        <v>0</v>
      </c>
      <c r="N900" t="n">
        <v>0</v>
      </c>
      <c r="O900" t="n">
        <v>0</v>
      </c>
      <c r="P900" t="n">
        <v>0</v>
      </c>
      <c r="Q900" t="n">
        <v>0</v>
      </c>
      <c r="R900" s="2" t="inlineStr"/>
    </row>
    <row r="901" ht="15" customHeight="1">
      <c r="A901" t="inlineStr">
        <is>
          <t>A 12290-2024</t>
        </is>
      </c>
      <c r="B901" s="1" t="n">
        <v>45378</v>
      </c>
      <c r="C901" s="1" t="n">
        <v>45765</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12481-2024</t>
        </is>
      </c>
      <c r="B902" s="1" t="n">
        <v>45379</v>
      </c>
      <c r="C902" s="1" t="n">
        <v>45765</v>
      </c>
      <c r="D902" t="inlineStr">
        <is>
          <t>DALARNAS LÄN</t>
        </is>
      </c>
      <c r="E902" t="inlineStr">
        <is>
          <t>LEKSAND</t>
        </is>
      </c>
      <c r="G902" t="n">
        <v>4.6</v>
      </c>
      <c r="H902" t="n">
        <v>0</v>
      </c>
      <c r="I902" t="n">
        <v>0</v>
      </c>
      <c r="J902" t="n">
        <v>0</v>
      </c>
      <c r="K902" t="n">
        <v>0</v>
      </c>
      <c r="L902" t="n">
        <v>0</v>
      </c>
      <c r="M902" t="n">
        <v>0</v>
      </c>
      <c r="N902" t="n">
        <v>0</v>
      </c>
      <c r="O902" t="n">
        <v>0</v>
      </c>
      <c r="P902" t="n">
        <v>0</v>
      </c>
      <c r="Q902" t="n">
        <v>0</v>
      </c>
      <c r="R902" s="2" t="inlineStr"/>
    </row>
    <row r="903" ht="15" customHeight="1">
      <c r="A903" t="inlineStr">
        <is>
          <t>A 13161-2024</t>
        </is>
      </c>
      <c r="B903" s="1" t="n">
        <v>45386</v>
      </c>
      <c r="C903" s="1" t="n">
        <v>45765</v>
      </c>
      <c r="D903" t="inlineStr">
        <is>
          <t>DALARNAS LÄN</t>
        </is>
      </c>
      <c r="E903" t="inlineStr">
        <is>
          <t>LEKSAND</t>
        </is>
      </c>
      <c r="G903" t="n">
        <v>0.7</v>
      </c>
      <c r="H903" t="n">
        <v>0</v>
      </c>
      <c r="I903" t="n">
        <v>0</v>
      </c>
      <c r="J903" t="n">
        <v>0</v>
      </c>
      <c r="K903" t="n">
        <v>0</v>
      </c>
      <c r="L903" t="n">
        <v>0</v>
      </c>
      <c r="M903" t="n">
        <v>0</v>
      </c>
      <c r="N903" t="n">
        <v>0</v>
      </c>
      <c r="O903" t="n">
        <v>0</v>
      </c>
      <c r="P903" t="n">
        <v>0</v>
      </c>
      <c r="Q903" t="n">
        <v>0</v>
      </c>
      <c r="R903" s="2" t="inlineStr"/>
    </row>
    <row r="904" ht="15" customHeight="1">
      <c r="A904" t="inlineStr">
        <is>
          <t>A 13165-2024</t>
        </is>
      </c>
      <c r="B904" s="1" t="n">
        <v>45386</v>
      </c>
      <c r="C904" s="1" t="n">
        <v>45765</v>
      </c>
      <c r="D904" t="inlineStr">
        <is>
          <t>DALARNAS LÄN</t>
        </is>
      </c>
      <c r="E904" t="inlineStr">
        <is>
          <t>LEKSAND</t>
        </is>
      </c>
      <c r="G904" t="n">
        <v>3.4</v>
      </c>
      <c r="H904" t="n">
        <v>0</v>
      </c>
      <c r="I904" t="n">
        <v>0</v>
      </c>
      <c r="J904" t="n">
        <v>0</v>
      </c>
      <c r="K904" t="n">
        <v>0</v>
      </c>
      <c r="L904" t="n">
        <v>0</v>
      </c>
      <c r="M904" t="n">
        <v>0</v>
      </c>
      <c r="N904" t="n">
        <v>0</v>
      </c>
      <c r="O904" t="n">
        <v>0</v>
      </c>
      <c r="P904" t="n">
        <v>0</v>
      </c>
      <c r="Q904" t="n">
        <v>0</v>
      </c>
      <c r="R904" s="2" t="inlineStr"/>
    </row>
    <row r="905" ht="15" customHeight="1">
      <c r="A905" t="inlineStr">
        <is>
          <t>A 13741-2024</t>
        </is>
      </c>
      <c r="B905" s="1" t="n">
        <v>45390</v>
      </c>
      <c r="C905" s="1" t="n">
        <v>45765</v>
      </c>
      <c r="D905" t="inlineStr">
        <is>
          <t>DALARNAS LÄN</t>
        </is>
      </c>
      <c r="E905" t="inlineStr">
        <is>
          <t>LEKSAND</t>
        </is>
      </c>
      <c r="G905" t="n">
        <v>5.9</v>
      </c>
      <c r="H905" t="n">
        <v>0</v>
      </c>
      <c r="I905" t="n">
        <v>0</v>
      </c>
      <c r="J905" t="n">
        <v>0</v>
      </c>
      <c r="K905" t="n">
        <v>0</v>
      </c>
      <c r="L905" t="n">
        <v>0</v>
      </c>
      <c r="M905" t="n">
        <v>0</v>
      </c>
      <c r="N905" t="n">
        <v>0</v>
      </c>
      <c r="O905" t="n">
        <v>0</v>
      </c>
      <c r="P905" t="n">
        <v>0</v>
      </c>
      <c r="Q905" t="n">
        <v>0</v>
      </c>
      <c r="R905" s="2" t="inlineStr"/>
    </row>
    <row r="906" ht="15" customHeight="1">
      <c r="A906" t="inlineStr">
        <is>
          <t>A 13783-2024</t>
        </is>
      </c>
      <c r="B906" s="1" t="n">
        <v>45391</v>
      </c>
      <c r="C906" s="1" t="n">
        <v>45765</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13811-2024</t>
        </is>
      </c>
      <c r="B907" s="1" t="n">
        <v>45391</v>
      </c>
      <c r="C907" s="1" t="n">
        <v>45765</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13990-2024</t>
        </is>
      </c>
      <c r="B908" s="1" t="n">
        <v>45392</v>
      </c>
      <c r="C908" s="1" t="n">
        <v>45765</v>
      </c>
      <c r="D908" t="inlineStr">
        <is>
          <t>DALARNAS LÄN</t>
        </is>
      </c>
      <c r="E908" t="inlineStr">
        <is>
          <t>LEKSAND</t>
        </is>
      </c>
      <c r="G908" t="n">
        <v>1.1</v>
      </c>
      <c r="H908" t="n">
        <v>0</v>
      </c>
      <c r="I908" t="n">
        <v>0</v>
      </c>
      <c r="J908" t="n">
        <v>0</v>
      </c>
      <c r="K908" t="n">
        <v>0</v>
      </c>
      <c r="L908" t="n">
        <v>0</v>
      </c>
      <c r="M908" t="n">
        <v>0</v>
      </c>
      <c r="N908" t="n">
        <v>0</v>
      </c>
      <c r="O908" t="n">
        <v>0</v>
      </c>
      <c r="P908" t="n">
        <v>0</v>
      </c>
      <c r="Q908" t="n">
        <v>0</v>
      </c>
      <c r="R908" s="2" t="inlineStr"/>
    </row>
    <row r="909" ht="15" customHeight="1">
      <c r="A909" t="inlineStr">
        <is>
          <t>A 14276-2024</t>
        </is>
      </c>
      <c r="B909" s="1" t="n">
        <v>45393</v>
      </c>
      <c r="C909" s="1" t="n">
        <v>45765</v>
      </c>
      <c r="D909" t="inlineStr">
        <is>
          <t>DALARNAS LÄN</t>
        </is>
      </c>
      <c r="E909" t="inlineStr">
        <is>
          <t>LEKSAND</t>
        </is>
      </c>
      <c r="F909" t="inlineStr">
        <is>
          <t>Bergvik skog väst AB</t>
        </is>
      </c>
      <c r="G909" t="n">
        <v>14.2</v>
      </c>
      <c r="H909" t="n">
        <v>0</v>
      </c>
      <c r="I909" t="n">
        <v>0</v>
      </c>
      <c r="J909" t="n">
        <v>0</v>
      </c>
      <c r="K909" t="n">
        <v>0</v>
      </c>
      <c r="L909" t="n">
        <v>0</v>
      </c>
      <c r="M909" t="n">
        <v>0</v>
      </c>
      <c r="N909" t="n">
        <v>0</v>
      </c>
      <c r="O909" t="n">
        <v>0</v>
      </c>
      <c r="P909" t="n">
        <v>0</v>
      </c>
      <c r="Q909" t="n">
        <v>0</v>
      </c>
      <c r="R909" s="2" t="inlineStr"/>
    </row>
    <row r="910" ht="15" customHeight="1">
      <c r="A910" t="inlineStr">
        <is>
          <t>A 14616-2024</t>
        </is>
      </c>
      <c r="B910" s="1" t="n">
        <v>45397</v>
      </c>
      <c r="C910" s="1" t="n">
        <v>45765</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14615-2024</t>
        </is>
      </c>
      <c r="B911" s="1" t="n">
        <v>45397</v>
      </c>
      <c r="C911" s="1" t="n">
        <v>45765</v>
      </c>
      <c r="D911" t="inlineStr">
        <is>
          <t>DALARNAS LÄN</t>
        </is>
      </c>
      <c r="E911" t="inlineStr">
        <is>
          <t>LEKSAND</t>
        </is>
      </c>
      <c r="G911" t="n">
        <v>0.4</v>
      </c>
      <c r="H911" t="n">
        <v>0</v>
      </c>
      <c r="I911" t="n">
        <v>0</v>
      </c>
      <c r="J911" t="n">
        <v>0</v>
      </c>
      <c r="K911" t="n">
        <v>0</v>
      </c>
      <c r="L911" t="n">
        <v>0</v>
      </c>
      <c r="M911" t="n">
        <v>0</v>
      </c>
      <c r="N911" t="n">
        <v>0</v>
      </c>
      <c r="O911" t="n">
        <v>0</v>
      </c>
      <c r="P911" t="n">
        <v>0</v>
      </c>
      <c r="Q911" t="n">
        <v>0</v>
      </c>
      <c r="R911" s="2" t="inlineStr"/>
    </row>
    <row r="912" ht="15" customHeight="1">
      <c r="A912" t="inlineStr">
        <is>
          <t>A 14614-2024</t>
        </is>
      </c>
      <c r="B912" s="1" t="n">
        <v>45397</v>
      </c>
      <c r="C912" s="1" t="n">
        <v>45765</v>
      </c>
      <c r="D912" t="inlineStr">
        <is>
          <t>DALARNAS LÄN</t>
        </is>
      </c>
      <c r="E912" t="inlineStr">
        <is>
          <t>LEKSAND</t>
        </is>
      </c>
      <c r="G912" t="n">
        <v>0.6</v>
      </c>
      <c r="H912" t="n">
        <v>0</v>
      </c>
      <c r="I912" t="n">
        <v>0</v>
      </c>
      <c r="J912" t="n">
        <v>0</v>
      </c>
      <c r="K912" t="n">
        <v>0</v>
      </c>
      <c r="L912" t="n">
        <v>0</v>
      </c>
      <c r="M912" t="n">
        <v>0</v>
      </c>
      <c r="N912" t="n">
        <v>0</v>
      </c>
      <c r="O912" t="n">
        <v>0</v>
      </c>
      <c r="P912" t="n">
        <v>0</v>
      </c>
      <c r="Q912" t="n">
        <v>0</v>
      </c>
      <c r="R912" s="2" t="inlineStr"/>
    </row>
    <row r="913" ht="15" customHeight="1">
      <c r="A913" t="inlineStr">
        <is>
          <t>A 14661-2024</t>
        </is>
      </c>
      <c r="B913" s="1" t="n">
        <v>45397</v>
      </c>
      <c r="C913" s="1" t="n">
        <v>45765</v>
      </c>
      <c r="D913" t="inlineStr">
        <is>
          <t>DALARNAS LÄN</t>
        </is>
      </c>
      <c r="E913" t="inlineStr">
        <is>
          <t>LEKSAND</t>
        </is>
      </c>
      <c r="G913" t="n">
        <v>1</v>
      </c>
      <c r="H913" t="n">
        <v>0</v>
      </c>
      <c r="I913" t="n">
        <v>0</v>
      </c>
      <c r="J913" t="n">
        <v>0</v>
      </c>
      <c r="K913" t="n">
        <v>0</v>
      </c>
      <c r="L913" t="n">
        <v>0</v>
      </c>
      <c r="M913" t="n">
        <v>0</v>
      </c>
      <c r="N913" t="n">
        <v>0</v>
      </c>
      <c r="O913" t="n">
        <v>0</v>
      </c>
      <c r="P913" t="n">
        <v>0</v>
      </c>
      <c r="Q913" t="n">
        <v>0</v>
      </c>
      <c r="R913" s="2" t="inlineStr"/>
    </row>
    <row r="914" ht="15" customHeight="1">
      <c r="A914" t="inlineStr">
        <is>
          <t>A 14688-2024</t>
        </is>
      </c>
      <c r="B914" s="1" t="n">
        <v>45397</v>
      </c>
      <c r="C914" s="1" t="n">
        <v>45765</v>
      </c>
      <c r="D914" t="inlineStr">
        <is>
          <t>DALARNAS LÄN</t>
        </is>
      </c>
      <c r="E914" t="inlineStr">
        <is>
          <t>LEKSAND</t>
        </is>
      </c>
      <c r="G914" t="n">
        <v>3.2</v>
      </c>
      <c r="H914" t="n">
        <v>0</v>
      </c>
      <c r="I914" t="n">
        <v>0</v>
      </c>
      <c r="J914" t="n">
        <v>0</v>
      </c>
      <c r="K914" t="n">
        <v>0</v>
      </c>
      <c r="L914" t="n">
        <v>0</v>
      </c>
      <c r="M914" t="n">
        <v>0</v>
      </c>
      <c r="N914" t="n">
        <v>0</v>
      </c>
      <c r="O914" t="n">
        <v>0</v>
      </c>
      <c r="P914" t="n">
        <v>0</v>
      </c>
      <c r="Q914" t="n">
        <v>0</v>
      </c>
      <c r="R914" s="2" t="inlineStr"/>
    </row>
    <row r="915" ht="15" customHeight="1">
      <c r="A915" t="inlineStr">
        <is>
          <t>A 14792-2024</t>
        </is>
      </c>
      <c r="B915" s="1" t="n">
        <v>45397</v>
      </c>
      <c r="C915" s="1" t="n">
        <v>45765</v>
      </c>
      <c r="D915" t="inlineStr">
        <is>
          <t>DALARNAS LÄN</t>
        </is>
      </c>
      <c r="E915" t="inlineStr">
        <is>
          <t>LEKSAND</t>
        </is>
      </c>
      <c r="F915" t="inlineStr">
        <is>
          <t>Bergvik skog väst AB</t>
        </is>
      </c>
      <c r="G915" t="n">
        <v>3.9</v>
      </c>
      <c r="H915" t="n">
        <v>0</v>
      </c>
      <c r="I915" t="n">
        <v>0</v>
      </c>
      <c r="J915" t="n">
        <v>0</v>
      </c>
      <c r="K915" t="n">
        <v>0</v>
      </c>
      <c r="L915" t="n">
        <v>0</v>
      </c>
      <c r="M915" t="n">
        <v>0</v>
      </c>
      <c r="N915" t="n">
        <v>0</v>
      </c>
      <c r="O915" t="n">
        <v>0</v>
      </c>
      <c r="P915" t="n">
        <v>0</v>
      </c>
      <c r="Q915" t="n">
        <v>0</v>
      </c>
      <c r="R915" s="2" t="inlineStr"/>
    </row>
    <row r="916" ht="15" customHeight="1">
      <c r="A916" t="inlineStr">
        <is>
          <t>A 14617-2024</t>
        </is>
      </c>
      <c r="B916" s="1" t="n">
        <v>45397</v>
      </c>
      <c r="C916" s="1" t="n">
        <v>45765</v>
      </c>
      <c r="D916" t="inlineStr">
        <is>
          <t>DALARNAS LÄN</t>
        </is>
      </c>
      <c r="E916" t="inlineStr">
        <is>
          <t>LEKSAND</t>
        </is>
      </c>
      <c r="G916" t="n">
        <v>0.2</v>
      </c>
      <c r="H916" t="n">
        <v>0</v>
      </c>
      <c r="I916" t="n">
        <v>0</v>
      </c>
      <c r="J916" t="n">
        <v>0</v>
      </c>
      <c r="K916" t="n">
        <v>0</v>
      </c>
      <c r="L916" t="n">
        <v>0</v>
      </c>
      <c r="M916" t="n">
        <v>0</v>
      </c>
      <c r="N916" t="n">
        <v>0</v>
      </c>
      <c r="O916" t="n">
        <v>0</v>
      </c>
      <c r="P916" t="n">
        <v>0</v>
      </c>
      <c r="Q916" t="n">
        <v>0</v>
      </c>
      <c r="R916" s="2" t="inlineStr"/>
    </row>
    <row r="917" ht="15" customHeight="1">
      <c r="A917" t="inlineStr">
        <is>
          <t>A 14659-2024</t>
        </is>
      </c>
      <c r="B917" s="1" t="n">
        <v>45397</v>
      </c>
      <c r="C917" s="1" t="n">
        <v>45765</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14908-2024</t>
        </is>
      </c>
      <c r="B918" s="1" t="n">
        <v>45398</v>
      </c>
      <c r="C918" s="1" t="n">
        <v>45765</v>
      </c>
      <c r="D918" t="inlineStr">
        <is>
          <t>DALARNAS LÄN</t>
        </is>
      </c>
      <c r="E918" t="inlineStr">
        <is>
          <t>LEKSAND</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14957-2024</t>
        </is>
      </c>
      <c r="B919" s="1" t="n">
        <v>45398</v>
      </c>
      <c r="C919" s="1" t="n">
        <v>45765</v>
      </c>
      <c r="D919" t="inlineStr">
        <is>
          <t>DALARNAS LÄN</t>
        </is>
      </c>
      <c r="E919" t="inlineStr">
        <is>
          <t>LEKSAND</t>
        </is>
      </c>
      <c r="G919" t="n">
        <v>11.5</v>
      </c>
      <c r="H919" t="n">
        <v>0</v>
      </c>
      <c r="I919" t="n">
        <v>0</v>
      </c>
      <c r="J919" t="n">
        <v>0</v>
      </c>
      <c r="K919" t="n">
        <v>0</v>
      </c>
      <c r="L919" t="n">
        <v>0</v>
      </c>
      <c r="M919" t="n">
        <v>0</v>
      </c>
      <c r="N919" t="n">
        <v>0</v>
      </c>
      <c r="O919" t="n">
        <v>0</v>
      </c>
      <c r="P919" t="n">
        <v>0</v>
      </c>
      <c r="Q919" t="n">
        <v>0</v>
      </c>
      <c r="R919" s="2" t="inlineStr"/>
    </row>
    <row r="920" ht="15" customHeight="1">
      <c r="A920" t="inlineStr">
        <is>
          <t>A 14903-2024</t>
        </is>
      </c>
      <c r="B920" s="1" t="n">
        <v>45398</v>
      </c>
      <c r="C920" s="1" t="n">
        <v>45765</v>
      </c>
      <c r="D920" t="inlineStr">
        <is>
          <t>DALARNAS LÄN</t>
        </is>
      </c>
      <c r="E920" t="inlineStr">
        <is>
          <t>LEKSAND</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15621-2024</t>
        </is>
      </c>
      <c r="B921" s="1" t="n">
        <v>45402</v>
      </c>
      <c r="C921" s="1" t="n">
        <v>45765</v>
      </c>
      <c r="D921" t="inlineStr">
        <is>
          <t>DALARNAS LÄN</t>
        </is>
      </c>
      <c r="E921" t="inlineStr">
        <is>
          <t>LEKSAND</t>
        </is>
      </c>
      <c r="G921" t="n">
        <v>1.6</v>
      </c>
      <c r="H921" t="n">
        <v>0</v>
      </c>
      <c r="I921" t="n">
        <v>0</v>
      </c>
      <c r="J921" t="n">
        <v>0</v>
      </c>
      <c r="K921" t="n">
        <v>0</v>
      </c>
      <c r="L921" t="n">
        <v>0</v>
      </c>
      <c r="M921" t="n">
        <v>0</v>
      </c>
      <c r="N921" t="n">
        <v>0</v>
      </c>
      <c r="O921" t="n">
        <v>0</v>
      </c>
      <c r="P921" t="n">
        <v>0</v>
      </c>
      <c r="Q921" t="n">
        <v>0</v>
      </c>
      <c r="R921" s="2" t="inlineStr"/>
    </row>
    <row r="922" ht="15" customHeight="1">
      <c r="A922" t="inlineStr">
        <is>
          <t>A 15680-2024</t>
        </is>
      </c>
      <c r="B922" s="1" t="n">
        <v>45404</v>
      </c>
      <c r="C922" s="1" t="n">
        <v>45765</v>
      </c>
      <c r="D922" t="inlineStr">
        <is>
          <t>DALARNAS LÄN</t>
        </is>
      </c>
      <c r="E922" t="inlineStr">
        <is>
          <t>LEKSAND</t>
        </is>
      </c>
      <c r="F922" t="inlineStr">
        <is>
          <t>Bergvik skog väst AB</t>
        </is>
      </c>
      <c r="G922" t="n">
        <v>3.4</v>
      </c>
      <c r="H922" t="n">
        <v>0</v>
      </c>
      <c r="I922" t="n">
        <v>0</v>
      </c>
      <c r="J922" t="n">
        <v>0</v>
      </c>
      <c r="K922" t="n">
        <v>0</v>
      </c>
      <c r="L922" t="n">
        <v>0</v>
      </c>
      <c r="M922" t="n">
        <v>0</v>
      </c>
      <c r="N922" t="n">
        <v>0</v>
      </c>
      <c r="O922" t="n">
        <v>0</v>
      </c>
      <c r="P922" t="n">
        <v>0</v>
      </c>
      <c r="Q922" t="n">
        <v>0</v>
      </c>
      <c r="R922" s="2" t="inlineStr"/>
    </row>
    <row r="923" ht="15" customHeight="1">
      <c r="A923" t="inlineStr">
        <is>
          <t>A 15681-2024</t>
        </is>
      </c>
      <c r="B923" s="1" t="n">
        <v>45404</v>
      </c>
      <c r="C923" s="1" t="n">
        <v>45765</v>
      </c>
      <c r="D923" t="inlineStr">
        <is>
          <t>DALARNAS LÄN</t>
        </is>
      </c>
      <c r="E923" t="inlineStr">
        <is>
          <t>LEKSAND</t>
        </is>
      </c>
      <c r="G923" t="n">
        <v>1.7</v>
      </c>
      <c r="H923" t="n">
        <v>0</v>
      </c>
      <c r="I923" t="n">
        <v>0</v>
      </c>
      <c r="J923" t="n">
        <v>0</v>
      </c>
      <c r="K923" t="n">
        <v>0</v>
      </c>
      <c r="L923" t="n">
        <v>0</v>
      </c>
      <c r="M923" t="n">
        <v>0</v>
      </c>
      <c r="N923" t="n">
        <v>0</v>
      </c>
      <c r="O923" t="n">
        <v>0</v>
      </c>
      <c r="P923" t="n">
        <v>0</v>
      </c>
      <c r="Q923" t="n">
        <v>0</v>
      </c>
      <c r="R923" s="2" t="inlineStr"/>
    </row>
    <row r="924" ht="15" customHeight="1">
      <c r="A924" t="inlineStr">
        <is>
          <t>A 15808-2024</t>
        </is>
      </c>
      <c r="B924" s="1" t="n">
        <v>45404</v>
      </c>
      <c r="C924" s="1" t="n">
        <v>45765</v>
      </c>
      <c r="D924" t="inlineStr">
        <is>
          <t>DALARNAS LÄN</t>
        </is>
      </c>
      <c r="E924" t="inlineStr">
        <is>
          <t>LEKSAND</t>
        </is>
      </c>
      <c r="G924" t="n">
        <v>2.8</v>
      </c>
      <c r="H924" t="n">
        <v>0</v>
      </c>
      <c r="I924" t="n">
        <v>0</v>
      </c>
      <c r="J924" t="n">
        <v>0</v>
      </c>
      <c r="K924" t="n">
        <v>0</v>
      </c>
      <c r="L924" t="n">
        <v>0</v>
      </c>
      <c r="M924" t="n">
        <v>0</v>
      </c>
      <c r="N924" t="n">
        <v>0</v>
      </c>
      <c r="O924" t="n">
        <v>0</v>
      </c>
      <c r="P924" t="n">
        <v>0</v>
      </c>
      <c r="Q924" t="n">
        <v>0</v>
      </c>
      <c r="R924" s="2" t="inlineStr"/>
    </row>
    <row r="925" ht="15" customHeight="1">
      <c r="A925" t="inlineStr">
        <is>
          <t>A 16197-2024</t>
        </is>
      </c>
      <c r="B925" s="1" t="n">
        <v>45406</v>
      </c>
      <c r="C925" s="1" t="n">
        <v>45765</v>
      </c>
      <c r="D925" t="inlineStr">
        <is>
          <t>DALARNAS LÄN</t>
        </is>
      </c>
      <c r="E925" t="inlineStr">
        <is>
          <t>LEKSAND</t>
        </is>
      </c>
      <c r="G925" t="n">
        <v>2.4</v>
      </c>
      <c r="H925" t="n">
        <v>0</v>
      </c>
      <c r="I925" t="n">
        <v>0</v>
      </c>
      <c r="J925" t="n">
        <v>0</v>
      </c>
      <c r="K925" t="n">
        <v>0</v>
      </c>
      <c r="L925" t="n">
        <v>0</v>
      </c>
      <c r="M925" t="n">
        <v>0</v>
      </c>
      <c r="N925" t="n">
        <v>0</v>
      </c>
      <c r="O925" t="n">
        <v>0</v>
      </c>
      <c r="P925" t="n">
        <v>0</v>
      </c>
      <c r="Q925" t="n">
        <v>0</v>
      </c>
      <c r="R925" s="2" t="inlineStr"/>
    </row>
    <row r="926" ht="15" customHeight="1">
      <c r="A926" t="inlineStr">
        <is>
          <t>A 16265-2024</t>
        </is>
      </c>
      <c r="B926" s="1" t="n">
        <v>45407</v>
      </c>
      <c r="C926" s="1" t="n">
        <v>45765</v>
      </c>
      <c r="D926" t="inlineStr">
        <is>
          <t>DALARNAS LÄN</t>
        </is>
      </c>
      <c r="E926" t="inlineStr">
        <is>
          <t>LEKSAND</t>
        </is>
      </c>
      <c r="F926" t="inlineStr">
        <is>
          <t>Bergvik skog väst AB</t>
        </is>
      </c>
      <c r="G926" t="n">
        <v>0.7</v>
      </c>
      <c r="H926" t="n">
        <v>0</v>
      </c>
      <c r="I926" t="n">
        <v>0</v>
      </c>
      <c r="J926" t="n">
        <v>0</v>
      </c>
      <c r="K926" t="n">
        <v>0</v>
      </c>
      <c r="L926" t="n">
        <v>0</v>
      </c>
      <c r="M926" t="n">
        <v>0</v>
      </c>
      <c r="N926" t="n">
        <v>0</v>
      </c>
      <c r="O926" t="n">
        <v>0</v>
      </c>
      <c r="P926" t="n">
        <v>0</v>
      </c>
      <c r="Q926" t="n">
        <v>0</v>
      </c>
      <c r="R926" s="2" t="inlineStr"/>
    </row>
    <row r="927" ht="15" customHeight="1">
      <c r="A927" t="inlineStr">
        <is>
          <t>A 16417-2024</t>
        </is>
      </c>
      <c r="B927" s="1" t="n">
        <v>45407</v>
      </c>
      <c r="C927" s="1" t="n">
        <v>45765</v>
      </c>
      <c r="D927" t="inlineStr">
        <is>
          <t>DALARNAS LÄN</t>
        </is>
      </c>
      <c r="E927" t="inlineStr">
        <is>
          <t>LEKSAND</t>
        </is>
      </c>
      <c r="F927" t="inlineStr">
        <is>
          <t>Bergvik skog väst AB</t>
        </is>
      </c>
      <c r="G927" t="n">
        <v>17.4</v>
      </c>
      <c r="H927" t="n">
        <v>0</v>
      </c>
      <c r="I927" t="n">
        <v>0</v>
      </c>
      <c r="J927" t="n">
        <v>0</v>
      </c>
      <c r="K927" t="n">
        <v>0</v>
      </c>
      <c r="L927" t="n">
        <v>0</v>
      </c>
      <c r="M927" t="n">
        <v>0</v>
      </c>
      <c r="N927" t="n">
        <v>0</v>
      </c>
      <c r="O927" t="n">
        <v>0</v>
      </c>
      <c r="P927" t="n">
        <v>0</v>
      </c>
      <c r="Q927" t="n">
        <v>0</v>
      </c>
      <c r="R927" s="2" t="inlineStr"/>
    </row>
    <row r="928" ht="15" customHeight="1">
      <c r="A928" t="inlineStr">
        <is>
          <t>A 16264-2024</t>
        </is>
      </c>
      <c r="B928" s="1" t="n">
        <v>45407</v>
      </c>
      <c r="C928" s="1" t="n">
        <v>45765</v>
      </c>
      <c r="D928" t="inlineStr">
        <is>
          <t>DALARNAS LÄN</t>
        </is>
      </c>
      <c r="E928" t="inlineStr">
        <is>
          <t>LEKSAND</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16420-2024</t>
        </is>
      </c>
      <c r="B929" s="1" t="n">
        <v>45407</v>
      </c>
      <c r="C929" s="1" t="n">
        <v>45765</v>
      </c>
      <c r="D929" t="inlineStr">
        <is>
          <t>DALARNAS LÄN</t>
        </is>
      </c>
      <c r="E929" t="inlineStr">
        <is>
          <t>LEKSAND</t>
        </is>
      </c>
      <c r="F929" t="inlineStr">
        <is>
          <t>Bergvik skog väst AB</t>
        </is>
      </c>
      <c r="G929" t="n">
        <v>1.7</v>
      </c>
      <c r="H929" t="n">
        <v>0</v>
      </c>
      <c r="I929" t="n">
        <v>0</v>
      </c>
      <c r="J929" t="n">
        <v>0</v>
      </c>
      <c r="K929" t="n">
        <v>0</v>
      </c>
      <c r="L929" t="n">
        <v>0</v>
      </c>
      <c r="M929" t="n">
        <v>0</v>
      </c>
      <c r="N929" t="n">
        <v>0</v>
      </c>
      <c r="O929" t="n">
        <v>0</v>
      </c>
      <c r="P929" t="n">
        <v>0</v>
      </c>
      <c r="Q929" t="n">
        <v>0</v>
      </c>
      <c r="R929" s="2" t="inlineStr"/>
    </row>
    <row r="930" ht="15" customHeight="1">
      <c r="A930" t="inlineStr">
        <is>
          <t>A 16581-2024</t>
        </is>
      </c>
      <c r="B930" s="1" t="n">
        <v>45408</v>
      </c>
      <c r="C930" s="1" t="n">
        <v>45765</v>
      </c>
      <c r="D930" t="inlineStr">
        <is>
          <t>DALARNAS LÄN</t>
        </is>
      </c>
      <c r="E930" t="inlineStr">
        <is>
          <t>LEKSAND</t>
        </is>
      </c>
      <c r="G930" t="n">
        <v>2.6</v>
      </c>
      <c r="H930" t="n">
        <v>0</v>
      </c>
      <c r="I930" t="n">
        <v>0</v>
      </c>
      <c r="J930" t="n">
        <v>0</v>
      </c>
      <c r="K930" t="n">
        <v>0</v>
      </c>
      <c r="L930" t="n">
        <v>0</v>
      </c>
      <c r="M930" t="n">
        <v>0</v>
      </c>
      <c r="N930" t="n">
        <v>0</v>
      </c>
      <c r="O930" t="n">
        <v>0</v>
      </c>
      <c r="P930" t="n">
        <v>0</v>
      </c>
      <c r="Q930" t="n">
        <v>0</v>
      </c>
      <c r="R930" s="2" t="inlineStr"/>
    </row>
    <row r="931" ht="15" customHeight="1">
      <c r="A931" t="inlineStr">
        <is>
          <t>A 16611-2024</t>
        </is>
      </c>
      <c r="B931" s="1" t="n">
        <v>45408</v>
      </c>
      <c r="C931" s="1" t="n">
        <v>45765</v>
      </c>
      <c r="D931" t="inlineStr">
        <is>
          <t>DALARNAS LÄN</t>
        </is>
      </c>
      <c r="E931" t="inlineStr">
        <is>
          <t>LEKSAND</t>
        </is>
      </c>
      <c r="G931" t="n">
        <v>5.9</v>
      </c>
      <c r="H931" t="n">
        <v>0</v>
      </c>
      <c r="I931" t="n">
        <v>0</v>
      </c>
      <c r="J931" t="n">
        <v>0</v>
      </c>
      <c r="K931" t="n">
        <v>0</v>
      </c>
      <c r="L931" t="n">
        <v>0</v>
      </c>
      <c r="M931" t="n">
        <v>0</v>
      </c>
      <c r="N931" t="n">
        <v>0</v>
      </c>
      <c r="O931" t="n">
        <v>0</v>
      </c>
      <c r="P931" t="n">
        <v>0</v>
      </c>
      <c r="Q931" t="n">
        <v>0</v>
      </c>
      <c r="R931" s="2" t="inlineStr"/>
    </row>
    <row r="932" ht="15" customHeight="1">
      <c r="A932" t="inlineStr">
        <is>
          <t>A 16894-2024</t>
        </is>
      </c>
      <c r="B932" s="1" t="n">
        <v>45411</v>
      </c>
      <c r="C932" s="1" t="n">
        <v>45765</v>
      </c>
      <c r="D932" t="inlineStr">
        <is>
          <t>DALARNAS LÄN</t>
        </is>
      </c>
      <c r="E932" t="inlineStr">
        <is>
          <t>LEKSAND</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17198-2024</t>
        </is>
      </c>
      <c r="B933" s="1" t="n">
        <v>45413</v>
      </c>
      <c r="C933" s="1" t="n">
        <v>45765</v>
      </c>
      <c r="D933" t="inlineStr">
        <is>
          <t>DALARNAS LÄN</t>
        </is>
      </c>
      <c r="E933" t="inlineStr">
        <is>
          <t>LEKSAND</t>
        </is>
      </c>
      <c r="G933" t="n">
        <v>4.8</v>
      </c>
      <c r="H933" t="n">
        <v>0</v>
      </c>
      <c r="I933" t="n">
        <v>0</v>
      </c>
      <c r="J933" t="n">
        <v>0</v>
      </c>
      <c r="K933" t="n">
        <v>0</v>
      </c>
      <c r="L933" t="n">
        <v>0</v>
      </c>
      <c r="M933" t="n">
        <v>0</v>
      </c>
      <c r="N933" t="n">
        <v>0</v>
      </c>
      <c r="O933" t="n">
        <v>0</v>
      </c>
      <c r="P933" t="n">
        <v>0</v>
      </c>
      <c r="Q933" t="n">
        <v>0</v>
      </c>
      <c r="R933" s="2" t="inlineStr"/>
    </row>
    <row r="934" ht="15" customHeight="1">
      <c r="A934" t="inlineStr">
        <is>
          <t>A 17353-2024</t>
        </is>
      </c>
      <c r="B934" s="1" t="n">
        <v>45414</v>
      </c>
      <c r="C934" s="1" t="n">
        <v>45765</v>
      </c>
      <c r="D934" t="inlineStr">
        <is>
          <t>DALARNAS LÄN</t>
        </is>
      </c>
      <c r="E934" t="inlineStr">
        <is>
          <t>LEKSAND</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17606-2024</t>
        </is>
      </c>
      <c r="B935" s="1" t="n">
        <v>45415</v>
      </c>
      <c r="C935" s="1" t="n">
        <v>45765</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17796-2024</t>
        </is>
      </c>
      <c r="B936" s="1" t="n">
        <v>45418</v>
      </c>
      <c r="C936" s="1" t="n">
        <v>45765</v>
      </c>
      <c r="D936" t="inlineStr">
        <is>
          <t>DALARNAS LÄN</t>
        </is>
      </c>
      <c r="E936" t="inlineStr">
        <is>
          <t>LEKSAND</t>
        </is>
      </c>
      <c r="G936" t="n">
        <v>3.4</v>
      </c>
      <c r="H936" t="n">
        <v>0</v>
      </c>
      <c r="I936" t="n">
        <v>0</v>
      </c>
      <c r="J936" t="n">
        <v>0</v>
      </c>
      <c r="K936" t="n">
        <v>0</v>
      </c>
      <c r="L936" t="n">
        <v>0</v>
      </c>
      <c r="M936" t="n">
        <v>0</v>
      </c>
      <c r="N936" t="n">
        <v>0</v>
      </c>
      <c r="O936" t="n">
        <v>0</v>
      </c>
      <c r="P936" t="n">
        <v>0</v>
      </c>
      <c r="Q936" t="n">
        <v>0</v>
      </c>
      <c r="R936" s="2" t="inlineStr"/>
    </row>
    <row r="937" ht="15" customHeight="1">
      <c r="A937" t="inlineStr">
        <is>
          <t>A 17726-2024</t>
        </is>
      </c>
      <c r="B937" s="1" t="n">
        <v>45418</v>
      </c>
      <c r="C937" s="1" t="n">
        <v>45765</v>
      </c>
      <c r="D937" t="inlineStr">
        <is>
          <t>DALARNAS LÄN</t>
        </is>
      </c>
      <c r="E937" t="inlineStr">
        <is>
          <t>LEKSAND</t>
        </is>
      </c>
      <c r="G937" t="n">
        <v>5.2</v>
      </c>
      <c r="H937" t="n">
        <v>0</v>
      </c>
      <c r="I937" t="n">
        <v>0</v>
      </c>
      <c r="J937" t="n">
        <v>0</v>
      </c>
      <c r="K937" t="n">
        <v>0</v>
      </c>
      <c r="L937" t="n">
        <v>0</v>
      </c>
      <c r="M937" t="n">
        <v>0</v>
      </c>
      <c r="N937" t="n">
        <v>0</v>
      </c>
      <c r="O937" t="n">
        <v>0</v>
      </c>
      <c r="P937" t="n">
        <v>0</v>
      </c>
      <c r="Q937" t="n">
        <v>0</v>
      </c>
      <c r="R937" s="2" t="inlineStr"/>
    </row>
    <row r="938" ht="15" customHeight="1">
      <c r="A938" t="inlineStr">
        <is>
          <t>A 17730-2024</t>
        </is>
      </c>
      <c r="B938" s="1" t="n">
        <v>45418</v>
      </c>
      <c r="C938" s="1" t="n">
        <v>45765</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17938-2024</t>
        </is>
      </c>
      <c r="B939" s="1" t="n">
        <v>45419</v>
      </c>
      <c r="C939" s="1" t="n">
        <v>45765</v>
      </c>
      <c r="D939" t="inlineStr">
        <is>
          <t>DALARNAS LÄN</t>
        </is>
      </c>
      <c r="E939" t="inlineStr">
        <is>
          <t>LEKSAND</t>
        </is>
      </c>
      <c r="G939" t="n">
        <v>3.8</v>
      </c>
      <c r="H939" t="n">
        <v>0</v>
      </c>
      <c r="I939" t="n">
        <v>0</v>
      </c>
      <c r="J939" t="n">
        <v>0</v>
      </c>
      <c r="K939" t="n">
        <v>0</v>
      </c>
      <c r="L939" t="n">
        <v>0</v>
      </c>
      <c r="M939" t="n">
        <v>0</v>
      </c>
      <c r="N939" t="n">
        <v>0</v>
      </c>
      <c r="O939" t="n">
        <v>0</v>
      </c>
      <c r="P939" t="n">
        <v>0</v>
      </c>
      <c r="Q939" t="n">
        <v>0</v>
      </c>
      <c r="R939" s="2" t="inlineStr"/>
    </row>
    <row r="940" ht="15" customHeight="1">
      <c r="A940" t="inlineStr">
        <is>
          <t>A 17944-2024</t>
        </is>
      </c>
      <c r="B940" s="1" t="n">
        <v>45419</v>
      </c>
      <c r="C940" s="1" t="n">
        <v>45765</v>
      </c>
      <c r="D940" t="inlineStr">
        <is>
          <t>DALARNAS LÄN</t>
        </is>
      </c>
      <c r="E940" t="inlineStr">
        <is>
          <t>LEKSAND</t>
        </is>
      </c>
      <c r="G940" t="n">
        <v>2.9</v>
      </c>
      <c r="H940" t="n">
        <v>0</v>
      </c>
      <c r="I940" t="n">
        <v>0</v>
      </c>
      <c r="J940" t="n">
        <v>0</v>
      </c>
      <c r="K940" t="n">
        <v>0</v>
      </c>
      <c r="L940" t="n">
        <v>0</v>
      </c>
      <c r="M940" t="n">
        <v>0</v>
      </c>
      <c r="N940" t="n">
        <v>0</v>
      </c>
      <c r="O940" t="n">
        <v>0</v>
      </c>
      <c r="P940" t="n">
        <v>0</v>
      </c>
      <c r="Q940" t="n">
        <v>0</v>
      </c>
      <c r="R940" s="2" t="inlineStr"/>
    </row>
    <row r="941" ht="15" customHeight="1">
      <c r="A941" t="inlineStr">
        <is>
          <t>A 18040-2024</t>
        </is>
      </c>
      <c r="B941" s="1" t="n">
        <v>45420</v>
      </c>
      <c r="C941" s="1" t="n">
        <v>45765</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18176-2024</t>
        </is>
      </c>
      <c r="B942" s="1" t="n">
        <v>45420</v>
      </c>
      <c r="C942" s="1" t="n">
        <v>45765</v>
      </c>
      <c r="D942" t="inlineStr">
        <is>
          <t>DALARNAS LÄN</t>
        </is>
      </c>
      <c r="E942" t="inlineStr">
        <is>
          <t>LEKSAND</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18484-2024</t>
        </is>
      </c>
      <c r="B943" s="1" t="n">
        <v>45425</v>
      </c>
      <c r="C943" s="1" t="n">
        <v>45765</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v>
      </c>
      <c r="C944" s="1" t="n">
        <v>45765</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18483-2024</t>
        </is>
      </c>
      <c r="B945" s="1" t="n">
        <v>45425</v>
      </c>
      <c r="C945" s="1" t="n">
        <v>45765</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18791-2024</t>
        </is>
      </c>
      <c r="B946" s="1" t="n">
        <v>45426</v>
      </c>
      <c r="C946" s="1" t="n">
        <v>45765</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19075-2024</t>
        </is>
      </c>
      <c r="B947" s="1" t="n">
        <v>45428</v>
      </c>
      <c r="C947" s="1" t="n">
        <v>45765</v>
      </c>
      <c r="D947" t="inlineStr">
        <is>
          <t>DALARNAS LÄN</t>
        </is>
      </c>
      <c r="E947" t="inlineStr">
        <is>
          <t>LEKSAND</t>
        </is>
      </c>
      <c r="G947" t="n">
        <v>4.9</v>
      </c>
      <c r="H947" t="n">
        <v>0</v>
      </c>
      <c r="I947" t="n">
        <v>0</v>
      </c>
      <c r="J947" t="n">
        <v>0</v>
      </c>
      <c r="K947" t="n">
        <v>0</v>
      </c>
      <c r="L947" t="n">
        <v>0</v>
      </c>
      <c r="M947" t="n">
        <v>0</v>
      </c>
      <c r="N947" t="n">
        <v>0</v>
      </c>
      <c r="O947" t="n">
        <v>0</v>
      </c>
      <c r="P947" t="n">
        <v>0</v>
      </c>
      <c r="Q947" t="n">
        <v>0</v>
      </c>
      <c r="R947" s="2" t="inlineStr"/>
    </row>
    <row r="948" ht="15" customHeight="1">
      <c r="A948" t="inlineStr">
        <is>
          <t>A 18991-2024</t>
        </is>
      </c>
      <c r="B948" s="1" t="n">
        <v>45427</v>
      </c>
      <c r="C948" s="1" t="n">
        <v>45765</v>
      </c>
      <c r="D948" t="inlineStr">
        <is>
          <t>DALARNAS LÄN</t>
        </is>
      </c>
      <c r="E948" t="inlineStr">
        <is>
          <t>LEKSAND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19295-2024</t>
        </is>
      </c>
      <c r="B949" s="1" t="n">
        <v>45428</v>
      </c>
      <c r="C949" s="1" t="n">
        <v>45765</v>
      </c>
      <c r="D949" t="inlineStr">
        <is>
          <t>DALARNAS LÄN</t>
        </is>
      </c>
      <c r="E949" t="inlineStr">
        <is>
          <t>LEKSAND</t>
        </is>
      </c>
      <c r="G949" t="n">
        <v>1.6</v>
      </c>
      <c r="H949" t="n">
        <v>0</v>
      </c>
      <c r="I949" t="n">
        <v>0</v>
      </c>
      <c r="J949" t="n">
        <v>0</v>
      </c>
      <c r="K949" t="n">
        <v>0</v>
      </c>
      <c r="L949" t="n">
        <v>0</v>
      </c>
      <c r="M949" t="n">
        <v>0</v>
      </c>
      <c r="N949" t="n">
        <v>0</v>
      </c>
      <c r="O949" t="n">
        <v>0</v>
      </c>
      <c r="P949" t="n">
        <v>0</v>
      </c>
      <c r="Q949" t="n">
        <v>0</v>
      </c>
      <c r="R949" s="2" t="inlineStr"/>
    </row>
    <row r="950" ht="15" customHeight="1">
      <c r="A950" t="inlineStr">
        <is>
          <t>A 19296-2024</t>
        </is>
      </c>
      <c r="B950" s="1" t="n">
        <v>45428</v>
      </c>
      <c r="C950" s="1" t="n">
        <v>45765</v>
      </c>
      <c r="D950" t="inlineStr">
        <is>
          <t>DALARNAS LÄN</t>
        </is>
      </c>
      <c r="E950" t="inlineStr">
        <is>
          <t>LEKSAND</t>
        </is>
      </c>
      <c r="G950" t="n">
        <v>2.4</v>
      </c>
      <c r="H950" t="n">
        <v>0</v>
      </c>
      <c r="I950" t="n">
        <v>0</v>
      </c>
      <c r="J950" t="n">
        <v>0</v>
      </c>
      <c r="K950" t="n">
        <v>0</v>
      </c>
      <c r="L950" t="n">
        <v>0</v>
      </c>
      <c r="M950" t="n">
        <v>0</v>
      </c>
      <c r="N950" t="n">
        <v>0</v>
      </c>
      <c r="O950" t="n">
        <v>0</v>
      </c>
      <c r="P950" t="n">
        <v>0</v>
      </c>
      <c r="Q950" t="n">
        <v>0</v>
      </c>
      <c r="R950" s="2" t="inlineStr"/>
    </row>
    <row r="951" ht="15" customHeight="1">
      <c r="A951" t="inlineStr">
        <is>
          <t>A 19371-2024</t>
        </is>
      </c>
      <c r="B951" s="1" t="n">
        <v>45429</v>
      </c>
      <c r="C951" s="1" t="n">
        <v>45765</v>
      </c>
      <c r="D951" t="inlineStr">
        <is>
          <t>DALARNAS LÄN</t>
        </is>
      </c>
      <c r="E951" t="inlineStr">
        <is>
          <t>LEKSAND</t>
        </is>
      </c>
      <c r="G951" t="n">
        <v>0.6</v>
      </c>
      <c r="H951" t="n">
        <v>0</v>
      </c>
      <c r="I951" t="n">
        <v>0</v>
      </c>
      <c r="J951" t="n">
        <v>0</v>
      </c>
      <c r="K951" t="n">
        <v>0</v>
      </c>
      <c r="L951" t="n">
        <v>0</v>
      </c>
      <c r="M951" t="n">
        <v>0</v>
      </c>
      <c r="N951" t="n">
        <v>0</v>
      </c>
      <c r="O951" t="n">
        <v>0</v>
      </c>
      <c r="P951" t="n">
        <v>0</v>
      </c>
      <c r="Q951" t="n">
        <v>0</v>
      </c>
      <c r="R951" s="2" t="inlineStr"/>
    </row>
    <row r="952" ht="15" customHeight="1">
      <c r="A952" t="inlineStr">
        <is>
          <t>A 19670-2024</t>
        </is>
      </c>
      <c r="B952" s="1" t="n">
        <v>45432</v>
      </c>
      <c r="C952" s="1" t="n">
        <v>45765</v>
      </c>
      <c r="D952" t="inlineStr">
        <is>
          <t>DALARNAS LÄN</t>
        </is>
      </c>
      <c r="E952" t="inlineStr">
        <is>
          <t>LEKSAND</t>
        </is>
      </c>
      <c r="G952" t="n">
        <v>2.2</v>
      </c>
      <c r="H952" t="n">
        <v>0</v>
      </c>
      <c r="I952" t="n">
        <v>0</v>
      </c>
      <c r="J952" t="n">
        <v>0</v>
      </c>
      <c r="K952" t="n">
        <v>0</v>
      </c>
      <c r="L952" t="n">
        <v>0</v>
      </c>
      <c r="M952" t="n">
        <v>0</v>
      </c>
      <c r="N952" t="n">
        <v>0</v>
      </c>
      <c r="O952" t="n">
        <v>0</v>
      </c>
      <c r="P952" t="n">
        <v>0</v>
      </c>
      <c r="Q952" t="n">
        <v>0</v>
      </c>
      <c r="R952" s="2" t="inlineStr"/>
    </row>
    <row r="953" ht="15" customHeight="1">
      <c r="A953" t="inlineStr">
        <is>
          <t>A 19738-2024</t>
        </is>
      </c>
      <c r="B953" s="1" t="n">
        <v>45432</v>
      </c>
      <c r="C953" s="1" t="n">
        <v>45765</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19741-2024</t>
        </is>
      </c>
      <c r="B954" s="1" t="n">
        <v>45432</v>
      </c>
      <c r="C954" s="1" t="n">
        <v>45765</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19618-2024</t>
        </is>
      </c>
      <c r="B955" s="1" t="n">
        <v>45432</v>
      </c>
      <c r="C955" s="1" t="n">
        <v>45765</v>
      </c>
      <c r="D955" t="inlineStr">
        <is>
          <t>DALARNAS LÄN</t>
        </is>
      </c>
      <c r="E955" t="inlineStr">
        <is>
          <t>LEKSAND</t>
        </is>
      </c>
      <c r="G955" t="n">
        <v>1.5</v>
      </c>
      <c r="H955" t="n">
        <v>0</v>
      </c>
      <c r="I955" t="n">
        <v>0</v>
      </c>
      <c r="J955" t="n">
        <v>0</v>
      </c>
      <c r="K955" t="n">
        <v>0</v>
      </c>
      <c r="L955" t="n">
        <v>0</v>
      </c>
      <c r="M955" t="n">
        <v>0</v>
      </c>
      <c r="N955" t="n">
        <v>0</v>
      </c>
      <c r="O955" t="n">
        <v>0</v>
      </c>
      <c r="P955" t="n">
        <v>0</v>
      </c>
      <c r="Q955" t="n">
        <v>0</v>
      </c>
      <c r="R955" s="2" t="inlineStr"/>
    </row>
    <row r="956" ht="15" customHeight="1">
      <c r="A956" t="inlineStr">
        <is>
          <t>A 19622-2024</t>
        </is>
      </c>
      <c r="B956" s="1" t="n">
        <v>45432</v>
      </c>
      <c r="C956" s="1" t="n">
        <v>45765</v>
      </c>
      <c r="D956" t="inlineStr">
        <is>
          <t>DALARNAS LÄN</t>
        </is>
      </c>
      <c r="E956" t="inlineStr">
        <is>
          <t>LEKSAND</t>
        </is>
      </c>
      <c r="G956" t="n">
        <v>1.3</v>
      </c>
      <c r="H956" t="n">
        <v>0</v>
      </c>
      <c r="I956" t="n">
        <v>0</v>
      </c>
      <c r="J956" t="n">
        <v>0</v>
      </c>
      <c r="K956" t="n">
        <v>0</v>
      </c>
      <c r="L956" t="n">
        <v>0</v>
      </c>
      <c r="M956" t="n">
        <v>0</v>
      </c>
      <c r="N956" t="n">
        <v>0</v>
      </c>
      <c r="O956" t="n">
        <v>0</v>
      </c>
      <c r="P956" t="n">
        <v>0</v>
      </c>
      <c r="Q956" t="n">
        <v>0</v>
      </c>
      <c r="R956" s="2" t="inlineStr"/>
    </row>
    <row r="957" ht="15" customHeight="1">
      <c r="A957" t="inlineStr">
        <is>
          <t>A 19820-2024</t>
        </is>
      </c>
      <c r="B957" s="1" t="n">
        <v>45433</v>
      </c>
      <c r="C957" s="1" t="n">
        <v>45765</v>
      </c>
      <c r="D957" t="inlineStr">
        <is>
          <t>DALARNAS LÄN</t>
        </is>
      </c>
      <c r="E957" t="inlineStr">
        <is>
          <t>LEKSAND</t>
        </is>
      </c>
      <c r="G957" t="n">
        <v>0.7</v>
      </c>
      <c r="H957" t="n">
        <v>0</v>
      </c>
      <c r="I957" t="n">
        <v>0</v>
      </c>
      <c r="J957" t="n">
        <v>0</v>
      </c>
      <c r="K957" t="n">
        <v>0</v>
      </c>
      <c r="L957" t="n">
        <v>0</v>
      </c>
      <c r="M957" t="n">
        <v>0</v>
      </c>
      <c r="N957" t="n">
        <v>0</v>
      </c>
      <c r="O957" t="n">
        <v>0</v>
      </c>
      <c r="P957" t="n">
        <v>0</v>
      </c>
      <c r="Q957" t="n">
        <v>0</v>
      </c>
      <c r="R957" s="2" t="inlineStr"/>
    </row>
    <row r="958" ht="15" customHeight="1">
      <c r="A958" t="inlineStr">
        <is>
          <t>A 19823-2024</t>
        </is>
      </c>
      <c r="B958" s="1" t="n">
        <v>45433</v>
      </c>
      <c r="C958" s="1" t="n">
        <v>45765</v>
      </c>
      <c r="D958" t="inlineStr">
        <is>
          <t>DALARNAS LÄN</t>
        </is>
      </c>
      <c r="E958" t="inlineStr">
        <is>
          <t>LEKSAND</t>
        </is>
      </c>
      <c r="G958" t="n">
        <v>0.3</v>
      </c>
      <c r="H958" t="n">
        <v>0</v>
      </c>
      <c r="I958" t="n">
        <v>0</v>
      </c>
      <c r="J958" t="n">
        <v>0</v>
      </c>
      <c r="K958" t="n">
        <v>0</v>
      </c>
      <c r="L958" t="n">
        <v>0</v>
      </c>
      <c r="M958" t="n">
        <v>0</v>
      </c>
      <c r="N958" t="n">
        <v>0</v>
      </c>
      <c r="O958" t="n">
        <v>0</v>
      </c>
      <c r="P958" t="n">
        <v>0</v>
      </c>
      <c r="Q958" t="n">
        <v>0</v>
      </c>
      <c r="R958" s="2" t="inlineStr"/>
    </row>
    <row r="959" ht="15" customHeight="1">
      <c r="A959" t="inlineStr">
        <is>
          <t>A 20110-2024</t>
        </is>
      </c>
      <c r="B959" s="1" t="n">
        <v>45434</v>
      </c>
      <c r="C959" s="1" t="n">
        <v>45765</v>
      </c>
      <c r="D959" t="inlineStr">
        <is>
          <t>DALARNAS LÄN</t>
        </is>
      </c>
      <c r="E959" t="inlineStr">
        <is>
          <t>LEKSAND</t>
        </is>
      </c>
      <c r="G959" t="n">
        <v>1.8</v>
      </c>
      <c r="H959" t="n">
        <v>0</v>
      </c>
      <c r="I959" t="n">
        <v>0</v>
      </c>
      <c r="J959" t="n">
        <v>0</v>
      </c>
      <c r="K959" t="n">
        <v>0</v>
      </c>
      <c r="L959" t="n">
        <v>0</v>
      </c>
      <c r="M959" t="n">
        <v>0</v>
      </c>
      <c r="N959" t="n">
        <v>0</v>
      </c>
      <c r="O959" t="n">
        <v>0</v>
      </c>
      <c r="P959" t="n">
        <v>0</v>
      </c>
      <c r="Q959" t="n">
        <v>0</v>
      </c>
      <c r="R959" s="2" t="inlineStr"/>
    </row>
    <row r="960" ht="15" customHeight="1">
      <c r="A960" t="inlineStr">
        <is>
          <t>A 20590-2024</t>
        </is>
      </c>
      <c r="B960" s="1" t="n">
        <v>45436</v>
      </c>
      <c r="C960" s="1" t="n">
        <v>45765</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20588-2024</t>
        </is>
      </c>
      <c r="B961" s="1" t="n">
        <v>45436</v>
      </c>
      <c r="C961" s="1" t="n">
        <v>45765</v>
      </c>
      <c r="D961" t="inlineStr">
        <is>
          <t>DALARNAS LÄN</t>
        </is>
      </c>
      <c r="E961" t="inlineStr">
        <is>
          <t>LEKSAND</t>
        </is>
      </c>
      <c r="F961" t="inlineStr">
        <is>
          <t>Bergvik skog väst AB</t>
        </is>
      </c>
      <c r="G961" t="n">
        <v>34.4</v>
      </c>
      <c r="H961" t="n">
        <v>0</v>
      </c>
      <c r="I961" t="n">
        <v>0</v>
      </c>
      <c r="J961" t="n">
        <v>0</v>
      </c>
      <c r="K961" t="n">
        <v>0</v>
      </c>
      <c r="L961" t="n">
        <v>0</v>
      </c>
      <c r="M961" t="n">
        <v>0</v>
      </c>
      <c r="N961" t="n">
        <v>0</v>
      </c>
      <c r="O961" t="n">
        <v>0</v>
      </c>
      <c r="P961" t="n">
        <v>0</v>
      </c>
      <c r="Q961" t="n">
        <v>0</v>
      </c>
      <c r="R961" s="2" t="inlineStr"/>
    </row>
    <row r="962" ht="15" customHeight="1">
      <c r="A962" t="inlineStr">
        <is>
          <t>A 20718-2024</t>
        </is>
      </c>
      <c r="B962" s="1" t="n">
        <v>45436</v>
      </c>
      <c r="C962" s="1" t="n">
        <v>45765</v>
      </c>
      <c r="D962" t="inlineStr">
        <is>
          <t>DALARNAS LÄN</t>
        </is>
      </c>
      <c r="E962" t="inlineStr">
        <is>
          <t>LEKSAND</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21017-2024</t>
        </is>
      </c>
      <c r="B963" s="1" t="n">
        <v>45439</v>
      </c>
      <c r="C963" s="1" t="n">
        <v>45765</v>
      </c>
      <c r="D963" t="inlineStr">
        <is>
          <t>DALARNAS LÄN</t>
        </is>
      </c>
      <c r="E963" t="inlineStr">
        <is>
          <t>LEKSAND</t>
        </is>
      </c>
      <c r="G963" t="n">
        <v>2.8</v>
      </c>
      <c r="H963" t="n">
        <v>0</v>
      </c>
      <c r="I963" t="n">
        <v>0</v>
      </c>
      <c r="J963" t="n">
        <v>0</v>
      </c>
      <c r="K963" t="n">
        <v>0</v>
      </c>
      <c r="L963" t="n">
        <v>0</v>
      </c>
      <c r="M963" t="n">
        <v>0</v>
      </c>
      <c r="N963" t="n">
        <v>0</v>
      </c>
      <c r="O963" t="n">
        <v>0</v>
      </c>
      <c r="P963" t="n">
        <v>0</v>
      </c>
      <c r="Q963" t="n">
        <v>0</v>
      </c>
      <c r="R963" s="2" t="inlineStr"/>
    </row>
    <row r="964" ht="15" customHeight="1">
      <c r="A964" t="inlineStr">
        <is>
          <t>A 21035-2024</t>
        </is>
      </c>
      <c r="B964" s="1" t="n">
        <v>45439</v>
      </c>
      <c r="C964" s="1" t="n">
        <v>45765</v>
      </c>
      <c r="D964" t="inlineStr">
        <is>
          <t>DALARNAS LÄN</t>
        </is>
      </c>
      <c r="E964" t="inlineStr">
        <is>
          <t>LEKSAND</t>
        </is>
      </c>
      <c r="G964" t="n">
        <v>11.6</v>
      </c>
      <c r="H964" t="n">
        <v>0</v>
      </c>
      <c r="I964" t="n">
        <v>0</v>
      </c>
      <c r="J964" t="n">
        <v>0</v>
      </c>
      <c r="K964" t="n">
        <v>0</v>
      </c>
      <c r="L964" t="n">
        <v>0</v>
      </c>
      <c r="M964" t="n">
        <v>0</v>
      </c>
      <c r="N964" t="n">
        <v>0</v>
      </c>
      <c r="O964" t="n">
        <v>0</v>
      </c>
      <c r="P964" t="n">
        <v>0</v>
      </c>
      <c r="Q964" t="n">
        <v>0</v>
      </c>
      <c r="R964" s="2" t="inlineStr"/>
    </row>
    <row r="965" ht="15" customHeight="1">
      <c r="A965" t="inlineStr">
        <is>
          <t>A 21556-2024</t>
        </is>
      </c>
      <c r="B965" s="1" t="n">
        <v>45441</v>
      </c>
      <c r="C965" s="1" t="n">
        <v>45765</v>
      </c>
      <c r="D965" t="inlineStr">
        <is>
          <t>DALARNAS LÄN</t>
        </is>
      </c>
      <c r="E965" t="inlineStr">
        <is>
          <t>LEKSAND</t>
        </is>
      </c>
      <c r="G965" t="n">
        <v>2.9</v>
      </c>
      <c r="H965" t="n">
        <v>0</v>
      </c>
      <c r="I965" t="n">
        <v>0</v>
      </c>
      <c r="J965" t="n">
        <v>0</v>
      </c>
      <c r="K965" t="n">
        <v>0</v>
      </c>
      <c r="L965" t="n">
        <v>0</v>
      </c>
      <c r="M965" t="n">
        <v>0</v>
      </c>
      <c r="N965" t="n">
        <v>0</v>
      </c>
      <c r="O965" t="n">
        <v>0</v>
      </c>
      <c r="P965" t="n">
        <v>0</v>
      </c>
      <c r="Q965" t="n">
        <v>0</v>
      </c>
      <c r="R965" s="2" t="inlineStr"/>
    </row>
    <row r="966" ht="15" customHeight="1">
      <c r="A966" t="inlineStr">
        <is>
          <t>A 21676-2024</t>
        </is>
      </c>
      <c r="B966" s="1" t="n">
        <v>45442</v>
      </c>
      <c r="C966" s="1" t="n">
        <v>45765</v>
      </c>
      <c r="D966" t="inlineStr">
        <is>
          <t>DALARNAS LÄN</t>
        </is>
      </c>
      <c r="E966" t="inlineStr">
        <is>
          <t>LEKSAND</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22059-2024</t>
        </is>
      </c>
      <c r="B967" s="1" t="n">
        <v>45443</v>
      </c>
      <c r="C967" s="1" t="n">
        <v>45765</v>
      </c>
      <c r="D967" t="inlineStr">
        <is>
          <t>DALARNAS LÄN</t>
        </is>
      </c>
      <c r="E967" t="inlineStr">
        <is>
          <t>LEKSAND</t>
        </is>
      </c>
      <c r="G967" t="n">
        <v>13.4</v>
      </c>
      <c r="H967" t="n">
        <v>0</v>
      </c>
      <c r="I967" t="n">
        <v>0</v>
      </c>
      <c r="J967" t="n">
        <v>0</v>
      </c>
      <c r="K967" t="n">
        <v>0</v>
      </c>
      <c r="L967" t="n">
        <v>0</v>
      </c>
      <c r="M967" t="n">
        <v>0</v>
      </c>
      <c r="N967" t="n">
        <v>0</v>
      </c>
      <c r="O967" t="n">
        <v>0</v>
      </c>
      <c r="P967" t="n">
        <v>0</v>
      </c>
      <c r="Q967" t="n">
        <v>0</v>
      </c>
      <c r="R967" s="2" t="inlineStr"/>
    </row>
    <row r="968" ht="15" customHeight="1">
      <c r="A968" t="inlineStr">
        <is>
          <t>A 22354-2024</t>
        </is>
      </c>
      <c r="B968" s="1" t="n">
        <v>45446</v>
      </c>
      <c r="C968" s="1" t="n">
        <v>45765</v>
      </c>
      <c r="D968" t="inlineStr">
        <is>
          <t>DALARNAS LÄN</t>
        </is>
      </c>
      <c r="E968" t="inlineStr">
        <is>
          <t>LEKSAND</t>
        </is>
      </c>
      <c r="G968" t="n">
        <v>1</v>
      </c>
      <c r="H968" t="n">
        <v>0</v>
      </c>
      <c r="I968" t="n">
        <v>0</v>
      </c>
      <c r="J968" t="n">
        <v>0</v>
      </c>
      <c r="K968" t="n">
        <v>0</v>
      </c>
      <c r="L968" t="n">
        <v>0</v>
      </c>
      <c r="M968" t="n">
        <v>0</v>
      </c>
      <c r="N968" t="n">
        <v>0</v>
      </c>
      <c r="O968" t="n">
        <v>0</v>
      </c>
      <c r="P968" t="n">
        <v>0</v>
      </c>
      <c r="Q968" t="n">
        <v>0</v>
      </c>
      <c r="R968" s="2" t="inlineStr"/>
    </row>
    <row r="969" ht="15" customHeight="1">
      <c r="A969" t="inlineStr">
        <is>
          <t>A 22388-2024</t>
        </is>
      </c>
      <c r="B969" s="1" t="n">
        <v>45446</v>
      </c>
      <c r="C969" s="1" t="n">
        <v>45765</v>
      </c>
      <c r="D969" t="inlineStr">
        <is>
          <t>DALARNAS LÄN</t>
        </is>
      </c>
      <c r="E969" t="inlineStr">
        <is>
          <t>LEKSAND</t>
        </is>
      </c>
      <c r="F969" t="inlineStr">
        <is>
          <t>Bergvik skog väst AB</t>
        </is>
      </c>
      <c r="G969" t="n">
        <v>5.3</v>
      </c>
      <c r="H969" t="n">
        <v>0</v>
      </c>
      <c r="I969" t="n">
        <v>0</v>
      </c>
      <c r="J969" t="n">
        <v>0</v>
      </c>
      <c r="K969" t="n">
        <v>0</v>
      </c>
      <c r="L969" t="n">
        <v>0</v>
      </c>
      <c r="M969" t="n">
        <v>0</v>
      </c>
      <c r="N969" t="n">
        <v>0</v>
      </c>
      <c r="O969" t="n">
        <v>0</v>
      </c>
      <c r="P969" t="n">
        <v>0</v>
      </c>
      <c r="Q969" t="n">
        <v>0</v>
      </c>
      <c r="R969" s="2" t="inlineStr"/>
    </row>
    <row r="970" ht="15" customHeight="1">
      <c r="A970" t="inlineStr">
        <is>
          <t>A 22349-2024</t>
        </is>
      </c>
      <c r="B970" s="1" t="n">
        <v>45446</v>
      </c>
      <c r="C970" s="1" t="n">
        <v>45765</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22281-2024</t>
        </is>
      </c>
      <c r="B971" s="1" t="n">
        <v>45446</v>
      </c>
      <c r="C971" s="1" t="n">
        <v>45765</v>
      </c>
      <c r="D971" t="inlineStr">
        <is>
          <t>DALARNAS LÄN</t>
        </is>
      </c>
      <c r="E971" t="inlineStr">
        <is>
          <t>LEKSAND</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22612-2024</t>
        </is>
      </c>
      <c r="B972" s="1" t="n">
        <v>45447</v>
      </c>
      <c r="C972" s="1" t="n">
        <v>45765</v>
      </c>
      <c r="D972" t="inlineStr">
        <is>
          <t>DALARNAS LÄN</t>
        </is>
      </c>
      <c r="E972" t="inlineStr">
        <is>
          <t>LEKSAND</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22517-2024</t>
        </is>
      </c>
      <c r="B973" s="1" t="n">
        <v>45447</v>
      </c>
      <c r="C973" s="1" t="n">
        <v>45765</v>
      </c>
      <c r="D973" t="inlineStr">
        <is>
          <t>DALARNAS LÄN</t>
        </is>
      </c>
      <c r="E973" t="inlineStr">
        <is>
          <t>LEKSAND</t>
        </is>
      </c>
      <c r="G973" t="n">
        <v>0.4</v>
      </c>
      <c r="H973" t="n">
        <v>0</v>
      </c>
      <c r="I973" t="n">
        <v>0</v>
      </c>
      <c r="J973" t="n">
        <v>0</v>
      </c>
      <c r="K973" t="n">
        <v>0</v>
      </c>
      <c r="L973" t="n">
        <v>0</v>
      </c>
      <c r="M973" t="n">
        <v>0</v>
      </c>
      <c r="N973" t="n">
        <v>0</v>
      </c>
      <c r="O973" t="n">
        <v>0</v>
      </c>
      <c r="P973" t="n">
        <v>0</v>
      </c>
      <c r="Q973" t="n">
        <v>0</v>
      </c>
      <c r="R973" s="2" t="inlineStr"/>
    </row>
    <row r="974" ht="15" customHeight="1">
      <c r="A974" t="inlineStr">
        <is>
          <t>A 22686-2024</t>
        </is>
      </c>
      <c r="B974" s="1" t="n">
        <v>45448</v>
      </c>
      <c r="C974" s="1" t="n">
        <v>45765</v>
      </c>
      <c r="D974" t="inlineStr">
        <is>
          <t>DALARNAS LÄN</t>
        </is>
      </c>
      <c r="E974" t="inlineStr">
        <is>
          <t>LEKSAND</t>
        </is>
      </c>
      <c r="G974" t="n">
        <v>2.3</v>
      </c>
      <c r="H974" t="n">
        <v>0</v>
      </c>
      <c r="I974" t="n">
        <v>0</v>
      </c>
      <c r="J974" t="n">
        <v>0</v>
      </c>
      <c r="K974" t="n">
        <v>0</v>
      </c>
      <c r="L974" t="n">
        <v>0</v>
      </c>
      <c r="M974" t="n">
        <v>0</v>
      </c>
      <c r="N974" t="n">
        <v>0</v>
      </c>
      <c r="O974" t="n">
        <v>0</v>
      </c>
      <c r="P974" t="n">
        <v>0</v>
      </c>
      <c r="Q974" t="n">
        <v>0</v>
      </c>
      <c r="R974" s="2" t="inlineStr"/>
    </row>
    <row r="975" ht="15" customHeight="1">
      <c r="A975" t="inlineStr">
        <is>
          <t>A 22708-2024</t>
        </is>
      </c>
      <c r="B975" s="1" t="n">
        <v>45448</v>
      </c>
      <c r="C975" s="1" t="n">
        <v>45765</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23068-2024</t>
        </is>
      </c>
      <c r="B976" s="1" t="n">
        <v>45450</v>
      </c>
      <c r="C976" s="1" t="n">
        <v>45765</v>
      </c>
      <c r="D976" t="inlineStr">
        <is>
          <t>DALARNAS LÄN</t>
        </is>
      </c>
      <c r="E976" t="inlineStr">
        <is>
          <t>LEKSAND</t>
        </is>
      </c>
      <c r="G976" t="n">
        <v>2.4</v>
      </c>
      <c r="H976" t="n">
        <v>0</v>
      </c>
      <c r="I976" t="n">
        <v>0</v>
      </c>
      <c r="J976" t="n">
        <v>0</v>
      </c>
      <c r="K976" t="n">
        <v>0</v>
      </c>
      <c r="L976" t="n">
        <v>0</v>
      </c>
      <c r="M976" t="n">
        <v>0</v>
      </c>
      <c r="N976" t="n">
        <v>0</v>
      </c>
      <c r="O976" t="n">
        <v>0</v>
      </c>
      <c r="P976" t="n">
        <v>0</v>
      </c>
      <c r="Q976" t="n">
        <v>0</v>
      </c>
      <c r="R976" s="2" t="inlineStr"/>
    </row>
    <row r="977" ht="15" customHeight="1">
      <c r="A977" t="inlineStr">
        <is>
          <t>A 23283-2024</t>
        </is>
      </c>
      <c r="B977" s="1" t="n">
        <v>45453</v>
      </c>
      <c r="C977" s="1" t="n">
        <v>45765</v>
      </c>
      <c r="D977" t="inlineStr">
        <is>
          <t>DALARNAS LÄN</t>
        </is>
      </c>
      <c r="E977" t="inlineStr">
        <is>
          <t>LEKSAND</t>
        </is>
      </c>
      <c r="G977" t="n">
        <v>0.9</v>
      </c>
      <c r="H977" t="n">
        <v>0</v>
      </c>
      <c r="I977" t="n">
        <v>0</v>
      </c>
      <c r="J977" t="n">
        <v>0</v>
      </c>
      <c r="K977" t="n">
        <v>0</v>
      </c>
      <c r="L977" t="n">
        <v>0</v>
      </c>
      <c r="M977" t="n">
        <v>0</v>
      </c>
      <c r="N977" t="n">
        <v>0</v>
      </c>
      <c r="O977" t="n">
        <v>0</v>
      </c>
      <c r="P977" t="n">
        <v>0</v>
      </c>
      <c r="Q977" t="n">
        <v>0</v>
      </c>
      <c r="R977" s="2" t="inlineStr"/>
    </row>
    <row r="978" ht="15" customHeight="1">
      <c r="A978" t="inlineStr">
        <is>
          <t>A 23320-2024</t>
        </is>
      </c>
      <c r="B978" s="1" t="n">
        <v>45453</v>
      </c>
      <c r="C978" s="1" t="n">
        <v>45765</v>
      </c>
      <c r="D978" t="inlineStr">
        <is>
          <t>DALARNAS LÄN</t>
        </is>
      </c>
      <c r="E978" t="inlineStr">
        <is>
          <t>LEKSAND</t>
        </is>
      </c>
      <c r="G978" t="n">
        <v>4.6</v>
      </c>
      <c r="H978" t="n">
        <v>0</v>
      </c>
      <c r="I978" t="n">
        <v>0</v>
      </c>
      <c r="J978" t="n">
        <v>0</v>
      </c>
      <c r="K978" t="n">
        <v>0</v>
      </c>
      <c r="L978" t="n">
        <v>0</v>
      </c>
      <c r="M978" t="n">
        <v>0</v>
      </c>
      <c r="N978" t="n">
        <v>0</v>
      </c>
      <c r="O978" t="n">
        <v>0</v>
      </c>
      <c r="P978" t="n">
        <v>0</v>
      </c>
      <c r="Q978" t="n">
        <v>0</v>
      </c>
      <c r="R978" s="2" t="inlineStr"/>
    </row>
    <row r="979" ht="15" customHeight="1">
      <c r="A979" t="inlineStr">
        <is>
          <t>A 23391-2024</t>
        </is>
      </c>
      <c r="B979" s="1" t="n">
        <v>45453</v>
      </c>
      <c r="C979" s="1" t="n">
        <v>45765</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23395-2024</t>
        </is>
      </c>
      <c r="B980" s="1" t="n">
        <v>45453</v>
      </c>
      <c r="C980" s="1" t="n">
        <v>45765</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23615-2024</t>
        </is>
      </c>
      <c r="B981" s="1" t="n">
        <v>45454</v>
      </c>
      <c r="C981" s="1" t="n">
        <v>45765</v>
      </c>
      <c r="D981" t="inlineStr">
        <is>
          <t>DALARNAS LÄN</t>
        </is>
      </c>
      <c r="E981" t="inlineStr">
        <is>
          <t>LEKSAND</t>
        </is>
      </c>
      <c r="G981" t="n">
        <v>1.7</v>
      </c>
      <c r="H981" t="n">
        <v>0</v>
      </c>
      <c r="I981" t="n">
        <v>0</v>
      </c>
      <c r="J981" t="n">
        <v>0</v>
      </c>
      <c r="K981" t="n">
        <v>0</v>
      </c>
      <c r="L981" t="n">
        <v>0</v>
      </c>
      <c r="M981" t="n">
        <v>0</v>
      </c>
      <c r="N981" t="n">
        <v>0</v>
      </c>
      <c r="O981" t="n">
        <v>0</v>
      </c>
      <c r="P981" t="n">
        <v>0</v>
      </c>
      <c r="Q981" t="n">
        <v>0</v>
      </c>
      <c r="R981" s="2" t="inlineStr"/>
    </row>
    <row r="982" ht="15" customHeight="1">
      <c r="A982" t="inlineStr">
        <is>
          <t>A 23663-2024</t>
        </is>
      </c>
      <c r="B982" s="1" t="n">
        <v>45454</v>
      </c>
      <c r="C982" s="1" t="n">
        <v>45765</v>
      </c>
      <c r="D982" t="inlineStr">
        <is>
          <t>DALARNAS LÄN</t>
        </is>
      </c>
      <c r="E982" t="inlineStr">
        <is>
          <t>LEKSAND</t>
        </is>
      </c>
      <c r="G982" t="n">
        <v>2.5</v>
      </c>
      <c r="H982" t="n">
        <v>0</v>
      </c>
      <c r="I982" t="n">
        <v>0</v>
      </c>
      <c r="J982" t="n">
        <v>0</v>
      </c>
      <c r="K982" t="n">
        <v>0</v>
      </c>
      <c r="L982" t="n">
        <v>0</v>
      </c>
      <c r="M982" t="n">
        <v>0</v>
      </c>
      <c r="N982" t="n">
        <v>0</v>
      </c>
      <c r="O982" t="n">
        <v>0</v>
      </c>
      <c r="P982" t="n">
        <v>0</v>
      </c>
      <c r="Q982" t="n">
        <v>0</v>
      </c>
      <c r="R982" s="2" t="inlineStr"/>
    </row>
    <row r="983" ht="15" customHeight="1">
      <c r="A983" t="inlineStr">
        <is>
          <t>A 23896-2024</t>
        </is>
      </c>
      <c r="B983" s="1" t="n">
        <v>45455</v>
      </c>
      <c r="C983" s="1" t="n">
        <v>45765</v>
      </c>
      <c r="D983" t="inlineStr">
        <is>
          <t>DALARNAS LÄN</t>
        </is>
      </c>
      <c r="E983" t="inlineStr">
        <is>
          <t>LEKSAND</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23743-2024</t>
        </is>
      </c>
      <c r="B984" s="1" t="n">
        <v>45455</v>
      </c>
      <c r="C984" s="1" t="n">
        <v>45765</v>
      </c>
      <c r="D984" t="inlineStr">
        <is>
          <t>DALARNAS LÄN</t>
        </is>
      </c>
      <c r="E984" t="inlineStr">
        <is>
          <t>LEKSAND</t>
        </is>
      </c>
      <c r="G984" t="n">
        <v>4.5</v>
      </c>
      <c r="H984" t="n">
        <v>0</v>
      </c>
      <c r="I984" t="n">
        <v>0</v>
      </c>
      <c r="J984" t="n">
        <v>0</v>
      </c>
      <c r="K984" t="n">
        <v>0</v>
      </c>
      <c r="L984" t="n">
        <v>0</v>
      </c>
      <c r="M984" t="n">
        <v>0</v>
      </c>
      <c r="N984" t="n">
        <v>0</v>
      </c>
      <c r="O984" t="n">
        <v>0</v>
      </c>
      <c r="P984" t="n">
        <v>0</v>
      </c>
      <c r="Q984" t="n">
        <v>0</v>
      </c>
      <c r="R984" s="2" t="inlineStr"/>
    </row>
    <row r="985" ht="15" customHeight="1">
      <c r="A985" t="inlineStr">
        <is>
          <t>A 23739-2024</t>
        </is>
      </c>
      <c r="B985" s="1" t="n">
        <v>45455</v>
      </c>
      <c r="C985" s="1" t="n">
        <v>45765</v>
      </c>
      <c r="D985" t="inlineStr">
        <is>
          <t>DALARNAS LÄN</t>
        </is>
      </c>
      <c r="E985" t="inlineStr">
        <is>
          <t>LEKSAND</t>
        </is>
      </c>
      <c r="G985" t="n">
        <v>0.6</v>
      </c>
      <c r="H985" t="n">
        <v>0</v>
      </c>
      <c r="I985" t="n">
        <v>0</v>
      </c>
      <c r="J985" t="n">
        <v>0</v>
      </c>
      <c r="K985" t="n">
        <v>0</v>
      </c>
      <c r="L985" t="n">
        <v>0</v>
      </c>
      <c r="M985" t="n">
        <v>0</v>
      </c>
      <c r="N985" t="n">
        <v>0</v>
      </c>
      <c r="O985" t="n">
        <v>0</v>
      </c>
      <c r="P985" t="n">
        <v>0</v>
      </c>
      <c r="Q985" t="n">
        <v>0</v>
      </c>
      <c r="R985" s="2" t="inlineStr"/>
    </row>
    <row r="986" ht="15" customHeight="1">
      <c r="A986" t="inlineStr">
        <is>
          <t>A 24003-2024</t>
        </is>
      </c>
      <c r="B986" s="1" t="n">
        <v>45456</v>
      </c>
      <c r="C986" s="1" t="n">
        <v>45765</v>
      </c>
      <c r="D986" t="inlineStr">
        <is>
          <t>DALARNAS LÄN</t>
        </is>
      </c>
      <c r="E986" t="inlineStr">
        <is>
          <t>LEKSAND</t>
        </is>
      </c>
      <c r="F986" t="inlineStr">
        <is>
          <t>Bergvik skog väst AB</t>
        </is>
      </c>
      <c r="G986" t="n">
        <v>3.2</v>
      </c>
      <c r="H986" t="n">
        <v>0</v>
      </c>
      <c r="I986" t="n">
        <v>0</v>
      </c>
      <c r="J986" t="n">
        <v>0</v>
      </c>
      <c r="K986" t="n">
        <v>0</v>
      </c>
      <c r="L986" t="n">
        <v>0</v>
      </c>
      <c r="M986" t="n">
        <v>0</v>
      </c>
      <c r="N986" t="n">
        <v>0</v>
      </c>
      <c r="O986" t="n">
        <v>0</v>
      </c>
      <c r="P986" t="n">
        <v>0</v>
      </c>
      <c r="Q986" t="n">
        <v>0</v>
      </c>
      <c r="R986" s="2" t="inlineStr"/>
    </row>
    <row r="987" ht="15" customHeight="1">
      <c r="A987" t="inlineStr">
        <is>
          <t>A 24005-2024</t>
        </is>
      </c>
      <c r="B987" s="1" t="n">
        <v>45456</v>
      </c>
      <c r="C987" s="1" t="n">
        <v>45765</v>
      </c>
      <c r="D987" t="inlineStr">
        <is>
          <t>DALARNAS LÄN</t>
        </is>
      </c>
      <c r="E987" t="inlineStr">
        <is>
          <t>LEKSAND</t>
        </is>
      </c>
      <c r="F987" t="inlineStr">
        <is>
          <t>Bergvik skog väst AB</t>
        </is>
      </c>
      <c r="G987" t="n">
        <v>3</v>
      </c>
      <c r="H987" t="n">
        <v>0</v>
      </c>
      <c r="I987" t="n">
        <v>0</v>
      </c>
      <c r="J987" t="n">
        <v>0</v>
      </c>
      <c r="K987" t="n">
        <v>0</v>
      </c>
      <c r="L987" t="n">
        <v>0</v>
      </c>
      <c r="M987" t="n">
        <v>0</v>
      </c>
      <c r="N987" t="n">
        <v>0</v>
      </c>
      <c r="O987" t="n">
        <v>0</v>
      </c>
      <c r="P987" t="n">
        <v>0</v>
      </c>
      <c r="Q987" t="n">
        <v>0</v>
      </c>
      <c r="R987" s="2" t="inlineStr"/>
    </row>
    <row r="988" ht="15" customHeight="1">
      <c r="A988" t="inlineStr">
        <is>
          <t>A 24063-2024</t>
        </is>
      </c>
      <c r="B988" s="1" t="n">
        <v>45456</v>
      </c>
      <c r="C988" s="1" t="n">
        <v>45765</v>
      </c>
      <c r="D988" t="inlineStr">
        <is>
          <t>DALARNAS LÄN</t>
        </is>
      </c>
      <c r="E988" t="inlineStr">
        <is>
          <t>LEKSAND</t>
        </is>
      </c>
      <c r="F988" t="inlineStr">
        <is>
          <t>Bergvik skog väst AB</t>
        </is>
      </c>
      <c r="G988" t="n">
        <v>8.9</v>
      </c>
      <c r="H988" t="n">
        <v>0</v>
      </c>
      <c r="I988" t="n">
        <v>0</v>
      </c>
      <c r="J988" t="n">
        <v>0</v>
      </c>
      <c r="K988" t="n">
        <v>0</v>
      </c>
      <c r="L988" t="n">
        <v>0</v>
      </c>
      <c r="M988" t="n">
        <v>0</v>
      </c>
      <c r="N988" t="n">
        <v>0</v>
      </c>
      <c r="O988" t="n">
        <v>0</v>
      </c>
      <c r="P988" t="n">
        <v>0</v>
      </c>
      <c r="Q988" t="n">
        <v>0</v>
      </c>
      <c r="R988" s="2" t="inlineStr"/>
    </row>
    <row r="989" ht="15" customHeight="1">
      <c r="A989" t="inlineStr">
        <is>
          <t>A 24135-2024</t>
        </is>
      </c>
      <c r="B989" s="1" t="n">
        <v>45456</v>
      </c>
      <c r="C989" s="1" t="n">
        <v>45765</v>
      </c>
      <c r="D989" t="inlineStr">
        <is>
          <t>DALARNAS LÄN</t>
        </is>
      </c>
      <c r="E989" t="inlineStr">
        <is>
          <t>LEKSAND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24481-2024</t>
        </is>
      </c>
      <c r="B990" s="1" t="n">
        <v>45459</v>
      </c>
      <c r="C990" s="1" t="n">
        <v>45765</v>
      </c>
      <c r="D990" t="inlineStr">
        <is>
          <t>DALARNAS LÄN</t>
        </is>
      </c>
      <c r="E990" t="inlineStr">
        <is>
          <t>LEKSAND</t>
        </is>
      </c>
      <c r="G990" t="n">
        <v>1</v>
      </c>
      <c r="H990" t="n">
        <v>0</v>
      </c>
      <c r="I990" t="n">
        <v>0</v>
      </c>
      <c r="J990" t="n">
        <v>0</v>
      </c>
      <c r="K990" t="n">
        <v>0</v>
      </c>
      <c r="L990" t="n">
        <v>0</v>
      </c>
      <c r="M990" t="n">
        <v>0</v>
      </c>
      <c r="N990" t="n">
        <v>0</v>
      </c>
      <c r="O990" t="n">
        <v>0</v>
      </c>
      <c r="P990" t="n">
        <v>0</v>
      </c>
      <c r="Q990" t="n">
        <v>0</v>
      </c>
      <c r="R990" s="2" t="inlineStr"/>
    </row>
    <row r="991" ht="15" customHeight="1">
      <c r="A991" t="inlineStr">
        <is>
          <t>A 24830-2024</t>
        </is>
      </c>
      <c r="B991" s="1" t="n">
        <v>45461</v>
      </c>
      <c r="C991" s="1" t="n">
        <v>45765</v>
      </c>
      <c r="D991" t="inlineStr">
        <is>
          <t>DALARNAS LÄN</t>
        </is>
      </c>
      <c r="E991" t="inlineStr">
        <is>
          <t>LEKSAND</t>
        </is>
      </c>
      <c r="G991" t="n">
        <v>2.2</v>
      </c>
      <c r="H991" t="n">
        <v>0</v>
      </c>
      <c r="I991" t="n">
        <v>0</v>
      </c>
      <c r="J991" t="n">
        <v>0</v>
      </c>
      <c r="K991" t="n">
        <v>0</v>
      </c>
      <c r="L991" t="n">
        <v>0</v>
      </c>
      <c r="M991" t="n">
        <v>0</v>
      </c>
      <c r="N991" t="n">
        <v>0</v>
      </c>
      <c r="O991" t="n">
        <v>0</v>
      </c>
      <c r="P991" t="n">
        <v>0</v>
      </c>
      <c r="Q991" t="n">
        <v>0</v>
      </c>
      <c r="R991" s="2" t="inlineStr"/>
    </row>
    <row r="992" ht="15" customHeight="1">
      <c r="A992" t="inlineStr">
        <is>
          <t>A 24837-2024</t>
        </is>
      </c>
      <c r="B992" s="1" t="n">
        <v>45461</v>
      </c>
      <c r="C992" s="1" t="n">
        <v>45765</v>
      </c>
      <c r="D992" t="inlineStr">
        <is>
          <t>DALARNAS LÄN</t>
        </is>
      </c>
      <c r="E992" t="inlineStr">
        <is>
          <t>LEKSAND</t>
        </is>
      </c>
      <c r="G992" t="n">
        <v>1.5</v>
      </c>
      <c r="H992" t="n">
        <v>0</v>
      </c>
      <c r="I992" t="n">
        <v>0</v>
      </c>
      <c r="J992" t="n">
        <v>0</v>
      </c>
      <c r="K992" t="n">
        <v>0</v>
      </c>
      <c r="L992" t="n">
        <v>0</v>
      </c>
      <c r="M992" t="n">
        <v>0</v>
      </c>
      <c r="N992" t="n">
        <v>0</v>
      </c>
      <c r="O992" t="n">
        <v>0</v>
      </c>
      <c r="P992" t="n">
        <v>0</v>
      </c>
      <c r="Q992" t="n">
        <v>0</v>
      </c>
      <c r="R992" s="2" t="inlineStr"/>
    </row>
    <row r="993" ht="15" customHeight="1">
      <c r="A993" t="inlineStr">
        <is>
          <t>A 24917-2024</t>
        </is>
      </c>
      <c r="B993" s="1" t="n">
        <v>45461</v>
      </c>
      <c r="C993" s="1" t="n">
        <v>45765</v>
      </c>
      <c r="D993" t="inlineStr">
        <is>
          <t>DALARNAS LÄN</t>
        </is>
      </c>
      <c r="E993" t="inlineStr">
        <is>
          <t>LEKSAND</t>
        </is>
      </c>
      <c r="G993" t="n">
        <v>3.7</v>
      </c>
      <c r="H993" t="n">
        <v>0</v>
      </c>
      <c r="I993" t="n">
        <v>0</v>
      </c>
      <c r="J993" t="n">
        <v>0</v>
      </c>
      <c r="K993" t="n">
        <v>0</v>
      </c>
      <c r="L993" t="n">
        <v>0</v>
      </c>
      <c r="M993" t="n">
        <v>0</v>
      </c>
      <c r="N993" t="n">
        <v>0</v>
      </c>
      <c r="O993" t="n">
        <v>0</v>
      </c>
      <c r="P993" t="n">
        <v>0</v>
      </c>
      <c r="Q993" t="n">
        <v>0</v>
      </c>
      <c r="R993" s="2" t="inlineStr"/>
    </row>
    <row r="994" ht="15" customHeight="1">
      <c r="A994" t="inlineStr">
        <is>
          <t>A 24919-2024</t>
        </is>
      </c>
      <c r="B994" s="1" t="n">
        <v>45461</v>
      </c>
      <c r="C994" s="1" t="n">
        <v>45765</v>
      </c>
      <c r="D994" t="inlineStr">
        <is>
          <t>DALARNAS LÄN</t>
        </is>
      </c>
      <c r="E994" t="inlineStr">
        <is>
          <t>LEKSAND</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25253-2024</t>
        </is>
      </c>
      <c r="B995" s="1" t="n">
        <v>45462</v>
      </c>
      <c r="C995" s="1" t="n">
        <v>45765</v>
      </c>
      <c r="D995" t="inlineStr">
        <is>
          <t>DALARNAS LÄN</t>
        </is>
      </c>
      <c r="E995" t="inlineStr">
        <is>
          <t>LEKSAND</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25249-2024</t>
        </is>
      </c>
      <c r="B996" s="1" t="n">
        <v>45462</v>
      </c>
      <c r="C996" s="1" t="n">
        <v>45765</v>
      </c>
      <c r="D996" t="inlineStr">
        <is>
          <t>DALARNAS LÄN</t>
        </is>
      </c>
      <c r="E996" t="inlineStr">
        <is>
          <t>LEKSAND</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25105-2024</t>
        </is>
      </c>
      <c r="B997" s="1" t="n">
        <v>45462</v>
      </c>
      <c r="C997" s="1" t="n">
        <v>45765</v>
      </c>
      <c r="D997" t="inlineStr">
        <is>
          <t>DALARNAS LÄN</t>
        </is>
      </c>
      <c r="E997" t="inlineStr">
        <is>
          <t>LEKSAND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25047-2024</t>
        </is>
      </c>
      <c r="B998" s="1" t="n">
        <v>45462</v>
      </c>
      <c r="C998" s="1" t="n">
        <v>45765</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25048-2024</t>
        </is>
      </c>
      <c r="B999" s="1" t="n">
        <v>45462</v>
      </c>
      <c r="C999" s="1" t="n">
        <v>45765</v>
      </c>
      <c r="D999" t="inlineStr">
        <is>
          <t>DALARNAS LÄN</t>
        </is>
      </c>
      <c r="E999" t="inlineStr">
        <is>
          <t>LEKSAND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25251-2024</t>
        </is>
      </c>
      <c r="B1000" s="1" t="n">
        <v>45462</v>
      </c>
      <c r="C1000" s="1" t="n">
        <v>45765</v>
      </c>
      <c r="D1000" t="inlineStr">
        <is>
          <t>DALARNAS LÄN</t>
        </is>
      </c>
      <c r="E1000" t="inlineStr">
        <is>
          <t>LEKSAND</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25109-2024</t>
        </is>
      </c>
      <c r="B1001" s="1" t="n">
        <v>45462</v>
      </c>
      <c r="C1001" s="1" t="n">
        <v>45765</v>
      </c>
      <c r="D1001" t="inlineStr">
        <is>
          <t>DALARNAS LÄN</t>
        </is>
      </c>
      <c r="E1001" t="inlineStr">
        <is>
          <t>LEKSAND</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25042-2024</t>
        </is>
      </c>
      <c r="B1002" s="1" t="n">
        <v>45462</v>
      </c>
      <c r="C1002" s="1" t="n">
        <v>45765</v>
      </c>
      <c r="D1002" t="inlineStr">
        <is>
          <t>DALARNAS LÄN</t>
        </is>
      </c>
      <c r="E1002" t="inlineStr">
        <is>
          <t>LEKSAND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25921-2024</t>
        </is>
      </c>
      <c r="B1003" s="1" t="n">
        <v>45467</v>
      </c>
      <c r="C1003" s="1" t="n">
        <v>45765</v>
      </c>
      <c r="D1003" t="inlineStr">
        <is>
          <t>DALARNAS LÄN</t>
        </is>
      </c>
      <c r="E1003" t="inlineStr">
        <is>
          <t>LEKSAND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26062-2024</t>
        </is>
      </c>
      <c r="B1004" s="1" t="n">
        <v>45468</v>
      </c>
      <c r="C1004" s="1" t="n">
        <v>45765</v>
      </c>
      <c r="D1004" t="inlineStr">
        <is>
          <t>DALARNAS LÄN</t>
        </is>
      </c>
      <c r="E1004" t="inlineStr">
        <is>
          <t>LEKSAND</t>
        </is>
      </c>
      <c r="F1004" t="inlineStr">
        <is>
          <t>Övriga statliga verk och myndigheter</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26680-2024</t>
        </is>
      </c>
      <c r="B1005" s="1" t="n">
        <v>45470</v>
      </c>
      <c r="C1005" s="1" t="n">
        <v>45765</v>
      </c>
      <c r="D1005" t="inlineStr">
        <is>
          <t>DALARNAS LÄN</t>
        </is>
      </c>
      <c r="E1005" t="inlineStr">
        <is>
          <t>LEKSAND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27446-2024</t>
        </is>
      </c>
      <c r="B1006" s="1" t="n">
        <v>45474</v>
      </c>
      <c r="C1006" s="1" t="n">
        <v>45765</v>
      </c>
      <c r="D1006" t="inlineStr">
        <is>
          <t>DALARNAS LÄN</t>
        </is>
      </c>
      <c r="E1006" t="inlineStr">
        <is>
          <t>LEKSAND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27445-2024</t>
        </is>
      </c>
      <c r="B1007" s="1" t="n">
        <v>45474</v>
      </c>
      <c r="C1007" s="1" t="n">
        <v>45765</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28032-2024</t>
        </is>
      </c>
      <c r="B1008" s="1" t="n">
        <v>45476</v>
      </c>
      <c r="C1008" s="1" t="n">
        <v>45765</v>
      </c>
      <c r="D1008" t="inlineStr">
        <is>
          <t>DALARNAS LÄN</t>
        </is>
      </c>
      <c r="E1008" t="inlineStr">
        <is>
          <t>LEKSAND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28366-2024</t>
        </is>
      </c>
      <c r="B1009" s="1" t="n">
        <v>45477</v>
      </c>
      <c r="C1009" s="1" t="n">
        <v>45765</v>
      </c>
      <c r="D1009" t="inlineStr">
        <is>
          <t>DALARNAS LÄN</t>
        </is>
      </c>
      <c r="E1009" t="inlineStr">
        <is>
          <t>LEKSAND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28674-2024</t>
        </is>
      </c>
      <c r="B1010" s="1" t="n">
        <v>45478</v>
      </c>
      <c r="C1010" s="1" t="n">
        <v>45765</v>
      </c>
      <c r="D1010" t="inlineStr">
        <is>
          <t>DALARNAS LÄN</t>
        </is>
      </c>
      <c r="E1010" t="inlineStr">
        <is>
          <t>LEKSAND</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28920-2024</t>
        </is>
      </c>
      <c r="B1011" s="1" t="n">
        <v>45480</v>
      </c>
      <c r="C1011" s="1" t="n">
        <v>45765</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28913-2024</t>
        </is>
      </c>
      <c r="B1012" s="1" t="n">
        <v>45480</v>
      </c>
      <c r="C1012" s="1" t="n">
        <v>45765</v>
      </c>
      <c r="D1012" t="inlineStr">
        <is>
          <t>DALARNAS LÄN</t>
        </is>
      </c>
      <c r="E1012" t="inlineStr">
        <is>
          <t>LEKSAND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28985-2024</t>
        </is>
      </c>
      <c r="B1013" s="1" t="n">
        <v>45481</v>
      </c>
      <c r="C1013" s="1" t="n">
        <v>45765</v>
      </c>
      <c r="D1013" t="inlineStr">
        <is>
          <t>DALARNAS LÄN</t>
        </is>
      </c>
      <c r="E1013" t="inlineStr">
        <is>
          <t>LEKSAND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29149-2024</t>
        </is>
      </c>
      <c r="B1014" s="1" t="n">
        <v>45482</v>
      </c>
      <c r="C1014" s="1" t="n">
        <v>45765</v>
      </c>
      <c r="D1014" t="inlineStr">
        <is>
          <t>DALARNAS LÄN</t>
        </is>
      </c>
      <c r="E1014" t="inlineStr">
        <is>
          <t>LEKSAND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29512-2024</t>
        </is>
      </c>
      <c r="B1015" s="1" t="n">
        <v>45484</v>
      </c>
      <c r="C1015" s="1" t="n">
        <v>45765</v>
      </c>
      <c r="D1015" t="inlineStr">
        <is>
          <t>DALARNAS LÄN</t>
        </is>
      </c>
      <c r="E1015" t="inlineStr">
        <is>
          <t>LEKSAND</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29518-2024</t>
        </is>
      </c>
      <c r="B1016" s="1" t="n">
        <v>45484</v>
      </c>
      <c r="C1016" s="1" t="n">
        <v>45765</v>
      </c>
      <c r="D1016" t="inlineStr">
        <is>
          <t>DALARNAS LÄN</t>
        </is>
      </c>
      <c r="E1016" t="inlineStr">
        <is>
          <t>LEKSAND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30204-2024</t>
        </is>
      </c>
      <c r="B1017" s="1" t="n">
        <v>45490</v>
      </c>
      <c r="C1017" s="1" t="n">
        <v>45765</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30201-2024</t>
        </is>
      </c>
      <c r="B1018" s="1" t="n">
        <v>45490</v>
      </c>
      <c r="C1018" s="1" t="n">
        <v>45765</v>
      </c>
      <c r="D1018" t="inlineStr">
        <is>
          <t>DALARNAS LÄN</t>
        </is>
      </c>
      <c r="E1018" t="inlineStr">
        <is>
          <t>LEKSAND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30198-2024</t>
        </is>
      </c>
      <c r="B1019" s="1" t="n">
        <v>45490</v>
      </c>
      <c r="C1019" s="1" t="n">
        <v>45765</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30670-2024</t>
        </is>
      </c>
      <c r="B1020" s="1" t="n">
        <v>45495</v>
      </c>
      <c r="C1020" s="1" t="n">
        <v>45765</v>
      </c>
      <c r="D1020" t="inlineStr">
        <is>
          <t>DALARNAS LÄN</t>
        </is>
      </c>
      <c r="E1020" t="inlineStr">
        <is>
          <t>LEKSAND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30864-2024</t>
        </is>
      </c>
      <c r="B1021" s="1" t="n">
        <v>45497</v>
      </c>
      <c r="C1021" s="1" t="n">
        <v>45765</v>
      </c>
      <c r="D1021" t="inlineStr">
        <is>
          <t>DALARNAS LÄN</t>
        </is>
      </c>
      <c r="E1021" t="inlineStr">
        <is>
          <t>LEKSAND</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30860-2024</t>
        </is>
      </c>
      <c r="B1022" s="1" t="n">
        <v>45497</v>
      </c>
      <c r="C1022" s="1" t="n">
        <v>45765</v>
      </c>
      <c r="D1022" t="inlineStr">
        <is>
          <t>DALARNAS LÄN</t>
        </is>
      </c>
      <c r="E1022" t="inlineStr">
        <is>
          <t>LEKSAND</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30858-2024</t>
        </is>
      </c>
      <c r="B1023" s="1" t="n">
        <v>45497</v>
      </c>
      <c r="C1023" s="1" t="n">
        <v>45765</v>
      </c>
      <c r="D1023" t="inlineStr">
        <is>
          <t>DALARNAS LÄN</t>
        </is>
      </c>
      <c r="E1023" t="inlineStr">
        <is>
          <t>LEKSAND</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30863-2024</t>
        </is>
      </c>
      <c r="B1024" s="1" t="n">
        <v>45497</v>
      </c>
      <c r="C1024" s="1" t="n">
        <v>45765</v>
      </c>
      <c r="D1024" t="inlineStr">
        <is>
          <t>DALARNAS LÄN</t>
        </is>
      </c>
      <c r="E1024" t="inlineStr">
        <is>
          <t>LEKSAND</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31019-2024</t>
        </is>
      </c>
      <c r="B1025" s="1" t="n">
        <v>45499</v>
      </c>
      <c r="C1025" s="1" t="n">
        <v>45765</v>
      </c>
      <c r="D1025" t="inlineStr">
        <is>
          <t>DALARNAS LÄN</t>
        </is>
      </c>
      <c r="E1025" t="inlineStr">
        <is>
          <t>LEKSAND</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31123-2024</t>
        </is>
      </c>
      <c r="B1026" s="1" t="n">
        <v>45502</v>
      </c>
      <c r="C1026" s="1" t="n">
        <v>45765</v>
      </c>
      <c r="D1026" t="inlineStr">
        <is>
          <t>DALARNAS LÄN</t>
        </is>
      </c>
      <c r="E1026" t="inlineStr">
        <is>
          <t>LEKSAND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31292-2024</t>
        </is>
      </c>
      <c r="B1027" s="1" t="n">
        <v>45504</v>
      </c>
      <c r="C1027" s="1" t="n">
        <v>45765</v>
      </c>
      <c r="D1027" t="inlineStr">
        <is>
          <t>DALARNAS LÄN</t>
        </is>
      </c>
      <c r="E1027" t="inlineStr">
        <is>
          <t>LEKSAND</t>
        </is>
      </c>
      <c r="F1027" t="inlineStr">
        <is>
          <t>Bergvik skog väst AB</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31391-2024</t>
        </is>
      </c>
      <c r="B1028" s="1" t="n">
        <v>45505</v>
      </c>
      <c r="C1028" s="1" t="n">
        <v>45765</v>
      </c>
      <c r="D1028" t="inlineStr">
        <is>
          <t>DALARNAS LÄN</t>
        </is>
      </c>
      <c r="E1028" t="inlineStr">
        <is>
          <t>LEKSAND</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31726-2024</t>
        </is>
      </c>
      <c r="B1029" s="1" t="n">
        <v>45509</v>
      </c>
      <c r="C1029" s="1" t="n">
        <v>45765</v>
      </c>
      <c r="D1029" t="inlineStr">
        <is>
          <t>DALARNAS LÄN</t>
        </is>
      </c>
      <c r="E1029" t="inlineStr">
        <is>
          <t>LEKSAND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31789-2024</t>
        </is>
      </c>
      <c r="B1030" s="1" t="n">
        <v>45509</v>
      </c>
      <c r="C1030" s="1" t="n">
        <v>45765</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31728-2024</t>
        </is>
      </c>
      <c r="B1031" s="1" t="n">
        <v>45509</v>
      </c>
      <c r="C1031" s="1" t="n">
        <v>45765</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31720-2024</t>
        </is>
      </c>
      <c r="B1032" s="1" t="n">
        <v>45509</v>
      </c>
      <c r="C1032" s="1" t="n">
        <v>45765</v>
      </c>
      <c r="D1032" t="inlineStr">
        <is>
          <t>DALARNAS LÄN</t>
        </is>
      </c>
      <c r="E1032" t="inlineStr">
        <is>
          <t>LEKSAND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31850-2024</t>
        </is>
      </c>
      <c r="B1033" s="1" t="n">
        <v>45509</v>
      </c>
      <c r="C1033" s="1" t="n">
        <v>45765</v>
      </c>
      <c r="D1033" t="inlineStr">
        <is>
          <t>DALARNAS LÄN</t>
        </is>
      </c>
      <c r="E1033" t="inlineStr">
        <is>
          <t>LEKSAND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32072-2024</t>
        </is>
      </c>
      <c r="B1034" s="1" t="n">
        <v>45511</v>
      </c>
      <c r="C1034" s="1" t="n">
        <v>45765</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31918-2024</t>
        </is>
      </c>
      <c r="B1035" s="1" t="n">
        <v>45510</v>
      </c>
      <c r="C1035" s="1" t="n">
        <v>45765</v>
      </c>
      <c r="D1035" t="inlineStr">
        <is>
          <t>DALARNAS LÄN</t>
        </is>
      </c>
      <c r="E1035" t="inlineStr">
        <is>
          <t>LEKSAND</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32073-2024</t>
        </is>
      </c>
      <c r="B1036" s="1" t="n">
        <v>45511</v>
      </c>
      <c r="C1036" s="1" t="n">
        <v>45765</v>
      </c>
      <c r="D1036" t="inlineStr">
        <is>
          <t>DALARNAS LÄN</t>
        </is>
      </c>
      <c r="E1036" t="inlineStr">
        <is>
          <t>LEKSAND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32074-2024</t>
        </is>
      </c>
      <c r="B1037" s="1" t="n">
        <v>45511</v>
      </c>
      <c r="C1037" s="1" t="n">
        <v>45765</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31915-2024</t>
        </is>
      </c>
      <c r="B1038" s="1" t="n">
        <v>45510</v>
      </c>
      <c r="C1038" s="1" t="n">
        <v>45765</v>
      </c>
      <c r="D1038" t="inlineStr">
        <is>
          <t>DALARNAS LÄN</t>
        </is>
      </c>
      <c r="E1038" t="inlineStr">
        <is>
          <t>LEKSAND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31971-2024</t>
        </is>
      </c>
      <c r="B1039" s="1" t="n">
        <v>45510</v>
      </c>
      <c r="C1039" s="1" t="n">
        <v>45765</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32394-2024</t>
        </is>
      </c>
      <c r="B1040" s="1" t="n">
        <v>45512</v>
      </c>
      <c r="C1040" s="1" t="n">
        <v>45765</v>
      </c>
      <c r="D1040" t="inlineStr">
        <is>
          <t>DALARNAS LÄN</t>
        </is>
      </c>
      <c r="E1040" t="inlineStr">
        <is>
          <t>LEKSAND</t>
        </is>
      </c>
      <c r="F1040" t="inlineStr">
        <is>
          <t>Bergvik skog väst AB</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32494-2024</t>
        </is>
      </c>
      <c r="B1041" s="1" t="n">
        <v>45513</v>
      </c>
      <c r="C1041" s="1" t="n">
        <v>45765</v>
      </c>
      <c r="D1041" t="inlineStr">
        <is>
          <t>DALARNAS LÄN</t>
        </is>
      </c>
      <c r="E1041" t="inlineStr">
        <is>
          <t>LEKSAND</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32689-2024</t>
        </is>
      </c>
      <c r="B1042" s="1" t="n">
        <v>45515</v>
      </c>
      <c r="C1042" s="1" t="n">
        <v>45765</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32688-2024</t>
        </is>
      </c>
      <c r="B1043" s="1" t="n">
        <v>45515</v>
      </c>
      <c r="C1043" s="1" t="n">
        <v>45765</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33182-2024</t>
        </is>
      </c>
      <c r="B1044" s="1" t="n">
        <v>45518</v>
      </c>
      <c r="C1044" s="1" t="n">
        <v>45765</v>
      </c>
      <c r="D1044" t="inlineStr">
        <is>
          <t>DALARNAS LÄN</t>
        </is>
      </c>
      <c r="E1044" t="inlineStr">
        <is>
          <t>LEKSAND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33138-2024</t>
        </is>
      </c>
      <c r="B1045" s="1" t="n">
        <v>45518</v>
      </c>
      <c r="C1045" s="1" t="n">
        <v>45765</v>
      </c>
      <c r="D1045" t="inlineStr">
        <is>
          <t>DALARNAS LÄN</t>
        </is>
      </c>
      <c r="E1045" t="inlineStr">
        <is>
          <t>LEKSAND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33180-2024</t>
        </is>
      </c>
      <c r="B1046" s="1" t="n">
        <v>45518</v>
      </c>
      <c r="C1046" s="1" t="n">
        <v>45765</v>
      </c>
      <c r="D1046" t="inlineStr">
        <is>
          <t>DALARNAS LÄN</t>
        </is>
      </c>
      <c r="E1046" t="inlineStr">
        <is>
          <t>LEKSAND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33147-2024</t>
        </is>
      </c>
      <c r="B1047" s="1" t="n">
        <v>45518</v>
      </c>
      <c r="C1047" s="1" t="n">
        <v>45765</v>
      </c>
      <c r="D1047" t="inlineStr">
        <is>
          <t>DALARNAS LÄN</t>
        </is>
      </c>
      <c r="E1047" t="inlineStr">
        <is>
          <t>LEKSAND</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33143-2024</t>
        </is>
      </c>
      <c r="B1048" s="1" t="n">
        <v>45518</v>
      </c>
      <c r="C1048" s="1" t="n">
        <v>45765</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33357-2024</t>
        </is>
      </c>
      <c r="B1049" s="1" t="n">
        <v>45519</v>
      </c>
      <c r="C1049" s="1" t="n">
        <v>45765</v>
      </c>
      <c r="D1049" t="inlineStr">
        <is>
          <t>DALARNAS LÄN</t>
        </is>
      </c>
      <c r="E1049" t="inlineStr">
        <is>
          <t>LEKSAND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33594-2024</t>
        </is>
      </c>
      <c r="B1050" s="1" t="n">
        <v>45520</v>
      </c>
      <c r="C1050" s="1" t="n">
        <v>45765</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33624-2024</t>
        </is>
      </c>
      <c r="B1051" s="1" t="n">
        <v>45520</v>
      </c>
      <c r="C1051" s="1" t="n">
        <v>45765</v>
      </c>
      <c r="D1051" t="inlineStr">
        <is>
          <t>DALARNAS LÄN</t>
        </is>
      </c>
      <c r="E1051" t="inlineStr">
        <is>
          <t>LEKSAND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33593-2024</t>
        </is>
      </c>
      <c r="B1052" s="1" t="n">
        <v>45520</v>
      </c>
      <c r="C1052" s="1" t="n">
        <v>45765</v>
      </c>
      <c r="D1052" t="inlineStr">
        <is>
          <t>DALARNAS LÄN</t>
        </is>
      </c>
      <c r="E1052" t="inlineStr">
        <is>
          <t>LEKSAND</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33695-2024</t>
        </is>
      </c>
      <c r="B1053" s="1" t="n">
        <v>45520</v>
      </c>
      <c r="C1053" s="1" t="n">
        <v>45765</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33709-2024</t>
        </is>
      </c>
      <c r="B1054" s="1" t="n">
        <v>45520</v>
      </c>
      <c r="C1054" s="1" t="n">
        <v>45765</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33712-2024</t>
        </is>
      </c>
      <c r="B1055" s="1" t="n">
        <v>45520</v>
      </c>
      <c r="C1055" s="1" t="n">
        <v>45765</v>
      </c>
      <c r="D1055" t="inlineStr">
        <is>
          <t>DALARNAS LÄN</t>
        </is>
      </c>
      <c r="E1055" t="inlineStr">
        <is>
          <t>LEKSAND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33702-2024</t>
        </is>
      </c>
      <c r="B1056" s="1" t="n">
        <v>45520</v>
      </c>
      <c r="C1056" s="1" t="n">
        <v>45765</v>
      </c>
      <c r="D1056" t="inlineStr">
        <is>
          <t>DALARNAS LÄN</t>
        </is>
      </c>
      <c r="E1056" t="inlineStr">
        <is>
          <t>LEKSAND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33884-2024</t>
        </is>
      </c>
      <c r="B1057" s="1" t="n">
        <v>45522</v>
      </c>
      <c r="C1057" s="1" t="n">
        <v>45765</v>
      </c>
      <c r="D1057" t="inlineStr">
        <is>
          <t>DALARNAS LÄN</t>
        </is>
      </c>
      <c r="E1057" t="inlineStr">
        <is>
          <t>LEKSAND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33900-2024</t>
        </is>
      </c>
      <c r="B1058" s="1" t="n">
        <v>45523</v>
      </c>
      <c r="C1058" s="1" t="n">
        <v>45765</v>
      </c>
      <c r="D1058" t="inlineStr">
        <is>
          <t>DALARNAS LÄN</t>
        </is>
      </c>
      <c r="E1058" t="inlineStr">
        <is>
          <t>LEKSAND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33957-2024</t>
        </is>
      </c>
      <c r="B1059" s="1" t="n">
        <v>45523</v>
      </c>
      <c r="C1059" s="1" t="n">
        <v>45765</v>
      </c>
      <c r="D1059" t="inlineStr">
        <is>
          <t>DALARNAS LÄN</t>
        </is>
      </c>
      <c r="E1059" t="inlineStr">
        <is>
          <t>LEKSAND</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34038-2024</t>
        </is>
      </c>
      <c r="B1060" s="1" t="n">
        <v>45523</v>
      </c>
      <c r="C1060" s="1" t="n">
        <v>45765</v>
      </c>
      <c r="D1060" t="inlineStr">
        <is>
          <t>DALARNAS LÄN</t>
        </is>
      </c>
      <c r="E1060" t="inlineStr">
        <is>
          <t>LEKSAND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34039-2024</t>
        </is>
      </c>
      <c r="B1061" s="1" t="n">
        <v>45523</v>
      </c>
      <c r="C1061" s="1" t="n">
        <v>45765</v>
      </c>
      <c r="D1061" t="inlineStr">
        <is>
          <t>DALARNAS LÄN</t>
        </is>
      </c>
      <c r="E1061" t="inlineStr">
        <is>
          <t>LEKSAND</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34033-2024</t>
        </is>
      </c>
      <c r="B1062" s="1" t="n">
        <v>45523</v>
      </c>
      <c r="C1062" s="1" t="n">
        <v>45765</v>
      </c>
      <c r="D1062" t="inlineStr">
        <is>
          <t>DALARNAS LÄN</t>
        </is>
      </c>
      <c r="E1062" t="inlineStr">
        <is>
          <t>LEKSAND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34041-2024</t>
        </is>
      </c>
      <c r="B1063" s="1" t="n">
        <v>45523</v>
      </c>
      <c r="C1063" s="1" t="n">
        <v>45765</v>
      </c>
      <c r="D1063" t="inlineStr">
        <is>
          <t>DALARNAS LÄN</t>
        </is>
      </c>
      <c r="E1063" t="inlineStr">
        <is>
          <t>LEKSAND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33977-2024</t>
        </is>
      </c>
      <c r="B1064" s="1" t="n">
        <v>45523</v>
      </c>
      <c r="C1064" s="1" t="n">
        <v>45765</v>
      </c>
      <c r="D1064" t="inlineStr">
        <is>
          <t>DALARNAS LÄN</t>
        </is>
      </c>
      <c r="E1064" t="inlineStr">
        <is>
          <t>LEKSAND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34109-2024</t>
        </is>
      </c>
      <c r="B1065" s="1" t="n">
        <v>45524</v>
      </c>
      <c r="C1065" s="1" t="n">
        <v>45765</v>
      </c>
      <c r="D1065" t="inlineStr">
        <is>
          <t>DALARNAS LÄN</t>
        </is>
      </c>
      <c r="E1065" t="inlineStr">
        <is>
          <t>LEKSAND</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34244-2024</t>
        </is>
      </c>
      <c r="B1066" s="1" t="n">
        <v>45524</v>
      </c>
      <c r="C1066" s="1" t="n">
        <v>45765</v>
      </c>
      <c r="D1066" t="inlineStr">
        <is>
          <t>DALARNAS LÄN</t>
        </is>
      </c>
      <c r="E1066" t="inlineStr">
        <is>
          <t>LEKSAND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34347-2024</t>
        </is>
      </c>
      <c r="B1067" s="1" t="n">
        <v>45525</v>
      </c>
      <c r="C1067" s="1" t="n">
        <v>45765</v>
      </c>
      <c r="D1067" t="inlineStr">
        <is>
          <t>DALARNAS LÄN</t>
        </is>
      </c>
      <c r="E1067" t="inlineStr">
        <is>
          <t>LEKSAND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34585-2024</t>
        </is>
      </c>
      <c r="B1068" s="1" t="n">
        <v>45526</v>
      </c>
      <c r="C1068" s="1" t="n">
        <v>45765</v>
      </c>
      <c r="D1068" t="inlineStr">
        <is>
          <t>DALARNAS LÄN</t>
        </is>
      </c>
      <c r="E1068" t="inlineStr">
        <is>
          <t>LEKSAND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34778-2024</t>
        </is>
      </c>
      <c r="B1069" s="1" t="n">
        <v>45526</v>
      </c>
      <c r="C1069" s="1" t="n">
        <v>45765</v>
      </c>
      <c r="D1069" t="inlineStr">
        <is>
          <t>DALARNAS LÄN</t>
        </is>
      </c>
      <c r="E1069" t="inlineStr">
        <is>
          <t>LEKSAND</t>
        </is>
      </c>
      <c r="F1069" t="inlineStr">
        <is>
          <t>Bergvik skog väst AB</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34954-2024</t>
        </is>
      </c>
      <c r="B1070" s="1" t="n">
        <v>45527</v>
      </c>
      <c r="C1070" s="1" t="n">
        <v>45765</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35262-2024</t>
        </is>
      </c>
      <c r="B1071" s="1" t="n">
        <v>45530</v>
      </c>
      <c r="C1071" s="1" t="n">
        <v>45765</v>
      </c>
      <c r="D1071" t="inlineStr">
        <is>
          <t>DALARNAS LÄN</t>
        </is>
      </c>
      <c r="E1071" t="inlineStr">
        <is>
          <t>LEKSAND</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36534-2024</t>
        </is>
      </c>
      <c r="B1072" s="1" t="n">
        <v>45537</v>
      </c>
      <c r="C1072" s="1" t="n">
        <v>45765</v>
      </c>
      <c r="D1072" t="inlineStr">
        <is>
          <t>DALARNAS LÄN</t>
        </is>
      </c>
      <c r="E1072" t="inlineStr">
        <is>
          <t>LEKSAND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37952-2024</t>
        </is>
      </c>
      <c r="B1073" s="1" t="n">
        <v>45544</v>
      </c>
      <c r="C1073" s="1" t="n">
        <v>45765</v>
      </c>
      <c r="D1073" t="inlineStr">
        <is>
          <t>DALARNAS LÄN</t>
        </is>
      </c>
      <c r="E1073" t="inlineStr">
        <is>
          <t>LEKSAND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37850-2024</t>
        </is>
      </c>
      <c r="B1074" s="1" t="n">
        <v>45544</v>
      </c>
      <c r="C1074" s="1" t="n">
        <v>45765</v>
      </c>
      <c r="D1074" t="inlineStr">
        <is>
          <t>DALARNAS LÄN</t>
        </is>
      </c>
      <c r="E1074" t="inlineStr">
        <is>
          <t>LEKSAND</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38330-2024</t>
        </is>
      </c>
      <c r="B1075" s="1" t="n">
        <v>45545</v>
      </c>
      <c r="C1075" s="1" t="n">
        <v>45765</v>
      </c>
      <c r="D1075" t="inlineStr">
        <is>
          <t>DALARNAS LÄN</t>
        </is>
      </c>
      <c r="E1075" t="inlineStr">
        <is>
          <t>LEKSAND</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38617-2024</t>
        </is>
      </c>
      <c r="B1076" s="1" t="n">
        <v>45546</v>
      </c>
      <c r="C1076" s="1" t="n">
        <v>45765</v>
      </c>
      <c r="D1076" t="inlineStr">
        <is>
          <t>DALARNAS LÄN</t>
        </is>
      </c>
      <c r="E1076" t="inlineStr">
        <is>
          <t>LEKSAND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39416-2024</t>
        </is>
      </c>
      <c r="B1077" s="1" t="n">
        <v>45551</v>
      </c>
      <c r="C1077" s="1" t="n">
        <v>45765</v>
      </c>
      <c r="D1077" t="inlineStr">
        <is>
          <t>DALARNAS LÄN</t>
        </is>
      </c>
      <c r="E1077" t="inlineStr">
        <is>
          <t>LEKSAND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39518-2024</t>
        </is>
      </c>
      <c r="B1078" s="1" t="n">
        <v>45551</v>
      </c>
      <c r="C1078" s="1" t="n">
        <v>45765</v>
      </c>
      <c r="D1078" t="inlineStr">
        <is>
          <t>DALARNAS LÄN</t>
        </is>
      </c>
      <c r="E1078" t="inlineStr">
        <is>
          <t>LEKSAND</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39620-2024</t>
        </is>
      </c>
      <c r="B1079" s="1" t="n">
        <v>45552</v>
      </c>
      <c r="C1079" s="1" t="n">
        <v>45765</v>
      </c>
      <c r="D1079" t="inlineStr">
        <is>
          <t>DALARNAS LÄN</t>
        </is>
      </c>
      <c r="E1079" t="inlineStr">
        <is>
          <t>LEKSAND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39819-2024</t>
        </is>
      </c>
      <c r="B1080" s="1" t="n">
        <v>45553</v>
      </c>
      <c r="C1080" s="1" t="n">
        <v>45765</v>
      </c>
      <c r="D1080" t="inlineStr">
        <is>
          <t>DALARNAS LÄN</t>
        </is>
      </c>
      <c r="E1080" t="inlineStr">
        <is>
          <t>LEKSAND</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39807-2024</t>
        </is>
      </c>
      <c r="B1081" s="1" t="n">
        <v>45553</v>
      </c>
      <c r="C1081" s="1" t="n">
        <v>45765</v>
      </c>
      <c r="D1081" t="inlineStr">
        <is>
          <t>DALARNAS LÄN</t>
        </is>
      </c>
      <c r="E1081" t="inlineStr">
        <is>
          <t>LEKSAND</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40007-2024</t>
        </is>
      </c>
      <c r="B1082" s="1" t="n">
        <v>45553</v>
      </c>
      <c r="C1082" s="1" t="n">
        <v>45765</v>
      </c>
      <c r="D1082" t="inlineStr">
        <is>
          <t>DALARNAS LÄN</t>
        </is>
      </c>
      <c r="E1082" t="inlineStr">
        <is>
          <t>LEKSAND</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40009-2024</t>
        </is>
      </c>
      <c r="B1083" s="1" t="n">
        <v>45553</v>
      </c>
      <c r="C1083" s="1" t="n">
        <v>45765</v>
      </c>
      <c r="D1083" t="inlineStr">
        <is>
          <t>DALARNAS LÄN</t>
        </is>
      </c>
      <c r="E1083" t="inlineStr">
        <is>
          <t>LEKSAND</t>
        </is>
      </c>
      <c r="F1083" t="inlineStr">
        <is>
          <t>Bergvik skog väst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40193-2024</t>
        </is>
      </c>
      <c r="B1084" s="1" t="n">
        <v>45554</v>
      </c>
      <c r="C1084" s="1" t="n">
        <v>45765</v>
      </c>
      <c r="D1084" t="inlineStr">
        <is>
          <t>DALARNAS LÄN</t>
        </is>
      </c>
      <c r="E1084" t="inlineStr">
        <is>
          <t>LEKSAND</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40523-2024</t>
        </is>
      </c>
      <c r="B1085" s="1" t="n">
        <v>45555</v>
      </c>
      <c r="C1085" s="1" t="n">
        <v>45765</v>
      </c>
      <c r="D1085" t="inlineStr">
        <is>
          <t>DALARNAS LÄN</t>
        </is>
      </c>
      <c r="E1085" t="inlineStr">
        <is>
          <t>LEKSAND</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40755-2024</t>
        </is>
      </c>
      <c r="B1086" s="1" t="n">
        <v>45558</v>
      </c>
      <c r="C1086" s="1" t="n">
        <v>45765</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40746-2024</t>
        </is>
      </c>
      <c r="B1087" s="1" t="n">
        <v>45558</v>
      </c>
      <c r="C1087" s="1" t="n">
        <v>45765</v>
      </c>
      <c r="D1087" t="inlineStr">
        <is>
          <t>DALARNAS LÄN</t>
        </is>
      </c>
      <c r="E1087" t="inlineStr">
        <is>
          <t>LEKSAND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40864-2024</t>
        </is>
      </c>
      <c r="B1088" s="1" t="n">
        <v>45558</v>
      </c>
      <c r="C1088" s="1" t="n">
        <v>45765</v>
      </c>
      <c r="D1088" t="inlineStr">
        <is>
          <t>DALARNAS LÄN</t>
        </is>
      </c>
      <c r="E1088" t="inlineStr">
        <is>
          <t>LEKSAND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40868-2024</t>
        </is>
      </c>
      <c r="B1089" s="1" t="n">
        <v>45558</v>
      </c>
      <c r="C1089" s="1" t="n">
        <v>45765</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40752-2024</t>
        </is>
      </c>
      <c r="B1090" s="1" t="n">
        <v>45558</v>
      </c>
      <c r="C1090" s="1" t="n">
        <v>45765</v>
      </c>
      <c r="D1090" t="inlineStr">
        <is>
          <t>DALARNAS LÄN</t>
        </is>
      </c>
      <c r="E1090" t="inlineStr">
        <is>
          <t>LEKSAND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41015-2024</t>
        </is>
      </c>
      <c r="B1091" s="1" t="n">
        <v>45559</v>
      </c>
      <c r="C1091" s="1" t="n">
        <v>45765</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41169-2024</t>
        </is>
      </c>
      <c r="B1092" s="1" t="n">
        <v>45559</v>
      </c>
      <c r="C1092" s="1" t="n">
        <v>45765</v>
      </c>
      <c r="D1092" t="inlineStr">
        <is>
          <t>DALARNAS LÄN</t>
        </is>
      </c>
      <c r="E1092" t="inlineStr">
        <is>
          <t>LEKSAND</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41046-2024</t>
        </is>
      </c>
      <c r="B1093" s="1" t="n">
        <v>45559</v>
      </c>
      <c r="C1093" s="1" t="n">
        <v>45765</v>
      </c>
      <c r="D1093" t="inlineStr">
        <is>
          <t>DALARNAS LÄN</t>
        </is>
      </c>
      <c r="E1093" t="inlineStr">
        <is>
          <t>LEKSAND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41306-2024</t>
        </is>
      </c>
      <c r="B1094" s="1" t="n">
        <v>45559</v>
      </c>
      <c r="C1094" s="1" t="n">
        <v>45765</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41840-2024</t>
        </is>
      </c>
      <c r="B1095" s="1" t="n">
        <v>45561</v>
      </c>
      <c r="C1095" s="1" t="n">
        <v>45765</v>
      </c>
      <c r="D1095" t="inlineStr">
        <is>
          <t>DALARNAS LÄN</t>
        </is>
      </c>
      <c r="E1095" t="inlineStr">
        <is>
          <t>LEKSAND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41896-2024</t>
        </is>
      </c>
      <c r="B1096" s="1" t="n">
        <v>45561</v>
      </c>
      <c r="C1096" s="1" t="n">
        <v>45765</v>
      </c>
      <c r="D1096" t="inlineStr">
        <is>
          <t>DALARNAS LÄN</t>
        </is>
      </c>
      <c r="E1096" t="inlineStr">
        <is>
          <t>LEKSAND</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41997-2024</t>
        </is>
      </c>
      <c r="B1097" s="1" t="n">
        <v>45561</v>
      </c>
      <c r="C1097" s="1" t="n">
        <v>45765</v>
      </c>
      <c r="D1097" t="inlineStr">
        <is>
          <t>DALARNAS LÄN</t>
        </is>
      </c>
      <c r="E1097" t="inlineStr">
        <is>
          <t>LEKSAND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42029-2024</t>
        </is>
      </c>
      <c r="B1098" s="1" t="n">
        <v>45561</v>
      </c>
      <c r="C1098" s="1" t="n">
        <v>45765</v>
      </c>
      <c r="D1098" t="inlineStr">
        <is>
          <t>DALARNAS LÄN</t>
        </is>
      </c>
      <c r="E1098" t="inlineStr">
        <is>
          <t>LEKSAND</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42125-2024</t>
        </is>
      </c>
      <c r="B1099" s="1" t="n">
        <v>45562</v>
      </c>
      <c r="C1099" s="1" t="n">
        <v>45765</v>
      </c>
      <c r="D1099" t="inlineStr">
        <is>
          <t>DALARNAS LÄN</t>
        </is>
      </c>
      <c r="E1099" t="inlineStr">
        <is>
          <t>LEKSAND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42808-2024</t>
        </is>
      </c>
      <c r="B1100" s="1" t="n">
        <v>45566</v>
      </c>
      <c r="C1100" s="1" t="n">
        <v>45765</v>
      </c>
      <c r="D1100" t="inlineStr">
        <is>
          <t>DALARNAS LÄN</t>
        </is>
      </c>
      <c r="E1100" t="inlineStr">
        <is>
          <t>LEKSAND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42727-2024</t>
        </is>
      </c>
      <c r="B1101" s="1" t="n">
        <v>45566</v>
      </c>
      <c r="C1101" s="1" t="n">
        <v>45765</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43142-2024</t>
        </is>
      </c>
      <c r="B1102" s="1" t="n">
        <v>45567</v>
      </c>
      <c r="C1102" s="1" t="n">
        <v>45765</v>
      </c>
      <c r="D1102" t="inlineStr">
        <is>
          <t>DALARNAS LÄN</t>
        </is>
      </c>
      <c r="E1102" t="inlineStr">
        <is>
          <t>LEKSAND</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43232-2024</t>
        </is>
      </c>
      <c r="B1103" s="1" t="n">
        <v>45567</v>
      </c>
      <c r="C1103" s="1" t="n">
        <v>45765</v>
      </c>
      <c r="D1103" t="inlineStr">
        <is>
          <t>DALARNAS LÄN</t>
        </is>
      </c>
      <c r="E1103" t="inlineStr">
        <is>
          <t>LEKSAND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43220-2024</t>
        </is>
      </c>
      <c r="B1104" s="1" t="n">
        <v>45567</v>
      </c>
      <c r="C1104" s="1" t="n">
        <v>45765</v>
      </c>
      <c r="D1104" t="inlineStr">
        <is>
          <t>DALARNAS LÄN</t>
        </is>
      </c>
      <c r="E1104" t="inlineStr">
        <is>
          <t>LEKSAND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43222-2024</t>
        </is>
      </c>
      <c r="B1105" s="1" t="n">
        <v>45567</v>
      </c>
      <c r="C1105" s="1" t="n">
        <v>45765</v>
      </c>
      <c r="D1105" t="inlineStr">
        <is>
          <t>DALARNAS LÄN</t>
        </is>
      </c>
      <c r="E1105" t="inlineStr">
        <is>
          <t>LEKSAND</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43233-2024</t>
        </is>
      </c>
      <c r="B1106" s="1" t="n">
        <v>45567</v>
      </c>
      <c r="C1106" s="1" t="n">
        <v>45765</v>
      </c>
      <c r="D1106" t="inlineStr">
        <is>
          <t>DALARNAS LÄN</t>
        </is>
      </c>
      <c r="E1106" t="inlineStr">
        <is>
          <t>LEKSAND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43237-2024</t>
        </is>
      </c>
      <c r="B1107" s="1" t="n">
        <v>45568</v>
      </c>
      <c r="C1107" s="1" t="n">
        <v>45765</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43221-2024</t>
        </is>
      </c>
      <c r="B1108" s="1" t="n">
        <v>45567</v>
      </c>
      <c r="C1108" s="1" t="n">
        <v>45765</v>
      </c>
      <c r="D1108" t="inlineStr">
        <is>
          <t>DALARNAS LÄN</t>
        </is>
      </c>
      <c r="E1108" t="inlineStr">
        <is>
          <t>LEKSAND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43231-2024</t>
        </is>
      </c>
      <c r="B1109" s="1" t="n">
        <v>45567</v>
      </c>
      <c r="C1109" s="1" t="n">
        <v>45765</v>
      </c>
      <c r="D1109" t="inlineStr">
        <is>
          <t>DALARNAS LÄN</t>
        </is>
      </c>
      <c r="E1109" t="inlineStr">
        <is>
          <t>LEKSAND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43234-2024</t>
        </is>
      </c>
      <c r="B1110" s="1" t="n">
        <v>45568</v>
      </c>
      <c r="C1110" s="1" t="n">
        <v>45765</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43077-2024</t>
        </is>
      </c>
      <c r="B1111" s="1" t="n">
        <v>45567</v>
      </c>
      <c r="C1111" s="1" t="n">
        <v>45765</v>
      </c>
      <c r="D1111" t="inlineStr">
        <is>
          <t>DALARNAS LÄN</t>
        </is>
      </c>
      <c r="E1111" t="inlineStr">
        <is>
          <t>LEKSAND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43419-2024</t>
        </is>
      </c>
      <c r="B1112" s="1" t="n">
        <v>45568</v>
      </c>
      <c r="C1112" s="1" t="n">
        <v>45765</v>
      </c>
      <c r="D1112" t="inlineStr">
        <is>
          <t>DALARNAS LÄN</t>
        </is>
      </c>
      <c r="E1112" t="inlineStr">
        <is>
          <t>LEKSAND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43412-2024</t>
        </is>
      </c>
      <c r="B1113" s="1" t="n">
        <v>45568</v>
      </c>
      <c r="C1113" s="1" t="n">
        <v>45765</v>
      </c>
      <c r="D1113" t="inlineStr">
        <is>
          <t>DALARNAS LÄN</t>
        </is>
      </c>
      <c r="E1113" t="inlineStr">
        <is>
          <t>LEKSAND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43470-2024</t>
        </is>
      </c>
      <c r="B1114" s="1" t="n">
        <v>45568</v>
      </c>
      <c r="C1114" s="1" t="n">
        <v>45765</v>
      </c>
      <c r="D1114" t="inlineStr">
        <is>
          <t>DALARNAS LÄN</t>
        </is>
      </c>
      <c r="E1114" t="inlineStr">
        <is>
          <t>LEKSAND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43331-2024</t>
        </is>
      </c>
      <c r="B1115" s="1" t="n">
        <v>45568</v>
      </c>
      <c r="C1115" s="1" t="n">
        <v>45765</v>
      </c>
      <c r="D1115" t="inlineStr">
        <is>
          <t>DALARNAS LÄN</t>
        </is>
      </c>
      <c r="E1115" t="inlineStr">
        <is>
          <t>LEKSAND</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43832-2024</t>
        </is>
      </c>
      <c r="B1116" s="1" t="n">
        <v>45569</v>
      </c>
      <c r="C1116" s="1" t="n">
        <v>45765</v>
      </c>
      <c r="D1116" t="inlineStr">
        <is>
          <t>DALARNAS LÄN</t>
        </is>
      </c>
      <c r="E1116" t="inlineStr">
        <is>
          <t>LEKSAND</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44469-2024</t>
        </is>
      </c>
      <c r="B1117" s="1" t="n">
        <v>45574</v>
      </c>
      <c r="C1117" s="1" t="n">
        <v>45765</v>
      </c>
      <c r="D1117" t="inlineStr">
        <is>
          <t>DALARNAS LÄN</t>
        </is>
      </c>
      <c r="E1117" t="inlineStr">
        <is>
          <t>LEKSAND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44822-2024</t>
        </is>
      </c>
      <c r="B1118" s="1" t="n">
        <v>45574</v>
      </c>
      <c r="C1118" s="1" t="n">
        <v>45765</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45455-2024</t>
        </is>
      </c>
      <c r="B1119" s="1" t="n">
        <v>45576</v>
      </c>
      <c r="C1119" s="1" t="n">
        <v>45765</v>
      </c>
      <c r="D1119" t="inlineStr">
        <is>
          <t>DALARNAS LÄN</t>
        </is>
      </c>
      <c r="E1119" t="inlineStr">
        <is>
          <t>LEKSAND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45760-2024</t>
        </is>
      </c>
      <c r="B1120" s="1" t="n">
        <v>45579</v>
      </c>
      <c r="C1120" s="1" t="n">
        <v>45765</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46076-2024</t>
        </is>
      </c>
      <c r="B1121" s="1" t="n">
        <v>45581</v>
      </c>
      <c r="C1121" s="1" t="n">
        <v>45765</v>
      </c>
      <c r="D1121" t="inlineStr">
        <is>
          <t>DALARNAS LÄN</t>
        </is>
      </c>
      <c r="E1121" t="inlineStr">
        <is>
          <t>LEKSAND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46359-2024</t>
        </is>
      </c>
      <c r="B1122" s="1" t="n">
        <v>45582</v>
      </c>
      <c r="C1122" s="1" t="n">
        <v>45765</v>
      </c>
      <c r="D1122" t="inlineStr">
        <is>
          <t>DALARNAS LÄN</t>
        </is>
      </c>
      <c r="E1122" t="inlineStr">
        <is>
          <t>LEKSAND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46628-2024</t>
        </is>
      </c>
      <c r="B1123" s="1" t="n">
        <v>45583</v>
      </c>
      <c r="C1123" s="1" t="n">
        <v>45765</v>
      </c>
      <c r="D1123" t="inlineStr">
        <is>
          <t>DALARNAS LÄN</t>
        </is>
      </c>
      <c r="E1123" t="inlineStr">
        <is>
          <t>LEKSAND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46653-2024</t>
        </is>
      </c>
      <c r="B1124" s="1" t="n">
        <v>45583</v>
      </c>
      <c r="C1124" s="1" t="n">
        <v>45765</v>
      </c>
      <c r="D1124" t="inlineStr">
        <is>
          <t>DALARNAS LÄN</t>
        </is>
      </c>
      <c r="E1124" t="inlineStr">
        <is>
          <t>LEKSAND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47272-2024</t>
        </is>
      </c>
      <c r="B1125" s="1" t="n">
        <v>45586</v>
      </c>
      <c r="C1125" s="1" t="n">
        <v>45765</v>
      </c>
      <c r="D1125" t="inlineStr">
        <is>
          <t>DALARNAS LÄN</t>
        </is>
      </c>
      <c r="E1125" t="inlineStr">
        <is>
          <t>LEKSAND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47503-2024</t>
        </is>
      </c>
      <c r="B1126" s="1" t="n">
        <v>45587</v>
      </c>
      <c r="C1126" s="1" t="n">
        <v>45765</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47640-2024</t>
        </is>
      </c>
      <c r="B1127" s="1" t="n">
        <v>45588</v>
      </c>
      <c r="C1127" s="1" t="n">
        <v>45765</v>
      </c>
      <c r="D1127" t="inlineStr">
        <is>
          <t>DALARNAS LÄN</t>
        </is>
      </c>
      <c r="E1127" t="inlineStr">
        <is>
          <t>LEKSAND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47913-2024</t>
        </is>
      </c>
      <c r="B1128" s="1" t="n">
        <v>45589</v>
      </c>
      <c r="C1128" s="1" t="n">
        <v>45765</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48501-2024</t>
        </is>
      </c>
      <c r="B1129" s="1" t="n">
        <v>45592</v>
      </c>
      <c r="C1129" s="1" t="n">
        <v>45765</v>
      </c>
      <c r="D1129" t="inlineStr">
        <is>
          <t>DALARNAS LÄN</t>
        </is>
      </c>
      <c r="E1129" t="inlineStr">
        <is>
          <t>LEKSAND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48677-2024</t>
        </is>
      </c>
      <c r="B1130" s="1" t="n">
        <v>45593</v>
      </c>
      <c r="C1130" s="1" t="n">
        <v>45765</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48857-2024</t>
        </is>
      </c>
      <c r="B1131" s="1" t="n">
        <v>45593</v>
      </c>
      <c r="C1131" s="1" t="n">
        <v>45765</v>
      </c>
      <c r="D1131" t="inlineStr">
        <is>
          <t>DALARNAS LÄN</t>
        </is>
      </c>
      <c r="E1131" t="inlineStr">
        <is>
          <t>LEKSAND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49068-2024</t>
        </is>
      </c>
      <c r="B1132" s="1" t="n">
        <v>45594</v>
      </c>
      <c r="C1132" s="1" t="n">
        <v>45765</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48902-2024</t>
        </is>
      </c>
      <c r="B1133" s="1" t="n">
        <v>45594</v>
      </c>
      <c r="C1133" s="1" t="n">
        <v>45765</v>
      </c>
      <c r="D1133" t="inlineStr">
        <is>
          <t>DALARNAS LÄN</t>
        </is>
      </c>
      <c r="E1133" t="inlineStr">
        <is>
          <t>LEKSAND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49397-2024</t>
        </is>
      </c>
      <c r="B1134" s="1" t="n">
        <v>45595</v>
      </c>
      <c r="C1134" s="1" t="n">
        <v>45765</v>
      </c>
      <c r="D1134" t="inlineStr">
        <is>
          <t>DALARNAS LÄN</t>
        </is>
      </c>
      <c r="E1134" t="inlineStr">
        <is>
          <t>LEKSAND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49405-2024</t>
        </is>
      </c>
      <c r="B1135" s="1" t="n">
        <v>45595</v>
      </c>
      <c r="C1135" s="1" t="n">
        <v>45765</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49395-2024</t>
        </is>
      </c>
      <c r="B1136" s="1" t="n">
        <v>45595</v>
      </c>
      <c r="C1136" s="1" t="n">
        <v>45765</v>
      </c>
      <c r="D1136" t="inlineStr">
        <is>
          <t>DALARNAS LÄN</t>
        </is>
      </c>
      <c r="E1136" t="inlineStr">
        <is>
          <t>LEKSAND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49553-2024</t>
        </is>
      </c>
      <c r="B1137" s="1" t="n">
        <v>45596</v>
      </c>
      <c r="C1137" s="1" t="n">
        <v>45765</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49499-2024</t>
        </is>
      </c>
      <c r="B1138" s="1" t="n">
        <v>45596</v>
      </c>
      <c r="C1138" s="1" t="n">
        <v>45765</v>
      </c>
      <c r="D1138" t="inlineStr">
        <is>
          <t>DALARNAS LÄN</t>
        </is>
      </c>
      <c r="E1138" t="inlineStr">
        <is>
          <t>LEKSAND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49850-2024</t>
        </is>
      </c>
      <c r="B1139" s="1" t="n">
        <v>45596</v>
      </c>
      <c r="C1139" s="1" t="n">
        <v>45765</v>
      </c>
      <c r="D1139" t="inlineStr">
        <is>
          <t>DALARNAS LÄN</t>
        </is>
      </c>
      <c r="E1139" t="inlineStr">
        <is>
          <t>LEKSAND</t>
        </is>
      </c>
      <c r="F1139" t="inlineStr">
        <is>
          <t>Övriga statliga verk och myndigheter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49506-2024</t>
        </is>
      </c>
      <c r="B1140" s="1" t="n">
        <v>45596</v>
      </c>
      <c r="C1140" s="1" t="n">
        <v>45765</v>
      </c>
      <c r="D1140" t="inlineStr">
        <is>
          <t>DALARNAS LÄN</t>
        </is>
      </c>
      <c r="E1140" t="inlineStr">
        <is>
          <t>LEKSAND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50307-2024</t>
        </is>
      </c>
      <c r="B1141" s="1" t="n">
        <v>45600</v>
      </c>
      <c r="C1141" s="1" t="n">
        <v>45765</v>
      </c>
      <c r="D1141" t="inlineStr">
        <is>
          <t>DALARNAS LÄN</t>
        </is>
      </c>
      <c r="E1141" t="inlineStr">
        <is>
          <t>LEKSAND</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50486-2024</t>
        </is>
      </c>
      <c r="B1142" s="1" t="n">
        <v>45601</v>
      </c>
      <c r="C1142" s="1" t="n">
        <v>45765</v>
      </c>
      <c r="D1142" t="inlineStr">
        <is>
          <t>DALARNAS LÄN</t>
        </is>
      </c>
      <c r="E1142" t="inlineStr">
        <is>
          <t>LEKSAND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51517-2024</t>
        </is>
      </c>
      <c r="B1143" s="1" t="n">
        <v>45603</v>
      </c>
      <c r="C1143" s="1" t="n">
        <v>45765</v>
      </c>
      <c r="D1143" t="inlineStr">
        <is>
          <t>DALARNAS LÄN</t>
        </is>
      </c>
      <c r="E1143" t="inlineStr">
        <is>
          <t>LEKSAND</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51408-2024</t>
        </is>
      </c>
      <c r="B1144" s="1" t="n">
        <v>45604</v>
      </c>
      <c r="C1144" s="1" t="n">
        <v>45765</v>
      </c>
      <c r="D1144" t="inlineStr">
        <is>
          <t>DALARNAS LÄN</t>
        </is>
      </c>
      <c r="E1144" t="inlineStr">
        <is>
          <t>LEKSAND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51677-2024</t>
        </is>
      </c>
      <c r="B1145" s="1" t="n">
        <v>45607</v>
      </c>
      <c r="C1145" s="1" t="n">
        <v>45765</v>
      </c>
      <c r="D1145" t="inlineStr">
        <is>
          <t>DALARNAS LÄN</t>
        </is>
      </c>
      <c r="E1145" t="inlineStr">
        <is>
          <t>LEKSAND</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51860-2024</t>
        </is>
      </c>
      <c r="B1146" s="1" t="n">
        <v>45607</v>
      </c>
      <c r="C1146" s="1" t="n">
        <v>45765</v>
      </c>
      <c r="D1146" t="inlineStr">
        <is>
          <t>DALARNAS LÄN</t>
        </is>
      </c>
      <c r="E1146" t="inlineStr">
        <is>
          <t>LEKSAND</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51907-2024</t>
        </is>
      </c>
      <c r="B1147" s="1" t="n">
        <v>45607</v>
      </c>
      <c r="C1147" s="1" t="n">
        <v>45765</v>
      </c>
      <c r="D1147" t="inlineStr">
        <is>
          <t>DALARNAS LÄN</t>
        </is>
      </c>
      <c r="E1147" t="inlineStr">
        <is>
          <t>LEKSAND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52277-2024</t>
        </is>
      </c>
      <c r="B1148" s="1" t="n">
        <v>45608</v>
      </c>
      <c r="C1148" s="1" t="n">
        <v>45765</v>
      </c>
      <c r="D1148" t="inlineStr">
        <is>
          <t>DALARNAS LÄN</t>
        </is>
      </c>
      <c r="E1148" t="inlineStr">
        <is>
          <t>LEKSAND</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52293-2024</t>
        </is>
      </c>
      <c r="B1149" s="1" t="n">
        <v>45608</v>
      </c>
      <c r="C1149" s="1" t="n">
        <v>45765</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52059-2024</t>
        </is>
      </c>
      <c r="B1150" s="1" t="n">
        <v>45608</v>
      </c>
      <c r="C1150" s="1" t="n">
        <v>45765</v>
      </c>
      <c r="D1150" t="inlineStr">
        <is>
          <t>DALARNAS LÄN</t>
        </is>
      </c>
      <c r="E1150" t="inlineStr">
        <is>
          <t>LEKSAND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52100-2024</t>
        </is>
      </c>
      <c r="B1151" s="1" t="n">
        <v>45608</v>
      </c>
      <c r="C1151" s="1" t="n">
        <v>45765</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52572-2024</t>
        </is>
      </c>
      <c r="B1152" s="1" t="n">
        <v>45609</v>
      </c>
      <c r="C1152" s="1" t="n">
        <v>45765</v>
      </c>
      <c r="D1152" t="inlineStr">
        <is>
          <t>DALARNAS LÄN</t>
        </is>
      </c>
      <c r="E1152" t="inlineStr">
        <is>
          <t>LEKSAND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52755-2024</t>
        </is>
      </c>
      <c r="B1153" s="1" t="n">
        <v>45610</v>
      </c>
      <c r="C1153" s="1" t="n">
        <v>45765</v>
      </c>
      <c r="D1153" t="inlineStr">
        <is>
          <t>DALARNAS LÄN</t>
        </is>
      </c>
      <c r="E1153" t="inlineStr">
        <is>
          <t>LEKSAND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53193-2024</t>
        </is>
      </c>
      <c r="B1154" s="1" t="n">
        <v>45610</v>
      </c>
      <c r="C1154" s="1" t="n">
        <v>45765</v>
      </c>
      <c r="D1154" t="inlineStr">
        <is>
          <t>DALARNAS LÄN</t>
        </is>
      </c>
      <c r="E1154" t="inlineStr">
        <is>
          <t>LEKSAND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53464-2024</t>
        </is>
      </c>
      <c r="B1155" s="1" t="n">
        <v>45611</v>
      </c>
      <c r="C1155" s="1" t="n">
        <v>45765</v>
      </c>
      <c r="D1155" t="inlineStr">
        <is>
          <t>DALARNAS LÄN</t>
        </is>
      </c>
      <c r="E1155" t="inlineStr">
        <is>
          <t>LEKSAND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53662-2024</t>
        </is>
      </c>
      <c r="B1156" s="1" t="n">
        <v>45612</v>
      </c>
      <c r="C1156" s="1" t="n">
        <v>45765</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53319-2024</t>
        </is>
      </c>
      <c r="B1157" s="1" t="n">
        <v>45614</v>
      </c>
      <c r="C1157" s="1" t="n">
        <v>45765</v>
      </c>
      <c r="D1157" t="inlineStr">
        <is>
          <t>DALARNAS LÄN</t>
        </is>
      </c>
      <c r="E1157" t="inlineStr">
        <is>
          <t>LEKSAND</t>
        </is>
      </c>
      <c r="G1157" t="n">
        <v>3.1</v>
      </c>
      <c r="H1157" t="n">
        <v>0</v>
      </c>
      <c r="I1157" t="n">
        <v>0</v>
      </c>
      <c r="J1157" t="n">
        <v>0</v>
      </c>
      <c r="K1157" t="n">
        <v>0</v>
      </c>
      <c r="L1157" t="n">
        <v>0</v>
      </c>
      <c r="M1157" t="n">
        <v>0</v>
      </c>
      <c r="N1157" t="n">
        <v>0</v>
      </c>
      <c r="O1157" t="n">
        <v>0</v>
      </c>
      <c r="P1157" t="n">
        <v>0</v>
      </c>
      <c r="Q1157" t="n">
        <v>0</v>
      </c>
      <c r="R1157" s="2" t="inlineStr"/>
      <c r="U1157">
        <f>HYPERLINK("https://klasma.github.io/Logging_2029/knärot/A 53319-2024 karta knärot.png", "A 53319-2024")</f>
        <v/>
      </c>
      <c r="V1157">
        <f>HYPERLINK("https://klasma.github.io/Logging_2029/klagomål/A 53319-2024 FSC-klagomål.docx", "A 53319-2024")</f>
        <v/>
      </c>
      <c r="W1157">
        <f>HYPERLINK("https://klasma.github.io/Logging_2029/klagomålsmail/A 53319-2024 FSC-klagomål mail.docx", "A 53319-2024")</f>
        <v/>
      </c>
      <c r="X1157">
        <f>HYPERLINK("https://klasma.github.io/Logging_2029/tillsyn/A 53319-2024 tillsynsbegäran.docx", "A 53319-2024")</f>
        <v/>
      </c>
      <c r="Y1157">
        <f>HYPERLINK("https://klasma.github.io/Logging_2029/tillsynsmail/A 53319-2024 tillsynsbegäran mail.docx", "A 53319-2024")</f>
        <v/>
      </c>
    </row>
    <row r="1158" ht="15" customHeight="1">
      <c r="A1158" t="inlineStr">
        <is>
          <t>A 53625-2024</t>
        </is>
      </c>
      <c r="B1158" s="1" t="n">
        <v>45614</v>
      </c>
      <c r="C1158" s="1" t="n">
        <v>45765</v>
      </c>
      <c r="D1158" t="inlineStr">
        <is>
          <t>DALARNAS LÄN</t>
        </is>
      </c>
      <c r="E1158" t="inlineStr">
        <is>
          <t>LEKSAND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53634-2024</t>
        </is>
      </c>
      <c r="B1159" s="1" t="n">
        <v>45614</v>
      </c>
      <c r="C1159" s="1" t="n">
        <v>45765</v>
      </c>
      <c r="D1159" t="inlineStr">
        <is>
          <t>DALARNAS LÄN</t>
        </is>
      </c>
      <c r="E1159" t="inlineStr">
        <is>
          <t>LEKSAND</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53633-2024</t>
        </is>
      </c>
      <c r="B1160" s="1" t="n">
        <v>45614</v>
      </c>
      <c r="C1160" s="1" t="n">
        <v>45765</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53313-2024</t>
        </is>
      </c>
      <c r="B1161" s="1" t="n">
        <v>45614</v>
      </c>
      <c r="C1161" s="1" t="n">
        <v>45765</v>
      </c>
      <c r="D1161" t="inlineStr">
        <is>
          <t>DALARNAS LÄN</t>
        </is>
      </c>
      <c r="E1161" t="inlineStr">
        <is>
          <t>LEKSAND</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53981-2024</t>
        </is>
      </c>
      <c r="B1162" s="1" t="n">
        <v>45615</v>
      </c>
      <c r="C1162" s="1" t="n">
        <v>45765</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53992-2024</t>
        </is>
      </c>
      <c r="B1163" s="1" t="n">
        <v>45616</v>
      </c>
      <c r="C1163" s="1" t="n">
        <v>45765</v>
      </c>
      <c r="D1163" t="inlineStr">
        <is>
          <t>DALARNAS LÄN</t>
        </is>
      </c>
      <c r="E1163" t="inlineStr">
        <is>
          <t>LEKSAND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54917-2024</t>
        </is>
      </c>
      <c r="B1164" s="1" t="n">
        <v>45618</v>
      </c>
      <c r="C1164" s="1" t="n">
        <v>45765</v>
      </c>
      <c r="D1164" t="inlineStr">
        <is>
          <t>DALARNAS LÄN</t>
        </is>
      </c>
      <c r="E1164" t="inlineStr">
        <is>
          <t>LEKSAND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54911-2024</t>
        </is>
      </c>
      <c r="B1165" s="1" t="n">
        <v>45618</v>
      </c>
      <c r="C1165" s="1" t="n">
        <v>45765</v>
      </c>
      <c r="D1165" t="inlineStr">
        <is>
          <t>DALARNAS LÄN</t>
        </is>
      </c>
      <c r="E1165" t="inlineStr">
        <is>
          <t>LEKSAND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54910-2024</t>
        </is>
      </c>
      <c r="B1166" s="1" t="n">
        <v>45618</v>
      </c>
      <c r="C1166" s="1" t="n">
        <v>45765</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54914-2024</t>
        </is>
      </c>
      <c r="B1167" s="1" t="n">
        <v>45618</v>
      </c>
      <c r="C1167" s="1" t="n">
        <v>45765</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55015-2024</t>
        </is>
      </c>
      <c r="B1168" s="1" t="n">
        <v>45621</v>
      </c>
      <c r="C1168" s="1" t="n">
        <v>45765</v>
      </c>
      <c r="D1168" t="inlineStr">
        <is>
          <t>DALARNAS LÄN</t>
        </is>
      </c>
      <c r="E1168" t="inlineStr">
        <is>
          <t>LEKSAND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45765</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55029-2024</t>
        </is>
      </c>
      <c r="B1170" s="1" t="n">
        <v>45621</v>
      </c>
      <c r="C1170" s="1" t="n">
        <v>45765</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55268-2024</t>
        </is>
      </c>
      <c r="B1171" s="1" t="n">
        <v>45621</v>
      </c>
      <c r="C1171" s="1" t="n">
        <v>45765</v>
      </c>
      <c r="D1171" t="inlineStr">
        <is>
          <t>DALARNAS LÄN</t>
        </is>
      </c>
      <c r="E1171" t="inlineStr">
        <is>
          <t>LEKSAND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55516-2024</t>
        </is>
      </c>
      <c r="B1172" s="1" t="n">
        <v>45621</v>
      </c>
      <c r="C1172" s="1" t="n">
        <v>45765</v>
      </c>
      <c r="D1172" t="inlineStr">
        <is>
          <t>DALARNAS LÄN</t>
        </is>
      </c>
      <c r="E1172" t="inlineStr">
        <is>
          <t>LEKSAND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55643-2024</t>
        </is>
      </c>
      <c r="B1173" s="1" t="n">
        <v>45621</v>
      </c>
      <c r="C1173" s="1" t="n">
        <v>45765</v>
      </c>
      <c r="D1173" t="inlineStr">
        <is>
          <t>DALARNAS LÄN</t>
        </is>
      </c>
      <c r="E1173" t="inlineStr">
        <is>
          <t>LEKSAND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55520-2024</t>
        </is>
      </c>
      <c r="B1174" s="1" t="n">
        <v>45621</v>
      </c>
      <c r="C1174" s="1" t="n">
        <v>45765</v>
      </c>
      <c r="D1174" t="inlineStr">
        <is>
          <t>DALARNAS LÄN</t>
        </is>
      </c>
      <c r="E1174" t="inlineStr">
        <is>
          <t>LEKSAND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55706-2024</t>
        </is>
      </c>
      <c r="B1175" s="1" t="n">
        <v>45622</v>
      </c>
      <c r="C1175" s="1" t="n">
        <v>45765</v>
      </c>
      <c r="D1175" t="inlineStr">
        <is>
          <t>DALARNAS LÄN</t>
        </is>
      </c>
      <c r="E1175" t="inlineStr">
        <is>
          <t>LEKSAND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55689-2024</t>
        </is>
      </c>
      <c r="B1176" s="1" t="n">
        <v>45622</v>
      </c>
      <c r="C1176" s="1" t="n">
        <v>45765</v>
      </c>
      <c r="D1176" t="inlineStr">
        <is>
          <t>DALARNAS LÄN</t>
        </is>
      </c>
      <c r="E1176" t="inlineStr">
        <is>
          <t>LEKSAND</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55926-2024</t>
        </is>
      </c>
      <c r="B1177" s="1" t="n">
        <v>45623</v>
      </c>
      <c r="C1177" s="1" t="n">
        <v>45765</v>
      </c>
      <c r="D1177" t="inlineStr">
        <is>
          <t>DALARNAS LÄN</t>
        </is>
      </c>
      <c r="E1177" t="inlineStr">
        <is>
          <t>LEKSAND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56016-2024</t>
        </is>
      </c>
      <c r="B1178" s="1" t="n">
        <v>45623</v>
      </c>
      <c r="C1178" s="1" t="n">
        <v>45765</v>
      </c>
      <c r="D1178" t="inlineStr">
        <is>
          <t>DALARNAS LÄN</t>
        </is>
      </c>
      <c r="E1178" t="inlineStr">
        <is>
          <t>LEKSAND</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56059-2024</t>
        </is>
      </c>
      <c r="B1179" s="1" t="n">
        <v>45624</v>
      </c>
      <c r="C1179" s="1" t="n">
        <v>45765</v>
      </c>
      <c r="D1179" t="inlineStr">
        <is>
          <t>DALARNAS LÄN</t>
        </is>
      </c>
      <c r="E1179" t="inlineStr">
        <is>
          <t>LEKSAND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56283-2024</t>
        </is>
      </c>
      <c r="B1180" s="1" t="n">
        <v>45624</v>
      </c>
      <c r="C1180" s="1" t="n">
        <v>45765</v>
      </c>
      <c r="D1180" t="inlineStr">
        <is>
          <t>DALARNAS LÄN</t>
        </is>
      </c>
      <c r="E1180" t="inlineStr">
        <is>
          <t>LEKSAND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56299-2024</t>
        </is>
      </c>
      <c r="B1181" s="1" t="n">
        <v>45624</v>
      </c>
      <c r="C1181" s="1" t="n">
        <v>45765</v>
      </c>
      <c r="D1181" t="inlineStr">
        <is>
          <t>DALARNAS LÄN</t>
        </is>
      </c>
      <c r="E1181" t="inlineStr">
        <is>
          <t>LEKSAND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56610-2024</t>
        </is>
      </c>
      <c r="B1182" s="1" t="n">
        <v>45625</v>
      </c>
      <c r="C1182" s="1" t="n">
        <v>45765</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45765</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56608-2024</t>
        </is>
      </c>
      <c r="B1184" s="1" t="n">
        <v>45625</v>
      </c>
      <c r="C1184" s="1" t="n">
        <v>45765</v>
      </c>
      <c r="D1184" t="inlineStr">
        <is>
          <t>DALARNAS LÄN</t>
        </is>
      </c>
      <c r="E1184" t="inlineStr">
        <is>
          <t>LEKSAND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56591-2024</t>
        </is>
      </c>
      <c r="B1185" s="1" t="n">
        <v>45625</v>
      </c>
      <c r="C1185" s="1" t="n">
        <v>45765</v>
      </c>
      <c r="D1185" t="inlineStr">
        <is>
          <t>DALARNAS LÄN</t>
        </is>
      </c>
      <c r="E1185" t="inlineStr">
        <is>
          <t>LEKSAND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56641-2024</t>
        </is>
      </c>
      <c r="B1186" s="1" t="n">
        <v>45625</v>
      </c>
      <c r="C1186" s="1" t="n">
        <v>45765</v>
      </c>
      <c r="D1186" t="inlineStr">
        <is>
          <t>DALARNAS LÄN</t>
        </is>
      </c>
      <c r="E1186" t="inlineStr">
        <is>
          <t>LEKSAND</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56943-2024</t>
        </is>
      </c>
      <c r="B1187" s="1" t="n">
        <v>45625</v>
      </c>
      <c r="C1187" s="1" t="n">
        <v>45765</v>
      </c>
      <c r="D1187" t="inlineStr">
        <is>
          <t>DALARNAS LÄN</t>
        </is>
      </c>
      <c r="E1187" t="inlineStr">
        <is>
          <t>LEKSAND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56950-2024</t>
        </is>
      </c>
      <c r="B1188" s="1" t="n">
        <v>45625</v>
      </c>
      <c r="C1188" s="1" t="n">
        <v>45765</v>
      </c>
      <c r="D1188" t="inlineStr">
        <is>
          <t>DALARNAS LÄN</t>
        </is>
      </c>
      <c r="E1188" t="inlineStr">
        <is>
          <t>LEKSAND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56777-2024</t>
        </is>
      </c>
      <c r="B1189" s="1" t="n">
        <v>45628</v>
      </c>
      <c r="C1189" s="1" t="n">
        <v>45765</v>
      </c>
      <c r="D1189" t="inlineStr">
        <is>
          <t>DALARNAS LÄN</t>
        </is>
      </c>
      <c r="E1189" t="inlineStr">
        <is>
          <t>LEKSAND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56749-2024</t>
        </is>
      </c>
      <c r="B1190" s="1" t="n">
        <v>45628</v>
      </c>
      <c r="C1190" s="1" t="n">
        <v>45765</v>
      </c>
      <c r="D1190" t="inlineStr">
        <is>
          <t>DALARNAS LÄN</t>
        </is>
      </c>
      <c r="E1190" t="inlineStr">
        <is>
          <t>LEKSAND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57599-2024</t>
        </is>
      </c>
      <c r="B1191" s="1" t="n">
        <v>45630</v>
      </c>
      <c r="C1191" s="1" t="n">
        <v>45765</v>
      </c>
      <c r="D1191" t="inlineStr">
        <is>
          <t>DALARNAS LÄN</t>
        </is>
      </c>
      <c r="E1191" t="inlineStr">
        <is>
          <t>LEKSAND</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57925-2024</t>
        </is>
      </c>
      <c r="B1192" s="1" t="n">
        <v>45630</v>
      </c>
      <c r="C1192" s="1" t="n">
        <v>45765</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57907-2024</t>
        </is>
      </c>
      <c r="B1193" s="1" t="n">
        <v>45630</v>
      </c>
      <c r="C1193" s="1" t="n">
        <v>45765</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57899-2024</t>
        </is>
      </c>
      <c r="B1194" s="1" t="n">
        <v>45630</v>
      </c>
      <c r="C1194" s="1" t="n">
        <v>45765</v>
      </c>
      <c r="D1194" t="inlineStr">
        <is>
          <t>DALARNAS LÄN</t>
        </is>
      </c>
      <c r="E1194" t="inlineStr">
        <is>
          <t>LEKSAND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57933-2024</t>
        </is>
      </c>
      <c r="B1195" s="1" t="n">
        <v>45630</v>
      </c>
      <c r="C1195" s="1" t="n">
        <v>45765</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58555-2024</t>
        </is>
      </c>
      <c r="B1196" s="1" t="n">
        <v>45635</v>
      </c>
      <c r="C1196" s="1" t="n">
        <v>45765</v>
      </c>
      <c r="D1196" t="inlineStr">
        <is>
          <t>DALARNAS LÄN</t>
        </is>
      </c>
      <c r="E1196" t="inlineStr">
        <is>
          <t>LEKSAND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59103-2024</t>
        </is>
      </c>
      <c r="B1197" s="1" t="n">
        <v>45637</v>
      </c>
      <c r="C1197" s="1" t="n">
        <v>45765</v>
      </c>
      <c r="D1197" t="inlineStr">
        <is>
          <t>DALARNAS LÄN</t>
        </is>
      </c>
      <c r="E1197" t="inlineStr">
        <is>
          <t>LEKSAND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59192-2024</t>
        </is>
      </c>
      <c r="B1198" s="1" t="n">
        <v>45637</v>
      </c>
      <c r="C1198" s="1" t="n">
        <v>45765</v>
      </c>
      <c r="D1198" t="inlineStr">
        <is>
          <t>DALARNAS LÄN</t>
        </is>
      </c>
      <c r="E1198" t="inlineStr">
        <is>
          <t>LEKSAND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59260-2024</t>
        </is>
      </c>
      <c r="B1199" s="1" t="n">
        <v>45637</v>
      </c>
      <c r="C1199" s="1" t="n">
        <v>45765</v>
      </c>
      <c r="D1199" t="inlineStr">
        <is>
          <t>DALARNAS LÄN</t>
        </is>
      </c>
      <c r="E1199" t="inlineStr">
        <is>
          <t>LEKSAND</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59199-2024</t>
        </is>
      </c>
      <c r="B1200" s="1" t="n">
        <v>45637</v>
      </c>
      <c r="C1200" s="1" t="n">
        <v>45765</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59236-2024</t>
        </is>
      </c>
      <c r="B1201" s="1" t="n">
        <v>45637</v>
      </c>
      <c r="C1201" s="1" t="n">
        <v>45765</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59266-2024</t>
        </is>
      </c>
      <c r="B1202" s="1" t="n">
        <v>45637</v>
      </c>
      <c r="C1202" s="1" t="n">
        <v>45765</v>
      </c>
      <c r="D1202" t="inlineStr">
        <is>
          <t>DALARNAS LÄN</t>
        </is>
      </c>
      <c r="E1202" t="inlineStr">
        <is>
          <t>LEKSAND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59840-2024</t>
        </is>
      </c>
      <c r="B1203" s="1" t="n">
        <v>45638</v>
      </c>
      <c r="C1203" s="1" t="n">
        <v>45765</v>
      </c>
      <c r="D1203" t="inlineStr">
        <is>
          <t>DALARNAS LÄN</t>
        </is>
      </c>
      <c r="E1203" t="inlineStr">
        <is>
          <t>LEKSAND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59751-2024</t>
        </is>
      </c>
      <c r="B1204" s="1" t="n">
        <v>45638</v>
      </c>
      <c r="C1204" s="1" t="n">
        <v>45765</v>
      </c>
      <c r="D1204" t="inlineStr">
        <is>
          <t>DALARNAS LÄN</t>
        </is>
      </c>
      <c r="E1204" t="inlineStr">
        <is>
          <t>LEKSAND</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60544-2024</t>
        </is>
      </c>
      <c r="B1205" s="1" t="n">
        <v>45643</v>
      </c>
      <c r="C1205" s="1" t="n">
        <v>45765</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60552-2024</t>
        </is>
      </c>
      <c r="B1206" s="1" t="n">
        <v>45643</v>
      </c>
      <c r="C1206" s="1" t="n">
        <v>45765</v>
      </c>
      <c r="D1206" t="inlineStr">
        <is>
          <t>DALARNAS LÄN</t>
        </is>
      </c>
      <c r="E1206" t="inlineStr">
        <is>
          <t>LEKSAND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60489-2024</t>
        </is>
      </c>
      <c r="B1207" s="1" t="n">
        <v>45643</v>
      </c>
      <c r="C1207" s="1" t="n">
        <v>45765</v>
      </c>
      <c r="D1207" t="inlineStr">
        <is>
          <t>DALARNAS LÄN</t>
        </is>
      </c>
      <c r="E1207" t="inlineStr">
        <is>
          <t>LEKSAND</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60906-2024</t>
        </is>
      </c>
      <c r="B1208" s="1" t="n">
        <v>45645</v>
      </c>
      <c r="C1208" s="1" t="n">
        <v>45765</v>
      </c>
      <c r="D1208" t="inlineStr">
        <is>
          <t>DALARNAS LÄN</t>
        </is>
      </c>
      <c r="E1208" t="inlineStr">
        <is>
          <t>LEKSAND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60945-2024</t>
        </is>
      </c>
      <c r="B1209" s="1" t="n">
        <v>45645</v>
      </c>
      <c r="C1209" s="1" t="n">
        <v>45765</v>
      </c>
      <c r="D1209" t="inlineStr">
        <is>
          <t>DALARNAS LÄN</t>
        </is>
      </c>
      <c r="E1209" t="inlineStr">
        <is>
          <t>LEKSAND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60993-2024</t>
        </is>
      </c>
      <c r="B1210" s="1" t="n">
        <v>45645</v>
      </c>
      <c r="C1210" s="1" t="n">
        <v>45765</v>
      </c>
      <c r="D1210" t="inlineStr">
        <is>
          <t>DALARNAS LÄN</t>
        </is>
      </c>
      <c r="E1210" t="inlineStr">
        <is>
          <t>LEKSAND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60986-2024</t>
        </is>
      </c>
      <c r="B1211" s="1" t="n">
        <v>45645</v>
      </c>
      <c r="C1211" s="1" t="n">
        <v>45765</v>
      </c>
      <c r="D1211" t="inlineStr">
        <is>
          <t>DALARNAS LÄN</t>
        </is>
      </c>
      <c r="E1211" t="inlineStr">
        <is>
          <t>LEKSAND</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61554-2024</t>
        </is>
      </c>
      <c r="B1212" s="1" t="n">
        <v>45646</v>
      </c>
      <c r="C1212" s="1" t="n">
        <v>45765</v>
      </c>
      <c r="D1212" t="inlineStr">
        <is>
          <t>DALARNAS LÄN</t>
        </is>
      </c>
      <c r="E1212" t="inlineStr">
        <is>
          <t>LEKSAND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61573-2024</t>
        </is>
      </c>
      <c r="B1213" s="1" t="n">
        <v>45646</v>
      </c>
      <c r="C1213" s="1" t="n">
        <v>45765</v>
      </c>
      <c r="D1213" t="inlineStr">
        <is>
          <t>DALARNAS LÄN</t>
        </is>
      </c>
      <c r="E1213" t="inlineStr">
        <is>
          <t>LEKSAND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62116-2024</t>
        </is>
      </c>
      <c r="B1214" s="1" t="n">
        <v>45646</v>
      </c>
      <c r="C1214" s="1" t="n">
        <v>45765</v>
      </c>
      <c r="D1214" t="inlineStr">
        <is>
          <t>DALARNAS LÄN</t>
        </is>
      </c>
      <c r="E1214" t="inlineStr">
        <is>
          <t>LEKSAND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61680-2024</t>
        </is>
      </c>
      <c r="B1215" s="1" t="n">
        <v>45647</v>
      </c>
      <c r="C1215" s="1" t="n">
        <v>45765</v>
      </c>
      <c r="D1215" t="inlineStr">
        <is>
          <t>DALARNAS LÄN</t>
        </is>
      </c>
      <c r="E1215" t="inlineStr">
        <is>
          <t>LEKSAND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61714-2024</t>
        </is>
      </c>
      <c r="B1216" s="1" t="n">
        <v>45648</v>
      </c>
      <c r="C1216" s="1" t="n">
        <v>45765</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62130-2024</t>
        </is>
      </c>
      <c r="B1217" s="1" t="n">
        <v>45656</v>
      </c>
      <c r="C1217" s="1" t="n">
        <v>45765</v>
      </c>
      <c r="D1217" t="inlineStr">
        <is>
          <t>DALARNAS LÄN</t>
        </is>
      </c>
      <c r="E1217" t="inlineStr">
        <is>
          <t>LEKSAND</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62161-2024</t>
        </is>
      </c>
      <c r="B1218" s="1" t="n">
        <v>45656</v>
      </c>
      <c r="C1218" s="1" t="n">
        <v>45765</v>
      </c>
      <c r="D1218" t="inlineStr">
        <is>
          <t>DALARNAS LÄN</t>
        </is>
      </c>
      <c r="E1218" t="inlineStr">
        <is>
          <t>LEKSAND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377-2025</t>
        </is>
      </c>
      <c r="B1219" s="1" t="n">
        <v>45662</v>
      </c>
      <c r="C1219" s="1" t="n">
        <v>45765</v>
      </c>
      <c r="D1219" t="inlineStr">
        <is>
          <t>DALARNAS LÄN</t>
        </is>
      </c>
      <c r="E1219" t="inlineStr">
        <is>
          <t>LEKSAND</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471-2025</t>
        </is>
      </c>
      <c r="B1220" s="1" t="n">
        <v>45664</v>
      </c>
      <c r="C1220" s="1" t="n">
        <v>45765</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1182-2025</t>
        </is>
      </c>
      <c r="B1221" s="1" t="n">
        <v>45667</v>
      </c>
      <c r="C1221" s="1" t="n">
        <v>45765</v>
      </c>
      <c r="D1221" t="inlineStr">
        <is>
          <t>DALARNAS LÄN</t>
        </is>
      </c>
      <c r="E1221" t="inlineStr">
        <is>
          <t>LEKSAND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1267-2025</t>
        </is>
      </c>
      <c r="B1222" s="1" t="n">
        <v>45667</v>
      </c>
      <c r="C1222" s="1" t="n">
        <v>45765</v>
      </c>
      <c r="D1222" t="inlineStr">
        <is>
          <t>DALARNAS LÄN</t>
        </is>
      </c>
      <c r="E1222" t="inlineStr">
        <is>
          <t>LEKSAND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1984-2025</t>
        </is>
      </c>
      <c r="B1223" s="1" t="n">
        <v>45670</v>
      </c>
      <c r="C1223" s="1" t="n">
        <v>45765</v>
      </c>
      <c r="D1223" t="inlineStr">
        <is>
          <t>DALARNAS LÄN</t>
        </is>
      </c>
      <c r="E1223" t="inlineStr">
        <is>
          <t>LEKSAND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1983-2025</t>
        </is>
      </c>
      <c r="B1224" s="1" t="n">
        <v>45670</v>
      </c>
      <c r="C1224" s="1" t="n">
        <v>45765</v>
      </c>
      <c r="D1224" t="inlineStr">
        <is>
          <t>DALARNAS LÄN</t>
        </is>
      </c>
      <c r="E1224" t="inlineStr">
        <is>
          <t>LEKSAND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2447-2025</t>
        </is>
      </c>
      <c r="B1225" s="1" t="n">
        <v>45674</v>
      </c>
      <c r="C1225" s="1" t="n">
        <v>45765</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2401-2025</t>
        </is>
      </c>
      <c r="B1226" s="1" t="n">
        <v>45674</v>
      </c>
      <c r="C1226" s="1" t="n">
        <v>45765</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2630-2025</t>
        </is>
      </c>
      <c r="B1227" s="1" t="n">
        <v>45675</v>
      </c>
      <c r="C1227" s="1" t="n">
        <v>45765</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2694-2025</t>
        </is>
      </c>
      <c r="B1228" s="1" t="n">
        <v>45677</v>
      </c>
      <c r="C1228" s="1" t="n">
        <v>45765</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3309-2025</t>
        </is>
      </c>
      <c r="B1229" s="1" t="n">
        <v>45679</v>
      </c>
      <c r="C1229" s="1" t="n">
        <v>45765</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3183-2025</t>
        </is>
      </c>
      <c r="B1230" s="1" t="n">
        <v>45679</v>
      </c>
      <c r="C1230" s="1" t="n">
        <v>45765</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3198-2025</t>
        </is>
      </c>
      <c r="B1231" s="1" t="n">
        <v>45679</v>
      </c>
      <c r="C1231" s="1" t="n">
        <v>45765</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3201-2025</t>
        </is>
      </c>
      <c r="B1232" s="1" t="n">
        <v>45679</v>
      </c>
      <c r="C1232" s="1" t="n">
        <v>45765</v>
      </c>
      <c r="D1232" t="inlineStr">
        <is>
          <t>DALARNAS LÄN</t>
        </is>
      </c>
      <c r="E1232" t="inlineStr">
        <is>
          <t>LEKSAND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3500-2025</t>
        </is>
      </c>
      <c r="B1233" s="1" t="n">
        <v>45680</v>
      </c>
      <c r="C1233" s="1" t="n">
        <v>45765</v>
      </c>
      <c r="D1233" t="inlineStr">
        <is>
          <t>DALARNAS LÄN</t>
        </is>
      </c>
      <c r="E1233" t="inlineStr">
        <is>
          <t>LEKSAND</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4794-2025</t>
        </is>
      </c>
      <c r="B1234" s="1" t="n">
        <v>45688</v>
      </c>
      <c r="C1234" s="1" t="n">
        <v>45765</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4974-2025</t>
        </is>
      </c>
      <c r="B1235" s="1" t="n">
        <v>45690</v>
      </c>
      <c r="C1235" s="1" t="n">
        <v>45765</v>
      </c>
      <c r="D1235" t="inlineStr">
        <is>
          <t>DALARNAS LÄN</t>
        </is>
      </c>
      <c r="E1235" t="inlineStr">
        <is>
          <t>LEKSAND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5453-2025</t>
        </is>
      </c>
      <c r="B1236" s="1" t="n">
        <v>45692</v>
      </c>
      <c r="C1236" s="1" t="n">
        <v>45765</v>
      </c>
      <c r="D1236" t="inlineStr">
        <is>
          <t>DALARNAS LÄN</t>
        </is>
      </c>
      <c r="E1236" t="inlineStr">
        <is>
          <t>LEKSAND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5873-2025</t>
        </is>
      </c>
      <c r="B1237" s="1" t="n">
        <v>45695</v>
      </c>
      <c r="C1237" s="1" t="n">
        <v>45765</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6030-2025</t>
        </is>
      </c>
      <c r="B1238" s="1" t="n">
        <v>45695</v>
      </c>
      <c r="C1238" s="1" t="n">
        <v>45765</v>
      </c>
      <c r="D1238" t="inlineStr">
        <is>
          <t>DALARNAS LÄN</t>
        </is>
      </c>
      <c r="E1238" t="inlineStr">
        <is>
          <t>LEKSAND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6027-2025</t>
        </is>
      </c>
      <c r="B1239" s="1" t="n">
        <v>45695</v>
      </c>
      <c r="C1239" s="1" t="n">
        <v>45765</v>
      </c>
      <c r="D1239" t="inlineStr">
        <is>
          <t>DALARNAS LÄN</t>
        </is>
      </c>
      <c r="E1239" t="inlineStr">
        <is>
          <t>LEKSAND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5847-2025</t>
        </is>
      </c>
      <c r="B1240" s="1" t="n">
        <v>45695</v>
      </c>
      <c r="C1240" s="1" t="n">
        <v>45765</v>
      </c>
      <c r="D1240" t="inlineStr">
        <is>
          <t>DALARNAS LÄN</t>
        </is>
      </c>
      <c r="E1240" t="inlineStr">
        <is>
          <t>LEKSAND</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6519-2025</t>
        </is>
      </c>
      <c r="B1241" s="1" t="n">
        <v>45699</v>
      </c>
      <c r="C1241" s="1" t="n">
        <v>45765</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6778-2025</t>
        </is>
      </c>
      <c r="B1242" s="1" t="n">
        <v>45700</v>
      </c>
      <c r="C1242" s="1" t="n">
        <v>45765</v>
      </c>
      <c r="D1242" t="inlineStr">
        <is>
          <t>DALARNAS LÄN</t>
        </is>
      </c>
      <c r="E1242" t="inlineStr">
        <is>
          <t>LEKSAND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7602-2025</t>
        </is>
      </c>
      <c r="B1243" s="1" t="n">
        <v>45705</v>
      </c>
      <c r="C1243" s="1" t="n">
        <v>45765</v>
      </c>
      <c r="D1243" t="inlineStr">
        <is>
          <t>DALARNAS LÄN</t>
        </is>
      </c>
      <c r="E1243" t="inlineStr">
        <is>
          <t>LEKSAND</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7395-2025</t>
        </is>
      </c>
      <c r="B1244" s="1" t="n">
        <v>45705</v>
      </c>
      <c r="C1244" s="1" t="n">
        <v>45765</v>
      </c>
      <c r="D1244" t="inlineStr">
        <is>
          <t>DALARNAS LÄN</t>
        </is>
      </c>
      <c r="E1244" t="inlineStr">
        <is>
          <t>LEKSAND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7653-2025</t>
        </is>
      </c>
      <c r="B1245" s="1" t="n">
        <v>45705</v>
      </c>
      <c r="C1245" s="1" t="n">
        <v>45765</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7759-2025</t>
        </is>
      </c>
      <c r="B1246" s="1" t="n">
        <v>45706</v>
      </c>
      <c r="C1246" s="1" t="n">
        <v>45765</v>
      </c>
      <c r="D1246" t="inlineStr">
        <is>
          <t>DALARNAS LÄN</t>
        </is>
      </c>
      <c r="E1246" t="inlineStr">
        <is>
          <t>LEKSAND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7778-2025</t>
        </is>
      </c>
      <c r="B1247" s="1" t="n">
        <v>45706</v>
      </c>
      <c r="C1247" s="1" t="n">
        <v>45765</v>
      </c>
      <c r="D1247" t="inlineStr">
        <is>
          <t>DALARNAS LÄN</t>
        </is>
      </c>
      <c r="E1247" t="inlineStr">
        <is>
          <t>LEKSAND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7894-2025</t>
        </is>
      </c>
      <c r="B1248" s="1" t="n">
        <v>45707</v>
      </c>
      <c r="C1248" s="1" t="n">
        <v>45765</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7897-2025</t>
        </is>
      </c>
      <c r="B1249" s="1" t="n">
        <v>45707</v>
      </c>
      <c r="C1249" s="1" t="n">
        <v>45765</v>
      </c>
      <c r="D1249" t="inlineStr">
        <is>
          <t>DALARNAS LÄN</t>
        </is>
      </c>
      <c r="E1249" t="inlineStr">
        <is>
          <t>LEKSAND</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9857-2025</t>
        </is>
      </c>
      <c r="B1250" s="1" t="n">
        <v>45716</v>
      </c>
      <c r="C1250" s="1" t="n">
        <v>45765</v>
      </c>
      <c r="D1250" t="inlineStr">
        <is>
          <t>DALARNAS LÄN</t>
        </is>
      </c>
      <c r="E1250" t="inlineStr">
        <is>
          <t>LEKSAND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11277-2025</t>
        </is>
      </c>
      <c r="B1251" s="1" t="n">
        <v>45726</v>
      </c>
      <c r="C1251" s="1" t="n">
        <v>45765</v>
      </c>
      <c r="D1251" t="inlineStr">
        <is>
          <t>DALARNAS LÄN</t>
        </is>
      </c>
      <c r="E1251" t="inlineStr">
        <is>
          <t>LEKSAND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45765</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11712-2025</t>
        </is>
      </c>
      <c r="B1253" s="1" t="n">
        <v>45727</v>
      </c>
      <c r="C1253" s="1" t="n">
        <v>45765</v>
      </c>
      <c r="D1253" t="inlineStr">
        <is>
          <t>DALARNAS LÄN</t>
        </is>
      </c>
      <c r="E1253" t="inlineStr">
        <is>
          <t>LEKSAND</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11740-2025</t>
        </is>
      </c>
      <c r="B1254" s="1" t="n">
        <v>45727</v>
      </c>
      <c r="C1254" s="1" t="n">
        <v>45765</v>
      </c>
      <c r="D1254" t="inlineStr">
        <is>
          <t>DALARNAS LÄN</t>
        </is>
      </c>
      <c r="E1254" t="inlineStr">
        <is>
          <t>LEKSAND</t>
        </is>
      </c>
      <c r="F1254" t="inlineStr">
        <is>
          <t>Övriga Aktiebolag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11958-2025</t>
        </is>
      </c>
      <c r="B1255" s="1" t="n">
        <v>45728</v>
      </c>
      <c r="C1255" s="1" t="n">
        <v>45765</v>
      </c>
      <c r="D1255" t="inlineStr">
        <is>
          <t>DALARNAS LÄN</t>
        </is>
      </c>
      <c r="E1255" t="inlineStr">
        <is>
          <t>LEKSAND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45765</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12581-2025</t>
        </is>
      </c>
      <c r="B1257" s="1" t="n">
        <v>45732</v>
      </c>
      <c r="C1257" s="1" t="n">
        <v>45765</v>
      </c>
      <c r="D1257" t="inlineStr">
        <is>
          <t>DALARNAS LÄN</t>
        </is>
      </c>
      <c r="E1257" t="inlineStr">
        <is>
          <t>LEKSAND</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12583-2025</t>
        </is>
      </c>
      <c r="B1258" s="1" t="n">
        <v>45732</v>
      </c>
      <c r="C1258" s="1" t="n">
        <v>45765</v>
      </c>
      <c r="D1258" t="inlineStr">
        <is>
          <t>DALARNAS LÄN</t>
        </is>
      </c>
      <c r="E1258" t="inlineStr">
        <is>
          <t>LEKSAND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45765</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45765</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12620-2025</t>
        </is>
      </c>
      <c r="B1261" s="1" t="n">
        <v>45733</v>
      </c>
      <c r="C1261" s="1" t="n">
        <v>45765</v>
      </c>
      <c r="D1261" t="inlineStr">
        <is>
          <t>DALARNAS LÄN</t>
        </is>
      </c>
      <c r="E1261" t="inlineStr">
        <is>
          <t>LEKSAND</t>
        </is>
      </c>
      <c r="F1261" t="inlineStr">
        <is>
          <t>Bergvik skog väst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12621-2025</t>
        </is>
      </c>
      <c r="B1262" s="1" t="n">
        <v>45733</v>
      </c>
      <c r="C1262" s="1" t="n">
        <v>45765</v>
      </c>
      <c r="D1262" t="inlineStr">
        <is>
          <t>DALARNAS LÄN</t>
        </is>
      </c>
      <c r="E1262" t="inlineStr">
        <is>
          <t>LEKSAND</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12923-2025</t>
        </is>
      </c>
      <c r="B1263" s="1" t="n">
        <v>45734</v>
      </c>
      <c r="C1263" s="1" t="n">
        <v>45765</v>
      </c>
      <c r="D1263" t="inlineStr">
        <is>
          <t>DALARNAS LÄN</t>
        </is>
      </c>
      <c r="E1263" t="inlineStr">
        <is>
          <t>LEKSAND</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13384-2025</t>
        </is>
      </c>
      <c r="B1264" s="1" t="n">
        <v>45735</v>
      </c>
      <c r="C1264" s="1" t="n">
        <v>45765</v>
      </c>
      <c r="D1264" t="inlineStr">
        <is>
          <t>DALARNAS LÄN</t>
        </is>
      </c>
      <c r="E1264" t="inlineStr">
        <is>
          <t>LEKSAND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14504-2025</t>
        </is>
      </c>
      <c r="B1265" s="1" t="n">
        <v>45741</v>
      </c>
      <c r="C1265" s="1" t="n">
        <v>45765</v>
      </c>
      <c r="D1265" t="inlineStr">
        <is>
          <t>DALARNAS LÄN</t>
        </is>
      </c>
      <c r="E1265" t="inlineStr">
        <is>
          <t>LEKSAND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14797-2025</t>
        </is>
      </c>
      <c r="B1266" s="1" t="n">
        <v>45742</v>
      </c>
      <c r="C1266" s="1" t="n">
        <v>45765</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14865-2025</t>
        </is>
      </c>
      <c r="B1267" s="1" t="n">
        <v>45743</v>
      </c>
      <c r="C1267" s="1" t="n">
        <v>45765</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45765</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15173-2025</t>
        </is>
      </c>
      <c r="B1269" s="1" t="n">
        <v>45744</v>
      </c>
      <c r="C1269" s="1" t="n">
        <v>45765</v>
      </c>
      <c r="D1269" t="inlineStr">
        <is>
          <t>DALARNAS LÄN</t>
        </is>
      </c>
      <c r="E1269" t="inlineStr">
        <is>
          <t>LEKSAND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15377-2025</t>
        </is>
      </c>
      <c r="B1270" s="1" t="n">
        <v>45747</v>
      </c>
      <c r="C1270" s="1" t="n">
        <v>45765</v>
      </c>
      <c r="D1270" t="inlineStr">
        <is>
          <t>DALARNAS LÄN</t>
        </is>
      </c>
      <c r="E1270" t="inlineStr">
        <is>
          <t>LEKSAND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45765</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45765</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45765</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45765</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45765</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45765</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45765</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45765</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45765</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45765</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45765</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17483-2025</t>
        </is>
      </c>
      <c r="B1282" s="1" t="n">
        <v>45757</v>
      </c>
      <c r="C1282" s="1" t="n">
        <v>45765</v>
      </c>
      <c r="D1282" t="inlineStr">
        <is>
          <t>DALARNAS LÄN</t>
        </is>
      </c>
      <c r="E1282" t="inlineStr">
        <is>
          <t>LEKSAND</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45765</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45765</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c r="A1285" t="inlineStr">
        <is>
          <t>A 18107-2025</t>
        </is>
      </c>
      <c r="B1285" s="1" t="n">
        <v>45761</v>
      </c>
      <c r="C1285" s="1" t="n">
        <v>45765</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2025-04-18T16:39:02Z</dcterms:created>
  <dcterms:modified xmlns:dcterms="http://purl.org/dc/terms/" xmlns:xsi="http://www.w3.org/2001/XMLSchema-instance" xsi:type="dcterms:W3CDTF">2025-04-18T16:39:03Z</dcterms:modified>
</cp:coreProperties>
</file>