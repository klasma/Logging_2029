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45995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45995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45995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45995</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45995</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45995</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45995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45995</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45995</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45995</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45995</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45995</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45995</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45995</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55519-2021</t>
        </is>
      </c>
      <c r="B24" s="1" t="n">
        <v>44475</v>
      </c>
      <c r="C24" s="1" t="n">
        <v>45995</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45995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45995</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45995</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45995</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45995</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45995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53633-2024</t>
        </is>
      </c>
      <c r="B31" s="1" t="n">
        <v>45614.83726851852</v>
      </c>
      <c r="C31" s="1" t="n">
        <v>45995</v>
      </c>
      <c r="D31" t="inlineStr">
        <is>
          <t>DALARNAS LÄN</t>
        </is>
      </c>
      <c r="E31" t="inlineStr">
        <is>
          <t>LEKSAND</t>
        </is>
      </c>
      <c r="G31" t="n">
        <v>1.6</v>
      </c>
      <c r="H31" t="n">
        <v>1</v>
      </c>
      <c r="I31" t="n">
        <v>0</v>
      </c>
      <c r="J31" t="n">
        <v>1</v>
      </c>
      <c r="K31" t="n">
        <v>0</v>
      </c>
      <c r="L31" t="n">
        <v>0</v>
      </c>
      <c r="M31" t="n">
        <v>0</v>
      </c>
      <c r="N31" t="n">
        <v>0</v>
      </c>
      <c r="O31" t="n">
        <v>1</v>
      </c>
      <c r="P31" t="n">
        <v>0</v>
      </c>
      <c r="Q31" t="n">
        <v>1</v>
      </c>
      <c r="R31" s="2" t="inlineStr">
        <is>
          <t>Tretåig hackspett</t>
        </is>
      </c>
      <c r="S31">
        <f>HYPERLINK("https://klasma.github.io/Logging_2029/artfynd/A 53633-2024 artfynd.xlsx", "A 53633-2024")</f>
        <v/>
      </c>
      <c r="T31">
        <f>HYPERLINK("https://klasma.github.io/Logging_2029/kartor/A 53633-2024 karta.png", "A 53633-2024")</f>
        <v/>
      </c>
      <c r="V31">
        <f>HYPERLINK("https://klasma.github.io/Logging_2029/klagomål/A 53633-2024 FSC-klagomål.docx", "A 53633-2024")</f>
        <v/>
      </c>
      <c r="W31">
        <f>HYPERLINK("https://klasma.github.io/Logging_2029/klagomålsmail/A 53633-2024 FSC-klagomål mail.docx", "A 53633-2024")</f>
        <v/>
      </c>
      <c r="X31">
        <f>HYPERLINK("https://klasma.github.io/Logging_2029/tillsyn/A 53633-2024 tillsynsbegäran.docx", "A 53633-2024")</f>
        <v/>
      </c>
      <c r="Y31">
        <f>HYPERLINK("https://klasma.github.io/Logging_2029/tillsynsmail/A 53633-2024 tillsynsbegäran mail.docx", "A 53633-2024")</f>
        <v/>
      </c>
      <c r="Z31">
        <f>HYPERLINK("https://klasma.github.io/Logging_2029/fåglar/A 53633-2024 prioriterade fågelarter.docx", "A 53633-2024")</f>
        <v/>
      </c>
    </row>
    <row r="32" ht="15" customHeight="1">
      <c r="A32" t="inlineStr">
        <is>
          <t>A 41873-2022</t>
        </is>
      </c>
      <c r="B32" s="1" t="n">
        <v>44829</v>
      </c>
      <c r="C32" s="1" t="n">
        <v>45995</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45995</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16333-2023</t>
        </is>
      </c>
      <c r="B34" s="1" t="n">
        <v>45028</v>
      </c>
      <c r="C34" s="1" t="n">
        <v>45995</v>
      </c>
      <c r="D34" t="inlineStr">
        <is>
          <t>DALARNAS LÄN</t>
        </is>
      </c>
      <c r="E34" t="inlineStr">
        <is>
          <t>LEKSAND</t>
        </is>
      </c>
      <c r="G34" t="n">
        <v>1.5</v>
      </c>
      <c r="H34" t="n">
        <v>0</v>
      </c>
      <c r="I34" t="n">
        <v>1</v>
      </c>
      <c r="J34" t="n">
        <v>0</v>
      </c>
      <c r="K34" t="n">
        <v>0</v>
      </c>
      <c r="L34" t="n">
        <v>0</v>
      </c>
      <c r="M34" t="n">
        <v>0</v>
      </c>
      <c r="N34" t="n">
        <v>0</v>
      </c>
      <c r="O34" t="n">
        <v>0</v>
      </c>
      <c r="P34" t="n">
        <v>0</v>
      </c>
      <c r="Q34" t="n">
        <v>1</v>
      </c>
      <c r="R34" s="2" t="inlineStr">
        <is>
          <t>Läderskål</t>
        </is>
      </c>
      <c r="S34">
        <f>HYPERLINK("https://klasma.github.io/Logging_2029/artfynd/A 16333-2023 artfynd.xlsx", "A 16333-2023")</f>
        <v/>
      </c>
      <c r="T34">
        <f>HYPERLINK("https://klasma.github.io/Logging_2029/kartor/A 16333-2023 karta.png", "A 16333-2023")</f>
        <v/>
      </c>
      <c r="V34">
        <f>HYPERLINK("https://klasma.github.io/Logging_2029/klagomål/A 16333-2023 FSC-klagomål.docx", "A 16333-2023")</f>
        <v/>
      </c>
      <c r="W34">
        <f>HYPERLINK("https://klasma.github.io/Logging_2029/klagomålsmail/A 16333-2023 FSC-klagomål mail.docx", "A 16333-2023")</f>
        <v/>
      </c>
      <c r="X34">
        <f>HYPERLINK("https://klasma.github.io/Logging_2029/tillsyn/A 16333-2023 tillsynsbegäran.docx", "A 16333-2023")</f>
        <v/>
      </c>
      <c r="Y34">
        <f>HYPERLINK("https://klasma.github.io/Logging_2029/tillsynsmail/A 16333-2023 tillsynsbegäran mail.docx", "A 16333-2023")</f>
        <v/>
      </c>
    </row>
    <row r="35" ht="15" customHeight="1">
      <c r="A35" t="inlineStr">
        <is>
          <t>A 26287-2023</t>
        </is>
      </c>
      <c r="B35" s="1" t="n">
        <v>45091</v>
      </c>
      <c r="C35" s="1" t="n">
        <v>45995</v>
      </c>
      <c r="D35" t="inlineStr">
        <is>
          <t>DALARNAS LÄN</t>
        </is>
      </c>
      <c r="E35" t="inlineStr">
        <is>
          <t>LEKSAND</t>
        </is>
      </c>
      <c r="G35" t="n">
        <v>2.4</v>
      </c>
      <c r="H35" t="n">
        <v>0</v>
      </c>
      <c r="I35" t="n">
        <v>1</v>
      </c>
      <c r="J35" t="n">
        <v>0</v>
      </c>
      <c r="K35" t="n">
        <v>0</v>
      </c>
      <c r="L35" t="n">
        <v>0</v>
      </c>
      <c r="M35" t="n">
        <v>0</v>
      </c>
      <c r="N35" t="n">
        <v>0</v>
      </c>
      <c r="O35" t="n">
        <v>0</v>
      </c>
      <c r="P35" t="n">
        <v>0</v>
      </c>
      <c r="Q35" t="n">
        <v>1</v>
      </c>
      <c r="R35" s="2" t="inlineStr">
        <is>
          <t>Mindre märgborre</t>
        </is>
      </c>
      <c r="S35">
        <f>HYPERLINK("https://klasma.github.io/Logging_2029/artfynd/A 26287-2023 artfynd.xlsx", "A 26287-2023")</f>
        <v/>
      </c>
      <c r="T35">
        <f>HYPERLINK("https://klasma.github.io/Logging_2029/kartor/A 26287-2023 karta.png", "A 26287-2023")</f>
        <v/>
      </c>
      <c r="V35">
        <f>HYPERLINK("https://klasma.github.io/Logging_2029/klagomål/A 26287-2023 FSC-klagomål.docx", "A 26287-2023")</f>
        <v/>
      </c>
      <c r="W35">
        <f>HYPERLINK("https://klasma.github.io/Logging_2029/klagomålsmail/A 26287-2023 FSC-klagomål mail.docx", "A 26287-2023")</f>
        <v/>
      </c>
      <c r="X35">
        <f>HYPERLINK("https://klasma.github.io/Logging_2029/tillsyn/A 26287-2023 tillsynsbegäran.docx", "A 26287-2023")</f>
        <v/>
      </c>
      <c r="Y35">
        <f>HYPERLINK("https://klasma.github.io/Logging_2029/tillsynsmail/A 26287-2023 tillsynsbegäran mail.docx", "A 26287-2023")</f>
        <v/>
      </c>
    </row>
    <row r="36" ht="15" customHeight="1">
      <c r="A36" t="inlineStr">
        <is>
          <t>A 164-2024</t>
        </is>
      </c>
      <c r="B36" s="1" t="n">
        <v>45294.49954861111</v>
      </c>
      <c r="C36" s="1" t="n">
        <v>45995</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16735-2025</t>
        </is>
      </c>
      <c r="B37" s="1" t="n">
        <v>45754.54314814815</v>
      </c>
      <c r="C37" s="1" t="n">
        <v>45995</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11218-2023</t>
        </is>
      </c>
      <c r="B38" s="1" t="n">
        <v>44992.62401620371</v>
      </c>
      <c r="C38" s="1" t="n">
        <v>45995</v>
      </c>
      <c r="D38" t="inlineStr">
        <is>
          <t>DALARNAS LÄN</t>
        </is>
      </c>
      <c r="E38" t="inlineStr">
        <is>
          <t>LEKSAND</t>
        </is>
      </c>
      <c r="G38" t="n">
        <v>2.6</v>
      </c>
      <c r="H38" t="n">
        <v>1</v>
      </c>
      <c r="I38" t="n">
        <v>0</v>
      </c>
      <c r="J38" t="n">
        <v>0</v>
      </c>
      <c r="K38" t="n">
        <v>1</v>
      </c>
      <c r="L38" t="n">
        <v>0</v>
      </c>
      <c r="M38" t="n">
        <v>0</v>
      </c>
      <c r="N38" t="n">
        <v>0</v>
      </c>
      <c r="O38" t="n">
        <v>1</v>
      </c>
      <c r="P38" t="n">
        <v>1</v>
      </c>
      <c r="Q38" t="n">
        <v>1</v>
      </c>
      <c r="R38" s="2" t="inlineStr">
        <is>
          <t>Knärot</t>
        </is>
      </c>
      <c r="S38">
        <f>HYPERLINK("https://klasma.github.io/Logging_2029/artfynd/A 11218-2023 artfynd.xlsx", "A 11218-2023")</f>
        <v/>
      </c>
      <c r="T38">
        <f>HYPERLINK("https://klasma.github.io/Logging_2029/kartor/A 11218-2023 karta.png", "A 11218-2023")</f>
        <v/>
      </c>
      <c r="U38">
        <f>HYPERLINK("https://klasma.github.io/Logging_2029/knärot/A 11218-2023 karta knärot.png", "A 11218-2023")</f>
        <v/>
      </c>
      <c r="V38">
        <f>HYPERLINK("https://klasma.github.io/Logging_2029/klagomål/A 11218-2023 FSC-klagomål.docx", "A 11218-2023")</f>
        <v/>
      </c>
      <c r="W38">
        <f>HYPERLINK("https://klasma.github.io/Logging_2029/klagomålsmail/A 11218-2023 FSC-klagomål mail.docx", "A 11218-2023")</f>
        <v/>
      </c>
      <c r="X38">
        <f>HYPERLINK("https://klasma.github.io/Logging_2029/tillsyn/A 11218-2023 tillsynsbegäran.docx", "A 11218-2023")</f>
        <v/>
      </c>
      <c r="Y38">
        <f>HYPERLINK("https://klasma.github.io/Logging_2029/tillsynsmail/A 11218-2023 tillsynsbegäran mail.docx", "A 11218-2023")</f>
        <v/>
      </c>
    </row>
    <row r="39" ht="15" customHeight="1">
      <c r="A39" t="inlineStr">
        <is>
          <t>A 45375-2025</t>
        </is>
      </c>
      <c r="B39" s="1" t="n">
        <v>45922.39347222223</v>
      </c>
      <c r="C39" s="1" t="n">
        <v>45995</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23137-2022</t>
        </is>
      </c>
      <c r="B40" s="1" t="n">
        <v>44719</v>
      </c>
      <c r="C40" s="1" t="n">
        <v>45995</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47601-2025</t>
        </is>
      </c>
      <c r="B41" s="1" t="n">
        <v>45931.46008101852</v>
      </c>
      <c r="C41" s="1" t="n">
        <v>45995</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31124-2024</t>
        </is>
      </c>
      <c r="B42" s="1" t="n">
        <v>45502.62886574074</v>
      </c>
      <c r="C42" s="1" t="n">
        <v>45995</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45995</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45995</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59205-2023</t>
        </is>
      </c>
      <c r="B45" s="1" t="n">
        <v>45251</v>
      </c>
      <c r="C45" s="1" t="n">
        <v>45995</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36778-2025</t>
        </is>
      </c>
      <c r="B46" s="1" t="n">
        <v>45873</v>
      </c>
      <c r="C46" s="1" t="n">
        <v>45995</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31951-2025</t>
        </is>
      </c>
      <c r="B47" s="1" t="n">
        <v>45835.33481481481</v>
      </c>
      <c r="C47" s="1" t="n">
        <v>45995</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6029-2025</t>
        </is>
      </c>
      <c r="B48" s="1" t="n">
        <v>45695</v>
      </c>
      <c r="C48" s="1" t="n">
        <v>45995</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34993-2025</t>
        </is>
      </c>
      <c r="B49" s="1" t="n">
        <v>45849.82383101852</v>
      </c>
      <c r="C49" s="1" t="n">
        <v>45995</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45995</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45995</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45995</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45995</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32476-2022</t>
        </is>
      </c>
      <c r="B54" s="1" t="n">
        <v>44782.60024305555</v>
      </c>
      <c r="C54" s="1" t="n">
        <v>45995</v>
      </c>
      <c r="D54" t="inlineStr">
        <is>
          <t>DALARNAS LÄN</t>
        </is>
      </c>
      <c r="E54" t="inlineStr">
        <is>
          <t>LEKSAND</t>
        </is>
      </c>
      <c r="G54" t="n">
        <v>5.6</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45995</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45995</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45995</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45995</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64876-2020</t>
        </is>
      </c>
      <c r="B59" s="1" t="n">
        <v>44171</v>
      </c>
      <c r="C59" s="1" t="n">
        <v>45995</v>
      </c>
      <c r="D59" t="inlineStr">
        <is>
          <t>DALARNAS LÄN</t>
        </is>
      </c>
      <c r="E59" t="inlineStr">
        <is>
          <t>LEKSAND</t>
        </is>
      </c>
      <c r="G59" t="n">
        <v>2.1</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45995</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45995</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45995</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45995</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45995</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45995</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45995</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45995</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45995</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45995</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45995</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45995</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45995</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45995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45995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45995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45995</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45995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45995</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45995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45995</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45995</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45995</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45995</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45995</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45995</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40165-2022</t>
        </is>
      </c>
      <c r="B86" s="1" t="n">
        <v>44820.56857638889</v>
      </c>
      <c r="C86" s="1" t="n">
        <v>45995</v>
      </c>
      <c r="D86" t="inlineStr">
        <is>
          <t>DALARNAS LÄN</t>
        </is>
      </c>
      <c r="E86" t="inlineStr">
        <is>
          <t>LEKSAND</t>
        </is>
      </c>
      <c r="G86" t="n">
        <v>1.9</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45995</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45995</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45995</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67307-2020</t>
        </is>
      </c>
      <c r="B90" s="1" t="n">
        <v>44181</v>
      </c>
      <c r="C90" s="1" t="n">
        <v>45995</v>
      </c>
      <c r="D90" t="inlineStr">
        <is>
          <t>DALARNAS LÄN</t>
        </is>
      </c>
      <c r="E90" t="inlineStr">
        <is>
          <t>LEKSAND</t>
        </is>
      </c>
      <c r="G90" t="n">
        <v>5.9</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45995</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70026-2021</t>
        </is>
      </c>
      <c r="B92" s="1" t="n">
        <v>44533</v>
      </c>
      <c r="C92" s="1" t="n">
        <v>45995</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36956-2021</t>
        </is>
      </c>
      <c r="B93" s="1" t="n">
        <v>44393.55643518519</v>
      </c>
      <c r="C93" s="1" t="n">
        <v>45995</v>
      </c>
      <c r="D93" t="inlineStr">
        <is>
          <t>DALARNAS LÄN</t>
        </is>
      </c>
      <c r="E93" t="inlineStr">
        <is>
          <t>LEKSAND</t>
        </is>
      </c>
      <c r="G93" t="n">
        <v>4.1</v>
      </c>
      <c r="H93" t="n">
        <v>0</v>
      </c>
      <c r="I93" t="n">
        <v>0</v>
      </c>
      <c r="J93" t="n">
        <v>0</v>
      </c>
      <c r="K93" t="n">
        <v>0</v>
      </c>
      <c r="L93" t="n">
        <v>0</v>
      </c>
      <c r="M93" t="n">
        <v>0</v>
      </c>
      <c r="N93" t="n">
        <v>0</v>
      </c>
      <c r="O93" t="n">
        <v>0</v>
      </c>
      <c r="P93" t="n">
        <v>0</v>
      </c>
      <c r="Q93" t="n">
        <v>0</v>
      </c>
      <c r="R93" s="2" t="inlineStr"/>
    </row>
    <row r="94" ht="15" customHeight="1">
      <c r="A94" t="inlineStr">
        <is>
          <t>A 43410-2021</t>
        </is>
      </c>
      <c r="B94" s="1" t="n">
        <v>44432.60814814815</v>
      </c>
      <c r="C94" s="1" t="n">
        <v>45995</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72155-2021</t>
        </is>
      </c>
      <c r="B95" s="1" t="n">
        <v>44543</v>
      </c>
      <c r="C95" s="1" t="n">
        <v>45995</v>
      </c>
      <c r="D95" t="inlineStr">
        <is>
          <t>DALARNAS LÄN</t>
        </is>
      </c>
      <c r="E95" t="inlineStr">
        <is>
          <t>LEKSAND</t>
        </is>
      </c>
      <c r="G95" t="n">
        <v>2.5</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45995</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19677-2021</t>
        </is>
      </c>
      <c r="B97" s="1" t="n">
        <v>44312</v>
      </c>
      <c r="C97" s="1" t="n">
        <v>45995</v>
      </c>
      <c r="D97" t="inlineStr">
        <is>
          <t>DALARNAS LÄN</t>
        </is>
      </c>
      <c r="E97" t="inlineStr">
        <is>
          <t>LEKSAND</t>
        </is>
      </c>
      <c r="F97" t="inlineStr">
        <is>
          <t>Bergvik skog väst AB</t>
        </is>
      </c>
      <c r="G97" t="n">
        <v>3.1</v>
      </c>
      <c r="H97" t="n">
        <v>0</v>
      </c>
      <c r="I97" t="n">
        <v>0</v>
      </c>
      <c r="J97" t="n">
        <v>0</v>
      </c>
      <c r="K97" t="n">
        <v>0</v>
      </c>
      <c r="L97" t="n">
        <v>0</v>
      </c>
      <c r="M97" t="n">
        <v>0</v>
      </c>
      <c r="N97" t="n">
        <v>0</v>
      </c>
      <c r="O97" t="n">
        <v>0</v>
      </c>
      <c r="P97" t="n">
        <v>0</v>
      </c>
      <c r="Q97" t="n">
        <v>0</v>
      </c>
      <c r="R97" s="2" t="inlineStr"/>
    </row>
    <row r="98" ht="15" customHeight="1">
      <c r="A98" t="inlineStr">
        <is>
          <t>A 24005-2024</t>
        </is>
      </c>
      <c r="B98" s="1" t="n">
        <v>45456.39239583333</v>
      </c>
      <c r="C98" s="1" t="n">
        <v>45995</v>
      </c>
      <c r="D98" t="inlineStr">
        <is>
          <t>DALARNAS LÄN</t>
        </is>
      </c>
      <c r="E98" t="inlineStr">
        <is>
          <t>LEKSAND</t>
        </is>
      </c>
      <c r="F98" t="inlineStr">
        <is>
          <t>Bergvik skog väst AB</t>
        </is>
      </c>
      <c r="G98" t="n">
        <v>3</v>
      </c>
      <c r="H98" t="n">
        <v>0</v>
      </c>
      <c r="I98" t="n">
        <v>0</v>
      </c>
      <c r="J98" t="n">
        <v>0</v>
      </c>
      <c r="K98" t="n">
        <v>0</v>
      </c>
      <c r="L98" t="n">
        <v>0</v>
      </c>
      <c r="M98" t="n">
        <v>0</v>
      </c>
      <c r="N98" t="n">
        <v>0</v>
      </c>
      <c r="O98" t="n">
        <v>0</v>
      </c>
      <c r="P98" t="n">
        <v>0</v>
      </c>
      <c r="Q98" t="n">
        <v>0</v>
      </c>
      <c r="R98" s="2" t="inlineStr"/>
    </row>
    <row r="99" ht="15" customHeight="1">
      <c r="A99" t="inlineStr">
        <is>
          <t>A 1984-2025</t>
        </is>
      </c>
      <c r="B99" s="1" t="n">
        <v>45670</v>
      </c>
      <c r="C99" s="1" t="n">
        <v>45995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59199-2024</t>
        </is>
      </c>
      <c r="B100" s="1" t="n">
        <v>45637</v>
      </c>
      <c r="C100" s="1" t="n">
        <v>45995</v>
      </c>
      <c r="D100" t="inlineStr">
        <is>
          <t>DALARNAS LÄN</t>
        </is>
      </c>
      <c r="E100" t="inlineStr">
        <is>
          <t>LEKSAND</t>
        </is>
      </c>
      <c r="G100" t="n">
        <v>5.4</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45995</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45995</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45995</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45995</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32635-2021</t>
        </is>
      </c>
      <c r="B105" s="1" t="n">
        <v>44374</v>
      </c>
      <c r="C105" s="1" t="n">
        <v>45995</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33310-2023</t>
        </is>
      </c>
      <c r="B106" s="1" t="n">
        <v>45127.82231481482</v>
      </c>
      <c r="C106" s="1" t="n">
        <v>45995</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57899-2024</t>
        </is>
      </c>
      <c r="B107" s="1" t="n">
        <v>45630</v>
      </c>
      <c r="C107" s="1" t="n">
        <v>45995</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11110-2023</t>
        </is>
      </c>
      <c r="B108" s="1" t="n">
        <v>44992</v>
      </c>
      <c r="C108" s="1" t="n">
        <v>45995</v>
      </c>
      <c r="D108" t="inlineStr">
        <is>
          <t>DALARNAS LÄN</t>
        </is>
      </c>
      <c r="E108" t="inlineStr">
        <is>
          <t>LEKSAND</t>
        </is>
      </c>
      <c r="G108" t="n">
        <v>11.2</v>
      </c>
      <c r="H108" t="n">
        <v>0</v>
      </c>
      <c r="I108" t="n">
        <v>0</v>
      </c>
      <c r="J108" t="n">
        <v>0</v>
      </c>
      <c r="K108" t="n">
        <v>0</v>
      </c>
      <c r="L108" t="n">
        <v>0</v>
      </c>
      <c r="M108" t="n">
        <v>0</v>
      </c>
      <c r="N108" t="n">
        <v>0</v>
      </c>
      <c r="O108" t="n">
        <v>0</v>
      </c>
      <c r="P108" t="n">
        <v>0</v>
      </c>
      <c r="Q108" t="n">
        <v>0</v>
      </c>
      <c r="R108" s="2" t="inlineStr"/>
    </row>
    <row r="109" ht="15" customHeight="1">
      <c r="A109" t="inlineStr">
        <is>
          <t>A 56753-2023</t>
        </is>
      </c>
      <c r="B109" s="1" t="n">
        <v>45244.37094907407</v>
      </c>
      <c r="C109" s="1" t="n">
        <v>45995</v>
      </c>
      <c r="D109" t="inlineStr">
        <is>
          <t>DALARNAS LÄN</t>
        </is>
      </c>
      <c r="E109" t="inlineStr">
        <is>
          <t>LEKSAND</t>
        </is>
      </c>
      <c r="G109" t="n">
        <v>0.5</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45995</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45995</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45995</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45995</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57933-2024</t>
        </is>
      </c>
      <c r="B114" s="1" t="n">
        <v>45630</v>
      </c>
      <c r="C114" s="1" t="n">
        <v>45995</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45995</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45995</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11015-2022</t>
        </is>
      </c>
      <c r="B117" s="1" t="n">
        <v>44628.52340277778</v>
      </c>
      <c r="C117" s="1" t="n">
        <v>45995</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12582-2025</t>
        </is>
      </c>
      <c r="B118" s="1" t="n">
        <v>45732.62988425926</v>
      </c>
      <c r="C118" s="1" t="n">
        <v>45995</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1182-2025</t>
        </is>
      </c>
      <c r="B119" s="1" t="n">
        <v>45667.35712962963</v>
      </c>
      <c r="C119" s="1" t="n">
        <v>45995</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1519-2024</t>
        </is>
      </c>
      <c r="B120" s="1" t="n">
        <v>45306</v>
      </c>
      <c r="C120" s="1" t="n">
        <v>45995</v>
      </c>
      <c r="D120" t="inlineStr">
        <is>
          <t>DALARNAS LÄN</t>
        </is>
      </c>
      <c r="E120" t="inlineStr">
        <is>
          <t>LEKSAND</t>
        </is>
      </c>
      <c r="G120" t="n">
        <v>3.3</v>
      </c>
      <c r="H120" t="n">
        <v>0</v>
      </c>
      <c r="I120" t="n">
        <v>0</v>
      </c>
      <c r="J120" t="n">
        <v>0</v>
      </c>
      <c r="K120" t="n">
        <v>0</v>
      </c>
      <c r="L120" t="n">
        <v>0</v>
      </c>
      <c r="M120" t="n">
        <v>0</v>
      </c>
      <c r="N120" t="n">
        <v>0</v>
      </c>
      <c r="O120" t="n">
        <v>0</v>
      </c>
      <c r="P120" t="n">
        <v>0</v>
      </c>
      <c r="Q120" t="n">
        <v>0</v>
      </c>
      <c r="R120" s="2" t="inlineStr"/>
    </row>
    <row r="121" ht="15" customHeight="1">
      <c r="A121" t="inlineStr">
        <is>
          <t>A 11403-2023</t>
        </is>
      </c>
      <c r="B121" s="1" t="n">
        <v>44993</v>
      </c>
      <c r="C121" s="1" t="n">
        <v>45995</v>
      </c>
      <c r="D121" t="inlineStr">
        <is>
          <t>DALARNAS LÄN</t>
        </is>
      </c>
      <c r="E121" t="inlineStr">
        <is>
          <t>LEKSAND</t>
        </is>
      </c>
      <c r="G121" t="n">
        <v>0.1</v>
      </c>
      <c r="H121" t="n">
        <v>0</v>
      </c>
      <c r="I121" t="n">
        <v>0</v>
      </c>
      <c r="J121" t="n">
        <v>0</v>
      </c>
      <c r="K121" t="n">
        <v>0</v>
      </c>
      <c r="L121" t="n">
        <v>0</v>
      </c>
      <c r="M121" t="n">
        <v>0</v>
      </c>
      <c r="N121" t="n">
        <v>0</v>
      </c>
      <c r="O121" t="n">
        <v>0</v>
      </c>
      <c r="P121" t="n">
        <v>0</v>
      </c>
      <c r="Q121" t="n">
        <v>0</v>
      </c>
      <c r="R121" s="2" t="inlineStr"/>
    </row>
    <row r="122" ht="15" customHeight="1">
      <c r="A122" t="inlineStr">
        <is>
          <t>A 71817-2021</t>
        </is>
      </c>
      <c r="B122" s="1" t="n">
        <v>44543.59780092593</v>
      </c>
      <c r="C122" s="1" t="n">
        <v>45995</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50219-2022</t>
        </is>
      </c>
      <c r="B123" s="1" t="n">
        <v>44865.64244212963</v>
      </c>
      <c r="C123" s="1" t="n">
        <v>45995</v>
      </c>
      <c r="D123" t="inlineStr">
        <is>
          <t>DALARNAS LÄN</t>
        </is>
      </c>
      <c r="E123" t="inlineStr">
        <is>
          <t>LEKSAND</t>
        </is>
      </c>
      <c r="F123" t="inlineStr">
        <is>
          <t>Bergvik skog väst AB</t>
        </is>
      </c>
      <c r="G123" t="n">
        <v>0.8</v>
      </c>
      <c r="H123" t="n">
        <v>0</v>
      </c>
      <c r="I123" t="n">
        <v>0</v>
      </c>
      <c r="J123" t="n">
        <v>0</v>
      </c>
      <c r="K123" t="n">
        <v>0</v>
      </c>
      <c r="L123" t="n">
        <v>0</v>
      </c>
      <c r="M123" t="n">
        <v>0</v>
      </c>
      <c r="N123" t="n">
        <v>0</v>
      </c>
      <c r="O123" t="n">
        <v>0</v>
      </c>
      <c r="P123" t="n">
        <v>0</v>
      </c>
      <c r="Q123" t="n">
        <v>0</v>
      </c>
      <c r="R123" s="2" t="inlineStr"/>
    </row>
    <row r="124" ht="15" customHeight="1">
      <c r="A124" t="inlineStr">
        <is>
          <t>A 22683-2022</t>
        </is>
      </c>
      <c r="B124" s="1" t="n">
        <v>44714</v>
      </c>
      <c r="C124" s="1" t="n">
        <v>45995</v>
      </c>
      <c r="D124" t="inlineStr">
        <is>
          <t>DALARNAS LÄN</t>
        </is>
      </c>
      <c r="E124" t="inlineStr">
        <is>
          <t>LEKSAND</t>
        </is>
      </c>
      <c r="F124" t="inlineStr">
        <is>
          <t>Bergvik skog väst AB</t>
        </is>
      </c>
      <c r="G124" t="n">
        <v>3.4</v>
      </c>
      <c r="H124" t="n">
        <v>0</v>
      </c>
      <c r="I124" t="n">
        <v>0</v>
      </c>
      <c r="J124" t="n">
        <v>0</v>
      </c>
      <c r="K124" t="n">
        <v>0</v>
      </c>
      <c r="L124" t="n">
        <v>0</v>
      </c>
      <c r="M124" t="n">
        <v>0</v>
      </c>
      <c r="N124" t="n">
        <v>0</v>
      </c>
      <c r="O124" t="n">
        <v>0</v>
      </c>
      <c r="P124" t="n">
        <v>0</v>
      </c>
      <c r="Q124" t="n">
        <v>0</v>
      </c>
      <c r="R124" s="2" t="inlineStr"/>
    </row>
    <row r="125" ht="15" customHeight="1">
      <c r="A125" t="inlineStr">
        <is>
          <t>A 52755-2024</t>
        </is>
      </c>
      <c r="B125" s="1" t="n">
        <v>45610.50217592593</v>
      </c>
      <c r="C125" s="1" t="n">
        <v>45995</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30449-2022</t>
        </is>
      </c>
      <c r="B126" s="1" t="n">
        <v>44761.59276620371</v>
      </c>
      <c r="C126" s="1" t="n">
        <v>45995</v>
      </c>
      <c r="D126" t="inlineStr">
        <is>
          <t>DALARNAS LÄN</t>
        </is>
      </c>
      <c r="E126" t="inlineStr">
        <is>
          <t>LEKSAND</t>
        </is>
      </c>
      <c r="G126" t="n">
        <v>5.7</v>
      </c>
      <c r="H126" t="n">
        <v>0</v>
      </c>
      <c r="I126" t="n">
        <v>0</v>
      </c>
      <c r="J126" t="n">
        <v>0</v>
      </c>
      <c r="K126" t="n">
        <v>0</v>
      </c>
      <c r="L126" t="n">
        <v>0</v>
      </c>
      <c r="M126" t="n">
        <v>0</v>
      </c>
      <c r="N126" t="n">
        <v>0</v>
      </c>
      <c r="O126" t="n">
        <v>0</v>
      </c>
      <c r="P126" t="n">
        <v>0</v>
      </c>
      <c r="Q126" t="n">
        <v>0</v>
      </c>
      <c r="R126" s="2" t="inlineStr"/>
    </row>
    <row r="127" ht="15" customHeight="1">
      <c r="A127" t="inlineStr">
        <is>
          <t>A 6846-2023</t>
        </is>
      </c>
      <c r="B127" s="1" t="n">
        <v>44967.43953703704</v>
      </c>
      <c r="C127" s="1" t="n">
        <v>45995</v>
      </c>
      <c r="D127" t="inlineStr">
        <is>
          <t>DALARNAS LÄN</t>
        </is>
      </c>
      <c r="E127" t="inlineStr">
        <is>
          <t>LEKSAND</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26289-2022</t>
        </is>
      </c>
      <c r="B128" s="1" t="n">
        <v>44735</v>
      </c>
      <c r="C128" s="1" t="n">
        <v>45995</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34317-2022</t>
        </is>
      </c>
      <c r="B129" s="1" t="n">
        <v>44792.38814814815</v>
      </c>
      <c r="C129" s="1" t="n">
        <v>45995</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19559-2023</t>
        </is>
      </c>
      <c r="B130" s="1" t="n">
        <v>45050</v>
      </c>
      <c r="C130" s="1" t="n">
        <v>45995</v>
      </c>
      <c r="D130" t="inlineStr">
        <is>
          <t>DALARNAS LÄN</t>
        </is>
      </c>
      <c r="E130" t="inlineStr">
        <is>
          <t>LEKSAND</t>
        </is>
      </c>
      <c r="G130" t="n">
        <v>0.1</v>
      </c>
      <c r="H130" t="n">
        <v>0</v>
      </c>
      <c r="I130" t="n">
        <v>0</v>
      </c>
      <c r="J130" t="n">
        <v>0</v>
      </c>
      <c r="K130" t="n">
        <v>0</v>
      </c>
      <c r="L130" t="n">
        <v>0</v>
      </c>
      <c r="M130" t="n">
        <v>0</v>
      </c>
      <c r="N130" t="n">
        <v>0</v>
      </c>
      <c r="O130" t="n">
        <v>0</v>
      </c>
      <c r="P130" t="n">
        <v>0</v>
      </c>
      <c r="Q130" t="n">
        <v>0</v>
      </c>
      <c r="R130" s="2" t="inlineStr"/>
    </row>
    <row r="131" ht="15" customHeight="1">
      <c r="A131" t="inlineStr">
        <is>
          <t>A 8046-2024</t>
        </is>
      </c>
      <c r="B131" s="1" t="n">
        <v>45351.31555555556</v>
      </c>
      <c r="C131" s="1" t="n">
        <v>45995</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18870-2022</t>
        </is>
      </c>
      <c r="B132" s="1" t="n">
        <v>44690.50725694445</v>
      </c>
      <c r="C132" s="1" t="n">
        <v>45995</v>
      </c>
      <c r="D132" t="inlineStr">
        <is>
          <t>DALARNAS LÄN</t>
        </is>
      </c>
      <c r="E132" t="inlineStr">
        <is>
          <t>LEKSAND</t>
        </is>
      </c>
      <c r="F132" t="inlineStr">
        <is>
          <t>Övriga Aktiebolag</t>
        </is>
      </c>
      <c r="G132" t="n">
        <v>3.1</v>
      </c>
      <c r="H132" t="n">
        <v>0</v>
      </c>
      <c r="I132" t="n">
        <v>0</v>
      </c>
      <c r="J132" t="n">
        <v>0</v>
      </c>
      <c r="K132" t="n">
        <v>0</v>
      </c>
      <c r="L132" t="n">
        <v>0</v>
      </c>
      <c r="M132" t="n">
        <v>0</v>
      </c>
      <c r="N132" t="n">
        <v>0</v>
      </c>
      <c r="O132" t="n">
        <v>0</v>
      </c>
      <c r="P132" t="n">
        <v>0</v>
      </c>
      <c r="Q132" t="n">
        <v>0</v>
      </c>
      <c r="R132" s="2" t="inlineStr"/>
    </row>
    <row r="133" ht="15" customHeight="1">
      <c r="A133" t="inlineStr">
        <is>
          <t>A 14797-2025</t>
        </is>
      </c>
      <c r="B133" s="1" t="n">
        <v>45742.90363425926</v>
      </c>
      <c r="C133" s="1" t="n">
        <v>45995</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32-2024</t>
        </is>
      </c>
      <c r="B134" s="1" t="n">
        <v>45293</v>
      </c>
      <c r="C134" s="1" t="n">
        <v>45995</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18140-2022</t>
        </is>
      </c>
      <c r="B135" s="1" t="n">
        <v>44684.58278935185</v>
      </c>
      <c r="C135" s="1" t="n">
        <v>45995</v>
      </c>
      <c r="D135" t="inlineStr">
        <is>
          <t>DALARNAS LÄN</t>
        </is>
      </c>
      <c r="E135" t="inlineStr">
        <is>
          <t>LEKSAND</t>
        </is>
      </c>
      <c r="F135" t="inlineStr">
        <is>
          <t>Övriga Aktiebolag</t>
        </is>
      </c>
      <c r="G135" t="n">
        <v>0.7</v>
      </c>
      <c r="H135" t="n">
        <v>0</v>
      </c>
      <c r="I135" t="n">
        <v>0</v>
      </c>
      <c r="J135" t="n">
        <v>0</v>
      </c>
      <c r="K135" t="n">
        <v>0</v>
      </c>
      <c r="L135" t="n">
        <v>0</v>
      </c>
      <c r="M135" t="n">
        <v>0</v>
      </c>
      <c r="N135" t="n">
        <v>0</v>
      </c>
      <c r="O135" t="n">
        <v>0</v>
      </c>
      <c r="P135" t="n">
        <v>0</v>
      </c>
      <c r="Q135" t="n">
        <v>0</v>
      </c>
      <c r="R135" s="2" t="inlineStr"/>
    </row>
    <row r="136" ht="15" customHeight="1">
      <c r="A136" t="inlineStr">
        <is>
          <t>A 28128-2022</t>
        </is>
      </c>
      <c r="B136" s="1" t="n">
        <v>44746.50628472222</v>
      </c>
      <c r="C136" s="1" t="n">
        <v>45995</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38001-2023</t>
        </is>
      </c>
      <c r="B137" s="1" t="n">
        <v>45160</v>
      </c>
      <c r="C137" s="1" t="n">
        <v>45995</v>
      </c>
      <c r="D137" t="inlineStr">
        <is>
          <t>DALARNAS LÄN</t>
        </is>
      </c>
      <c r="E137" t="inlineStr">
        <is>
          <t>LEKSAND</t>
        </is>
      </c>
      <c r="G137" t="n">
        <v>3.6</v>
      </c>
      <c r="H137" t="n">
        <v>0</v>
      </c>
      <c r="I137" t="n">
        <v>0</v>
      </c>
      <c r="J137" t="n">
        <v>0</v>
      </c>
      <c r="K137" t="n">
        <v>0</v>
      </c>
      <c r="L137" t="n">
        <v>0</v>
      </c>
      <c r="M137" t="n">
        <v>0</v>
      </c>
      <c r="N137" t="n">
        <v>0</v>
      </c>
      <c r="O137" t="n">
        <v>0</v>
      </c>
      <c r="P137" t="n">
        <v>0</v>
      </c>
      <c r="Q137" t="n">
        <v>0</v>
      </c>
      <c r="R137" s="2" t="inlineStr"/>
    </row>
    <row r="138" ht="15" customHeight="1">
      <c r="A138" t="inlineStr">
        <is>
          <t>A 6030-2025</t>
        </is>
      </c>
      <c r="B138" s="1" t="n">
        <v>45695</v>
      </c>
      <c r="C138" s="1" t="n">
        <v>45995</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53981-2024</t>
        </is>
      </c>
      <c r="B139" s="1" t="n">
        <v>45615</v>
      </c>
      <c r="C139" s="1" t="n">
        <v>45995</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5583-2024</t>
        </is>
      </c>
      <c r="B140" s="1" t="n">
        <v>45334</v>
      </c>
      <c r="C140" s="1" t="n">
        <v>45995</v>
      </c>
      <c r="D140" t="inlineStr">
        <is>
          <t>DALARNAS LÄN</t>
        </is>
      </c>
      <c r="E140" t="inlineStr">
        <is>
          <t>LEKSAND</t>
        </is>
      </c>
      <c r="F140" t="inlineStr">
        <is>
          <t>Kyrkan</t>
        </is>
      </c>
      <c r="G140" t="n">
        <v>0.4</v>
      </c>
      <c r="H140" t="n">
        <v>0</v>
      </c>
      <c r="I140" t="n">
        <v>0</v>
      </c>
      <c r="J140" t="n">
        <v>0</v>
      </c>
      <c r="K140" t="n">
        <v>0</v>
      </c>
      <c r="L140" t="n">
        <v>0</v>
      </c>
      <c r="M140" t="n">
        <v>0</v>
      </c>
      <c r="N140" t="n">
        <v>0</v>
      </c>
      <c r="O140" t="n">
        <v>0</v>
      </c>
      <c r="P140" t="n">
        <v>0</v>
      </c>
      <c r="Q140" t="n">
        <v>0</v>
      </c>
      <c r="R140" s="2" t="inlineStr"/>
    </row>
    <row r="141" ht="15" customHeight="1">
      <c r="A141" t="inlineStr">
        <is>
          <t>A 17589-2025</t>
        </is>
      </c>
      <c r="B141" s="1" t="n">
        <v>45757.67844907408</v>
      </c>
      <c r="C141" s="1" t="n">
        <v>45995</v>
      </c>
      <c r="D141" t="inlineStr">
        <is>
          <t>DALARNAS LÄN</t>
        </is>
      </c>
      <c r="E141" t="inlineStr">
        <is>
          <t>LEKSAND</t>
        </is>
      </c>
      <c r="G141" t="n">
        <v>5.8</v>
      </c>
      <c r="H141" t="n">
        <v>0</v>
      </c>
      <c r="I141" t="n">
        <v>0</v>
      </c>
      <c r="J141" t="n">
        <v>0</v>
      </c>
      <c r="K141" t="n">
        <v>0</v>
      </c>
      <c r="L141" t="n">
        <v>0</v>
      </c>
      <c r="M141" t="n">
        <v>0</v>
      </c>
      <c r="N141" t="n">
        <v>0</v>
      </c>
      <c r="O141" t="n">
        <v>0</v>
      </c>
      <c r="P141" t="n">
        <v>0</v>
      </c>
      <c r="Q141" t="n">
        <v>0</v>
      </c>
      <c r="R141" s="2" t="inlineStr"/>
    </row>
    <row r="142" ht="15" customHeight="1">
      <c r="A142" t="inlineStr">
        <is>
          <t>A 31915-2024</t>
        </is>
      </c>
      <c r="B142" s="1" t="n">
        <v>45510.38956018518</v>
      </c>
      <c r="C142" s="1" t="n">
        <v>45995</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36932-2023</t>
        </is>
      </c>
      <c r="B143" s="1" t="n">
        <v>45154</v>
      </c>
      <c r="C143" s="1" t="n">
        <v>45995</v>
      </c>
      <c r="D143" t="inlineStr">
        <is>
          <t>DALARNAS LÄN</t>
        </is>
      </c>
      <c r="E143" t="inlineStr">
        <is>
          <t>LEKSAND</t>
        </is>
      </c>
      <c r="G143" t="n">
        <v>1.3</v>
      </c>
      <c r="H143" t="n">
        <v>0</v>
      </c>
      <c r="I143" t="n">
        <v>0</v>
      </c>
      <c r="J143" t="n">
        <v>0</v>
      </c>
      <c r="K143" t="n">
        <v>0</v>
      </c>
      <c r="L143" t="n">
        <v>0</v>
      </c>
      <c r="M143" t="n">
        <v>0</v>
      </c>
      <c r="N143" t="n">
        <v>0</v>
      </c>
      <c r="O143" t="n">
        <v>0</v>
      </c>
      <c r="P143" t="n">
        <v>0</v>
      </c>
      <c r="Q143" t="n">
        <v>0</v>
      </c>
      <c r="R143" s="2" t="inlineStr"/>
    </row>
    <row r="144" ht="15" customHeight="1">
      <c r="A144" t="inlineStr">
        <is>
          <t>A 23663-2024</t>
        </is>
      </c>
      <c r="B144" s="1" t="n">
        <v>45454.57049768518</v>
      </c>
      <c r="C144" s="1" t="n">
        <v>45995</v>
      </c>
      <c r="D144" t="inlineStr">
        <is>
          <t>DALARNAS LÄN</t>
        </is>
      </c>
      <c r="E144" t="inlineStr">
        <is>
          <t>LEKSAND</t>
        </is>
      </c>
      <c r="G144" t="n">
        <v>2.5</v>
      </c>
      <c r="H144" t="n">
        <v>0</v>
      </c>
      <c r="I144" t="n">
        <v>0</v>
      </c>
      <c r="J144" t="n">
        <v>0</v>
      </c>
      <c r="K144" t="n">
        <v>0</v>
      </c>
      <c r="L144" t="n">
        <v>0</v>
      </c>
      <c r="M144" t="n">
        <v>0</v>
      </c>
      <c r="N144" t="n">
        <v>0</v>
      </c>
      <c r="O144" t="n">
        <v>0</v>
      </c>
      <c r="P144" t="n">
        <v>0</v>
      </c>
      <c r="Q144" t="n">
        <v>0</v>
      </c>
      <c r="R144" s="2" t="inlineStr"/>
    </row>
    <row r="145" ht="15" customHeight="1">
      <c r="A145" t="inlineStr">
        <is>
          <t>A 59826-2023</t>
        </is>
      </c>
      <c r="B145" s="1" t="n">
        <v>45254</v>
      </c>
      <c r="C145" s="1" t="n">
        <v>45995</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11740-2025</t>
        </is>
      </c>
      <c r="B146" s="1" t="n">
        <v>45727.62582175926</v>
      </c>
      <c r="C146" s="1" t="n">
        <v>45995</v>
      </c>
      <c r="D146" t="inlineStr">
        <is>
          <t>DALARNAS LÄN</t>
        </is>
      </c>
      <c r="E146" t="inlineStr">
        <is>
          <t>LEKSAND</t>
        </is>
      </c>
      <c r="F146" t="inlineStr">
        <is>
          <t>Övriga Aktiebolag</t>
        </is>
      </c>
      <c r="G146" t="n">
        <v>1.3</v>
      </c>
      <c r="H146" t="n">
        <v>0</v>
      </c>
      <c r="I146" t="n">
        <v>0</v>
      </c>
      <c r="J146" t="n">
        <v>0</v>
      </c>
      <c r="K146" t="n">
        <v>0</v>
      </c>
      <c r="L146" t="n">
        <v>0</v>
      </c>
      <c r="M146" t="n">
        <v>0</v>
      </c>
      <c r="N146" t="n">
        <v>0</v>
      </c>
      <c r="O146" t="n">
        <v>0</v>
      </c>
      <c r="P146" t="n">
        <v>0</v>
      </c>
      <c r="Q146" t="n">
        <v>0</v>
      </c>
      <c r="R146" s="2" t="inlineStr"/>
    </row>
    <row r="147" ht="15" customHeight="1">
      <c r="A147" t="inlineStr">
        <is>
          <t>A 7417-2024</t>
        </is>
      </c>
      <c r="B147" s="1" t="n">
        <v>45345.62378472222</v>
      </c>
      <c r="C147" s="1" t="n">
        <v>45995</v>
      </c>
      <c r="D147" t="inlineStr">
        <is>
          <t>DALARNAS LÄN</t>
        </is>
      </c>
      <c r="E147" t="inlineStr">
        <is>
          <t>LEKSAND</t>
        </is>
      </c>
      <c r="G147" t="n">
        <v>2.8</v>
      </c>
      <c r="H147" t="n">
        <v>0</v>
      </c>
      <c r="I147" t="n">
        <v>0</v>
      </c>
      <c r="J147" t="n">
        <v>0</v>
      </c>
      <c r="K147" t="n">
        <v>0</v>
      </c>
      <c r="L147" t="n">
        <v>0</v>
      </c>
      <c r="M147" t="n">
        <v>0</v>
      </c>
      <c r="N147" t="n">
        <v>0</v>
      </c>
      <c r="O147" t="n">
        <v>0</v>
      </c>
      <c r="P147" t="n">
        <v>0</v>
      </c>
      <c r="Q147" t="n">
        <v>0</v>
      </c>
      <c r="R147" s="2" t="inlineStr"/>
    </row>
    <row r="148" ht="15" customHeight="1">
      <c r="A148" t="inlineStr">
        <is>
          <t>A 13161-2024</t>
        </is>
      </c>
      <c r="B148" s="1" t="n">
        <v>45386.38972222222</v>
      </c>
      <c r="C148" s="1" t="n">
        <v>45995</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19296-2024</t>
        </is>
      </c>
      <c r="B149" s="1" t="n">
        <v>45428.69438657408</v>
      </c>
      <c r="C149" s="1" t="n">
        <v>45995</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33180-2024</t>
        </is>
      </c>
      <c r="B150" s="1" t="n">
        <v>45518.44481481481</v>
      </c>
      <c r="C150" s="1" t="n">
        <v>45995</v>
      </c>
      <c r="D150" t="inlineStr">
        <is>
          <t>DALARNAS LÄN</t>
        </is>
      </c>
      <c r="E150" t="inlineStr">
        <is>
          <t>LEKSAND</t>
        </is>
      </c>
      <c r="G150" t="n">
        <v>7.6</v>
      </c>
      <c r="H150" t="n">
        <v>0</v>
      </c>
      <c r="I150" t="n">
        <v>0</v>
      </c>
      <c r="J150" t="n">
        <v>0</v>
      </c>
      <c r="K150" t="n">
        <v>0</v>
      </c>
      <c r="L150" t="n">
        <v>0</v>
      </c>
      <c r="M150" t="n">
        <v>0</v>
      </c>
      <c r="N150" t="n">
        <v>0</v>
      </c>
      <c r="O150" t="n">
        <v>0</v>
      </c>
      <c r="P150" t="n">
        <v>0</v>
      </c>
      <c r="Q150" t="n">
        <v>0</v>
      </c>
      <c r="R150" s="2" t="inlineStr"/>
    </row>
    <row r="151" ht="15" customHeight="1">
      <c r="A151" t="inlineStr">
        <is>
          <t>A 12290-2024</t>
        </is>
      </c>
      <c r="B151" s="1" t="n">
        <v>45378.57877314815</v>
      </c>
      <c r="C151" s="1" t="n">
        <v>45995</v>
      </c>
      <c r="D151" t="inlineStr">
        <is>
          <t>DALARNAS LÄN</t>
        </is>
      </c>
      <c r="E151" t="inlineStr">
        <is>
          <t>LEKSAND</t>
        </is>
      </c>
      <c r="G151" t="n">
        <v>2.5</v>
      </c>
      <c r="H151" t="n">
        <v>0</v>
      </c>
      <c r="I151" t="n">
        <v>0</v>
      </c>
      <c r="J151" t="n">
        <v>0</v>
      </c>
      <c r="K151" t="n">
        <v>0</v>
      </c>
      <c r="L151" t="n">
        <v>0</v>
      </c>
      <c r="M151" t="n">
        <v>0</v>
      </c>
      <c r="N151" t="n">
        <v>0</v>
      </c>
      <c r="O151" t="n">
        <v>0</v>
      </c>
      <c r="P151" t="n">
        <v>0</v>
      </c>
      <c r="Q151" t="n">
        <v>0</v>
      </c>
      <c r="R151" s="2" t="inlineStr"/>
    </row>
    <row r="152" ht="15" customHeight="1">
      <c r="A152" t="inlineStr">
        <is>
          <t>A 6758-2024</t>
        </is>
      </c>
      <c r="B152" s="1" t="n">
        <v>45342.46857638889</v>
      </c>
      <c r="C152" s="1" t="n">
        <v>45995</v>
      </c>
      <c r="D152" t="inlineStr">
        <is>
          <t>DALARNAS LÄN</t>
        </is>
      </c>
      <c r="E152" t="inlineStr">
        <is>
          <t>LEKSAND</t>
        </is>
      </c>
      <c r="F152" t="inlineStr">
        <is>
          <t>Bergvik skog väst AB</t>
        </is>
      </c>
      <c r="G152" t="n">
        <v>6.2</v>
      </c>
      <c r="H152" t="n">
        <v>0</v>
      </c>
      <c r="I152" t="n">
        <v>0</v>
      </c>
      <c r="J152" t="n">
        <v>0</v>
      </c>
      <c r="K152" t="n">
        <v>0</v>
      </c>
      <c r="L152" t="n">
        <v>0</v>
      </c>
      <c r="M152" t="n">
        <v>0</v>
      </c>
      <c r="N152" t="n">
        <v>0</v>
      </c>
      <c r="O152" t="n">
        <v>0</v>
      </c>
      <c r="P152" t="n">
        <v>0</v>
      </c>
      <c r="Q152" t="n">
        <v>0</v>
      </c>
      <c r="R152" s="2" t="inlineStr"/>
    </row>
    <row r="153" ht="15" customHeight="1">
      <c r="A153" t="inlineStr">
        <is>
          <t>A 60715-2022</t>
        </is>
      </c>
      <c r="B153" s="1" t="n">
        <v>44912</v>
      </c>
      <c r="C153" s="1" t="n">
        <v>45995</v>
      </c>
      <c r="D153" t="inlineStr">
        <is>
          <t>DALARNAS LÄN</t>
        </is>
      </c>
      <c r="E153" t="inlineStr">
        <is>
          <t>LEKSAND</t>
        </is>
      </c>
      <c r="G153" t="n">
        <v>1</v>
      </c>
      <c r="H153" t="n">
        <v>0</v>
      </c>
      <c r="I153" t="n">
        <v>0</v>
      </c>
      <c r="J153" t="n">
        <v>0</v>
      </c>
      <c r="K153" t="n">
        <v>0</v>
      </c>
      <c r="L153" t="n">
        <v>0</v>
      </c>
      <c r="M153" t="n">
        <v>0</v>
      </c>
      <c r="N153" t="n">
        <v>0</v>
      </c>
      <c r="O153" t="n">
        <v>0</v>
      </c>
      <c r="P153" t="n">
        <v>0</v>
      </c>
      <c r="Q153" t="n">
        <v>0</v>
      </c>
      <c r="R153" s="2" t="inlineStr"/>
    </row>
    <row r="154" ht="15" customHeight="1">
      <c r="A154" t="inlineStr">
        <is>
          <t>A 14616-2024</t>
        </is>
      </c>
      <c r="B154" s="1" t="n">
        <v>45397.2624537037</v>
      </c>
      <c r="C154" s="1" t="n">
        <v>45995</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48644-2023</t>
        </is>
      </c>
      <c r="B155" s="1" t="n">
        <v>45208.58997685185</v>
      </c>
      <c r="C155" s="1" t="n">
        <v>45995</v>
      </c>
      <c r="D155" t="inlineStr">
        <is>
          <t>DALARNAS LÄN</t>
        </is>
      </c>
      <c r="E155" t="inlineStr">
        <is>
          <t>LEKSAND</t>
        </is>
      </c>
      <c r="F155" t="inlineStr">
        <is>
          <t>Bergvik skog väst AB</t>
        </is>
      </c>
      <c r="G155" t="n">
        <v>1.3</v>
      </c>
      <c r="H155" t="n">
        <v>0</v>
      </c>
      <c r="I155" t="n">
        <v>0</v>
      </c>
      <c r="J155" t="n">
        <v>0</v>
      </c>
      <c r="K155" t="n">
        <v>0</v>
      </c>
      <c r="L155" t="n">
        <v>0</v>
      </c>
      <c r="M155" t="n">
        <v>0</v>
      </c>
      <c r="N155" t="n">
        <v>0</v>
      </c>
      <c r="O155" t="n">
        <v>0</v>
      </c>
      <c r="P155" t="n">
        <v>0</v>
      </c>
      <c r="Q155" t="n">
        <v>0</v>
      </c>
      <c r="R155" s="2" t="inlineStr"/>
    </row>
    <row r="156" ht="15" customHeight="1">
      <c r="A156" t="inlineStr">
        <is>
          <t>A 44491-2023</t>
        </is>
      </c>
      <c r="B156" s="1" t="n">
        <v>45183</v>
      </c>
      <c r="C156" s="1" t="n">
        <v>45995</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25025-2023</t>
        </is>
      </c>
      <c r="B157" s="1" t="n">
        <v>45085.92146990741</v>
      </c>
      <c r="C157" s="1" t="n">
        <v>45995</v>
      </c>
      <c r="D157" t="inlineStr">
        <is>
          <t>DALARNAS LÄN</t>
        </is>
      </c>
      <c r="E157" t="inlineStr">
        <is>
          <t>LEKSAND</t>
        </is>
      </c>
      <c r="G157" t="n">
        <v>3</v>
      </c>
      <c r="H157" t="n">
        <v>0</v>
      </c>
      <c r="I157" t="n">
        <v>0</v>
      </c>
      <c r="J157" t="n">
        <v>0</v>
      </c>
      <c r="K157" t="n">
        <v>0</v>
      </c>
      <c r="L157" t="n">
        <v>0</v>
      </c>
      <c r="M157" t="n">
        <v>0</v>
      </c>
      <c r="N157" t="n">
        <v>0</v>
      </c>
      <c r="O157" t="n">
        <v>0</v>
      </c>
      <c r="P157" t="n">
        <v>0</v>
      </c>
      <c r="Q157" t="n">
        <v>0</v>
      </c>
      <c r="R157" s="2" t="inlineStr"/>
    </row>
    <row r="158" ht="15" customHeight="1">
      <c r="A158" t="inlineStr">
        <is>
          <t>A 25038-2023</t>
        </is>
      </c>
      <c r="B158" s="1" t="n">
        <v>45085</v>
      </c>
      <c r="C158" s="1" t="n">
        <v>45995</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11092-2023</t>
        </is>
      </c>
      <c r="B159" s="1" t="n">
        <v>44992</v>
      </c>
      <c r="C159" s="1" t="n">
        <v>45995</v>
      </c>
      <c r="D159" t="inlineStr">
        <is>
          <t>DALARNAS LÄN</t>
        </is>
      </c>
      <c r="E159" t="inlineStr">
        <is>
          <t>LEKSAND</t>
        </is>
      </c>
      <c r="G159" t="n">
        <v>0.5</v>
      </c>
      <c r="H159" t="n">
        <v>0</v>
      </c>
      <c r="I159" t="n">
        <v>0</v>
      </c>
      <c r="J159" t="n">
        <v>0</v>
      </c>
      <c r="K159" t="n">
        <v>0</v>
      </c>
      <c r="L159" t="n">
        <v>0</v>
      </c>
      <c r="M159" t="n">
        <v>0</v>
      </c>
      <c r="N159" t="n">
        <v>0</v>
      </c>
      <c r="O159" t="n">
        <v>0</v>
      </c>
      <c r="P159" t="n">
        <v>0</v>
      </c>
      <c r="Q159" t="n">
        <v>0</v>
      </c>
      <c r="R159" s="2" t="inlineStr"/>
    </row>
    <row r="160" ht="15" customHeight="1">
      <c r="A160" t="inlineStr">
        <is>
          <t>A 33001-2023</t>
        </is>
      </c>
      <c r="B160" s="1" t="n">
        <v>45125</v>
      </c>
      <c r="C160" s="1" t="n">
        <v>45995</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15882-2023</t>
        </is>
      </c>
      <c r="B161" s="1" t="n">
        <v>45022</v>
      </c>
      <c r="C161" s="1" t="n">
        <v>45995</v>
      </c>
      <c r="D161" t="inlineStr">
        <is>
          <t>DALARNAS LÄN</t>
        </is>
      </c>
      <c r="E161" t="inlineStr">
        <is>
          <t>LEKSAND</t>
        </is>
      </c>
      <c r="G161" t="n">
        <v>0.1</v>
      </c>
      <c r="H161" t="n">
        <v>0</v>
      </c>
      <c r="I161" t="n">
        <v>0</v>
      </c>
      <c r="J161" t="n">
        <v>0</v>
      </c>
      <c r="K161" t="n">
        <v>0</v>
      </c>
      <c r="L161" t="n">
        <v>0</v>
      </c>
      <c r="M161" t="n">
        <v>0</v>
      </c>
      <c r="N161" t="n">
        <v>0</v>
      </c>
      <c r="O161" t="n">
        <v>0</v>
      </c>
      <c r="P161" t="n">
        <v>0</v>
      </c>
      <c r="Q161" t="n">
        <v>0</v>
      </c>
      <c r="R161" s="2" t="inlineStr"/>
    </row>
    <row r="162" ht="15" customHeight="1">
      <c r="A162" t="inlineStr">
        <is>
          <t>A 33674-2023</t>
        </is>
      </c>
      <c r="B162" s="1" t="n">
        <v>45132</v>
      </c>
      <c r="C162" s="1" t="n">
        <v>45995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1443-2024</t>
        </is>
      </c>
      <c r="B163" s="1" t="n">
        <v>45303</v>
      </c>
      <c r="C163" s="1" t="n">
        <v>45995</v>
      </c>
      <c r="D163" t="inlineStr">
        <is>
          <t>DALARNAS LÄN</t>
        </is>
      </c>
      <c r="E163" t="inlineStr">
        <is>
          <t>LEKSAND</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1457-2024</t>
        </is>
      </c>
      <c r="B164" s="1" t="n">
        <v>45303</v>
      </c>
      <c r="C164" s="1" t="n">
        <v>45995</v>
      </c>
      <c r="D164" t="inlineStr">
        <is>
          <t>DALARNAS LÄN</t>
        </is>
      </c>
      <c r="E164" t="inlineStr">
        <is>
          <t>LEKSAND</t>
        </is>
      </c>
      <c r="G164" t="n">
        <v>4.4</v>
      </c>
      <c r="H164" t="n">
        <v>0</v>
      </c>
      <c r="I164" t="n">
        <v>0</v>
      </c>
      <c r="J164" t="n">
        <v>0</v>
      </c>
      <c r="K164" t="n">
        <v>0</v>
      </c>
      <c r="L164" t="n">
        <v>0</v>
      </c>
      <c r="M164" t="n">
        <v>0</v>
      </c>
      <c r="N164" t="n">
        <v>0</v>
      </c>
      <c r="O164" t="n">
        <v>0</v>
      </c>
      <c r="P164" t="n">
        <v>0</v>
      </c>
      <c r="Q164" t="n">
        <v>0</v>
      </c>
      <c r="R164" s="2" t="inlineStr"/>
    </row>
    <row r="165" ht="15" customHeight="1">
      <c r="A165" t="inlineStr">
        <is>
          <t>A 51857-2022</t>
        </is>
      </c>
      <c r="B165" s="1" t="n">
        <v>44867</v>
      </c>
      <c r="C165" s="1" t="n">
        <v>45995</v>
      </c>
      <c r="D165" t="inlineStr">
        <is>
          <t>DALARNAS LÄN</t>
        </is>
      </c>
      <c r="E165" t="inlineStr">
        <is>
          <t>LEKSAND</t>
        </is>
      </c>
      <c r="G165" t="n">
        <v>1.2</v>
      </c>
      <c r="H165" t="n">
        <v>0</v>
      </c>
      <c r="I165" t="n">
        <v>0</v>
      </c>
      <c r="J165" t="n">
        <v>0</v>
      </c>
      <c r="K165" t="n">
        <v>0</v>
      </c>
      <c r="L165" t="n">
        <v>0</v>
      </c>
      <c r="M165" t="n">
        <v>0</v>
      </c>
      <c r="N165" t="n">
        <v>0</v>
      </c>
      <c r="O165" t="n">
        <v>0</v>
      </c>
      <c r="P165" t="n">
        <v>0</v>
      </c>
      <c r="Q165" t="n">
        <v>0</v>
      </c>
      <c r="R165" s="2" t="inlineStr"/>
    </row>
    <row r="166" ht="15" customHeight="1">
      <c r="A166" t="inlineStr">
        <is>
          <t>A 16135-2023</t>
        </is>
      </c>
      <c r="B166" s="1" t="n">
        <v>45027.63717592593</v>
      </c>
      <c r="C166" s="1" t="n">
        <v>45995</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30198-2024</t>
        </is>
      </c>
      <c r="B167" s="1" t="n">
        <v>45490.34765046297</v>
      </c>
      <c r="C167" s="1" t="n">
        <v>45995</v>
      </c>
      <c r="D167" t="inlineStr">
        <is>
          <t>DALARNAS LÄN</t>
        </is>
      </c>
      <c r="E167" t="inlineStr">
        <is>
          <t>LEKSAND</t>
        </is>
      </c>
      <c r="G167" t="n">
        <v>0.8</v>
      </c>
      <c r="H167" t="n">
        <v>0</v>
      </c>
      <c r="I167" t="n">
        <v>0</v>
      </c>
      <c r="J167" t="n">
        <v>0</v>
      </c>
      <c r="K167" t="n">
        <v>0</v>
      </c>
      <c r="L167" t="n">
        <v>0</v>
      </c>
      <c r="M167" t="n">
        <v>0</v>
      </c>
      <c r="N167" t="n">
        <v>0</v>
      </c>
      <c r="O167" t="n">
        <v>0</v>
      </c>
      <c r="P167" t="n">
        <v>0</v>
      </c>
      <c r="Q167" t="n">
        <v>0</v>
      </c>
      <c r="R167" s="2" t="inlineStr"/>
    </row>
    <row r="168" ht="15" customHeight="1">
      <c r="A168" t="inlineStr">
        <is>
          <t>A 10373-2023</t>
        </is>
      </c>
      <c r="B168" s="1" t="n">
        <v>44987</v>
      </c>
      <c r="C168" s="1" t="n">
        <v>45995</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15968-2025</t>
        </is>
      </c>
      <c r="B169" s="1" t="n">
        <v>45749.54818287037</v>
      </c>
      <c r="C169" s="1" t="n">
        <v>45995</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16005-2025</t>
        </is>
      </c>
      <c r="B170" s="1" t="n">
        <v>45749.59765046297</v>
      </c>
      <c r="C170" s="1" t="n">
        <v>45995</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19820-2024</t>
        </is>
      </c>
      <c r="B171" s="1" t="n">
        <v>45433.33907407407</v>
      </c>
      <c r="C171" s="1" t="n">
        <v>45995</v>
      </c>
      <c r="D171" t="inlineStr">
        <is>
          <t>DALARNAS LÄN</t>
        </is>
      </c>
      <c r="E171" t="inlineStr">
        <is>
          <t>LEKSAND</t>
        </is>
      </c>
      <c r="G171" t="n">
        <v>0.7</v>
      </c>
      <c r="H171" t="n">
        <v>0</v>
      </c>
      <c r="I171" t="n">
        <v>0</v>
      </c>
      <c r="J171" t="n">
        <v>0</v>
      </c>
      <c r="K171" t="n">
        <v>0</v>
      </c>
      <c r="L171" t="n">
        <v>0</v>
      </c>
      <c r="M171" t="n">
        <v>0</v>
      </c>
      <c r="N171" t="n">
        <v>0</v>
      </c>
      <c r="O171" t="n">
        <v>0</v>
      </c>
      <c r="P171" t="n">
        <v>0</v>
      </c>
      <c r="Q171" t="n">
        <v>0</v>
      </c>
      <c r="R171" s="2" t="inlineStr"/>
    </row>
    <row r="172" ht="15" customHeight="1">
      <c r="A172" t="inlineStr">
        <is>
          <t>A 19823-2024</t>
        </is>
      </c>
      <c r="B172" s="1" t="n">
        <v>45433.34469907408</v>
      </c>
      <c r="C172" s="1" t="n">
        <v>45995</v>
      </c>
      <c r="D172" t="inlineStr">
        <is>
          <t>DALARNAS LÄN</t>
        </is>
      </c>
      <c r="E172" t="inlineStr">
        <is>
          <t>LEKSAND</t>
        </is>
      </c>
      <c r="G172" t="n">
        <v>0.3</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45995</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33072-2021</t>
        </is>
      </c>
      <c r="B174" s="1" t="n">
        <v>44375</v>
      </c>
      <c r="C174" s="1" t="n">
        <v>45995</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1215-2024</t>
        </is>
      </c>
      <c r="B175" s="1" t="n">
        <v>45302</v>
      </c>
      <c r="C175" s="1" t="n">
        <v>45995</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33566-2023</t>
        </is>
      </c>
      <c r="B176" s="1" t="n">
        <v>45131.64390046296</v>
      </c>
      <c r="C176" s="1" t="n">
        <v>45995</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412-2024</t>
        </is>
      </c>
      <c r="B177" s="1" t="n">
        <v>45296</v>
      </c>
      <c r="C177" s="1" t="n">
        <v>45995</v>
      </c>
      <c r="D177" t="inlineStr">
        <is>
          <t>DALARNAS LÄN</t>
        </is>
      </c>
      <c r="E177" t="inlineStr">
        <is>
          <t>LEKSAND</t>
        </is>
      </c>
      <c r="G177" t="n">
        <v>1.9</v>
      </c>
      <c r="H177" t="n">
        <v>0</v>
      </c>
      <c r="I177" t="n">
        <v>0</v>
      </c>
      <c r="J177" t="n">
        <v>0</v>
      </c>
      <c r="K177" t="n">
        <v>0</v>
      </c>
      <c r="L177" t="n">
        <v>0</v>
      </c>
      <c r="M177" t="n">
        <v>0</v>
      </c>
      <c r="N177" t="n">
        <v>0</v>
      </c>
      <c r="O177" t="n">
        <v>0</v>
      </c>
      <c r="P177" t="n">
        <v>0</v>
      </c>
      <c r="Q177" t="n">
        <v>0</v>
      </c>
      <c r="R177" s="2" t="inlineStr"/>
    </row>
    <row r="178" ht="15" customHeight="1">
      <c r="A178" t="inlineStr">
        <is>
          <t>A 59673-2023</t>
        </is>
      </c>
      <c r="B178" s="1" t="n">
        <v>45255.44603009259</v>
      </c>
      <c r="C178" s="1" t="n">
        <v>45995</v>
      </c>
      <c r="D178" t="inlineStr">
        <is>
          <t>DALARNAS LÄN</t>
        </is>
      </c>
      <c r="E178" t="inlineStr">
        <is>
          <t>LEKSAND</t>
        </is>
      </c>
      <c r="G178" t="n">
        <v>12.2</v>
      </c>
      <c r="H178" t="n">
        <v>0</v>
      </c>
      <c r="I178" t="n">
        <v>0</v>
      </c>
      <c r="J178" t="n">
        <v>0</v>
      </c>
      <c r="K178" t="n">
        <v>0</v>
      </c>
      <c r="L178" t="n">
        <v>0</v>
      </c>
      <c r="M178" t="n">
        <v>0</v>
      </c>
      <c r="N178" t="n">
        <v>0</v>
      </c>
      <c r="O178" t="n">
        <v>0</v>
      </c>
      <c r="P178" t="n">
        <v>0</v>
      </c>
      <c r="Q178" t="n">
        <v>0</v>
      </c>
      <c r="R178" s="2" t="inlineStr"/>
    </row>
    <row r="179" ht="15" customHeight="1">
      <c r="A179" t="inlineStr">
        <is>
          <t>A 16592-2023</t>
        </is>
      </c>
      <c r="B179" s="1" t="n">
        <v>45030</v>
      </c>
      <c r="C179" s="1" t="n">
        <v>45995</v>
      </c>
      <c r="D179" t="inlineStr">
        <is>
          <t>DALARNAS LÄN</t>
        </is>
      </c>
      <c r="E179" t="inlineStr">
        <is>
          <t>LEKSAND</t>
        </is>
      </c>
      <c r="G179" t="n">
        <v>11.5</v>
      </c>
      <c r="H179" t="n">
        <v>0</v>
      </c>
      <c r="I179" t="n">
        <v>0</v>
      </c>
      <c r="J179" t="n">
        <v>0</v>
      </c>
      <c r="K179" t="n">
        <v>0</v>
      </c>
      <c r="L179" t="n">
        <v>0</v>
      </c>
      <c r="M179" t="n">
        <v>0</v>
      </c>
      <c r="N179" t="n">
        <v>0</v>
      </c>
      <c r="O179" t="n">
        <v>0</v>
      </c>
      <c r="P179" t="n">
        <v>0</v>
      </c>
      <c r="Q179" t="n">
        <v>0</v>
      </c>
      <c r="R179" s="2" t="inlineStr"/>
    </row>
    <row r="180" ht="15" customHeight="1">
      <c r="A180" t="inlineStr">
        <is>
          <t>A 23068-2024</t>
        </is>
      </c>
      <c r="B180" s="1" t="n">
        <v>45450.45521990741</v>
      </c>
      <c r="C180" s="1" t="n">
        <v>45995</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22281-2024</t>
        </is>
      </c>
      <c r="B181" s="1" t="n">
        <v>45446.54756944445</v>
      </c>
      <c r="C181" s="1" t="n">
        <v>45995</v>
      </c>
      <c r="D181" t="inlineStr">
        <is>
          <t>DALARNAS LÄN</t>
        </is>
      </c>
      <c r="E181" t="inlineStr">
        <is>
          <t>LEKSAND</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7395-2025</t>
        </is>
      </c>
      <c r="B182" s="1" t="n">
        <v>45705.34516203704</v>
      </c>
      <c r="C182" s="1" t="n">
        <v>45995</v>
      </c>
      <c r="D182" t="inlineStr">
        <is>
          <t>DALARNAS LÄN</t>
        </is>
      </c>
      <c r="E182" t="inlineStr">
        <is>
          <t>LEKSAND</t>
        </is>
      </c>
      <c r="G182" t="n">
        <v>1.8</v>
      </c>
      <c r="H182" t="n">
        <v>0</v>
      </c>
      <c r="I182" t="n">
        <v>0</v>
      </c>
      <c r="J182" t="n">
        <v>0</v>
      </c>
      <c r="K182" t="n">
        <v>0</v>
      </c>
      <c r="L182" t="n">
        <v>0</v>
      </c>
      <c r="M182" t="n">
        <v>0</v>
      </c>
      <c r="N182" t="n">
        <v>0</v>
      </c>
      <c r="O182" t="n">
        <v>0</v>
      </c>
      <c r="P182" t="n">
        <v>0</v>
      </c>
      <c r="Q182" t="n">
        <v>0</v>
      </c>
      <c r="R182" s="2" t="inlineStr"/>
    </row>
    <row r="183" ht="15" customHeight="1">
      <c r="A183" t="inlineStr">
        <is>
          <t>A 53464-2024</t>
        </is>
      </c>
      <c r="B183" s="1" t="n">
        <v>45611</v>
      </c>
      <c r="C183" s="1" t="n">
        <v>45995</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47640-2024</t>
        </is>
      </c>
      <c r="B184" s="1" t="n">
        <v>45588.36508101852</v>
      </c>
      <c r="C184" s="1" t="n">
        <v>45995</v>
      </c>
      <c r="D184" t="inlineStr">
        <is>
          <t>DALARNAS LÄN</t>
        </is>
      </c>
      <c r="E184" t="inlineStr">
        <is>
          <t>LEKSAND</t>
        </is>
      </c>
      <c r="G184" t="n">
        <v>9.1</v>
      </c>
      <c r="H184" t="n">
        <v>0</v>
      </c>
      <c r="I184" t="n">
        <v>0</v>
      </c>
      <c r="J184" t="n">
        <v>0</v>
      </c>
      <c r="K184" t="n">
        <v>0</v>
      </c>
      <c r="L184" t="n">
        <v>0</v>
      </c>
      <c r="M184" t="n">
        <v>0</v>
      </c>
      <c r="N184" t="n">
        <v>0</v>
      </c>
      <c r="O184" t="n">
        <v>0</v>
      </c>
      <c r="P184" t="n">
        <v>0</v>
      </c>
      <c r="Q184" t="n">
        <v>0</v>
      </c>
      <c r="R184" s="2" t="inlineStr"/>
    </row>
    <row r="185" ht="15" customHeight="1">
      <c r="A185" t="inlineStr">
        <is>
          <t>A 31971-2024</t>
        </is>
      </c>
      <c r="B185" s="1" t="n">
        <v>45510.55171296297</v>
      </c>
      <c r="C185" s="1" t="n">
        <v>45995</v>
      </c>
      <c r="D185" t="inlineStr">
        <is>
          <t>DALARNAS LÄN</t>
        </is>
      </c>
      <c r="E185" t="inlineStr">
        <is>
          <t>LEKSAND</t>
        </is>
      </c>
      <c r="G185" t="n">
        <v>0.7</v>
      </c>
      <c r="H185" t="n">
        <v>0</v>
      </c>
      <c r="I185" t="n">
        <v>0</v>
      </c>
      <c r="J185" t="n">
        <v>0</v>
      </c>
      <c r="K185" t="n">
        <v>0</v>
      </c>
      <c r="L185" t="n">
        <v>0</v>
      </c>
      <c r="M185" t="n">
        <v>0</v>
      </c>
      <c r="N185" t="n">
        <v>0</v>
      </c>
      <c r="O185" t="n">
        <v>0</v>
      </c>
      <c r="P185" t="n">
        <v>0</v>
      </c>
      <c r="Q185" t="n">
        <v>0</v>
      </c>
      <c r="R185" s="2" t="inlineStr"/>
    </row>
    <row r="186" ht="15" customHeight="1">
      <c r="A186" t="inlineStr">
        <is>
          <t>A 56330-2022</t>
        </is>
      </c>
      <c r="B186" s="1" t="n">
        <v>44890.62630787037</v>
      </c>
      <c r="C186" s="1" t="n">
        <v>45995</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2140-2024</t>
        </is>
      </c>
      <c r="B187" s="1" t="n">
        <v>45309</v>
      </c>
      <c r="C187" s="1" t="n">
        <v>45995</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40755-2024</t>
        </is>
      </c>
      <c r="B188" s="1" t="n">
        <v>45558.45815972222</v>
      </c>
      <c r="C188" s="1" t="n">
        <v>45995</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23615-2024</t>
        </is>
      </c>
      <c r="B189" s="1" t="n">
        <v>45454.43050925926</v>
      </c>
      <c r="C189" s="1" t="n">
        <v>45995</v>
      </c>
      <c r="D189" t="inlineStr">
        <is>
          <t>DALARNAS LÄN</t>
        </is>
      </c>
      <c r="E189" t="inlineStr">
        <is>
          <t>LEKSAND</t>
        </is>
      </c>
      <c r="G189" t="n">
        <v>1.7</v>
      </c>
      <c r="H189" t="n">
        <v>0</v>
      </c>
      <c r="I189" t="n">
        <v>0</v>
      </c>
      <c r="J189" t="n">
        <v>0</v>
      </c>
      <c r="K189" t="n">
        <v>0</v>
      </c>
      <c r="L189" t="n">
        <v>0</v>
      </c>
      <c r="M189" t="n">
        <v>0</v>
      </c>
      <c r="N189" t="n">
        <v>0</v>
      </c>
      <c r="O189" t="n">
        <v>0</v>
      </c>
      <c r="P189" t="n">
        <v>0</v>
      </c>
      <c r="Q189" t="n">
        <v>0</v>
      </c>
      <c r="R189" s="2" t="inlineStr"/>
    </row>
    <row r="190" ht="15" customHeight="1">
      <c r="A190" t="inlineStr">
        <is>
          <t>A 7897-2025</t>
        </is>
      </c>
      <c r="B190" s="1" t="n">
        <v>45707.30969907407</v>
      </c>
      <c r="C190" s="1" t="n">
        <v>45995</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61546-2021</t>
        </is>
      </c>
      <c r="B191" s="1" t="n">
        <v>44501</v>
      </c>
      <c r="C191" s="1" t="n">
        <v>45995</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38721-2025</t>
        </is>
      </c>
      <c r="B192" s="1" t="n">
        <v>45886.83605324074</v>
      </c>
      <c r="C192" s="1" t="n">
        <v>45995</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7653-2025</t>
        </is>
      </c>
      <c r="B193" s="1" t="n">
        <v>45705.95238425926</v>
      </c>
      <c r="C193" s="1" t="n">
        <v>45995</v>
      </c>
      <c r="D193" t="inlineStr">
        <is>
          <t>DALARNAS LÄN</t>
        </is>
      </c>
      <c r="E193" t="inlineStr">
        <is>
          <t>LEKSAND</t>
        </is>
      </c>
      <c r="G193" t="n">
        <v>0.8</v>
      </c>
      <c r="H193" t="n">
        <v>0</v>
      </c>
      <c r="I193" t="n">
        <v>0</v>
      </c>
      <c r="J193" t="n">
        <v>0</v>
      </c>
      <c r="K193" t="n">
        <v>0</v>
      </c>
      <c r="L193" t="n">
        <v>0</v>
      </c>
      <c r="M193" t="n">
        <v>0</v>
      </c>
      <c r="N193" t="n">
        <v>0</v>
      </c>
      <c r="O193" t="n">
        <v>0</v>
      </c>
      <c r="P193" t="n">
        <v>0</v>
      </c>
      <c r="Q193" t="n">
        <v>0</v>
      </c>
      <c r="R193" s="2" t="inlineStr"/>
    </row>
    <row r="194" ht="15" customHeight="1">
      <c r="A194" t="inlineStr">
        <is>
          <t>A 41853-2023</t>
        </is>
      </c>
      <c r="B194" s="1" t="n">
        <v>45176.62483796296</v>
      </c>
      <c r="C194" s="1" t="n">
        <v>45995</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39546-2025</t>
        </is>
      </c>
      <c r="B195" s="1" t="n">
        <v>45890.45706018519</v>
      </c>
      <c r="C195" s="1" t="n">
        <v>45995</v>
      </c>
      <c r="D195" t="inlineStr">
        <is>
          <t>DALARNAS LÄN</t>
        </is>
      </c>
      <c r="E195" t="inlineStr">
        <is>
          <t>LEKSAND</t>
        </is>
      </c>
      <c r="G195" t="n">
        <v>4.6</v>
      </c>
      <c r="H195" t="n">
        <v>0</v>
      </c>
      <c r="I195" t="n">
        <v>0</v>
      </c>
      <c r="J195" t="n">
        <v>0</v>
      </c>
      <c r="K195" t="n">
        <v>0</v>
      </c>
      <c r="L195" t="n">
        <v>0</v>
      </c>
      <c r="M195" t="n">
        <v>0</v>
      </c>
      <c r="N195" t="n">
        <v>0</v>
      </c>
      <c r="O195" t="n">
        <v>0</v>
      </c>
      <c r="P195" t="n">
        <v>0</v>
      </c>
      <c r="Q195" t="n">
        <v>0</v>
      </c>
      <c r="R195" s="2" t="inlineStr"/>
    </row>
    <row r="196" ht="15" customHeight="1">
      <c r="A196" t="inlineStr">
        <is>
          <t>A 39572-2025</t>
        </is>
      </c>
      <c r="B196" s="1" t="n">
        <v>45890</v>
      </c>
      <c r="C196" s="1" t="n">
        <v>45995</v>
      </c>
      <c r="D196" t="inlineStr">
        <is>
          <t>DALARNAS LÄN</t>
        </is>
      </c>
      <c r="E196" t="inlineStr">
        <is>
          <t>LEKSAND</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62116-2024</t>
        </is>
      </c>
      <c r="B197" s="1" t="n">
        <v>45646</v>
      </c>
      <c r="C197" s="1" t="n">
        <v>45995</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5738-2023</t>
        </is>
      </c>
      <c r="B198" s="1" t="n">
        <v>44962</v>
      </c>
      <c r="C198" s="1" t="n">
        <v>45995</v>
      </c>
      <c r="D198" t="inlineStr">
        <is>
          <t>DALARNAS LÄN</t>
        </is>
      </c>
      <c r="E198" t="inlineStr">
        <is>
          <t>LEKSAND</t>
        </is>
      </c>
      <c r="G198" t="n">
        <v>0.2</v>
      </c>
      <c r="H198" t="n">
        <v>0</v>
      </c>
      <c r="I198" t="n">
        <v>0</v>
      </c>
      <c r="J198" t="n">
        <v>0</v>
      </c>
      <c r="K198" t="n">
        <v>0</v>
      </c>
      <c r="L198" t="n">
        <v>0</v>
      </c>
      <c r="M198" t="n">
        <v>0</v>
      </c>
      <c r="N198" t="n">
        <v>0</v>
      </c>
      <c r="O198" t="n">
        <v>0</v>
      </c>
      <c r="P198" t="n">
        <v>0</v>
      </c>
      <c r="Q198" t="n">
        <v>0</v>
      </c>
      <c r="R198" s="2" t="inlineStr"/>
    </row>
    <row r="199" ht="15" customHeight="1">
      <c r="A199" t="inlineStr">
        <is>
          <t>A 39569-2025</t>
        </is>
      </c>
      <c r="B199" s="1" t="n">
        <v>45890</v>
      </c>
      <c r="C199" s="1" t="n">
        <v>45995</v>
      </c>
      <c r="D199" t="inlineStr">
        <is>
          <t>DALARNAS LÄN</t>
        </is>
      </c>
      <c r="E199" t="inlineStr">
        <is>
          <t>LEKSAND</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5570-2024</t>
        </is>
      </c>
      <c r="B200" s="1" t="n">
        <v>45334</v>
      </c>
      <c r="C200" s="1" t="n">
        <v>45995</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43693-2022</t>
        </is>
      </c>
      <c r="B201" s="1" t="n">
        <v>44837.6369212963</v>
      </c>
      <c r="C201" s="1" t="n">
        <v>45995</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43735-2022</t>
        </is>
      </c>
      <c r="B202" s="1" t="n">
        <v>44837.70210648148</v>
      </c>
      <c r="C202" s="1" t="n">
        <v>45995</v>
      </c>
      <c r="D202" t="inlineStr">
        <is>
          <t>DALARNAS LÄN</t>
        </is>
      </c>
      <c r="E202" t="inlineStr">
        <is>
          <t>LEKSAND</t>
        </is>
      </c>
      <c r="G202" t="n">
        <v>2.9</v>
      </c>
      <c r="H202" t="n">
        <v>0</v>
      </c>
      <c r="I202" t="n">
        <v>0</v>
      </c>
      <c r="J202" t="n">
        <v>0</v>
      </c>
      <c r="K202" t="n">
        <v>0</v>
      </c>
      <c r="L202" t="n">
        <v>0</v>
      </c>
      <c r="M202" t="n">
        <v>0</v>
      </c>
      <c r="N202" t="n">
        <v>0</v>
      </c>
      <c r="O202" t="n">
        <v>0</v>
      </c>
      <c r="P202" t="n">
        <v>0</v>
      </c>
      <c r="Q202" t="n">
        <v>0</v>
      </c>
      <c r="R202" s="2" t="inlineStr"/>
    </row>
    <row r="203" ht="15" customHeight="1">
      <c r="A203" t="inlineStr">
        <is>
          <t>A 17726-2024</t>
        </is>
      </c>
      <c r="B203" s="1" t="n">
        <v>45418.55609953704</v>
      </c>
      <c r="C203" s="1" t="n">
        <v>45995</v>
      </c>
      <c r="D203" t="inlineStr">
        <is>
          <t>DALARNAS LÄN</t>
        </is>
      </c>
      <c r="E203" t="inlineStr">
        <is>
          <t>LEKSAND</t>
        </is>
      </c>
      <c r="G203" t="n">
        <v>5.2</v>
      </c>
      <c r="H203" t="n">
        <v>0</v>
      </c>
      <c r="I203" t="n">
        <v>0</v>
      </c>
      <c r="J203" t="n">
        <v>0</v>
      </c>
      <c r="K203" t="n">
        <v>0</v>
      </c>
      <c r="L203" t="n">
        <v>0</v>
      </c>
      <c r="M203" t="n">
        <v>0</v>
      </c>
      <c r="N203" t="n">
        <v>0</v>
      </c>
      <c r="O203" t="n">
        <v>0</v>
      </c>
      <c r="P203" t="n">
        <v>0</v>
      </c>
      <c r="Q203" t="n">
        <v>0</v>
      </c>
      <c r="R203" s="2" t="inlineStr"/>
    </row>
    <row r="204" ht="15" customHeight="1">
      <c r="A204" t="inlineStr">
        <is>
          <t>A 15986-2025</t>
        </is>
      </c>
      <c r="B204" s="1" t="n">
        <v>45749.57331018519</v>
      </c>
      <c r="C204" s="1" t="n">
        <v>45995</v>
      </c>
      <c r="D204" t="inlineStr">
        <is>
          <t>DALARNAS LÄN</t>
        </is>
      </c>
      <c r="E204" t="inlineStr">
        <is>
          <t>LEKSAND</t>
        </is>
      </c>
      <c r="G204" t="n">
        <v>2.7</v>
      </c>
      <c r="H204" t="n">
        <v>0</v>
      </c>
      <c r="I204" t="n">
        <v>0</v>
      </c>
      <c r="J204" t="n">
        <v>0</v>
      </c>
      <c r="K204" t="n">
        <v>0</v>
      </c>
      <c r="L204" t="n">
        <v>0</v>
      </c>
      <c r="M204" t="n">
        <v>0</v>
      </c>
      <c r="N204" t="n">
        <v>0</v>
      </c>
      <c r="O204" t="n">
        <v>0</v>
      </c>
      <c r="P204" t="n">
        <v>0</v>
      </c>
      <c r="Q204" t="n">
        <v>0</v>
      </c>
      <c r="R204" s="2" t="inlineStr"/>
    </row>
    <row r="205" ht="15" customHeight="1">
      <c r="A205" t="inlineStr">
        <is>
          <t>A 2694-2025</t>
        </is>
      </c>
      <c r="B205" s="1" t="n">
        <v>45677.38246527778</v>
      </c>
      <c r="C205" s="1" t="n">
        <v>45995</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39516-2025</t>
        </is>
      </c>
      <c r="B206" s="1" t="n">
        <v>45890.42633101852</v>
      </c>
      <c r="C206" s="1" t="n">
        <v>45995</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2517-2024</t>
        </is>
      </c>
      <c r="B207" s="1" t="n">
        <v>45313</v>
      </c>
      <c r="C207" s="1" t="n">
        <v>45995</v>
      </c>
      <c r="D207" t="inlineStr">
        <is>
          <t>DALARNAS LÄN</t>
        </is>
      </c>
      <c r="E207" t="inlineStr">
        <is>
          <t>LEKSAND</t>
        </is>
      </c>
      <c r="F207" t="inlineStr">
        <is>
          <t>Bergvik skog väst AB</t>
        </is>
      </c>
      <c r="G207" t="n">
        <v>4</v>
      </c>
      <c r="H207" t="n">
        <v>0</v>
      </c>
      <c r="I207" t="n">
        <v>0</v>
      </c>
      <c r="J207" t="n">
        <v>0</v>
      </c>
      <c r="K207" t="n">
        <v>0</v>
      </c>
      <c r="L207" t="n">
        <v>0</v>
      </c>
      <c r="M207" t="n">
        <v>0</v>
      </c>
      <c r="N207" t="n">
        <v>0</v>
      </c>
      <c r="O207" t="n">
        <v>0</v>
      </c>
      <c r="P207" t="n">
        <v>0</v>
      </c>
      <c r="Q207" t="n">
        <v>0</v>
      </c>
      <c r="R207" s="2" t="inlineStr"/>
    </row>
    <row r="208" ht="15" customHeight="1">
      <c r="A208" t="inlineStr">
        <is>
          <t>A 62295-2023</t>
        </is>
      </c>
      <c r="B208" s="1" t="n">
        <v>45267</v>
      </c>
      <c r="C208" s="1" t="n">
        <v>45995</v>
      </c>
      <c r="D208" t="inlineStr">
        <is>
          <t>DALARNAS LÄN</t>
        </is>
      </c>
      <c r="E208" t="inlineStr">
        <is>
          <t>LEKSAND</t>
        </is>
      </c>
      <c r="G208" t="n">
        <v>2.5</v>
      </c>
      <c r="H208" t="n">
        <v>0</v>
      </c>
      <c r="I208" t="n">
        <v>0</v>
      </c>
      <c r="J208" t="n">
        <v>0</v>
      </c>
      <c r="K208" t="n">
        <v>0</v>
      </c>
      <c r="L208" t="n">
        <v>0</v>
      </c>
      <c r="M208" t="n">
        <v>0</v>
      </c>
      <c r="N208" t="n">
        <v>0</v>
      </c>
      <c r="O208" t="n">
        <v>0</v>
      </c>
      <c r="P208" t="n">
        <v>0</v>
      </c>
      <c r="Q208" t="n">
        <v>0</v>
      </c>
      <c r="R208" s="2" t="inlineStr"/>
    </row>
    <row r="209" ht="15" customHeight="1">
      <c r="A209" t="inlineStr">
        <is>
          <t>A 39660-2025</t>
        </is>
      </c>
      <c r="B209" s="1" t="n">
        <v>45890.63006944444</v>
      </c>
      <c r="C209" s="1" t="n">
        <v>45995</v>
      </c>
      <c r="D209" t="inlineStr">
        <is>
          <t>DALARNAS LÄN</t>
        </is>
      </c>
      <c r="E209" t="inlineStr">
        <is>
          <t>LEKSAND</t>
        </is>
      </c>
      <c r="F209" t="inlineStr">
        <is>
          <t>Bergvik skog väst AB</t>
        </is>
      </c>
      <c r="G209" t="n">
        <v>5.8</v>
      </c>
      <c r="H209" t="n">
        <v>0</v>
      </c>
      <c r="I209" t="n">
        <v>0</v>
      </c>
      <c r="J209" t="n">
        <v>0</v>
      </c>
      <c r="K209" t="n">
        <v>0</v>
      </c>
      <c r="L209" t="n">
        <v>0</v>
      </c>
      <c r="M209" t="n">
        <v>0</v>
      </c>
      <c r="N209" t="n">
        <v>0</v>
      </c>
      <c r="O209" t="n">
        <v>0</v>
      </c>
      <c r="P209" t="n">
        <v>0</v>
      </c>
      <c r="Q209" t="n">
        <v>0</v>
      </c>
      <c r="R209" s="2" t="inlineStr"/>
    </row>
    <row r="210" ht="15" customHeight="1">
      <c r="A210" t="inlineStr">
        <is>
          <t>A 39693-2025</t>
        </is>
      </c>
      <c r="B210" s="1" t="n">
        <v>45890.68304398148</v>
      </c>
      <c r="C210" s="1" t="n">
        <v>45995</v>
      </c>
      <c r="D210" t="inlineStr">
        <is>
          <t>DALARNAS LÄN</t>
        </is>
      </c>
      <c r="E210" t="inlineStr">
        <is>
          <t>LEKSAND</t>
        </is>
      </c>
      <c r="G210" t="n">
        <v>3.1</v>
      </c>
      <c r="H210" t="n">
        <v>0</v>
      </c>
      <c r="I210" t="n">
        <v>0</v>
      </c>
      <c r="J210" t="n">
        <v>0</v>
      </c>
      <c r="K210" t="n">
        <v>0</v>
      </c>
      <c r="L210" t="n">
        <v>0</v>
      </c>
      <c r="M210" t="n">
        <v>0</v>
      </c>
      <c r="N210" t="n">
        <v>0</v>
      </c>
      <c r="O210" t="n">
        <v>0</v>
      </c>
      <c r="P210" t="n">
        <v>0</v>
      </c>
      <c r="Q210" t="n">
        <v>0</v>
      </c>
      <c r="R210" s="2" t="inlineStr"/>
    </row>
    <row r="211" ht="15" customHeight="1">
      <c r="A211" t="inlineStr">
        <is>
          <t>A 60692-2023</t>
        </is>
      </c>
      <c r="B211" s="1" t="n">
        <v>45260.50008101852</v>
      </c>
      <c r="C211" s="1" t="n">
        <v>45995</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10771-2024</t>
        </is>
      </c>
      <c r="B212" s="1" t="n">
        <v>45369.57342592593</v>
      </c>
      <c r="C212" s="1" t="n">
        <v>45995</v>
      </c>
      <c r="D212" t="inlineStr">
        <is>
          <t>DALARNAS LÄN</t>
        </is>
      </c>
      <c r="E212" t="inlineStr">
        <is>
          <t>LEKSAND</t>
        </is>
      </c>
      <c r="G212" t="n">
        <v>0.4</v>
      </c>
      <c r="H212" t="n">
        <v>0</v>
      </c>
      <c r="I212" t="n">
        <v>0</v>
      </c>
      <c r="J212" t="n">
        <v>0</v>
      </c>
      <c r="K212" t="n">
        <v>0</v>
      </c>
      <c r="L212" t="n">
        <v>0</v>
      </c>
      <c r="M212" t="n">
        <v>0</v>
      </c>
      <c r="N212" t="n">
        <v>0</v>
      </c>
      <c r="O212" t="n">
        <v>0</v>
      </c>
      <c r="P212" t="n">
        <v>0</v>
      </c>
      <c r="Q212" t="n">
        <v>0</v>
      </c>
      <c r="R212" s="2" t="inlineStr"/>
    </row>
    <row r="213" ht="15" customHeight="1">
      <c r="A213" t="inlineStr">
        <is>
          <t>A 18176-2024</t>
        </is>
      </c>
      <c r="B213" s="1" t="n">
        <v>45420.63901620371</v>
      </c>
      <c r="C213" s="1" t="n">
        <v>45995</v>
      </c>
      <c r="D213" t="inlineStr">
        <is>
          <t>DALARNAS LÄN</t>
        </is>
      </c>
      <c r="E213" t="inlineStr">
        <is>
          <t>LEKSAND</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41169-2024</t>
        </is>
      </c>
      <c r="B214" s="1" t="n">
        <v>45559.48637731482</v>
      </c>
      <c r="C214" s="1" t="n">
        <v>45995</v>
      </c>
      <c r="D214" t="inlineStr">
        <is>
          <t>DALARNAS LÄN</t>
        </is>
      </c>
      <c r="E214" t="inlineStr">
        <is>
          <t>LEKSAND</t>
        </is>
      </c>
      <c r="G214" t="n">
        <v>8.9</v>
      </c>
      <c r="H214" t="n">
        <v>0</v>
      </c>
      <c r="I214" t="n">
        <v>0</v>
      </c>
      <c r="J214" t="n">
        <v>0</v>
      </c>
      <c r="K214" t="n">
        <v>0</v>
      </c>
      <c r="L214" t="n">
        <v>0</v>
      </c>
      <c r="M214" t="n">
        <v>0</v>
      </c>
      <c r="N214" t="n">
        <v>0</v>
      </c>
      <c r="O214" t="n">
        <v>0</v>
      </c>
      <c r="P214" t="n">
        <v>0</v>
      </c>
      <c r="Q214" t="n">
        <v>0</v>
      </c>
      <c r="R214" s="2" t="inlineStr"/>
    </row>
    <row r="215" ht="15" customHeight="1">
      <c r="A215" t="inlineStr">
        <is>
          <t>A 55268-2024</t>
        </is>
      </c>
      <c r="B215" s="1" t="n">
        <v>45621.61266203703</v>
      </c>
      <c r="C215" s="1" t="n">
        <v>45995</v>
      </c>
      <c r="D215" t="inlineStr">
        <is>
          <t>DALARNAS LÄN</t>
        </is>
      </c>
      <c r="E215" t="inlineStr">
        <is>
          <t>LEKSAND</t>
        </is>
      </c>
      <c r="G215" t="n">
        <v>4.2</v>
      </c>
      <c r="H215" t="n">
        <v>0</v>
      </c>
      <c r="I215" t="n">
        <v>0</v>
      </c>
      <c r="J215" t="n">
        <v>0</v>
      </c>
      <c r="K215" t="n">
        <v>0</v>
      </c>
      <c r="L215" t="n">
        <v>0</v>
      </c>
      <c r="M215" t="n">
        <v>0</v>
      </c>
      <c r="N215" t="n">
        <v>0</v>
      </c>
      <c r="O215" t="n">
        <v>0</v>
      </c>
      <c r="P215" t="n">
        <v>0</v>
      </c>
      <c r="Q215" t="n">
        <v>0</v>
      </c>
      <c r="R215" s="2" t="inlineStr"/>
    </row>
    <row r="216" ht="15" customHeight="1">
      <c r="A216" t="inlineStr">
        <is>
          <t>A 30204-2024</t>
        </is>
      </c>
      <c r="B216" s="1" t="n">
        <v>45490.35402777778</v>
      </c>
      <c r="C216" s="1" t="n">
        <v>45995</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19618-2024</t>
        </is>
      </c>
      <c r="B217" s="1" t="n">
        <v>45432.32896990741</v>
      </c>
      <c r="C217" s="1" t="n">
        <v>45995</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62130-2024</t>
        </is>
      </c>
      <c r="B218" s="1" t="n">
        <v>45656.61827546296</v>
      </c>
      <c r="C218" s="1" t="n">
        <v>45995</v>
      </c>
      <c r="D218" t="inlineStr">
        <is>
          <t>DALARNAS LÄN</t>
        </is>
      </c>
      <c r="E218" t="inlineStr">
        <is>
          <t>LEKSAND</t>
        </is>
      </c>
      <c r="G218" t="n">
        <v>11.4</v>
      </c>
      <c r="H218" t="n">
        <v>0</v>
      </c>
      <c r="I218" t="n">
        <v>0</v>
      </c>
      <c r="J218" t="n">
        <v>0</v>
      </c>
      <c r="K218" t="n">
        <v>0</v>
      </c>
      <c r="L218" t="n">
        <v>0</v>
      </c>
      <c r="M218" t="n">
        <v>0</v>
      </c>
      <c r="N218" t="n">
        <v>0</v>
      </c>
      <c r="O218" t="n">
        <v>0</v>
      </c>
      <c r="P218" t="n">
        <v>0</v>
      </c>
      <c r="Q218" t="n">
        <v>0</v>
      </c>
      <c r="R218" s="2" t="inlineStr"/>
    </row>
    <row r="219" ht="15" customHeight="1">
      <c r="A219" t="inlineStr">
        <is>
          <t>A 30998-2023</t>
        </is>
      </c>
      <c r="B219" s="1" t="n">
        <v>45113.54193287037</v>
      </c>
      <c r="C219" s="1" t="n">
        <v>45995</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23283-2024</t>
        </is>
      </c>
      <c r="B220" s="1" t="n">
        <v>45453</v>
      </c>
      <c r="C220" s="1" t="n">
        <v>45995</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6519-2025</t>
        </is>
      </c>
      <c r="B221" s="1" t="n">
        <v>45699</v>
      </c>
      <c r="C221" s="1" t="n">
        <v>45995</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9143-2023</t>
        </is>
      </c>
      <c r="B222" s="1" t="n">
        <v>44974</v>
      </c>
      <c r="C222" s="1" t="n">
        <v>45995</v>
      </c>
      <c r="D222" t="inlineStr">
        <is>
          <t>DALARNAS LÄN</t>
        </is>
      </c>
      <c r="E222" t="inlineStr">
        <is>
          <t>LEKSAND</t>
        </is>
      </c>
      <c r="G222" t="n">
        <v>4.3</v>
      </c>
      <c r="H222" t="n">
        <v>0</v>
      </c>
      <c r="I222" t="n">
        <v>0</v>
      </c>
      <c r="J222" t="n">
        <v>0</v>
      </c>
      <c r="K222" t="n">
        <v>0</v>
      </c>
      <c r="L222" t="n">
        <v>0</v>
      </c>
      <c r="M222" t="n">
        <v>0</v>
      </c>
      <c r="N222" t="n">
        <v>0</v>
      </c>
      <c r="O222" t="n">
        <v>0</v>
      </c>
      <c r="P222" t="n">
        <v>0</v>
      </c>
      <c r="Q222" t="n">
        <v>0</v>
      </c>
      <c r="R222" s="2" t="inlineStr"/>
    </row>
    <row r="223" ht="15" customHeight="1">
      <c r="A223" t="inlineStr">
        <is>
          <t>A 46834-2023</t>
        </is>
      </c>
      <c r="B223" s="1" t="n">
        <v>45199.35668981481</v>
      </c>
      <c r="C223" s="1" t="n">
        <v>45995</v>
      </c>
      <c r="D223" t="inlineStr">
        <is>
          <t>DALARNAS LÄN</t>
        </is>
      </c>
      <c r="E223" t="inlineStr">
        <is>
          <t>LEKSAND</t>
        </is>
      </c>
      <c r="G223" t="n">
        <v>16.3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45995</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32688-2024</t>
        </is>
      </c>
      <c r="B225" s="1" t="n">
        <v>45515.83091435185</v>
      </c>
      <c r="C225" s="1" t="n">
        <v>45995</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36262-2023</t>
        </is>
      </c>
      <c r="B226" s="1" t="n">
        <v>45151.9096875</v>
      </c>
      <c r="C226" s="1" t="n">
        <v>45995</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1983-2025</t>
        </is>
      </c>
      <c r="B227" s="1" t="n">
        <v>45670</v>
      </c>
      <c r="C227" s="1" t="n">
        <v>45995</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4121-2024</t>
        </is>
      </c>
      <c r="B228" s="1" t="n">
        <v>45323</v>
      </c>
      <c r="C228" s="1" t="n">
        <v>45995</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72575-2021</t>
        </is>
      </c>
      <c r="B229" s="1" t="n">
        <v>44546</v>
      </c>
      <c r="C229" s="1" t="n">
        <v>45995</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72581-2021</t>
        </is>
      </c>
      <c r="B230" s="1" t="n">
        <v>44546.46354166666</v>
      </c>
      <c r="C230" s="1" t="n">
        <v>45995</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60095-2022</t>
        </is>
      </c>
      <c r="B231" s="1" t="n">
        <v>44909</v>
      </c>
      <c r="C231" s="1" t="n">
        <v>45995</v>
      </c>
      <c r="D231" t="inlineStr">
        <is>
          <t>DALARNAS LÄN</t>
        </is>
      </c>
      <c r="E231" t="inlineStr">
        <is>
          <t>LEKSAND</t>
        </is>
      </c>
      <c r="G231" t="n">
        <v>2.4</v>
      </c>
      <c r="H231" t="n">
        <v>0</v>
      </c>
      <c r="I231" t="n">
        <v>0</v>
      </c>
      <c r="J231" t="n">
        <v>0</v>
      </c>
      <c r="K231" t="n">
        <v>0</v>
      </c>
      <c r="L231" t="n">
        <v>0</v>
      </c>
      <c r="M231" t="n">
        <v>0</v>
      </c>
      <c r="N231" t="n">
        <v>0</v>
      </c>
      <c r="O231" t="n">
        <v>0</v>
      </c>
      <c r="P231" t="n">
        <v>0</v>
      </c>
      <c r="Q231" t="n">
        <v>0</v>
      </c>
      <c r="R231" s="2" t="inlineStr"/>
    </row>
    <row r="232" ht="15" customHeight="1">
      <c r="A232" t="inlineStr">
        <is>
          <t>A 38117-2023</t>
        </is>
      </c>
      <c r="B232" s="1" t="n">
        <v>45161</v>
      </c>
      <c r="C232" s="1" t="n">
        <v>45995</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21402-2023</t>
        </is>
      </c>
      <c r="B233" s="1" t="n">
        <v>45061</v>
      </c>
      <c r="C233" s="1" t="n">
        <v>45995</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11418-2023</t>
        </is>
      </c>
      <c r="B234" s="1" t="n">
        <v>44993</v>
      </c>
      <c r="C234" s="1" t="n">
        <v>45995</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40517-2025</t>
        </is>
      </c>
      <c r="B235" s="1" t="n">
        <v>45896.36368055556</v>
      </c>
      <c r="C235" s="1" t="n">
        <v>45995</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40513-2025</t>
        </is>
      </c>
      <c r="B236" s="1" t="n">
        <v>45896.35100694445</v>
      </c>
      <c r="C236" s="1" t="n">
        <v>45995</v>
      </c>
      <c r="D236" t="inlineStr">
        <is>
          <t>DALARNAS LÄN</t>
        </is>
      </c>
      <c r="E236" t="inlineStr">
        <is>
          <t>LEKSAND</t>
        </is>
      </c>
      <c r="G236" t="n">
        <v>7.1</v>
      </c>
      <c r="H236" t="n">
        <v>0</v>
      </c>
      <c r="I236" t="n">
        <v>0</v>
      </c>
      <c r="J236" t="n">
        <v>0</v>
      </c>
      <c r="K236" t="n">
        <v>0</v>
      </c>
      <c r="L236" t="n">
        <v>0</v>
      </c>
      <c r="M236" t="n">
        <v>0</v>
      </c>
      <c r="N236" t="n">
        <v>0</v>
      </c>
      <c r="O236" t="n">
        <v>0</v>
      </c>
      <c r="P236" t="n">
        <v>0</v>
      </c>
      <c r="Q236" t="n">
        <v>0</v>
      </c>
      <c r="R236" s="2" t="inlineStr"/>
    </row>
    <row r="237" ht="15" customHeight="1">
      <c r="A237" t="inlineStr">
        <is>
          <t>A 39558-2023</t>
        </is>
      </c>
      <c r="B237" s="1" t="n">
        <v>45167.38664351852</v>
      </c>
      <c r="C237" s="1" t="n">
        <v>45995</v>
      </c>
      <c r="D237" t="inlineStr">
        <is>
          <t>DALARNAS LÄN</t>
        </is>
      </c>
      <c r="E237" t="inlineStr">
        <is>
          <t>LEKSAND</t>
        </is>
      </c>
      <c r="G237" t="n">
        <v>39.9</v>
      </c>
      <c r="H237" t="n">
        <v>0</v>
      </c>
      <c r="I237" t="n">
        <v>0</v>
      </c>
      <c r="J237" t="n">
        <v>0</v>
      </c>
      <c r="K237" t="n">
        <v>0</v>
      </c>
      <c r="L237" t="n">
        <v>0</v>
      </c>
      <c r="M237" t="n">
        <v>0</v>
      </c>
      <c r="N237" t="n">
        <v>0</v>
      </c>
      <c r="O237" t="n">
        <v>0</v>
      </c>
      <c r="P237" t="n">
        <v>0</v>
      </c>
      <c r="Q237" t="n">
        <v>0</v>
      </c>
      <c r="R237" s="2" t="inlineStr"/>
    </row>
    <row r="238" ht="15" customHeight="1">
      <c r="A238" t="inlineStr">
        <is>
          <t>A 61614-2023</t>
        </is>
      </c>
      <c r="B238" s="1" t="n">
        <v>45261</v>
      </c>
      <c r="C238" s="1" t="n">
        <v>45995</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43222-2024</t>
        </is>
      </c>
      <c r="B239" s="1" t="n">
        <v>45567.87177083334</v>
      </c>
      <c r="C239" s="1" t="n">
        <v>45995</v>
      </c>
      <c r="D239" t="inlineStr">
        <is>
          <t>DALARNAS LÄN</t>
        </is>
      </c>
      <c r="E239" t="inlineStr">
        <is>
          <t>LEKSAND</t>
        </is>
      </c>
      <c r="F239" t="inlineStr">
        <is>
          <t>Bergvik skog väst AB</t>
        </is>
      </c>
      <c r="G239" t="n">
        <v>8.6</v>
      </c>
      <c r="H239" t="n">
        <v>0</v>
      </c>
      <c r="I239" t="n">
        <v>0</v>
      </c>
      <c r="J239" t="n">
        <v>0</v>
      </c>
      <c r="K239" t="n">
        <v>0</v>
      </c>
      <c r="L239" t="n">
        <v>0</v>
      </c>
      <c r="M239" t="n">
        <v>0</v>
      </c>
      <c r="N239" t="n">
        <v>0</v>
      </c>
      <c r="O239" t="n">
        <v>0</v>
      </c>
      <c r="P239" t="n">
        <v>0</v>
      </c>
      <c r="Q239" t="n">
        <v>0</v>
      </c>
      <c r="R239" s="2" t="inlineStr"/>
    </row>
    <row r="240" ht="15" customHeight="1">
      <c r="A240" t="inlineStr">
        <is>
          <t>A 43231-2024</t>
        </is>
      </c>
      <c r="B240" s="1" t="n">
        <v>45567.89709490741</v>
      </c>
      <c r="C240" s="1" t="n">
        <v>45995</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26062-2024</t>
        </is>
      </c>
      <c r="B241" s="1" t="n">
        <v>45468.3509375</v>
      </c>
      <c r="C241" s="1" t="n">
        <v>45995</v>
      </c>
      <c r="D241" t="inlineStr">
        <is>
          <t>DALARNAS LÄN</t>
        </is>
      </c>
      <c r="E241" t="inlineStr">
        <is>
          <t>LEKSAND</t>
        </is>
      </c>
      <c r="F241" t="inlineStr">
        <is>
          <t>Övriga statliga verk och myndigheter</t>
        </is>
      </c>
      <c r="G241" t="n">
        <v>6.4</v>
      </c>
      <c r="H241" t="n">
        <v>0</v>
      </c>
      <c r="I241" t="n">
        <v>0</v>
      </c>
      <c r="J241" t="n">
        <v>0</v>
      </c>
      <c r="K241" t="n">
        <v>0</v>
      </c>
      <c r="L241" t="n">
        <v>0</v>
      </c>
      <c r="M241" t="n">
        <v>0</v>
      </c>
      <c r="N241" t="n">
        <v>0</v>
      </c>
      <c r="O241" t="n">
        <v>0</v>
      </c>
      <c r="P241" t="n">
        <v>0</v>
      </c>
      <c r="Q241" t="n">
        <v>0</v>
      </c>
      <c r="R241" s="2" t="inlineStr"/>
    </row>
    <row r="242" ht="15" customHeight="1">
      <c r="A242" t="inlineStr">
        <is>
          <t>A 53122-2023</t>
        </is>
      </c>
      <c r="B242" s="1" t="n">
        <v>45228</v>
      </c>
      <c r="C242" s="1" t="n">
        <v>45995</v>
      </c>
      <c r="D242" t="inlineStr">
        <is>
          <t>DALARNAS LÄN</t>
        </is>
      </c>
      <c r="E242" t="inlineStr">
        <is>
          <t>LEKSAND</t>
        </is>
      </c>
      <c r="G242" t="n">
        <v>1.9</v>
      </c>
      <c r="H242" t="n">
        <v>0</v>
      </c>
      <c r="I242" t="n">
        <v>0</v>
      </c>
      <c r="J242" t="n">
        <v>0</v>
      </c>
      <c r="K242" t="n">
        <v>0</v>
      </c>
      <c r="L242" t="n">
        <v>0</v>
      </c>
      <c r="M242" t="n">
        <v>0</v>
      </c>
      <c r="N242" t="n">
        <v>0</v>
      </c>
      <c r="O242" t="n">
        <v>0</v>
      </c>
      <c r="P242" t="n">
        <v>0</v>
      </c>
      <c r="Q242" t="n">
        <v>0</v>
      </c>
      <c r="R242" s="2" t="inlineStr"/>
    </row>
    <row r="243" ht="15" customHeight="1">
      <c r="A243" t="inlineStr">
        <is>
          <t>A 43142-2024</t>
        </is>
      </c>
      <c r="B243" s="1" t="n">
        <v>45567.62144675926</v>
      </c>
      <c r="C243" s="1" t="n">
        <v>45995</v>
      </c>
      <c r="D243" t="inlineStr">
        <is>
          <t>DALARNAS LÄN</t>
        </is>
      </c>
      <c r="E243" t="inlineStr">
        <is>
          <t>LEKSAND</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34585-2024</t>
        </is>
      </c>
      <c r="B244" s="1" t="n">
        <v>45526.37697916666</v>
      </c>
      <c r="C244" s="1" t="n">
        <v>45995</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63514-2023</t>
        </is>
      </c>
      <c r="B245" s="1" t="n">
        <v>45274</v>
      </c>
      <c r="C245" s="1" t="n">
        <v>45995</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47673-2023</t>
        </is>
      </c>
      <c r="B246" s="1" t="n">
        <v>45203</v>
      </c>
      <c r="C246" s="1" t="n">
        <v>45995</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64516-2023</t>
        </is>
      </c>
      <c r="B247" s="1" t="n">
        <v>45280</v>
      </c>
      <c r="C247" s="1" t="n">
        <v>45995</v>
      </c>
      <c r="D247" t="inlineStr">
        <is>
          <t>DALARNAS LÄN</t>
        </is>
      </c>
      <c r="E247" t="inlineStr">
        <is>
          <t>LEKSAND</t>
        </is>
      </c>
      <c r="G247" t="n">
        <v>4.4</v>
      </c>
      <c r="H247" t="n">
        <v>0</v>
      </c>
      <c r="I247" t="n">
        <v>0</v>
      </c>
      <c r="J247" t="n">
        <v>0</v>
      </c>
      <c r="K247" t="n">
        <v>0</v>
      </c>
      <c r="L247" t="n">
        <v>0</v>
      </c>
      <c r="M247" t="n">
        <v>0</v>
      </c>
      <c r="N247" t="n">
        <v>0</v>
      </c>
      <c r="O247" t="n">
        <v>0</v>
      </c>
      <c r="P247" t="n">
        <v>0</v>
      </c>
      <c r="Q247" t="n">
        <v>0</v>
      </c>
      <c r="R247" s="2" t="inlineStr"/>
    </row>
    <row r="248" ht="15" customHeight="1">
      <c r="A248" t="inlineStr">
        <is>
          <t>A 59718-2023</t>
        </is>
      </c>
      <c r="B248" s="1" t="n">
        <v>45257</v>
      </c>
      <c r="C248" s="1" t="n">
        <v>45995</v>
      </c>
      <c r="D248" t="inlineStr">
        <is>
          <t>DALARNAS LÄN</t>
        </is>
      </c>
      <c r="E248" t="inlineStr">
        <is>
          <t>LEKSAND</t>
        </is>
      </c>
      <c r="G248" t="n">
        <v>2.2</v>
      </c>
      <c r="H248" t="n">
        <v>0</v>
      </c>
      <c r="I248" t="n">
        <v>0</v>
      </c>
      <c r="J248" t="n">
        <v>0</v>
      </c>
      <c r="K248" t="n">
        <v>0</v>
      </c>
      <c r="L248" t="n">
        <v>0</v>
      </c>
      <c r="M248" t="n">
        <v>0</v>
      </c>
      <c r="N248" t="n">
        <v>0</v>
      </c>
      <c r="O248" t="n">
        <v>0</v>
      </c>
      <c r="P248" t="n">
        <v>0</v>
      </c>
      <c r="Q248" t="n">
        <v>0</v>
      </c>
      <c r="R248" s="2" t="inlineStr"/>
    </row>
    <row r="249" ht="15" customHeight="1">
      <c r="A249" t="inlineStr">
        <is>
          <t>A 41237-2025</t>
        </is>
      </c>
      <c r="B249" s="1" t="n">
        <v>45898.59570601852</v>
      </c>
      <c r="C249" s="1" t="n">
        <v>45995</v>
      </c>
      <c r="D249" t="inlineStr">
        <is>
          <t>DALARNAS LÄN</t>
        </is>
      </c>
      <c r="E249" t="inlineStr">
        <is>
          <t>LEKSAND</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41248-2025</t>
        </is>
      </c>
      <c r="B250" s="1" t="n">
        <v>45898.60199074074</v>
      </c>
      <c r="C250" s="1" t="n">
        <v>45995</v>
      </c>
      <c r="D250" t="inlineStr">
        <is>
          <t>DALARNAS LÄN</t>
        </is>
      </c>
      <c r="E250" t="inlineStr">
        <is>
          <t>LEKSAND</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41308-2025</t>
        </is>
      </c>
      <c r="B251" s="1" t="n">
        <v>45898</v>
      </c>
      <c r="C251" s="1" t="n">
        <v>45995</v>
      </c>
      <c r="D251" t="inlineStr">
        <is>
          <t>DALARNAS LÄN</t>
        </is>
      </c>
      <c r="E251" t="inlineStr">
        <is>
          <t>LEKSAND</t>
        </is>
      </c>
      <c r="F251" t="inlineStr">
        <is>
          <t>Bergvik skog väst AB</t>
        </is>
      </c>
      <c r="G251" t="n">
        <v>6.7</v>
      </c>
      <c r="H251" t="n">
        <v>0</v>
      </c>
      <c r="I251" t="n">
        <v>0</v>
      </c>
      <c r="J251" t="n">
        <v>0</v>
      </c>
      <c r="K251" t="n">
        <v>0</v>
      </c>
      <c r="L251" t="n">
        <v>0</v>
      </c>
      <c r="M251" t="n">
        <v>0</v>
      </c>
      <c r="N251" t="n">
        <v>0</v>
      </c>
      <c r="O251" t="n">
        <v>0</v>
      </c>
      <c r="P251" t="n">
        <v>0</v>
      </c>
      <c r="Q251" t="n">
        <v>0</v>
      </c>
      <c r="R251" s="2" t="inlineStr"/>
    </row>
    <row r="252" ht="15" customHeight="1">
      <c r="A252" t="inlineStr">
        <is>
          <t>A 7928-2023</t>
        </is>
      </c>
      <c r="B252" s="1" t="n">
        <v>44973</v>
      </c>
      <c r="C252" s="1" t="n">
        <v>45995</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41380-2025</t>
        </is>
      </c>
      <c r="B253" s="1" t="n">
        <v>45900.92826388889</v>
      </c>
      <c r="C253" s="1" t="n">
        <v>45995</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45995</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30994-2023</t>
        </is>
      </c>
      <c r="B255" s="1" t="n">
        <v>45113</v>
      </c>
      <c r="C255" s="1" t="n">
        <v>45995</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30860-2024</t>
        </is>
      </c>
      <c r="B256" s="1" t="n">
        <v>45497.69108796296</v>
      </c>
      <c r="C256" s="1" t="n">
        <v>45995</v>
      </c>
      <c r="D256" t="inlineStr">
        <is>
          <t>DALARNAS LÄN</t>
        </is>
      </c>
      <c r="E256" t="inlineStr">
        <is>
          <t>LEKSAND</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30864-2024</t>
        </is>
      </c>
      <c r="B257" s="1" t="n">
        <v>45497.71550925926</v>
      </c>
      <c r="C257" s="1" t="n">
        <v>45995</v>
      </c>
      <c r="D257" t="inlineStr">
        <is>
          <t>DALARNAS LÄN</t>
        </is>
      </c>
      <c r="E257" t="inlineStr">
        <is>
          <t>LEKSAND</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5582-2024</t>
        </is>
      </c>
      <c r="B258" s="1" t="n">
        <v>45334</v>
      </c>
      <c r="C258" s="1" t="n">
        <v>45995</v>
      </c>
      <c r="D258" t="inlineStr">
        <is>
          <t>DALARNAS LÄN</t>
        </is>
      </c>
      <c r="E258" t="inlineStr">
        <is>
          <t>LEKSAND</t>
        </is>
      </c>
      <c r="G258" t="n">
        <v>0.5</v>
      </c>
      <c r="H258" t="n">
        <v>0</v>
      </c>
      <c r="I258" t="n">
        <v>0</v>
      </c>
      <c r="J258" t="n">
        <v>0</v>
      </c>
      <c r="K258" t="n">
        <v>0</v>
      </c>
      <c r="L258" t="n">
        <v>0</v>
      </c>
      <c r="M258" t="n">
        <v>0</v>
      </c>
      <c r="N258" t="n">
        <v>0</v>
      </c>
      <c r="O258" t="n">
        <v>0</v>
      </c>
      <c r="P258" t="n">
        <v>0</v>
      </c>
      <c r="Q258" t="n">
        <v>0</v>
      </c>
      <c r="R258" s="2" t="inlineStr"/>
    </row>
    <row r="259" ht="15" customHeight="1">
      <c r="A259" t="inlineStr">
        <is>
          <t>A 57665-2023</t>
        </is>
      </c>
      <c r="B259" s="1" t="n">
        <v>45246</v>
      </c>
      <c r="C259" s="1" t="n">
        <v>45995</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5584-2024</t>
        </is>
      </c>
      <c r="B260" s="1" t="n">
        <v>45334</v>
      </c>
      <c r="C260" s="1" t="n">
        <v>45995</v>
      </c>
      <c r="D260" t="inlineStr">
        <is>
          <t>DALARNAS LÄN</t>
        </is>
      </c>
      <c r="E260" t="inlineStr">
        <is>
          <t>LEKSAND</t>
        </is>
      </c>
      <c r="F260" t="inlineStr">
        <is>
          <t>Kyrkan</t>
        </is>
      </c>
      <c r="G260" t="n">
        <v>0.4</v>
      </c>
      <c r="H260" t="n">
        <v>0</v>
      </c>
      <c r="I260" t="n">
        <v>0</v>
      </c>
      <c r="J260" t="n">
        <v>0</v>
      </c>
      <c r="K260" t="n">
        <v>0</v>
      </c>
      <c r="L260" t="n">
        <v>0</v>
      </c>
      <c r="M260" t="n">
        <v>0</v>
      </c>
      <c r="N260" t="n">
        <v>0</v>
      </c>
      <c r="O260" t="n">
        <v>0</v>
      </c>
      <c r="P260" t="n">
        <v>0</v>
      </c>
      <c r="Q260" t="n">
        <v>0</v>
      </c>
      <c r="R260" s="2" t="inlineStr"/>
    </row>
    <row r="261" ht="15" customHeight="1">
      <c r="A261" t="inlineStr">
        <is>
          <t>A 41335-2025</t>
        </is>
      </c>
      <c r="B261" s="1" t="n">
        <v>45899.36747685185</v>
      </c>
      <c r="C261" s="1" t="n">
        <v>45995</v>
      </c>
      <c r="D261" t="inlineStr">
        <is>
          <t>DALARNAS LÄN</t>
        </is>
      </c>
      <c r="E261" t="inlineStr">
        <is>
          <t>LEKSAND</t>
        </is>
      </c>
      <c r="G261" t="n">
        <v>5.9</v>
      </c>
      <c r="H261" t="n">
        <v>0</v>
      </c>
      <c r="I261" t="n">
        <v>0</v>
      </c>
      <c r="J261" t="n">
        <v>0</v>
      </c>
      <c r="K261" t="n">
        <v>0</v>
      </c>
      <c r="L261" t="n">
        <v>0</v>
      </c>
      <c r="M261" t="n">
        <v>0</v>
      </c>
      <c r="N261" t="n">
        <v>0</v>
      </c>
      <c r="O261" t="n">
        <v>0</v>
      </c>
      <c r="P261" t="n">
        <v>0</v>
      </c>
      <c r="Q261" t="n">
        <v>0</v>
      </c>
      <c r="R261" s="2" t="inlineStr"/>
    </row>
    <row r="262" ht="15" customHeight="1">
      <c r="A262" t="inlineStr">
        <is>
          <t>A 41487-2025</t>
        </is>
      </c>
      <c r="B262" s="1" t="n">
        <v>45901.4815625</v>
      </c>
      <c r="C262" s="1" t="n">
        <v>45995</v>
      </c>
      <c r="D262" t="inlineStr">
        <is>
          <t>DALARNAS LÄN</t>
        </is>
      </c>
      <c r="E262" t="inlineStr">
        <is>
          <t>LEKSAND</t>
        </is>
      </c>
      <c r="F262" t="inlineStr">
        <is>
          <t>Bergvik skog väst AB</t>
        </is>
      </c>
      <c r="G262" t="n">
        <v>7.3</v>
      </c>
      <c r="H262" t="n">
        <v>0</v>
      </c>
      <c r="I262" t="n">
        <v>0</v>
      </c>
      <c r="J262" t="n">
        <v>0</v>
      </c>
      <c r="K262" t="n">
        <v>0</v>
      </c>
      <c r="L262" t="n">
        <v>0</v>
      </c>
      <c r="M262" t="n">
        <v>0</v>
      </c>
      <c r="N262" t="n">
        <v>0</v>
      </c>
      <c r="O262" t="n">
        <v>0</v>
      </c>
      <c r="P262" t="n">
        <v>0</v>
      </c>
      <c r="Q262" t="n">
        <v>0</v>
      </c>
      <c r="R262" s="2" t="inlineStr"/>
    </row>
    <row r="263" ht="15" customHeight="1">
      <c r="A263" t="inlineStr">
        <is>
          <t>A 51480-2022</t>
        </is>
      </c>
      <c r="B263" s="1" t="n">
        <v>44869.57961805556</v>
      </c>
      <c r="C263" s="1" t="n">
        <v>45995</v>
      </c>
      <c r="D263" t="inlineStr">
        <is>
          <t>DALARNAS LÄN</t>
        </is>
      </c>
      <c r="E263" t="inlineStr">
        <is>
          <t>LEKSAND</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40752-2024</t>
        </is>
      </c>
      <c r="B264" s="1" t="n">
        <v>45558.45638888889</v>
      </c>
      <c r="C264" s="1" t="n">
        <v>45995</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23892-2025</t>
        </is>
      </c>
      <c r="B265" s="1" t="n">
        <v>45793</v>
      </c>
      <c r="C265" s="1" t="n">
        <v>45995</v>
      </c>
      <c r="D265" t="inlineStr">
        <is>
          <t>DALARNAS LÄN</t>
        </is>
      </c>
      <c r="E265" t="inlineStr">
        <is>
          <t>LEKSAND</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53799-2023</t>
        </is>
      </c>
      <c r="B266" s="1" t="n">
        <v>45231.35564814815</v>
      </c>
      <c r="C266" s="1" t="n">
        <v>45995</v>
      </c>
      <c r="D266" t="inlineStr">
        <is>
          <t>DALARNAS LÄN</t>
        </is>
      </c>
      <c r="E266" t="inlineStr">
        <is>
          <t>LEKSAND</t>
        </is>
      </c>
      <c r="F266" t="inlineStr">
        <is>
          <t>Bergvik skog väst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43237-2024</t>
        </is>
      </c>
      <c r="B267" s="1" t="n">
        <v>45567</v>
      </c>
      <c r="C267" s="1" t="n">
        <v>45995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40193-2024</t>
        </is>
      </c>
      <c r="B268" s="1" t="n">
        <v>45554.5734375</v>
      </c>
      <c r="C268" s="1" t="n">
        <v>45995</v>
      </c>
      <c r="D268" t="inlineStr">
        <is>
          <t>DALARNAS LÄN</t>
        </is>
      </c>
      <c r="E268" t="inlineStr">
        <is>
          <t>LEKSAND</t>
        </is>
      </c>
      <c r="F268" t="inlineStr">
        <is>
          <t>Övriga statliga verk och myndigheter</t>
        </is>
      </c>
      <c r="G268" t="n">
        <v>1</v>
      </c>
      <c r="H268" t="n">
        <v>0</v>
      </c>
      <c r="I268" t="n">
        <v>0</v>
      </c>
      <c r="J268" t="n">
        <v>0</v>
      </c>
      <c r="K268" t="n">
        <v>0</v>
      </c>
      <c r="L268" t="n">
        <v>0</v>
      </c>
      <c r="M268" t="n">
        <v>0</v>
      </c>
      <c r="N268" t="n">
        <v>0</v>
      </c>
      <c r="O268" t="n">
        <v>0</v>
      </c>
      <c r="P268" t="n">
        <v>0</v>
      </c>
      <c r="Q268" t="n">
        <v>0</v>
      </c>
      <c r="R268" s="2" t="inlineStr"/>
    </row>
    <row r="269" ht="15" customHeight="1">
      <c r="A269" t="inlineStr">
        <is>
          <t>A 42284-2025</t>
        </is>
      </c>
      <c r="B269" s="1" t="n">
        <v>45903</v>
      </c>
      <c r="C269" s="1" t="n">
        <v>45995</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31728-2024</t>
        </is>
      </c>
      <c r="B270" s="1" t="n">
        <v>45509.34517361111</v>
      </c>
      <c r="C270" s="1" t="n">
        <v>45995</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32394-2024</t>
        </is>
      </c>
      <c r="B271" s="1" t="n">
        <v>45512.64349537037</v>
      </c>
      <c r="C271" s="1" t="n">
        <v>45995</v>
      </c>
      <c r="D271" t="inlineStr">
        <is>
          <t>DALARNAS LÄN</t>
        </is>
      </c>
      <c r="E271" t="inlineStr">
        <is>
          <t>LEKSAND</t>
        </is>
      </c>
      <c r="F271" t="inlineStr">
        <is>
          <t>Bergvik skog väst AB</t>
        </is>
      </c>
      <c r="G271" t="n">
        <v>6</v>
      </c>
      <c r="H271" t="n">
        <v>0</v>
      </c>
      <c r="I271" t="n">
        <v>0</v>
      </c>
      <c r="J271" t="n">
        <v>0</v>
      </c>
      <c r="K271" t="n">
        <v>0</v>
      </c>
      <c r="L271" t="n">
        <v>0</v>
      </c>
      <c r="M271" t="n">
        <v>0</v>
      </c>
      <c r="N271" t="n">
        <v>0</v>
      </c>
      <c r="O271" t="n">
        <v>0</v>
      </c>
      <c r="P271" t="n">
        <v>0</v>
      </c>
      <c r="Q271" t="n">
        <v>0</v>
      </c>
      <c r="R271" s="2" t="inlineStr"/>
    </row>
    <row r="272" ht="15" customHeight="1">
      <c r="A272" t="inlineStr">
        <is>
          <t>A 34482-2022</t>
        </is>
      </c>
      <c r="B272" s="1" t="n">
        <v>44792</v>
      </c>
      <c r="C272" s="1" t="n">
        <v>45995</v>
      </c>
      <c r="D272" t="inlineStr">
        <is>
          <t>DALARNAS LÄN</t>
        </is>
      </c>
      <c r="E272" t="inlineStr">
        <is>
          <t>LEKSAND</t>
        </is>
      </c>
      <c r="G272" t="n">
        <v>2.6</v>
      </c>
      <c r="H272" t="n">
        <v>0</v>
      </c>
      <c r="I272" t="n">
        <v>0</v>
      </c>
      <c r="J272" t="n">
        <v>0</v>
      </c>
      <c r="K272" t="n">
        <v>0</v>
      </c>
      <c r="L272" t="n">
        <v>0</v>
      </c>
      <c r="M272" t="n">
        <v>0</v>
      </c>
      <c r="N272" t="n">
        <v>0</v>
      </c>
      <c r="O272" t="n">
        <v>0</v>
      </c>
      <c r="P272" t="n">
        <v>0</v>
      </c>
      <c r="Q272" t="n">
        <v>0</v>
      </c>
      <c r="R272" s="2" t="inlineStr"/>
    </row>
    <row r="273" ht="15" customHeight="1">
      <c r="A273" t="inlineStr">
        <is>
          <t>A 17485-2025</t>
        </is>
      </c>
      <c r="B273" s="1" t="n">
        <v>45757.49976851852</v>
      </c>
      <c r="C273" s="1" t="n">
        <v>45995</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58244-2024</t>
        </is>
      </c>
      <c r="B274" s="1" t="n">
        <v>45631</v>
      </c>
      <c r="C274" s="1" t="n">
        <v>45995</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43221-2024</t>
        </is>
      </c>
      <c r="B275" s="1" t="n">
        <v>45567.86695601852</v>
      </c>
      <c r="C275" s="1" t="n">
        <v>45995</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30595-2023</t>
        </is>
      </c>
      <c r="B276" s="1" t="n">
        <v>45112</v>
      </c>
      <c r="C276" s="1" t="n">
        <v>45995</v>
      </c>
      <c r="D276" t="inlineStr">
        <is>
          <t>DALARNAS LÄN</t>
        </is>
      </c>
      <c r="E276" t="inlineStr">
        <is>
          <t>LEKSAND</t>
        </is>
      </c>
      <c r="G276" t="n">
        <v>1.1</v>
      </c>
      <c r="H276" t="n">
        <v>0</v>
      </c>
      <c r="I276" t="n">
        <v>0</v>
      </c>
      <c r="J276" t="n">
        <v>0</v>
      </c>
      <c r="K276" t="n">
        <v>0</v>
      </c>
      <c r="L276" t="n">
        <v>0</v>
      </c>
      <c r="M276" t="n">
        <v>0</v>
      </c>
      <c r="N276" t="n">
        <v>0</v>
      </c>
      <c r="O276" t="n">
        <v>0</v>
      </c>
      <c r="P276" t="n">
        <v>0</v>
      </c>
      <c r="Q276" t="n">
        <v>0</v>
      </c>
      <c r="R276" s="2" t="inlineStr"/>
    </row>
    <row r="277" ht="15" customHeight="1">
      <c r="A277" t="inlineStr">
        <is>
          <t>A 62161-2024</t>
        </is>
      </c>
      <c r="B277" s="1" t="n">
        <v>45656.86009259259</v>
      </c>
      <c r="C277" s="1" t="n">
        <v>45995</v>
      </c>
      <c r="D277" t="inlineStr">
        <is>
          <t>DALARNAS LÄN</t>
        </is>
      </c>
      <c r="E277" t="inlineStr">
        <is>
          <t>LEKSAND</t>
        </is>
      </c>
      <c r="G277" t="n">
        <v>2</v>
      </c>
      <c r="H277" t="n">
        <v>0</v>
      </c>
      <c r="I277" t="n">
        <v>0</v>
      </c>
      <c r="J277" t="n">
        <v>0</v>
      </c>
      <c r="K277" t="n">
        <v>0</v>
      </c>
      <c r="L277" t="n">
        <v>0</v>
      </c>
      <c r="M277" t="n">
        <v>0</v>
      </c>
      <c r="N277" t="n">
        <v>0</v>
      </c>
      <c r="O277" t="n">
        <v>0</v>
      </c>
      <c r="P277" t="n">
        <v>0</v>
      </c>
      <c r="Q277" t="n">
        <v>0</v>
      </c>
      <c r="R277" s="2" t="inlineStr"/>
    </row>
    <row r="278" ht="15" customHeight="1">
      <c r="A278" t="inlineStr">
        <is>
          <t>A 11606-2025</t>
        </is>
      </c>
      <c r="B278" s="1" t="n">
        <v>45727</v>
      </c>
      <c r="C278" s="1" t="n">
        <v>45995</v>
      </c>
      <c r="D278" t="inlineStr">
        <is>
          <t>DALARNAS LÄN</t>
        </is>
      </c>
      <c r="E278" t="inlineStr">
        <is>
          <t>LEKSAND</t>
        </is>
      </c>
      <c r="G278" t="n">
        <v>2.3</v>
      </c>
      <c r="H278" t="n">
        <v>0</v>
      </c>
      <c r="I278" t="n">
        <v>0</v>
      </c>
      <c r="J278" t="n">
        <v>0</v>
      </c>
      <c r="K278" t="n">
        <v>0</v>
      </c>
      <c r="L278" t="n">
        <v>0</v>
      </c>
      <c r="M278" t="n">
        <v>0</v>
      </c>
      <c r="N278" t="n">
        <v>0</v>
      </c>
      <c r="O278" t="n">
        <v>0</v>
      </c>
      <c r="P278" t="n">
        <v>0</v>
      </c>
      <c r="Q278" t="n">
        <v>0</v>
      </c>
      <c r="R278" s="2" t="inlineStr"/>
    </row>
    <row r="279" ht="15" customHeight="1">
      <c r="A279" t="inlineStr">
        <is>
          <t>A 21954-2023</t>
        </is>
      </c>
      <c r="B279" s="1" t="n">
        <v>45068</v>
      </c>
      <c r="C279" s="1" t="n">
        <v>45995</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8743-2023</t>
        </is>
      </c>
      <c r="B280" s="1" t="n">
        <v>44978</v>
      </c>
      <c r="C280" s="1" t="n">
        <v>45995</v>
      </c>
      <c r="D280" t="inlineStr">
        <is>
          <t>DALARNAS LÄN</t>
        </is>
      </c>
      <c r="E280" t="inlineStr">
        <is>
          <t>LEKSAND</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45995</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56943-2024</t>
        </is>
      </c>
      <c r="B282" s="1" t="n">
        <v>45625</v>
      </c>
      <c r="C282" s="1" t="n">
        <v>45995</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63544-2023</t>
        </is>
      </c>
      <c r="B283" s="1" t="n">
        <v>45275</v>
      </c>
      <c r="C283" s="1" t="n">
        <v>45995</v>
      </c>
      <c r="D283" t="inlineStr">
        <is>
          <t>DALARNAS LÄN</t>
        </is>
      </c>
      <c r="E283" t="inlineStr">
        <is>
          <t>LEKSAND</t>
        </is>
      </c>
      <c r="G283" t="n">
        <v>0.3</v>
      </c>
      <c r="H283" t="n">
        <v>0</v>
      </c>
      <c r="I283" t="n">
        <v>0</v>
      </c>
      <c r="J283" t="n">
        <v>0</v>
      </c>
      <c r="K283" t="n">
        <v>0</v>
      </c>
      <c r="L283" t="n">
        <v>0</v>
      </c>
      <c r="M283" t="n">
        <v>0</v>
      </c>
      <c r="N283" t="n">
        <v>0</v>
      </c>
      <c r="O283" t="n">
        <v>0</v>
      </c>
      <c r="P283" t="n">
        <v>0</v>
      </c>
      <c r="Q283" t="n">
        <v>0</v>
      </c>
      <c r="R283" s="2" t="inlineStr"/>
    </row>
    <row r="284" ht="15" customHeight="1">
      <c r="A284" t="inlineStr">
        <is>
          <t>A 15257-2025</t>
        </is>
      </c>
      <c r="B284" s="1" t="n">
        <v>45744</v>
      </c>
      <c r="C284" s="1" t="n">
        <v>45995</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22388-2024</t>
        </is>
      </c>
      <c r="B285" s="1" t="n">
        <v>45446</v>
      </c>
      <c r="C285" s="1" t="n">
        <v>45995</v>
      </c>
      <c r="D285" t="inlineStr">
        <is>
          <t>DALARNAS LÄN</t>
        </is>
      </c>
      <c r="E285" t="inlineStr">
        <is>
          <t>LEKSAND</t>
        </is>
      </c>
      <c r="F285" t="inlineStr">
        <is>
          <t>Bergvik skog väst AB</t>
        </is>
      </c>
      <c r="G285" t="n">
        <v>5.3</v>
      </c>
      <c r="H285" t="n">
        <v>0</v>
      </c>
      <c r="I285" t="n">
        <v>0</v>
      </c>
      <c r="J285" t="n">
        <v>0</v>
      </c>
      <c r="K285" t="n">
        <v>0</v>
      </c>
      <c r="L285" t="n">
        <v>0</v>
      </c>
      <c r="M285" t="n">
        <v>0</v>
      </c>
      <c r="N285" t="n">
        <v>0</v>
      </c>
      <c r="O285" t="n">
        <v>0</v>
      </c>
      <c r="P285" t="n">
        <v>0</v>
      </c>
      <c r="Q285" t="n">
        <v>0</v>
      </c>
      <c r="R285" s="2" t="inlineStr"/>
    </row>
    <row r="286" ht="15" customHeight="1">
      <c r="A286" t="inlineStr">
        <is>
          <t>A 24142-2021</t>
        </is>
      </c>
      <c r="B286" s="1" t="n">
        <v>44336</v>
      </c>
      <c r="C286" s="1" t="n">
        <v>45995</v>
      </c>
      <c r="D286" t="inlineStr">
        <is>
          <t>DALARNAS LÄN</t>
        </is>
      </c>
      <c r="E286" t="inlineStr">
        <is>
          <t>LEKSAND</t>
        </is>
      </c>
      <c r="F286" t="inlineStr">
        <is>
          <t>Bergvik skog väst AB</t>
        </is>
      </c>
      <c r="G286" t="n">
        <v>18.9</v>
      </c>
      <c r="H286" t="n">
        <v>0</v>
      </c>
      <c r="I286" t="n">
        <v>0</v>
      </c>
      <c r="J286" t="n">
        <v>0</v>
      </c>
      <c r="K286" t="n">
        <v>0</v>
      </c>
      <c r="L286" t="n">
        <v>0</v>
      </c>
      <c r="M286" t="n">
        <v>0</v>
      </c>
      <c r="N286" t="n">
        <v>0</v>
      </c>
      <c r="O286" t="n">
        <v>0</v>
      </c>
      <c r="P286" t="n">
        <v>0</v>
      </c>
      <c r="Q286" t="n">
        <v>0</v>
      </c>
      <c r="R286" s="2" t="inlineStr"/>
    </row>
    <row r="287" ht="15" customHeight="1">
      <c r="A287" t="inlineStr">
        <is>
          <t>A 15120-2023</t>
        </is>
      </c>
      <c r="B287" s="1" t="n">
        <v>45016.46484953703</v>
      </c>
      <c r="C287" s="1" t="n">
        <v>45995</v>
      </c>
      <c r="D287" t="inlineStr">
        <is>
          <t>DALARNAS LÄN</t>
        </is>
      </c>
      <c r="E287" t="inlineStr">
        <is>
          <t>LEKSAND</t>
        </is>
      </c>
      <c r="G287" t="n">
        <v>2.7</v>
      </c>
      <c r="H287" t="n">
        <v>0</v>
      </c>
      <c r="I287" t="n">
        <v>0</v>
      </c>
      <c r="J287" t="n">
        <v>0</v>
      </c>
      <c r="K287" t="n">
        <v>0</v>
      </c>
      <c r="L287" t="n">
        <v>0</v>
      </c>
      <c r="M287" t="n">
        <v>0</v>
      </c>
      <c r="N287" t="n">
        <v>0</v>
      </c>
      <c r="O287" t="n">
        <v>0</v>
      </c>
      <c r="P287" t="n">
        <v>0</v>
      </c>
      <c r="Q287" t="n">
        <v>0</v>
      </c>
      <c r="R287" s="2" t="inlineStr"/>
    </row>
    <row r="288" ht="15" customHeight="1">
      <c r="A288" t="inlineStr">
        <is>
          <t>A 16815-2025</t>
        </is>
      </c>
      <c r="B288" s="1" t="n">
        <v>45754</v>
      </c>
      <c r="C288" s="1" t="n">
        <v>45995</v>
      </c>
      <c r="D288" t="inlineStr">
        <is>
          <t>DALARNAS LÄN</t>
        </is>
      </c>
      <c r="E288" t="inlineStr">
        <is>
          <t>LEKSAND</t>
        </is>
      </c>
      <c r="G288" t="n">
        <v>2.8</v>
      </c>
      <c r="H288" t="n">
        <v>0</v>
      </c>
      <c r="I288" t="n">
        <v>0</v>
      </c>
      <c r="J288" t="n">
        <v>0</v>
      </c>
      <c r="K288" t="n">
        <v>0</v>
      </c>
      <c r="L288" t="n">
        <v>0</v>
      </c>
      <c r="M288" t="n">
        <v>0</v>
      </c>
      <c r="N288" t="n">
        <v>0</v>
      </c>
      <c r="O288" t="n">
        <v>0</v>
      </c>
      <c r="P288" t="n">
        <v>0</v>
      </c>
      <c r="Q288" t="n">
        <v>0</v>
      </c>
      <c r="R288" s="2" t="inlineStr"/>
    </row>
    <row r="289" ht="15" customHeight="1">
      <c r="A289" t="inlineStr">
        <is>
          <t>A 42402-2025</t>
        </is>
      </c>
      <c r="B289" s="1" t="n">
        <v>45905.3753125</v>
      </c>
      <c r="C289" s="1" t="n">
        <v>45995</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17413-2023</t>
        </is>
      </c>
      <c r="B290" s="1" t="n">
        <v>45035</v>
      </c>
      <c r="C290" s="1" t="n">
        <v>45995</v>
      </c>
      <c r="D290" t="inlineStr">
        <is>
          <t>DALARNAS LÄN</t>
        </is>
      </c>
      <c r="E290" t="inlineStr">
        <is>
          <t>LEKSAND</t>
        </is>
      </c>
      <c r="G290" t="n">
        <v>1.7</v>
      </c>
      <c r="H290" t="n">
        <v>0</v>
      </c>
      <c r="I290" t="n">
        <v>0</v>
      </c>
      <c r="J290" t="n">
        <v>0</v>
      </c>
      <c r="K290" t="n">
        <v>0</v>
      </c>
      <c r="L290" t="n">
        <v>0</v>
      </c>
      <c r="M290" t="n">
        <v>0</v>
      </c>
      <c r="N290" t="n">
        <v>0</v>
      </c>
      <c r="O290" t="n">
        <v>0</v>
      </c>
      <c r="P290" t="n">
        <v>0</v>
      </c>
      <c r="Q290" t="n">
        <v>0</v>
      </c>
      <c r="R290" s="2" t="inlineStr"/>
    </row>
    <row r="291" ht="15" customHeight="1">
      <c r="A291" t="inlineStr">
        <is>
          <t>A 61208-2023</t>
        </is>
      </c>
      <c r="B291" s="1" t="n">
        <v>45260</v>
      </c>
      <c r="C291" s="1" t="n">
        <v>45995</v>
      </c>
      <c r="D291" t="inlineStr">
        <is>
          <t>DALARNAS LÄN</t>
        </is>
      </c>
      <c r="E291" t="inlineStr">
        <is>
          <t>LEKSAND</t>
        </is>
      </c>
      <c r="G291" t="n">
        <v>1.7</v>
      </c>
      <c r="H291" t="n">
        <v>0</v>
      </c>
      <c r="I291" t="n">
        <v>0</v>
      </c>
      <c r="J291" t="n">
        <v>0</v>
      </c>
      <c r="K291" t="n">
        <v>0</v>
      </c>
      <c r="L291" t="n">
        <v>0</v>
      </c>
      <c r="M291" t="n">
        <v>0</v>
      </c>
      <c r="N291" t="n">
        <v>0</v>
      </c>
      <c r="O291" t="n">
        <v>0</v>
      </c>
      <c r="P291" t="n">
        <v>0</v>
      </c>
      <c r="Q291" t="n">
        <v>0</v>
      </c>
      <c r="R291" s="2" t="inlineStr"/>
    </row>
    <row r="292" ht="15" customHeight="1">
      <c r="A292" t="inlineStr">
        <is>
          <t>A 52977-2022</t>
        </is>
      </c>
      <c r="B292" s="1" t="n">
        <v>44875</v>
      </c>
      <c r="C292" s="1" t="n">
        <v>45995</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28032-2024</t>
        </is>
      </c>
      <c r="B293" s="1" t="n">
        <v>45476.49346064815</v>
      </c>
      <c r="C293" s="1" t="n">
        <v>45995</v>
      </c>
      <c r="D293" t="inlineStr">
        <is>
          <t>DALARNAS LÄN</t>
        </is>
      </c>
      <c r="E293" t="inlineStr">
        <is>
          <t>LEKSAND</t>
        </is>
      </c>
      <c r="G293" t="n">
        <v>2</v>
      </c>
      <c r="H293" t="n">
        <v>0</v>
      </c>
      <c r="I293" t="n">
        <v>0</v>
      </c>
      <c r="J293" t="n">
        <v>0</v>
      </c>
      <c r="K293" t="n">
        <v>0</v>
      </c>
      <c r="L293" t="n">
        <v>0</v>
      </c>
      <c r="M293" t="n">
        <v>0</v>
      </c>
      <c r="N293" t="n">
        <v>0</v>
      </c>
      <c r="O293" t="n">
        <v>0</v>
      </c>
      <c r="P293" t="n">
        <v>0</v>
      </c>
      <c r="Q293" t="n">
        <v>0</v>
      </c>
      <c r="R293" s="2" t="inlineStr"/>
    </row>
    <row r="294" ht="15" customHeight="1">
      <c r="A294" t="inlineStr">
        <is>
          <t>A 19550-2023</t>
        </is>
      </c>
      <c r="B294" s="1" t="n">
        <v>45049</v>
      </c>
      <c r="C294" s="1" t="n">
        <v>45995</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33593-2024</t>
        </is>
      </c>
      <c r="B295" s="1" t="n">
        <v>45520.36055555556</v>
      </c>
      <c r="C295" s="1" t="n">
        <v>45995</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25921-2024</t>
        </is>
      </c>
      <c r="B296" s="1" t="n">
        <v>45467.6053587963</v>
      </c>
      <c r="C296" s="1" t="n">
        <v>45995</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24714-2025</t>
        </is>
      </c>
      <c r="B297" s="1" t="n">
        <v>45798.96927083333</v>
      </c>
      <c r="C297" s="1" t="n">
        <v>45995</v>
      </c>
      <c r="D297" t="inlineStr">
        <is>
          <t>DALARNAS LÄN</t>
        </is>
      </c>
      <c r="E297" t="inlineStr">
        <is>
          <t>LEKSAND</t>
        </is>
      </c>
      <c r="F297" t="inlineStr">
        <is>
          <t>Bergvik skog väst AB</t>
        </is>
      </c>
      <c r="G297" t="n">
        <v>6.2</v>
      </c>
      <c r="H297" t="n">
        <v>0</v>
      </c>
      <c r="I297" t="n">
        <v>0</v>
      </c>
      <c r="J297" t="n">
        <v>0</v>
      </c>
      <c r="K297" t="n">
        <v>0</v>
      </c>
      <c r="L297" t="n">
        <v>0</v>
      </c>
      <c r="M297" t="n">
        <v>0</v>
      </c>
      <c r="N297" t="n">
        <v>0</v>
      </c>
      <c r="O297" t="n">
        <v>0</v>
      </c>
      <c r="P297" t="n">
        <v>0</v>
      </c>
      <c r="Q297" t="n">
        <v>0</v>
      </c>
      <c r="R297" s="2" t="inlineStr"/>
    </row>
    <row r="298" ht="15" customHeight="1">
      <c r="A298" t="inlineStr">
        <is>
          <t>A 47203-2023</t>
        </is>
      </c>
      <c r="B298" s="1" t="n">
        <v>45202</v>
      </c>
      <c r="C298" s="1" t="n">
        <v>45995</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9105-2024</t>
        </is>
      </c>
      <c r="B299" s="1" t="n">
        <v>45357</v>
      </c>
      <c r="C299" s="1" t="n">
        <v>45995</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28892-2022</t>
        </is>
      </c>
      <c r="B300" s="1" t="n">
        <v>44749</v>
      </c>
      <c r="C300" s="1" t="n">
        <v>45995</v>
      </c>
      <c r="D300" t="inlineStr">
        <is>
          <t>DALARNAS LÄN</t>
        </is>
      </c>
      <c r="E300" t="inlineStr">
        <is>
          <t>LEKSAND</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45995</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45995</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61787-2022</t>
        </is>
      </c>
      <c r="B303" s="1" t="n">
        <v>44917</v>
      </c>
      <c r="C303" s="1" t="n">
        <v>45995</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320-2023</t>
        </is>
      </c>
      <c r="B304" s="1" t="n">
        <v>44929</v>
      </c>
      <c r="C304" s="1" t="n">
        <v>45995</v>
      </c>
      <c r="D304" t="inlineStr">
        <is>
          <t>DALARNAS LÄN</t>
        </is>
      </c>
      <c r="E304" t="inlineStr">
        <is>
          <t>LEKSAND</t>
        </is>
      </c>
      <c r="F304" t="inlineStr">
        <is>
          <t>Övriga Aktiebolag</t>
        </is>
      </c>
      <c r="G304" t="n">
        <v>5.4</v>
      </c>
      <c r="H304" t="n">
        <v>0</v>
      </c>
      <c r="I304" t="n">
        <v>0</v>
      </c>
      <c r="J304" t="n">
        <v>0</v>
      </c>
      <c r="K304" t="n">
        <v>0</v>
      </c>
      <c r="L304" t="n">
        <v>0</v>
      </c>
      <c r="M304" t="n">
        <v>0</v>
      </c>
      <c r="N304" t="n">
        <v>0</v>
      </c>
      <c r="O304" t="n">
        <v>0</v>
      </c>
      <c r="P304" t="n">
        <v>0</v>
      </c>
      <c r="Q304" t="n">
        <v>0</v>
      </c>
      <c r="R304" s="2" t="inlineStr"/>
    </row>
    <row r="305" ht="15" customHeight="1">
      <c r="A305" t="inlineStr">
        <is>
          <t>A 28913-2024</t>
        </is>
      </c>
      <c r="B305" s="1" t="n">
        <v>45480.75318287037</v>
      </c>
      <c r="C305" s="1" t="n">
        <v>45995</v>
      </c>
      <c r="D305" t="inlineStr">
        <is>
          <t>DALARNAS LÄN</t>
        </is>
      </c>
      <c r="E305" t="inlineStr">
        <is>
          <t>LEKSAND</t>
        </is>
      </c>
      <c r="G305" t="n">
        <v>1.5</v>
      </c>
      <c r="H305" t="n">
        <v>0</v>
      </c>
      <c r="I305" t="n">
        <v>0</v>
      </c>
      <c r="J305" t="n">
        <v>0</v>
      </c>
      <c r="K305" t="n">
        <v>0</v>
      </c>
      <c r="L305" t="n">
        <v>0</v>
      </c>
      <c r="M305" t="n">
        <v>0</v>
      </c>
      <c r="N305" t="n">
        <v>0</v>
      </c>
      <c r="O305" t="n">
        <v>0</v>
      </c>
      <c r="P305" t="n">
        <v>0</v>
      </c>
      <c r="Q305" t="n">
        <v>0</v>
      </c>
      <c r="R305" s="2" t="inlineStr"/>
    </row>
    <row r="306" ht="15" customHeight="1">
      <c r="A306" t="inlineStr">
        <is>
          <t>A 9138-2023</t>
        </is>
      </c>
      <c r="B306" s="1" t="n">
        <v>44974</v>
      </c>
      <c r="C306" s="1" t="n">
        <v>45995</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43195-2025</t>
        </is>
      </c>
      <c r="B307" s="1" t="n">
        <v>45910.4294212963</v>
      </c>
      <c r="C307" s="1" t="n">
        <v>45995</v>
      </c>
      <c r="D307" t="inlineStr">
        <is>
          <t>DALARNAS LÄN</t>
        </is>
      </c>
      <c r="E307" t="inlineStr">
        <is>
          <t>LEKSAND</t>
        </is>
      </c>
      <c r="G307" t="n">
        <v>2.5</v>
      </c>
      <c r="H307" t="n">
        <v>0</v>
      </c>
      <c r="I307" t="n">
        <v>0</v>
      </c>
      <c r="J307" t="n">
        <v>0</v>
      </c>
      <c r="K307" t="n">
        <v>0</v>
      </c>
      <c r="L307" t="n">
        <v>0</v>
      </c>
      <c r="M307" t="n">
        <v>0</v>
      </c>
      <c r="N307" t="n">
        <v>0</v>
      </c>
      <c r="O307" t="n">
        <v>0</v>
      </c>
      <c r="P307" t="n">
        <v>0</v>
      </c>
      <c r="Q307" t="n">
        <v>0</v>
      </c>
      <c r="R307" s="2" t="inlineStr"/>
    </row>
    <row r="308" ht="15" customHeight="1">
      <c r="A308" t="inlineStr">
        <is>
          <t>A 43158-2025</t>
        </is>
      </c>
      <c r="B308" s="1" t="n">
        <v>45910.35496527778</v>
      </c>
      <c r="C308" s="1" t="n">
        <v>45995</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39921-2024</t>
        </is>
      </c>
      <c r="B309" s="1" t="n">
        <v>45553</v>
      </c>
      <c r="C309" s="1" t="n">
        <v>45995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41015-2024</t>
        </is>
      </c>
      <c r="B310" s="1" t="n">
        <v>45559.32537037037</v>
      </c>
      <c r="C310" s="1" t="n">
        <v>45995</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6050-2023</t>
        </is>
      </c>
      <c r="B311" s="1" t="n">
        <v>44959</v>
      </c>
      <c r="C311" s="1" t="n">
        <v>45995</v>
      </c>
      <c r="D311" t="inlineStr">
        <is>
          <t>DALARNAS LÄN</t>
        </is>
      </c>
      <c r="E311" t="inlineStr">
        <is>
          <t>LEKSAND</t>
        </is>
      </c>
      <c r="G311" t="n">
        <v>6.2</v>
      </c>
      <c r="H311" t="n">
        <v>0</v>
      </c>
      <c r="I311" t="n">
        <v>0</v>
      </c>
      <c r="J311" t="n">
        <v>0</v>
      </c>
      <c r="K311" t="n">
        <v>0</v>
      </c>
      <c r="L311" t="n">
        <v>0</v>
      </c>
      <c r="M311" t="n">
        <v>0</v>
      </c>
      <c r="N311" t="n">
        <v>0</v>
      </c>
      <c r="O311" t="n">
        <v>0</v>
      </c>
      <c r="P311" t="n">
        <v>0</v>
      </c>
      <c r="Q311" t="n">
        <v>0</v>
      </c>
      <c r="R311" s="2" t="inlineStr"/>
    </row>
    <row r="312" ht="15" customHeight="1">
      <c r="A312" t="inlineStr">
        <is>
          <t>A 12581-2025</t>
        </is>
      </c>
      <c r="B312" s="1" t="n">
        <v>45732.62201388889</v>
      </c>
      <c r="C312" s="1" t="n">
        <v>45995</v>
      </c>
      <c r="D312" t="inlineStr">
        <is>
          <t>DALARNAS LÄN</t>
        </is>
      </c>
      <c r="E312" t="inlineStr">
        <is>
          <t>LEKSAND</t>
        </is>
      </c>
      <c r="G312" t="n">
        <v>5.1</v>
      </c>
      <c r="H312" t="n">
        <v>0</v>
      </c>
      <c r="I312" t="n">
        <v>0</v>
      </c>
      <c r="J312" t="n">
        <v>0</v>
      </c>
      <c r="K312" t="n">
        <v>0</v>
      </c>
      <c r="L312" t="n">
        <v>0</v>
      </c>
      <c r="M312" t="n">
        <v>0</v>
      </c>
      <c r="N312" t="n">
        <v>0</v>
      </c>
      <c r="O312" t="n">
        <v>0</v>
      </c>
      <c r="P312" t="n">
        <v>0</v>
      </c>
      <c r="Q312" t="n">
        <v>0</v>
      </c>
      <c r="R312" s="2" t="inlineStr"/>
    </row>
    <row r="313" ht="15" customHeight="1">
      <c r="A313" t="inlineStr">
        <is>
          <t>A 12620-2025</t>
        </is>
      </c>
      <c r="B313" s="1" t="n">
        <v>45733.35498842593</v>
      </c>
      <c r="C313" s="1" t="n">
        <v>45995</v>
      </c>
      <c r="D313" t="inlineStr">
        <is>
          <t>DALARNAS LÄN</t>
        </is>
      </c>
      <c r="E313" t="inlineStr">
        <is>
          <t>LEKSAND</t>
        </is>
      </c>
      <c r="F313" t="inlineStr">
        <is>
          <t>Bergvik skog väst AB</t>
        </is>
      </c>
      <c r="G313" t="n">
        <v>3.9</v>
      </c>
      <c r="H313" t="n">
        <v>0</v>
      </c>
      <c r="I313" t="n">
        <v>0</v>
      </c>
      <c r="J313" t="n">
        <v>0</v>
      </c>
      <c r="K313" t="n">
        <v>0</v>
      </c>
      <c r="L313" t="n">
        <v>0</v>
      </c>
      <c r="M313" t="n">
        <v>0</v>
      </c>
      <c r="N313" t="n">
        <v>0</v>
      </c>
      <c r="O313" t="n">
        <v>0</v>
      </c>
      <c r="P313" t="n">
        <v>0</v>
      </c>
      <c r="Q313" t="n">
        <v>0</v>
      </c>
      <c r="R313" s="2" t="inlineStr"/>
    </row>
    <row r="314" ht="15" customHeight="1">
      <c r="A314" t="inlineStr">
        <is>
          <t>A 12623-2025</t>
        </is>
      </c>
      <c r="B314" s="1" t="n">
        <v>45733.36079861111</v>
      </c>
      <c r="C314" s="1" t="n">
        <v>45995</v>
      </c>
      <c r="D314" t="inlineStr">
        <is>
          <t>DALARNAS LÄN</t>
        </is>
      </c>
      <c r="E314" t="inlineStr">
        <is>
          <t>LEKSAND</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32666-2023</t>
        </is>
      </c>
      <c r="B315" s="1" t="n">
        <v>45121</v>
      </c>
      <c r="C315" s="1" t="n">
        <v>45995</v>
      </c>
      <c r="D315" t="inlineStr">
        <is>
          <t>DALARNAS LÄN</t>
        </is>
      </c>
      <c r="E315" t="inlineStr">
        <is>
          <t>LEKSAND</t>
        </is>
      </c>
      <c r="G315" t="n">
        <v>9.9</v>
      </c>
      <c r="H315" t="n">
        <v>0</v>
      </c>
      <c r="I315" t="n">
        <v>0</v>
      </c>
      <c r="J315" t="n">
        <v>0</v>
      </c>
      <c r="K315" t="n">
        <v>0</v>
      </c>
      <c r="L315" t="n">
        <v>0</v>
      </c>
      <c r="M315" t="n">
        <v>0</v>
      </c>
      <c r="N315" t="n">
        <v>0</v>
      </c>
      <c r="O315" t="n">
        <v>0</v>
      </c>
      <c r="P315" t="n">
        <v>0</v>
      </c>
      <c r="Q315" t="n">
        <v>0</v>
      </c>
      <c r="R315" s="2" t="inlineStr"/>
    </row>
    <row r="316" ht="15" customHeight="1">
      <c r="A316" t="inlineStr">
        <is>
          <t>A 27791-2023</t>
        </is>
      </c>
      <c r="B316" s="1" t="n">
        <v>45098</v>
      </c>
      <c r="C316" s="1" t="n">
        <v>45995</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5231-2024</t>
        </is>
      </c>
      <c r="B317" s="1" t="n">
        <v>45330</v>
      </c>
      <c r="C317" s="1" t="n">
        <v>45995</v>
      </c>
      <c r="D317" t="inlineStr">
        <is>
          <t>DALARNAS LÄN</t>
        </is>
      </c>
      <c r="E317" t="inlineStr">
        <is>
          <t>LEKSAND</t>
        </is>
      </c>
      <c r="F317" t="inlineStr">
        <is>
          <t>Bergvik skog väst AB</t>
        </is>
      </c>
      <c r="G317" t="n">
        <v>11.2</v>
      </c>
      <c r="H317" t="n">
        <v>0</v>
      </c>
      <c r="I317" t="n">
        <v>0</v>
      </c>
      <c r="J317" t="n">
        <v>0</v>
      </c>
      <c r="K317" t="n">
        <v>0</v>
      </c>
      <c r="L317" t="n">
        <v>0</v>
      </c>
      <c r="M317" t="n">
        <v>0</v>
      </c>
      <c r="N317" t="n">
        <v>0</v>
      </c>
      <c r="O317" t="n">
        <v>0</v>
      </c>
      <c r="P317" t="n">
        <v>0</v>
      </c>
      <c r="Q317" t="n">
        <v>0</v>
      </c>
      <c r="R317" s="2" t="inlineStr"/>
    </row>
    <row r="318" ht="15" customHeight="1">
      <c r="A318" t="inlineStr">
        <is>
          <t>A 43830-2025</t>
        </is>
      </c>
      <c r="B318" s="1" t="n">
        <v>45912</v>
      </c>
      <c r="C318" s="1" t="n">
        <v>45995</v>
      </c>
      <c r="D318" t="inlineStr">
        <is>
          <t>DALARNAS LÄN</t>
        </is>
      </c>
      <c r="E318" t="inlineStr">
        <is>
          <t>LEKSAND</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23896-2024</t>
        </is>
      </c>
      <c r="B319" s="1" t="n">
        <v>45455.6758449074</v>
      </c>
      <c r="C319" s="1" t="n">
        <v>45995</v>
      </c>
      <c r="D319" t="inlineStr">
        <is>
          <t>DALARNAS LÄN</t>
        </is>
      </c>
      <c r="E319" t="inlineStr">
        <is>
          <t>LEKSAND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43630-2025</t>
        </is>
      </c>
      <c r="B320" s="1" t="n">
        <v>45911.70278935185</v>
      </c>
      <c r="C320" s="1" t="n">
        <v>45995</v>
      </c>
      <c r="D320" t="inlineStr">
        <is>
          <t>DALARNAS LÄN</t>
        </is>
      </c>
      <c r="E320" t="inlineStr">
        <is>
          <t>LEKSAND</t>
        </is>
      </c>
      <c r="G320" t="n">
        <v>4.7</v>
      </c>
      <c r="H320" t="n">
        <v>0</v>
      </c>
      <c r="I320" t="n">
        <v>0</v>
      </c>
      <c r="J320" t="n">
        <v>0</v>
      </c>
      <c r="K320" t="n">
        <v>0</v>
      </c>
      <c r="L320" t="n">
        <v>0</v>
      </c>
      <c r="M320" t="n">
        <v>0</v>
      </c>
      <c r="N320" t="n">
        <v>0</v>
      </c>
      <c r="O320" t="n">
        <v>0</v>
      </c>
      <c r="P320" t="n">
        <v>0</v>
      </c>
      <c r="Q320" t="n">
        <v>0</v>
      </c>
      <c r="R320" s="2" t="inlineStr"/>
    </row>
    <row r="321" ht="15" customHeight="1">
      <c r="A321" t="inlineStr">
        <is>
          <t>A 43607-2025</t>
        </is>
      </c>
      <c r="B321" s="1" t="n">
        <v>45911.66873842593</v>
      </c>
      <c r="C321" s="1" t="n">
        <v>45995</v>
      </c>
      <c r="D321" t="inlineStr">
        <is>
          <t>DALARNAS LÄN</t>
        </is>
      </c>
      <c r="E321" t="inlineStr">
        <is>
          <t>LEKSAND</t>
        </is>
      </c>
      <c r="G321" t="n">
        <v>7.3</v>
      </c>
      <c r="H321" t="n">
        <v>0</v>
      </c>
      <c r="I321" t="n">
        <v>0</v>
      </c>
      <c r="J321" t="n">
        <v>0</v>
      </c>
      <c r="K321" t="n">
        <v>0</v>
      </c>
      <c r="L321" t="n">
        <v>0</v>
      </c>
      <c r="M321" t="n">
        <v>0</v>
      </c>
      <c r="N321" t="n">
        <v>0</v>
      </c>
      <c r="O321" t="n">
        <v>0</v>
      </c>
      <c r="P321" t="n">
        <v>0</v>
      </c>
      <c r="Q321" t="n">
        <v>0</v>
      </c>
      <c r="R321" s="2" t="inlineStr"/>
    </row>
    <row r="322" ht="15" customHeight="1">
      <c r="A322" t="inlineStr">
        <is>
          <t>A 28578-2023</t>
        </is>
      </c>
      <c r="B322" s="1" t="n">
        <v>45103</v>
      </c>
      <c r="C322" s="1" t="n">
        <v>45995</v>
      </c>
      <c r="D322" t="inlineStr">
        <is>
          <t>DALARNAS LÄN</t>
        </is>
      </c>
      <c r="E322" t="inlineStr">
        <is>
          <t>LEKSAND</t>
        </is>
      </c>
      <c r="G322" t="n">
        <v>4.4</v>
      </c>
      <c r="H322" t="n">
        <v>0</v>
      </c>
      <c r="I322" t="n">
        <v>0</v>
      </c>
      <c r="J322" t="n">
        <v>0</v>
      </c>
      <c r="K322" t="n">
        <v>0</v>
      </c>
      <c r="L322" t="n">
        <v>0</v>
      </c>
      <c r="M322" t="n">
        <v>0</v>
      </c>
      <c r="N322" t="n">
        <v>0</v>
      </c>
      <c r="O322" t="n">
        <v>0</v>
      </c>
      <c r="P322" t="n">
        <v>0</v>
      </c>
      <c r="Q322" t="n">
        <v>0</v>
      </c>
      <c r="R322" s="2" t="inlineStr"/>
    </row>
    <row r="323" ht="15" customHeight="1">
      <c r="A323" t="inlineStr">
        <is>
          <t>A 14504-2025</t>
        </is>
      </c>
      <c r="B323" s="1" t="n">
        <v>45741</v>
      </c>
      <c r="C323" s="1" t="n">
        <v>45995</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61288-2022</t>
        </is>
      </c>
      <c r="B324" s="1" t="n">
        <v>44915</v>
      </c>
      <c r="C324" s="1" t="n">
        <v>45995</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20936-2023</t>
        </is>
      </c>
      <c r="B325" s="1" t="n">
        <v>45061</v>
      </c>
      <c r="C325" s="1" t="n">
        <v>45995</v>
      </c>
      <c r="D325" t="inlineStr">
        <is>
          <t>DALARNAS LÄN</t>
        </is>
      </c>
      <c r="E325" t="inlineStr">
        <is>
          <t>LEKSAND</t>
        </is>
      </c>
      <c r="G325" t="n">
        <v>0.3</v>
      </c>
      <c r="H325" t="n">
        <v>0</v>
      </c>
      <c r="I325" t="n">
        <v>0</v>
      </c>
      <c r="J325" t="n">
        <v>0</v>
      </c>
      <c r="K325" t="n">
        <v>0</v>
      </c>
      <c r="L325" t="n">
        <v>0</v>
      </c>
      <c r="M325" t="n">
        <v>0</v>
      </c>
      <c r="N325" t="n">
        <v>0</v>
      </c>
      <c r="O325" t="n">
        <v>0</v>
      </c>
      <c r="P325" t="n">
        <v>0</v>
      </c>
      <c r="Q325" t="n">
        <v>0</v>
      </c>
      <c r="R325" s="2" t="inlineStr"/>
    </row>
    <row r="326" ht="15" customHeight="1">
      <c r="A326" t="inlineStr">
        <is>
          <t>A 61680-2024</t>
        </is>
      </c>
      <c r="B326" s="1" t="n">
        <v>45647.42890046296</v>
      </c>
      <c r="C326" s="1" t="n">
        <v>45995</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43629-2025</t>
        </is>
      </c>
      <c r="B327" s="1" t="n">
        <v>45911.70180555555</v>
      </c>
      <c r="C327" s="1" t="n">
        <v>45995</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54911-2024</t>
        </is>
      </c>
      <c r="B328" s="1" t="n">
        <v>45618.68929398148</v>
      </c>
      <c r="C328" s="1" t="n">
        <v>45995</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40007-2024</t>
        </is>
      </c>
      <c r="B329" s="1" t="n">
        <v>45553.6516550926</v>
      </c>
      <c r="C329" s="1" t="n">
        <v>45995</v>
      </c>
      <c r="D329" t="inlineStr">
        <is>
          <t>DALARNAS LÄN</t>
        </is>
      </c>
      <c r="E329" t="inlineStr">
        <is>
          <t>LEKSAND</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43781-2025</t>
        </is>
      </c>
      <c r="B330" s="1" t="n">
        <v>45912.52229166667</v>
      </c>
      <c r="C330" s="1" t="n">
        <v>45995</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2311-2021</t>
        </is>
      </c>
      <c r="B331" s="1" t="n">
        <v>44213</v>
      </c>
      <c r="C331" s="1" t="n">
        <v>45995</v>
      </c>
      <c r="D331" t="inlineStr">
        <is>
          <t>DALARNAS LÄN</t>
        </is>
      </c>
      <c r="E331" t="inlineStr">
        <is>
          <t>LEKSAND</t>
        </is>
      </c>
      <c r="G331" t="n">
        <v>1.5</v>
      </c>
      <c r="H331" t="n">
        <v>0</v>
      </c>
      <c r="I331" t="n">
        <v>0</v>
      </c>
      <c r="J331" t="n">
        <v>0</v>
      </c>
      <c r="K331" t="n">
        <v>0</v>
      </c>
      <c r="L331" t="n">
        <v>0</v>
      </c>
      <c r="M331" t="n">
        <v>0</v>
      </c>
      <c r="N331" t="n">
        <v>0</v>
      </c>
      <c r="O331" t="n">
        <v>0</v>
      </c>
      <c r="P331" t="n">
        <v>0</v>
      </c>
      <c r="Q331" t="n">
        <v>0</v>
      </c>
      <c r="R331" s="2" t="inlineStr"/>
    </row>
    <row r="332" ht="15" customHeight="1">
      <c r="A332" t="inlineStr">
        <is>
          <t>A 32072-2024</t>
        </is>
      </c>
      <c r="B332" s="1" t="n">
        <v>45510.98405092592</v>
      </c>
      <c r="C332" s="1" t="n">
        <v>45995</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43875-2025</t>
        </is>
      </c>
      <c r="B333" s="1" t="n">
        <v>45912.67685185185</v>
      </c>
      <c r="C333" s="1" t="n">
        <v>45995</v>
      </c>
      <c r="D333" t="inlineStr">
        <is>
          <t>DALARNAS LÄN</t>
        </is>
      </c>
      <c r="E333" t="inlineStr">
        <is>
          <t>LEKSAND</t>
        </is>
      </c>
      <c r="G333" t="n">
        <v>1.7</v>
      </c>
      <c r="H333" t="n">
        <v>0</v>
      </c>
      <c r="I333" t="n">
        <v>0</v>
      </c>
      <c r="J333" t="n">
        <v>0</v>
      </c>
      <c r="K333" t="n">
        <v>0</v>
      </c>
      <c r="L333" t="n">
        <v>0</v>
      </c>
      <c r="M333" t="n">
        <v>0</v>
      </c>
      <c r="N333" t="n">
        <v>0</v>
      </c>
      <c r="O333" t="n">
        <v>0</v>
      </c>
      <c r="P333" t="n">
        <v>0</v>
      </c>
      <c r="Q333" t="n">
        <v>0</v>
      </c>
      <c r="R333" s="2" t="inlineStr"/>
    </row>
    <row r="334" ht="15" customHeight="1">
      <c r="A334" t="inlineStr">
        <is>
          <t>A 43888-2025</t>
        </is>
      </c>
      <c r="B334" s="1" t="n">
        <v>45912</v>
      </c>
      <c r="C334" s="1" t="n">
        <v>45995</v>
      </c>
      <c r="D334" t="inlineStr">
        <is>
          <t>DALARNAS LÄN</t>
        </is>
      </c>
      <c r="E334" t="inlineStr">
        <is>
          <t>LEKSAND</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13165-2023</t>
        </is>
      </c>
      <c r="B335" s="1" t="n">
        <v>45002.57731481481</v>
      </c>
      <c r="C335" s="1" t="n">
        <v>45995</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7467-2023</t>
        </is>
      </c>
      <c r="B336" s="1" t="n">
        <v>44966</v>
      </c>
      <c r="C336" s="1" t="n">
        <v>45995</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45788-2021</t>
        </is>
      </c>
      <c r="B337" s="1" t="n">
        <v>44441</v>
      </c>
      <c r="C337" s="1" t="n">
        <v>45995</v>
      </c>
      <c r="D337" t="inlineStr">
        <is>
          <t>DALARNAS LÄN</t>
        </is>
      </c>
      <c r="E337" t="inlineStr">
        <is>
          <t>LEKSAND</t>
        </is>
      </c>
      <c r="G337" t="n">
        <v>3</v>
      </c>
      <c r="H337" t="n">
        <v>0</v>
      </c>
      <c r="I337" t="n">
        <v>0</v>
      </c>
      <c r="J337" t="n">
        <v>0</v>
      </c>
      <c r="K337" t="n">
        <v>0</v>
      </c>
      <c r="L337" t="n">
        <v>0</v>
      </c>
      <c r="M337" t="n">
        <v>0</v>
      </c>
      <c r="N337" t="n">
        <v>0</v>
      </c>
      <c r="O337" t="n">
        <v>0</v>
      </c>
      <c r="P337" t="n">
        <v>0</v>
      </c>
      <c r="Q337" t="n">
        <v>0</v>
      </c>
      <c r="R337" s="2" t="inlineStr"/>
    </row>
    <row r="338" ht="15" customHeight="1">
      <c r="A338" t="inlineStr">
        <is>
          <t>A 43628-2025</t>
        </is>
      </c>
      <c r="B338" s="1" t="n">
        <v>45911.70060185185</v>
      </c>
      <c r="C338" s="1" t="n">
        <v>45995</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28592-2023</t>
        </is>
      </c>
      <c r="B339" s="1" t="n">
        <v>45103</v>
      </c>
      <c r="C339" s="1" t="n">
        <v>45995</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17377-2025</t>
        </is>
      </c>
      <c r="B340" s="1" t="n">
        <v>45756.983125</v>
      </c>
      <c r="C340" s="1" t="n">
        <v>45995</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61269-2022</t>
        </is>
      </c>
      <c r="B341" s="1" t="n">
        <v>44909</v>
      </c>
      <c r="C341" s="1" t="n">
        <v>45995</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16611-2024</t>
        </is>
      </c>
      <c r="B342" s="1" t="n">
        <v>45408.55504629629</v>
      </c>
      <c r="C342" s="1" t="n">
        <v>45995</v>
      </c>
      <c r="D342" t="inlineStr">
        <is>
          <t>DALARNAS LÄN</t>
        </is>
      </c>
      <c r="E342" t="inlineStr">
        <is>
          <t>LEKSAND</t>
        </is>
      </c>
      <c r="G342" t="n">
        <v>5.9</v>
      </c>
      <c r="H342" t="n">
        <v>0</v>
      </c>
      <c r="I342" t="n">
        <v>0</v>
      </c>
      <c r="J342" t="n">
        <v>0</v>
      </c>
      <c r="K342" t="n">
        <v>0</v>
      </c>
      <c r="L342" t="n">
        <v>0</v>
      </c>
      <c r="M342" t="n">
        <v>0</v>
      </c>
      <c r="N342" t="n">
        <v>0</v>
      </c>
      <c r="O342" t="n">
        <v>0</v>
      </c>
      <c r="P342" t="n">
        <v>0</v>
      </c>
      <c r="Q342" t="n">
        <v>0</v>
      </c>
      <c r="R342" s="2" t="inlineStr"/>
    </row>
    <row r="343" ht="15" customHeight="1">
      <c r="A343" t="inlineStr">
        <is>
          <t>A 53817-2023</t>
        </is>
      </c>
      <c r="B343" s="1" t="n">
        <v>45231.40488425926</v>
      </c>
      <c r="C343" s="1" t="n">
        <v>45995</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44516-2025</t>
        </is>
      </c>
      <c r="B344" s="1" t="n">
        <v>45916.70982638889</v>
      </c>
      <c r="C344" s="1" t="n">
        <v>45995</v>
      </c>
      <c r="D344" t="inlineStr">
        <is>
          <t>DALARNAS LÄN</t>
        </is>
      </c>
      <c r="E344" t="inlineStr">
        <is>
          <t>LEKSAND</t>
        </is>
      </c>
      <c r="G344" t="n">
        <v>1.8</v>
      </c>
      <c r="H344" t="n">
        <v>0</v>
      </c>
      <c r="I344" t="n">
        <v>0</v>
      </c>
      <c r="J344" t="n">
        <v>0</v>
      </c>
      <c r="K344" t="n">
        <v>0</v>
      </c>
      <c r="L344" t="n">
        <v>0</v>
      </c>
      <c r="M344" t="n">
        <v>0</v>
      </c>
      <c r="N344" t="n">
        <v>0</v>
      </c>
      <c r="O344" t="n">
        <v>0</v>
      </c>
      <c r="P344" t="n">
        <v>0</v>
      </c>
      <c r="Q344" t="n">
        <v>0</v>
      </c>
      <c r="R344" s="2" t="inlineStr"/>
    </row>
    <row r="345" ht="15" customHeight="1">
      <c r="A345" t="inlineStr">
        <is>
          <t>A 44519-2025</t>
        </is>
      </c>
      <c r="B345" s="1" t="n">
        <v>45916.71483796297</v>
      </c>
      <c r="C345" s="1" t="n">
        <v>45995</v>
      </c>
      <c r="D345" t="inlineStr">
        <is>
          <t>DALARNAS LÄN</t>
        </is>
      </c>
      <c r="E345" t="inlineStr">
        <is>
          <t>LEKSAND</t>
        </is>
      </c>
      <c r="G345" t="n">
        <v>3.6</v>
      </c>
      <c r="H345" t="n">
        <v>0</v>
      </c>
      <c r="I345" t="n">
        <v>0</v>
      </c>
      <c r="J345" t="n">
        <v>0</v>
      </c>
      <c r="K345" t="n">
        <v>0</v>
      </c>
      <c r="L345" t="n">
        <v>0</v>
      </c>
      <c r="M345" t="n">
        <v>0</v>
      </c>
      <c r="N345" t="n">
        <v>0</v>
      </c>
      <c r="O345" t="n">
        <v>0</v>
      </c>
      <c r="P345" t="n">
        <v>0</v>
      </c>
      <c r="Q345" t="n">
        <v>0</v>
      </c>
      <c r="R345" s="2" t="inlineStr"/>
    </row>
    <row r="346" ht="15" customHeight="1">
      <c r="A346" t="inlineStr">
        <is>
          <t>A 28633-2023</t>
        </is>
      </c>
      <c r="B346" s="1" t="n">
        <v>45103.61575231481</v>
      </c>
      <c r="C346" s="1" t="n">
        <v>45995</v>
      </c>
      <c r="D346" t="inlineStr">
        <is>
          <t>DALARNAS LÄN</t>
        </is>
      </c>
      <c r="E346" t="inlineStr">
        <is>
          <t>LEKSAND</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53190-2025</t>
        </is>
      </c>
      <c r="B347" s="1" t="n">
        <v>45958.56283564815</v>
      </c>
      <c r="C347" s="1" t="n">
        <v>45995</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14943-2023</t>
        </is>
      </c>
      <c r="B348" s="1" t="n">
        <v>45015</v>
      </c>
      <c r="C348" s="1" t="n">
        <v>45995</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41840-2024</t>
        </is>
      </c>
      <c r="B349" s="1" t="n">
        <v>45561.42170138889</v>
      </c>
      <c r="C349" s="1" t="n">
        <v>45995</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33143-2024</t>
        </is>
      </c>
      <c r="B350" s="1" t="n">
        <v>45518</v>
      </c>
      <c r="C350" s="1" t="n">
        <v>45995</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44237-2025</t>
        </is>
      </c>
      <c r="B351" s="1" t="n">
        <v>45915.6677199074</v>
      </c>
      <c r="C351" s="1" t="n">
        <v>45995</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2630-2025</t>
        </is>
      </c>
      <c r="B352" s="1" t="n">
        <v>45675.85865740741</v>
      </c>
      <c r="C352" s="1" t="n">
        <v>45995</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13063-2023</t>
        </is>
      </c>
      <c r="B353" s="1" t="n">
        <v>45001</v>
      </c>
      <c r="C353" s="1" t="n">
        <v>45995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52671-2025</t>
        </is>
      </c>
      <c r="B354" s="1" t="n">
        <v>45955.98113425926</v>
      </c>
      <c r="C354" s="1" t="n">
        <v>45995</v>
      </c>
      <c r="D354" t="inlineStr">
        <is>
          <t>DALARNAS LÄN</t>
        </is>
      </c>
      <c r="E354" t="inlineStr">
        <is>
          <t>LEKSAND</t>
        </is>
      </c>
      <c r="G354" t="n">
        <v>0.8</v>
      </c>
      <c r="H354" t="n">
        <v>0</v>
      </c>
      <c r="I354" t="n">
        <v>0</v>
      </c>
      <c r="J354" t="n">
        <v>0</v>
      </c>
      <c r="K354" t="n">
        <v>0</v>
      </c>
      <c r="L354" t="n">
        <v>0</v>
      </c>
      <c r="M354" t="n">
        <v>0</v>
      </c>
      <c r="N354" t="n">
        <v>0</v>
      </c>
      <c r="O354" t="n">
        <v>0</v>
      </c>
      <c r="P354" t="n">
        <v>0</v>
      </c>
      <c r="Q354" t="n">
        <v>0</v>
      </c>
      <c r="R354" s="2" t="inlineStr"/>
    </row>
    <row r="355" ht="15" customHeight="1">
      <c r="A355" t="inlineStr">
        <is>
          <t>A 53041-2025</t>
        </is>
      </c>
      <c r="B355" s="1" t="n">
        <v>45958.35487268519</v>
      </c>
      <c r="C355" s="1" t="n">
        <v>45995</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42727-2024</t>
        </is>
      </c>
      <c r="B356" s="1" t="n">
        <v>45566</v>
      </c>
      <c r="C356" s="1" t="n">
        <v>45995</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36444-2023</t>
        </is>
      </c>
      <c r="B357" s="1" t="n">
        <v>45152.63138888889</v>
      </c>
      <c r="C357" s="1" t="n">
        <v>45995</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53243-2025</t>
        </is>
      </c>
      <c r="B358" s="1" t="n">
        <v>45958.6442824074</v>
      </c>
      <c r="C358" s="1" t="n">
        <v>45995</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40407-2024</t>
        </is>
      </c>
      <c r="B359" s="1" t="n">
        <v>45555</v>
      </c>
      <c r="C359" s="1" t="n">
        <v>45995</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5574-2024</t>
        </is>
      </c>
      <c r="B360" s="1" t="n">
        <v>45334</v>
      </c>
      <c r="C360" s="1" t="n">
        <v>45995</v>
      </c>
      <c r="D360" t="inlineStr">
        <is>
          <t>DALARNAS LÄN</t>
        </is>
      </c>
      <c r="E360" t="inlineStr">
        <is>
          <t>LEKSAND</t>
        </is>
      </c>
      <c r="G360" t="n">
        <v>0.4</v>
      </c>
      <c r="H360" t="n">
        <v>0</v>
      </c>
      <c r="I360" t="n">
        <v>0</v>
      </c>
      <c r="J360" t="n">
        <v>0</v>
      </c>
      <c r="K360" t="n">
        <v>0</v>
      </c>
      <c r="L360" t="n">
        <v>0</v>
      </c>
      <c r="M360" t="n">
        <v>0</v>
      </c>
      <c r="N360" t="n">
        <v>0</v>
      </c>
      <c r="O360" t="n">
        <v>0</v>
      </c>
      <c r="P360" t="n">
        <v>0</v>
      </c>
      <c r="Q360" t="n">
        <v>0</v>
      </c>
      <c r="R360" s="2" t="inlineStr"/>
    </row>
    <row r="361" ht="15" customHeight="1">
      <c r="A361" t="inlineStr">
        <is>
          <t>A 44948-2025</t>
        </is>
      </c>
      <c r="B361" s="1" t="n">
        <v>45918.60555555556</v>
      </c>
      <c r="C361" s="1" t="n">
        <v>45995</v>
      </c>
      <c r="D361" t="inlineStr">
        <is>
          <t>DALARNAS LÄN</t>
        </is>
      </c>
      <c r="E361" t="inlineStr">
        <is>
          <t>LEKSAND</t>
        </is>
      </c>
      <c r="G361" t="n">
        <v>5.1</v>
      </c>
      <c r="H361" t="n">
        <v>0</v>
      </c>
      <c r="I361" t="n">
        <v>0</v>
      </c>
      <c r="J361" t="n">
        <v>0</v>
      </c>
      <c r="K361" t="n">
        <v>0</v>
      </c>
      <c r="L361" t="n">
        <v>0</v>
      </c>
      <c r="M361" t="n">
        <v>0</v>
      </c>
      <c r="N361" t="n">
        <v>0</v>
      </c>
      <c r="O361" t="n">
        <v>0</v>
      </c>
      <c r="P361" t="n">
        <v>0</v>
      </c>
      <c r="Q361" t="n">
        <v>0</v>
      </c>
      <c r="R361" s="2" t="inlineStr"/>
    </row>
    <row r="362" ht="15" customHeight="1">
      <c r="A362" t="inlineStr">
        <is>
          <t>A 46628-2024</t>
        </is>
      </c>
      <c r="B362" s="1" t="n">
        <v>45583.33195601852</v>
      </c>
      <c r="C362" s="1" t="n">
        <v>45995</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9141-2023</t>
        </is>
      </c>
      <c r="B363" s="1" t="n">
        <v>44974</v>
      </c>
      <c r="C363" s="1" t="n">
        <v>45995</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471-2025</t>
        </is>
      </c>
      <c r="B364" s="1" t="n">
        <v>45664.43394675926</v>
      </c>
      <c r="C364" s="1" t="n">
        <v>45995</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54844-2021</t>
        </is>
      </c>
      <c r="B365" s="1" t="n">
        <v>44474.30614583333</v>
      </c>
      <c r="C365" s="1" t="n">
        <v>45995</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8211-2023</t>
        </is>
      </c>
      <c r="B366" s="1" t="n">
        <v>44974</v>
      </c>
      <c r="C366" s="1" t="n">
        <v>45995</v>
      </c>
      <c r="D366" t="inlineStr">
        <is>
          <t>DALARNAS LÄN</t>
        </is>
      </c>
      <c r="E366" t="inlineStr">
        <is>
          <t>LEKSAND</t>
        </is>
      </c>
      <c r="G366" t="n">
        <v>5.2</v>
      </c>
      <c r="H366" t="n">
        <v>0</v>
      </c>
      <c r="I366" t="n">
        <v>0</v>
      </c>
      <c r="J366" t="n">
        <v>0</v>
      </c>
      <c r="K366" t="n">
        <v>0</v>
      </c>
      <c r="L366" t="n">
        <v>0</v>
      </c>
      <c r="M366" t="n">
        <v>0</v>
      </c>
      <c r="N366" t="n">
        <v>0</v>
      </c>
      <c r="O366" t="n">
        <v>0</v>
      </c>
      <c r="P366" t="n">
        <v>0</v>
      </c>
      <c r="Q366" t="n">
        <v>0</v>
      </c>
      <c r="R366" s="2" t="inlineStr"/>
    </row>
    <row r="367" ht="15" customHeight="1">
      <c r="A367" t="inlineStr">
        <is>
          <t>A 53718-2025</t>
        </is>
      </c>
      <c r="B367" s="1" t="n">
        <v>45960.61840277778</v>
      </c>
      <c r="C367" s="1" t="n">
        <v>45995</v>
      </c>
      <c r="D367" t="inlineStr">
        <is>
          <t>DALARNAS LÄN</t>
        </is>
      </c>
      <c r="E367" t="inlineStr">
        <is>
          <t>LEKSAND</t>
        </is>
      </c>
      <c r="G367" t="n">
        <v>7.5</v>
      </c>
      <c r="H367" t="n">
        <v>0</v>
      </c>
      <c r="I367" t="n">
        <v>0</v>
      </c>
      <c r="J367" t="n">
        <v>0</v>
      </c>
      <c r="K367" t="n">
        <v>0</v>
      </c>
      <c r="L367" t="n">
        <v>0</v>
      </c>
      <c r="M367" t="n">
        <v>0</v>
      </c>
      <c r="N367" t="n">
        <v>0</v>
      </c>
      <c r="O367" t="n">
        <v>0</v>
      </c>
      <c r="P367" t="n">
        <v>0</v>
      </c>
      <c r="Q367" t="n">
        <v>0</v>
      </c>
      <c r="R367" s="2" t="inlineStr"/>
    </row>
    <row r="368" ht="15" customHeight="1">
      <c r="A368" t="inlineStr">
        <is>
          <t>A 53438-2025</t>
        </is>
      </c>
      <c r="B368" s="1" t="n">
        <v>45959.63711805556</v>
      </c>
      <c r="C368" s="1" t="n">
        <v>45995</v>
      </c>
      <c r="D368" t="inlineStr">
        <is>
          <t>DALARNAS LÄN</t>
        </is>
      </c>
      <c r="E368" t="inlineStr">
        <is>
          <t>LEKSAND</t>
        </is>
      </c>
      <c r="G368" t="n">
        <v>1.2</v>
      </c>
      <c r="H368" t="n">
        <v>0</v>
      </c>
      <c r="I368" t="n">
        <v>0</v>
      </c>
      <c r="J368" t="n">
        <v>0</v>
      </c>
      <c r="K368" t="n">
        <v>0</v>
      </c>
      <c r="L368" t="n">
        <v>0</v>
      </c>
      <c r="M368" t="n">
        <v>0</v>
      </c>
      <c r="N368" t="n">
        <v>0</v>
      </c>
      <c r="O368" t="n">
        <v>0</v>
      </c>
      <c r="P368" t="n">
        <v>0</v>
      </c>
      <c r="Q368" t="n">
        <v>0</v>
      </c>
      <c r="R368" s="2" t="inlineStr"/>
    </row>
    <row r="369" ht="15" customHeight="1">
      <c r="A369" t="inlineStr">
        <is>
          <t>A 46665-2023</t>
        </is>
      </c>
      <c r="B369" s="1" t="n">
        <v>45198.47399305556</v>
      </c>
      <c r="C369" s="1" t="n">
        <v>45995</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11128-2023</t>
        </is>
      </c>
      <c r="B370" s="1" t="n">
        <v>44992</v>
      </c>
      <c r="C370" s="1" t="n">
        <v>45995</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60024-2023</t>
        </is>
      </c>
      <c r="B371" s="1" t="n">
        <v>45258</v>
      </c>
      <c r="C371" s="1" t="n">
        <v>45995</v>
      </c>
      <c r="D371" t="inlineStr">
        <is>
          <t>DALARNAS LÄN</t>
        </is>
      </c>
      <c r="E371" t="inlineStr">
        <is>
          <t>LEKSAND</t>
        </is>
      </c>
      <c r="G371" t="n">
        <v>4.2</v>
      </c>
      <c r="H371" t="n">
        <v>0</v>
      </c>
      <c r="I371" t="n">
        <v>0</v>
      </c>
      <c r="J371" t="n">
        <v>0</v>
      </c>
      <c r="K371" t="n">
        <v>0</v>
      </c>
      <c r="L371" t="n">
        <v>0</v>
      </c>
      <c r="M371" t="n">
        <v>0</v>
      </c>
      <c r="N371" t="n">
        <v>0</v>
      </c>
      <c r="O371" t="n">
        <v>0</v>
      </c>
      <c r="P371" t="n">
        <v>0</v>
      </c>
      <c r="Q371" t="n">
        <v>0</v>
      </c>
      <c r="R371" s="2" t="inlineStr"/>
    </row>
    <row r="372" ht="15" customHeight="1">
      <c r="A372" t="inlineStr">
        <is>
          <t>A 44672-2025</t>
        </is>
      </c>
      <c r="B372" s="1" t="n">
        <v>45917.56780092593</v>
      </c>
      <c r="C372" s="1" t="n">
        <v>45995</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53619-2025</t>
        </is>
      </c>
      <c r="B373" s="1" t="n">
        <v>45960</v>
      </c>
      <c r="C373" s="1" t="n">
        <v>45995</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11859-2024</t>
        </is>
      </c>
      <c r="B374" s="1" t="n">
        <v>45376.44569444445</v>
      </c>
      <c r="C374" s="1" t="n">
        <v>45995</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62133-2023</t>
        </is>
      </c>
      <c r="B375" s="1" t="n">
        <v>45267.35582175926</v>
      </c>
      <c r="C375" s="1" t="n">
        <v>45995</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58495-2023</t>
        </is>
      </c>
      <c r="B376" s="1" t="n">
        <v>45251</v>
      </c>
      <c r="C376" s="1" t="n">
        <v>45995</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45101-2025</t>
        </is>
      </c>
      <c r="B377" s="1" t="n">
        <v>45919.39679398148</v>
      </c>
      <c r="C377" s="1" t="n">
        <v>45995</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14615-2024</t>
        </is>
      </c>
      <c r="B378" s="1" t="n">
        <v>45397.26047453703</v>
      </c>
      <c r="C378" s="1" t="n">
        <v>45995</v>
      </c>
      <c r="D378" t="inlineStr">
        <is>
          <t>DALARNAS LÄN</t>
        </is>
      </c>
      <c r="E378" t="inlineStr">
        <is>
          <t>LEKSAND</t>
        </is>
      </c>
      <c r="G378" t="n">
        <v>0.4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45995</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53838-2025</t>
        </is>
      </c>
      <c r="B380" s="1" t="n">
        <v>45961.34895833334</v>
      </c>
      <c r="C380" s="1" t="n">
        <v>45995</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22517-2024</t>
        </is>
      </c>
      <c r="B381" s="1" t="n">
        <v>45447.40143518519</v>
      </c>
      <c r="C381" s="1" t="n">
        <v>45995</v>
      </c>
      <c r="D381" t="inlineStr">
        <is>
          <t>DALARNAS LÄN</t>
        </is>
      </c>
      <c r="E381" t="inlineStr">
        <is>
          <t>LEKSAND</t>
        </is>
      </c>
      <c r="G381" t="n">
        <v>0.4</v>
      </c>
      <c r="H381" t="n">
        <v>0</v>
      </c>
      <c r="I381" t="n">
        <v>0</v>
      </c>
      <c r="J381" t="n">
        <v>0</v>
      </c>
      <c r="K381" t="n">
        <v>0</v>
      </c>
      <c r="L381" t="n">
        <v>0</v>
      </c>
      <c r="M381" t="n">
        <v>0</v>
      </c>
      <c r="N381" t="n">
        <v>0</v>
      </c>
      <c r="O381" t="n">
        <v>0</v>
      </c>
      <c r="P381" t="n">
        <v>0</v>
      </c>
      <c r="Q381" t="n">
        <v>0</v>
      </c>
      <c r="R381" s="2" t="inlineStr"/>
    </row>
    <row r="382" ht="15" customHeight="1">
      <c r="A382" t="inlineStr">
        <is>
          <t>A 52801-2023</t>
        </is>
      </c>
      <c r="B382" s="1" t="n">
        <v>45219</v>
      </c>
      <c r="C382" s="1" t="n">
        <v>45995</v>
      </c>
      <c r="D382" t="inlineStr">
        <is>
          <t>DALARNAS LÄN</t>
        </is>
      </c>
      <c r="E382" t="inlineStr">
        <is>
          <t>LEKSAND</t>
        </is>
      </c>
      <c r="G382" t="n">
        <v>4.9</v>
      </c>
      <c r="H382" t="n">
        <v>0</v>
      </c>
      <c r="I382" t="n">
        <v>0</v>
      </c>
      <c r="J382" t="n">
        <v>0</v>
      </c>
      <c r="K382" t="n">
        <v>0</v>
      </c>
      <c r="L382" t="n">
        <v>0</v>
      </c>
      <c r="M382" t="n">
        <v>0</v>
      </c>
      <c r="N382" t="n">
        <v>0</v>
      </c>
      <c r="O382" t="n">
        <v>0</v>
      </c>
      <c r="P382" t="n">
        <v>0</v>
      </c>
      <c r="Q382" t="n">
        <v>0</v>
      </c>
      <c r="R382" s="2" t="inlineStr"/>
    </row>
    <row r="383" ht="15" customHeight="1">
      <c r="A383" t="inlineStr">
        <is>
          <t>A 54120-2025</t>
        </is>
      </c>
      <c r="B383" s="1" t="n">
        <v>45964.45040509259</v>
      </c>
      <c r="C383" s="1" t="n">
        <v>45995</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54125-2025</t>
        </is>
      </c>
      <c r="B384" s="1" t="n">
        <v>45964.45671296296</v>
      </c>
      <c r="C384" s="1" t="n">
        <v>45995</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54015-2025</t>
        </is>
      </c>
      <c r="B385" s="1" t="n">
        <v>45961.64158564815</v>
      </c>
      <c r="C385" s="1" t="n">
        <v>45995</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45768-2023</t>
        </is>
      </c>
      <c r="B386" s="1" t="n">
        <v>45195</v>
      </c>
      <c r="C386" s="1" t="n">
        <v>45995</v>
      </c>
      <c r="D386" t="inlineStr">
        <is>
          <t>DALARNAS LÄN</t>
        </is>
      </c>
      <c r="E386" t="inlineStr">
        <is>
          <t>LEKSAND</t>
        </is>
      </c>
      <c r="G386" t="n">
        <v>0.4</v>
      </c>
      <c r="H386" t="n">
        <v>0</v>
      </c>
      <c r="I386" t="n">
        <v>0</v>
      </c>
      <c r="J386" t="n">
        <v>0</v>
      </c>
      <c r="K386" t="n">
        <v>0</v>
      </c>
      <c r="L386" t="n">
        <v>0</v>
      </c>
      <c r="M386" t="n">
        <v>0</v>
      </c>
      <c r="N386" t="n">
        <v>0</v>
      </c>
      <c r="O386" t="n">
        <v>0</v>
      </c>
      <c r="P386" t="n">
        <v>0</v>
      </c>
      <c r="Q386" t="n">
        <v>0</v>
      </c>
      <c r="R386" s="2" t="inlineStr"/>
    </row>
    <row r="387" ht="15" customHeight="1">
      <c r="A387" t="inlineStr">
        <is>
          <t>A 45512-2023</t>
        </is>
      </c>
      <c r="B387" s="1" t="n">
        <v>45194.49178240741</v>
      </c>
      <c r="C387" s="1" t="n">
        <v>45995</v>
      </c>
      <c r="D387" t="inlineStr">
        <is>
          <t>DALARNAS LÄN</t>
        </is>
      </c>
      <c r="E387" t="inlineStr">
        <is>
          <t>LEKSAND</t>
        </is>
      </c>
      <c r="F387" t="inlineStr">
        <is>
          <t>Bergvik skog väst AB</t>
        </is>
      </c>
      <c r="G387" t="n">
        <v>3.4</v>
      </c>
      <c r="H387" t="n">
        <v>0</v>
      </c>
      <c r="I387" t="n">
        <v>0</v>
      </c>
      <c r="J387" t="n">
        <v>0</v>
      </c>
      <c r="K387" t="n">
        <v>0</v>
      </c>
      <c r="L387" t="n">
        <v>0</v>
      </c>
      <c r="M387" t="n">
        <v>0</v>
      </c>
      <c r="N387" t="n">
        <v>0</v>
      </c>
      <c r="O387" t="n">
        <v>0</v>
      </c>
      <c r="P387" t="n">
        <v>0</v>
      </c>
      <c r="Q387" t="n">
        <v>0</v>
      </c>
      <c r="R387" s="2" t="inlineStr"/>
    </row>
    <row r="388" ht="15" customHeight="1">
      <c r="A388" t="inlineStr">
        <is>
          <t>A 30863-2024</t>
        </is>
      </c>
      <c r="B388" s="1" t="n">
        <v>45497.71074074074</v>
      </c>
      <c r="C388" s="1" t="n">
        <v>45995</v>
      </c>
      <c r="D388" t="inlineStr">
        <is>
          <t>DALARNAS LÄN</t>
        </is>
      </c>
      <c r="E388" t="inlineStr">
        <is>
          <t>LEKSAND</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41306-2024</t>
        </is>
      </c>
      <c r="B389" s="1" t="n">
        <v>45559.62550925926</v>
      </c>
      <c r="C389" s="1" t="n">
        <v>45995</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36450-2023</t>
        </is>
      </c>
      <c r="B390" s="1" t="n">
        <v>45152.64842592592</v>
      </c>
      <c r="C390" s="1" t="n">
        <v>45995</v>
      </c>
      <c r="D390" t="inlineStr">
        <is>
          <t>DALARNAS LÄN</t>
        </is>
      </c>
      <c r="E390" t="inlineStr">
        <is>
          <t>LEKSAND</t>
        </is>
      </c>
      <c r="G390" t="n">
        <v>2.4</v>
      </c>
      <c r="H390" t="n">
        <v>0</v>
      </c>
      <c r="I390" t="n">
        <v>0</v>
      </c>
      <c r="J390" t="n">
        <v>0</v>
      </c>
      <c r="K390" t="n">
        <v>0</v>
      </c>
      <c r="L390" t="n">
        <v>0</v>
      </c>
      <c r="M390" t="n">
        <v>0</v>
      </c>
      <c r="N390" t="n">
        <v>0</v>
      </c>
      <c r="O390" t="n">
        <v>0</v>
      </c>
      <c r="P390" t="n">
        <v>0</v>
      </c>
      <c r="Q390" t="n">
        <v>0</v>
      </c>
      <c r="R390" s="2" t="inlineStr"/>
    </row>
    <row r="391" ht="15" customHeight="1">
      <c r="A391" t="inlineStr">
        <is>
          <t>A 54289-2023</t>
        </is>
      </c>
      <c r="B391" s="1" t="n">
        <v>45232.71193287037</v>
      </c>
      <c r="C391" s="1" t="n">
        <v>45995</v>
      </c>
      <c r="D391" t="inlineStr">
        <is>
          <t>DALARNAS LÄN</t>
        </is>
      </c>
      <c r="E391" t="inlineStr">
        <is>
          <t>LEKSAND</t>
        </is>
      </c>
      <c r="G391" t="n">
        <v>2</v>
      </c>
      <c r="H391" t="n">
        <v>0</v>
      </c>
      <c r="I391" t="n">
        <v>0</v>
      </c>
      <c r="J391" t="n">
        <v>0</v>
      </c>
      <c r="K391" t="n">
        <v>0</v>
      </c>
      <c r="L391" t="n">
        <v>0</v>
      </c>
      <c r="M391" t="n">
        <v>0</v>
      </c>
      <c r="N391" t="n">
        <v>0</v>
      </c>
      <c r="O391" t="n">
        <v>0</v>
      </c>
      <c r="P391" t="n">
        <v>0</v>
      </c>
      <c r="Q391" t="n">
        <v>0</v>
      </c>
      <c r="R391" s="2" t="inlineStr"/>
    </row>
    <row r="392" ht="15" customHeight="1">
      <c r="A392" t="inlineStr">
        <is>
          <t>A 1458-2024</t>
        </is>
      </c>
      <c r="B392" s="1" t="n">
        <v>45303</v>
      </c>
      <c r="C392" s="1" t="n">
        <v>45995</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1461-2024</t>
        </is>
      </c>
      <c r="B393" s="1" t="n">
        <v>45303</v>
      </c>
      <c r="C393" s="1" t="n">
        <v>45995</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45300-2025</t>
        </is>
      </c>
      <c r="B394" s="1" t="n">
        <v>45921.30490740741</v>
      </c>
      <c r="C394" s="1" t="n">
        <v>45995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3737-2023</t>
        </is>
      </c>
      <c r="B395" s="1" t="n">
        <v>44951.42983796296</v>
      </c>
      <c r="C395" s="1" t="n">
        <v>45995</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53804-2025</t>
        </is>
      </c>
      <c r="B396" s="1" t="n">
        <v>45960.83247685185</v>
      </c>
      <c r="C396" s="1" t="n">
        <v>45995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29157-2022</t>
        </is>
      </c>
      <c r="B397" s="1" t="n">
        <v>44750.48355324074</v>
      </c>
      <c r="C397" s="1" t="n">
        <v>45995</v>
      </c>
      <c r="D397" t="inlineStr">
        <is>
          <t>DALARNAS LÄN</t>
        </is>
      </c>
      <c r="E397" t="inlineStr">
        <is>
          <t>LEKSAND</t>
        </is>
      </c>
      <c r="F397" t="inlineStr">
        <is>
          <t>Bergvik skog väst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402-2024</t>
        </is>
      </c>
      <c r="B398" s="1" t="n">
        <v>45296.45545138889</v>
      </c>
      <c r="C398" s="1" t="n">
        <v>45995</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45381-2025</t>
        </is>
      </c>
      <c r="B399" s="1" t="n">
        <v>45922.39989583333</v>
      </c>
      <c r="C399" s="1" t="n">
        <v>45995</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11678-2023</t>
        </is>
      </c>
      <c r="B400" s="1" t="n">
        <v>44994</v>
      </c>
      <c r="C400" s="1" t="n">
        <v>45995</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53836-2025</t>
        </is>
      </c>
      <c r="B401" s="1" t="n">
        <v>45961.3475462963</v>
      </c>
      <c r="C401" s="1" t="n">
        <v>45995</v>
      </c>
      <c r="D401" t="inlineStr">
        <is>
          <t>DALARNAS LÄN</t>
        </is>
      </c>
      <c r="E401" t="inlineStr">
        <is>
          <t>LEKSAND</t>
        </is>
      </c>
      <c r="G401" t="n">
        <v>3.5</v>
      </c>
      <c r="H401" t="n">
        <v>0</v>
      </c>
      <c r="I401" t="n">
        <v>0</v>
      </c>
      <c r="J401" t="n">
        <v>0</v>
      </c>
      <c r="K401" t="n">
        <v>0</v>
      </c>
      <c r="L401" t="n">
        <v>0</v>
      </c>
      <c r="M401" t="n">
        <v>0</v>
      </c>
      <c r="N401" t="n">
        <v>0</v>
      </c>
      <c r="O401" t="n">
        <v>0</v>
      </c>
      <c r="P401" t="n">
        <v>0</v>
      </c>
      <c r="Q401" t="n">
        <v>0</v>
      </c>
      <c r="R401" s="2" t="inlineStr"/>
    </row>
    <row r="402" ht="15" customHeight="1">
      <c r="A402" t="inlineStr">
        <is>
          <t>A 45318-2025</t>
        </is>
      </c>
      <c r="B402" s="1" t="n">
        <v>45921.85230324074</v>
      </c>
      <c r="C402" s="1" t="n">
        <v>45995</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13288-2023</t>
        </is>
      </c>
      <c r="B403" s="1" t="n">
        <v>45004.8160300926</v>
      </c>
      <c r="C403" s="1" t="n">
        <v>45995</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54779-2025</t>
        </is>
      </c>
      <c r="B404" s="1" t="n">
        <v>45966.61672453704</v>
      </c>
      <c r="C404" s="1" t="n">
        <v>45995</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54815-2025</t>
        </is>
      </c>
      <c r="B405" s="1" t="n">
        <v>45966.65237268519</v>
      </c>
      <c r="C405" s="1" t="n">
        <v>45995</v>
      </c>
      <c r="D405" t="inlineStr">
        <is>
          <t>DALARNAS LÄN</t>
        </is>
      </c>
      <c r="E405" t="inlineStr">
        <is>
          <t>LEKSAND</t>
        </is>
      </c>
      <c r="G405" t="n">
        <v>0.6</v>
      </c>
      <c r="H405" t="n">
        <v>0</v>
      </c>
      <c r="I405" t="n">
        <v>0</v>
      </c>
      <c r="J405" t="n">
        <v>0</v>
      </c>
      <c r="K405" t="n">
        <v>0</v>
      </c>
      <c r="L405" t="n">
        <v>0</v>
      </c>
      <c r="M405" t="n">
        <v>0</v>
      </c>
      <c r="N405" t="n">
        <v>0</v>
      </c>
      <c r="O405" t="n">
        <v>0</v>
      </c>
      <c r="P405" t="n">
        <v>0</v>
      </c>
      <c r="Q405" t="n">
        <v>0</v>
      </c>
      <c r="R405" s="2" t="inlineStr"/>
    </row>
    <row r="406" ht="15" customHeight="1">
      <c r="A406" t="inlineStr">
        <is>
          <t>A 11869-2024</t>
        </is>
      </c>
      <c r="B406" s="1" t="n">
        <v>45376.45800925926</v>
      </c>
      <c r="C406" s="1" t="n">
        <v>45995</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12356-2023</t>
        </is>
      </c>
      <c r="B407" s="1" t="n">
        <v>44998</v>
      </c>
      <c r="C407" s="1" t="n">
        <v>45995</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27520-2023</t>
        </is>
      </c>
      <c r="B408" s="1" t="n">
        <v>45097</v>
      </c>
      <c r="C408" s="1" t="n">
        <v>45995</v>
      </c>
      <c r="D408" t="inlineStr">
        <is>
          <t>DALARNAS LÄN</t>
        </is>
      </c>
      <c r="E408" t="inlineStr">
        <is>
          <t>LEKSAND</t>
        </is>
      </c>
      <c r="G408" t="n">
        <v>0.7</v>
      </c>
      <c r="H408" t="n">
        <v>0</v>
      </c>
      <c r="I408" t="n">
        <v>0</v>
      </c>
      <c r="J408" t="n">
        <v>0</v>
      </c>
      <c r="K408" t="n">
        <v>0</v>
      </c>
      <c r="L408" t="n">
        <v>0</v>
      </c>
      <c r="M408" t="n">
        <v>0</v>
      </c>
      <c r="N408" t="n">
        <v>0</v>
      </c>
      <c r="O408" t="n">
        <v>0</v>
      </c>
      <c r="P408" t="n">
        <v>0</v>
      </c>
      <c r="Q408" t="n">
        <v>0</v>
      </c>
      <c r="R408" s="2" t="inlineStr"/>
    </row>
    <row r="409" ht="15" customHeight="1">
      <c r="A409" t="inlineStr">
        <is>
          <t>A 54767-2025</t>
        </is>
      </c>
      <c r="B409" s="1" t="n">
        <v>45966.60414351852</v>
      </c>
      <c r="C409" s="1" t="n">
        <v>45995</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54785-2025</t>
        </is>
      </c>
      <c r="B410" s="1" t="n">
        <v>45966.62619212963</v>
      </c>
      <c r="C410" s="1" t="n">
        <v>45995</v>
      </c>
      <c r="D410" t="inlineStr">
        <is>
          <t>DALARNAS LÄN</t>
        </is>
      </c>
      <c r="E410" t="inlineStr">
        <is>
          <t>LEKSAND</t>
        </is>
      </c>
      <c r="G410" t="n">
        <v>1.2</v>
      </c>
      <c r="H410" t="n">
        <v>0</v>
      </c>
      <c r="I410" t="n">
        <v>0</v>
      </c>
      <c r="J410" t="n">
        <v>0</v>
      </c>
      <c r="K410" t="n">
        <v>0</v>
      </c>
      <c r="L410" t="n">
        <v>0</v>
      </c>
      <c r="M410" t="n">
        <v>0</v>
      </c>
      <c r="N410" t="n">
        <v>0</v>
      </c>
      <c r="O410" t="n">
        <v>0</v>
      </c>
      <c r="P410" t="n">
        <v>0</v>
      </c>
      <c r="Q410" t="n">
        <v>0</v>
      </c>
      <c r="R410" s="2" t="inlineStr"/>
    </row>
    <row r="411" ht="15" customHeight="1">
      <c r="A411" t="inlineStr">
        <is>
          <t>A 54805-2025</t>
        </is>
      </c>
      <c r="B411" s="1" t="n">
        <v>45966.64165509259</v>
      </c>
      <c r="C411" s="1" t="n">
        <v>45995</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30169-2023</t>
        </is>
      </c>
      <c r="B412" s="1" t="n">
        <v>45110</v>
      </c>
      <c r="C412" s="1" t="n">
        <v>45995</v>
      </c>
      <c r="D412" t="inlineStr">
        <is>
          <t>DALARNAS LÄN</t>
        </is>
      </c>
      <c r="E412" t="inlineStr">
        <is>
          <t>LEKSAND</t>
        </is>
      </c>
      <c r="G412" t="n">
        <v>1.1</v>
      </c>
      <c r="H412" t="n">
        <v>0</v>
      </c>
      <c r="I412" t="n">
        <v>0</v>
      </c>
      <c r="J412" t="n">
        <v>0</v>
      </c>
      <c r="K412" t="n">
        <v>0</v>
      </c>
      <c r="L412" t="n">
        <v>0</v>
      </c>
      <c r="M412" t="n">
        <v>0</v>
      </c>
      <c r="N412" t="n">
        <v>0</v>
      </c>
      <c r="O412" t="n">
        <v>0</v>
      </c>
      <c r="P412" t="n">
        <v>0</v>
      </c>
      <c r="Q412" t="n">
        <v>0</v>
      </c>
      <c r="R412" s="2" t="inlineStr"/>
    </row>
    <row r="413" ht="15" customHeight="1">
      <c r="A413" t="inlineStr">
        <is>
          <t>A 37952-2024</t>
        </is>
      </c>
      <c r="B413" s="1" t="n">
        <v>45544.5200462963</v>
      </c>
      <c r="C413" s="1" t="n">
        <v>45995</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54494-2025</t>
        </is>
      </c>
      <c r="B414" s="1" t="n">
        <v>45965.59965277778</v>
      </c>
      <c r="C414" s="1" t="n">
        <v>45995</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41046-2024</t>
        </is>
      </c>
      <c r="B415" s="1" t="n">
        <v>45559.36677083333</v>
      </c>
      <c r="C415" s="1" t="n">
        <v>45995</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56016-2024</t>
        </is>
      </c>
      <c r="B416" s="1" t="n">
        <v>45623.87737268519</v>
      </c>
      <c r="C416" s="1" t="n">
        <v>45995</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3352-2024</t>
        </is>
      </c>
      <c r="B417" s="1" t="n">
        <v>45317</v>
      </c>
      <c r="C417" s="1" t="n">
        <v>45995</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46176-2025</t>
        </is>
      </c>
      <c r="B418" s="1" t="n">
        <v>45924.65101851852</v>
      </c>
      <c r="C418" s="1" t="n">
        <v>45995</v>
      </c>
      <c r="D418" t="inlineStr">
        <is>
          <t>DALARNAS LÄN</t>
        </is>
      </c>
      <c r="E418" t="inlineStr">
        <is>
          <t>LEKSAND</t>
        </is>
      </c>
      <c r="G418" t="n">
        <v>2.4</v>
      </c>
      <c r="H418" t="n">
        <v>0</v>
      </c>
      <c r="I418" t="n">
        <v>0</v>
      </c>
      <c r="J418" t="n">
        <v>0</v>
      </c>
      <c r="K418" t="n">
        <v>0</v>
      </c>
      <c r="L418" t="n">
        <v>0</v>
      </c>
      <c r="M418" t="n">
        <v>0</v>
      </c>
      <c r="N418" t="n">
        <v>0</v>
      </c>
      <c r="O418" t="n">
        <v>0</v>
      </c>
      <c r="P418" t="n">
        <v>0</v>
      </c>
      <c r="Q418" t="n">
        <v>0</v>
      </c>
      <c r="R418" s="2" t="inlineStr"/>
    </row>
    <row r="419" ht="15" customHeight="1">
      <c r="A419" t="inlineStr">
        <is>
          <t>A 54440-2025</t>
        </is>
      </c>
      <c r="B419" s="1" t="n">
        <v>45965.50385416667</v>
      </c>
      <c r="C419" s="1" t="n">
        <v>45995</v>
      </c>
      <c r="D419" t="inlineStr">
        <is>
          <t>DALARNAS LÄN</t>
        </is>
      </c>
      <c r="E419" t="inlineStr">
        <is>
          <t>LEKSAND</t>
        </is>
      </c>
      <c r="F419" t="inlineStr">
        <is>
          <t>Bergvik skog väst AB</t>
        </is>
      </c>
      <c r="G419" t="n">
        <v>2.1</v>
      </c>
      <c r="H419" t="n">
        <v>0</v>
      </c>
      <c r="I419" t="n">
        <v>0</v>
      </c>
      <c r="J419" t="n">
        <v>0</v>
      </c>
      <c r="K419" t="n">
        <v>0</v>
      </c>
      <c r="L419" t="n">
        <v>0</v>
      </c>
      <c r="M419" t="n">
        <v>0</v>
      </c>
      <c r="N419" t="n">
        <v>0</v>
      </c>
      <c r="O419" t="n">
        <v>0</v>
      </c>
      <c r="P419" t="n">
        <v>0</v>
      </c>
      <c r="Q419" t="n">
        <v>0</v>
      </c>
      <c r="R419" s="2" t="inlineStr"/>
    </row>
    <row r="420" ht="15" customHeight="1">
      <c r="A420" t="inlineStr">
        <is>
          <t>A 54293-2025</t>
        </is>
      </c>
      <c r="B420" s="1" t="n">
        <v>45964.86651620371</v>
      </c>
      <c r="C420" s="1" t="n">
        <v>45995</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54295-2025</t>
        </is>
      </c>
      <c r="B421" s="1" t="n">
        <v>45964.87122685185</v>
      </c>
      <c r="C421" s="1" t="n">
        <v>45995</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7778-2025</t>
        </is>
      </c>
      <c r="B422" s="1" t="n">
        <v>45706</v>
      </c>
      <c r="C422" s="1" t="n">
        <v>45995</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31391-2024</t>
        </is>
      </c>
      <c r="B423" s="1" t="n">
        <v>45505.46616898148</v>
      </c>
      <c r="C423" s="1" t="n">
        <v>45995</v>
      </c>
      <c r="D423" t="inlineStr">
        <is>
          <t>DALARNAS LÄN</t>
        </is>
      </c>
      <c r="E423" t="inlineStr">
        <is>
          <t>LEKSAND</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19590-2023</t>
        </is>
      </c>
      <c r="B424" s="1" t="n">
        <v>45049</v>
      </c>
      <c r="C424" s="1" t="n">
        <v>45995</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54752-2025</t>
        </is>
      </c>
      <c r="B425" s="1" t="n">
        <v>45966.5916087963</v>
      </c>
      <c r="C425" s="1" t="n">
        <v>45995</v>
      </c>
      <c r="D425" t="inlineStr">
        <is>
          <t>DALARNAS LÄN</t>
        </is>
      </c>
      <c r="E425" t="inlineStr">
        <is>
          <t>LEKSAND</t>
        </is>
      </c>
      <c r="G425" t="n">
        <v>0.3</v>
      </c>
      <c r="H425" t="n">
        <v>0</v>
      </c>
      <c r="I425" t="n">
        <v>0</v>
      </c>
      <c r="J425" t="n">
        <v>0</v>
      </c>
      <c r="K425" t="n">
        <v>0</v>
      </c>
      <c r="L425" t="n">
        <v>0</v>
      </c>
      <c r="M425" t="n">
        <v>0</v>
      </c>
      <c r="N425" t="n">
        <v>0</v>
      </c>
      <c r="O425" t="n">
        <v>0</v>
      </c>
      <c r="P425" t="n">
        <v>0</v>
      </c>
      <c r="Q425" t="n">
        <v>0</v>
      </c>
      <c r="R425" s="2" t="inlineStr"/>
    </row>
    <row r="426" ht="15" customHeight="1">
      <c r="A426" t="inlineStr">
        <is>
          <t>A 39807-2024</t>
        </is>
      </c>
      <c r="B426" s="1" t="n">
        <v>45553.35763888889</v>
      </c>
      <c r="C426" s="1" t="n">
        <v>45995</v>
      </c>
      <c r="D426" t="inlineStr">
        <is>
          <t>DALARNAS LÄN</t>
        </is>
      </c>
      <c r="E426" t="inlineStr">
        <is>
          <t>LEKSAND</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55926-2024</t>
        </is>
      </c>
      <c r="B427" s="1" t="n">
        <v>45623.601875</v>
      </c>
      <c r="C427" s="1" t="n">
        <v>45995</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16293-2025</t>
        </is>
      </c>
      <c r="B428" s="1" t="n">
        <v>45751.33447916667</v>
      </c>
      <c r="C428" s="1" t="n">
        <v>45995</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31850-2024</t>
        </is>
      </c>
      <c r="B429" s="1" t="n">
        <v>45509.67334490741</v>
      </c>
      <c r="C429" s="1" t="n">
        <v>45995</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51860-2024</t>
        </is>
      </c>
      <c r="B430" s="1" t="n">
        <v>45607.54511574074</v>
      </c>
      <c r="C430" s="1" t="n">
        <v>45995</v>
      </c>
      <c r="D430" t="inlineStr">
        <is>
          <t>DALARNAS LÄN</t>
        </is>
      </c>
      <c r="E430" t="inlineStr">
        <is>
          <t>LEKSAND</t>
        </is>
      </c>
      <c r="F430" t="inlineStr">
        <is>
          <t>Bergvik skog väst AB</t>
        </is>
      </c>
      <c r="G430" t="n">
        <v>3.4</v>
      </c>
      <c r="H430" t="n">
        <v>0</v>
      </c>
      <c r="I430" t="n">
        <v>0</v>
      </c>
      <c r="J430" t="n">
        <v>0</v>
      </c>
      <c r="K430" t="n">
        <v>0</v>
      </c>
      <c r="L430" t="n">
        <v>0</v>
      </c>
      <c r="M430" t="n">
        <v>0</v>
      </c>
      <c r="N430" t="n">
        <v>0</v>
      </c>
      <c r="O430" t="n">
        <v>0</v>
      </c>
      <c r="P430" t="n">
        <v>0</v>
      </c>
      <c r="Q430" t="n">
        <v>0</v>
      </c>
      <c r="R430" s="2" t="inlineStr"/>
    </row>
    <row r="431" ht="15" customHeight="1">
      <c r="A431" t="inlineStr">
        <is>
          <t>A 12363-2023</t>
        </is>
      </c>
      <c r="B431" s="1" t="n">
        <v>44998</v>
      </c>
      <c r="C431" s="1" t="n">
        <v>45995</v>
      </c>
      <c r="D431" t="inlineStr">
        <is>
          <t>DALARNAS LÄN</t>
        </is>
      </c>
      <c r="E431" t="inlineStr">
        <is>
          <t>LEKSAND</t>
        </is>
      </c>
      <c r="G431" t="n">
        <v>10</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45995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27244-2023</t>
        </is>
      </c>
      <c r="B433" s="1" t="n">
        <v>45096</v>
      </c>
      <c r="C433" s="1" t="n">
        <v>45995</v>
      </c>
      <c r="D433" t="inlineStr">
        <is>
          <t>DALARNAS LÄN</t>
        </is>
      </c>
      <c r="E433" t="inlineStr">
        <is>
          <t>LEKSAND</t>
        </is>
      </c>
      <c r="G433" t="n">
        <v>5</v>
      </c>
      <c r="H433" t="n">
        <v>0</v>
      </c>
      <c r="I433" t="n">
        <v>0</v>
      </c>
      <c r="J433" t="n">
        <v>0</v>
      </c>
      <c r="K433" t="n">
        <v>0</v>
      </c>
      <c r="L433" t="n">
        <v>0</v>
      </c>
      <c r="M433" t="n">
        <v>0</v>
      </c>
      <c r="N433" t="n">
        <v>0</v>
      </c>
      <c r="O433" t="n">
        <v>0</v>
      </c>
      <c r="P433" t="n">
        <v>0</v>
      </c>
      <c r="Q433" t="n">
        <v>0</v>
      </c>
      <c r="R433" s="2" t="inlineStr"/>
    </row>
    <row r="434" ht="15" customHeight="1">
      <c r="A434" t="inlineStr">
        <is>
          <t>A 15020-2023</t>
        </is>
      </c>
      <c r="B434" s="1" t="n">
        <v>45015.6196412037</v>
      </c>
      <c r="C434" s="1" t="n">
        <v>45995</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11277-2025</t>
        </is>
      </c>
      <c r="B435" s="1" t="n">
        <v>45726.41565972222</v>
      </c>
      <c r="C435" s="1" t="n">
        <v>45995</v>
      </c>
      <c r="D435" t="inlineStr">
        <is>
          <t>DALARNAS LÄN</t>
        </is>
      </c>
      <c r="E435" t="inlineStr">
        <is>
          <t>LEKSAND</t>
        </is>
      </c>
      <c r="G435" t="n">
        <v>2</v>
      </c>
      <c r="H435" t="n">
        <v>0</v>
      </c>
      <c r="I435" t="n">
        <v>0</v>
      </c>
      <c r="J435" t="n">
        <v>0</v>
      </c>
      <c r="K435" t="n">
        <v>0</v>
      </c>
      <c r="L435" t="n">
        <v>0</v>
      </c>
      <c r="M435" t="n">
        <v>0</v>
      </c>
      <c r="N435" t="n">
        <v>0</v>
      </c>
      <c r="O435" t="n">
        <v>0</v>
      </c>
      <c r="P435" t="n">
        <v>0</v>
      </c>
      <c r="Q435" t="n">
        <v>0</v>
      </c>
      <c r="R435" s="2" t="inlineStr"/>
    </row>
    <row r="436" ht="15" customHeight="1">
      <c r="A436" t="inlineStr">
        <is>
          <t>A 46405-2025</t>
        </is>
      </c>
      <c r="B436" s="1" t="n">
        <v>45925.56306712963</v>
      </c>
      <c r="C436" s="1" t="n">
        <v>45995</v>
      </c>
      <c r="D436" t="inlineStr">
        <is>
          <t>DALARNAS LÄN</t>
        </is>
      </c>
      <c r="E436" t="inlineStr">
        <is>
          <t>LEKSAND</t>
        </is>
      </c>
      <c r="G436" t="n">
        <v>5.7</v>
      </c>
      <c r="H436" t="n">
        <v>0</v>
      </c>
      <c r="I436" t="n">
        <v>0</v>
      </c>
      <c r="J436" t="n">
        <v>0</v>
      </c>
      <c r="K436" t="n">
        <v>0</v>
      </c>
      <c r="L436" t="n">
        <v>0</v>
      </c>
      <c r="M436" t="n">
        <v>0</v>
      </c>
      <c r="N436" t="n">
        <v>0</v>
      </c>
      <c r="O436" t="n">
        <v>0</v>
      </c>
      <c r="P436" t="n">
        <v>0</v>
      </c>
      <c r="Q436" t="n">
        <v>0</v>
      </c>
      <c r="R436" s="2" t="inlineStr"/>
    </row>
    <row r="437" ht="15" customHeight="1">
      <c r="A437" t="inlineStr">
        <is>
          <t>A 325-2023</t>
        </is>
      </c>
      <c r="B437" s="1" t="n">
        <v>44929</v>
      </c>
      <c r="C437" s="1" t="n">
        <v>45995</v>
      </c>
      <c r="D437" t="inlineStr">
        <is>
          <t>DALARNAS LÄN</t>
        </is>
      </c>
      <c r="E437" t="inlineStr">
        <is>
          <t>LEKSAND</t>
        </is>
      </c>
      <c r="F437" t="inlineStr">
        <is>
          <t>Övriga Aktiebolag</t>
        </is>
      </c>
      <c r="G437" t="n">
        <v>7.1</v>
      </c>
      <c r="H437" t="n">
        <v>0</v>
      </c>
      <c r="I437" t="n">
        <v>0</v>
      </c>
      <c r="J437" t="n">
        <v>0</v>
      </c>
      <c r="K437" t="n">
        <v>0</v>
      </c>
      <c r="L437" t="n">
        <v>0</v>
      </c>
      <c r="M437" t="n">
        <v>0</v>
      </c>
      <c r="N437" t="n">
        <v>0</v>
      </c>
      <c r="O437" t="n">
        <v>0</v>
      </c>
      <c r="P437" t="n">
        <v>0</v>
      </c>
      <c r="Q437" t="n">
        <v>0</v>
      </c>
      <c r="R437" s="2" t="inlineStr"/>
    </row>
    <row r="438" ht="15" customHeight="1">
      <c r="A438" t="inlineStr">
        <is>
          <t>A 11678-2025</t>
        </is>
      </c>
      <c r="B438" s="1" t="n">
        <v>45726</v>
      </c>
      <c r="C438" s="1" t="n">
        <v>45995</v>
      </c>
      <c r="D438" t="inlineStr">
        <is>
          <t>DALARNAS LÄN</t>
        </is>
      </c>
      <c r="E438" t="inlineStr">
        <is>
          <t>LEKSAND</t>
        </is>
      </c>
      <c r="G438" t="n">
        <v>9.4</v>
      </c>
      <c r="H438" t="n">
        <v>0</v>
      </c>
      <c r="I438" t="n">
        <v>0</v>
      </c>
      <c r="J438" t="n">
        <v>0</v>
      </c>
      <c r="K438" t="n">
        <v>0</v>
      </c>
      <c r="L438" t="n">
        <v>0</v>
      </c>
      <c r="M438" t="n">
        <v>0</v>
      </c>
      <c r="N438" t="n">
        <v>0</v>
      </c>
      <c r="O438" t="n">
        <v>0</v>
      </c>
      <c r="P438" t="n">
        <v>0</v>
      </c>
      <c r="Q438" t="n">
        <v>0</v>
      </c>
      <c r="R438" s="2" t="inlineStr"/>
    </row>
    <row r="439" ht="15" customHeight="1">
      <c r="A439" t="inlineStr">
        <is>
          <t>A 46483-2025</t>
        </is>
      </c>
      <c r="B439" s="1" t="n">
        <v>45925.70248842592</v>
      </c>
      <c r="C439" s="1" t="n">
        <v>45995</v>
      </c>
      <c r="D439" t="inlineStr">
        <is>
          <t>DALARNAS LÄN</t>
        </is>
      </c>
      <c r="E439" t="inlineStr">
        <is>
          <t>LEKSAND</t>
        </is>
      </c>
      <c r="G439" t="n">
        <v>3.6</v>
      </c>
      <c r="H439" t="n">
        <v>0</v>
      </c>
      <c r="I439" t="n">
        <v>0</v>
      </c>
      <c r="J439" t="n">
        <v>0</v>
      </c>
      <c r="K439" t="n">
        <v>0</v>
      </c>
      <c r="L439" t="n">
        <v>0</v>
      </c>
      <c r="M439" t="n">
        <v>0</v>
      </c>
      <c r="N439" t="n">
        <v>0</v>
      </c>
      <c r="O439" t="n">
        <v>0</v>
      </c>
      <c r="P439" t="n">
        <v>0</v>
      </c>
      <c r="Q439" t="n">
        <v>0</v>
      </c>
      <c r="R439" s="2" t="inlineStr"/>
    </row>
    <row r="440" ht="15" customHeight="1">
      <c r="A440" t="inlineStr">
        <is>
          <t>A 23323-2023</t>
        </is>
      </c>
      <c r="B440" s="1" t="n">
        <v>45076</v>
      </c>
      <c r="C440" s="1" t="n">
        <v>45995</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10299-2024</t>
        </is>
      </c>
      <c r="B441" s="1" t="n">
        <v>45365.50425925926</v>
      </c>
      <c r="C441" s="1" t="n">
        <v>45995</v>
      </c>
      <c r="D441" t="inlineStr">
        <is>
          <t>DALARNAS LÄN</t>
        </is>
      </c>
      <c r="E441" t="inlineStr">
        <is>
          <t>LEKSAND</t>
        </is>
      </c>
      <c r="G441" t="n">
        <v>3.6</v>
      </c>
      <c r="H441" t="n">
        <v>0</v>
      </c>
      <c r="I441" t="n">
        <v>0</v>
      </c>
      <c r="J441" t="n">
        <v>0</v>
      </c>
      <c r="K441" t="n">
        <v>0</v>
      </c>
      <c r="L441" t="n">
        <v>0</v>
      </c>
      <c r="M441" t="n">
        <v>0</v>
      </c>
      <c r="N441" t="n">
        <v>0</v>
      </c>
      <c r="O441" t="n">
        <v>0</v>
      </c>
      <c r="P441" t="n">
        <v>0</v>
      </c>
      <c r="Q441" t="n">
        <v>0</v>
      </c>
      <c r="R441" s="2" t="inlineStr"/>
    </row>
    <row r="442" ht="15" customHeight="1">
      <c r="A442" t="inlineStr">
        <is>
          <t>A 55643-2024</t>
        </is>
      </c>
      <c r="B442" s="1" t="n">
        <v>45621</v>
      </c>
      <c r="C442" s="1" t="n">
        <v>45995</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18107-2025</t>
        </is>
      </c>
      <c r="B443" s="1" t="n">
        <v>45761.55939814815</v>
      </c>
      <c r="C443" s="1" t="n">
        <v>45995</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60129-2023</t>
        </is>
      </c>
      <c r="B444" s="1" t="n">
        <v>45258.49056712963</v>
      </c>
      <c r="C444" s="1" t="n">
        <v>45995</v>
      </c>
      <c r="D444" t="inlineStr">
        <is>
          <t>DALARNAS LÄN</t>
        </is>
      </c>
      <c r="E444" t="inlineStr">
        <is>
          <t>LEKSAND</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16137-2023</t>
        </is>
      </c>
      <c r="B445" s="1" t="n">
        <v>45027</v>
      </c>
      <c r="C445" s="1" t="n">
        <v>45995</v>
      </c>
      <c r="D445" t="inlineStr">
        <is>
          <t>DALARNAS LÄN</t>
        </is>
      </c>
      <c r="E445" t="inlineStr">
        <is>
          <t>LEKSAND</t>
        </is>
      </c>
      <c r="G445" t="n">
        <v>1.6</v>
      </c>
      <c r="H445" t="n">
        <v>0</v>
      </c>
      <c r="I445" t="n">
        <v>0</v>
      </c>
      <c r="J445" t="n">
        <v>0</v>
      </c>
      <c r="K445" t="n">
        <v>0</v>
      </c>
      <c r="L445" t="n">
        <v>0</v>
      </c>
      <c r="M445" t="n">
        <v>0</v>
      </c>
      <c r="N445" t="n">
        <v>0</v>
      </c>
      <c r="O445" t="n">
        <v>0</v>
      </c>
      <c r="P445" t="n">
        <v>0</v>
      </c>
      <c r="Q445" t="n">
        <v>0</v>
      </c>
      <c r="R445" s="2" t="inlineStr"/>
    </row>
    <row r="446" ht="15" customHeight="1">
      <c r="A446" t="inlineStr">
        <is>
          <t>A 28630-2023</t>
        </is>
      </c>
      <c r="B446" s="1" t="n">
        <v>45103.61003472222</v>
      </c>
      <c r="C446" s="1" t="n">
        <v>45995</v>
      </c>
      <c r="D446" t="inlineStr">
        <is>
          <t>DALARNAS LÄN</t>
        </is>
      </c>
      <c r="E446" t="inlineStr">
        <is>
          <t>LEKSAND</t>
        </is>
      </c>
      <c r="F446" t="inlineStr">
        <is>
          <t>Bergvik skog väst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56283-2024</t>
        </is>
      </c>
      <c r="B447" s="1" t="n">
        <v>45624.67864583333</v>
      </c>
      <c r="C447" s="1" t="n">
        <v>45995</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56299-2024</t>
        </is>
      </c>
      <c r="B448" s="1" t="n">
        <v>45624.68607638889</v>
      </c>
      <c r="C448" s="1" t="n">
        <v>45995</v>
      </c>
      <c r="D448" t="inlineStr">
        <is>
          <t>DALARNAS LÄN</t>
        </is>
      </c>
      <c r="E448" t="inlineStr">
        <is>
          <t>LEKSAND</t>
        </is>
      </c>
      <c r="G448" t="n">
        <v>1.6</v>
      </c>
      <c r="H448" t="n">
        <v>0</v>
      </c>
      <c r="I448" t="n">
        <v>0</v>
      </c>
      <c r="J448" t="n">
        <v>0</v>
      </c>
      <c r="K448" t="n">
        <v>0</v>
      </c>
      <c r="L448" t="n">
        <v>0</v>
      </c>
      <c r="M448" t="n">
        <v>0</v>
      </c>
      <c r="N448" t="n">
        <v>0</v>
      </c>
      <c r="O448" t="n">
        <v>0</v>
      </c>
      <c r="P448" t="n">
        <v>0</v>
      </c>
      <c r="Q448" t="n">
        <v>0</v>
      </c>
      <c r="R448" s="2" t="inlineStr"/>
    </row>
    <row r="449" ht="15" customHeight="1">
      <c r="A449" t="inlineStr">
        <is>
          <t>A 16051-2023</t>
        </is>
      </c>
      <c r="B449" s="1" t="n">
        <v>45027</v>
      </c>
      <c r="C449" s="1" t="n">
        <v>45995</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56059-2024</t>
        </is>
      </c>
      <c r="B450" s="1" t="n">
        <v>45624.36729166667</v>
      </c>
      <c r="C450" s="1" t="n">
        <v>45995</v>
      </c>
      <c r="D450" t="inlineStr">
        <is>
          <t>DALARNAS LÄN</t>
        </is>
      </c>
      <c r="E450" t="inlineStr">
        <is>
          <t>LEKSAND</t>
        </is>
      </c>
      <c r="G450" t="n">
        <v>3.1</v>
      </c>
      <c r="H450" t="n">
        <v>0</v>
      </c>
      <c r="I450" t="n">
        <v>0</v>
      </c>
      <c r="J450" t="n">
        <v>0</v>
      </c>
      <c r="K450" t="n">
        <v>0</v>
      </c>
      <c r="L450" t="n">
        <v>0</v>
      </c>
      <c r="M450" t="n">
        <v>0</v>
      </c>
      <c r="N450" t="n">
        <v>0</v>
      </c>
      <c r="O450" t="n">
        <v>0</v>
      </c>
      <c r="P450" t="n">
        <v>0</v>
      </c>
      <c r="Q450" t="n">
        <v>0</v>
      </c>
      <c r="R450" s="2" t="inlineStr"/>
    </row>
    <row r="451" ht="15" customHeight="1">
      <c r="A451" t="inlineStr">
        <is>
          <t>A 7759-2025</t>
        </is>
      </c>
      <c r="B451" s="1" t="n">
        <v>45706.53827546296</v>
      </c>
      <c r="C451" s="1" t="n">
        <v>45995</v>
      </c>
      <c r="D451" t="inlineStr">
        <is>
          <t>DALARNAS LÄN</t>
        </is>
      </c>
      <c r="E451" t="inlineStr">
        <is>
          <t>LEKSAND</t>
        </is>
      </c>
      <c r="G451" t="n">
        <v>3.3</v>
      </c>
      <c r="H451" t="n">
        <v>0</v>
      </c>
      <c r="I451" t="n">
        <v>0</v>
      </c>
      <c r="J451" t="n">
        <v>0</v>
      </c>
      <c r="K451" t="n">
        <v>0</v>
      </c>
      <c r="L451" t="n">
        <v>0</v>
      </c>
      <c r="M451" t="n">
        <v>0</v>
      </c>
      <c r="N451" t="n">
        <v>0</v>
      </c>
      <c r="O451" t="n">
        <v>0</v>
      </c>
      <c r="P451" t="n">
        <v>0</v>
      </c>
      <c r="Q451" t="n">
        <v>0</v>
      </c>
      <c r="R451" s="2" t="inlineStr"/>
    </row>
    <row r="452" ht="15" customHeight="1">
      <c r="A452" t="inlineStr">
        <is>
          <t>A 43077-2024</t>
        </is>
      </c>
      <c r="B452" s="1" t="n">
        <v>45567.50030092592</v>
      </c>
      <c r="C452" s="1" t="n">
        <v>45995</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46978-2025</t>
        </is>
      </c>
      <c r="B453" s="1" t="n">
        <v>45929.51811342593</v>
      </c>
      <c r="C453" s="1" t="n">
        <v>45995</v>
      </c>
      <c r="D453" t="inlineStr">
        <is>
          <t>DALARNAS LÄN</t>
        </is>
      </c>
      <c r="E453" t="inlineStr">
        <is>
          <t>LEKSAND</t>
        </is>
      </c>
      <c r="G453" t="n">
        <v>2</v>
      </c>
      <c r="H453" t="n">
        <v>0</v>
      </c>
      <c r="I453" t="n">
        <v>0</v>
      </c>
      <c r="J453" t="n">
        <v>0</v>
      </c>
      <c r="K453" t="n">
        <v>0</v>
      </c>
      <c r="L453" t="n">
        <v>0</v>
      </c>
      <c r="M453" t="n">
        <v>0</v>
      </c>
      <c r="N453" t="n">
        <v>0</v>
      </c>
      <c r="O453" t="n">
        <v>0</v>
      </c>
      <c r="P453" t="n">
        <v>0</v>
      </c>
      <c r="Q453" t="n">
        <v>0</v>
      </c>
      <c r="R453" s="2" t="inlineStr"/>
    </row>
    <row r="454" ht="15" customHeight="1">
      <c r="A454" t="inlineStr">
        <is>
          <t>A 55784-2025</t>
        </is>
      </c>
      <c r="B454" s="1" t="n">
        <v>45972.63765046297</v>
      </c>
      <c r="C454" s="1" t="n">
        <v>45995</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2579-2022</t>
        </is>
      </c>
      <c r="B455" s="1" t="n">
        <v>44580</v>
      </c>
      <c r="C455" s="1" t="n">
        <v>45995</v>
      </c>
      <c r="D455" t="inlineStr">
        <is>
          <t>DALARNAS LÄN</t>
        </is>
      </c>
      <c r="E455" t="inlineStr">
        <is>
          <t>LEKSAND</t>
        </is>
      </c>
      <c r="G455" t="n">
        <v>0.3</v>
      </c>
      <c r="H455" t="n">
        <v>0</v>
      </c>
      <c r="I455" t="n">
        <v>0</v>
      </c>
      <c r="J455" t="n">
        <v>0</v>
      </c>
      <c r="K455" t="n">
        <v>0</v>
      </c>
      <c r="L455" t="n">
        <v>0</v>
      </c>
      <c r="M455" t="n">
        <v>0</v>
      </c>
      <c r="N455" t="n">
        <v>0</v>
      </c>
      <c r="O455" t="n">
        <v>0</v>
      </c>
      <c r="P455" t="n">
        <v>0</v>
      </c>
      <c r="Q455" t="n">
        <v>0</v>
      </c>
      <c r="R455" s="2" t="inlineStr"/>
    </row>
    <row r="456" ht="15" customHeight="1">
      <c r="A456" t="inlineStr">
        <is>
          <t>A 49395-2024</t>
        </is>
      </c>
      <c r="B456" s="1" t="n">
        <v>45595</v>
      </c>
      <c r="C456" s="1" t="n">
        <v>45995</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55493-2025</t>
        </is>
      </c>
      <c r="B457" s="1" t="n">
        <v>45971.57913194445</v>
      </c>
      <c r="C457" s="1" t="n">
        <v>45995</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47068-2025</t>
        </is>
      </c>
      <c r="B458" s="1" t="n">
        <v>45929.63511574074</v>
      </c>
      <c r="C458" s="1" t="n">
        <v>45995</v>
      </c>
      <c r="D458" t="inlineStr">
        <is>
          <t>DALARNAS LÄN</t>
        </is>
      </c>
      <c r="E458" t="inlineStr">
        <is>
          <t>LEKSAND</t>
        </is>
      </c>
      <c r="G458" t="n">
        <v>3.4</v>
      </c>
      <c r="H458" t="n">
        <v>0</v>
      </c>
      <c r="I458" t="n">
        <v>0</v>
      </c>
      <c r="J458" t="n">
        <v>0</v>
      </c>
      <c r="K458" t="n">
        <v>0</v>
      </c>
      <c r="L458" t="n">
        <v>0</v>
      </c>
      <c r="M458" t="n">
        <v>0</v>
      </c>
      <c r="N458" t="n">
        <v>0</v>
      </c>
      <c r="O458" t="n">
        <v>0</v>
      </c>
      <c r="P458" t="n">
        <v>0</v>
      </c>
      <c r="Q458" t="n">
        <v>0</v>
      </c>
      <c r="R458" s="2" t="inlineStr"/>
    </row>
    <row r="459" ht="15" customHeight="1">
      <c r="A459" t="inlineStr">
        <is>
          <t>A 46949-2025</t>
        </is>
      </c>
      <c r="B459" s="1" t="n">
        <v>45929.46811342592</v>
      </c>
      <c r="C459" s="1" t="n">
        <v>45995</v>
      </c>
      <c r="D459" t="inlineStr">
        <is>
          <t>DALARNAS LÄN</t>
        </is>
      </c>
      <c r="E459" t="inlineStr">
        <is>
          <t>LEKSAND</t>
        </is>
      </c>
      <c r="G459" t="n">
        <v>5</v>
      </c>
      <c r="H459" t="n">
        <v>0</v>
      </c>
      <c r="I459" t="n">
        <v>0</v>
      </c>
      <c r="J459" t="n">
        <v>0</v>
      </c>
      <c r="K459" t="n">
        <v>0</v>
      </c>
      <c r="L459" t="n">
        <v>0</v>
      </c>
      <c r="M459" t="n">
        <v>0</v>
      </c>
      <c r="N459" t="n">
        <v>0</v>
      </c>
      <c r="O459" t="n">
        <v>0</v>
      </c>
      <c r="P459" t="n">
        <v>0</v>
      </c>
      <c r="Q459" t="n">
        <v>0</v>
      </c>
      <c r="R459" s="2" t="inlineStr"/>
    </row>
    <row r="460" ht="15" customHeight="1">
      <c r="A460" t="inlineStr">
        <is>
          <t>A 17078-2023</t>
        </is>
      </c>
      <c r="B460" s="1" t="n">
        <v>45034</v>
      </c>
      <c r="C460" s="1" t="n">
        <v>45995</v>
      </c>
      <c r="D460" t="inlineStr">
        <is>
          <t>DALARNAS LÄN</t>
        </is>
      </c>
      <c r="E460" t="inlineStr">
        <is>
          <t>LEKSAND</t>
        </is>
      </c>
      <c r="G460" t="n">
        <v>0.5</v>
      </c>
      <c r="H460" t="n">
        <v>0</v>
      </c>
      <c r="I460" t="n">
        <v>0</v>
      </c>
      <c r="J460" t="n">
        <v>0</v>
      </c>
      <c r="K460" t="n">
        <v>0</v>
      </c>
      <c r="L460" t="n">
        <v>0</v>
      </c>
      <c r="M460" t="n">
        <v>0</v>
      </c>
      <c r="N460" t="n">
        <v>0</v>
      </c>
      <c r="O460" t="n">
        <v>0</v>
      </c>
      <c r="P460" t="n">
        <v>0</v>
      </c>
      <c r="Q460" t="n">
        <v>0</v>
      </c>
      <c r="R460" s="2" t="inlineStr"/>
    </row>
    <row r="461" ht="15" customHeight="1">
      <c r="A461" t="inlineStr">
        <is>
          <t>A 14865-2025</t>
        </is>
      </c>
      <c r="B461" s="1" t="n">
        <v>45743.43929398148</v>
      </c>
      <c r="C461" s="1" t="n">
        <v>45995</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16854-2025</t>
        </is>
      </c>
      <c r="B462" s="1" t="n">
        <v>45754.72883101852</v>
      </c>
      <c r="C462" s="1" t="n">
        <v>45995</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5847-2025</t>
        </is>
      </c>
      <c r="B463" s="1" t="n">
        <v>45695.30824074074</v>
      </c>
      <c r="C463" s="1" t="n">
        <v>45995</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5873-2025</t>
        </is>
      </c>
      <c r="B464" s="1" t="n">
        <v>45695.36715277778</v>
      </c>
      <c r="C464" s="1" t="n">
        <v>45995</v>
      </c>
      <c r="D464" t="inlineStr">
        <is>
          <t>DALARNAS LÄN</t>
        </is>
      </c>
      <c r="E464" t="inlineStr">
        <is>
          <t>LEKSAND</t>
        </is>
      </c>
      <c r="G464" t="n">
        <v>1.4</v>
      </c>
      <c r="H464" t="n">
        <v>0</v>
      </c>
      <c r="I464" t="n">
        <v>0</v>
      </c>
      <c r="J464" t="n">
        <v>0</v>
      </c>
      <c r="K464" t="n">
        <v>0</v>
      </c>
      <c r="L464" t="n">
        <v>0</v>
      </c>
      <c r="M464" t="n">
        <v>0</v>
      </c>
      <c r="N464" t="n">
        <v>0</v>
      </c>
      <c r="O464" t="n">
        <v>0</v>
      </c>
      <c r="P464" t="n">
        <v>0</v>
      </c>
      <c r="Q464" t="n">
        <v>0</v>
      </c>
      <c r="R464" s="2" t="inlineStr"/>
    </row>
    <row r="465" ht="15" customHeight="1">
      <c r="A465" t="inlineStr">
        <is>
          <t>A 18481-2024</t>
        </is>
      </c>
      <c r="B465" s="1" t="n">
        <v>45425.52193287037</v>
      </c>
      <c r="C465" s="1" t="n">
        <v>45995</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18484-2024</t>
        </is>
      </c>
      <c r="B466" s="1" t="n">
        <v>45425.52559027778</v>
      </c>
      <c r="C466" s="1" t="n">
        <v>45995</v>
      </c>
      <c r="D466" t="inlineStr">
        <is>
          <t>DALARNAS LÄN</t>
        </is>
      </c>
      <c r="E466" t="inlineStr">
        <is>
          <t>LEKSAND</t>
        </is>
      </c>
      <c r="G466" t="n">
        <v>2</v>
      </c>
      <c r="H466" t="n">
        <v>0</v>
      </c>
      <c r="I466" t="n">
        <v>0</v>
      </c>
      <c r="J466" t="n">
        <v>0</v>
      </c>
      <c r="K466" t="n">
        <v>0</v>
      </c>
      <c r="L466" t="n">
        <v>0</v>
      </c>
      <c r="M466" t="n">
        <v>0</v>
      </c>
      <c r="N466" t="n">
        <v>0</v>
      </c>
      <c r="O466" t="n">
        <v>0</v>
      </c>
      <c r="P466" t="n">
        <v>0</v>
      </c>
      <c r="Q466" t="n">
        <v>0</v>
      </c>
      <c r="R466" s="2" t="inlineStr"/>
    </row>
    <row r="467" ht="15" customHeight="1">
      <c r="A467" t="inlineStr">
        <is>
          <t>A 33317-2023</t>
        </is>
      </c>
      <c r="B467" s="1" t="n">
        <v>45127.84586805556</v>
      </c>
      <c r="C467" s="1" t="n">
        <v>45995</v>
      </c>
      <c r="D467" t="inlineStr">
        <is>
          <t>DALARNAS LÄN</t>
        </is>
      </c>
      <c r="E467" t="inlineStr">
        <is>
          <t>LEKSAND</t>
        </is>
      </c>
      <c r="G467" t="n">
        <v>2.7</v>
      </c>
      <c r="H467" t="n">
        <v>0</v>
      </c>
      <c r="I467" t="n">
        <v>0</v>
      </c>
      <c r="J467" t="n">
        <v>0</v>
      </c>
      <c r="K467" t="n">
        <v>0</v>
      </c>
      <c r="L467" t="n">
        <v>0</v>
      </c>
      <c r="M467" t="n">
        <v>0</v>
      </c>
      <c r="N467" t="n">
        <v>0</v>
      </c>
      <c r="O467" t="n">
        <v>0</v>
      </c>
      <c r="P467" t="n">
        <v>0</v>
      </c>
      <c r="Q467" t="n">
        <v>0</v>
      </c>
      <c r="R467" s="2" t="inlineStr"/>
    </row>
    <row r="468" ht="15" customHeight="1">
      <c r="A468" t="inlineStr">
        <is>
          <t>A 33318-2023</t>
        </is>
      </c>
      <c r="B468" s="1" t="n">
        <v>45127</v>
      </c>
      <c r="C468" s="1" t="n">
        <v>45995</v>
      </c>
      <c r="D468" t="inlineStr">
        <is>
          <t>DALARNAS LÄN</t>
        </is>
      </c>
      <c r="E468" t="inlineStr">
        <is>
          <t>LEKSAND</t>
        </is>
      </c>
      <c r="G468" t="n">
        <v>5.5</v>
      </c>
      <c r="H468" t="n">
        <v>0</v>
      </c>
      <c r="I468" t="n">
        <v>0</v>
      </c>
      <c r="J468" t="n">
        <v>0</v>
      </c>
      <c r="K468" t="n">
        <v>0</v>
      </c>
      <c r="L468" t="n">
        <v>0</v>
      </c>
      <c r="M468" t="n">
        <v>0</v>
      </c>
      <c r="N468" t="n">
        <v>0</v>
      </c>
      <c r="O468" t="n">
        <v>0</v>
      </c>
      <c r="P468" t="n">
        <v>0</v>
      </c>
      <c r="Q468" t="n">
        <v>0</v>
      </c>
      <c r="R468" s="2" t="inlineStr"/>
    </row>
    <row r="469" ht="15" customHeight="1">
      <c r="A469" t="inlineStr">
        <is>
          <t>A 47976-2025</t>
        </is>
      </c>
      <c r="B469" s="1" t="n">
        <v>45932.60846064815</v>
      </c>
      <c r="C469" s="1" t="n">
        <v>45995</v>
      </c>
      <c r="D469" t="inlineStr">
        <is>
          <t>DALARNAS LÄN</t>
        </is>
      </c>
      <c r="E469" t="inlineStr">
        <is>
          <t>LEKSAND</t>
        </is>
      </c>
      <c r="F469" t="inlineStr">
        <is>
          <t>Bergvik skog väst AB</t>
        </is>
      </c>
      <c r="G469" t="n">
        <v>0.3</v>
      </c>
      <c r="H469" t="n">
        <v>0</v>
      </c>
      <c r="I469" t="n">
        <v>0</v>
      </c>
      <c r="J469" t="n">
        <v>0</v>
      </c>
      <c r="K469" t="n">
        <v>0</v>
      </c>
      <c r="L469" t="n">
        <v>0</v>
      </c>
      <c r="M469" t="n">
        <v>0</v>
      </c>
      <c r="N469" t="n">
        <v>0</v>
      </c>
      <c r="O469" t="n">
        <v>0</v>
      </c>
      <c r="P469" t="n">
        <v>0</v>
      </c>
      <c r="Q469" t="n">
        <v>0</v>
      </c>
      <c r="R469" s="2" t="inlineStr"/>
    </row>
    <row r="470" ht="15" customHeight="1">
      <c r="A470" t="inlineStr">
        <is>
          <t>A 47977-2025</t>
        </is>
      </c>
      <c r="B470" s="1" t="n">
        <v>45932.60920138889</v>
      </c>
      <c r="C470" s="1" t="n">
        <v>45995</v>
      </c>
      <c r="D470" t="inlineStr">
        <is>
          <t>DALARNAS LÄN</t>
        </is>
      </c>
      <c r="E470" t="inlineStr">
        <is>
          <t>LEKSAND</t>
        </is>
      </c>
      <c r="F470" t="inlineStr">
        <is>
          <t>Bergvik skog väst AB</t>
        </is>
      </c>
      <c r="G470" t="n">
        <v>0.2</v>
      </c>
      <c r="H470" t="n">
        <v>0</v>
      </c>
      <c r="I470" t="n">
        <v>0</v>
      </c>
      <c r="J470" t="n">
        <v>0</v>
      </c>
      <c r="K470" t="n">
        <v>0</v>
      </c>
      <c r="L470" t="n">
        <v>0</v>
      </c>
      <c r="M470" t="n">
        <v>0</v>
      </c>
      <c r="N470" t="n">
        <v>0</v>
      </c>
      <c r="O470" t="n">
        <v>0</v>
      </c>
      <c r="P470" t="n">
        <v>0</v>
      </c>
      <c r="Q470" t="n">
        <v>0</v>
      </c>
      <c r="R470" s="2" t="inlineStr"/>
    </row>
    <row r="471" ht="15" customHeight="1">
      <c r="A471" t="inlineStr">
        <is>
          <t>A 53193-2024</t>
        </is>
      </c>
      <c r="B471" s="1" t="n">
        <v>45610</v>
      </c>
      <c r="C471" s="1" t="n">
        <v>45995</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11080-2023</t>
        </is>
      </c>
      <c r="B472" s="1" t="n">
        <v>44992</v>
      </c>
      <c r="C472" s="1" t="n">
        <v>45995</v>
      </c>
      <c r="D472" t="inlineStr">
        <is>
          <t>DALARNAS LÄN</t>
        </is>
      </c>
      <c r="E472" t="inlineStr">
        <is>
          <t>LEKSAND</t>
        </is>
      </c>
      <c r="G472" t="n">
        <v>6.9</v>
      </c>
      <c r="H472" t="n">
        <v>0</v>
      </c>
      <c r="I472" t="n">
        <v>0</v>
      </c>
      <c r="J472" t="n">
        <v>0</v>
      </c>
      <c r="K472" t="n">
        <v>0</v>
      </c>
      <c r="L472" t="n">
        <v>0</v>
      </c>
      <c r="M472" t="n">
        <v>0</v>
      </c>
      <c r="N472" t="n">
        <v>0</v>
      </c>
      <c r="O472" t="n">
        <v>0</v>
      </c>
      <c r="P472" t="n">
        <v>0</v>
      </c>
      <c r="Q472" t="n">
        <v>0</v>
      </c>
      <c r="R472" s="2" t="inlineStr"/>
    </row>
    <row r="473" ht="15" customHeight="1">
      <c r="A473" t="inlineStr">
        <is>
          <t>A 26957-2023</t>
        </is>
      </c>
      <c r="B473" s="1" t="n">
        <v>45093</v>
      </c>
      <c r="C473" s="1" t="n">
        <v>45995</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19371-2024</t>
        </is>
      </c>
      <c r="B474" s="1" t="n">
        <v>45429.34969907408</v>
      </c>
      <c r="C474" s="1" t="n">
        <v>45995</v>
      </c>
      <c r="D474" t="inlineStr">
        <is>
          <t>DALARNAS LÄN</t>
        </is>
      </c>
      <c r="E474" t="inlineStr">
        <is>
          <t>LEKSAND</t>
        </is>
      </c>
      <c r="G474" t="n">
        <v>0.6</v>
      </c>
      <c r="H474" t="n">
        <v>0</v>
      </c>
      <c r="I474" t="n">
        <v>0</v>
      </c>
      <c r="J474" t="n">
        <v>0</v>
      </c>
      <c r="K474" t="n">
        <v>0</v>
      </c>
      <c r="L474" t="n">
        <v>0</v>
      </c>
      <c r="M474" t="n">
        <v>0</v>
      </c>
      <c r="N474" t="n">
        <v>0</v>
      </c>
      <c r="O474" t="n">
        <v>0</v>
      </c>
      <c r="P474" t="n">
        <v>0</v>
      </c>
      <c r="Q474" t="n">
        <v>0</v>
      </c>
      <c r="R474" s="2" t="inlineStr"/>
    </row>
    <row r="475" ht="15" customHeight="1">
      <c r="A475" t="inlineStr">
        <is>
          <t>A 56331-2025</t>
        </is>
      </c>
      <c r="B475" s="1" t="n">
        <v>45974.64157407408</v>
      </c>
      <c r="C475" s="1" t="n">
        <v>45995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7827-2024</t>
        </is>
      </c>
      <c r="B476" s="1" t="n">
        <v>45349.7467824074</v>
      </c>
      <c r="C476" s="1" t="n">
        <v>45995</v>
      </c>
      <c r="D476" t="inlineStr">
        <is>
          <t>DALARNAS LÄN</t>
        </is>
      </c>
      <c r="E476" t="inlineStr">
        <is>
          <t>LEKSAND</t>
        </is>
      </c>
      <c r="G476" t="n">
        <v>2.2</v>
      </c>
      <c r="H476" t="n">
        <v>0</v>
      </c>
      <c r="I476" t="n">
        <v>0</v>
      </c>
      <c r="J476" t="n">
        <v>0</v>
      </c>
      <c r="K476" t="n">
        <v>0</v>
      </c>
      <c r="L476" t="n">
        <v>0</v>
      </c>
      <c r="M476" t="n">
        <v>0</v>
      </c>
      <c r="N476" t="n">
        <v>0</v>
      </c>
      <c r="O476" t="n">
        <v>0</v>
      </c>
      <c r="P476" t="n">
        <v>0</v>
      </c>
      <c r="Q476" t="n">
        <v>0</v>
      </c>
      <c r="R476" s="2" t="inlineStr"/>
    </row>
    <row r="477" ht="15" customHeight="1">
      <c r="A477" t="inlineStr">
        <is>
          <t>A 49405-2024</t>
        </is>
      </c>
      <c r="B477" s="1" t="n">
        <v>45595</v>
      </c>
      <c r="C477" s="1" t="n">
        <v>45995</v>
      </c>
      <c r="D477" t="inlineStr">
        <is>
          <t>DALARNAS LÄN</t>
        </is>
      </c>
      <c r="E477" t="inlineStr">
        <is>
          <t>LEKSAND</t>
        </is>
      </c>
      <c r="G477" t="n">
        <v>0.7</v>
      </c>
      <c r="H477" t="n">
        <v>0</v>
      </c>
      <c r="I477" t="n">
        <v>0</v>
      </c>
      <c r="J477" t="n">
        <v>0</v>
      </c>
      <c r="K477" t="n">
        <v>0</v>
      </c>
      <c r="L477" t="n">
        <v>0</v>
      </c>
      <c r="M477" t="n">
        <v>0</v>
      </c>
      <c r="N477" t="n">
        <v>0</v>
      </c>
      <c r="O477" t="n">
        <v>0</v>
      </c>
      <c r="P477" t="n">
        <v>0</v>
      </c>
      <c r="Q477" t="n">
        <v>0</v>
      </c>
      <c r="R477" s="2" t="inlineStr"/>
    </row>
    <row r="478" ht="15" customHeight="1">
      <c r="A478" t="inlineStr">
        <is>
          <t>A 20683-2025</t>
        </is>
      </c>
      <c r="B478" s="1" t="n">
        <v>45776</v>
      </c>
      <c r="C478" s="1" t="n">
        <v>45995</v>
      </c>
      <c r="D478" t="inlineStr">
        <is>
          <t>DALARNAS LÄN</t>
        </is>
      </c>
      <c r="E478" t="inlineStr">
        <is>
          <t>LEKSAND</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20937-2025</t>
        </is>
      </c>
      <c r="B479" s="1" t="n">
        <v>45777.42769675926</v>
      </c>
      <c r="C479" s="1" t="n">
        <v>45995</v>
      </c>
      <c r="D479" t="inlineStr">
        <is>
          <t>DALARNAS LÄN</t>
        </is>
      </c>
      <c r="E479" t="inlineStr">
        <is>
          <t>LEKSAND</t>
        </is>
      </c>
      <c r="G479" t="n">
        <v>2.2</v>
      </c>
      <c r="H479" t="n">
        <v>0</v>
      </c>
      <c r="I479" t="n">
        <v>0</v>
      </c>
      <c r="J479" t="n">
        <v>0</v>
      </c>
      <c r="K479" t="n">
        <v>0</v>
      </c>
      <c r="L479" t="n">
        <v>0</v>
      </c>
      <c r="M479" t="n">
        <v>0</v>
      </c>
      <c r="N479" t="n">
        <v>0</v>
      </c>
      <c r="O479" t="n">
        <v>0</v>
      </c>
      <c r="P479" t="n">
        <v>0</v>
      </c>
      <c r="Q479" t="n">
        <v>0</v>
      </c>
      <c r="R479" s="2" t="inlineStr"/>
    </row>
    <row r="480" ht="15" customHeight="1">
      <c r="A480" t="inlineStr">
        <is>
          <t>A 21457-2025</t>
        </is>
      </c>
      <c r="B480" s="1" t="n">
        <v>45782.55451388889</v>
      </c>
      <c r="C480" s="1" t="n">
        <v>45995</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54789-2025</t>
        </is>
      </c>
      <c r="B481" s="1" t="n">
        <v>45966</v>
      </c>
      <c r="C481" s="1" t="n">
        <v>45995</v>
      </c>
      <c r="D481" t="inlineStr">
        <is>
          <t>DALARNAS LÄN</t>
        </is>
      </c>
      <c r="E481" t="inlineStr">
        <is>
          <t>LEKSAND</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56161-2025</t>
        </is>
      </c>
      <c r="B482" s="1" t="n">
        <v>45974.37554398148</v>
      </c>
      <c r="C482" s="1" t="n">
        <v>45995</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21230-2025</t>
        </is>
      </c>
      <c r="B483" s="1" t="n">
        <v>45779.54589120371</v>
      </c>
      <c r="C483" s="1" t="n">
        <v>45995</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21193-2025</t>
        </is>
      </c>
      <c r="B484" s="1" t="n">
        <v>45779.46675925926</v>
      </c>
      <c r="C484" s="1" t="n">
        <v>45995</v>
      </c>
      <c r="D484" t="inlineStr">
        <is>
          <t>DALARNAS LÄN</t>
        </is>
      </c>
      <c r="E484" t="inlineStr">
        <is>
          <t>LEKSAND</t>
        </is>
      </c>
      <c r="G484" t="n">
        <v>3.7</v>
      </c>
      <c r="H484" t="n">
        <v>0</v>
      </c>
      <c r="I484" t="n">
        <v>0</v>
      </c>
      <c r="J484" t="n">
        <v>0</v>
      </c>
      <c r="K484" t="n">
        <v>0</v>
      </c>
      <c r="L484" t="n">
        <v>0</v>
      </c>
      <c r="M484" t="n">
        <v>0</v>
      </c>
      <c r="N484" t="n">
        <v>0</v>
      </c>
      <c r="O484" t="n">
        <v>0</v>
      </c>
      <c r="P484" t="n">
        <v>0</v>
      </c>
      <c r="Q484" t="n">
        <v>0</v>
      </c>
      <c r="R484" s="2" t="inlineStr"/>
    </row>
    <row r="485" ht="15" customHeight="1">
      <c r="A485" t="inlineStr">
        <is>
          <t>A 56623-2025</t>
        </is>
      </c>
      <c r="B485" s="1" t="n">
        <v>45975.60164351852</v>
      </c>
      <c r="C485" s="1" t="n">
        <v>45995</v>
      </c>
      <c r="D485" t="inlineStr">
        <is>
          <t>DALARNAS LÄN</t>
        </is>
      </c>
      <c r="E485" t="inlineStr">
        <is>
          <t>LEKSAND</t>
        </is>
      </c>
      <c r="F485" t="inlineStr">
        <is>
          <t>Bergvik skog väst AB</t>
        </is>
      </c>
      <c r="G485" t="n">
        <v>0.8</v>
      </c>
      <c r="H485" t="n">
        <v>0</v>
      </c>
      <c r="I485" t="n">
        <v>0</v>
      </c>
      <c r="J485" t="n">
        <v>0</v>
      </c>
      <c r="K485" t="n">
        <v>0</v>
      </c>
      <c r="L485" t="n">
        <v>0</v>
      </c>
      <c r="M485" t="n">
        <v>0</v>
      </c>
      <c r="N485" t="n">
        <v>0</v>
      </c>
      <c r="O485" t="n">
        <v>0</v>
      </c>
      <c r="P485" t="n">
        <v>0</v>
      </c>
      <c r="Q485" t="n">
        <v>0</v>
      </c>
      <c r="R485" s="2" t="inlineStr"/>
    </row>
    <row r="486" ht="15" customHeight="1">
      <c r="A486" t="inlineStr">
        <is>
          <t>A 40009-2024</t>
        </is>
      </c>
      <c r="B486" s="1" t="n">
        <v>45553.65361111111</v>
      </c>
      <c r="C486" s="1" t="n">
        <v>45995</v>
      </c>
      <c r="D486" t="inlineStr">
        <is>
          <t>DALARNAS LÄN</t>
        </is>
      </c>
      <c r="E486" t="inlineStr">
        <is>
          <t>LEKSAND</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52572-2024</t>
        </is>
      </c>
      <c r="B487" s="1" t="n">
        <v>45609.66488425926</v>
      </c>
      <c r="C487" s="1" t="n">
        <v>45995</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11872-2024</t>
        </is>
      </c>
      <c r="B488" s="1" t="n">
        <v>45376.46833333333</v>
      </c>
      <c r="C488" s="1" t="n">
        <v>45995</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21600-2025</t>
        </is>
      </c>
      <c r="B489" s="1" t="n">
        <v>45783.3521875</v>
      </c>
      <c r="C489" s="1" t="n">
        <v>45995</v>
      </c>
      <c r="D489" t="inlineStr">
        <is>
          <t>DALARNAS LÄN</t>
        </is>
      </c>
      <c r="E489" t="inlineStr">
        <is>
          <t>LEKSAND</t>
        </is>
      </c>
      <c r="G489" t="n">
        <v>7.7</v>
      </c>
      <c r="H489" t="n">
        <v>0</v>
      </c>
      <c r="I489" t="n">
        <v>0</v>
      </c>
      <c r="J489" t="n">
        <v>0</v>
      </c>
      <c r="K489" t="n">
        <v>0</v>
      </c>
      <c r="L489" t="n">
        <v>0</v>
      </c>
      <c r="M489" t="n">
        <v>0</v>
      </c>
      <c r="N489" t="n">
        <v>0</v>
      </c>
      <c r="O489" t="n">
        <v>0</v>
      </c>
      <c r="P489" t="n">
        <v>0</v>
      </c>
      <c r="Q489" t="n">
        <v>0</v>
      </c>
      <c r="R489" s="2" t="inlineStr"/>
    </row>
    <row r="490" ht="15" customHeight="1">
      <c r="A490" t="inlineStr">
        <is>
          <t>A 12851-2023</t>
        </is>
      </c>
      <c r="B490" s="1" t="n">
        <v>45001.49347222222</v>
      </c>
      <c r="C490" s="1" t="n">
        <v>45995</v>
      </c>
      <c r="D490" t="inlineStr">
        <is>
          <t>DALARNAS LÄN</t>
        </is>
      </c>
      <c r="E490" t="inlineStr">
        <is>
          <t>LEKSAND</t>
        </is>
      </c>
      <c r="G490" t="n">
        <v>1.9</v>
      </c>
      <c r="H490" t="n">
        <v>0</v>
      </c>
      <c r="I490" t="n">
        <v>0</v>
      </c>
      <c r="J490" t="n">
        <v>0</v>
      </c>
      <c r="K490" t="n">
        <v>0</v>
      </c>
      <c r="L490" t="n">
        <v>0</v>
      </c>
      <c r="M490" t="n">
        <v>0</v>
      </c>
      <c r="N490" t="n">
        <v>0</v>
      </c>
      <c r="O490" t="n">
        <v>0</v>
      </c>
      <c r="P490" t="n">
        <v>0</v>
      </c>
      <c r="Q490" t="n">
        <v>0</v>
      </c>
      <c r="R490" s="2" t="inlineStr"/>
    </row>
    <row r="491" ht="15" customHeight="1">
      <c r="A491" t="inlineStr">
        <is>
          <t>A 19295-2024</t>
        </is>
      </c>
      <c r="B491" s="1" t="n">
        <v>45428.69106481481</v>
      </c>
      <c r="C491" s="1" t="n">
        <v>45995</v>
      </c>
      <c r="D491" t="inlineStr">
        <is>
          <t>DALARNAS LÄN</t>
        </is>
      </c>
      <c r="E491" t="inlineStr">
        <is>
          <t>LEKSAND</t>
        </is>
      </c>
      <c r="G491" t="n">
        <v>1.6</v>
      </c>
      <c r="H491" t="n">
        <v>0</v>
      </c>
      <c r="I491" t="n">
        <v>0</v>
      </c>
      <c r="J491" t="n">
        <v>0</v>
      </c>
      <c r="K491" t="n">
        <v>0</v>
      </c>
      <c r="L491" t="n">
        <v>0</v>
      </c>
      <c r="M491" t="n">
        <v>0</v>
      </c>
      <c r="N491" t="n">
        <v>0</v>
      </c>
      <c r="O491" t="n">
        <v>0</v>
      </c>
      <c r="P491" t="n">
        <v>0</v>
      </c>
      <c r="Q491" t="n">
        <v>0</v>
      </c>
      <c r="R491" s="2" t="inlineStr"/>
    </row>
    <row r="492" ht="15" customHeight="1">
      <c r="A492" t="inlineStr">
        <is>
          <t>A 40627-2023</t>
        </is>
      </c>
      <c r="B492" s="1" t="n">
        <v>45170</v>
      </c>
      <c r="C492" s="1" t="n">
        <v>45995</v>
      </c>
      <c r="D492" t="inlineStr">
        <is>
          <t>DALARNAS LÄN</t>
        </is>
      </c>
      <c r="E492" t="inlineStr">
        <is>
          <t>LEKSAND</t>
        </is>
      </c>
      <c r="F492" t="inlineStr">
        <is>
          <t>Bergvik skog väst AB</t>
        </is>
      </c>
      <c r="G492" t="n">
        <v>3.3</v>
      </c>
      <c r="H492" t="n">
        <v>0</v>
      </c>
      <c r="I492" t="n">
        <v>0</v>
      </c>
      <c r="J492" t="n">
        <v>0</v>
      </c>
      <c r="K492" t="n">
        <v>0</v>
      </c>
      <c r="L492" t="n">
        <v>0</v>
      </c>
      <c r="M492" t="n">
        <v>0</v>
      </c>
      <c r="N492" t="n">
        <v>0</v>
      </c>
      <c r="O492" t="n">
        <v>0</v>
      </c>
      <c r="P492" t="n">
        <v>0</v>
      </c>
      <c r="Q492" t="n">
        <v>0</v>
      </c>
      <c r="R492" s="2" t="inlineStr"/>
    </row>
    <row r="493" ht="15" customHeight="1">
      <c r="A493" t="inlineStr">
        <is>
          <t>A 21916-2025</t>
        </is>
      </c>
      <c r="B493" s="1" t="n">
        <v>45784.50115740741</v>
      </c>
      <c r="C493" s="1" t="n">
        <v>45995</v>
      </c>
      <c r="D493" t="inlineStr">
        <is>
          <t>DALARNAS LÄN</t>
        </is>
      </c>
      <c r="E493" t="inlineStr">
        <is>
          <t>LEKSAND</t>
        </is>
      </c>
      <c r="G493" t="n">
        <v>2.6</v>
      </c>
      <c r="H493" t="n">
        <v>0</v>
      </c>
      <c r="I493" t="n">
        <v>0</v>
      </c>
      <c r="J493" t="n">
        <v>0</v>
      </c>
      <c r="K493" t="n">
        <v>0</v>
      </c>
      <c r="L493" t="n">
        <v>0</v>
      </c>
      <c r="M493" t="n">
        <v>0</v>
      </c>
      <c r="N493" t="n">
        <v>0</v>
      </c>
      <c r="O493" t="n">
        <v>0</v>
      </c>
      <c r="P493" t="n">
        <v>0</v>
      </c>
      <c r="Q493" t="n">
        <v>0</v>
      </c>
      <c r="R493" s="2" t="inlineStr"/>
    </row>
    <row r="494" ht="15" customHeight="1">
      <c r="A494" t="inlineStr">
        <is>
          <t>A 48421-2025</t>
        </is>
      </c>
      <c r="B494" s="1" t="n">
        <v>45934.67564814815</v>
      </c>
      <c r="C494" s="1" t="n">
        <v>45995</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14967-2023</t>
        </is>
      </c>
      <c r="B495" s="1" t="n">
        <v>45015</v>
      </c>
      <c r="C495" s="1" t="n">
        <v>45995</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56960-2025</t>
        </is>
      </c>
      <c r="B496" s="1" t="n">
        <v>45978.65903935185</v>
      </c>
      <c r="C496" s="1" t="n">
        <v>45995</v>
      </c>
      <c r="D496" t="inlineStr">
        <is>
          <t>DALARNAS LÄN</t>
        </is>
      </c>
      <c r="E496" t="inlineStr">
        <is>
          <t>LEKSAND</t>
        </is>
      </c>
      <c r="G496" t="n">
        <v>3.1</v>
      </c>
      <c r="H496" t="n">
        <v>0</v>
      </c>
      <c r="I496" t="n">
        <v>0</v>
      </c>
      <c r="J496" t="n">
        <v>0</v>
      </c>
      <c r="K496" t="n">
        <v>0</v>
      </c>
      <c r="L496" t="n">
        <v>0</v>
      </c>
      <c r="M496" t="n">
        <v>0</v>
      </c>
      <c r="N496" t="n">
        <v>0</v>
      </c>
      <c r="O496" t="n">
        <v>0</v>
      </c>
      <c r="P496" t="n">
        <v>0</v>
      </c>
      <c r="Q496" t="n">
        <v>0</v>
      </c>
      <c r="R496" s="2" t="inlineStr"/>
    </row>
    <row r="497" ht="15" customHeight="1">
      <c r="A497" t="inlineStr">
        <is>
          <t>A 9781-2024</t>
        </is>
      </c>
      <c r="B497" s="1" t="n">
        <v>45362.66299768518</v>
      </c>
      <c r="C497" s="1" t="n">
        <v>45995</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63513-2023</t>
        </is>
      </c>
      <c r="B498" s="1" t="n">
        <v>45274</v>
      </c>
      <c r="C498" s="1" t="n">
        <v>45995</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40230-2023</t>
        </is>
      </c>
      <c r="B499" s="1" t="n">
        <v>45169.46887731482</v>
      </c>
      <c r="C499" s="1" t="n">
        <v>45995</v>
      </c>
      <c r="D499" t="inlineStr">
        <is>
          <t>DALARNAS LÄN</t>
        </is>
      </c>
      <c r="E499" t="inlineStr">
        <is>
          <t>LEKSAND</t>
        </is>
      </c>
      <c r="G499" t="n">
        <v>0.5</v>
      </c>
      <c r="H499" t="n">
        <v>0</v>
      </c>
      <c r="I499" t="n">
        <v>0</v>
      </c>
      <c r="J499" t="n">
        <v>0</v>
      </c>
      <c r="K499" t="n">
        <v>0</v>
      </c>
      <c r="L499" t="n">
        <v>0</v>
      </c>
      <c r="M499" t="n">
        <v>0</v>
      </c>
      <c r="N499" t="n">
        <v>0</v>
      </c>
      <c r="O499" t="n">
        <v>0</v>
      </c>
      <c r="P499" t="n">
        <v>0</v>
      </c>
      <c r="Q499" t="n">
        <v>0</v>
      </c>
      <c r="R499" s="2" t="inlineStr"/>
    </row>
    <row r="500" ht="15" customHeight="1">
      <c r="A500" t="inlineStr">
        <is>
          <t>A 56517-2025</t>
        </is>
      </c>
      <c r="B500" s="1" t="n">
        <v>45975.45777777778</v>
      </c>
      <c r="C500" s="1" t="n">
        <v>45995</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39819-2024</t>
        </is>
      </c>
      <c r="B501" s="1" t="n">
        <v>45553.38774305556</v>
      </c>
      <c r="C501" s="1" t="n">
        <v>45995</v>
      </c>
      <c r="D501" t="inlineStr">
        <is>
          <t>DALARNAS LÄN</t>
        </is>
      </c>
      <c r="E501" t="inlineStr">
        <is>
          <t>LEKSAND</t>
        </is>
      </c>
      <c r="F501" t="inlineStr">
        <is>
          <t>Bergvik skog väst AB</t>
        </is>
      </c>
      <c r="G501" t="n">
        <v>3.7</v>
      </c>
      <c r="H501" t="n">
        <v>0</v>
      </c>
      <c r="I501" t="n">
        <v>0</v>
      </c>
      <c r="J501" t="n">
        <v>0</v>
      </c>
      <c r="K501" t="n">
        <v>0</v>
      </c>
      <c r="L501" t="n">
        <v>0</v>
      </c>
      <c r="M501" t="n">
        <v>0</v>
      </c>
      <c r="N501" t="n">
        <v>0</v>
      </c>
      <c r="O501" t="n">
        <v>0</v>
      </c>
      <c r="P501" t="n">
        <v>0</v>
      </c>
      <c r="Q501" t="n">
        <v>0</v>
      </c>
      <c r="R501" s="2" t="inlineStr"/>
    </row>
    <row r="502" ht="15" customHeight="1">
      <c r="A502" t="inlineStr">
        <is>
          <t>A 57927-2024</t>
        </is>
      </c>
      <c r="B502" s="1" t="n">
        <v>45630</v>
      </c>
      <c r="C502" s="1" t="n">
        <v>45995</v>
      </c>
      <c r="D502" t="inlineStr">
        <is>
          <t>DALARNAS LÄN</t>
        </is>
      </c>
      <c r="E502" t="inlineStr">
        <is>
          <t>LEKSAND</t>
        </is>
      </c>
      <c r="G502" t="n">
        <v>0.2</v>
      </c>
      <c r="H502" t="n">
        <v>0</v>
      </c>
      <c r="I502" t="n">
        <v>0</v>
      </c>
      <c r="J502" t="n">
        <v>0</v>
      </c>
      <c r="K502" t="n">
        <v>0</v>
      </c>
      <c r="L502" t="n">
        <v>0</v>
      </c>
      <c r="M502" t="n">
        <v>0</v>
      </c>
      <c r="N502" t="n">
        <v>0</v>
      </c>
      <c r="O502" t="n">
        <v>0</v>
      </c>
      <c r="P502" t="n">
        <v>0</v>
      </c>
      <c r="Q502" t="n">
        <v>0</v>
      </c>
      <c r="R502" s="2" t="inlineStr"/>
    </row>
    <row r="503" ht="15" customHeight="1">
      <c r="A503" t="inlineStr">
        <is>
          <t>A 57930-2024</t>
        </is>
      </c>
      <c r="B503" s="1" t="n">
        <v>45630</v>
      </c>
      <c r="C503" s="1" t="n">
        <v>45995</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48829-2025</t>
        </is>
      </c>
      <c r="B504" s="1" t="n">
        <v>45936</v>
      </c>
      <c r="C504" s="1" t="n">
        <v>45995</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52100-2024</t>
        </is>
      </c>
      <c r="B505" s="1" t="n">
        <v>45608.41634259259</v>
      </c>
      <c r="C505" s="1" t="n">
        <v>45995</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4257-2022</t>
        </is>
      </c>
      <c r="B506" s="1" t="n">
        <v>44588</v>
      </c>
      <c r="C506" s="1" t="n">
        <v>45995</v>
      </c>
      <c r="D506" t="inlineStr">
        <is>
          <t>DALARNAS LÄN</t>
        </is>
      </c>
      <c r="E506" t="inlineStr">
        <is>
          <t>LEKSAND</t>
        </is>
      </c>
      <c r="G506" t="n">
        <v>6.8</v>
      </c>
      <c r="H506" t="n">
        <v>0</v>
      </c>
      <c r="I506" t="n">
        <v>0</v>
      </c>
      <c r="J506" t="n">
        <v>0</v>
      </c>
      <c r="K506" t="n">
        <v>0</v>
      </c>
      <c r="L506" t="n">
        <v>0</v>
      </c>
      <c r="M506" t="n">
        <v>0</v>
      </c>
      <c r="N506" t="n">
        <v>0</v>
      </c>
      <c r="O506" t="n">
        <v>0</v>
      </c>
      <c r="P506" t="n">
        <v>0</v>
      </c>
      <c r="Q506" t="n">
        <v>0</v>
      </c>
      <c r="R506" s="2" t="inlineStr"/>
    </row>
    <row r="507" ht="15" customHeight="1">
      <c r="A507" t="inlineStr">
        <is>
          <t>A 31726-2024</t>
        </is>
      </c>
      <c r="B507" s="1" t="n">
        <v>45509.33908564815</v>
      </c>
      <c r="C507" s="1" t="n">
        <v>45995</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56514-2025</t>
        </is>
      </c>
      <c r="B508" s="1" t="n">
        <v>45975.45502314815</v>
      </c>
      <c r="C508" s="1" t="n">
        <v>45995</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62307-2023</t>
        </is>
      </c>
      <c r="B509" s="1" t="n">
        <v>45266</v>
      </c>
      <c r="C509" s="1" t="n">
        <v>45995</v>
      </c>
      <c r="D509" t="inlineStr">
        <is>
          <t>DALARNAS LÄN</t>
        </is>
      </c>
      <c r="E509" t="inlineStr">
        <is>
          <t>LEKSAND</t>
        </is>
      </c>
      <c r="G509" t="n">
        <v>3.9</v>
      </c>
      <c r="H509" t="n">
        <v>0</v>
      </c>
      <c r="I509" t="n">
        <v>0</v>
      </c>
      <c r="J509" t="n">
        <v>0</v>
      </c>
      <c r="K509" t="n">
        <v>0</v>
      </c>
      <c r="L509" t="n">
        <v>0</v>
      </c>
      <c r="M509" t="n">
        <v>0</v>
      </c>
      <c r="N509" t="n">
        <v>0</v>
      </c>
      <c r="O509" t="n">
        <v>0</v>
      </c>
      <c r="P509" t="n">
        <v>0</v>
      </c>
      <c r="Q509" t="n">
        <v>0</v>
      </c>
      <c r="R509" s="2" t="inlineStr"/>
    </row>
    <row r="510" ht="15" customHeight="1">
      <c r="A510" t="inlineStr">
        <is>
          <t>A 55512-2024</t>
        </is>
      </c>
      <c r="B510" s="1" t="n">
        <v>45621</v>
      </c>
      <c r="C510" s="1" t="n">
        <v>45995</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61554-2024</t>
        </is>
      </c>
      <c r="B511" s="1" t="n">
        <v>45646.60748842593</v>
      </c>
      <c r="C511" s="1" t="n">
        <v>45995</v>
      </c>
      <c r="D511" t="inlineStr">
        <is>
          <t>DALARNAS LÄN</t>
        </is>
      </c>
      <c r="E511" t="inlineStr">
        <is>
          <t>LEKSAND</t>
        </is>
      </c>
      <c r="G511" t="n">
        <v>2.6</v>
      </c>
      <c r="H511" t="n">
        <v>0</v>
      </c>
      <c r="I511" t="n">
        <v>0</v>
      </c>
      <c r="J511" t="n">
        <v>0</v>
      </c>
      <c r="K511" t="n">
        <v>0</v>
      </c>
      <c r="L511" t="n">
        <v>0</v>
      </c>
      <c r="M511" t="n">
        <v>0</v>
      </c>
      <c r="N511" t="n">
        <v>0</v>
      </c>
      <c r="O511" t="n">
        <v>0</v>
      </c>
      <c r="P511" t="n">
        <v>0</v>
      </c>
      <c r="Q511" t="n">
        <v>0</v>
      </c>
      <c r="R511" s="2" t="inlineStr"/>
    </row>
    <row r="512" ht="15" customHeight="1">
      <c r="A512" t="inlineStr">
        <is>
          <t>A 36534-2024</t>
        </is>
      </c>
      <c r="B512" s="1" t="n">
        <v>45537.45143518518</v>
      </c>
      <c r="C512" s="1" t="n">
        <v>45995</v>
      </c>
      <c r="D512" t="inlineStr">
        <is>
          <t>DALARNAS LÄN</t>
        </is>
      </c>
      <c r="E512" t="inlineStr">
        <is>
          <t>LEKSAND</t>
        </is>
      </c>
      <c r="G512" t="n">
        <v>4</v>
      </c>
      <c r="H512" t="n">
        <v>0</v>
      </c>
      <c r="I512" t="n">
        <v>0</v>
      </c>
      <c r="J512" t="n">
        <v>0</v>
      </c>
      <c r="K512" t="n">
        <v>0</v>
      </c>
      <c r="L512" t="n">
        <v>0</v>
      </c>
      <c r="M512" t="n">
        <v>0</v>
      </c>
      <c r="N512" t="n">
        <v>0</v>
      </c>
      <c r="O512" t="n">
        <v>0</v>
      </c>
      <c r="P512" t="n">
        <v>0</v>
      </c>
      <c r="Q512" t="n">
        <v>0</v>
      </c>
      <c r="R512" s="2" t="inlineStr"/>
    </row>
    <row r="513" ht="15" customHeight="1">
      <c r="A513" t="inlineStr">
        <is>
          <t>A 52059-2024</t>
        </is>
      </c>
      <c r="B513" s="1" t="n">
        <v>45608.35609953704</v>
      </c>
      <c r="C513" s="1" t="n">
        <v>45995</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12992-2022</t>
        </is>
      </c>
      <c r="B514" s="1" t="n">
        <v>44643</v>
      </c>
      <c r="C514" s="1" t="n">
        <v>45995</v>
      </c>
      <c r="D514" t="inlineStr">
        <is>
          <t>DALARNAS LÄN</t>
        </is>
      </c>
      <c r="E514" t="inlineStr">
        <is>
          <t>LEKSAND</t>
        </is>
      </c>
      <c r="G514" t="n">
        <v>1.5</v>
      </c>
      <c r="H514" t="n">
        <v>0</v>
      </c>
      <c r="I514" t="n">
        <v>0</v>
      </c>
      <c r="J514" t="n">
        <v>0</v>
      </c>
      <c r="K514" t="n">
        <v>0</v>
      </c>
      <c r="L514" t="n">
        <v>0</v>
      </c>
      <c r="M514" t="n">
        <v>0</v>
      </c>
      <c r="N514" t="n">
        <v>0</v>
      </c>
      <c r="O514" t="n">
        <v>0</v>
      </c>
      <c r="P514" t="n">
        <v>0</v>
      </c>
      <c r="Q514" t="n">
        <v>0</v>
      </c>
      <c r="R514" s="2" t="inlineStr"/>
    </row>
    <row r="515" ht="15" customHeight="1">
      <c r="A515" t="inlineStr">
        <is>
          <t>A 48824-2025</t>
        </is>
      </c>
      <c r="B515" s="1" t="n">
        <v>45937.37949074074</v>
      </c>
      <c r="C515" s="1" t="n">
        <v>45995</v>
      </c>
      <c r="D515" t="inlineStr">
        <is>
          <t>DALARNAS LÄN</t>
        </is>
      </c>
      <c r="E515" t="inlineStr">
        <is>
          <t>LEKSAND</t>
        </is>
      </c>
      <c r="G515" t="n">
        <v>6.3</v>
      </c>
      <c r="H515" t="n">
        <v>0</v>
      </c>
      <c r="I515" t="n">
        <v>0</v>
      </c>
      <c r="J515" t="n">
        <v>0</v>
      </c>
      <c r="K515" t="n">
        <v>0</v>
      </c>
      <c r="L515" t="n">
        <v>0</v>
      </c>
      <c r="M515" t="n">
        <v>0</v>
      </c>
      <c r="N515" t="n">
        <v>0</v>
      </c>
      <c r="O515" t="n">
        <v>0</v>
      </c>
      <c r="P515" t="n">
        <v>0</v>
      </c>
      <c r="Q515" t="n">
        <v>0</v>
      </c>
      <c r="R515" s="2" t="inlineStr"/>
    </row>
    <row r="516" ht="15" customHeight="1">
      <c r="A516" t="inlineStr">
        <is>
          <t>A 11712-2025</t>
        </is>
      </c>
      <c r="B516" s="1" t="n">
        <v>45727</v>
      </c>
      <c r="C516" s="1" t="n">
        <v>45995</v>
      </c>
      <c r="D516" t="inlineStr">
        <is>
          <t>DALARNAS LÄN</t>
        </is>
      </c>
      <c r="E516" t="inlineStr">
        <is>
          <t>LEKSAND</t>
        </is>
      </c>
      <c r="G516" t="n">
        <v>6</v>
      </c>
      <c r="H516" t="n">
        <v>0</v>
      </c>
      <c r="I516" t="n">
        <v>0</v>
      </c>
      <c r="J516" t="n">
        <v>0</v>
      </c>
      <c r="K516" t="n">
        <v>0</v>
      </c>
      <c r="L516" t="n">
        <v>0</v>
      </c>
      <c r="M516" t="n">
        <v>0</v>
      </c>
      <c r="N516" t="n">
        <v>0</v>
      </c>
      <c r="O516" t="n">
        <v>0</v>
      </c>
      <c r="P516" t="n">
        <v>0</v>
      </c>
      <c r="Q516" t="n">
        <v>0</v>
      </c>
      <c r="R516" s="2" t="inlineStr"/>
    </row>
    <row r="517" ht="15" customHeight="1">
      <c r="A517" t="inlineStr">
        <is>
          <t>A 49209-2025</t>
        </is>
      </c>
      <c r="B517" s="1" t="n">
        <v>45938.43589120371</v>
      </c>
      <c r="C517" s="1" t="n">
        <v>45995</v>
      </c>
      <c r="D517" t="inlineStr">
        <is>
          <t>DALARNAS LÄN</t>
        </is>
      </c>
      <c r="E517" t="inlineStr">
        <is>
          <t>LEKSAND</t>
        </is>
      </c>
      <c r="G517" t="n">
        <v>4.8</v>
      </c>
      <c r="H517" t="n">
        <v>0</v>
      </c>
      <c r="I517" t="n">
        <v>0</v>
      </c>
      <c r="J517" t="n">
        <v>0</v>
      </c>
      <c r="K517" t="n">
        <v>0</v>
      </c>
      <c r="L517" t="n">
        <v>0</v>
      </c>
      <c r="M517" t="n">
        <v>0</v>
      </c>
      <c r="N517" t="n">
        <v>0</v>
      </c>
      <c r="O517" t="n">
        <v>0</v>
      </c>
      <c r="P517" t="n">
        <v>0</v>
      </c>
      <c r="Q517" t="n">
        <v>0</v>
      </c>
      <c r="R517" s="2" t="inlineStr"/>
    </row>
    <row r="518" ht="15" customHeight="1">
      <c r="A518" t="inlineStr">
        <is>
          <t>A 48922-2025</t>
        </is>
      </c>
      <c r="B518" s="1" t="n">
        <v>45937.50077546296</v>
      </c>
      <c r="C518" s="1" t="n">
        <v>45995</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57231-2025</t>
        </is>
      </c>
      <c r="B519" s="1" t="n">
        <v>45979.62025462963</v>
      </c>
      <c r="C519" s="1" t="n">
        <v>45995</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49076-2025</t>
        </is>
      </c>
      <c r="B520" s="1" t="n">
        <v>45937.65601851852</v>
      </c>
      <c r="C520" s="1" t="n">
        <v>45995</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57223-2025</t>
        </is>
      </c>
      <c r="B521" s="1" t="n">
        <v>45979.61486111111</v>
      </c>
      <c r="C521" s="1" t="n">
        <v>45995</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49212-2025</t>
        </is>
      </c>
      <c r="B522" s="1" t="n">
        <v>45938.43855324074</v>
      </c>
      <c r="C522" s="1" t="n">
        <v>45995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24003-2024</t>
        </is>
      </c>
      <c r="B523" s="1" t="n">
        <v>45456.39003472222</v>
      </c>
      <c r="C523" s="1" t="n">
        <v>45995</v>
      </c>
      <c r="D523" t="inlineStr">
        <is>
          <t>DALARNAS LÄN</t>
        </is>
      </c>
      <c r="E523" t="inlineStr">
        <is>
          <t>LEKSAND</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40642-2023</t>
        </is>
      </c>
      <c r="B524" s="1" t="n">
        <v>45169</v>
      </c>
      <c r="C524" s="1" t="n">
        <v>45995</v>
      </c>
      <c r="D524" t="inlineStr">
        <is>
          <t>DALARNAS LÄN</t>
        </is>
      </c>
      <c r="E524" t="inlineStr">
        <is>
          <t>LEKSAND</t>
        </is>
      </c>
      <c r="G524" t="n">
        <v>1.9</v>
      </c>
      <c r="H524" t="n">
        <v>0</v>
      </c>
      <c r="I524" t="n">
        <v>0</v>
      </c>
      <c r="J524" t="n">
        <v>0</v>
      </c>
      <c r="K524" t="n">
        <v>0</v>
      </c>
      <c r="L524" t="n">
        <v>0</v>
      </c>
      <c r="M524" t="n">
        <v>0</v>
      </c>
      <c r="N524" t="n">
        <v>0</v>
      </c>
      <c r="O524" t="n">
        <v>0</v>
      </c>
      <c r="P524" t="n">
        <v>0</v>
      </c>
      <c r="Q524" t="n">
        <v>0</v>
      </c>
      <c r="R524" s="2" t="inlineStr"/>
    </row>
    <row r="525" ht="15" customHeight="1">
      <c r="A525" t="inlineStr">
        <is>
          <t>A 47854-2023</t>
        </is>
      </c>
      <c r="B525" s="1" t="n">
        <v>45198</v>
      </c>
      <c r="C525" s="1" t="n">
        <v>45995</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34244-2024</t>
        </is>
      </c>
      <c r="B526" s="1" t="n">
        <v>45524.58349537037</v>
      </c>
      <c r="C526" s="1" t="n">
        <v>45995</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39136-2023</t>
        </is>
      </c>
      <c r="B527" s="1" t="n">
        <v>45165</v>
      </c>
      <c r="C527" s="1" t="n">
        <v>45995</v>
      </c>
      <c r="D527" t="inlineStr">
        <is>
          <t>DALARNAS LÄN</t>
        </is>
      </c>
      <c r="E527" t="inlineStr">
        <is>
          <t>LEKSAND</t>
        </is>
      </c>
      <c r="G527" t="n">
        <v>0.3</v>
      </c>
      <c r="H527" t="n">
        <v>0</v>
      </c>
      <c r="I527" t="n">
        <v>0</v>
      </c>
      <c r="J527" t="n">
        <v>0</v>
      </c>
      <c r="K527" t="n">
        <v>0</v>
      </c>
      <c r="L527" t="n">
        <v>0</v>
      </c>
      <c r="M527" t="n">
        <v>0</v>
      </c>
      <c r="N527" t="n">
        <v>0</v>
      </c>
      <c r="O527" t="n">
        <v>0</v>
      </c>
      <c r="P527" t="n">
        <v>0</v>
      </c>
      <c r="Q527" t="n">
        <v>0</v>
      </c>
      <c r="R527" s="2" t="inlineStr"/>
    </row>
    <row r="528" ht="15" customHeight="1">
      <c r="A528" t="inlineStr">
        <is>
          <t>A 7861-2024</t>
        </is>
      </c>
      <c r="B528" s="1" t="n">
        <v>45350.30831018519</v>
      </c>
      <c r="C528" s="1" t="n">
        <v>45995</v>
      </c>
      <c r="D528" t="inlineStr">
        <is>
          <t>DALARNAS LÄN</t>
        </is>
      </c>
      <c r="E528" t="inlineStr">
        <is>
          <t>LEKSAND</t>
        </is>
      </c>
      <c r="G528" t="n">
        <v>1.8</v>
      </c>
      <c r="H528" t="n">
        <v>0</v>
      </c>
      <c r="I528" t="n">
        <v>0</v>
      </c>
      <c r="J528" t="n">
        <v>0</v>
      </c>
      <c r="K528" t="n">
        <v>0</v>
      </c>
      <c r="L528" t="n">
        <v>0</v>
      </c>
      <c r="M528" t="n">
        <v>0</v>
      </c>
      <c r="N528" t="n">
        <v>0</v>
      </c>
      <c r="O528" t="n">
        <v>0</v>
      </c>
      <c r="P528" t="n">
        <v>0</v>
      </c>
      <c r="Q528" t="n">
        <v>0</v>
      </c>
      <c r="R528" s="2" t="inlineStr"/>
    </row>
    <row r="529" ht="15" customHeight="1">
      <c r="A529" t="inlineStr">
        <is>
          <t>A 57536-2025</t>
        </is>
      </c>
      <c r="B529" s="1" t="n">
        <v>45980.64287037037</v>
      </c>
      <c r="C529" s="1" t="n">
        <v>45995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44469-2024</t>
        </is>
      </c>
      <c r="B530" s="1" t="n">
        <v>45574</v>
      </c>
      <c r="C530" s="1" t="n">
        <v>45995</v>
      </c>
      <c r="D530" t="inlineStr">
        <is>
          <t>DALARNAS LÄN</t>
        </is>
      </c>
      <c r="E530" t="inlineStr">
        <is>
          <t>LEKSAND</t>
        </is>
      </c>
      <c r="G530" t="n">
        <v>2</v>
      </c>
      <c r="H530" t="n">
        <v>0</v>
      </c>
      <c r="I530" t="n">
        <v>0</v>
      </c>
      <c r="J530" t="n">
        <v>0</v>
      </c>
      <c r="K530" t="n">
        <v>0</v>
      </c>
      <c r="L530" t="n">
        <v>0</v>
      </c>
      <c r="M530" t="n">
        <v>0</v>
      </c>
      <c r="N530" t="n">
        <v>0</v>
      </c>
      <c r="O530" t="n">
        <v>0</v>
      </c>
      <c r="P530" t="n">
        <v>0</v>
      </c>
      <c r="Q530" t="n">
        <v>0</v>
      </c>
      <c r="R530" s="2" t="inlineStr"/>
    </row>
    <row r="531" ht="15" customHeight="1">
      <c r="A531" t="inlineStr">
        <is>
          <t>A 22080-2025</t>
        </is>
      </c>
      <c r="B531" s="1" t="n">
        <v>45785</v>
      </c>
      <c r="C531" s="1" t="n">
        <v>45995</v>
      </c>
      <c r="D531" t="inlineStr">
        <is>
          <t>DALARNAS LÄN</t>
        </is>
      </c>
      <c r="E531" t="inlineStr">
        <is>
          <t>LEKSAND</t>
        </is>
      </c>
      <c r="G531" t="n">
        <v>7</v>
      </c>
      <c r="H531" t="n">
        <v>0</v>
      </c>
      <c r="I531" t="n">
        <v>0</v>
      </c>
      <c r="J531" t="n">
        <v>0</v>
      </c>
      <c r="K531" t="n">
        <v>0</v>
      </c>
      <c r="L531" t="n">
        <v>0</v>
      </c>
      <c r="M531" t="n">
        <v>0</v>
      </c>
      <c r="N531" t="n">
        <v>0</v>
      </c>
      <c r="O531" t="n">
        <v>0</v>
      </c>
      <c r="P531" t="n">
        <v>0</v>
      </c>
      <c r="Q531" t="n">
        <v>0</v>
      </c>
      <c r="R531" s="2" t="inlineStr"/>
    </row>
    <row r="532" ht="15" customHeight="1">
      <c r="A532" t="inlineStr">
        <is>
          <t>A 52293-2024</t>
        </is>
      </c>
      <c r="B532" s="1" t="n">
        <v>45608.71297453704</v>
      </c>
      <c r="C532" s="1" t="n">
        <v>45995</v>
      </c>
      <c r="D532" t="inlineStr">
        <is>
          <t>DALARNAS LÄN</t>
        </is>
      </c>
      <c r="E532" t="inlineStr">
        <is>
          <t>LEKSAND</t>
        </is>
      </c>
      <c r="G532" t="n">
        <v>1.6</v>
      </c>
      <c r="H532" t="n">
        <v>0</v>
      </c>
      <c r="I532" t="n">
        <v>0</v>
      </c>
      <c r="J532" t="n">
        <v>0</v>
      </c>
      <c r="K532" t="n">
        <v>0</v>
      </c>
      <c r="L532" t="n">
        <v>0</v>
      </c>
      <c r="M532" t="n">
        <v>0</v>
      </c>
      <c r="N532" t="n">
        <v>0</v>
      </c>
      <c r="O532" t="n">
        <v>0</v>
      </c>
      <c r="P532" t="n">
        <v>0</v>
      </c>
      <c r="Q532" t="n">
        <v>0</v>
      </c>
      <c r="R532" s="2" t="inlineStr"/>
    </row>
    <row r="533" ht="15" customHeight="1">
      <c r="A533" t="inlineStr">
        <is>
          <t>A 46876-2023</t>
        </is>
      </c>
      <c r="B533" s="1" t="n">
        <v>45200</v>
      </c>
      <c r="C533" s="1" t="n">
        <v>45995</v>
      </c>
      <c r="D533" t="inlineStr">
        <is>
          <t>DALARNAS LÄN</t>
        </is>
      </c>
      <c r="E533" t="inlineStr">
        <is>
          <t>LEKSAND</t>
        </is>
      </c>
      <c r="G533" t="n">
        <v>2.4</v>
      </c>
      <c r="H533" t="n">
        <v>0</v>
      </c>
      <c r="I533" t="n">
        <v>0</v>
      </c>
      <c r="J533" t="n">
        <v>0</v>
      </c>
      <c r="K533" t="n">
        <v>0</v>
      </c>
      <c r="L533" t="n">
        <v>0</v>
      </c>
      <c r="M533" t="n">
        <v>0</v>
      </c>
      <c r="N533" t="n">
        <v>0</v>
      </c>
      <c r="O533" t="n">
        <v>0</v>
      </c>
      <c r="P533" t="n">
        <v>0</v>
      </c>
      <c r="Q533" t="n">
        <v>0</v>
      </c>
      <c r="R533" s="2" t="inlineStr"/>
    </row>
    <row r="534" ht="15" customHeight="1">
      <c r="A534" t="inlineStr">
        <is>
          <t>A 57267-2025</t>
        </is>
      </c>
      <c r="B534" s="1" t="n">
        <v>45979.67476851852</v>
      </c>
      <c r="C534" s="1" t="n">
        <v>45995</v>
      </c>
      <c r="D534" t="inlineStr">
        <is>
          <t>DALARNAS LÄN</t>
        </is>
      </c>
      <c r="E534" t="inlineStr">
        <is>
          <t>LEKSAND</t>
        </is>
      </c>
      <c r="G534" t="n">
        <v>1.9</v>
      </c>
      <c r="H534" t="n">
        <v>0</v>
      </c>
      <c r="I534" t="n">
        <v>0</v>
      </c>
      <c r="J534" t="n">
        <v>0</v>
      </c>
      <c r="K534" t="n">
        <v>0</v>
      </c>
      <c r="L534" t="n">
        <v>0</v>
      </c>
      <c r="M534" t="n">
        <v>0</v>
      </c>
      <c r="N534" t="n">
        <v>0</v>
      </c>
      <c r="O534" t="n">
        <v>0</v>
      </c>
      <c r="P534" t="n">
        <v>0</v>
      </c>
      <c r="Q534" t="n">
        <v>0</v>
      </c>
      <c r="R534" s="2" t="inlineStr"/>
    </row>
    <row r="535" ht="15" customHeight="1">
      <c r="A535" t="inlineStr">
        <is>
          <t>A 22536-2025</t>
        </is>
      </c>
      <c r="B535" s="1" t="n">
        <v>45787.33037037037</v>
      </c>
      <c r="C535" s="1" t="n">
        <v>45995</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9857-2025</t>
        </is>
      </c>
      <c r="B536" s="1" t="n">
        <v>45716.62609953704</v>
      </c>
      <c r="C536" s="1" t="n">
        <v>45995</v>
      </c>
      <c r="D536" t="inlineStr">
        <is>
          <t>DALARNAS LÄN</t>
        </is>
      </c>
      <c r="E536" t="inlineStr">
        <is>
          <t>LEKSAND</t>
        </is>
      </c>
      <c r="G536" t="n">
        <v>1.7</v>
      </c>
      <c r="H536" t="n">
        <v>0</v>
      </c>
      <c r="I536" t="n">
        <v>0</v>
      </c>
      <c r="J536" t="n">
        <v>0</v>
      </c>
      <c r="K536" t="n">
        <v>0</v>
      </c>
      <c r="L536" t="n">
        <v>0</v>
      </c>
      <c r="M536" t="n">
        <v>0</v>
      </c>
      <c r="N536" t="n">
        <v>0</v>
      </c>
      <c r="O536" t="n">
        <v>0</v>
      </c>
      <c r="P536" t="n">
        <v>0</v>
      </c>
      <c r="Q536" t="n">
        <v>0</v>
      </c>
      <c r="R536" s="2" t="inlineStr"/>
    </row>
    <row r="537" ht="15" customHeight="1">
      <c r="A537" t="inlineStr">
        <is>
          <t>A 40181-2023</t>
        </is>
      </c>
      <c r="B537" s="1" t="n">
        <v>45169</v>
      </c>
      <c r="C537" s="1" t="n">
        <v>45995</v>
      </c>
      <c r="D537" t="inlineStr">
        <is>
          <t>DALARNAS LÄN</t>
        </is>
      </c>
      <c r="E537" t="inlineStr">
        <is>
          <t>LEKSAND</t>
        </is>
      </c>
      <c r="G537" t="n">
        <v>2.8</v>
      </c>
      <c r="H537" t="n">
        <v>0</v>
      </c>
      <c r="I537" t="n">
        <v>0</v>
      </c>
      <c r="J537" t="n">
        <v>0</v>
      </c>
      <c r="K537" t="n">
        <v>0</v>
      </c>
      <c r="L537" t="n">
        <v>0</v>
      </c>
      <c r="M537" t="n">
        <v>0</v>
      </c>
      <c r="N537" t="n">
        <v>0</v>
      </c>
      <c r="O537" t="n">
        <v>0</v>
      </c>
      <c r="P537" t="n">
        <v>0</v>
      </c>
      <c r="Q537" t="n">
        <v>0</v>
      </c>
      <c r="R537" s="2" t="inlineStr"/>
    </row>
    <row r="538" ht="15" customHeight="1">
      <c r="A538" t="inlineStr">
        <is>
          <t>A 60042-2023</t>
        </is>
      </c>
      <c r="B538" s="1" t="n">
        <v>45256</v>
      </c>
      <c r="C538" s="1" t="n">
        <v>45995</v>
      </c>
      <c r="D538" t="inlineStr">
        <is>
          <t>DALARNAS LÄN</t>
        </is>
      </c>
      <c r="E538" t="inlineStr">
        <is>
          <t>LEKSAND</t>
        </is>
      </c>
      <c r="G538" t="n">
        <v>2</v>
      </c>
      <c r="H538" t="n">
        <v>0</v>
      </c>
      <c r="I538" t="n">
        <v>0</v>
      </c>
      <c r="J538" t="n">
        <v>0</v>
      </c>
      <c r="K538" t="n">
        <v>0</v>
      </c>
      <c r="L538" t="n">
        <v>0</v>
      </c>
      <c r="M538" t="n">
        <v>0</v>
      </c>
      <c r="N538" t="n">
        <v>0</v>
      </c>
      <c r="O538" t="n">
        <v>0</v>
      </c>
      <c r="P538" t="n">
        <v>0</v>
      </c>
      <c r="Q538" t="n">
        <v>0</v>
      </c>
      <c r="R538" s="2" t="inlineStr"/>
    </row>
    <row r="539" ht="15" customHeight="1">
      <c r="A539" t="inlineStr">
        <is>
          <t>A 57760-2025</t>
        </is>
      </c>
      <c r="B539" s="1" t="n">
        <v>45981</v>
      </c>
      <c r="C539" s="1" t="n">
        <v>45995</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57962-2025</t>
        </is>
      </c>
      <c r="B540" s="1" t="n">
        <v>45982.37767361111</v>
      </c>
      <c r="C540" s="1" t="n">
        <v>45995</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1267-2025</t>
        </is>
      </c>
      <c r="B541" s="1" t="n">
        <v>45667</v>
      </c>
      <c r="C541" s="1" t="n">
        <v>45995</v>
      </c>
      <c r="D541" t="inlineStr">
        <is>
          <t>DALARNAS LÄN</t>
        </is>
      </c>
      <c r="E541" t="inlineStr">
        <is>
          <t>LEKSAND</t>
        </is>
      </c>
      <c r="G541" t="n">
        <v>0.8</v>
      </c>
      <c r="H541" t="n">
        <v>0</v>
      </c>
      <c r="I541" t="n">
        <v>0</v>
      </c>
      <c r="J541" t="n">
        <v>0</v>
      </c>
      <c r="K541" t="n">
        <v>0</v>
      </c>
      <c r="L541" t="n">
        <v>0</v>
      </c>
      <c r="M541" t="n">
        <v>0</v>
      </c>
      <c r="N541" t="n">
        <v>0</v>
      </c>
      <c r="O541" t="n">
        <v>0</v>
      </c>
      <c r="P541" t="n">
        <v>0</v>
      </c>
      <c r="Q541" t="n">
        <v>0</v>
      </c>
      <c r="R541" s="2" t="inlineStr"/>
    </row>
    <row r="542" ht="15" customHeight="1">
      <c r="A542" t="inlineStr">
        <is>
          <t>A 57688-2025</t>
        </is>
      </c>
      <c r="B542" s="1" t="n">
        <v>45981.44429398148</v>
      </c>
      <c r="C542" s="1" t="n">
        <v>45995</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22876-2025</t>
        </is>
      </c>
      <c r="B543" s="1" t="n">
        <v>45790.3728587963</v>
      </c>
      <c r="C543" s="1" t="n">
        <v>45995</v>
      </c>
      <c r="D543" t="inlineStr">
        <is>
          <t>DALARNAS LÄN</t>
        </is>
      </c>
      <c r="E543" t="inlineStr">
        <is>
          <t>LEKSAND</t>
        </is>
      </c>
      <c r="G543" t="n">
        <v>5.9</v>
      </c>
      <c r="H543" t="n">
        <v>0</v>
      </c>
      <c r="I543" t="n">
        <v>0</v>
      </c>
      <c r="J543" t="n">
        <v>0</v>
      </c>
      <c r="K543" t="n">
        <v>0</v>
      </c>
      <c r="L543" t="n">
        <v>0</v>
      </c>
      <c r="M543" t="n">
        <v>0</v>
      </c>
      <c r="N543" t="n">
        <v>0</v>
      </c>
      <c r="O543" t="n">
        <v>0</v>
      </c>
      <c r="P543" t="n">
        <v>0</v>
      </c>
      <c r="Q543" t="n">
        <v>0</v>
      </c>
      <c r="R543" s="2" t="inlineStr"/>
    </row>
    <row r="544" ht="15" customHeight="1">
      <c r="A544" t="inlineStr">
        <is>
          <t>A 42230-2023</t>
        </is>
      </c>
      <c r="B544" s="1" t="n">
        <v>45180</v>
      </c>
      <c r="C544" s="1" t="n">
        <v>45995</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3183-2025</t>
        </is>
      </c>
      <c r="B545" s="1" t="n">
        <v>45679.40298611111</v>
      </c>
      <c r="C545" s="1" t="n">
        <v>45995</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57869-2025</t>
        </is>
      </c>
      <c r="B546" s="1" t="n">
        <v>45981.65211805556</v>
      </c>
      <c r="C546" s="1" t="n">
        <v>45995</v>
      </c>
      <c r="D546" t="inlineStr">
        <is>
          <t>DALARNAS LÄN</t>
        </is>
      </c>
      <c r="E546" t="inlineStr">
        <is>
          <t>LEKSAND</t>
        </is>
      </c>
      <c r="G546" t="n">
        <v>0.6</v>
      </c>
      <c r="H546" t="n">
        <v>0</v>
      </c>
      <c r="I546" t="n">
        <v>0</v>
      </c>
      <c r="J546" t="n">
        <v>0</v>
      </c>
      <c r="K546" t="n">
        <v>0</v>
      </c>
      <c r="L546" t="n">
        <v>0</v>
      </c>
      <c r="M546" t="n">
        <v>0</v>
      </c>
      <c r="N546" t="n">
        <v>0</v>
      </c>
      <c r="O546" t="n">
        <v>0</v>
      </c>
      <c r="P546" t="n">
        <v>0</v>
      </c>
      <c r="Q546" t="n">
        <v>0</v>
      </c>
      <c r="R546" s="2" t="inlineStr"/>
    </row>
    <row r="547" ht="15" customHeight="1">
      <c r="A547" t="inlineStr">
        <is>
          <t>A 59751-2024</t>
        </is>
      </c>
      <c r="B547" s="1" t="n">
        <v>45638</v>
      </c>
      <c r="C547" s="1" t="n">
        <v>45995</v>
      </c>
      <c r="D547" t="inlineStr">
        <is>
          <t>DALARNAS LÄN</t>
        </is>
      </c>
      <c r="E547" t="inlineStr">
        <is>
          <t>LEKSAND</t>
        </is>
      </c>
      <c r="G547" t="n">
        <v>5.2</v>
      </c>
      <c r="H547" t="n">
        <v>0</v>
      </c>
      <c r="I547" t="n">
        <v>0</v>
      </c>
      <c r="J547" t="n">
        <v>0</v>
      </c>
      <c r="K547" t="n">
        <v>0</v>
      </c>
      <c r="L547" t="n">
        <v>0</v>
      </c>
      <c r="M547" t="n">
        <v>0</v>
      </c>
      <c r="N547" t="n">
        <v>0</v>
      </c>
      <c r="O547" t="n">
        <v>0</v>
      </c>
      <c r="P547" t="n">
        <v>0</v>
      </c>
      <c r="Q547" t="n">
        <v>0</v>
      </c>
      <c r="R547" s="2" t="inlineStr"/>
    </row>
    <row r="548" ht="15" customHeight="1">
      <c r="A548" t="inlineStr">
        <is>
          <t>A 23517-2025</t>
        </is>
      </c>
      <c r="B548" s="1" t="n">
        <v>45792</v>
      </c>
      <c r="C548" s="1" t="n">
        <v>45995</v>
      </c>
      <c r="D548" t="inlineStr">
        <is>
          <t>DALARNAS LÄN</t>
        </is>
      </c>
      <c r="E548" t="inlineStr">
        <is>
          <t>LEKSAND</t>
        </is>
      </c>
      <c r="G548" t="n">
        <v>2.2</v>
      </c>
      <c r="H548" t="n">
        <v>0</v>
      </c>
      <c r="I548" t="n">
        <v>0</v>
      </c>
      <c r="J548" t="n">
        <v>0</v>
      </c>
      <c r="K548" t="n">
        <v>0</v>
      </c>
      <c r="L548" t="n">
        <v>0</v>
      </c>
      <c r="M548" t="n">
        <v>0</v>
      </c>
      <c r="N548" t="n">
        <v>0</v>
      </c>
      <c r="O548" t="n">
        <v>0</v>
      </c>
      <c r="P548" t="n">
        <v>0</v>
      </c>
      <c r="Q548" t="n">
        <v>0</v>
      </c>
      <c r="R548" s="2" t="inlineStr"/>
    </row>
    <row r="549" ht="15" customHeight="1">
      <c r="A549" t="inlineStr">
        <is>
          <t>A 49505-2025</t>
        </is>
      </c>
      <c r="B549" s="1" t="n">
        <v>45939.37564814815</v>
      </c>
      <c r="C549" s="1" t="n">
        <v>45995</v>
      </c>
      <c r="D549" t="inlineStr">
        <is>
          <t>DALARNAS LÄN</t>
        </is>
      </c>
      <c r="E549" t="inlineStr">
        <is>
          <t>LEKSAND</t>
        </is>
      </c>
      <c r="F549" t="inlineStr">
        <is>
          <t>Bergvik skog väst AB</t>
        </is>
      </c>
      <c r="G549" t="n">
        <v>1.4</v>
      </c>
      <c r="H549" t="n">
        <v>0</v>
      </c>
      <c r="I549" t="n">
        <v>0</v>
      </c>
      <c r="J549" t="n">
        <v>0</v>
      </c>
      <c r="K549" t="n">
        <v>0</v>
      </c>
      <c r="L549" t="n">
        <v>0</v>
      </c>
      <c r="M549" t="n">
        <v>0</v>
      </c>
      <c r="N549" t="n">
        <v>0</v>
      </c>
      <c r="O549" t="n">
        <v>0</v>
      </c>
      <c r="P549" t="n">
        <v>0</v>
      </c>
      <c r="Q549" t="n">
        <v>0</v>
      </c>
      <c r="R549" s="2" t="inlineStr"/>
    </row>
    <row r="550" ht="15" customHeight="1">
      <c r="A550" t="inlineStr">
        <is>
          <t>A 58114-2025</t>
        </is>
      </c>
      <c r="B550" s="1" t="n">
        <v>45982.60335648148</v>
      </c>
      <c r="C550" s="1" t="n">
        <v>45995</v>
      </c>
      <c r="D550" t="inlineStr">
        <is>
          <t>DALARNAS LÄN</t>
        </is>
      </c>
      <c r="E550" t="inlineStr">
        <is>
          <t>LEKSAND</t>
        </is>
      </c>
      <c r="G550" t="n">
        <v>3</v>
      </c>
      <c r="H550" t="n">
        <v>0</v>
      </c>
      <c r="I550" t="n">
        <v>0</v>
      </c>
      <c r="J550" t="n">
        <v>0</v>
      </c>
      <c r="K550" t="n">
        <v>0</v>
      </c>
      <c r="L550" t="n">
        <v>0</v>
      </c>
      <c r="M550" t="n">
        <v>0</v>
      </c>
      <c r="N550" t="n">
        <v>0</v>
      </c>
      <c r="O550" t="n">
        <v>0</v>
      </c>
      <c r="P550" t="n">
        <v>0</v>
      </c>
      <c r="Q550" t="n">
        <v>0</v>
      </c>
      <c r="R550" s="2" t="inlineStr"/>
    </row>
    <row r="551" ht="15" customHeight="1">
      <c r="A551" t="inlineStr">
        <is>
          <t>A 54917-2024</t>
        </is>
      </c>
      <c r="B551" s="1" t="n">
        <v>45618.69581018519</v>
      </c>
      <c r="C551" s="1" t="n">
        <v>45995</v>
      </c>
      <c r="D551" t="inlineStr">
        <is>
          <t>DALARNAS LÄN</t>
        </is>
      </c>
      <c r="E551" t="inlineStr">
        <is>
          <t>LEKSAND</t>
        </is>
      </c>
      <c r="G551" t="n">
        <v>1.2</v>
      </c>
      <c r="H551" t="n">
        <v>0</v>
      </c>
      <c r="I551" t="n">
        <v>0</v>
      </c>
      <c r="J551" t="n">
        <v>0</v>
      </c>
      <c r="K551" t="n">
        <v>0</v>
      </c>
      <c r="L551" t="n">
        <v>0</v>
      </c>
      <c r="M551" t="n">
        <v>0</v>
      </c>
      <c r="N551" t="n">
        <v>0</v>
      </c>
      <c r="O551" t="n">
        <v>0</v>
      </c>
      <c r="P551" t="n">
        <v>0</v>
      </c>
      <c r="Q551" t="n">
        <v>0</v>
      </c>
      <c r="R551" s="2" t="inlineStr"/>
    </row>
    <row r="552" ht="15" customHeight="1">
      <c r="A552" t="inlineStr">
        <is>
          <t>A 19700-2025</t>
        </is>
      </c>
      <c r="B552" s="1" t="n">
        <v>45771.32445601852</v>
      </c>
      <c r="C552" s="1" t="n">
        <v>45995</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54677-2025</t>
        </is>
      </c>
      <c r="B553" s="1" t="n">
        <v>45966</v>
      </c>
      <c r="C553" s="1" t="n">
        <v>45995</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58519-2025</t>
        </is>
      </c>
      <c r="B554" s="1" t="n">
        <v>45985.70894675926</v>
      </c>
      <c r="C554" s="1" t="n">
        <v>45995</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58626-2025</t>
        </is>
      </c>
      <c r="B555" s="1" t="n">
        <v>45986.47667824074</v>
      </c>
      <c r="C555" s="1" t="n">
        <v>45995</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50332-2025</t>
        </is>
      </c>
      <c r="B556" s="1" t="n">
        <v>45944.47092592593</v>
      </c>
      <c r="C556" s="1" t="n">
        <v>45995</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23058-2025</t>
        </is>
      </c>
      <c r="B557" s="1" t="n">
        <v>45790.78076388889</v>
      </c>
      <c r="C557" s="1" t="n">
        <v>45995</v>
      </c>
      <c r="D557" t="inlineStr">
        <is>
          <t>DALARNAS LÄN</t>
        </is>
      </c>
      <c r="E557" t="inlineStr">
        <is>
          <t>LEKSAND</t>
        </is>
      </c>
      <c r="G557" t="n">
        <v>6.7</v>
      </c>
      <c r="H557" t="n">
        <v>0</v>
      </c>
      <c r="I557" t="n">
        <v>0</v>
      </c>
      <c r="J557" t="n">
        <v>0</v>
      </c>
      <c r="K557" t="n">
        <v>0</v>
      </c>
      <c r="L557" t="n">
        <v>0</v>
      </c>
      <c r="M557" t="n">
        <v>0</v>
      </c>
      <c r="N557" t="n">
        <v>0</v>
      </c>
      <c r="O557" t="n">
        <v>0</v>
      </c>
      <c r="P557" t="n">
        <v>0</v>
      </c>
      <c r="Q557" t="n">
        <v>0</v>
      </c>
      <c r="R557" s="2" t="inlineStr"/>
    </row>
    <row r="558" ht="15" customHeight="1">
      <c r="A558" t="inlineStr">
        <is>
          <t>A 23076-2025</t>
        </is>
      </c>
      <c r="B558" s="1" t="n">
        <v>45790.90960648148</v>
      </c>
      <c r="C558" s="1" t="n">
        <v>45995</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8045-2024</t>
        </is>
      </c>
      <c r="B559" s="1" t="n">
        <v>45351.31371527778</v>
      </c>
      <c r="C559" s="1" t="n">
        <v>45995</v>
      </c>
      <c r="D559" t="inlineStr">
        <is>
          <t>DALARNAS LÄN</t>
        </is>
      </c>
      <c r="E559" t="inlineStr">
        <is>
          <t>LEKSAND</t>
        </is>
      </c>
      <c r="G559" t="n">
        <v>6.7</v>
      </c>
      <c r="H559" t="n">
        <v>0</v>
      </c>
      <c r="I559" t="n">
        <v>0</v>
      </c>
      <c r="J559" t="n">
        <v>0</v>
      </c>
      <c r="K559" t="n">
        <v>0</v>
      </c>
      <c r="L559" t="n">
        <v>0</v>
      </c>
      <c r="M559" t="n">
        <v>0</v>
      </c>
      <c r="N559" t="n">
        <v>0</v>
      </c>
      <c r="O559" t="n">
        <v>0</v>
      </c>
      <c r="P559" t="n">
        <v>0</v>
      </c>
      <c r="Q559" t="n">
        <v>0</v>
      </c>
      <c r="R559" s="2" t="inlineStr"/>
    </row>
    <row r="560" ht="15" customHeight="1">
      <c r="A560" t="inlineStr">
        <is>
          <t>A 776-2021</t>
        </is>
      </c>
      <c r="B560" s="1" t="n">
        <v>44203</v>
      </c>
      <c r="C560" s="1" t="n">
        <v>45995</v>
      </c>
      <c r="D560" t="inlineStr">
        <is>
          <t>DALARNAS LÄN</t>
        </is>
      </c>
      <c r="E560" t="inlineStr">
        <is>
          <t>LEKSAND</t>
        </is>
      </c>
      <c r="G560" t="n">
        <v>21</v>
      </c>
      <c r="H560" t="n">
        <v>0</v>
      </c>
      <c r="I560" t="n">
        <v>0</v>
      </c>
      <c r="J560" t="n">
        <v>0</v>
      </c>
      <c r="K560" t="n">
        <v>0</v>
      </c>
      <c r="L560" t="n">
        <v>0</v>
      </c>
      <c r="M560" t="n">
        <v>0</v>
      </c>
      <c r="N560" t="n">
        <v>0</v>
      </c>
      <c r="O560" t="n">
        <v>0</v>
      </c>
      <c r="P560" t="n">
        <v>0</v>
      </c>
      <c r="Q560" t="n">
        <v>0</v>
      </c>
      <c r="R560" s="2" t="inlineStr"/>
    </row>
    <row r="561" ht="15" customHeight="1">
      <c r="A561" t="inlineStr">
        <is>
          <t>A 57013-2023</t>
        </is>
      </c>
      <c r="B561" s="1" t="n">
        <v>45244</v>
      </c>
      <c r="C561" s="1" t="n">
        <v>45995</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58674-2025</t>
        </is>
      </c>
      <c r="B562" s="1" t="n">
        <v>45986.55810185185</v>
      </c>
      <c r="C562" s="1" t="n">
        <v>45995</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37832-2023</t>
        </is>
      </c>
      <c r="B563" s="1" t="n">
        <v>45160.3479050926</v>
      </c>
      <c r="C563" s="1" t="n">
        <v>45995</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58376-2025</t>
        </is>
      </c>
      <c r="B564" s="1" t="n">
        <v>45985.53180555555</v>
      </c>
      <c r="C564" s="1" t="n">
        <v>45995</v>
      </c>
      <c r="D564" t="inlineStr">
        <is>
          <t>DALARNAS LÄN</t>
        </is>
      </c>
      <c r="E564" t="inlineStr">
        <is>
          <t>LEKSAND</t>
        </is>
      </c>
      <c r="G564" t="n">
        <v>5.7</v>
      </c>
      <c r="H564" t="n">
        <v>0</v>
      </c>
      <c r="I564" t="n">
        <v>0</v>
      </c>
      <c r="J564" t="n">
        <v>0</v>
      </c>
      <c r="K564" t="n">
        <v>0</v>
      </c>
      <c r="L564" t="n">
        <v>0</v>
      </c>
      <c r="M564" t="n">
        <v>0</v>
      </c>
      <c r="N564" t="n">
        <v>0</v>
      </c>
      <c r="O564" t="n">
        <v>0</v>
      </c>
      <c r="P564" t="n">
        <v>0</v>
      </c>
      <c r="Q564" t="n">
        <v>0</v>
      </c>
      <c r="R564" s="2" t="inlineStr"/>
    </row>
    <row r="565" ht="15" customHeight="1">
      <c r="A565" t="inlineStr">
        <is>
          <t>A 58516-2025</t>
        </is>
      </c>
      <c r="B565" s="1" t="n">
        <v>45985.70596064815</v>
      </c>
      <c r="C565" s="1" t="n">
        <v>45995</v>
      </c>
      <c r="D565" t="inlineStr">
        <is>
          <t>DALARNAS LÄN</t>
        </is>
      </c>
      <c r="E565" t="inlineStr">
        <is>
          <t>LEKSAND</t>
        </is>
      </c>
      <c r="G565" t="n">
        <v>1.4</v>
      </c>
      <c r="H565" t="n">
        <v>0</v>
      </c>
      <c r="I565" t="n">
        <v>0</v>
      </c>
      <c r="J565" t="n">
        <v>0</v>
      </c>
      <c r="K565" t="n">
        <v>0</v>
      </c>
      <c r="L565" t="n">
        <v>0</v>
      </c>
      <c r="M565" t="n">
        <v>0</v>
      </c>
      <c r="N565" t="n">
        <v>0</v>
      </c>
      <c r="O565" t="n">
        <v>0</v>
      </c>
      <c r="P565" t="n">
        <v>0</v>
      </c>
      <c r="Q565" t="n">
        <v>0</v>
      </c>
      <c r="R565" s="2" t="inlineStr"/>
    </row>
    <row r="566" ht="15" customHeight="1">
      <c r="A566" t="inlineStr">
        <is>
          <t>A 58449-2025</t>
        </is>
      </c>
      <c r="B566" s="1" t="n">
        <v>45985.62520833333</v>
      </c>
      <c r="C566" s="1" t="n">
        <v>45995</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18040-2024</t>
        </is>
      </c>
      <c r="B567" s="1" t="n">
        <v>45420.36664351852</v>
      </c>
      <c r="C567" s="1" t="n">
        <v>45995</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57468-2023</t>
        </is>
      </c>
      <c r="B568" s="1" t="n">
        <v>45246</v>
      </c>
      <c r="C568" s="1" t="n">
        <v>45995</v>
      </c>
      <c r="D568" t="inlineStr">
        <is>
          <t>DALARNAS LÄN</t>
        </is>
      </c>
      <c r="E568" t="inlineStr">
        <is>
          <t>LEKSAND</t>
        </is>
      </c>
      <c r="G568" t="n">
        <v>4.6</v>
      </c>
      <c r="H568" t="n">
        <v>0</v>
      </c>
      <c r="I568" t="n">
        <v>0</v>
      </c>
      <c r="J568" t="n">
        <v>0</v>
      </c>
      <c r="K568" t="n">
        <v>0</v>
      </c>
      <c r="L568" t="n">
        <v>0</v>
      </c>
      <c r="M568" t="n">
        <v>0</v>
      </c>
      <c r="N568" t="n">
        <v>0</v>
      </c>
      <c r="O568" t="n">
        <v>0</v>
      </c>
      <c r="P568" t="n">
        <v>0</v>
      </c>
      <c r="Q568" t="n">
        <v>0</v>
      </c>
      <c r="R568" s="2" t="inlineStr"/>
    </row>
    <row r="569" ht="15" customHeight="1">
      <c r="A569" t="inlineStr">
        <is>
          <t>A 6778-2025</t>
        </is>
      </c>
      <c r="B569" s="1" t="n">
        <v>45700.64615740741</v>
      </c>
      <c r="C569" s="1" t="n">
        <v>45995</v>
      </c>
      <c r="D569" t="inlineStr">
        <is>
          <t>DALARNAS LÄN</t>
        </is>
      </c>
      <c r="E569" t="inlineStr">
        <is>
          <t>LEKSAND</t>
        </is>
      </c>
      <c r="G569" t="n">
        <v>2.4</v>
      </c>
      <c r="H569" t="n">
        <v>0</v>
      </c>
      <c r="I569" t="n">
        <v>0</v>
      </c>
      <c r="J569" t="n">
        <v>0</v>
      </c>
      <c r="K569" t="n">
        <v>0</v>
      </c>
      <c r="L569" t="n">
        <v>0</v>
      </c>
      <c r="M569" t="n">
        <v>0</v>
      </c>
      <c r="N569" t="n">
        <v>0</v>
      </c>
      <c r="O569" t="n">
        <v>0</v>
      </c>
      <c r="P569" t="n">
        <v>0</v>
      </c>
      <c r="Q569" t="n">
        <v>0</v>
      </c>
      <c r="R569" s="2" t="inlineStr"/>
    </row>
    <row r="570" ht="15" customHeight="1">
      <c r="A570" t="inlineStr">
        <is>
          <t>A 44822-2024</t>
        </is>
      </c>
      <c r="B570" s="1" t="n">
        <v>45574.6646412037</v>
      </c>
      <c r="C570" s="1" t="n">
        <v>45995</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49499-2024</t>
        </is>
      </c>
      <c r="B571" s="1" t="n">
        <v>45596</v>
      </c>
      <c r="C571" s="1" t="n">
        <v>45995</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58921-2025</t>
        </is>
      </c>
      <c r="B572" s="1" t="n">
        <v>45986</v>
      </c>
      <c r="C572" s="1" t="n">
        <v>45995</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43419-2024</t>
        </is>
      </c>
      <c r="B573" s="1" t="n">
        <v>45568</v>
      </c>
      <c r="C573" s="1" t="n">
        <v>45995</v>
      </c>
      <c r="D573" t="inlineStr">
        <is>
          <t>DALARNAS LÄN</t>
        </is>
      </c>
      <c r="E573" t="inlineStr">
        <is>
          <t>LEKSAND</t>
        </is>
      </c>
      <c r="G573" t="n">
        <v>0.4</v>
      </c>
      <c r="H573" t="n">
        <v>0</v>
      </c>
      <c r="I573" t="n">
        <v>0</v>
      </c>
      <c r="J573" t="n">
        <v>0</v>
      </c>
      <c r="K573" t="n">
        <v>0</v>
      </c>
      <c r="L573" t="n">
        <v>0</v>
      </c>
      <c r="M573" t="n">
        <v>0</v>
      </c>
      <c r="N573" t="n">
        <v>0</v>
      </c>
      <c r="O573" t="n">
        <v>0</v>
      </c>
      <c r="P573" t="n">
        <v>0</v>
      </c>
      <c r="Q573" t="n">
        <v>0</v>
      </c>
      <c r="R573" s="2" t="inlineStr"/>
    </row>
    <row r="574" ht="15" customHeight="1">
      <c r="A574" t="inlineStr">
        <is>
          <t>A 39595-2023</t>
        </is>
      </c>
      <c r="B574" s="1" t="n">
        <v>45167</v>
      </c>
      <c r="C574" s="1" t="n">
        <v>45995</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23855-2025</t>
        </is>
      </c>
      <c r="B575" s="1" t="n">
        <v>45793.65900462963</v>
      </c>
      <c r="C575" s="1" t="n">
        <v>45995</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59106-2025</t>
        </is>
      </c>
      <c r="B576" s="1" t="n">
        <v>45988.46891203704</v>
      </c>
      <c r="C576" s="1" t="n">
        <v>45995</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24481-2024</t>
        </is>
      </c>
      <c r="B577" s="1" t="n">
        <v>45459.36460648148</v>
      </c>
      <c r="C577" s="1" t="n">
        <v>45995</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17606-2024</t>
        </is>
      </c>
      <c r="B578" s="1" t="n">
        <v>45415</v>
      </c>
      <c r="C578" s="1" t="n">
        <v>45995</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50704-2025</t>
        </is>
      </c>
      <c r="B579" s="1" t="n">
        <v>45946.27984953704</v>
      </c>
      <c r="C579" s="1" t="n">
        <v>45995</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59271-2025</t>
        </is>
      </c>
      <c r="B580" s="1" t="n">
        <v>45988.68571759259</v>
      </c>
      <c r="C580" s="1" t="n">
        <v>45995</v>
      </c>
      <c r="D580" t="inlineStr">
        <is>
          <t>DALARNAS LÄN</t>
        </is>
      </c>
      <c r="E580" t="inlineStr">
        <is>
          <t>LEKSAND</t>
        </is>
      </c>
      <c r="G580" t="n">
        <v>2.2</v>
      </c>
      <c r="H580" t="n">
        <v>0</v>
      </c>
      <c r="I580" t="n">
        <v>0</v>
      </c>
      <c r="J580" t="n">
        <v>0</v>
      </c>
      <c r="K580" t="n">
        <v>0</v>
      </c>
      <c r="L580" t="n">
        <v>0</v>
      </c>
      <c r="M580" t="n">
        <v>0</v>
      </c>
      <c r="N580" t="n">
        <v>0</v>
      </c>
      <c r="O580" t="n">
        <v>0</v>
      </c>
      <c r="P580" t="n">
        <v>0</v>
      </c>
      <c r="Q580" t="n">
        <v>0</v>
      </c>
      <c r="R580" s="2" t="inlineStr"/>
    </row>
    <row r="581" ht="15" customHeight="1">
      <c r="A581" t="inlineStr">
        <is>
          <t>A 34033-2024</t>
        </is>
      </c>
      <c r="B581" s="1" t="n">
        <v>45523.59265046296</v>
      </c>
      <c r="C581" s="1" t="n">
        <v>45995</v>
      </c>
      <c r="D581" t="inlineStr">
        <is>
          <t>DALARNAS LÄN</t>
        </is>
      </c>
      <c r="E581" t="inlineStr">
        <is>
          <t>LEKSAND</t>
        </is>
      </c>
      <c r="G581" t="n">
        <v>2.6</v>
      </c>
      <c r="H581" t="n">
        <v>0</v>
      </c>
      <c r="I581" t="n">
        <v>0</v>
      </c>
      <c r="J581" t="n">
        <v>0</v>
      </c>
      <c r="K581" t="n">
        <v>0</v>
      </c>
      <c r="L581" t="n">
        <v>0</v>
      </c>
      <c r="M581" t="n">
        <v>0</v>
      </c>
      <c r="N581" t="n">
        <v>0</v>
      </c>
      <c r="O581" t="n">
        <v>0</v>
      </c>
      <c r="P581" t="n">
        <v>0</v>
      </c>
      <c r="Q581" t="n">
        <v>0</v>
      </c>
      <c r="R581" s="2" t="inlineStr"/>
    </row>
    <row r="582" ht="15" customHeight="1">
      <c r="A582" t="inlineStr">
        <is>
          <t>A 6028-2025</t>
        </is>
      </c>
      <c r="B582" s="1" t="n">
        <v>45695</v>
      </c>
      <c r="C582" s="1" t="n">
        <v>45995</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24919-2024</t>
        </is>
      </c>
      <c r="B583" s="1" t="n">
        <v>45461.60636574074</v>
      </c>
      <c r="C583" s="1" t="n">
        <v>45995</v>
      </c>
      <c r="D583" t="inlineStr">
        <is>
          <t>DALARNAS LÄN</t>
        </is>
      </c>
      <c r="E583" t="inlineStr">
        <is>
          <t>LEKSAND</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61054-2023</t>
        </is>
      </c>
      <c r="B584" s="1" t="n">
        <v>45261</v>
      </c>
      <c r="C584" s="1" t="n">
        <v>45995</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61056-2023</t>
        </is>
      </c>
      <c r="B585" s="1" t="n">
        <v>45261</v>
      </c>
      <c r="C585" s="1" t="n">
        <v>45995</v>
      </c>
      <c r="D585" t="inlineStr">
        <is>
          <t>DALARNAS LÄN</t>
        </is>
      </c>
      <c r="E585" t="inlineStr">
        <is>
          <t>LEKSAND</t>
        </is>
      </c>
      <c r="G585" t="n">
        <v>0.3</v>
      </c>
      <c r="H585" t="n">
        <v>0</v>
      </c>
      <c r="I585" t="n">
        <v>0</v>
      </c>
      <c r="J585" t="n">
        <v>0</v>
      </c>
      <c r="K585" t="n">
        <v>0</v>
      </c>
      <c r="L585" t="n">
        <v>0</v>
      </c>
      <c r="M585" t="n">
        <v>0</v>
      </c>
      <c r="N585" t="n">
        <v>0</v>
      </c>
      <c r="O585" t="n">
        <v>0</v>
      </c>
      <c r="P585" t="n">
        <v>0</v>
      </c>
      <c r="Q585" t="n">
        <v>0</v>
      </c>
      <c r="R585" s="2" t="inlineStr"/>
    </row>
    <row r="586" ht="15" customHeight="1">
      <c r="A586" t="inlineStr">
        <is>
          <t>A 32726-2025</t>
        </is>
      </c>
      <c r="B586" s="1" t="n">
        <v>45839.3969212963</v>
      </c>
      <c r="C586" s="1" t="n">
        <v>45995</v>
      </c>
      <c r="D586" t="inlineStr">
        <is>
          <t>DALARNAS LÄN</t>
        </is>
      </c>
      <c r="E586" t="inlineStr">
        <is>
          <t>LEKSAND</t>
        </is>
      </c>
      <c r="F586" t="inlineStr">
        <is>
          <t>Bergvik skog väst AB</t>
        </is>
      </c>
      <c r="G586" t="n">
        <v>2.5</v>
      </c>
      <c r="H586" t="n">
        <v>0</v>
      </c>
      <c r="I586" t="n">
        <v>0</v>
      </c>
      <c r="J586" t="n">
        <v>0</v>
      </c>
      <c r="K586" t="n">
        <v>0</v>
      </c>
      <c r="L586" t="n">
        <v>0</v>
      </c>
      <c r="M586" t="n">
        <v>0</v>
      </c>
      <c r="N586" t="n">
        <v>0</v>
      </c>
      <c r="O586" t="n">
        <v>0</v>
      </c>
      <c r="P586" t="n">
        <v>0</v>
      </c>
      <c r="Q586" t="n">
        <v>0</v>
      </c>
      <c r="R586" s="2" t="inlineStr"/>
    </row>
    <row r="587" ht="15" customHeight="1">
      <c r="A587" t="inlineStr">
        <is>
          <t>A 7450-2023</t>
        </is>
      </c>
      <c r="B587" s="1" t="n">
        <v>44971</v>
      </c>
      <c r="C587" s="1" t="n">
        <v>45995</v>
      </c>
      <c r="D587" t="inlineStr">
        <is>
          <t>DALARNAS LÄN</t>
        </is>
      </c>
      <c r="E587" t="inlineStr">
        <is>
          <t>LEKSAND</t>
        </is>
      </c>
      <c r="G587" t="n">
        <v>3</v>
      </c>
      <c r="H587" t="n">
        <v>0</v>
      </c>
      <c r="I587" t="n">
        <v>0</v>
      </c>
      <c r="J587" t="n">
        <v>0</v>
      </c>
      <c r="K587" t="n">
        <v>0</v>
      </c>
      <c r="L587" t="n">
        <v>0</v>
      </c>
      <c r="M587" t="n">
        <v>0</v>
      </c>
      <c r="N587" t="n">
        <v>0</v>
      </c>
      <c r="O587" t="n">
        <v>0</v>
      </c>
      <c r="P587" t="n">
        <v>0</v>
      </c>
      <c r="Q587" t="n">
        <v>0</v>
      </c>
      <c r="R587" s="2" t="inlineStr"/>
    </row>
    <row r="588" ht="15" customHeight="1">
      <c r="A588" t="inlineStr">
        <is>
          <t>A 7894-2025</t>
        </is>
      </c>
      <c r="B588" s="1" t="n">
        <v>45707.30268518518</v>
      </c>
      <c r="C588" s="1" t="n">
        <v>45995</v>
      </c>
      <c r="D588" t="inlineStr">
        <is>
          <t>DALARNAS LÄN</t>
        </is>
      </c>
      <c r="E588" t="inlineStr">
        <is>
          <t>LEKSAND</t>
        </is>
      </c>
      <c r="G588" t="n">
        <v>1.6</v>
      </c>
      <c r="H588" t="n">
        <v>0</v>
      </c>
      <c r="I588" t="n">
        <v>0</v>
      </c>
      <c r="J588" t="n">
        <v>0</v>
      </c>
      <c r="K588" t="n">
        <v>0</v>
      </c>
      <c r="L588" t="n">
        <v>0</v>
      </c>
      <c r="M588" t="n">
        <v>0</v>
      </c>
      <c r="N588" t="n">
        <v>0</v>
      </c>
      <c r="O588" t="n">
        <v>0</v>
      </c>
      <c r="P588" t="n">
        <v>0</v>
      </c>
      <c r="Q588" t="n">
        <v>0</v>
      </c>
      <c r="R588" s="2" t="inlineStr"/>
    </row>
    <row r="589" ht="15" customHeight="1">
      <c r="A589" t="inlineStr">
        <is>
          <t>A 58877-2023</t>
        </is>
      </c>
      <c r="B589" s="1" t="n">
        <v>45252</v>
      </c>
      <c r="C589" s="1" t="n">
        <v>45995</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17455-2022</t>
        </is>
      </c>
      <c r="B590" s="1" t="n">
        <v>44679.3775</v>
      </c>
      <c r="C590" s="1" t="n">
        <v>45995</v>
      </c>
      <c r="D590" t="inlineStr">
        <is>
          <t>DALARNAS LÄN</t>
        </is>
      </c>
      <c r="E590" t="inlineStr">
        <is>
          <t>LEKSAND</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60040-2023</t>
        </is>
      </c>
      <c r="B591" s="1" t="n">
        <v>45256</v>
      </c>
      <c r="C591" s="1" t="n">
        <v>45995</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45995</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45995</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22681-2022</t>
        </is>
      </c>
      <c r="B594" s="1" t="n">
        <v>44714.50961805556</v>
      </c>
      <c r="C594" s="1" t="n">
        <v>45995</v>
      </c>
      <c r="D594" t="inlineStr">
        <is>
          <t>DALARNAS LÄN</t>
        </is>
      </c>
      <c r="E594" t="inlineStr">
        <is>
          <t>LEKSAND</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23891-2025</t>
        </is>
      </c>
      <c r="B595" s="1" t="n">
        <v>45793</v>
      </c>
      <c r="C595" s="1" t="n">
        <v>45995</v>
      </c>
      <c r="D595" t="inlineStr">
        <is>
          <t>DALARNAS LÄN</t>
        </is>
      </c>
      <c r="E595" t="inlineStr">
        <is>
          <t>LEKSAND</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30196-2023</t>
        </is>
      </c>
      <c r="B596" s="1" t="n">
        <v>45110</v>
      </c>
      <c r="C596" s="1" t="n">
        <v>45995</v>
      </c>
      <c r="D596" t="inlineStr">
        <is>
          <t>DALARNAS LÄN</t>
        </is>
      </c>
      <c r="E596" t="inlineStr">
        <is>
          <t>LEKSAND</t>
        </is>
      </c>
      <c r="G596" t="n">
        <v>1.2</v>
      </c>
      <c r="H596" t="n">
        <v>0</v>
      </c>
      <c r="I596" t="n">
        <v>0</v>
      </c>
      <c r="J596" t="n">
        <v>0</v>
      </c>
      <c r="K596" t="n">
        <v>0</v>
      </c>
      <c r="L596" t="n">
        <v>0</v>
      </c>
      <c r="M596" t="n">
        <v>0</v>
      </c>
      <c r="N596" t="n">
        <v>0</v>
      </c>
      <c r="O596" t="n">
        <v>0</v>
      </c>
      <c r="P596" t="n">
        <v>0</v>
      </c>
      <c r="Q596" t="n">
        <v>0</v>
      </c>
      <c r="R596" s="2" t="inlineStr"/>
    </row>
    <row r="597" ht="15" customHeight="1">
      <c r="A597" t="inlineStr">
        <is>
          <t>A 24187-2025</t>
        </is>
      </c>
      <c r="B597" s="1" t="n">
        <v>45796</v>
      </c>
      <c r="C597" s="1" t="n">
        <v>45995</v>
      </c>
      <c r="D597" t="inlineStr">
        <is>
          <t>DALARNAS LÄN</t>
        </is>
      </c>
      <c r="E597" t="inlineStr">
        <is>
          <t>LEKSAND</t>
        </is>
      </c>
      <c r="G597" t="n">
        <v>2.1</v>
      </c>
      <c r="H597" t="n">
        <v>0</v>
      </c>
      <c r="I597" t="n">
        <v>0</v>
      </c>
      <c r="J597" t="n">
        <v>0</v>
      </c>
      <c r="K597" t="n">
        <v>0</v>
      </c>
      <c r="L597" t="n">
        <v>0</v>
      </c>
      <c r="M597" t="n">
        <v>0</v>
      </c>
      <c r="N597" t="n">
        <v>0</v>
      </c>
      <c r="O597" t="n">
        <v>0</v>
      </c>
      <c r="P597" t="n">
        <v>0</v>
      </c>
      <c r="Q597" t="n">
        <v>0</v>
      </c>
      <c r="R597" s="2" t="inlineStr"/>
    </row>
    <row r="598" ht="15" customHeight="1">
      <c r="A598" t="inlineStr">
        <is>
          <t>A 24188-2025</t>
        </is>
      </c>
      <c r="B598" s="1" t="n">
        <v>45796</v>
      </c>
      <c r="C598" s="1" t="n">
        <v>45995</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46446-2023</t>
        </is>
      </c>
      <c r="B599" s="1" t="n">
        <v>45197.59344907408</v>
      </c>
      <c r="C599" s="1" t="n">
        <v>45995</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56211-2023</t>
        </is>
      </c>
      <c r="B600" s="1" t="n">
        <v>45240</v>
      </c>
      <c r="C600" s="1" t="n">
        <v>45995</v>
      </c>
      <c r="D600" t="inlineStr">
        <is>
          <t>DALARNAS LÄN</t>
        </is>
      </c>
      <c r="E600" t="inlineStr">
        <is>
          <t>LEKSAND</t>
        </is>
      </c>
      <c r="G600" t="n">
        <v>1.5</v>
      </c>
      <c r="H600" t="n">
        <v>0</v>
      </c>
      <c r="I600" t="n">
        <v>0</v>
      </c>
      <c r="J600" t="n">
        <v>0</v>
      </c>
      <c r="K600" t="n">
        <v>0</v>
      </c>
      <c r="L600" t="n">
        <v>0</v>
      </c>
      <c r="M600" t="n">
        <v>0</v>
      </c>
      <c r="N600" t="n">
        <v>0</v>
      </c>
      <c r="O600" t="n">
        <v>0</v>
      </c>
      <c r="P600" t="n">
        <v>0</v>
      </c>
      <c r="Q600" t="n">
        <v>0</v>
      </c>
      <c r="R600" s="2" t="inlineStr"/>
    </row>
    <row r="601" ht="15" customHeight="1">
      <c r="A601" t="inlineStr">
        <is>
          <t>A 51663-2025</t>
        </is>
      </c>
      <c r="B601" s="1" t="n">
        <v>45951</v>
      </c>
      <c r="C601" s="1" t="n">
        <v>45995</v>
      </c>
      <c r="D601" t="inlineStr">
        <is>
          <t>DALARNAS LÄN</t>
        </is>
      </c>
      <c r="E601" t="inlineStr">
        <is>
          <t>LEKSAND</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54682-2023</t>
        </is>
      </c>
      <c r="B602" s="1" t="n">
        <v>45235.90439814814</v>
      </c>
      <c r="C602" s="1" t="n">
        <v>45995</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60170-2025</t>
        </is>
      </c>
      <c r="B603" s="1" t="n">
        <v>45994.44629629629</v>
      </c>
      <c r="C603" s="1" t="n">
        <v>45995</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1463-2024</t>
        </is>
      </c>
      <c r="B604" s="1" t="n">
        <v>45303</v>
      </c>
      <c r="C604" s="1" t="n">
        <v>45995</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51728-2025</t>
        </is>
      </c>
      <c r="B605" s="1" t="n">
        <v>45951</v>
      </c>
      <c r="C605" s="1" t="n">
        <v>45995</v>
      </c>
      <c r="D605" t="inlineStr">
        <is>
          <t>DALARNAS LÄN</t>
        </is>
      </c>
      <c r="E605" t="inlineStr">
        <is>
          <t>LEKSAND</t>
        </is>
      </c>
      <c r="F605" t="inlineStr">
        <is>
          <t>Bergvik skog väst AB</t>
        </is>
      </c>
      <c r="G605" t="n">
        <v>14.2</v>
      </c>
      <c r="H605" t="n">
        <v>0</v>
      </c>
      <c r="I605" t="n">
        <v>0</v>
      </c>
      <c r="J605" t="n">
        <v>0</v>
      </c>
      <c r="K605" t="n">
        <v>0</v>
      </c>
      <c r="L605" t="n">
        <v>0</v>
      </c>
      <c r="M605" t="n">
        <v>0</v>
      </c>
      <c r="N605" t="n">
        <v>0</v>
      </c>
      <c r="O605" t="n">
        <v>0</v>
      </c>
      <c r="P605" t="n">
        <v>0</v>
      </c>
      <c r="Q605" t="n">
        <v>0</v>
      </c>
      <c r="R605" s="2" t="inlineStr"/>
    </row>
    <row r="606" ht="15" customHeight="1">
      <c r="A606" t="inlineStr">
        <is>
          <t>A 60067-2025</t>
        </is>
      </c>
      <c r="B606" s="1" t="n">
        <v>45993.66039351852</v>
      </c>
      <c r="C606" s="1" t="n">
        <v>45995</v>
      </c>
      <c r="D606" t="inlineStr">
        <is>
          <t>DALARNAS LÄN</t>
        </is>
      </c>
      <c r="E606" t="inlineStr">
        <is>
          <t>LEKSAND</t>
        </is>
      </c>
      <c r="G606" t="n">
        <v>3.3</v>
      </c>
      <c r="H606" t="n">
        <v>0</v>
      </c>
      <c r="I606" t="n">
        <v>0</v>
      </c>
      <c r="J606" t="n">
        <v>0</v>
      </c>
      <c r="K606" t="n">
        <v>0</v>
      </c>
      <c r="L606" t="n">
        <v>0</v>
      </c>
      <c r="M606" t="n">
        <v>0</v>
      </c>
      <c r="N606" t="n">
        <v>0</v>
      </c>
      <c r="O606" t="n">
        <v>0</v>
      </c>
      <c r="P606" t="n">
        <v>0</v>
      </c>
      <c r="Q606" t="n">
        <v>0</v>
      </c>
      <c r="R606" s="2" t="inlineStr"/>
    </row>
    <row r="607" ht="15" customHeight="1">
      <c r="A607" t="inlineStr">
        <is>
          <t>A 24373-2025</t>
        </is>
      </c>
      <c r="B607" s="1" t="n">
        <v>45797.61113425926</v>
      </c>
      <c r="C607" s="1" t="n">
        <v>45995</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59083-2025</t>
        </is>
      </c>
      <c r="B608" s="1" t="n">
        <v>45988</v>
      </c>
      <c r="C608" s="1" t="n">
        <v>45995</v>
      </c>
      <c r="D608" t="inlineStr">
        <is>
          <t>DALARNAS LÄN</t>
        </is>
      </c>
      <c r="E608" t="inlineStr">
        <is>
          <t>LEKSAND</t>
        </is>
      </c>
      <c r="F608" t="inlineStr">
        <is>
          <t>Bergvik skog väst AB</t>
        </is>
      </c>
      <c r="G608" t="n">
        <v>2.7</v>
      </c>
      <c r="H608" t="n">
        <v>0</v>
      </c>
      <c r="I608" t="n">
        <v>0</v>
      </c>
      <c r="J608" t="n">
        <v>0</v>
      </c>
      <c r="K608" t="n">
        <v>0</v>
      </c>
      <c r="L608" t="n">
        <v>0</v>
      </c>
      <c r="M608" t="n">
        <v>0</v>
      </c>
      <c r="N608" t="n">
        <v>0</v>
      </c>
      <c r="O608" t="n">
        <v>0</v>
      </c>
      <c r="P608" t="n">
        <v>0</v>
      </c>
      <c r="Q608" t="n">
        <v>0</v>
      </c>
      <c r="R608" s="2" t="inlineStr"/>
      <c r="U608">
        <f>HYPERLINK("https://klasma.github.io/Logging_2029/knärot/A 59083-2025 karta knärot.png", "A 59083-2025")</f>
        <v/>
      </c>
      <c r="V608">
        <f>HYPERLINK("https://klasma.github.io/Logging_2029/klagomål/A 59083-2025 FSC-klagomål.docx", "A 59083-2025")</f>
        <v/>
      </c>
      <c r="W608">
        <f>HYPERLINK("https://klasma.github.io/Logging_2029/klagomålsmail/A 59083-2025 FSC-klagomål mail.docx", "A 59083-2025")</f>
        <v/>
      </c>
      <c r="X608">
        <f>HYPERLINK("https://klasma.github.io/Logging_2029/tillsyn/A 59083-2025 tillsynsbegäran.docx", "A 59083-2025")</f>
        <v/>
      </c>
      <c r="Y608">
        <f>HYPERLINK("https://klasma.github.io/Logging_2029/tillsynsmail/A 59083-2025 tillsynsbegäran mail.docx", "A 59083-2025")</f>
        <v/>
      </c>
    </row>
    <row r="609" ht="15" customHeight="1">
      <c r="A609" t="inlineStr">
        <is>
          <t>A 59638-2025</t>
        </is>
      </c>
      <c r="B609" s="1" t="n">
        <v>45992.41105324074</v>
      </c>
      <c r="C609" s="1" t="n">
        <v>45995</v>
      </c>
      <c r="D609" t="inlineStr">
        <is>
          <t>DALARNAS LÄN</t>
        </is>
      </c>
      <c r="E609" t="inlineStr">
        <is>
          <t>LEKSAND</t>
        </is>
      </c>
      <c r="G609" t="n">
        <v>1.7</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45109.71128472222</v>
      </c>
      <c r="C610" s="1" t="n">
        <v>45995</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17282-2025</t>
        </is>
      </c>
      <c r="B611" s="1" t="n">
        <v>45756.57114583333</v>
      </c>
      <c r="C611" s="1" t="n">
        <v>45995</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12923-2025</t>
        </is>
      </c>
      <c r="B612" s="1" t="n">
        <v>45734.29193287037</v>
      </c>
      <c r="C612" s="1" t="n">
        <v>45995</v>
      </c>
      <c r="D612" t="inlineStr">
        <is>
          <t>DALARNAS LÄN</t>
        </is>
      </c>
      <c r="E612" t="inlineStr">
        <is>
          <t>LEKSAND</t>
        </is>
      </c>
      <c r="G612" t="n">
        <v>7.2</v>
      </c>
      <c r="H612" t="n">
        <v>0</v>
      </c>
      <c r="I612" t="n">
        <v>0</v>
      </c>
      <c r="J612" t="n">
        <v>0</v>
      </c>
      <c r="K612" t="n">
        <v>0</v>
      </c>
      <c r="L612" t="n">
        <v>0</v>
      </c>
      <c r="M612" t="n">
        <v>0</v>
      </c>
      <c r="N612" t="n">
        <v>0</v>
      </c>
      <c r="O612" t="n">
        <v>0</v>
      </c>
      <c r="P612" t="n">
        <v>0</v>
      </c>
      <c r="Q612" t="n">
        <v>0</v>
      </c>
      <c r="R612" s="2" t="inlineStr"/>
    </row>
    <row r="613" ht="15" customHeight="1">
      <c r="A613" t="inlineStr">
        <is>
          <t>A 2820-2024</t>
        </is>
      </c>
      <c r="B613" s="1" t="n">
        <v>45314.76287037037</v>
      </c>
      <c r="C613" s="1" t="n">
        <v>45995</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2822-2024</t>
        </is>
      </c>
      <c r="B614" s="1" t="n">
        <v>45314.76622685185</v>
      </c>
      <c r="C614" s="1" t="n">
        <v>45995</v>
      </c>
      <c r="D614" t="inlineStr">
        <is>
          <t>DALARNAS LÄN</t>
        </is>
      </c>
      <c r="E614" t="inlineStr">
        <is>
          <t>LEKSAND</t>
        </is>
      </c>
      <c r="G614" t="n">
        <v>1.6</v>
      </c>
      <c r="H614" t="n">
        <v>0</v>
      </c>
      <c r="I614" t="n">
        <v>0</v>
      </c>
      <c r="J614" t="n">
        <v>0</v>
      </c>
      <c r="K614" t="n">
        <v>0</v>
      </c>
      <c r="L614" t="n">
        <v>0</v>
      </c>
      <c r="M614" t="n">
        <v>0</v>
      </c>
      <c r="N614" t="n">
        <v>0</v>
      </c>
      <c r="O614" t="n">
        <v>0</v>
      </c>
      <c r="P614" t="n">
        <v>0</v>
      </c>
      <c r="Q614" t="n">
        <v>0</v>
      </c>
      <c r="R614" s="2" t="inlineStr"/>
    </row>
    <row r="615" ht="15" customHeight="1">
      <c r="A615" t="inlineStr">
        <is>
          <t>A 51320-2023</t>
        </is>
      </c>
      <c r="B615" s="1" t="n">
        <v>45219.57456018519</v>
      </c>
      <c r="C615" s="1" t="n">
        <v>45995</v>
      </c>
      <c r="D615" t="inlineStr">
        <is>
          <t>DALARNAS LÄN</t>
        </is>
      </c>
      <c r="E615" t="inlineStr">
        <is>
          <t>LEKSAND</t>
        </is>
      </c>
      <c r="G615" t="n">
        <v>2.1</v>
      </c>
      <c r="H615" t="n">
        <v>0</v>
      </c>
      <c r="I615" t="n">
        <v>0</v>
      </c>
      <c r="J615" t="n">
        <v>0</v>
      </c>
      <c r="K615" t="n">
        <v>0</v>
      </c>
      <c r="L615" t="n">
        <v>0</v>
      </c>
      <c r="M615" t="n">
        <v>0</v>
      </c>
      <c r="N615" t="n">
        <v>0</v>
      </c>
      <c r="O615" t="n">
        <v>0</v>
      </c>
      <c r="P615" t="n">
        <v>0</v>
      </c>
      <c r="Q615" t="n">
        <v>0</v>
      </c>
      <c r="R615" s="2" t="inlineStr"/>
    </row>
    <row r="616" ht="15" customHeight="1">
      <c r="A616" t="inlineStr">
        <is>
          <t>A 40868-2024</t>
        </is>
      </c>
      <c r="B616" s="1" t="n">
        <v>45558</v>
      </c>
      <c r="C616" s="1" t="n">
        <v>45995</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12621-2025</t>
        </is>
      </c>
      <c r="B617" s="1" t="n">
        <v>45733.3575</v>
      </c>
      <c r="C617" s="1" t="n">
        <v>45995</v>
      </c>
      <c r="D617" t="inlineStr">
        <is>
          <t>DALARNAS LÄN</t>
        </is>
      </c>
      <c r="E617" t="inlineStr">
        <is>
          <t>LEKSAND</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22646-2025</t>
        </is>
      </c>
      <c r="B618" s="1" t="n">
        <v>45786</v>
      </c>
      <c r="C618" s="1" t="n">
        <v>45995</v>
      </c>
      <c r="D618" t="inlineStr">
        <is>
          <t>DALARNAS LÄN</t>
        </is>
      </c>
      <c r="E618" t="inlineStr">
        <is>
          <t>LEKSAND</t>
        </is>
      </c>
      <c r="F618" t="inlineStr">
        <is>
          <t>Kommuner</t>
        </is>
      </c>
      <c r="G618" t="n">
        <v>1.6</v>
      </c>
      <c r="H618" t="n">
        <v>0</v>
      </c>
      <c r="I618" t="n">
        <v>0</v>
      </c>
      <c r="J618" t="n">
        <v>0</v>
      </c>
      <c r="K618" t="n">
        <v>0</v>
      </c>
      <c r="L618" t="n">
        <v>0</v>
      </c>
      <c r="M618" t="n">
        <v>0</v>
      </c>
      <c r="N618" t="n">
        <v>0</v>
      </c>
      <c r="O618" t="n">
        <v>0</v>
      </c>
      <c r="P618" t="n">
        <v>0</v>
      </c>
      <c r="Q618" t="n">
        <v>0</v>
      </c>
      <c r="R618" s="2" t="inlineStr"/>
    </row>
    <row r="619" ht="15" customHeight="1">
      <c r="A619" t="inlineStr">
        <is>
          <t>A 51768-2025</t>
        </is>
      </c>
      <c r="B619" s="1" t="n">
        <v>45951.64041666667</v>
      </c>
      <c r="C619" s="1" t="n">
        <v>45995</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24369-2025</t>
        </is>
      </c>
      <c r="B620" s="1" t="n">
        <v>45797.60731481481</v>
      </c>
      <c r="C620" s="1" t="n">
        <v>45995</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51926-2025</t>
        </is>
      </c>
      <c r="B621" s="1" t="n">
        <v>45952.49537037037</v>
      </c>
      <c r="C621" s="1" t="n">
        <v>45995</v>
      </c>
      <c r="D621" t="inlineStr">
        <is>
          <t>DALARNAS LÄN</t>
        </is>
      </c>
      <c r="E621" t="inlineStr">
        <is>
          <t>LEKSAND</t>
        </is>
      </c>
      <c r="G621" t="n">
        <v>2.3</v>
      </c>
      <c r="H621" t="n">
        <v>0</v>
      </c>
      <c r="I621" t="n">
        <v>0</v>
      </c>
      <c r="J621" t="n">
        <v>0</v>
      </c>
      <c r="K621" t="n">
        <v>0</v>
      </c>
      <c r="L621" t="n">
        <v>0</v>
      </c>
      <c r="M621" t="n">
        <v>0</v>
      </c>
      <c r="N621" t="n">
        <v>0</v>
      </c>
      <c r="O621" t="n">
        <v>0</v>
      </c>
      <c r="P621" t="n">
        <v>0</v>
      </c>
      <c r="Q621" t="n">
        <v>0</v>
      </c>
      <c r="R621" s="2" t="inlineStr"/>
    </row>
    <row r="622" ht="15" customHeight="1">
      <c r="A622" t="inlineStr">
        <is>
          <t>A 60023-2025</t>
        </is>
      </c>
      <c r="B622" s="1" t="n">
        <v>45993.60201388889</v>
      </c>
      <c r="C622" s="1" t="n">
        <v>45995</v>
      </c>
      <c r="D622" t="inlineStr">
        <is>
          <t>DALARNAS LÄN</t>
        </is>
      </c>
      <c r="E622" t="inlineStr">
        <is>
          <t>LEKSAND</t>
        </is>
      </c>
      <c r="G622" t="n">
        <v>6.5</v>
      </c>
      <c r="H622" t="n">
        <v>0</v>
      </c>
      <c r="I622" t="n">
        <v>0</v>
      </c>
      <c r="J622" t="n">
        <v>0</v>
      </c>
      <c r="K622" t="n">
        <v>0</v>
      </c>
      <c r="L622" t="n">
        <v>0</v>
      </c>
      <c r="M622" t="n">
        <v>0</v>
      </c>
      <c r="N622" t="n">
        <v>0</v>
      </c>
      <c r="O622" t="n">
        <v>0</v>
      </c>
      <c r="P622" t="n">
        <v>0</v>
      </c>
      <c r="Q622" t="n">
        <v>0</v>
      </c>
      <c r="R622" s="2" t="inlineStr"/>
    </row>
    <row r="623" ht="15" customHeight="1">
      <c r="A623" t="inlineStr">
        <is>
          <t>A 51377-2023</t>
        </is>
      </c>
      <c r="B623" s="1" t="n">
        <v>45219</v>
      </c>
      <c r="C623" s="1" t="n">
        <v>45995</v>
      </c>
      <c r="D623" t="inlineStr">
        <is>
          <t>DALARNAS LÄN</t>
        </is>
      </c>
      <c r="E623" t="inlineStr">
        <is>
          <t>LEKSAND</t>
        </is>
      </c>
      <c r="G623" t="n">
        <v>0.9</v>
      </c>
      <c r="H623" t="n">
        <v>0</v>
      </c>
      <c r="I623" t="n">
        <v>0</v>
      </c>
      <c r="J623" t="n">
        <v>0</v>
      </c>
      <c r="K623" t="n">
        <v>0</v>
      </c>
      <c r="L623" t="n">
        <v>0</v>
      </c>
      <c r="M623" t="n">
        <v>0</v>
      </c>
      <c r="N623" t="n">
        <v>0</v>
      </c>
      <c r="O623" t="n">
        <v>0</v>
      </c>
      <c r="P623" t="n">
        <v>0</v>
      </c>
      <c r="Q623" t="n">
        <v>0</v>
      </c>
      <c r="R623" s="2" t="inlineStr"/>
    </row>
    <row r="624" ht="15" customHeight="1">
      <c r="A624" t="inlineStr">
        <is>
          <t>A 59859-2023</t>
        </is>
      </c>
      <c r="B624" s="1" t="n">
        <v>45257</v>
      </c>
      <c r="C624" s="1" t="n">
        <v>45995</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24715-2025</t>
        </is>
      </c>
      <c r="B625" s="1" t="n">
        <v>45798.97899305556</v>
      </c>
      <c r="C625" s="1" t="n">
        <v>45995</v>
      </c>
      <c r="D625" t="inlineStr">
        <is>
          <t>DALARNAS LÄN</t>
        </is>
      </c>
      <c r="E625" t="inlineStr">
        <is>
          <t>LEKSAND</t>
        </is>
      </c>
      <c r="G625" t="n">
        <v>8.4</v>
      </c>
      <c r="H625" t="n">
        <v>0</v>
      </c>
      <c r="I625" t="n">
        <v>0</v>
      </c>
      <c r="J625" t="n">
        <v>0</v>
      </c>
      <c r="K625" t="n">
        <v>0</v>
      </c>
      <c r="L625" t="n">
        <v>0</v>
      </c>
      <c r="M625" t="n">
        <v>0</v>
      </c>
      <c r="N625" t="n">
        <v>0</v>
      </c>
      <c r="O625" t="n">
        <v>0</v>
      </c>
      <c r="P625" t="n">
        <v>0</v>
      </c>
      <c r="Q625" t="n">
        <v>0</v>
      </c>
      <c r="R625" s="2" t="inlineStr"/>
    </row>
    <row r="626" ht="15" customHeight="1">
      <c r="A626" t="inlineStr">
        <is>
          <t>A 19330-2025</t>
        </is>
      </c>
      <c r="B626" s="1" t="n">
        <v>45769</v>
      </c>
      <c r="C626" s="1" t="n">
        <v>45995</v>
      </c>
      <c r="D626" t="inlineStr">
        <is>
          <t>DALARNAS LÄN</t>
        </is>
      </c>
      <c r="E626" t="inlineStr">
        <is>
          <t>LEKSAND</t>
        </is>
      </c>
      <c r="G626" t="n">
        <v>1.6</v>
      </c>
      <c r="H626" t="n">
        <v>0</v>
      </c>
      <c r="I626" t="n">
        <v>0</v>
      </c>
      <c r="J626" t="n">
        <v>0</v>
      </c>
      <c r="K626" t="n">
        <v>0</v>
      </c>
      <c r="L626" t="n">
        <v>0</v>
      </c>
      <c r="M626" t="n">
        <v>0</v>
      </c>
      <c r="N626" t="n">
        <v>0</v>
      </c>
      <c r="O626" t="n">
        <v>0</v>
      </c>
      <c r="P626" t="n">
        <v>0</v>
      </c>
      <c r="Q626" t="n">
        <v>0</v>
      </c>
      <c r="R626" s="2" t="inlineStr"/>
    </row>
    <row r="627" ht="15" customHeight="1">
      <c r="A627" t="inlineStr">
        <is>
          <t>A 45943-2022</t>
        </is>
      </c>
      <c r="B627" s="1" t="n">
        <v>44846.64418981481</v>
      </c>
      <c r="C627" s="1" t="n">
        <v>45995</v>
      </c>
      <c r="D627" t="inlineStr">
        <is>
          <t>DALARNAS LÄN</t>
        </is>
      </c>
      <c r="E627" t="inlineStr">
        <is>
          <t>LEKSAND</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25096-2025</t>
        </is>
      </c>
      <c r="B628" s="1" t="n">
        <v>45800.33868055556</v>
      </c>
      <c r="C628" s="1" t="n">
        <v>45995</v>
      </c>
      <c r="D628" t="inlineStr">
        <is>
          <t>DALARNAS LÄN</t>
        </is>
      </c>
      <c r="E628" t="inlineStr">
        <is>
          <t>LEKSAND</t>
        </is>
      </c>
      <c r="F628" t="inlineStr">
        <is>
          <t>Bergvik skog väst AB</t>
        </is>
      </c>
      <c r="G628" t="n">
        <v>1.8</v>
      </c>
      <c r="H628" t="n">
        <v>0</v>
      </c>
      <c r="I628" t="n">
        <v>0</v>
      </c>
      <c r="J628" t="n">
        <v>0</v>
      </c>
      <c r="K628" t="n">
        <v>0</v>
      </c>
      <c r="L628" t="n">
        <v>0</v>
      </c>
      <c r="M628" t="n">
        <v>0</v>
      </c>
      <c r="N628" t="n">
        <v>0</v>
      </c>
      <c r="O628" t="n">
        <v>0</v>
      </c>
      <c r="P628" t="n">
        <v>0</v>
      </c>
      <c r="Q628" t="n">
        <v>0</v>
      </c>
      <c r="R628" s="2" t="inlineStr"/>
    </row>
    <row r="629" ht="15" customHeight="1">
      <c r="A629" t="inlineStr">
        <is>
          <t>A 25105-2025</t>
        </is>
      </c>
      <c r="B629" s="1" t="n">
        <v>45800.34751157407</v>
      </c>
      <c r="C629" s="1" t="n">
        <v>45995</v>
      </c>
      <c r="D629" t="inlineStr">
        <is>
          <t>DALARNAS LÄN</t>
        </is>
      </c>
      <c r="E629" t="inlineStr">
        <is>
          <t>LEKSAND</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31255-2023</t>
        </is>
      </c>
      <c r="B630" s="1" t="n">
        <v>45114.36729166667</v>
      </c>
      <c r="C630" s="1" t="n">
        <v>45995</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60878-2023</t>
        </is>
      </c>
      <c r="B631" s="1" t="n">
        <v>45259</v>
      </c>
      <c r="C631" s="1" t="n">
        <v>45995</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61502-2023</t>
        </is>
      </c>
      <c r="B632" s="1" t="n">
        <v>45264</v>
      </c>
      <c r="C632" s="1" t="n">
        <v>45995</v>
      </c>
      <c r="D632" t="inlineStr">
        <is>
          <t>DALARNAS LÄN</t>
        </is>
      </c>
      <c r="E632" t="inlineStr">
        <is>
          <t>LEKSAND</t>
        </is>
      </c>
      <c r="G632" t="n">
        <v>5.2</v>
      </c>
      <c r="H632" t="n">
        <v>0</v>
      </c>
      <c r="I632" t="n">
        <v>0</v>
      </c>
      <c r="J632" t="n">
        <v>0</v>
      </c>
      <c r="K632" t="n">
        <v>0</v>
      </c>
      <c r="L632" t="n">
        <v>0</v>
      </c>
      <c r="M632" t="n">
        <v>0</v>
      </c>
      <c r="N632" t="n">
        <v>0</v>
      </c>
      <c r="O632" t="n">
        <v>0</v>
      </c>
      <c r="P632" t="n">
        <v>0</v>
      </c>
      <c r="Q632" t="n">
        <v>0</v>
      </c>
      <c r="R632" s="2" t="inlineStr"/>
    </row>
    <row r="633" ht="15" customHeight="1">
      <c r="A633" t="inlineStr">
        <is>
          <t>A 28965-2023</t>
        </is>
      </c>
      <c r="B633" s="1" t="n">
        <v>45104</v>
      </c>
      <c r="C633" s="1" t="n">
        <v>45995</v>
      </c>
      <c r="D633" t="inlineStr">
        <is>
          <t>DALARNAS LÄN</t>
        </is>
      </c>
      <c r="E633" t="inlineStr">
        <is>
          <t>LEKSAND</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25610-2025</t>
        </is>
      </c>
      <c r="B634" s="1" t="n">
        <v>45803.56033564815</v>
      </c>
      <c r="C634" s="1" t="n">
        <v>45995</v>
      </c>
      <c r="D634" t="inlineStr">
        <is>
          <t>DALARNAS LÄN</t>
        </is>
      </c>
      <c r="E634" t="inlineStr">
        <is>
          <t>LEKSAND</t>
        </is>
      </c>
      <c r="G634" t="n">
        <v>5.2</v>
      </c>
      <c r="H634" t="n">
        <v>0</v>
      </c>
      <c r="I634" t="n">
        <v>0</v>
      </c>
      <c r="J634" t="n">
        <v>0</v>
      </c>
      <c r="K634" t="n">
        <v>0</v>
      </c>
      <c r="L634" t="n">
        <v>0</v>
      </c>
      <c r="M634" t="n">
        <v>0</v>
      </c>
      <c r="N634" t="n">
        <v>0</v>
      </c>
      <c r="O634" t="n">
        <v>0</v>
      </c>
      <c r="P634" t="n">
        <v>0</v>
      </c>
      <c r="Q634" t="n">
        <v>0</v>
      </c>
      <c r="R634" s="2" t="inlineStr"/>
    </row>
    <row r="635" ht="15" customHeight="1">
      <c r="A635" t="inlineStr">
        <is>
          <t>A 1719-2024</t>
        </is>
      </c>
      <c r="B635" s="1" t="n">
        <v>45307</v>
      </c>
      <c r="C635" s="1" t="n">
        <v>45995</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16744-2025</t>
        </is>
      </c>
      <c r="B636" s="1" t="n">
        <v>45754</v>
      </c>
      <c r="C636" s="1" t="n">
        <v>45995</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22349-2024</t>
        </is>
      </c>
      <c r="B637" s="1" t="n">
        <v>45446</v>
      </c>
      <c r="C637" s="1" t="n">
        <v>45995</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11617-2024</t>
        </is>
      </c>
      <c r="B638" s="1" t="n">
        <v>45373.42898148148</v>
      </c>
      <c r="C638" s="1" t="n">
        <v>45995</v>
      </c>
      <c r="D638" t="inlineStr">
        <is>
          <t>DALARNAS LÄN</t>
        </is>
      </c>
      <c r="E638" t="inlineStr">
        <is>
          <t>LEKSAND</t>
        </is>
      </c>
      <c r="G638" t="n">
        <v>1.9</v>
      </c>
      <c r="H638" t="n">
        <v>0</v>
      </c>
      <c r="I638" t="n">
        <v>0</v>
      </c>
      <c r="J638" t="n">
        <v>0</v>
      </c>
      <c r="K638" t="n">
        <v>0</v>
      </c>
      <c r="L638" t="n">
        <v>0</v>
      </c>
      <c r="M638" t="n">
        <v>0</v>
      </c>
      <c r="N638" t="n">
        <v>0</v>
      </c>
      <c r="O638" t="n">
        <v>0</v>
      </c>
      <c r="P638" t="n">
        <v>0</v>
      </c>
      <c r="Q638" t="n">
        <v>0</v>
      </c>
      <c r="R638" s="2" t="inlineStr"/>
    </row>
    <row r="639" ht="15" customHeight="1">
      <c r="A639" t="inlineStr">
        <is>
          <t>A 61953-2023</t>
        </is>
      </c>
      <c r="B639" s="1" t="n">
        <v>45266</v>
      </c>
      <c r="C639" s="1" t="n">
        <v>45995</v>
      </c>
      <c r="D639" t="inlineStr">
        <is>
          <t>DALARNAS LÄN</t>
        </is>
      </c>
      <c r="E639" t="inlineStr">
        <is>
          <t>LEKSAND</t>
        </is>
      </c>
      <c r="G639" t="n">
        <v>0.1</v>
      </c>
      <c r="H639" t="n">
        <v>0</v>
      </c>
      <c r="I639" t="n">
        <v>0</v>
      </c>
      <c r="J639" t="n">
        <v>0</v>
      </c>
      <c r="K639" t="n">
        <v>0</v>
      </c>
      <c r="L639" t="n">
        <v>0</v>
      </c>
      <c r="M639" t="n">
        <v>0</v>
      </c>
      <c r="N639" t="n">
        <v>0</v>
      </c>
      <c r="O639" t="n">
        <v>0</v>
      </c>
      <c r="P639" t="n">
        <v>0</v>
      </c>
      <c r="Q639" t="n">
        <v>0</v>
      </c>
      <c r="R639" s="2" t="inlineStr"/>
    </row>
    <row r="640" ht="15" customHeight="1">
      <c r="A640" t="inlineStr">
        <is>
          <t>A 58619-2022</t>
        </is>
      </c>
      <c r="B640" s="1" t="n">
        <v>44902.59579861111</v>
      </c>
      <c r="C640" s="1" t="n">
        <v>45995</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20946-2023</t>
        </is>
      </c>
      <c r="B641" s="1" t="n">
        <v>45061</v>
      </c>
      <c r="C641" s="1" t="n">
        <v>45995</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61225-2023</t>
        </is>
      </c>
      <c r="B642" s="1" t="n">
        <v>45264</v>
      </c>
      <c r="C642" s="1" t="n">
        <v>45995</v>
      </c>
      <c r="D642" t="inlineStr">
        <is>
          <t>DALARNAS LÄN</t>
        </is>
      </c>
      <c r="E642" t="inlineStr">
        <is>
          <t>LEKSAND</t>
        </is>
      </c>
      <c r="G642" t="n">
        <v>7</v>
      </c>
      <c r="H642" t="n">
        <v>0</v>
      </c>
      <c r="I642" t="n">
        <v>0</v>
      </c>
      <c r="J642" t="n">
        <v>0</v>
      </c>
      <c r="K642" t="n">
        <v>0</v>
      </c>
      <c r="L642" t="n">
        <v>0</v>
      </c>
      <c r="M642" t="n">
        <v>0</v>
      </c>
      <c r="N642" t="n">
        <v>0</v>
      </c>
      <c r="O642" t="n">
        <v>0</v>
      </c>
      <c r="P642" t="n">
        <v>0</v>
      </c>
      <c r="Q642" t="n">
        <v>0</v>
      </c>
      <c r="R642" s="2" t="inlineStr"/>
    </row>
    <row r="643" ht="15" customHeight="1">
      <c r="A643" t="inlineStr">
        <is>
          <t>A 61252-2023</t>
        </is>
      </c>
      <c r="B643" s="1" t="n">
        <v>45261</v>
      </c>
      <c r="C643" s="1" t="n">
        <v>45995</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14617-2024</t>
        </is>
      </c>
      <c r="B644" s="1" t="n">
        <v>45397</v>
      </c>
      <c r="C644" s="1" t="n">
        <v>45995</v>
      </c>
      <c r="D644" t="inlineStr">
        <is>
          <t>DALARNAS LÄN</t>
        </is>
      </c>
      <c r="E644" t="inlineStr">
        <is>
          <t>LEKSAND</t>
        </is>
      </c>
      <c r="G644" t="n">
        <v>0.2</v>
      </c>
      <c r="H644" t="n">
        <v>0</v>
      </c>
      <c r="I644" t="n">
        <v>0</v>
      </c>
      <c r="J644" t="n">
        <v>0</v>
      </c>
      <c r="K644" t="n">
        <v>0</v>
      </c>
      <c r="L644" t="n">
        <v>0</v>
      </c>
      <c r="M644" t="n">
        <v>0</v>
      </c>
      <c r="N644" t="n">
        <v>0</v>
      </c>
      <c r="O644" t="n">
        <v>0</v>
      </c>
      <c r="P644" t="n">
        <v>0</v>
      </c>
      <c r="Q644" t="n">
        <v>0</v>
      </c>
      <c r="R644" s="2" t="inlineStr"/>
    </row>
    <row r="645" ht="15" customHeight="1">
      <c r="A645" t="inlineStr">
        <is>
          <t>A 46141-2022</t>
        </is>
      </c>
      <c r="B645" s="1" t="n">
        <v>44846</v>
      </c>
      <c r="C645" s="1" t="n">
        <v>45995</v>
      </c>
      <c r="D645" t="inlineStr">
        <is>
          <t>DALARNAS LÄN</t>
        </is>
      </c>
      <c r="E645" t="inlineStr">
        <is>
          <t>LEKSAND</t>
        </is>
      </c>
      <c r="G645" t="n">
        <v>2.8</v>
      </c>
      <c r="H645" t="n">
        <v>0</v>
      </c>
      <c r="I645" t="n">
        <v>0</v>
      </c>
      <c r="J645" t="n">
        <v>0</v>
      </c>
      <c r="K645" t="n">
        <v>0</v>
      </c>
      <c r="L645" t="n">
        <v>0</v>
      </c>
      <c r="M645" t="n">
        <v>0</v>
      </c>
      <c r="N645" t="n">
        <v>0</v>
      </c>
      <c r="O645" t="n">
        <v>0</v>
      </c>
      <c r="P645" t="n">
        <v>0</v>
      </c>
      <c r="Q645" t="n">
        <v>0</v>
      </c>
      <c r="R645" s="2" t="inlineStr"/>
    </row>
    <row r="646" ht="15" customHeight="1">
      <c r="A646" t="inlineStr">
        <is>
          <t>A 62993-2023</t>
        </is>
      </c>
      <c r="B646" s="1" t="n">
        <v>45272</v>
      </c>
      <c r="C646" s="1" t="n">
        <v>45995</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26386-2025</t>
        </is>
      </c>
      <c r="B647" s="1" t="n">
        <v>45806</v>
      </c>
      <c r="C647" s="1" t="n">
        <v>45995</v>
      </c>
      <c r="D647" t="inlineStr">
        <is>
          <t>DALARNAS LÄN</t>
        </is>
      </c>
      <c r="E647" t="inlineStr">
        <is>
          <t>LEKSAND</t>
        </is>
      </c>
      <c r="F647" t="inlineStr">
        <is>
          <t>Bergvik skog väst AB</t>
        </is>
      </c>
      <c r="G647" t="n">
        <v>26.3</v>
      </c>
      <c r="H647" t="n">
        <v>0</v>
      </c>
      <c r="I647" t="n">
        <v>0</v>
      </c>
      <c r="J647" t="n">
        <v>0</v>
      </c>
      <c r="K647" t="n">
        <v>0</v>
      </c>
      <c r="L647" t="n">
        <v>0</v>
      </c>
      <c r="M647" t="n">
        <v>0</v>
      </c>
      <c r="N647" t="n">
        <v>0</v>
      </c>
      <c r="O647" t="n">
        <v>0</v>
      </c>
      <c r="P647" t="n">
        <v>0</v>
      </c>
      <c r="Q647" t="n">
        <v>0</v>
      </c>
      <c r="R647" s="2" t="inlineStr"/>
    </row>
    <row r="648" ht="15" customHeight="1">
      <c r="A648" t="inlineStr">
        <is>
          <t>A 61933-2023</t>
        </is>
      </c>
      <c r="B648" s="1" t="n">
        <v>45266</v>
      </c>
      <c r="C648" s="1" t="n">
        <v>45995</v>
      </c>
      <c r="D648" t="inlineStr">
        <is>
          <t>DALARNAS LÄN</t>
        </is>
      </c>
      <c r="E648" t="inlineStr">
        <is>
          <t>LEKSAND</t>
        </is>
      </c>
      <c r="G648" t="n">
        <v>0.2</v>
      </c>
      <c r="H648" t="n">
        <v>0</v>
      </c>
      <c r="I648" t="n">
        <v>0</v>
      </c>
      <c r="J648" t="n">
        <v>0</v>
      </c>
      <c r="K648" t="n">
        <v>0</v>
      </c>
      <c r="L648" t="n">
        <v>0</v>
      </c>
      <c r="M648" t="n">
        <v>0</v>
      </c>
      <c r="N648" t="n">
        <v>0</v>
      </c>
      <c r="O648" t="n">
        <v>0</v>
      </c>
      <c r="P648" t="n">
        <v>0</v>
      </c>
      <c r="Q648" t="n">
        <v>0</v>
      </c>
      <c r="R648" s="2" t="inlineStr"/>
    </row>
    <row r="649" ht="15" customHeight="1">
      <c r="A649" t="inlineStr">
        <is>
          <t>A 33198-2022</t>
        </is>
      </c>
      <c r="B649" s="1" t="n">
        <v>44785.68597222222</v>
      </c>
      <c r="C649" s="1" t="n">
        <v>45995</v>
      </c>
      <c r="D649" t="inlineStr">
        <is>
          <t>DALARNAS LÄN</t>
        </is>
      </c>
      <c r="E649" t="inlineStr">
        <is>
          <t>LEKSAND</t>
        </is>
      </c>
      <c r="G649" t="n">
        <v>1.5</v>
      </c>
      <c r="H649" t="n">
        <v>0</v>
      </c>
      <c r="I649" t="n">
        <v>0</v>
      </c>
      <c r="J649" t="n">
        <v>0</v>
      </c>
      <c r="K649" t="n">
        <v>0</v>
      </c>
      <c r="L649" t="n">
        <v>0</v>
      </c>
      <c r="M649" t="n">
        <v>0</v>
      </c>
      <c r="N649" t="n">
        <v>0</v>
      </c>
      <c r="O649" t="n">
        <v>0</v>
      </c>
      <c r="P649" t="n">
        <v>0</v>
      </c>
      <c r="Q649" t="n">
        <v>0</v>
      </c>
      <c r="R649" s="2" t="inlineStr"/>
    </row>
    <row r="650" ht="15" customHeight="1">
      <c r="A650" t="inlineStr">
        <is>
          <t>A 25329-2022</t>
        </is>
      </c>
      <c r="B650" s="1" t="n">
        <v>44731.8799537037</v>
      </c>
      <c r="C650" s="1" t="n">
        <v>45995</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15619-2025</t>
        </is>
      </c>
      <c r="B651" s="1" t="n">
        <v>45747</v>
      </c>
      <c r="C651" s="1" t="n">
        <v>45995</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46931-2023</t>
        </is>
      </c>
      <c r="B652" s="1" t="n">
        <v>45201</v>
      </c>
      <c r="C652" s="1" t="n">
        <v>45995</v>
      </c>
      <c r="D652" t="inlineStr">
        <is>
          <t>DALARNAS LÄN</t>
        </is>
      </c>
      <c r="E652" t="inlineStr">
        <is>
          <t>LEKSAND</t>
        </is>
      </c>
      <c r="G652" t="n">
        <v>1.4</v>
      </c>
      <c r="H652" t="n">
        <v>0</v>
      </c>
      <c r="I652" t="n">
        <v>0</v>
      </c>
      <c r="J652" t="n">
        <v>0</v>
      </c>
      <c r="K652" t="n">
        <v>0</v>
      </c>
      <c r="L652" t="n">
        <v>0</v>
      </c>
      <c r="M652" t="n">
        <v>0</v>
      </c>
      <c r="N652" t="n">
        <v>0</v>
      </c>
      <c r="O652" t="n">
        <v>0</v>
      </c>
      <c r="P652" t="n">
        <v>0</v>
      </c>
      <c r="Q652" t="n">
        <v>0</v>
      </c>
      <c r="R652" s="2" t="inlineStr"/>
    </row>
    <row r="653" ht="15" customHeight="1">
      <c r="A653" t="inlineStr">
        <is>
          <t>A 17483-2025</t>
        </is>
      </c>
      <c r="B653" s="1" t="n">
        <v>45757.49408564815</v>
      </c>
      <c r="C653" s="1" t="n">
        <v>45995</v>
      </c>
      <c r="D653" t="inlineStr">
        <is>
          <t>DALARNAS LÄN</t>
        </is>
      </c>
      <c r="E653" t="inlineStr">
        <is>
          <t>LEKSAND</t>
        </is>
      </c>
      <c r="G653" t="n">
        <v>4.1</v>
      </c>
      <c r="H653" t="n">
        <v>0</v>
      </c>
      <c r="I653" t="n">
        <v>0</v>
      </c>
      <c r="J653" t="n">
        <v>0</v>
      </c>
      <c r="K653" t="n">
        <v>0</v>
      </c>
      <c r="L653" t="n">
        <v>0</v>
      </c>
      <c r="M653" t="n">
        <v>0</v>
      </c>
      <c r="N653" t="n">
        <v>0</v>
      </c>
      <c r="O653" t="n">
        <v>0</v>
      </c>
      <c r="P653" t="n">
        <v>0</v>
      </c>
      <c r="Q653" t="n">
        <v>0</v>
      </c>
      <c r="R653" s="2" t="inlineStr"/>
    </row>
    <row r="654" ht="15" customHeight="1">
      <c r="A654" t="inlineStr">
        <is>
          <t>A 26423-2025</t>
        </is>
      </c>
      <c r="B654" s="1" t="n">
        <v>45807.37829861111</v>
      </c>
      <c r="C654" s="1" t="n">
        <v>45995</v>
      </c>
      <c r="D654" t="inlineStr">
        <is>
          <t>DALARNAS LÄN</t>
        </is>
      </c>
      <c r="E654" t="inlineStr">
        <is>
          <t>LEKSAND</t>
        </is>
      </c>
      <c r="G654" t="n">
        <v>1.5</v>
      </c>
      <c r="H654" t="n">
        <v>0</v>
      </c>
      <c r="I654" t="n">
        <v>0</v>
      </c>
      <c r="J654" t="n">
        <v>0</v>
      </c>
      <c r="K654" t="n">
        <v>0</v>
      </c>
      <c r="L654" t="n">
        <v>0</v>
      </c>
      <c r="M654" t="n">
        <v>0</v>
      </c>
      <c r="N654" t="n">
        <v>0</v>
      </c>
      <c r="O654" t="n">
        <v>0</v>
      </c>
      <c r="P654" t="n">
        <v>0</v>
      </c>
      <c r="Q654" t="n">
        <v>0</v>
      </c>
      <c r="R654" s="2" t="inlineStr"/>
    </row>
    <row r="655" ht="15" customHeight="1">
      <c r="A655" t="inlineStr">
        <is>
          <t>A 17759-2023</t>
        </is>
      </c>
      <c r="B655" s="1" t="n">
        <v>45037.48765046296</v>
      </c>
      <c r="C655" s="1" t="n">
        <v>45995</v>
      </c>
      <c r="D655" t="inlineStr">
        <is>
          <t>DALARNAS LÄN</t>
        </is>
      </c>
      <c r="E655" t="inlineStr">
        <is>
          <t>LEKSAND</t>
        </is>
      </c>
      <c r="G655" t="n">
        <v>2.1</v>
      </c>
      <c r="H655" t="n">
        <v>0</v>
      </c>
      <c r="I655" t="n">
        <v>0</v>
      </c>
      <c r="J655" t="n">
        <v>0</v>
      </c>
      <c r="K655" t="n">
        <v>0</v>
      </c>
      <c r="L655" t="n">
        <v>0</v>
      </c>
      <c r="M655" t="n">
        <v>0</v>
      </c>
      <c r="N655" t="n">
        <v>0</v>
      </c>
      <c r="O655" t="n">
        <v>0</v>
      </c>
      <c r="P655" t="n">
        <v>0</v>
      </c>
      <c r="Q655" t="n">
        <v>0</v>
      </c>
      <c r="R655" s="2" t="inlineStr"/>
    </row>
    <row r="656" ht="15" customHeight="1">
      <c r="A656" t="inlineStr">
        <is>
          <t>A 27323-2025</t>
        </is>
      </c>
      <c r="B656" s="1" t="n">
        <v>45812.60392361111</v>
      </c>
      <c r="C656" s="1" t="n">
        <v>45995</v>
      </c>
      <c r="D656" t="inlineStr">
        <is>
          <t>DALARNAS LÄN</t>
        </is>
      </c>
      <c r="E656" t="inlineStr">
        <is>
          <t>LEKSAND</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43220-2024</t>
        </is>
      </c>
      <c r="B657" s="1" t="n">
        <v>45567.86112268519</v>
      </c>
      <c r="C657" s="1" t="n">
        <v>45995</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55015-2024</t>
        </is>
      </c>
      <c r="B658" s="1" t="n">
        <v>45621.35554398148</v>
      </c>
      <c r="C658" s="1" t="n">
        <v>45995</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34039-2024</t>
        </is>
      </c>
      <c r="B659" s="1" t="n">
        <v>45523.5974537037</v>
      </c>
      <c r="C659" s="1" t="n">
        <v>45995</v>
      </c>
      <c r="D659" t="inlineStr">
        <is>
          <t>DALARNAS LÄN</t>
        </is>
      </c>
      <c r="E659" t="inlineStr">
        <is>
          <t>LEKSAND</t>
        </is>
      </c>
      <c r="G659" t="n">
        <v>7.1</v>
      </c>
      <c r="H659" t="n">
        <v>0</v>
      </c>
      <c r="I659" t="n">
        <v>0</v>
      </c>
      <c r="J659" t="n">
        <v>0</v>
      </c>
      <c r="K659" t="n">
        <v>0</v>
      </c>
      <c r="L659" t="n">
        <v>0</v>
      </c>
      <c r="M659" t="n">
        <v>0</v>
      </c>
      <c r="N659" t="n">
        <v>0</v>
      </c>
      <c r="O659" t="n">
        <v>0</v>
      </c>
      <c r="P659" t="n">
        <v>0</v>
      </c>
      <c r="Q659" t="n">
        <v>0</v>
      </c>
      <c r="R659" s="2" t="inlineStr"/>
    </row>
    <row r="660" ht="15" customHeight="1">
      <c r="A660" t="inlineStr">
        <is>
          <t>A 46505-2023</t>
        </is>
      </c>
      <c r="B660" s="1" t="n">
        <v>45197</v>
      </c>
      <c r="C660" s="1" t="n">
        <v>45995</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481-2024</t>
        </is>
      </c>
      <c r="B661" s="1" t="n">
        <v>45298</v>
      </c>
      <c r="C661" s="1" t="n">
        <v>45995</v>
      </c>
      <c r="D661" t="inlineStr">
        <is>
          <t>DALARNAS LÄN</t>
        </is>
      </c>
      <c r="E661" t="inlineStr">
        <is>
          <t>LEKSAND</t>
        </is>
      </c>
      <c r="G661" t="n">
        <v>7</v>
      </c>
      <c r="H661" t="n">
        <v>0</v>
      </c>
      <c r="I661" t="n">
        <v>0</v>
      </c>
      <c r="J661" t="n">
        <v>0</v>
      </c>
      <c r="K661" t="n">
        <v>0</v>
      </c>
      <c r="L661" t="n">
        <v>0</v>
      </c>
      <c r="M661" t="n">
        <v>0</v>
      </c>
      <c r="N661" t="n">
        <v>0</v>
      </c>
      <c r="O661" t="n">
        <v>0</v>
      </c>
      <c r="P661" t="n">
        <v>0</v>
      </c>
      <c r="Q661" t="n">
        <v>0</v>
      </c>
      <c r="R661" s="2" t="inlineStr"/>
    </row>
    <row r="662" ht="15" customHeight="1">
      <c r="A662" t="inlineStr">
        <is>
          <t>A 27183-2025</t>
        </is>
      </c>
      <c r="B662" s="1" t="n">
        <v>45812.36097222222</v>
      </c>
      <c r="C662" s="1" t="n">
        <v>45995</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50278-2023</t>
        </is>
      </c>
      <c r="B663" s="1" t="n">
        <v>45216.43444444444</v>
      </c>
      <c r="C663" s="1" t="n">
        <v>45995</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27262-2025</t>
        </is>
      </c>
      <c r="B664" s="1" t="n">
        <v>45812</v>
      </c>
      <c r="C664" s="1" t="n">
        <v>45995</v>
      </c>
      <c r="D664" t="inlineStr">
        <is>
          <t>DALARNAS LÄN</t>
        </is>
      </c>
      <c r="E664" t="inlineStr">
        <is>
          <t>LEKSAND</t>
        </is>
      </c>
      <c r="F664" t="inlineStr">
        <is>
          <t>Bergvik skog väst AB</t>
        </is>
      </c>
      <c r="G664" t="n">
        <v>7.7</v>
      </c>
      <c r="H664" t="n">
        <v>0</v>
      </c>
      <c r="I664" t="n">
        <v>0</v>
      </c>
      <c r="J664" t="n">
        <v>0</v>
      </c>
      <c r="K664" t="n">
        <v>0</v>
      </c>
      <c r="L664" t="n">
        <v>0</v>
      </c>
      <c r="M664" t="n">
        <v>0</v>
      </c>
      <c r="N664" t="n">
        <v>0</v>
      </c>
      <c r="O664" t="n">
        <v>0</v>
      </c>
      <c r="P664" t="n">
        <v>0</v>
      </c>
      <c r="Q664" t="n">
        <v>0</v>
      </c>
      <c r="R664" s="2" t="inlineStr"/>
    </row>
    <row r="665" ht="15" customHeight="1">
      <c r="A665" t="inlineStr">
        <is>
          <t>A 27329-2025</t>
        </is>
      </c>
      <c r="B665" s="1" t="n">
        <v>45812.60864583333</v>
      </c>
      <c r="C665" s="1" t="n">
        <v>45995</v>
      </c>
      <c r="D665" t="inlineStr">
        <is>
          <t>DALARNAS LÄN</t>
        </is>
      </c>
      <c r="E665" t="inlineStr">
        <is>
          <t>LEKSAND</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27332-2025</t>
        </is>
      </c>
      <c r="B666" s="1" t="n">
        <v>45812.61265046296</v>
      </c>
      <c r="C666" s="1" t="n">
        <v>45995</v>
      </c>
      <c r="D666" t="inlineStr">
        <is>
          <t>DALARNAS LÄN</t>
        </is>
      </c>
      <c r="E666" t="inlineStr">
        <is>
          <t>LEKSAND</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27682-2025</t>
        </is>
      </c>
      <c r="B667" s="1" t="n">
        <v>45813.64782407408</v>
      </c>
      <c r="C667" s="1" t="n">
        <v>45995</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16197-2024</t>
        </is>
      </c>
      <c r="B668" s="1" t="n">
        <v>45406.70356481482</v>
      </c>
      <c r="C668" s="1" t="n">
        <v>45995</v>
      </c>
      <c r="D668" t="inlineStr">
        <is>
          <t>DALARNAS LÄN</t>
        </is>
      </c>
      <c r="E668" t="inlineStr">
        <is>
          <t>LEKSAND</t>
        </is>
      </c>
      <c r="G668" t="n">
        <v>2.4</v>
      </c>
      <c r="H668" t="n">
        <v>0</v>
      </c>
      <c r="I668" t="n">
        <v>0</v>
      </c>
      <c r="J668" t="n">
        <v>0</v>
      </c>
      <c r="K668" t="n">
        <v>0</v>
      </c>
      <c r="L668" t="n">
        <v>0</v>
      </c>
      <c r="M668" t="n">
        <v>0</v>
      </c>
      <c r="N668" t="n">
        <v>0</v>
      </c>
      <c r="O668" t="n">
        <v>0</v>
      </c>
      <c r="P668" t="n">
        <v>0</v>
      </c>
      <c r="Q668" t="n">
        <v>0</v>
      </c>
      <c r="R668" s="2" t="inlineStr"/>
    </row>
    <row r="669" ht="15" customHeight="1">
      <c r="A669" t="inlineStr">
        <is>
          <t>A 5453-2025</t>
        </is>
      </c>
      <c r="B669" s="1" t="n">
        <v>45692.95231481481</v>
      </c>
      <c r="C669" s="1" t="n">
        <v>45995</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57925-2024</t>
        </is>
      </c>
      <c r="B670" s="1" t="n">
        <v>45630</v>
      </c>
      <c r="C670" s="1" t="n">
        <v>45995</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27705-2025</t>
        </is>
      </c>
      <c r="B671" s="1" t="n">
        <v>45813</v>
      </c>
      <c r="C671" s="1" t="n">
        <v>45995</v>
      </c>
      <c r="D671" t="inlineStr">
        <is>
          <t>DALARNAS LÄN</t>
        </is>
      </c>
      <c r="E671" t="inlineStr">
        <is>
          <t>LEKSAND</t>
        </is>
      </c>
      <c r="G671" t="n">
        <v>0.8</v>
      </c>
      <c r="H671" t="n">
        <v>0</v>
      </c>
      <c r="I671" t="n">
        <v>0</v>
      </c>
      <c r="J671" t="n">
        <v>0</v>
      </c>
      <c r="K671" t="n">
        <v>0</v>
      </c>
      <c r="L671" t="n">
        <v>0</v>
      </c>
      <c r="M671" t="n">
        <v>0</v>
      </c>
      <c r="N671" t="n">
        <v>0</v>
      </c>
      <c r="O671" t="n">
        <v>0</v>
      </c>
      <c r="P671" t="n">
        <v>0</v>
      </c>
      <c r="Q671" t="n">
        <v>0</v>
      </c>
      <c r="R671" s="2" t="inlineStr"/>
    </row>
    <row r="672" ht="15" customHeight="1">
      <c r="A672" t="inlineStr">
        <is>
          <t>A 27680-2025</t>
        </is>
      </c>
      <c r="B672" s="1" t="n">
        <v>45813.64618055556</v>
      </c>
      <c r="C672" s="1" t="n">
        <v>45995</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27445-2024</t>
        </is>
      </c>
      <c r="B673" s="1" t="n">
        <v>45474.42474537037</v>
      </c>
      <c r="C673" s="1" t="n">
        <v>45995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27446-2024</t>
        </is>
      </c>
      <c r="B674" s="1" t="n">
        <v>45474.42671296297</v>
      </c>
      <c r="C674" s="1" t="n">
        <v>45995</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28483-2025</t>
        </is>
      </c>
      <c r="B675" s="1" t="n">
        <v>45818</v>
      </c>
      <c r="C675" s="1" t="n">
        <v>45995</v>
      </c>
      <c r="D675" t="inlineStr">
        <is>
          <t>DALARNAS LÄN</t>
        </is>
      </c>
      <c r="E675" t="inlineStr">
        <is>
          <t>LEKSAND</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18837-2023</t>
        </is>
      </c>
      <c r="B676" s="1" t="n">
        <v>45044.42940972222</v>
      </c>
      <c r="C676" s="1" t="n">
        <v>45995</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17730-2024</t>
        </is>
      </c>
      <c r="B677" s="1" t="n">
        <v>45418</v>
      </c>
      <c r="C677" s="1" t="n">
        <v>45995</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64933-2023</t>
        </is>
      </c>
      <c r="B678" s="1" t="n">
        <v>45282</v>
      </c>
      <c r="C678" s="1" t="n">
        <v>45995</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28505-2025</t>
        </is>
      </c>
      <c r="B679" s="1" t="n">
        <v>45818</v>
      </c>
      <c r="C679" s="1" t="n">
        <v>45995</v>
      </c>
      <c r="D679" t="inlineStr">
        <is>
          <t>DALARNAS LÄN</t>
        </is>
      </c>
      <c r="E679" t="inlineStr">
        <is>
          <t>LEKSAND</t>
        </is>
      </c>
      <c r="G679" t="n">
        <v>0.8</v>
      </c>
      <c r="H679" t="n">
        <v>0</v>
      </c>
      <c r="I679" t="n">
        <v>0</v>
      </c>
      <c r="J679" t="n">
        <v>0</v>
      </c>
      <c r="K679" t="n">
        <v>0</v>
      </c>
      <c r="L679" t="n">
        <v>0</v>
      </c>
      <c r="M679" t="n">
        <v>0</v>
      </c>
      <c r="N679" t="n">
        <v>0</v>
      </c>
      <c r="O679" t="n">
        <v>0</v>
      </c>
      <c r="P679" t="n">
        <v>0</v>
      </c>
      <c r="Q679" t="n">
        <v>0</v>
      </c>
      <c r="R679" s="2" t="inlineStr"/>
    </row>
    <row r="680" ht="15" customHeight="1">
      <c r="A680" t="inlineStr">
        <is>
          <t>A 28499-2025</t>
        </is>
      </c>
      <c r="B680" s="1" t="n">
        <v>45818</v>
      </c>
      <c r="C680" s="1" t="n">
        <v>45995</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27984-2025</t>
        </is>
      </c>
      <c r="B681" s="1" t="n">
        <v>45817.57710648148</v>
      </c>
      <c r="C681" s="1" t="n">
        <v>45995</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39620-2024</t>
        </is>
      </c>
      <c r="B682" s="1" t="n">
        <v>45552.43163194445</v>
      </c>
      <c r="C682" s="1" t="n">
        <v>45995</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57907-2024</t>
        </is>
      </c>
      <c r="B683" s="1" t="n">
        <v>45630</v>
      </c>
      <c r="C683" s="1" t="n">
        <v>45995</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59236-2024</t>
        </is>
      </c>
      <c r="B684" s="1" t="n">
        <v>45637.58795138889</v>
      </c>
      <c r="C684" s="1" t="n">
        <v>45995</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28488-2025</t>
        </is>
      </c>
      <c r="B685" s="1" t="n">
        <v>45818</v>
      </c>
      <c r="C685" s="1" t="n">
        <v>45995</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34038-2024</t>
        </is>
      </c>
      <c r="B686" s="1" t="n">
        <v>45523.59578703704</v>
      </c>
      <c r="C686" s="1" t="n">
        <v>45995</v>
      </c>
      <c r="D686" t="inlineStr">
        <is>
          <t>DALARNAS LÄN</t>
        </is>
      </c>
      <c r="E686" t="inlineStr">
        <is>
          <t>LEKSAND</t>
        </is>
      </c>
      <c r="G686" t="n">
        <v>0.3</v>
      </c>
      <c r="H686" t="n">
        <v>0</v>
      </c>
      <c r="I686" t="n">
        <v>0</v>
      </c>
      <c r="J686" t="n">
        <v>0</v>
      </c>
      <c r="K686" t="n">
        <v>0</v>
      </c>
      <c r="L686" t="n">
        <v>0</v>
      </c>
      <c r="M686" t="n">
        <v>0</v>
      </c>
      <c r="N686" t="n">
        <v>0</v>
      </c>
      <c r="O686" t="n">
        <v>0</v>
      </c>
      <c r="P686" t="n">
        <v>0</v>
      </c>
      <c r="Q686" t="n">
        <v>0</v>
      </c>
      <c r="R686" s="2" t="inlineStr"/>
    </row>
    <row r="687" ht="15" customHeight="1">
      <c r="A687" t="inlineStr">
        <is>
          <t>A 34041-2024</t>
        </is>
      </c>
      <c r="B687" s="1" t="n">
        <v>45523.59895833334</v>
      </c>
      <c r="C687" s="1" t="n">
        <v>45995</v>
      </c>
      <c r="D687" t="inlineStr">
        <is>
          <t>DALARNAS LÄN</t>
        </is>
      </c>
      <c r="E687" t="inlineStr">
        <is>
          <t>LEKSAND</t>
        </is>
      </c>
      <c r="G687" t="n">
        <v>4</v>
      </c>
      <c r="H687" t="n">
        <v>0</v>
      </c>
      <c r="I687" t="n">
        <v>0</v>
      </c>
      <c r="J687" t="n">
        <v>0</v>
      </c>
      <c r="K687" t="n">
        <v>0</v>
      </c>
      <c r="L687" t="n">
        <v>0</v>
      </c>
      <c r="M687" t="n">
        <v>0</v>
      </c>
      <c r="N687" t="n">
        <v>0</v>
      </c>
      <c r="O687" t="n">
        <v>0</v>
      </c>
      <c r="P687" t="n">
        <v>0</v>
      </c>
      <c r="Q687" t="n">
        <v>0</v>
      </c>
      <c r="R687" s="2" t="inlineStr"/>
    </row>
    <row r="688" ht="15" customHeight="1">
      <c r="A688" t="inlineStr">
        <is>
          <t>A 28770-2025</t>
        </is>
      </c>
      <c r="B688" s="1" t="n">
        <v>45820</v>
      </c>
      <c r="C688" s="1" t="n">
        <v>45995</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28458-2025</t>
        </is>
      </c>
      <c r="B689" s="1" t="n">
        <v>45819.413125</v>
      </c>
      <c r="C689" s="1" t="n">
        <v>45995</v>
      </c>
      <c r="D689" t="inlineStr">
        <is>
          <t>DALARNAS LÄN</t>
        </is>
      </c>
      <c r="E689" t="inlineStr">
        <is>
          <t>LEKSAND</t>
        </is>
      </c>
      <c r="G689" t="n">
        <v>3</v>
      </c>
      <c r="H689" t="n">
        <v>0</v>
      </c>
      <c r="I689" t="n">
        <v>0</v>
      </c>
      <c r="J689" t="n">
        <v>0</v>
      </c>
      <c r="K689" t="n">
        <v>0</v>
      </c>
      <c r="L689" t="n">
        <v>0</v>
      </c>
      <c r="M689" t="n">
        <v>0</v>
      </c>
      <c r="N689" t="n">
        <v>0</v>
      </c>
      <c r="O689" t="n">
        <v>0</v>
      </c>
      <c r="P689" t="n">
        <v>0</v>
      </c>
      <c r="Q689" t="n">
        <v>0</v>
      </c>
      <c r="R689" s="2" t="inlineStr"/>
    </row>
    <row r="690" ht="15" customHeight="1">
      <c r="A690" t="inlineStr">
        <is>
          <t>A 29005-2025</t>
        </is>
      </c>
      <c r="B690" s="1" t="n">
        <v>45821.39326388889</v>
      </c>
      <c r="C690" s="1" t="n">
        <v>45995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10833-2023</t>
        </is>
      </c>
      <c r="B691" s="1" t="n">
        <v>44990</v>
      </c>
      <c r="C691" s="1" t="n">
        <v>45995</v>
      </c>
      <c r="D691" t="inlineStr">
        <is>
          <t>DALARNAS LÄN</t>
        </is>
      </c>
      <c r="E691" t="inlineStr">
        <is>
          <t>LEKSAND</t>
        </is>
      </c>
      <c r="G691" t="n">
        <v>1.7</v>
      </c>
      <c r="H691" t="n">
        <v>0</v>
      </c>
      <c r="I691" t="n">
        <v>0</v>
      </c>
      <c r="J691" t="n">
        <v>0</v>
      </c>
      <c r="K691" t="n">
        <v>0</v>
      </c>
      <c r="L691" t="n">
        <v>0</v>
      </c>
      <c r="M691" t="n">
        <v>0</v>
      </c>
      <c r="N691" t="n">
        <v>0</v>
      </c>
      <c r="O691" t="n">
        <v>0</v>
      </c>
      <c r="P691" t="n">
        <v>0</v>
      </c>
      <c r="Q691" t="n">
        <v>0</v>
      </c>
      <c r="R691" s="2" t="inlineStr"/>
    </row>
    <row r="692" ht="15" customHeight="1">
      <c r="A692" t="inlineStr">
        <is>
          <t>A 28985-2025</t>
        </is>
      </c>
      <c r="B692" s="1" t="n">
        <v>45821.36862268519</v>
      </c>
      <c r="C692" s="1" t="n">
        <v>45995</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17233-2023</t>
        </is>
      </c>
      <c r="B693" s="1" t="n">
        <v>45035</v>
      </c>
      <c r="C693" s="1" t="n">
        <v>45995</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16231-2021</t>
        </is>
      </c>
      <c r="B694" s="1" t="n">
        <v>44292</v>
      </c>
      <c r="C694" s="1" t="n">
        <v>45995</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12857-2023</t>
        </is>
      </c>
      <c r="B695" s="1" t="n">
        <v>45001.5000462963</v>
      </c>
      <c r="C695" s="1" t="n">
        <v>45995</v>
      </c>
      <c r="D695" t="inlineStr">
        <is>
          <t>DALARNAS LÄN</t>
        </is>
      </c>
      <c r="E695" t="inlineStr">
        <is>
          <t>LEKSAND</t>
        </is>
      </c>
      <c r="G695" t="n">
        <v>0.2</v>
      </c>
      <c r="H695" t="n">
        <v>0</v>
      </c>
      <c r="I695" t="n">
        <v>0</v>
      </c>
      <c r="J695" t="n">
        <v>0</v>
      </c>
      <c r="K695" t="n">
        <v>0</v>
      </c>
      <c r="L695" t="n">
        <v>0</v>
      </c>
      <c r="M695" t="n">
        <v>0</v>
      </c>
      <c r="N695" t="n">
        <v>0</v>
      </c>
      <c r="O695" t="n">
        <v>0</v>
      </c>
      <c r="P695" t="n">
        <v>0</v>
      </c>
      <c r="Q695" t="n">
        <v>0</v>
      </c>
      <c r="R695" s="2" t="inlineStr"/>
    </row>
    <row r="696" ht="15" customHeight="1">
      <c r="A696" t="inlineStr">
        <is>
          <t>A 28674-2024</t>
        </is>
      </c>
      <c r="B696" s="1" t="n">
        <v>45478.47863425926</v>
      </c>
      <c r="C696" s="1" t="n">
        <v>45995</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19622-2024</t>
        </is>
      </c>
      <c r="B697" s="1" t="n">
        <v>45432.33592592592</v>
      </c>
      <c r="C697" s="1" t="n">
        <v>45995</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29729-2025</t>
        </is>
      </c>
      <c r="B698" s="1" t="n">
        <v>45825.58077546296</v>
      </c>
      <c r="C698" s="1" t="n">
        <v>45995</v>
      </c>
      <c r="D698" t="inlineStr">
        <is>
          <t>DALARNAS LÄN</t>
        </is>
      </c>
      <c r="E698" t="inlineStr">
        <is>
          <t>LEKSAND</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29553-2025</t>
        </is>
      </c>
      <c r="B699" s="1" t="n">
        <v>45825.35315972222</v>
      </c>
      <c r="C699" s="1" t="n">
        <v>45995</v>
      </c>
      <c r="D699" t="inlineStr">
        <is>
          <t>DALARNAS LÄN</t>
        </is>
      </c>
      <c r="E699" t="inlineStr">
        <is>
          <t>LEKSAND</t>
        </is>
      </c>
      <c r="G699" t="n">
        <v>1.8</v>
      </c>
      <c r="H699" t="n">
        <v>0</v>
      </c>
      <c r="I699" t="n">
        <v>0</v>
      </c>
      <c r="J699" t="n">
        <v>0</v>
      </c>
      <c r="K699" t="n">
        <v>0</v>
      </c>
      <c r="L699" t="n">
        <v>0</v>
      </c>
      <c r="M699" t="n">
        <v>0</v>
      </c>
      <c r="N699" t="n">
        <v>0</v>
      </c>
      <c r="O699" t="n">
        <v>0</v>
      </c>
      <c r="P699" t="n">
        <v>0</v>
      </c>
      <c r="Q699" t="n">
        <v>0</v>
      </c>
      <c r="R699" s="2" t="inlineStr"/>
    </row>
    <row r="700" ht="15" customHeight="1">
      <c r="A700" t="inlineStr">
        <is>
          <t>A 30254-2025</t>
        </is>
      </c>
      <c r="B700" s="1" t="n">
        <v>45827.42336805556</v>
      </c>
      <c r="C700" s="1" t="n">
        <v>45995</v>
      </c>
      <c r="D700" t="inlineStr">
        <is>
          <t>DALARNAS LÄN</t>
        </is>
      </c>
      <c r="E700" t="inlineStr">
        <is>
          <t>LEKSAND</t>
        </is>
      </c>
      <c r="G700" t="n">
        <v>3.5</v>
      </c>
      <c r="H700" t="n">
        <v>0</v>
      </c>
      <c r="I700" t="n">
        <v>0</v>
      </c>
      <c r="J700" t="n">
        <v>0</v>
      </c>
      <c r="K700" t="n">
        <v>0</v>
      </c>
      <c r="L700" t="n">
        <v>0</v>
      </c>
      <c r="M700" t="n">
        <v>0</v>
      </c>
      <c r="N700" t="n">
        <v>0</v>
      </c>
      <c r="O700" t="n">
        <v>0</v>
      </c>
      <c r="P700" t="n">
        <v>0</v>
      </c>
      <c r="Q700" t="n">
        <v>0</v>
      </c>
      <c r="R700" s="2" t="inlineStr"/>
    </row>
    <row r="701" ht="15" customHeight="1">
      <c r="A701" t="inlineStr">
        <is>
          <t>A 27317-2021</t>
        </is>
      </c>
      <c r="B701" s="1" t="n">
        <v>44351</v>
      </c>
      <c r="C701" s="1" t="n">
        <v>45995</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61055-2023</t>
        </is>
      </c>
      <c r="B702" s="1" t="n">
        <v>45261</v>
      </c>
      <c r="C702" s="1" t="n">
        <v>45995</v>
      </c>
      <c r="D702" t="inlineStr">
        <is>
          <t>DALARNAS LÄN</t>
        </is>
      </c>
      <c r="E702" t="inlineStr">
        <is>
          <t>LEKSAND</t>
        </is>
      </c>
      <c r="G702" t="n">
        <v>0.3</v>
      </c>
      <c r="H702" t="n">
        <v>0</v>
      </c>
      <c r="I702" t="n">
        <v>0</v>
      </c>
      <c r="J702" t="n">
        <v>0</v>
      </c>
      <c r="K702" t="n">
        <v>0</v>
      </c>
      <c r="L702" t="n">
        <v>0</v>
      </c>
      <c r="M702" t="n">
        <v>0</v>
      </c>
      <c r="N702" t="n">
        <v>0</v>
      </c>
      <c r="O702" t="n">
        <v>0</v>
      </c>
      <c r="P702" t="n">
        <v>0</v>
      </c>
      <c r="Q702" t="n">
        <v>0</v>
      </c>
      <c r="R702" s="2" t="inlineStr"/>
    </row>
    <row r="703" ht="15" customHeight="1">
      <c r="A703" t="inlineStr">
        <is>
          <t>A 10743-2024</t>
        </is>
      </c>
      <c r="B703" s="1" t="n">
        <v>45369.52167824074</v>
      </c>
      <c r="C703" s="1" t="n">
        <v>45995</v>
      </c>
      <c r="D703" t="inlineStr">
        <is>
          <t>DALARNAS LÄN</t>
        </is>
      </c>
      <c r="E703" t="inlineStr">
        <is>
          <t>LEKSAND</t>
        </is>
      </c>
      <c r="G703" t="n">
        <v>2.7</v>
      </c>
      <c r="H703" t="n">
        <v>0</v>
      </c>
      <c r="I703" t="n">
        <v>0</v>
      </c>
      <c r="J703" t="n">
        <v>0</v>
      </c>
      <c r="K703" t="n">
        <v>0</v>
      </c>
      <c r="L703" t="n">
        <v>0</v>
      </c>
      <c r="M703" t="n">
        <v>0</v>
      </c>
      <c r="N703" t="n">
        <v>0</v>
      </c>
      <c r="O703" t="n">
        <v>0</v>
      </c>
      <c r="P703" t="n">
        <v>0</v>
      </c>
      <c r="Q703" t="n">
        <v>0</v>
      </c>
      <c r="R703" s="2" t="inlineStr"/>
    </row>
    <row r="704" ht="15" customHeight="1">
      <c r="A704" t="inlineStr">
        <is>
          <t>A 30917-2025</t>
        </is>
      </c>
      <c r="B704" s="1" t="n">
        <v>45832.37989583334</v>
      </c>
      <c r="C704" s="1" t="n">
        <v>45995</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31179-2025</t>
        </is>
      </c>
      <c r="B705" s="1" t="n">
        <v>45832.67648148148</v>
      </c>
      <c r="C705" s="1" t="n">
        <v>45995</v>
      </c>
      <c r="D705" t="inlineStr">
        <is>
          <t>DALARNAS LÄN</t>
        </is>
      </c>
      <c r="E705" t="inlineStr">
        <is>
          <t>LEKSAND</t>
        </is>
      </c>
      <c r="G705" t="n">
        <v>4.7</v>
      </c>
      <c r="H705" t="n">
        <v>0</v>
      </c>
      <c r="I705" t="n">
        <v>0</v>
      </c>
      <c r="J705" t="n">
        <v>0</v>
      </c>
      <c r="K705" t="n">
        <v>0</v>
      </c>
      <c r="L705" t="n">
        <v>0</v>
      </c>
      <c r="M705" t="n">
        <v>0</v>
      </c>
      <c r="N705" t="n">
        <v>0</v>
      </c>
      <c r="O705" t="n">
        <v>0</v>
      </c>
      <c r="P705" t="n">
        <v>0</v>
      </c>
      <c r="Q705" t="n">
        <v>0</v>
      </c>
      <c r="R705" s="2" t="inlineStr"/>
    </row>
    <row r="706" ht="15" customHeight="1">
      <c r="A706" t="inlineStr">
        <is>
          <t>A 30969-2025</t>
        </is>
      </c>
      <c r="B706" s="1" t="n">
        <v>45832.45914351852</v>
      </c>
      <c r="C706" s="1" t="n">
        <v>45995</v>
      </c>
      <c r="D706" t="inlineStr">
        <is>
          <t>DALARNAS LÄN</t>
        </is>
      </c>
      <c r="E706" t="inlineStr">
        <is>
          <t>LEKSAND</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30911-2025</t>
        </is>
      </c>
      <c r="B707" s="1" t="n">
        <v>45832.37547453704</v>
      </c>
      <c r="C707" s="1" t="n">
        <v>45995</v>
      </c>
      <c r="D707" t="inlineStr">
        <is>
          <t>DALARNAS LÄN</t>
        </is>
      </c>
      <c r="E707" t="inlineStr">
        <is>
          <t>LEKSAND</t>
        </is>
      </c>
      <c r="G707" t="n">
        <v>0.5</v>
      </c>
      <c r="H707" t="n">
        <v>0</v>
      </c>
      <c r="I707" t="n">
        <v>0</v>
      </c>
      <c r="J707" t="n">
        <v>0</v>
      </c>
      <c r="K707" t="n">
        <v>0</v>
      </c>
      <c r="L707" t="n">
        <v>0</v>
      </c>
      <c r="M707" t="n">
        <v>0</v>
      </c>
      <c r="N707" t="n">
        <v>0</v>
      </c>
      <c r="O707" t="n">
        <v>0</v>
      </c>
      <c r="P707" t="n">
        <v>0</v>
      </c>
      <c r="Q707" t="n">
        <v>0</v>
      </c>
      <c r="R707" s="2" t="inlineStr"/>
    </row>
    <row r="708" ht="15" customHeight="1">
      <c r="A708" t="inlineStr">
        <is>
          <t>A 30920-2025</t>
        </is>
      </c>
      <c r="B708" s="1" t="n">
        <v>45832.38484953704</v>
      </c>
      <c r="C708" s="1" t="n">
        <v>45995</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30916-2025</t>
        </is>
      </c>
      <c r="B709" s="1" t="n">
        <v>45832.37885416667</v>
      </c>
      <c r="C709" s="1" t="n">
        <v>45995</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30973-2025</t>
        </is>
      </c>
      <c r="B710" s="1" t="n">
        <v>45832.46300925926</v>
      </c>
      <c r="C710" s="1" t="n">
        <v>45995</v>
      </c>
      <c r="D710" t="inlineStr">
        <is>
          <t>DALARNAS LÄN</t>
        </is>
      </c>
      <c r="E710" t="inlineStr">
        <is>
          <t>LEKSAND</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10367-2023</t>
        </is>
      </c>
      <c r="B711" s="1" t="n">
        <v>44987</v>
      </c>
      <c r="C711" s="1" t="n">
        <v>45995</v>
      </c>
      <c r="D711" t="inlineStr">
        <is>
          <t>DALARNAS LÄN</t>
        </is>
      </c>
      <c r="E711" t="inlineStr">
        <is>
          <t>LEKSAND</t>
        </is>
      </c>
      <c r="G711" t="n">
        <v>0.7</v>
      </c>
      <c r="H711" t="n">
        <v>0</v>
      </c>
      <c r="I711" t="n">
        <v>0</v>
      </c>
      <c r="J711" t="n">
        <v>0</v>
      </c>
      <c r="K711" t="n">
        <v>0</v>
      </c>
      <c r="L711" t="n">
        <v>0</v>
      </c>
      <c r="M711" t="n">
        <v>0</v>
      </c>
      <c r="N711" t="n">
        <v>0</v>
      </c>
      <c r="O711" t="n">
        <v>0</v>
      </c>
      <c r="P711" t="n">
        <v>0</v>
      </c>
      <c r="Q711" t="n">
        <v>0</v>
      </c>
      <c r="R711" s="2" t="inlineStr"/>
    </row>
    <row r="712" ht="15" customHeight="1">
      <c r="A712" t="inlineStr">
        <is>
          <t>A 31189-2025</t>
        </is>
      </c>
      <c r="B712" s="1" t="n">
        <v>45832.6799537037</v>
      </c>
      <c r="C712" s="1" t="n">
        <v>45995</v>
      </c>
      <c r="D712" t="inlineStr">
        <is>
          <t>DALARNAS LÄN</t>
        </is>
      </c>
      <c r="E712" t="inlineStr">
        <is>
          <t>LEKSAND</t>
        </is>
      </c>
      <c r="G712" t="n">
        <v>5</v>
      </c>
      <c r="H712" t="n">
        <v>0</v>
      </c>
      <c r="I712" t="n">
        <v>0</v>
      </c>
      <c r="J712" t="n">
        <v>0</v>
      </c>
      <c r="K712" t="n">
        <v>0</v>
      </c>
      <c r="L712" t="n">
        <v>0</v>
      </c>
      <c r="M712" t="n">
        <v>0</v>
      </c>
      <c r="N712" t="n">
        <v>0</v>
      </c>
      <c r="O712" t="n">
        <v>0</v>
      </c>
      <c r="P712" t="n">
        <v>0</v>
      </c>
      <c r="Q712" t="n">
        <v>0</v>
      </c>
      <c r="R712" s="2" t="inlineStr"/>
    </row>
    <row r="713" ht="15" customHeight="1">
      <c r="A713" t="inlineStr">
        <is>
          <t>A 31619-2025</t>
        </is>
      </c>
      <c r="B713" s="1" t="n">
        <v>45833</v>
      </c>
      <c r="C713" s="1" t="n">
        <v>45995</v>
      </c>
      <c r="D713" t="inlineStr">
        <is>
          <t>DALARNAS LÄN</t>
        </is>
      </c>
      <c r="E713" t="inlineStr">
        <is>
          <t>LEKSAND</t>
        </is>
      </c>
      <c r="G713" t="n">
        <v>2.5</v>
      </c>
      <c r="H713" t="n">
        <v>0</v>
      </c>
      <c r="I713" t="n">
        <v>0</v>
      </c>
      <c r="J713" t="n">
        <v>0</v>
      </c>
      <c r="K713" t="n">
        <v>0</v>
      </c>
      <c r="L713" t="n">
        <v>0</v>
      </c>
      <c r="M713" t="n">
        <v>0</v>
      </c>
      <c r="N713" t="n">
        <v>0</v>
      </c>
      <c r="O713" t="n">
        <v>0</v>
      </c>
      <c r="P713" t="n">
        <v>0</v>
      </c>
      <c r="Q713" t="n">
        <v>0</v>
      </c>
      <c r="R713" s="2" t="inlineStr"/>
    </row>
    <row r="714" ht="15" customHeight="1">
      <c r="A714" t="inlineStr">
        <is>
          <t>A 1946-2024</t>
        </is>
      </c>
      <c r="B714" s="1" t="n">
        <v>45308</v>
      </c>
      <c r="C714" s="1" t="n">
        <v>45995</v>
      </c>
      <c r="D714" t="inlineStr">
        <is>
          <t>DALARNAS LÄN</t>
        </is>
      </c>
      <c r="E714" t="inlineStr">
        <is>
          <t>LEKSAND</t>
        </is>
      </c>
      <c r="G714" t="n">
        <v>2.3</v>
      </c>
      <c r="H714" t="n">
        <v>0</v>
      </c>
      <c r="I714" t="n">
        <v>0</v>
      </c>
      <c r="J714" t="n">
        <v>0</v>
      </c>
      <c r="K714" t="n">
        <v>0</v>
      </c>
      <c r="L714" t="n">
        <v>0</v>
      </c>
      <c r="M714" t="n">
        <v>0</v>
      </c>
      <c r="N714" t="n">
        <v>0</v>
      </c>
      <c r="O714" t="n">
        <v>0</v>
      </c>
      <c r="P714" t="n">
        <v>0</v>
      </c>
      <c r="Q714" t="n">
        <v>0</v>
      </c>
      <c r="R714" s="2" t="inlineStr"/>
    </row>
    <row r="715" ht="15" customHeight="1">
      <c r="A715" t="inlineStr">
        <is>
          <t>A 31446-2025</t>
        </is>
      </c>
      <c r="B715" s="1" t="n">
        <v>45833</v>
      </c>
      <c r="C715" s="1" t="n">
        <v>45995</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59763-2023</t>
        </is>
      </c>
      <c r="B716" s="1" t="n">
        <v>45257</v>
      </c>
      <c r="C716" s="1" t="n">
        <v>45995</v>
      </c>
      <c r="D716" t="inlineStr">
        <is>
          <t>DALARNAS LÄN</t>
        </is>
      </c>
      <c r="E716" t="inlineStr">
        <is>
          <t>LEKSAND</t>
        </is>
      </c>
      <c r="G716" t="n">
        <v>1.6</v>
      </c>
      <c r="H716" t="n">
        <v>0</v>
      </c>
      <c r="I716" t="n">
        <v>0</v>
      </c>
      <c r="J716" t="n">
        <v>0</v>
      </c>
      <c r="K716" t="n">
        <v>0</v>
      </c>
      <c r="L716" t="n">
        <v>0</v>
      </c>
      <c r="M716" t="n">
        <v>0</v>
      </c>
      <c r="N716" t="n">
        <v>0</v>
      </c>
      <c r="O716" t="n">
        <v>0</v>
      </c>
      <c r="P716" t="n">
        <v>0</v>
      </c>
      <c r="Q716" t="n">
        <v>0</v>
      </c>
      <c r="R716" s="2" t="inlineStr"/>
    </row>
    <row r="717" ht="15" customHeight="1">
      <c r="A717" t="inlineStr">
        <is>
          <t>A 31787-2025</t>
        </is>
      </c>
      <c r="B717" s="1" t="n">
        <v>45834</v>
      </c>
      <c r="C717" s="1" t="n">
        <v>45995</v>
      </c>
      <c r="D717" t="inlineStr">
        <is>
          <t>DALARNAS LÄN</t>
        </is>
      </c>
      <c r="E717" t="inlineStr">
        <is>
          <t>LEKSAND</t>
        </is>
      </c>
      <c r="F717" t="inlineStr">
        <is>
          <t>Bergvik skog väst AB</t>
        </is>
      </c>
      <c r="G717" t="n">
        <v>1.3</v>
      </c>
      <c r="H717" t="n">
        <v>0</v>
      </c>
      <c r="I717" t="n">
        <v>0</v>
      </c>
      <c r="J717" t="n">
        <v>0</v>
      </c>
      <c r="K717" t="n">
        <v>0</v>
      </c>
      <c r="L717" t="n">
        <v>0</v>
      </c>
      <c r="M717" t="n">
        <v>0</v>
      </c>
      <c r="N717" t="n">
        <v>0</v>
      </c>
      <c r="O717" t="n">
        <v>0</v>
      </c>
      <c r="P717" t="n">
        <v>0</v>
      </c>
      <c r="Q717" t="n">
        <v>0</v>
      </c>
      <c r="R717" s="2" t="inlineStr"/>
    </row>
    <row r="718" ht="15" customHeight="1">
      <c r="A718" t="inlineStr">
        <is>
          <t>A 31493-2025</t>
        </is>
      </c>
      <c r="B718" s="1" t="n">
        <v>45833</v>
      </c>
      <c r="C718" s="1" t="n">
        <v>45995</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32104-2025</t>
        </is>
      </c>
      <c r="B719" s="1" t="n">
        <v>45835</v>
      </c>
      <c r="C719" s="1" t="n">
        <v>45995</v>
      </c>
      <c r="D719" t="inlineStr">
        <is>
          <t>DALARNAS LÄN</t>
        </is>
      </c>
      <c r="E719" t="inlineStr">
        <is>
          <t>LEKSAND</t>
        </is>
      </c>
      <c r="G719" t="n">
        <v>3.1</v>
      </c>
      <c r="H719" t="n">
        <v>0</v>
      </c>
      <c r="I719" t="n">
        <v>0</v>
      </c>
      <c r="J719" t="n">
        <v>0</v>
      </c>
      <c r="K719" t="n">
        <v>0</v>
      </c>
      <c r="L719" t="n">
        <v>0</v>
      </c>
      <c r="M719" t="n">
        <v>0</v>
      </c>
      <c r="N719" t="n">
        <v>0</v>
      </c>
      <c r="O719" t="n">
        <v>0</v>
      </c>
      <c r="P719" t="n">
        <v>0</v>
      </c>
      <c r="Q719" t="n">
        <v>0</v>
      </c>
      <c r="R719" s="2" t="inlineStr"/>
    </row>
    <row r="720" ht="15" customHeight="1">
      <c r="A720" t="inlineStr">
        <is>
          <t>A 17533-2023</t>
        </is>
      </c>
      <c r="B720" s="1" t="n">
        <v>45036</v>
      </c>
      <c r="C720" s="1" t="n">
        <v>45995</v>
      </c>
      <c r="D720" t="inlineStr">
        <is>
          <t>DALARNAS LÄN</t>
        </is>
      </c>
      <c r="E720" t="inlineStr">
        <is>
          <t>LEKSAND</t>
        </is>
      </c>
      <c r="G720" t="n">
        <v>3</v>
      </c>
      <c r="H720" t="n">
        <v>0</v>
      </c>
      <c r="I720" t="n">
        <v>0</v>
      </c>
      <c r="J720" t="n">
        <v>0</v>
      </c>
      <c r="K720" t="n">
        <v>0</v>
      </c>
      <c r="L720" t="n">
        <v>0</v>
      </c>
      <c r="M720" t="n">
        <v>0</v>
      </c>
      <c r="N720" t="n">
        <v>0</v>
      </c>
      <c r="O720" t="n">
        <v>0</v>
      </c>
      <c r="P720" t="n">
        <v>0</v>
      </c>
      <c r="Q720" t="n">
        <v>0</v>
      </c>
      <c r="R720" s="2" t="inlineStr"/>
    </row>
    <row r="721" ht="15" customHeight="1">
      <c r="A721" t="inlineStr">
        <is>
          <t>A 32593-2025</t>
        </is>
      </c>
      <c r="B721" s="1" t="n">
        <v>45838</v>
      </c>
      <c r="C721" s="1" t="n">
        <v>45995</v>
      </c>
      <c r="D721" t="inlineStr">
        <is>
          <t>DALARNAS LÄN</t>
        </is>
      </c>
      <c r="E721" t="inlineStr">
        <is>
          <t>LEKSAND</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45995</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32661-2025</t>
        </is>
      </c>
      <c r="B723" s="1" t="n">
        <v>45838.67953703704</v>
      </c>
      <c r="C723" s="1" t="n">
        <v>45995</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32301-2025</t>
        </is>
      </c>
      <c r="B724" s="1" t="n">
        <v>45835</v>
      </c>
      <c r="C724" s="1" t="n">
        <v>45995</v>
      </c>
      <c r="D724" t="inlineStr">
        <is>
          <t>DALARNAS LÄN</t>
        </is>
      </c>
      <c r="E724" t="inlineStr">
        <is>
          <t>LEKSAND</t>
        </is>
      </c>
      <c r="G724" t="n">
        <v>2.2</v>
      </c>
      <c r="H724" t="n">
        <v>0</v>
      </c>
      <c r="I724" t="n">
        <v>0</v>
      </c>
      <c r="J724" t="n">
        <v>0</v>
      </c>
      <c r="K724" t="n">
        <v>0</v>
      </c>
      <c r="L724" t="n">
        <v>0</v>
      </c>
      <c r="M724" t="n">
        <v>0</v>
      </c>
      <c r="N724" t="n">
        <v>0</v>
      </c>
      <c r="O724" t="n">
        <v>0</v>
      </c>
      <c r="P724" t="n">
        <v>0</v>
      </c>
      <c r="Q724" t="n">
        <v>0</v>
      </c>
      <c r="R724" s="2" t="inlineStr"/>
    </row>
    <row r="725" ht="15" customHeight="1">
      <c r="A725" t="inlineStr">
        <is>
          <t>A 32653-2025</t>
        </is>
      </c>
      <c r="B725" s="1" t="n">
        <v>45838</v>
      </c>
      <c r="C725" s="1" t="n">
        <v>45995</v>
      </c>
      <c r="D725" t="inlineStr">
        <is>
          <t>DALARNAS LÄN</t>
        </is>
      </c>
      <c r="E725" t="inlineStr">
        <is>
          <t>LEKSAND</t>
        </is>
      </c>
      <c r="G725" t="n">
        <v>5.6</v>
      </c>
      <c r="H725" t="n">
        <v>0</v>
      </c>
      <c r="I725" t="n">
        <v>0</v>
      </c>
      <c r="J725" t="n">
        <v>0</v>
      </c>
      <c r="K725" t="n">
        <v>0</v>
      </c>
      <c r="L725" t="n">
        <v>0</v>
      </c>
      <c r="M725" t="n">
        <v>0</v>
      </c>
      <c r="N725" t="n">
        <v>0</v>
      </c>
      <c r="O725" t="n">
        <v>0</v>
      </c>
      <c r="P725" t="n">
        <v>0</v>
      </c>
      <c r="Q725" t="n">
        <v>0</v>
      </c>
      <c r="R725" s="2" t="inlineStr"/>
    </row>
    <row r="726" ht="15" customHeight="1">
      <c r="A726" t="inlineStr">
        <is>
          <t>A 6027-2025</t>
        </is>
      </c>
      <c r="B726" s="1" t="n">
        <v>45695</v>
      </c>
      <c r="C726" s="1" t="n">
        <v>45995</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31945-2025</t>
        </is>
      </c>
      <c r="B727" s="1" t="n">
        <v>45835</v>
      </c>
      <c r="C727" s="1" t="n">
        <v>45995</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53717-2023</t>
        </is>
      </c>
      <c r="B728" s="1" t="n">
        <v>45230</v>
      </c>
      <c r="C728" s="1" t="n">
        <v>45995</v>
      </c>
      <c r="D728" t="inlineStr">
        <is>
          <t>DALARNAS LÄN</t>
        </is>
      </c>
      <c r="E728" t="inlineStr">
        <is>
          <t>LEKSAND</t>
        </is>
      </c>
      <c r="G728" t="n">
        <v>2.4</v>
      </c>
      <c r="H728" t="n">
        <v>0</v>
      </c>
      <c r="I728" t="n">
        <v>0</v>
      </c>
      <c r="J728" t="n">
        <v>0</v>
      </c>
      <c r="K728" t="n">
        <v>0</v>
      </c>
      <c r="L728" t="n">
        <v>0</v>
      </c>
      <c r="M728" t="n">
        <v>0</v>
      </c>
      <c r="N728" t="n">
        <v>0</v>
      </c>
      <c r="O728" t="n">
        <v>0</v>
      </c>
      <c r="P728" t="n">
        <v>0</v>
      </c>
      <c r="Q728" t="n">
        <v>0</v>
      </c>
      <c r="R728" s="2" t="inlineStr"/>
    </row>
    <row r="729" ht="15" customHeight="1">
      <c r="A729" t="inlineStr">
        <is>
          <t>A 43470-2024</t>
        </is>
      </c>
      <c r="B729" s="1" t="n">
        <v>45568</v>
      </c>
      <c r="C729" s="1" t="n">
        <v>45995</v>
      </c>
      <c r="D729" t="inlineStr">
        <is>
          <t>DALARNAS LÄN</t>
        </is>
      </c>
      <c r="E729" t="inlineStr">
        <is>
          <t>LEKSAND</t>
        </is>
      </c>
      <c r="G729" t="n">
        <v>3.1</v>
      </c>
      <c r="H729" t="n">
        <v>0</v>
      </c>
      <c r="I729" t="n">
        <v>0</v>
      </c>
      <c r="J729" t="n">
        <v>0</v>
      </c>
      <c r="K729" t="n">
        <v>0</v>
      </c>
      <c r="L729" t="n">
        <v>0</v>
      </c>
      <c r="M729" t="n">
        <v>0</v>
      </c>
      <c r="N729" t="n">
        <v>0</v>
      </c>
      <c r="O729" t="n">
        <v>0</v>
      </c>
      <c r="P729" t="n">
        <v>0</v>
      </c>
      <c r="Q729" t="n">
        <v>0</v>
      </c>
      <c r="R729" s="2" t="inlineStr"/>
    </row>
    <row r="730" ht="15" customHeight="1">
      <c r="A730" t="inlineStr">
        <is>
          <t>A 33160-2025</t>
        </is>
      </c>
      <c r="B730" s="1" t="n">
        <v>45840</v>
      </c>
      <c r="C730" s="1" t="n">
        <v>45995</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60873-2023</t>
        </is>
      </c>
      <c r="B731" s="1" t="n">
        <v>45261.03266203704</v>
      </c>
      <c r="C731" s="1" t="n">
        <v>45995</v>
      </c>
      <c r="D731" t="inlineStr">
        <is>
          <t>DALARNAS LÄN</t>
        </is>
      </c>
      <c r="E731" t="inlineStr">
        <is>
          <t>LEKSAND</t>
        </is>
      </c>
      <c r="G731" t="n">
        <v>5.2</v>
      </c>
      <c r="H731" t="n">
        <v>0</v>
      </c>
      <c r="I731" t="n">
        <v>0</v>
      </c>
      <c r="J731" t="n">
        <v>0</v>
      </c>
      <c r="K731" t="n">
        <v>0</v>
      </c>
      <c r="L731" t="n">
        <v>0</v>
      </c>
      <c r="M731" t="n">
        <v>0</v>
      </c>
      <c r="N731" t="n">
        <v>0</v>
      </c>
      <c r="O731" t="n">
        <v>0</v>
      </c>
      <c r="P731" t="n">
        <v>0</v>
      </c>
      <c r="Q731" t="n">
        <v>0</v>
      </c>
      <c r="R731" s="2" t="inlineStr"/>
    </row>
    <row r="732" ht="15" customHeight="1">
      <c r="A732" t="inlineStr">
        <is>
          <t>A 54914-2024</t>
        </is>
      </c>
      <c r="B732" s="1" t="n">
        <v>45618.69380787037</v>
      </c>
      <c r="C732" s="1" t="n">
        <v>45995</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32855-2025</t>
        </is>
      </c>
      <c r="B733" s="1" t="n">
        <v>45839.57643518518</v>
      </c>
      <c r="C733" s="1" t="n">
        <v>45995</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167-2023</t>
        </is>
      </c>
      <c r="B734" s="1" t="n">
        <v>44918</v>
      </c>
      <c r="C734" s="1" t="n">
        <v>45995</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56950-2024</t>
        </is>
      </c>
      <c r="B735" s="1" t="n">
        <v>45625</v>
      </c>
      <c r="C735" s="1" t="n">
        <v>45995</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9938-2023</t>
        </is>
      </c>
      <c r="B736" s="1" t="n">
        <v>44985</v>
      </c>
      <c r="C736" s="1" t="n">
        <v>45995</v>
      </c>
      <c r="D736" t="inlineStr">
        <is>
          <t>DALARNAS LÄN</t>
        </is>
      </c>
      <c r="E736" t="inlineStr">
        <is>
          <t>LEKSAND</t>
        </is>
      </c>
      <c r="G736" t="n">
        <v>3.1</v>
      </c>
      <c r="H736" t="n">
        <v>0</v>
      </c>
      <c r="I736" t="n">
        <v>0</v>
      </c>
      <c r="J736" t="n">
        <v>0</v>
      </c>
      <c r="K736" t="n">
        <v>0</v>
      </c>
      <c r="L736" t="n">
        <v>0</v>
      </c>
      <c r="M736" t="n">
        <v>0</v>
      </c>
      <c r="N736" t="n">
        <v>0</v>
      </c>
      <c r="O736" t="n">
        <v>0</v>
      </c>
      <c r="P736" t="n">
        <v>0</v>
      </c>
      <c r="Q736" t="n">
        <v>0</v>
      </c>
      <c r="R736" s="2" t="inlineStr"/>
    </row>
    <row r="737" ht="15" customHeight="1">
      <c r="A737" t="inlineStr">
        <is>
          <t>A 59103-2024</t>
        </is>
      </c>
      <c r="B737" s="1" t="n">
        <v>45637.34184027778</v>
      </c>
      <c r="C737" s="1" t="n">
        <v>45995</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33804-2025</t>
        </is>
      </c>
      <c r="B738" s="1" t="n">
        <v>45842</v>
      </c>
      <c r="C738" s="1" t="n">
        <v>45995</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70099-2021</t>
        </is>
      </c>
      <c r="B739" s="1" t="n">
        <v>44533</v>
      </c>
      <c r="C739" s="1" t="n">
        <v>45995</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13401-2023</t>
        </is>
      </c>
      <c r="B740" s="1" t="n">
        <v>45005</v>
      </c>
      <c r="C740" s="1" t="n">
        <v>45995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60113-2022</t>
        </is>
      </c>
      <c r="B741" s="1" t="n">
        <v>44909</v>
      </c>
      <c r="C741" s="1" t="n">
        <v>45995</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15173-2025</t>
        </is>
      </c>
      <c r="B742" s="1" t="n">
        <v>45744.50858796296</v>
      </c>
      <c r="C742" s="1" t="n">
        <v>45995</v>
      </c>
      <c r="D742" t="inlineStr">
        <is>
          <t>DALARNAS LÄN</t>
        </is>
      </c>
      <c r="E742" t="inlineStr">
        <is>
          <t>LEKSAND</t>
        </is>
      </c>
      <c r="G742" t="n">
        <v>0.3</v>
      </c>
      <c r="H742" t="n">
        <v>0</v>
      </c>
      <c r="I742" t="n">
        <v>0</v>
      </c>
      <c r="J742" t="n">
        <v>0</v>
      </c>
      <c r="K742" t="n">
        <v>0</v>
      </c>
      <c r="L742" t="n">
        <v>0</v>
      </c>
      <c r="M742" t="n">
        <v>0</v>
      </c>
      <c r="N742" t="n">
        <v>0</v>
      </c>
      <c r="O742" t="n">
        <v>0</v>
      </c>
      <c r="P742" t="n">
        <v>0</v>
      </c>
      <c r="Q742" t="n">
        <v>0</v>
      </c>
      <c r="R742" s="2" t="inlineStr"/>
    </row>
    <row r="743" ht="15" customHeight="1">
      <c r="A743" t="inlineStr">
        <is>
          <t>A 30611-2023</t>
        </is>
      </c>
      <c r="B743" s="1" t="n">
        <v>45112</v>
      </c>
      <c r="C743" s="1" t="n">
        <v>45995</v>
      </c>
      <c r="D743" t="inlineStr">
        <is>
          <t>DALARNAS LÄN</t>
        </is>
      </c>
      <c r="E743" t="inlineStr">
        <is>
          <t>LEKSAND</t>
        </is>
      </c>
      <c r="G743" t="n">
        <v>3.1</v>
      </c>
      <c r="H743" t="n">
        <v>0</v>
      </c>
      <c r="I743" t="n">
        <v>0</v>
      </c>
      <c r="J743" t="n">
        <v>0</v>
      </c>
      <c r="K743" t="n">
        <v>0</v>
      </c>
      <c r="L743" t="n">
        <v>0</v>
      </c>
      <c r="M743" t="n">
        <v>0</v>
      </c>
      <c r="N743" t="n">
        <v>0</v>
      </c>
      <c r="O743" t="n">
        <v>0</v>
      </c>
      <c r="P743" t="n">
        <v>0</v>
      </c>
      <c r="Q743" t="n">
        <v>0</v>
      </c>
      <c r="R743" s="2" t="inlineStr"/>
    </row>
    <row r="744" ht="15" customHeight="1">
      <c r="A744" t="inlineStr">
        <is>
          <t>A 31254-2023</t>
        </is>
      </c>
      <c r="B744" s="1" t="n">
        <v>45114</v>
      </c>
      <c r="C744" s="1" t="n">
        <v>45995</v>
      </c>
      <c r="D744" t="inlineStr">
        <is>
          <t>DALARNAS LÄN</t>
        </is>
      </c>
      <c r="E744" t="inlineStr">
        <is>
          <t>LEKSAND</t>
        </is>
      </c>
      <c r="G744" t="n">
        <v>1.4</v>
      </c>
      <c r="H744" t="n">
        <v>0</v>
      </c>
      <c r="I744" t="n">
        <v>0</v>
      </c>
      <c r="J744" t="n">
        <v>0</v>
      </c>
      <c r="K744" t="n">
        <v>0</v>
      </c>
      <c r="L744" t="n">
        <v>0</v>
      </c>
      <c r="M744" t="n">
        <v>0</v>
      </c>
      <c r="N744" t="n">
        <v>0</v>
      </c>
      <c r="O744" t="n">
        <v>0</v>
      </c>
      <c r="P744" t="n">
        <v>0</v>
      </c>
      <c r="Q744" t="n">
        <v>0</v>
      </c>
      <c r="R744" s="2" t="inlineStr"/>
    </row>
    <row r="745" ht="15" customHeight="1">
      <c r="A745" t="inlineStr">
        <is>
          <t>A 62306-2023</t>
        </is>
      </c>
      <c r="B745" s="1" t="n">
        <v>45266</v>
      </c>
      <c r="C745" s="1" t="n">
        <v>45995</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30175-2023</t>
        </is>
      </c>
      <c r="B746" s="1" t="n">
        <v>45110</v>
      </c>
      <c r="C746" s="1" t="n">
        <v>45995</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28921-2023</t>
        </is>
      </c>
      <c r="B747" s="1" t="n">
        <v>45104</v>
      </c>
      <c r="C747" s="1" t="n">
        <v>45995</v>
      </c>
      <c r="D747" t="inlineStr">
        <is>
          <t>DALARNAS LÄN</t>
        </is>
      </c>
      <c r="E747" t="inlineStr">
        <is>
          <t>LEKSAND</t>
        </is>
      </c>
      <c r="G747" t="n">
        <v>4.4</v>
      </c>
      <c r="H747" t="n">
        <v>0</v>
      </c>
      <c r="I747" t="n">
        <v>0</v>
      </c>
      <c r="J747" t="n">
        <v>0</v>
      </c>
      <c r="K747" t="n">
        <v>0</v>
      </c>
      <c r="L747" t="n">
        <v>0</v>
      </c>
      <c r="M747" t="n">
        <v>0</v>
      </c>
      <c r="N747" t="n">
        <v>0</v>
      </c>
      <c r="O747" t="n">
        <v>0</v>
      </c>
      <c r="P747" t="n">
        <v>0</v>
      </c>
      <c r="Q747" t="n">
        <v>0</v>
      </c>
      <c r="R747" s="2" t="inlineStr"/>
    </row>
    <row r="748" ht="15" customHeight="1">
      <c r="A748" t="inlineStr">
        <is>
          <t>A 34789-2025</t>
        </is>
      </c>
      <c r="B748" s="1" t="n">
        <v>45848</v>
      </c>
      <c r="C748" s="1" t="n">
        <v>45995</v>
      </c>
      <c r="D748" t="inlineStr">
        <is>
          <t>DALARNAS LÄN</t>
        </is>
      </c>
      <c r="E748" t="inlineStr">
        <is>
          <t>LEKSAND</t>
        </is>
      </c>
      <c r="F748" t="inlineStr">
        <is>
          <t>Bergvik skog väst AB</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41896-2024</t>
        </is>
      </c>
      <c r="B749" s="1" t="n">
        <v>45561.51310185185</v>
      </c>
      <c r="C749" s="1" t="n">
        <v>45995</v>
      </c>
      <c r="D749" t="inlineStr">
        <is>
          <t>DALARNAS LÄN</t>
        </is>
      </c>
      <c r="E749" t="inlineStr">
        <is>
          <t>LEKSAND</t>
        </is>
      </c>
      <c r="F749" t="inlineStr">
        <is>
          <t>Bergvik skog väst AB</t>
        </is>
      </c>
      <c r="G749" t="n">
        <v>2.8</v>
      </c>
      <c r="H749" t="n">
        <v>0</v>
      </c>
      <c r="I749" t="n">
        <v>0</v>
      </c>
      <c r="J749" t="n">
        <v>0</v>
      </c>
      <c r="K749" t="n">
        <v>0</v>
      </c>
      <c r="L749" t="n">
        <v>0</v>
      </c>
      <c r="M749" t="n">
        <v>0</v>
      </c>
      <c r="N749" t="n">
        <v>0</v>
      </c>
      <c r="O749" t="n">
        <v>0</v>
      </c>
      <c r="P749" t="n">
        <v>0</v>
      </c>
      <c r="Q749" t="n">
        <v>0</v>
      </c>
      <c r="R749" s="2" t="inlineStr"/>
    </row>
    <row r="750" ht="15" customHeight="1">
      <c r="A750" t="inlineStr">
        <is>
          <t>A 34537-2025</t>
        </is>
      </c>
      <c r="B750" s="1" t="n">
        <v>45847</v>
      </c>
      <c r="C750" s="1" t="n">
        <v>45995</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8940-2023</t>
        </is>
      </c>
      <c r="B751" s="1" t="n">
        <v>44974</v>
      </c>
      <c r="C751" s="1" t="n">
        <v>45995</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9459-2023</t>
        </is>
      </c>
      <c r="B752" s="1" t="n">
        <v>44977</v>
      </c>
      <c r="C752" s="1" t="n">
        <v>45995</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56941-2024</t>
        </is>
      </c>
      <c r="B753" s="1" t="n">
        <v>45625</v>
      </c>
      <c r="C753" s="1" t="n">
        <v>45995</v>
      </c>
      <c r="D753" t="inlineStr">
        <is>
          <t>DALARNAS LÄN</t>
        </is>
      </c>
      <c r="E753" t="inlineStr">
        <is>
          <t>LEKSAND</t>
        </is>
      </c>
      <c r="G753" t="n">
        <v>1.8</v>
      </c>
      <c r="H753" t="n">
        <v>0</v>
      </c>
      <c r="I753" t="n">
        <v>0</v>
      </c>
      <c r="J753" t="n">
        <v>0</v>
      </c>
      <c r="K753" t="n">
        <v>0</v>
      </c>
      <c r="L753" t="n">
        <v>0</v>
      </c>
      <c r="M753" t="n">
        <v>0</v>
      </c>
      <c r="N753" t="n">
        <v>0</v>
      </c>
      <c r="O753" t="n">
        <v>0</v>
      </c>
      <c r="P753" t="n">
        <v>0</v>
      </c>
      <c r="Q753" t="n">
        <v>0</v>
      </c>
      <c r="R753" s="2" t="inlineStr"/>
    </row>
    <row r="754" ht="15" customHeight="1">
      <c r="A754" t="inlineStr">
        <is>
          <t>A 35094-2025</t>
        </is>
      </c>
      <c r="B754" s="1" t="n">
        <v>45852</v>
      </c>
      <c r="C754" s="1" t="n">
        <v>45995</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48721-2023</t>
        </is>
      </c>
      <c r="B755" s="1" t="n">
        <v>45203</v>
      </c>
      <c r="C755" s="1" t="n">
        <v>45995</v>
      </c>
      <c r="D755" t="inlineStr">
        <is>
          <t>DALARNAS LÄN</t>
        </is>
      </c>
      <c r="E755" t="inlineStr">
        <is>
          <t>LEKSAND</t>
        </is>
      </c>
      <c r="G755" t="n">
        <v>2.9</v>
      </c>
      <c r="H755" t="n">
        <v>0</v>
      </c>
      <c r="I755" t="n">
        <v>0</v>
      </c>
      <c r="J755" t="n">
        <v>0</v>
      </c>
      <c r="K755" t="n">
        <v>0</v>
      </c>
      <c r="L755" t="n">
        <v>0</v>
      </c>
      <c r="M755" t="n">
        <v>0</v>
      </c>
      <c r="N755" t="n">
        <v>0</v>
      </c>
      <c r="O755" t="n">
        <v>0</v>
      </c>
      <c r="P755" t="n">
        <v>0</v>
      </c>
      <c r="Q755" t="n">
        <v>0</v>
      </c>
      <c r="R755" s="2" t="inlineStr"/>
    </row>
    <row r="756" ht="15" customHeight="1">
      <c r="A756" t="inlineStr">
        <is>
          <t>A 34965-2025</t>
        </is>
      </c>
      <c r="B756" s="1" t="n">
        <v>45849</v>
      </c>
      <c r="C756" s="1" t="n">
        <v>45995</v>
      </c>
      <c r="D756" t="inlineStr">
        <is>
          <t>DALARNAS LÄN</t>
        </is>
      </c>
      <c r="E756" t="inlineStr">
        <is>
          <t>LEKSAND</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34966-2025</t>
        </is>
      </c>
      <c r="B757" s="1" t="n">
        <v>45849</v>
      </c>
      <c r="C757" s="1" t="n">
        <v>45995</v>
      </c>
      <c r="D757" t="inlineStr">
        <is>
          <t>DALARNAS LÄN</t>
        </is>
      </c>
      <c r="E757" t="inlineStr">
        <is>
          <t>LEKSAND</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33463-2023</t>
        </is>
      </c>
      <c r="B758" s="1" t="n">
        <v>45131</v>
      </c>
      <c r="C758" s="1" t="n">
        <v>45995</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8755-2023</t>
        </is>
      </c>
      <c r="B759" s="1" t="n">
        <v>44978</v>
      </c>
      <c r="C759" s="1" t="n">
        <v>45995</v>
      </c>
      <c r="D759" t="inlineStr">
        <is>
          <t>DALARNAS LÄN</t>
        </is>
      </c>
      <c r="E759" t="inlineStr">
        <is>
          <t>LEKSAND</t>
        </is>
      </c>
      <c r="G759" t="n">
        <v>2.3</v>
      </c>
      <c r="H759" t="n">
        <v>0</v>
      </c>
      <c r="I759" t="n">
        <v>0</v>
      </c>
      <c r="J759" t="n">
        <v>0</v>
      </c>
      <c r="K759" t="n">
        <v>0</v>
      </c>
      <c r="L759" t="n">
        <v>0</v>
      </c>
      <c r="M759" t="n">
        <v>0</v>
      </c>
      <c r="N759" t="n">
        <v>0</v>
      </c>
      <c r="O759" t="n">
        <v>0</v>
      </c>
      <c r="P759" t="n">
        <v>0</v>
      </c>
      <c r="Q759" t="n">
        <v>0</v>
      </c>
      <c r="R759" s="2" t="inlineStr"/>
    </row>
    <row r="760" ht="15" customHeight="1">
      <c r="A760" t="inlineStr">
        <is>
          <t>A 59840-2024</t>
        </is>
      </c>
      <c r="B760" s="1" t="n">
        <v>45638</v>
      </c>
      <c r="C760" s="1" t="n">
        <v>45995</v>
      </c>
      <c r="D760" t="inlineStr">
        <is>
          <t>DALARNAS LÄN</t>
        </is>
      </c>
      <c r="E760" t="inlineStr">
        <is>
          <t>LEKSAND</t>
        </is>
      </c>
      <c r="G760" t="n">
        <v>0.6</v>
      </c>
      <c r="H760" t="n">
        <v>0</v>
      </c>
      <c r="I760" t="n">
        <v>0</v>
      </c>
      <c r="J760" t="n">
        <v>0</v>
      </c>
      <c r="K760" t="n">
        <v>0</v>
      </c>
      <c r="L760" t="n">
        <v>0</v>
      </c>
      <c r="M760" t="n">
        <v>0</v>
      </c>
      <c r="N760" t="n">
        <v>0</v>
      </c>
      <c r="O760" t="n">
        <v>0</v>
      </c>
      <c r="P760" t="n">
        <v>0</v>
      </c>
      <c r="Q760" t="n">
        <v>0</v>
      </c>
      <c r="R760" s="2" t="inlineStr"/>
    </row>
    <row r="761" ht="15" customHeight="1">
      <c r="A761" t="inlineStr">
        <is>
          <t>A 10967-2023</t>
        </is>
      </c>
      <c r="B761" s="1" t="n">
        <v>44991.58001157407</v>
      </c>
      <c r="C761" s="1" t="n">
        <v>45995</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10974-2023</t>
        </is>
      </c>
      <c r="B762" s="1" t="n">
        <v>44991.59049768518</v>
      </c>
      <c r="C762" s="1" t="n">
        <v>45995</v>
      </c>
      <c r="D762" t="inlineStr">
        <is>
          <t>DALARNAS LÄN</t>
        </is>
      </c>
      <c r="E762" t="inlineStr">
        <is>
          <t>LEKSAND</t>
        </is>
      </c>
      <c r="G762" t="n">
        <v>0.3</v>
      </c>
      <c r="H762" t="n">
        <v>0</v>
      </c>
      <c r="I762" t="n">
        <v>0</v>
      </c>
      <c r="J762" t="n">
        <v>0</v>
      </c>
      <c r="K762" t="n">
        <v>0</v>
      </c>
      <c r="L762" t="n">
        <v>0</v>
      </c>
      <c r="M762" t="n">
        <v>0</v>
      </c>
      <c r="N762" t="n">
        <v>0</v>
      </c>
      <c r="O762" t="n">
        <v>0</v>
      </c>
      <c r="P762" t="n">
        <v>0</v>
      </c>
      <c r="Q762" t="n">
        <v>0</v>
      </c>
      <c r="R762" s="2" t="inlineStr"/>
    </row>
    <row r="763" ht="15" customHeight="1">
      <c r="A763" t="inlineStr">
        <is>
          <t>A 55516-2024</t>
        </is>
      </c>
      <c r="B763" s="1" t="n">
        <v>45621</v>
      </c>
      <c r="C763" s="1" t="n">
        <v>45995</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30858-2024</t>
        </is>
      </c>
      <c r="B764" s="1" t="n">
        <v>45497.67601851852</v>
      </c>
      <c r="C764" s="1" t="n">
        <v>45995</v>
      </c>
      <c r="D764" t="inlineStr">
        <is>
          <t>DALARNAS LÄN</t>
        </is>
      </c>
      <c r="E764" t="inlineStr">
        <is>
          <t>LEKSAND</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13705-2021</t>
        </is>
      </c>
      <c r="B765" s="1" t="n">
        <v>44274</v>
      </c>
      <c r="C765" s="1" t="n">
        <v>45995</v>
      </c>
      <c r="D765" t="inlineStr">
        <is>
          <t>DALARNAS LÄN</t>
        </is>
      </c>
      <c r="E765" t="inlineStr">
        <is>
          <t>LEKSAND</t>
        </is>
      </c>
      <c r="G765" t="n">
        <v>3.8</v>
      </c>
      <c r="H765" t="n">
        <v>0</v>
      </c>
      <c r="I765" t="n">
        <v>0</v>
      </c>
      <c r="J765" t="n">
        <v>0</v>
      </c>
      <c r="K765" t="n">
        <v>0</v>
      </c>
      <c r="L765" t="n">
        <v>0</v>
      </c>
      <c r="M765" t="n">
        <v>0</v>
      </c>
      <c r="N765" t="n">
        <v>0</v>
      </c>
      <c r="O765" t="n">
        <v>0</v>
      </c>
      <c r="P765" t="n">
        <v>0</v>
      </c>
      <c r="Q765" t="n">
        <v>0</v>
      </c>
      <c r="R765" s="2" t="inlineStr"/>
    </row>
    <row r="766" ht="15" customHeight="1">
      <c r="A766" t="inlineStr">
        <is>
          <t>A 35746-2025</t>
        </is>
      </c>
      <c r="B766" s="1" t="n">
        <v>45860</v>
      </c>
      <c r="C766" s="1" t="n">
        <v>45995</v>
      </c>
      <c r="D766" t="inlineStr">
        <is>
          <t>DALARNAS LÄN</t>
        </is>
      </c>
      <c r="E766" t="inlineStr">
        <is>
          <t>LEKSAND</t>
        </is>
      </c>
      <c r="G766" t="n">
        <v>1.9</v>
      </c>
      <c r="H766" t="n">
        <v>0</v>
      </c>
      <c r="I766" t="n">
        <v>0</v>
      </c>
      <c r="J766" t="n">
        <v>0</v>
      </c>
      <c r="K766" t="n">
        <v>0</v>
      </c>
      <c r="L766" t="n">
        <v>0</v>
      </c>
      <c r="M766" t="n">
        <v>0</v>
      </c>
      <c r="N766" t="n">
        <v>0</v>
      </c>
      <c r="O766" t="n">
        <v>0</v>
      </c>
      <c r="P766" t="n">
        <v>0</v>
      </c>
      <c r="Q766" t="n">
        <v>0</v>
      </c>
      <c r="R766" s="2" t="inlineStr"/>
    </row>
    <row r="767" ht="15" customHeight="1">
      <c r="A767" t="inlineStr">
        <is>
          <t>A 35866-2025</t>
        </is>
      </c>
      <c r="B767" s="1" t="n">
        <v>45861</v>
      </c>
      <c r="C767" s="1" t="n">
        <v>45995</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41934-2025</t>
        </is>
      </c>
      <c r="B768" s="1" t="n">
        <v>45903.43556712963</v>
      </c>
      <c r="C768" s="1" t="n">
        <v>45995</v>
      </c>
      <c r="D768" t="inlineStr">
        <is>
          <t>DALARNAS LÄN</t>
        </is>
      </c>
      <c r="E768" t="inlineStr">
        <is>
          <t>LEKSAND</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35998-2025</t>
        </is>
      </c>
      <c r="B769" s="1" t="n">
        <v>45863.51550925926</v>
      </c>
      <c r="C769" s="1" t="n">
        <v>45995</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36021-2025</t>
        </is>
      </c>
      <c r="B770" s="1" t="n">
        <v>45863.72346064815</v>
      </c>
      <c r="C770" s="1" t="n">
        <v>45995</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36020-2025</t>
        </is>
      </c>
      <c r="B771" s="1" t="n">
        <v>45863</v>
      </c>
      <c r="C771" s="1" t="n">
        <v>45995</v>
      </c>
      <c r="D771" t="inlineStr">
        <is>
          <t>DALARNAS LÄN</t>
        </is>
      </c>
      <c r="E771" t="inlineStr">
        <is>
          <t>LEKSAND</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36017-2025</t>
        </is>
      </c>
      <c r="B772" s="1" t="n">
        <v>45863</v>
      </c>
      <c r="C772" s="1" t="n">
        <v>45995</v>
      </c>
      <c r="D772" t="inlineStr">
        <is>
          <t>DALARNAS LÄN</t>
        </is>
      </c>
      <c r="E772" t="inlineStr">
        <is>
          <t>LEKSAND</t>
        </is>
      </c>
      <c r="F772" t="inlineStr">
        <is>
          <t>Bergvik skog väst AB</t>
        </is>
      </c>
      <c r="G772" t="n">
        <v>17.9</v>
      </c>
      <c r="H772" t="n">
        <v>0</v>
      </c>
      <c r="I772" t="n">
        <v>0</v>
      </c>
      <c r="J772" t="n">
        <v>0</v>
      </c>
      <c r="K772" t="n">
        <v>0</v>
      </c>
      <c r="L772" t="n">
        <v>0</v>
      </c>
      <c r="M772" t="n">
        <v>0</v>
      </c>
      <c r="N772" t="n">
        <v>0</v>
      </c>
      <c r="O772" t="n">
        <v>0</v>
      </c>
      <c r="P772" t="n">
        <v>0</v>
      </c>
      <c r="Q772" t="n">
        <v>0</v>
      </c>
      <c r="R772" s="2" t="inlineStr"/>
    </row>
    <row r="773" ht="15" customHeight="1">
      <c r="A773" t="inlineStr">
        <is>
          <t>A 36190-2025</t>
        </is>
      </c>
      <c r="B773" s="1" t="n">
        <v>45867</v>
      </c>
      <c r="C773" s="1" t="n">
        <v>45995</v>
      </c>
      <c r="D773" t="inlineStr">
        <is>
          <t>DALARNAS LÄN</t>
        </is>
      </c>
      <c r="E773" t="inlineStr">
        <is>
          <t>LEKSAND</t>
        </is>
      </c>
      <c r="G773" t="n">
        <v>0.6</v>
      </c>
      <c r="H773" t="n">
        <v>0</v>
      </c>
      <c r="I773" t="n">
        <v>0</v>
      </c>
      <c r="J773" t="n">
        <v>0</v>
      </c>
      <c r="K773" t="n">
        <v>0</v>
      </c>
      <c r="L773" t="n">
        <v>0</v>
      </c>
      <c r="M773" t="n">
        <v>0</v>
      </c>
      <c r="N773" t="n">
        <v>0</v>
      </c>
      <c r="O773" t="n">
        <v>0</v>
      </c>
      <c r="P773" t="n">
        <v>0</v>
      </c>
      <c r="Q773" t="n">
        <v>0</v>
      </c>
      <c r="R773" s="2" t="inlineStr"/>
    </row>
    <row r="774" ht="15" customHeight="1">
      <c r="A774" t="inlineStr">
        <is>
          <t>A 36540-2025</t>
        </is>
      </c>
      <c r="B774" s="1" t="n">
        <v>45869.63885416667</v>
      </c>
      <c r="C774" s="1" t="n">
        <v>45995</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164-2023</t>
        </is>
      </c>
      <c r="B775" s="1" t="n">
        <v>44918</v>
      </c>
      <c r="C775" s="1" t="n">
        <v>45995</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51677-2024</t>
        </is>
      </c>
      <c r="B776" s="1" t="n">
        <v>45607.30265046296</v>
      </c>
      <c r="C776" s="1" t="n">
        <v>45995</v>
      </c>
      <c r="D776" t="inlineStr">
        <is>
          <t>DALARNAS LÄN</t>
        </is>
      </c>
      <c r="E776" t="inlineStr">
        <is>
          <t>LEKSAND</t>
        </is>
      </c>
      <c r="G776" t="n">
        <v>3.4</v>
      </c>
      <c r="H776" t="n">
        <v>0</v>
      </c>
      <c r="I776" t="n">
        <v>0</v>
      </c>
      <c r="J776" t="n">
        <v>0</v>
      </c>
      <c r="K776" t="n">
        <v>0</v>
      </c>
      <c r="L776" t="n">
        <v>0</v>
      </c>
      <c r="M776" t="n">
        <v>0</v>
      </c>
      <c r="N776" t="n">
        <v>0</v>
      </c>
      <c r="O776" t="n">
        <v>0</v>
      </c>
      <c r="P776" t="n">
        <v>0</v>
      </c>
      <c r="Q776" t="n">
        <v>0</v>
      </c>
      <c r="R776" s="2" t="inlineStr"/>
    </row>
    <row r="777" ht="15" customHeight="1">
      <c r="A777" t="inlineStr">
        <is>
          <t>A 37508-2025</t>
        </is>
      </c>
      <c r="B777" s="1" t="n">
        <v>45877.66282407408</v>
      </c>
      <c r="C777" s="1" t="n">
        <v>45995</v>
      </c>
      <c r="D777" t="inlineStr">
        <is>
          <t>DALARNAS LÄN</t>
        </is>
      </c>
      <c r="E777" t="inlineStr">
        <is>
          <t>LEKSAND</t>
        </is>
      </c>
      <c r="G777" t="n">
        <v>1.3</v>
      </c>
      <c r="H777" t="n">
        <v>0</v>
      </c>
      <c r="I777" t="n">
        <v>0</v>
      </c>
      <c r="J777" t="n">
        <v>0</v>
      </c>
      <c r="K777" t="n">
        <v>0</v>
      </c>
      <c r="L777" t="n">
        <v>0</v>
      </c>
      <c r="M777" t="n">
        <v>0</v>
      </c>
      <c r="N777" t="n">
        <v>0</v>
      </c>
      <c r="O777" t="n">
        <v>0</v>
      </c>
      <c r="P777" t="n">
        <v>0</v>
      </c>
      <c r="Q777" t="n">
        <v>0</v>
      </c>
      <c r="R777" s="2" t="inlineStr"/>
    </row>
    <row r="778" ht="15" customHeight="1">
      <c r="A778" t="inlineStr">
        <is>
          <t>A 37996-2025</t>
        </is>
      </c>
      <c r="B778" s="1" t="n">
        <v>45881.8299537037</v>
      </c>
      <c r="C778" s="1" t="n">
        <v>45995</v>
      </c>
      <c r="D778" t="inlineStr">
        <is>
          <t>DALARNAS LÄN</t>
        </is>
      </c>
      <c r="E778" t="inlineStr">
        <is>
          <t>LEKSAND</t>
        </is>
      </c>
      <c r="G778" t="n">
        <v>4.2</v>
      </c>
      <c r="H778" t="n">
        <v>0</v>
      </c>
      <c r="I778" t="n">
        <v>0</v>
      </c>
      <c r="J778" t="n">
        <v>0</v>
      </c>
      <c r="K778" t="n">
        <v>0</v>
      </c>
      <c r="L778" t="n">
        <v>0</v>
      </c>
      <c r="M778" t="n">
        <v>0</v>
      </c>
      <c r="N778" t="n">
        <v>0</v>
      </c>
      <c r="O778" t="n">
        <v>0</v>
      </c>
      <c r="P778" t="n">
        <v>0</v>
      </c>
      <c r="Q778" t="n">
        <v>0</v>
      </c>
      <c r="R778" s="2" t="inlineStr"/>
    </row>
    <row r="779">
      <c r="A779" t="inlineStr">
        <is>
          <t>A 38090-2025</t>
        </is>
      </c>
      <c r="B779" s="1" t="n">
        <v>45882.48440972222</v>
      </c>
      <c r="C779" s="1" t="n">
        <v>45995</v>
      </c>
      <c r="D779" t="inlineStr">
        <is>
          <t>DALARNAS LÄN</t>
        </is>
      </c>
      <c r="E779" t="inlineStr">
        <is>
          <t>LEKSAND</t>
        </is>
      </c>
      <c r="G779" t="n">
        <v>1.6</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2025-12-04T10:26:26Z</dcterms:created>
  <dcterms:modified xmlns:dcterms="http://purl.org/dc/terms/" xmlns:xsi="http://www.w3.org/2001/XMLSchema-instance" xsi:type="dcterms:W3CDTF">2025-12-04T10:26:27Z</dcterms:modified>
</cp:coreProperties>
</file>