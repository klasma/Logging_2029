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46221</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46221</v>
      </c>
      <c r="F3" t="inlineStr">
        <is>
          <t>DALARNAS LÄN</t>
        </is>
      </c>
      <c r="G3" t="inlineStr">
        <is>
          <t>LEKSAND</t>
        </is>
      </c>
      <c r="I3" t="n">
        <v>20.3</v>
      </c>
      <c r="J3" t="n">
        <v>18</v>
      </c>
      <c r="K3" t="n">
        <v>10</v>
      </c>
      <c r="L3" t="n">
        <v>15</v>
      </c>
      <c r="M3" t="n">
        <v>6</v>
      </c>
      <c r="N3" t="n">
        <v>0</v>
      </c>
      <c r="O3" t="n">
        <v>0</v>
      </c>
      <c r="P3" t="n">
        <v>0</v>
      </c>
      <c r="Q3" t="n">
        <v>21</v>
      </c>
      <c r="R3" t="n">
        <v>6</v>
      </c>
      <c r="S3" t="n">
        <v>44</v>
      </c>
      <c r="T3" t="n">
        <v>382</v>
      </c>
      <c r="U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3">
        <f>HYPERLINK("https://klasma.github.io/Logging_2029/artfynd/S 1898-2025 artfynd.xlsx", "S 1898-2025")</f>
        <v/>
      </c>
      <c r="W3">
        <f>HYPERLINK("https://klasma.github.io/Logging_2029/kartor/S 1898-2025 karta.png", "S 1898-2025")</f>
        <v/>
      </c>
      <c r="X3">
        <f>HYPERLINK("https://klasma.github.io/Logging_2029/knärot/S 1898-2025 karta knärot.png", "S 1898-2025")</f>
        <v/>
      </c>
      <c r="Y3">
        <f>HYPERLINK("https://klasma.github.io/Logging_2029/klagomål/S 1898-2025 FSC-klagomål.docx", "S 1898-2025")</f>
        <v/>
      </c>
      <c r="Z3">
        <f>HYPERLINK("https://klasma.github.io/Logging_2029/klagomålsmail/S 1898-2025 FSC-klagomål mail.docx", "S 1898-2025")</f>
        <v/>
      </c>
      <c r="AA3">
        <f>HYPERLINK("https://klasma.github.io/Logging_2029/tillsyn/S 1898-2025 tillsynsbegäran.docx", "S 1898-2025")</f>
        <v/>
      </c>
      <c r="AB3">
        <f>HYPERLINK("https://klasma.github.io/Logging_2029/tillsynsmail/S 1898-2025 tillsynsbegäran mail.docx", "S 1898-2025")</f>
        <v/>
      </c>
      <c r="AC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46221</v>
      </c>
      <c r="F4" t="inlineStr">
        <is>
          <t>DALARNAS LÄN</t>
        </is>
      </c>
      <c r="G4" t="inlineStr">
        <is>
          <t>LEKSAND</t>
        </is>
      </c>
      <c r="I4" t="n">
        <v>4.4</v>
      </c>
      <c r="J4" t="n">
        <v>14</v>
      </c>
      <c r="K4" t="n">
        <v>7</v>
      </c>
      <c r="L4" t="n">
        <v>9</v>
      </c>
      <c r="M4" t="n">
        <v>3</v>
      </c>
      <c r="N4" t="n">
        <v>0</v>
      </c>
      <c r="O4" t="n">
        <v>0</v>
      </c>
      <c r="P4" t="n">
        <v>0</v>
      </c>
      <c r="Q4" t="n">
        <v>12</v>
      </c>
      <c r="R4" t="n">
        <v>3</v>
      </c>
      <c r="S4" t="n">
        <v>29</v>
      </c>
      <c r="T4" t="n">
        <v>115</v>
      </c>
      <c r="U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4">
        <f>HYPERLINK("https://klasma.github.io/Logging_2029/artfynd/A 8191-2026 artfynd.xlsx", "A 8191-2026")</f>
        <v/>
      </c>
      <c r="W4">
        <f>HYPERLINK("https://klasma.github.io/Logging_2029/kartor/A 8191-2026 karta.png", "A 8191-2026")</f>
        <v/>
      </c>
      <c r="X4">
        <f>HYPERLINK("https://klasma.github.io/Logging_2029/knärot/A 8191-2026 karta knärot.png", "A 8191-2026")</f>
        <v/>
      </c>
      <c r="Y4">
        <f>HYPERLINK("https://klasma.github.io/Logging_2029/klagomål/A 8191-2026 FSC-klagomål.docx", "A 8191-2026")</f>
        <v/>
      </c>
      <c r="Z4">
        <f>HYPERLINK("https://klasma.github.io/Logging_2029/klagomålsmail/A 8191-2026 FSC-klagomål mail.docx", "A 8191-2026")</f>
        <v/>
      </c>
      <c r="AA4">
        <f>HYPERLINK("https://klasma.github.io/Logging_2029/tillsyn/A 8191-2026 tillsynsbegäran.docx", "A 8191-2026")</f>
        <v/>
      </c>
      <c r="AB4">
        <f>HYPERLINK("https://klasma.github.io/Logging_2029/tillsynsmail/A 8191-2026 tillsynsbegäran mail.docx", "A 8191-2026")</f>
        <v/>
      </c>
      <c r="AC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46221</v>
      </c>
      <c r="F5" t="inlineStr">
        <is>
          <t>DALARNAS LÄN</t>
        </is>
      </c>
      <c r="G5" t="inlineStr">
        <is>
          <t>LEKSAND</t>
        </is>
      </c>
      <c r="I5" t="n">
        <v>1.7</v>
      </c>
      <c r="J5" t="n">
        <v>8</v>
      </c>
      <c r="K5" t="n">
        <v>7</v>
      </c>
      <c r="L5" t="n">
        <v>5</v>
      </c>
      <c r="M5" t="n">
        <v>5</v>
      </c>
      <c r="N5" t="n">
        <v>0</v>
      </c>
      <c r="O5" t="n">
        <v>0</v>
      </c>
      <c r="P5" t="n">
        <v>0</v>
      </c>
      <c r="Q5" t="n">
        <v>10</v>
      </c>
      <c r="R5" t="n">
        <v>5</v>
      </c>
      <c r="S5" t="n">
        <v>23</v>
      </c>
      <c r="T5" t="n">
        <v>71</v>
      </c>
      <c r="U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5">
        <f>HYPERLINK("https://klasma.github.io/Logging_2029/artfynd/A 59850-2022 artfynd.xlsx", "A 59850-2022")</f>
        <v/>
      </c>
      <c r="W5">
        <f>HYPERLINK("https://klasma.github.io/Logging_2029/kartor/A 59850-2022 karta.png", "A 59850-2022")</f>
        <v/>
      </c>
      <c r="Y5">
        <f>HYPERLINK("https://klasma.github.io/Logging_2029/klagomål/A 59850-2022 FSC-klagomål.docx", "A 59850-2022")</f>
        <v/>
      </c>
      <c r="Z5">
        <f>HYPERLINK("https://klasma.github.io/Logging_2029/klagomålsmail/A 59850-2022 FSC-klagomål mail.docx", "A 59850-2022")</f>
        <v/>
      </c>
      <c r="AA5">
        <f>HYPERLINK("https://klasma.github.io/Logging_2029/tillsyn/A 59850-2022 tillsynsbegäran.docx", "A 59850-2022")</f>
        <v/>
      </c>
      <c r="AB5">
        <f>HYPERLINK("https://klasma.github.io/Logging_2029/tillsynsmail/A 59850-2022 tillsynsbegäran mail.docx", "A 59850-2022")</f>
        <v/>
      </c>
      <c r="AC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46221</v>
      </c>
      <c r="F6" t="inlineStr">
        <is>
          <t>DALARNAS LÄN</t>
        </is>
      </c>
      <c r="G6" t="inlineStr">
        <is>
          <t>LEKSAND</t>
        </is>
      </c>
      <c r="I6" t="n">
        <v>5.9</v>
      </c>
      <c r="J6" t="n">
        <v>8</v>
      </c>
      <c r="K6" t="n">
        <v>7</v>
      </c>
      <c r="L6" t="n">
        <v>8</v>
      </c>
      <c r="M6" t="n">
        <v>1</v>
      </c>
      <c r="N6" t="n">
        <v>0</v>
      </c>
      <c r="O6" t="n">
        <v>0</v>
      </c>
      <c r="P6" t="n">
        <v>0</v>
      </c>
      <c r="Q6" t="n">
        <v>9</v>
      </c>
      <c r="R6" t="n">
        <v>1</v>
      </c>
      <c r="S6" t="n">
        <v>22</v>
      </c>
      <c r="T6" t="n">
        <v>140</v>
      </c>
      <c r="U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6">
        <f>HYPERLINK("https://klasma.github.io/Logging_2029/artfynd/A 63547-2025 artfynd.xlsx", "A 63547-2025")</f>
        <v/>
      </c>
      <c r="W6">
        <f>HYPERLINK("https://klasma.github.io/Logging_2029/kartor/A 63547-2025 karta.png", "A 63547-2025")</f>
        <v/>
      </c>
      <c r="X6">
        <f>HYPERLINK("https://klasma.github.io/Logging_2029/knärot/A 63547-2025 karta knärot.png", "A 63547-2025")</f>
        <v/>
      </c>
      <c r="Y6">
        <f>HYPERLINK("https://klasma.github.io/Logging_2029/klagomål/A 63547-2025 FSC-klagomål.docx", "A 63547-2025")</f>
        <v/>
      </c>
      <c r="Z6">
        <f>HYPERLINK("https://klasma.github.io/Logging_2029/klagomålsmail/A 63547-2025 FSC-klagomål mail.docx", "A 63547-2025")</f>
        <v/>
      </c>
      <c r="AA6">
        <f>HYPERLINK("https://klasma.github.io/Logging_2029/tillsyn/A 63547-2025 tillsynsbegäran.docx", "A 63547-2025")</f>
        <v/>
      </c>
      <c r="AB6">
        <f>HYPERLINK("https://klasma.github.io/Logging_2029/tillsynsmail/A 63547-2025 tillsynsbegäran mail.docx", "A 63547-2025")</f>
        <v/>
      </c>
      <c r="AC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46221</v>
      </c>
      <c r="F7" t="inlineStr">
        <is>
          <t>DALARNAS LÄN</t>
        </is>
      </c>
      <c r="G7" t="inlineStr">
        <is>
          <t>LEKSAND</t>
        </is>
      </c>
      <c r="I7" t="n">
        <v>5</v>
      </c>
      <c r="J7" t="n">
        <v>8</v>
      </c>
      <c r="K7" t="n">
        <v>7</v>
      </c>
      <c r="L7" t="n">
        <v>8</v>
      </c>
      <c r="M7" t="n">
        <v>1</v>
      </c>
      <c r="N7" t="n">
        <v>0</v>
      </c>
      <c r="O7" t="n">
        <v>0</v>
      </c>
      <c r="P7" t="n">
        <v>0</v>
      </c>
      <c r="Q7" t="n">
        <v>9</v>
      </c>
      <c r="R7" t="n">
        <v>1</v>
      </c>
      <c r="S7" t="n">
        <v>22</v>
      </c>
      <c r="T7" t="n">
        <v>139</v>
      </c>
      <c r="U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7">
        <f>HYPERLINK("https://klasma.github.io/Logging_2029/artfynd/S 1500-2025 artfynd.xlsx", "S 1500-2025")</f>
        <v/>
      </c>
      <c r="W7">
        <f>HYPERLINK("https://klasma.github.io/Logging_2029/kartor/S 1500-2025 karta.png", "S 1500-2025")</f>
        <v/>
      </c>
      <c r="X7">
        <f>HYPERLINK("https://klasma.github.io/Logging_2029/knärot/S 1500-2025 karta knärot.png", "S 1500-2025")</f>
        <v/>
      </c>
      <c r="Y7">
        <f>HYPERLINK("https://klasma.github.io/Logging_2029/klagomål/S 1500-2025 FSC-klagomål.docx", "S 1500-2025")</f>
        <v/>
      </c>
      <c r="Z7">
        <f>HYPERLINK("https://klasma.github.io/Logging_2029/klagomålsmail/S 1500-2025 FSC-klagomål mail.docx", "S 1500-2025")</f>
        <v/>
      </c>
      <c r="AA7">
        <f>HYPERLINK("https://klasma.github.io/Logging_2029/tillsyn/S 1500-2025 tillsynsbegäran.docx", "S 1500-2025")</f>
        <v/>
      </c>
      <c r="AB7">
        <f>HYPERLINK("https://klasma.github.io/Logging_2029/tillsynsmail/S 1500-2025 tillsynsbegäran mail.docx", "S 1500-2025")</f>
        <v/>
      </c>
      <c r="AC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46221</v>
      </c>
      <c r="F8" t="inlineStr">
        <is>
          <t>DALARNAS LÄN</t>
        </is>
      </c>
      <c r="G8" t="inlineStr">
        <is>
          <t>LEKSAND</t>
        </is>
      </c>
      <c r="I8" t="n">
        <v>12.2</v>
      </c>
      <c r="J8" t="n">
        <v>4</v>
      </c>
      <c r="K8" t="n">
        <v>4</v>
      </c>
      <c r="L8" t="n">
        <v>10</v>
      </c>
      <c r="M8" t="n">
        <v>2</v>
      </c>
      <c r="N8" t="n">
        <v>0</v>
      </c>
      <c r="O8" t="n">
        <v>0</v>
      </c>
      <c r="P8" t="n">
        <v>0</v>
      </c>
      <c r="Q8" t="n">
        <v>12</v>
      </c>
      <c r="R8" t="n">
        <v>2</v>
      </c>
      <c r="S8" t="n">
        <v>18</v>
      </c>
      <c r="T8" t="n">
        <v>45</v>
      </c>
      <c r="U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8">
        <f>HYPERLINK("https://klasma.github.io/Logging_2029/artfynd/A 33685-2025 artfynd.xlsx", "A 33685-2025")</f>
        <v/>
      </c>
      <c r="W8">
        <f>HYPERLINK("https://klasma.github.io/Logging_2029/kartor/A 33685-2025 karta.png", "A 33685-2025")</f>
        <v/>
      </c>
      <c r="X8">
        <f>HYPERLINK("https://klasma.github.io/Logging_2029/knärot/A 33685-2025 karta knärot.png", "A 33685-2025")</f>
        <v/>
      </c>
      <c r="Y8">
        <f>HYPERLINK("https://klasma.github.io/Logging_2029/klagomål/A 33685-2025 FSC-klagomål.docx", "A 33685-2025")</f>
        <v/>
      </c>
      <c r="Z8">
        <f>HYPERLINK("https://klasma.github.io/Logging_2029/klagomålsmail/A 33685-2025 FSC-klagomål mail.docx", "A 33685-2025")</f>
        <v/>
      </c>
      <c r="AA8">
        <f>HYPERLINK("https://klasma.github.io/Logging_2029/tillsyn/A 33685-2025 tillsynsbegäran.docx", "A 33685-2025")</f>
        <v/>
      </c>
      <c r="AB8">
        <f>HYPERLINK("https://klasma.github.io/Logging_2029/tillsynsmail/A 33685-2025 tillsynsbegäran mail.docx", "A 33685-2025")</f>
        <v/>
      </c>
      <c r="AC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46221</v>
      </c>
      <c r="F9" t="inlineStr">
        <is>
          <t>DALARNAS LÄN</t>
        </is>
      </c>
      <c r="G9" t="inlineStr">
        <is>
          <t>LEKSAND</t>
        </is>
      </c>
      <c r="I9" t="n">
        <v>2.3</v>
      </c>
      <c r="J9" t="n">
        <v>17</v>
      </c>
      <c r="K9" t="n">
        <v>0</v>
      </c>
      <c r="L9" t="n">
        <v>9</v>
      </c>
      <c r="M9" t="n">
        <v>1</v>
      </c>
      <c r="N9" t="n">
        <v>1</v>
      </c>
      <c r="O9" t="n">
        <v>0</v>
      </c>
      <c r="P9" t="n">
        <v>0</v>
      </c>
      <c r="Q9" t="n">
        <v>11</v>
      </c>
      <c r="R9" t="n">
        <v>2</v>
      </c>
      <c r="S9" t="n">
        <v>17</v>
      </c>
      <c r="T9" t="n">
        <v>19</v>
      </c>
      <c r="U9" s="2" t="inlineStr">
        <is>
          <t>Storspov
Gråtrut
Bläsand
Entita
Grönsångare
Kricka
Mindre hackspett
Skrattmås
Strandskata
Sädesärla
Talltita
Fiskgjuse
Havsörn
Kungsfågel
Svartvit flugsnappare
Sångsvan
Trana</t>
        </is>
      </c>
      <c r="V9">
        <f>HYPERLINK("https://klasma.github.io/Logging_2029/artfynd/A 63513-2023 artfynd.xlsx", "A 63513-2023")</f>
        <v/>
      </c>
      <c r="W9">
        <f>HYPERLINK("https://klasma.github.io/Logging_2029/kartor/A 63513-2023 karta.png", "A 63513-2023")</f>
        <v/>
      </c>
      <c r="Y9">
        <f>HYPERLINK("https://klasma.github.io/Logging_2029/klagomål/A 63513-2023 FSC-klagomål.docx", "A 63513-2023")</f>
        <v/>
      </c>
      <c r="Z9">
        <f>HYPERLINK("https://klasma.github.io/Logging_2029/klagomålsmail/A 63513-2023 FSC-klagomål mail.docx", "A 63513-2023")</f>
        <v/>
      </c>
      <c r="AA9">
        <f>HYPERLINK("https://klasma.github.io/Logging_2029/tillsyn/A 63513-2023 tillsynsbegäran.docx", "A 63513-2023")</f>
        <v/>
      </c>
      <c r="AB9">
        <f>HYPERLINK("https://klasma.github.io/Logging_2029/tillsynsmail/A 63513-2023 tillsynsbegäran mail.docx", "A 63513-2023")</f>
        <v/>
      </c>
      <c r="AC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46221</v>
      </c>
      <c r="F10" t="inlineStr">
        <is>
          <t>DALARNAS LÄN</t>
        </is>
      </c>
      <c r="G10" t="inlineStr">
        <is>
          <t>LEKSAND</t>
        </is>
      </c>
      <c r="I10" t="n">
        <v>2.7</v>
      </c>
      <c r="J10" t="n">
        <v>16</v>
      </c>
      <c r="K10" t="n">
        <v>1</v>
      </c>
      <c r="L10" t="n">
        <v>4</v>
      </c>
      <c r="M10" t="n">
        <v>1</v>
      </c>
      <c r="N10" t="n">
        <v>0</v>
      </c>
      <c r="O10" t="n">
        <v>0</v>
      </c>
      <c r="P10" t="n">
        <v>0</v>
      </c>
      <c r="Q10" t="n">
        <v>5</v>
      </c>
      <c r="R10" t="n">
        <v>1</v>
      </c>
      <c r="S10" t="n">
        <v>16</v>
      </c>
      <c r="T10" t="n">
        <v>21</v>
      </c>
      <c r="U10" s="2" t="inlineStr">
        <is>
          <t>Knärot
Brunlångöra
Ladusvala
Rödvingetrast
Talltita
Tvåblad
Buskskvätta
Grönsiska
Kråka
Kungsfågel
Svartvit flugsnappare
Sävsparv
Huggorm
Skogsödla
Fläcknycklar
Revlummer</t>
        </is>
      </c>
      <c r="V10">
        <f>HYPERLINK("https://klasma.github.io/Logging_2029/artfynd/A 8529-2023 artfynd.xlsx", "A 8529-2023")</f>
        <v/>
      </c>
      <c r="W10">
        <f>HYPERLINK("https://klasma.github.io/Logging_2029/kartor/A 8529-2023 karta.png", "A 8529-2023")</f>
        <v/>
      </c>
      <c r="X10">
        <f>HYPERLINK("https://klasma.github.io/Logging_2029/knärot/A 8529-2023 karta knärot.png", "A 8529-2023")</f>
        <v/>
      </c>
      <c r="Y10">
        <f>HYPERLINK("https://klasma.github.io/Logging_2029/klagomål/A 8529-2023 FSC-klagomål.docx", "A 8529-2023")</f>
        <v/>
      </c>
      <c r="Z10">
        <f>HYPERLINK("https://klasma.github.io/Logging_2029/klagomålsmail/A 8529-2023 FSC-klagomål mail.docx", "A 8529-2023")</f>
        <v/>
      </c>
      <c r="AA10">
        <f>HYPERLINK("https://klasma.github.io/Logging_2029/tillsyn/A 8529-2023 tillsynsbegäran.docx", "A 8529-2023")</f>
        <v/>
      </c>
      <c r="AB10">
        <f>HYPERLINK("https://klasma.github.io/Logging_2029/tillsynsmail/A 8529-2023 tillsynsbegäran mail.docx", "A 8529-2023")</f>
        <v/>
      </c>
      <c r="AC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46221</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s="2" t="inlineStr">
        <is>
          <t>Garnlav
Knärot
Dropptaggsvamp
Gropticka
Lunglav
Mörk kolflarnlav
Rosenticka
Tallticka
Tretåig hackspett
Vedskivlav
Korallblylav
Nästlav
Stuplav
Vedticka
Tjäder</t>
        </is>
      </c>
      <c r="V11">
        <f>HYPERLINK("https://klasma.github.io/Logging_2029/artfynd/A 31967-2025 artfynd.xlsx", "A 31967-2025")</f>
        <v/>
      </c>
      <c r="W11">
        <f>HYPERLINK("https://klasma.github.io/Logging_2029/kartor/A 31967-2025 karta.png", "A 31967-2025")</f>
        <v/>
      </c>
      <c r="X11">
        <f>HYPERLINK("https://klasma.github.io/Logging_2029/knärot/A 31967-2025 karta knärot.png", "A 31967-2025")</f>
        <v/>
      </c>
      <c r="Y11">
        <f>HYPERLINK("https://klasma.github.io/Logging_2029/klagomål/A 31967-2025 FSC-klagomål.docx", "A 31967-2025")</f>
        <v/>
      </c>
      <c r="Z11">
        <f>HYPERLINK("https://klasma.github.io/Logging_2029/klagomålsmail/A 31967-2025 FSC-klagomål mail.docx", "A 31967-2025")</f>
        <v/>
      </c>
      <c r="AA11">
        <f>HYPERLINK("https://klasma.github.io/Logging_2029/tillsyn/A 31967-2025 tillsynsbegäran.docx", "A 31967-2025")</f>
        <v/>
      </c>
      <c r="AB11">
        <f>HYPERLINK("https://klasma.github.io/Logging_2029/tillsynsmail/A 31967-2025 tillsynsbegäran mail.docx", "A 31967-2025")</f>
        <v/>
      </c>
      <c r="AC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46221</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s="2" t="inlineStr">
        <is>
          <t>Garnlav
Knärot
Skeletocutis delicata
Dropptaggsvamp
Talltita
Ullticka
Vedskivlav
Vedtrappmossa
Vitgrynig nållav
Bollvitmossa
Bronshjon
Mindre märgborre
Vedticka
Revlummer</t>
        </is>
      </c>
      <c r="V12">
        <f>HYPERLINK("https://klasma.github.io/Logging_2029/artfynd/A 35314-2025 artfynd.xlsx", "A 35314-2025")</f>
        <v/>
      </c>
      <c r="W12">
        <f>HYPERLINK("https://klasma.github.io/Logging_2029/kartor/A 35314-2025 karta.png", "A 35314-2025")</f>
        <v/>
      </c>
      <c r="X12">
        <f>HYPERLINK("https://klasma.github.io/Logging_2029/knärot/A 35314-2025 karta knärot.png", "A 35314-2025")</f>
        <v/>
      </c>
      <c r="Y12">
        <f>HYPERLINK("https://klasma.github.io/Logging_2029/klagomål/A 35314-2025 FSC-klagomål.docx", "A 35314-2025")</f>
        <v/>
      </c>
      <c r="Z12">
        <f>HYPERLINK("https://klasma.github.io/Logging_2029/klagomålsmail/A 35314-2025 FSC-klagomål mail.docx", "A 35314-2025")</f>
        <v/>
      </c>
      <c r="AA12">
        <f>HYPERLINK("https://klasma.github.io/Logging_2029/tillsyn/A 35314-2025 tillsynsbegäran.docx", "A 35314-2025")</f>
        <v/>
      </c>
      <c r="AB12">
        <f>HYPERLINK("https://klasma.github.io/Logging_2029/tillsynsmail/A 35314-2025 tillsynsbegäran mail.docx", "A 35314-2025")</f>
        <v/>
      </c>
      <c r="AC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46221</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s="2" t="inlineStr">
        <is>
          <t>Garnlav
Knärot
Dropptaggsvamp
Rosenticka
Skarp dropptaggsvamp
Tallticka
Tretåig hackspett
Ullticka
Mindre märgborre
Vedticka
Spillkråka
Tjäder
Fläcknycklar</t>
        </is>
      </c>
      <c r="V13">
        <f>HYPERLINK("https://klasma.github.io/Logging_2029/artfynd/A 37044-2025 artfynd.xlsx", "A 37044-2025")</f>
        <v/>
      </c>
      <c r="W13">
        <f>HYPERLINK("https://klasma.github.io/Logging_2029/kartor/A 37044-2025 karta.png", "A 37044-2025")</f>
        <v/>
      </c>
      <c r="X13">
        <f>HYPERLINK("https://klasma.github.io/Logging_2029/knärot/A 37044-2025 karta knärot.png", "A 37044-2025")</f>
        <v/>
      </c>
      <c r="Y13">
        <f>HYPERLINK("https://klasma.github.io/Logging_2029/klagomål/A 37044-2025 FSC-klagomål.docx", "A 37044-2025")</f>
        <v/>
      </c>
      <c r="Z13">
        <f>HYPERLINK("https://klasma.github.io/Logging_2029/klagomålsmail/A 37044-2025 FSC-klagomål mail.docx", "A 37044-2025")</f>
        <v/>
      </c>
      <c r="AA13">
        <f>HYPERLINK("https://klasma.github.io/Logging_2029/tillsyn/A 37044-2025 tillsynsbegäran.docx", "A 37044-2025")</f>
        <v/>
      </c>
      <c r="AB13">
        <f>HYPERLINK("https://klasma.github.io/Logging_2029/tillsynsmail/A 37044-2025 tillsynsbegäran mail.docx", "A 37044-2025")</f>
        <v/>
      </c>
      <c r="AC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46221</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s="2" t="inlineStr">
        <is>
          <t>Garnlav
Kolflarnlav
Tallticka
Ullticka
Vedflamlav
Vedskivlav
Mindre märgborre
Spillkråka</t>
        </is>
      </c>
      <c r="V14">
        <f>HYPERLINK("https://klasma.github.io/Logging_2029/artfynd/A 30224-2025 artfynd.xlsx", "A 30224-2025")</f>
        <v/>
      </c>
      <c r="W14">
        <f>HYPERLINK("https://klasma.github.io/Logging_2029/kartor/A 30224-2025 karta.png", "A 30224-2025")</f>
        <v/>
      </c>
      <c r="Y14">
        <f>HYPERLINK("https://klasma.github.io/Logging_2029/klagomål/A 30224-2025 FSC-klagomål.docx", "A 30224-2025")</f>
        <v/>
      </c>
      <c r="Z14">
        <f>HYPERLINK("https://klasma.github.io/Logging_2029/klagomålsmail/A 30224-2025 FSC-klagomål mail.docx", "A 30224-2025")</f>
        <v/>
      </c>
      <c r="AA14">
        <f>HYPERLINK("https://klasma.github.io/Logging_2029/tillsyn/A 30224-2025 tillsynsbegäran.docx", "A 30224-2025")</f>
        <v/>
      </c>
      <c r="AB14">
        <f>HYPERLINK("https://klasma.github.io/Logging_2029/tillsynsmail/A 30224-2025 tillsynsbegäran mail.docx", "A 30224-2025")</f>
        <v/>
      </c>
      <c r="AC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46221</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s="2" t="inlineStr">
        <is>
          <t>Garnlav
Gränsticka
Knärot
Rosenticka
Tretåig hackspett
Korallblylav
Rödgul trumpetsvamp
Stuplav</t>
        </is>
      </c>
      <c r="V15">
        <f>HYPERLINK("https://klasma.github.io/Logging_2029/artfynd/A 48616-2025 artfynd.xlsx", "A 48616-2025")</f>
        <v/>
      </c>
      <c r="W15">
        <f>HYPERLINK("https://klasma.github.io/Logging_2029/kartor/A 48616-2025 karta.png", "A 48616-2025")</f>
        <v/>
      </c>
      <c r="X15">
        <f>HYPERLINK("https://klasma.github.io/Logging_2029/knärot/A 48616-2025 karta knärot.png", "A 48616-2025")</f>
        <v/>
      </c>
      <c r="Y15">
        <f>HYPERLINK("https://klasma.github.io/Logging_2029/klagomål/A 48616-2025 FSC-klagomål.docx", "A 48616-2025")</f>
        <v/>
      </c>
      <c r="Z15">
        <f>HYPERLINK("https://klasma.github.io/Logging_2029/klagomålsmail/A 48616-2025 FSC-klagomål mail.docx", "A 48616-2025")</f>
        <v/>
      </c>
      <c r="AA15">
        <f>HYPERLINK("https://klasma.github.io/Logging_2029/tillsyn/A 48616-2025 tillsynsbegäran.docx", "A 48616-2025")</f>
        <v/>
      </c>
      <c r="AB15">
        <f>HYPERLINK("https://klasma.github.io/Logging_2029/tillsynsmail/A 48616-2025 tillsynsbegäran mail.docx", "A 48616-2025")</f>
        <v/>
      </c>
      <c r="AC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46221</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s="2" t="inlineStr">
        <is>
          <t>Mosippa
Knärot
Skrovlig taggsvamp
Backstarr
Dropptaggsvamp
Motaggsvamp
Grönpyrola
Plattlummer</t>
        </is>
      </c>
      <c r="V16">
        <f>HYPERLINK("https://klasma.github.io/Logging_2029/artfynd/S 4467-2023 artfynd.xlsx", "S 4467-2023")</f>
        <v/>
      </c>
      <c r="W16">
        <f>HYPERLINK("https://klasma.github.io/Logging_2029/kartor/S 4467-2023 karta.png", "S 4467-2023")</f>
        <v/>
      </c>
      <c r="X16">
        <f>HYPERLINK("https://klasma.github.io/Logging_2029/knärot/S 4467-2023 karta knärot.png", "S 4467-2023")</f>
        <v/>
      </c>
      <c r="Y16">
        <f>HYPERLINK("https://klasma.github.io/Logging_2029/klagomål/S 4467-2023 FSC-klagomål.docx", "S 4467-2023")</f>
        <v/>
      </c>
      <c r="Z16">
        <f>HYPERLINK("https://klasma.github.io/Logging_2029/klagomålsmail/S 4467-2023 FSC-klagomål mail.docx", "S 4467-2023")</f>
        <v/>
      </c>
      <c r="AA16">
        <f>HYPERLINK("https://klasma.github.io/Logging_2029/tillsyn/S 4467-2023 tillsynsbegäran.docx", "S 4467-2023")</f>
        <v/>
      </c>
      <c r="AB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46221</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s="2" t="inlineStr">
        <is>
          <t>Garnlav
Gränsticka
Rosenticka
Rynkskinn
Ullticka
Violmussling
Vedticka</t>
        </is>
      </c>
      <c r="V17">
        <f>HYPERLINK("https://klasma.github.io/Logging_2029/artfynd/A 4553-2026 artfynd.xlsx", "A 4553-2026")</f>
        <v/>
      </c>
      <c r="W17">
        <f>HYPERLINK("https://klasma.github.io/Logging_2029/kartor/A 4553-2026 karta.png", "A 4553-2026")</f>
        <v/>
      </c>
      <c r="Y17">
        <f>HYPERLINK("https://klasma.github.io/Logging_2029/klagomål/A 4553-2026 FSC-klagomål.docx", "A 4553-2026")</f>
        <v/>
      </c>
      <c r="Z17">
        <f>HYPERLINK("https://klasma.github.io/Logging_2029/klagomålsmail/A 4553-2026 FSC-klagomål mail.docx", "A 4553-2026")</f>
        <v/>
      </c>
      <c r="AA17">
        <f>HYPERLINK("https://klasma.github.io/Logging_2029/tillsyn/A 4553-2026 tillsynsbegäran.docx", "A 4553-2026")</f>
        <v/>
      </c>
      <c r="AB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46221</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s="2" t="inlineStr">
        <is>
          <t>Garnlav
Reliktbock
Rosenticka
Ullticka
Bollvitmossa
Stuplav
Vedticka</t>
        </is>
      </c>
      <c r="V18">
        <f>HYPERLINK("https://klasma.github.io/Logging_2029/artfynd/A 11067-2023 artfynd.xlsx", "A 11067-2023")</f>
        <v/>
      </c>
      <c r="W18">
        <f>HYPERLINK("https://klasma.github.io/Logging_2029/kartor/A 11067-2023 karta.png", "A 11067-2023")</f>
        <v/>
      </c>
      <c r="Y18">
        <f>HYPERLINK("https://klasma.github.io/Logging_2029/klagomål/A 11067-2023 FSC-klagomål.docx", "A 11067-2023")</f>
        <v/>
      </c>
      <c r="Z18">
        <f>HYPERLINK("https://klasma.github.io/Logging_2029/klagomålsmail/A 11067-2023 FSC-klagomål mail.docx", "A 11067-2023")</f>
        <v/>
      </c>
      <c r="AA18">
        <f>HYPERLINK("https://klasma.github.io/Logging_2029/tillsyn/A 11067-2023 tillsynsbegäran.docx", "A 11067-2023")</f>
        <v/>
      </c>
      <c r="AB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46221</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s="2" t="inlineStr">
        <is>
          <t>Garnlav
Kolflarnlav
Mörk kolflarnlav
Tretåig hackspett
Vedskivlav
Mindre märgborre
Spillkråka</t>
        </is>
      </c>
      <c r="V19">
        <f>HYPERLINK("https://klasma.github.io/Logging_2029/artfynd/A 25774-2026 artfynd.xlsx", "A 25774-2026")</f>
        <v/>
      </c>
      <c r="W19">
        <f>HYPERLINK("https://klasma.github.io/Logging_2029/kartor/A 25774-2026 karta.png", "A 25774-2026")</f>
        <v/>
      </c>
      <c r="Y19">
        <f>HYPERLINK("https://klasma.github.io/Logging_2029/klagomål/A 25774-2026 FSC-klagomål.docx", "A 25774-2026")</f>
        <v/>
      </c>
      <c r="Z19">
        <f>HYPERLINK("https://klasma.github.io/Logging_2029/klagomålsmail/A 25774-2026 FSC-klagomål mail.docx", "A 25774-2026")</f>
        <v/>
      </c>
      <c r="AA19">
        <f>HYPERLINK("https://klasma.github.io/Logging_2029/tillsyn/A 25774-2026 tillsynsbegäran.docx", "A 25774-2026")</f>
        <v/>
      </c>
      <c r="AB19">
        <f>HYPERLINK("https://klasma.github.io/Logging_2029/tillsynsmail/A 25774-2026 tillsynsbegäran mail.docx", "A 25774-2026")</f>
        <v/>
      </c>
      <c r="AC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46221</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s="2" t="inlineStr">
        <is>
          <t>Dropptaggsvamp
Kolflarnlav
Vedskivlav
Mindre märgborre
Rävticka
Skinnlav</t>
        </is>
      </c>
      <c r="V20">
        <f>HYPERLINK("https://klasma.github.io/Logging_2029/artfynd/A 30176-2024 artfynd.xlsx", "A 30176-2024")</f>
        <v/>
      </c>
      <c r="W20">
        <f>HYPERLINK("https://klasma.github.io/Logging_2029/kartor/A 30176-2024 karta.png", "A 30176-2024")</f>
        <v/>
      </c>
      <c r="Y20">
        <f>HYPERLINK("https://klasma.github.io/Logging_2029/klagomål/A 30176-2024 FSC-klagomål.docx", "A 30176-2024")</f>
        <v/>
      </c>
      <c r="Z20">
        <f>HYPERLINK("https://klasma.github.io/Logging_2029/klagomålsmail/A 30176-2024 FSC-klagomål mail.docx", "A 30176-2024")</f>
        <v/>
      </c>
      <c r="AA20">
        <f>HYPERLINK("https://klasma.github.io/Logging_2029/tillsyn/A 30176-2024 tillsynsbegäran.docx", "A 30176-2024")</f>
        <v/>
      </c>
      <c r="AB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46221</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s="2" t="inlineStr">
        <is>
          <t>Garnlav
Knärot
Dofttaggsvamp
Rynkskinn
Tretåig hackspett
Ullticka</t>
        </is>
      </c>
      <c r="V21">
        <f>HYPERLINK("https://klasma.github.io/Logging_2029/artfynd/A 40636-2025 artfynd.xlsx", "A 40636-2025")</f>
        <v/>
      </c>
      <c r="W21">
        <f>HYPERLINK("https://klasma.github.io/Logging_2029/kartor/A 40636-2025 karta.png", "A 40636-2025")</f>
        <v/>
      </c>
      <c r="X21">
        <f>HYPERLINK("https://klasma.github.io/Logging_2029/knärot/A 40636-2025 karta knärot.png", "A 40636-2025")</f>
        <v/>
      </c>
      <c r="Y21">
        <f>HYPERLINK("https://klasma.github.io/Logging_2029/klagomål/A 40636-2025 FSC-klagomål.docx", "A 40636-2025")</f>
        <v/>
      </c>
      <c r="Z21">
        <f>HYPERLINK("https://klasma.github.io/Logging_2029/klagomålsmail/A 40636-2025 FSC-klagomål mail.docx", "A 40636-2025")</f>
        <v/>
      </c>
      <c r="AA21">
        <f>HYPERLINK("https://klasma.github.io/Logging_2029/tillsyn/A 40636-2025 tillsynsbegäran.docx", "A 40636-2025")</f>
        <v/>
      </c>
      <c r="AB21">
        <f>HYPERLINK("https://klasma.github.io/Logging_2029/tillsynsmail/A 40636-2025 tillsynsbegäran mail.docx", "A 40636-2025")</f>
        <v/>
      </c>
      <c r="AC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46221</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s="2" t="inlineStr">
        <is>
          <t>Knärot
Bronshjon
Järpe
Spillkråka
Tjäder
Revlummer</t>
        </is>
      </c>
      <c r="V22">
        <f>HYPERLINK("https://klasma.github.io/Logging_2029/artfynd/A 9501-2025 artfynd.xlsx", "A 9501-2025")</f>
        <v/>
      </c>
      <c r="W22">
        <f>HYPERLINK("https://klasma.github.io/Logging_2029/kartor/A 9501-2025 karta.png", "A 9501-2025")</f>
        <v/>
      </c>
      <c r="X22">
        <f>HYPERLINK("https://klasma.github.io/Logging_2029/knärot/A 9501-2025 karta knärot.png", "A 9501-2025")</f>
        <v/>
      </c>
      <c r="Y22">
        <f>HYPERLINK("https://klasma.github.io/Logging_2029/klagomål/A 9501-2025 FSC-klagomål.docx", "A 9501-2025")</f>
        <v/>
      </c>
      <c r="Z22">
        <f>HYPERLINK("https://klasma.github.io/Logging_2029/klagomålsmail/A 9501-2025 FSC-klagomål mail.docx", "A 9501-2025")</f>
        <v/>
      </c>
      <c r="AA22">
        <f>HYPERLINK("https://klasma.github.io/Logging_2029/tillsyn/A 9501-2025 tillsynsbegäran.docx", "A 9501-2025")</f>
        <v/>
      </c>
      <c r="AB22">
        <f>HYPERLINK("https://klasma.github.io/Logging_2029/tillsynsmail/A 9501-2025 tillsynsbegäran mail.docx", "A 9501-2025")</f>
        <v/>
      </c>
      <c r="AC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46221</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s="2" t="inlineStr">
        <is>
          <t>Garnlav
Kolflarnlav
Lunglav
Mörk kolflarnlav
Vedtrappmossa
Thomsons trägnagare</t>
        </is>
      </c>
      <c r="V23">
        <f>HYPERLINK("https://klasma.github.io/Logging_2029/artfynd/A 8714-2026 artfynd.xlsx", "A 8714-2026")</f>
        <v/>
      </c>
      <c r="W23">
        <f>HYPERLINK("https://klasma.github.io/Logging_2029/kartor/A 8714-2026 karta.png", "A 8714-2026")</f>
        <v/>
      </c>
      <c r="Y23">
        <f>HYPERLINK("https://klasma.github.io/Logging_2029/klagomål/A 8714-2026 FSC-klagomål.docx", "A 8714-2026")</f>
        <v/>
      </c>
      <c r="Z23">
        <f>HYPERLINK("https://klasma.github.io/Logging_2029/klagomålsmail/A 8714-2026 FSC-klagomål mail.docx", "A 8714-2026")</f>
        <v/>
      </c>
      <c r="AA23">
        <f>HYPERLINK("https://klasma.github.io/Logging_2029/tillsyn/A 8714-2026 tillsynsbegäran.docx", "A 8714-2026")</f>
        <v/>
      </c>
      <c r="AB23">
        <f>HYPERLINK("https://klasma.github.io/Logging_2029/tillsynsmail/A 8714-2026 tillsynsbegäran mail.docx", "A 8714-2026")</f>
        <v/>
      </c>
    </row>
    <row r="24" ht="15" customHeight="1">
      <c r="A24" t="inlineStr">
        <is>
          <t>A 5574-2024</t>
        </is>
      </c>
      <c r="B24" t="inlineStr">
        <is>
          <t>avverkningsanmälan</t>
        </is>
      </c>
      <c r="C24" t="inlineStr">
        <is>
          <t>Föryngringsavverkning</t>
        </is>
      </c>
      <c r="D24" s="1" t="n">
        <v>45334</v>
      </c>
      <c r="E24" s="1" t="n">
        <v>46221</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s="2" t="inlineStr">
        <is>
          <t>Slåttergubbe
Lilavaxing
Scharlakansvaxing
Blodvaxing
Broskvaxing
Papegojvaxing</t>
        </is>
      </c>
      <c r="V24">
        <f>HYPERLINK("https://klasma.github.io/Logging_2029/artfynd/A 5574-2024 artfynd.xlsx", "A 5574-2024")</f>
        <v/>
      </c>
      <c r="W24">
        <f>HYPERLINK("https://klasma.github.io/Logging_2029/kartor/A 5574-2024 karta.png", "A 5574-2024")</f>
        <v/>
      </c>
      <c r="Y24">
        <f>HYPERLINK("https://klasma.github.io/Logging_2029/klagomål/A 5574-2024 FSC-klagomål.docx", "A 5574-2024")</f>
        <v/>
      </c>
      <c r="Z24">
        <f>HYPERLINK("https://klasma.github.io/Logging_2029/klagomålsmail/A 5574-2024 FSC-klagomål mail.docx", "A 5574-2024")</f>
        <v/>
      </c>
      <c r="AA24">
        <f>HYPERLINK("https://klasma.github.io/Logging_2029/tillsyn/A 5574-2024 tillsynsbegäran.docx", "A 5574-2024")</f>
        <v/>
      </c>
      <c r="AB24">
        <f>HYPERLINK("https://klasma.github.io/Logging_2029/tillsynsmail/A 5574-2024 tillsynsbegäran mail.docx", "A 5574-2024")</f>
        <v/>
      </c>
    </row>
    <row r="25" ht="15" customHeight="1">
      <c r="A25" t="inlineStr">
        <is>
          <t>S 5006-2024</t>
        </is>
      </c>
      <c r="B25" t="inlineStr">
        <is>
          <t>samrådsanmälan</t>
        </is>
      </c>
      <c r="C25" t="inlineStr">
        <is>
          <t>Annan skogsbruksåtgärd</t>
        </is>
      </c>
      <c r="D25" s="1" t="n">
        <v>45632</v>
      </c>
      <c r="E25" s="1" t="n">
        <v>46221</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s="2" t="inlineStr">
        <is>
          <t>Mosippa
Dropptaggsvamp
Alsopp
Grönpyrola
Plattlummer
Nattviol</t>
        </is>
      </c>
      <c r="V25">
        <f>HYPERLINK("https://klasma.github.io/Logging_2029/artfynd/S 5006-2024 artfynd.xlsx", "S 5006-2024")</f>
        <v/>
      </c>
      <c r="W25">
        <f>HYPERLINK("https://klasma.github.io/Logging_2029/kartor/S 5006-2024 karta.png", "S 5006-2024")</f>
        <v/>
      </c>
      <c r="Y25">
        <f>HYPERLINK("https://klasma.github.io/Logging_2029/klagomål/S 5006-2024 FSC-klagomål.docx", "S 5006-2024")</f>
        <v/>
      </c>
      <c r="Z25">
        <f>HYPERLINK("https://klasma.github.io/Logging_2029/klagomålsmail/S 5006-2024 FSC-klagomål mail.docx", "S 5006-2024")</f>
        <v/>
      </c>
      <c r="AA25">
        <f>HYPERLINK("https://klasma.github.io/Logging_2029/tillsyn/S 5006-2024 tillsynsbegäran.docx", "S 5006-2024")</f>
        <v/>
      </c>
      <c r="AB25">
        <f>HYPERLINK("https://klasma.github.io/Logging_2029/tillsynsmail/S 5006-2024 tillsynsbegäran mail.docx", "S 5006-2024")</f>
        <v/>
      </c>
    </row>
    <row r="26" ht="15" customHeight="1">
      <c r="A26" t="inlineStr">
        <is>
          <t>A 31957-2025</t>
        </is>
      </c>
      <c r="B26" t="inlineStr">
        <is>
          <t>avverkningsanmälan</t>
        </is>
      </c>
      <c r="C26" t="inlineStr">
        <is>
          <t>Föryngringsavverkning</t>
        </is>
      </c>
      <c r="D26" s="1" t="n">
        <v>45835</v>
      </c>
      <c r="E26" s="1" t="n">
        <v>46221</v>
      </c>
      <c r="F26" t="inlineStr">
        <is>
          <t>DALARNAS LÄN</t>
        </is>
      </c>
      <c r="G26" t="inlineStr">
        <is>
          <t>LEKSAND</t>
        </is>
      </c>
      <c r="I26" t="n">
        <v>5.2</v>
      </c>
      <c r="J26" t="n">
        <v>2</v>
      </c>
      <c r="K26" t="n">
        <v>0</v>
      </c>
      <c r="L26" t="n">
        <v>3</v>
      </c>
      <c r="M26" t="n">
        <v>1</v>
      </c>
      <c r="N26" t="n">
        <v>0</v>
      </c>
      <c r="O26" t="n">
        <v>0</v>
      </c>
      <c r="P26" t="n">
        <v>0</v>
      </c>
      <c r="Q26" t="n">
        <v>4</v>
      </c>
      <c r="R26" t="n">
        <v>1</v>
      </c>
      <c r="S26" t="n">
        <v>5</v>
      </c>
      <c r="T26" t="n">
        <v>21</v>
      </c>
      <c r="U26" s="2" t="inlineStr">
        <is>
          <t>Knärot
Dvärgbägarlav
Mörk kolflarnlav
Vedskivlav
Tjäder</t>
        </is>
      </c>
      <c r="V26">
        <f>HYPERLINK("https://klasma.github.io/Logging_2029/artfynd/A 31957-2025 artfynd.xlsx", "A 31957-2025")</f>
        <v/>
      </c>
      <c r="W26">
        <f>HYPERLINK("https://klasma.github.io/Logging_2029/kartor/A 31957-2025 karta.png", "A 31957-2025")</f>
        <v/>
      </c>
      <c r="X26">
        <f>HYPERLINK("https://klasma.github.io/Logging_2029/knärot/A 31957-2025 karta knärot.png", "A 31957-2025")</f>
        <v/>
      </c>
      <c r="Y26">
        <f>HYPERLINK("https://klasma.github.io/Logging_2029/klagomål/A 31957-2025 FSC-klagomål.docx", "A 31957-2025")</f>
        <v/>
      </c>
      <c r="Z26">
        <f>HYPERLINK("https://klasma.github.io/Logging_2029/klagomålsmail/A 31957-2025 FSC-klagomål mail.docx", "A 31957-2025")</f>
        <v/>
      </c>
      <c r="AA26">
        <f>HYPERLINK("https://klasma.github.io/Logging_2029/tillsyn/A 31957-2025 tillsynsbegäran.docx", "A 31957-2025")</f>
        <v/>
      </c>
      <c r="AB26">
        <f>HYPERLINK("https://klasma.github.io/Logging_2029/tillsynsmail/A 31957-2025 tillsynsbegäran mail.docx", "A 31957-2025")</f>
        <v/>
      </c>
      <c r="AC26">
        <f>HYPERLINK("https://klasma.github.io/Logging_2029/fåglar/A 31957-2025 prioriterade fågelarter.docx", "A 31957-2025")</f>
        <v/>
      </c>
    </row>
    <row r="27" ht="15" customHeight="1">
      <c r="A27" t="inlineStr">
        <is>
          <t>A 366-2026</t>
        </is>
      </c>
      <c r="B27" t="inlineStr">
        <is>
          <t>avverkningsanmälan</t>
        </is>
      </c>
      <c r="C27" t="inlineStr">
        <is>
          <t>Föryngringsavverkning</t>
        </is>
      </c>
      <c r="D27" s="1" t="n">
        <v>46027</v>
      </c>
      <c r="E27" s="1" t="n">
        <v>46221</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s="2" t="inlineStr">
        <is>
          <t>Garnlav
Rosenticka
Ullticka
Violettgrå tagellav
Vedticka</t>
        </is>
      </c>
      <c r="V27">
        <f>HYPERLINK("https://klasma.github.io/Logging_2029/artfynd/A 366-2026 artfynd.xlsx", "A 366-2026")</f>
        <v/>
      </c>
      <c r="W27">
        <f>HYPERLINK("https://klasma.github.io/Logging_2029/kartor/A 366-2026 karta.png", "A 366-2026")</f>
        <v/>
      </c>
      <c r="Y27">
        <f>HYPERLINK("https://klasma.github.io/Logging_2029/klagomål/A 366-2026 FSC-klagomål.docx", "A 366-2026")</f>
        <v/>
      </c>
      <c r="Z27">
        <f>HYPERLINK("https://klasma.github.io/Logging_2029/klagomålsmail/A 366-2026 FSC-klagomål mail.docx", "A 366-2026")</f>
        <v/>
      </c>
      <c r="AA27">
        <f>HYPERLINK("https://klasma.github.io/Logging_2029/tillsyn/A 366-2026 tillsynsbegäran.docx", "A 366-2026")</f>
        <v/>
      </c>
      <c r="AB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46221</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s="2" t="inlineStr">
        <is>
          <t>Rosenticka
Rynkskinn
Slåtterfibbla
Svart trolldruva
Blåsippa</t>
        </is>
      </c>
      <c r="V28">
        <f>HYPERLINK("https://klasma.github.io/Logging_2029/artfynd/A 59840-2024 artfynd.xlsx", "A 59840-2024")</f>
        <v/>
      </c>
      <c r="W28">
        <f>HYPERLINK("https://klasma.github.io/Logging_2029/kartor/A 59840-2024 karta.png", "A 59840-2024")</f>
        <v/>
      </c>
      <c r="Y28">
        <f>HYPERLINK("https://klasma.github.io/Logging_2029/klagomål/A 59840-2024 FSC-klagomål.docx", "A 59840-2024")</f>
        <v/>
      </c>
      <c r="Z28">
        <f>HYPERLINK("https://klasma.github.io/Logging_2029/klagomålsmail/A 59840-2024 FSC-klagomål mail.docx", "A 59840-2024")</f>
        <v/>
      </c>
      <c r="AA28">
        <f>HYPERLINK("https://klasma.github.io/Logging_2029/tillsyn/A 59840-2024 tillsynsbegäran.docx", "A 59840-2024")</f>
        <v/>
      </c>
      <c r="AB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46221</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s="2" t="inlineStr">
        <is>
          <t>Korallrot
Spindelblomster
Mattlummer
Fläcknycklar
Revlummer</t>
        </is>
      </c>
      <c r="V29">
        <f>HYPERLINK("https://klasma.github.io/Logging_2029/artfynd/A 55519-2021 artfynd.xlsx", "A 55519-2021")</f>
        <v/>
      </c>
      <c r="W29">
        <f>HYPERLINK("https://klasma.github.io/Logging_2029/kartor/A 55519-2021 karta.png", "A 55519-2021")</f>
        <v/>
      </c>
      <c r="Y29">
        <f>HYPERLINK("https://klasma.github.io/Logging_2029/klagomål/A 55519-2021 FSC-klagomål.docx", "A 55519-2021")</f>
        <v/>
      </c>
      <c r="Z29">
        <f>HYPERLINK("https://klasma.github.io/Logging_2029/klagomålsmail/A 55519-2021 FSC-klagomål mail.docx", "A 55519-2021")</f>
        <v/>
      </c>
      <c r="AA29">
        <f>HYPERLINK("https://klasma.github.io/Logging_2029/tillsyn/A 55519-2021 tillsynsbegäran.docx", "A 55519-2021")</f>
        <v/>
      </c>
      <c r="AB29">
        <f>HYPERLINK("https://klasma.github.io/Logging_2029/tillsynsmail/A 55519-2021 tillsynsbegäran mail.docx", "A 55519-2021")</f>
        <v/>
      </c>
    </row>
    <row r="30" ht="15" customHeight="1">
      <c r="A30" t="inlineStr">
        <is>
          <t>A 47601-2025</t>
        </is>
      </c>
      <c r="B30" t="inlineStr">
        <is>
          <t>avverkningsanmälan</t>
        </is>
      </c>
      <c r="C30" t="inlineStr">
        <is>
          <t>Föryngringsavverkning</t>
        </is>
      </c>
      <c r="D30" s="1" t="n">
        <v>45931</v>
      </c>
      <c r="E30" s="1" t="n">
        <v>46221</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s="2" t="inlineStr">
        <is>
          <t>Brunlångöra
Nordfladdermus
Vågbandad barkbock
Mattlummer</t>
        </is>
      </c>
      <c r="V30">
        <f>HYPERLINK("https://klasma.github.io/Logging_2029/artfynd/A 47601-2025 artfynd.xlsx", "A 47601-2025")</f>
        <v/>
      </c>
      <c r="W30">
        <f>HYPERLINK("https://klasma.github.io/Logging_2029/kartor/A 47601-2025 karta.png", "A 47601-2025")</f>
        <v/>
      </c>
      <c r="Y30">
        <f>HYPERLINK("https://klasma.github.io/Logging_2029/klagomål/A 47601-2025 FSC-klagomål.docx", "A 47601-2025")</f>
        <v/>
      </c>
      <c r="Z30">
        <f>HYPERLINK("https://klasma.github.io/Logging_2029/klagomålsmail/A 47601-2025 FSC-klagomål mail.docx", "A 47601-2025")</f>
        <v/>
      </c>
      <c r="AA30">
        <f>HYPERLINK("https://klasma.github.io/Logging_2029/tillsyn/A 47601-2025 tillsynsbegäran.docx", "A 47601-2025")</f>
        <v/>
      </c>
      <c r="AB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46221</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s="2" t="inlineStr">
        <is>
          <t>Mosippa
Lappuggla
Backstarr
Tallticka</t>
        </is>
      </c>
      <c r="V31">
        <f>HYPERLINK("https://klasma.github.io/Logging_2029/artfynd/S 4464-2023 artfynd.xlsx", "S 4464-2023")</f>
        <v/>
      </c>
      <c r="W31">
        <f>HYPERLINK("https://klasma.github.io/Logging_2029/kartor/S 4464-2023 karta.png", "S 4464-2023")</f>
        <v/>
      </c>
      <c r="Y31">
        <f>HYPERLINK("https://klasma.github.io/Logging_2029/klagomål/S 4464-2023 FSC-klagomål.docx", "S 4464-2023")</f>
        <v/>
      </c>
      <c r="Z31">
        <f>HYPERLINK("https://klasma.github.io/Logging_2029/klagomålsmail/S 4464-2023 FSC-klagomål mail.docx", "S 4464-2023")</f>
        <v/>
      </c>
      <c r="AA31">
        <f>HYPERLINK("https://klasma.github.io/Logging_2029/tillsyn/S 4464-2023 tillsynsbegäran.docx", "S 4464-2023")</f>
        <v/>
      </c>
      <c r="AB31">
        <f>HYPERLINK("https://klasma.github.io/Logging_2029/tillsynsmail/S 4464-2023 tillsynsbegäran mail.docx", "S 4464-2023")</f>
        <v/>
      </c>
      <c r="AC31">
        <f>HYPERLINK("https://klasma.github.io/Logging_2029/fåglar/S 4464-2023 prioriterade fågelarter.docx", "S 4464-2023")</f>
        <v/>
      </c>
    </row>
    <row r="32" ht="15" customHeight="1">
      <c r="A32" t="inlineStr">
        <is>
          <t>A 51505-2022</t>
        </is>
      </c>
      <c r="B32" t="inlineStr">
        <is>
          <t>avverkningsanmälan</t>
        </is>
      </c>
      <c r="C32" t="inlineStr">
        <is>
          <t>Föryngringsavverkning</t>
        </is>
      </c>
      <c r="D32" s="1" t="n">
        <v>44869</v>
      </c>
      <c r="E32" s="1" t="n">
        <v>46221</v>
      </c>
      <c r="F32" t="inlineStr">
        <is>
          <t>DALARNAS LÄN</t>
        </is>
      </c>
      <c r="G32" t="inlineStr">
        <is>
          <t>LEKSAND</t>
        </is>
      </c>
      <c r="H32" t="inlineStr">
        <is>
          <t>Bergvik skog väst AB</t>
        </is>
      </c>
      <c r="I32" t="n">
        <v>1.3</v>
      </c>
      <c r="J32" t="n">
        <v>0</v>
      </c>
      <c r="K32" t="n">
        <v>1</v>
      </c>
      <c r="L32" t="n">
        <v>1</v>
      </c>
      <c r="M32" t="n">
        <v>1</v>
      </c>
      <c r="N32" t="n">
        <v>0</v>
      </c>
      <c r="O32" t="n">
        <v>0</v>
      </c>
      <c r="P32" t="n">
        <v>0</v>
      </c>
      <c r="Q32" t="n">
        <v>2</v>
      </c>
      <c r="R32" t="n">
        <v>1</v>
      </c>
      <c r="S32" t="n">
        <v>3</v>
      </c>
      <c r="T32" t="n">
        <v>3</v>
      </c>
      <c r="U32" s="2" t="inlineStr">
        <is>
          <t>Garnlav
Motaggsvamp
Bronshjon</t>
        </is>
      </c>
      <c r="V32">
        <f>HYPERLINK("https://klasma.github.io/Logging_2029/artfynd/A 51505-2022 artfynd.xlsx", "A 51505-2022")</f>
        <v/>
      </c>
      <c r="W32">
        <f>HYPERLINK("https://klasma.github.io/Logging_2029/kartor/A 51505-2022 karta.png", "A 51505-2022")</f>
        <v/>
      </c>
      <c r="Y32">
        <f>HYPERLINK("https://klasma.github.io/Logging_2029/klagomål/A 51505-2022 FSC-klagomål.docx", "A 51505-2022")</f>
        <v/>
      </c>
      <c r="Z32">
        <f>HYPERLINK("https://klasma.github.io/Logging_2029/klagomålsmail/A 51505-2022 FSC-klagomål mail.docx", "A 51505-2022")</f>
        <v/>
      </c>
      <c r="AA32">
        <f>HYPERLINK("https://klasma.github.io/Logging_2029/tillsyn/A 51505-2022 tillsynsbegäran.docx", "A 51505-2022")</f>
        <v/>
      </c>
      <c r="AB32">
        <f>HYPERLINK("https://klasma.github.io/Logging_2029/tillsynsmail/A 51505-2022 tillsynsbegäran mail.docx", "A 51505-2022")</f>
        <v/>
      </c>
    </row>
    <row r="33" ht="15" customHeight="1">
      <c r="A33" t="inlineStr">
        <is>
          <t>A 56153-2021</t>
        </is>
      </c>
      <c r="B33" t="inlineStr">
        <is>
          <t>avverkningsanmälan</t>
        </is>
      </c>
      <c r="C33" t="inlineStr">
        <is>
          <t>Föryngringsavverkning</t>
        </is>
      </c>
      <c r="D33" s="1" t="n">
        <v>44477</v>
      </c>
      <c r="E33" s="1" t="n">
        <v>46221</v>
      </c>
      <c r="F33" t="inlineStr">
        <is>
          <t>DALARNAS LÄN</t>
        </is>
      </c>
      <c r="G33" t="inlineStr">
        <is>
          <t>LEKSAND</t>
        </is>
      </c>
      <c r="I33" t="n">
        <v>1.2</v>
      </c>
      <c r="J33" t="n">
        <v>0</v>
      </c>
      <c r="K33" t="n">
        <v>1</v>
      </c>
      <c r="L33" t="n">
        <v>1</v>
      </c>
      <c r="M33" t="n">
        <v>1</v>
      </c>
      <c r="N33" t="n">
        <v>0</v>
      </c>
      <c r="O33" t="n">
        <v>0</v>
      </c>
      <c r="P33" t="n">
        <v>0</v>
      </c>
      <c r="Q33" t="n">
        <v>2</v>
      </c>
      <c r="R33" t="n">
        <v>1</v>
      </c>
      <c r="S33" t="n">
        <v>3</v>
      </c>
      <c r="T33" t="n">
        <v>3</v>
      </c>
      <c r="U33" s="2" t="inlineStr">
        <is>
          <t>Garnlav
Dropptaggsvamp
Mindre märgborre</t>
        </is>
      </c>
      <c r="V33">
        <f>HYPERLINK("https://klasma.github.io/Logging_2029/artfynd/A 56153-2021 artfynd.xlsx", "A 56153-2021")</f>
        <v/>
      </c>
      <c r="W33">
        <f>HYPERLINK("https://klasma.github.io/Logging_2029/kartor/A 56153-2021 karta.png", "A 56153-2021")</f>
        <v/>
      </c>
      <c r="Y33">
        <f>HYPERLINK("https://klasma.github.io/Logging_2029/klagomål/A 56153-2021 FSC-klagomål.docx", "A 56153-2021")</f>
        <v/>
      </c>
      <c r="Z33">
        <f>HYPERLINK("https://klasma.github.io/Logging_2029/klagomålsmail/A 56153-2021 FSC-klagomål mail.docx", "A 56153-2021")</f>
        <v/>
      </c>
      <c r="AA33">
        <f>HYPERLINK("https://klasma.github.io/Logging_2029/tillsyn/A 56153-2021 tillsynsbegäran.docx", "A 56153-2021")</f>
        <v/>
      </c>
      <c r="AB33">
        <f>HYPERLINK("https://klasma.github.io/Logging_2029/tillsynsmail/A 56153-2021 tillsynsbegäran mail.docx", "A 56153-2021")</f>
        <v/>
      </c>
    </row>
    <row r="34" ht="15" customHeight="1">
      <c r="A34" t="inlineStr">
        <is>
          <t>A 59111-2024</t>
        </is>
      </c>
      <c r="B34" t="inlineStr">
        <is>
          <t>avverkningsanmälan</t>
        </is>
      </c>
      <c r="C34" t="inlineStr">
        <is>
          <t>Föryngringsavverkning</t>
        </is>
      </c>
      <c r="D34" s="1" t="n">
        <v>45637</v>
      </c>
      <c r="E34" s="1" t="n">
        <v>46221</v>
      </c>
      <c r="F34" t="inlineStr">
        <is>
          <t>DALARNAS LÄN</t>
        </is>
      </c>
      <c r="G34" t="inlineStr">
        <is>
          <t>LEKSAND</t>
        </is>
      </c>
      <c r="I34" t="n">
        <v>8.800000000000001</v>
      </c>
      <c r="J34" t="n">
        <v>0</v>
      </c>
      <c r="K34" t="n">
        <v>0</v>
      </c>
      <c r="L34" t="n">
        <v>2</v>
      </c>
      <c r="M34" t="n">
        <v>1</v>
      </c>
      <c r="N34" t="n">
        <v>0</v>
      </c>
      <c r="O34" t="n">
        <v>0</v>
      </c>
      <c r="P34" t="n">
        <v>0</v>
      </c>
      <c r="Q34" t="n">
        <v>3</v>
      </c>
      <c r="R34" t="n">
        <v>1</v>
      </c>
      <c r="S34" t="n">
        <v>3</v>
      </c>
      <c r="T34" t="n">
        <v>3</v>
      </c>
      <c r="U34" s="2" t="inlineStr">
        <is>
          <t>Garnlav
Rosenticka
Violettgrå tagellav</t>
        </is>
      </c>
      <c r="V34">
        <f>HYPERLINK("https://klasma.github.io/Logging_2029/artfynd/A 59111-2024 artfynd.xlsx", "A 59111-2024")</f>
        <v/>
      </c>
      <c r="W34">
        <f>HYPERLINK("https://klasma.github.io/Logging_2029/kartor/A 59111-2024 karta.png", "A 59111-2024")</f>
        <v/>
      </c>
      <c r="Y34">
        <f>HYPERLINK("https://klasma.github.io/Logging_2029/klagomål/A 59111-2024 FSC-klagomål.docx", "A 59111-2024")</f>
        <v/>
      </c>
      <c r="Z34">
        <f>HYPERLINK("https://klasma.github.io/Logging_2029/klagomålsmail/A 59111-2024 FSC-klagomål mail.docx", "A 59111-2024")</f>
        <v/>
      </c>
      <c r="AA34">
        <f>HYPERLINK("https://klasma.github.io/Logging_2029/tillsyn/A 59111-2024 tillsynsbegäran.docx", "A 59111-2024")</f>
        <v/>
      </c>
      <c r="AB34">
        <f>HYPERLINK("https://klasma.github.io/Logging_2029/tillsynsmail/A 59111-2024 tillsynsbegäran mail.docx", "A 59111-2024")</f>
        <v/>
      </c>
    </row>
    <row r="35" ht="15" customHeight="1">
      <c r="A35" t="inlineStr">
        <is>
          <t>A 41528-2025</t>
        </is>
      </c>
      <c r="B35" t="inlineStr">
        <is>
          <t>avverkningsanmälan</t>
        </is>
      </c>
      <c r="C35" t="inlineStr">
        <is>
          <t>Föryngringsavverkning</t>
        </is>
      </c>
      <c r="D35" s="1" t="n">
        <v>45901</v>
      </c>
      <c r="E35" s="1" t="n">
        <v>46221</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s="2" t="inlineStr">
        <is>
          <t>Garnlav
Tretåig hackspett
Mindre märgborre</t>
        </is>
      </c>
      <c r="V35">
        <f>HYPERLINK("https://klasma.github.io/Logging_2029/artfynd/A 41528-2025 artfynd.xlsx", "A 41528-2025")</f>
        <v/>
      </c>
      <c r="W35">
        <f>HYPERLINK("https://klasma.github.io/Logging_2029/kartor/A 41528-2025 karta.png", "A 41528-2025")</f>
        <v/>
      </c>
      <c r="Y35">
        <f>HYPERLINK("https://klasma.github.io/Logging_2029/klagomål/A 41528-2025 FSC-klagomål.docx", "A 41528-2025")</f>
        <v/>
      </c>
      <c r="Z35">
        <f>HYPERLINK("https://klasma.github.io/Logging_2029/klagomålsmail/A 41528-2025 FSC-klagomål mail.docx", "A 41528-2025")</f>
        <v/>
      </c>
      <c r="AA35">
        <f>HYPERLINK("https://klasma.github.io/Logging_2029/tillsyn/A 41528-2025 tillsynsbegäran.docx", "A 41528-2025")</f>
        <v/>
      </c>
      <c r="AB35">
        <f>HYPERLINK("https://klasma.github.io/Logging_2029/tillsynsmail/A 41528-2025 tillsynsbegäran mail.docx", "A 41528-2025")</f>
        <v/>
      </c>
      <c r="AC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46221</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s="2" t="inlineStr">
        <is>
          <t>Knärot
Vedtrappmossa
Bronshjon</t>
        </is>
      </c>
      <c r="V36">
        <f>HYPERLINK("https://klasma.github.io/Logging_2029/artfynd/A 13612-2026 artfynd.xlsx", "A 13612-2026")</f>
        <v/>
      </c>
      <c r="W36">
        <f>HYPERLINK("https://klasma.github.io/Logging_2029/kartor/A 13612-2026 karta.png", "A 13612-2026")</f>
        <v/>
      </c>
      <c r="X36">
        <f>HYPERLINK("https://klasma.github.io/Logging_2029/knärot/A 13612-2026 karta knärot.png", "A 13612-2026")</f>
        <v/>
      </c>
      <c r="Y36">
        <f>HYPERLINK("https://klasma.github.io/Logging_2029/klagomål/A 13612-2026 FSC-klagomål.docx", "A 13612-2026")</f>
        <v/>
      </c>
      <c r="Z36">
        <f>HYPERLINK("https://klasma.github.io/Logging_2029/klagomålsmail/A 13612-2026 FSC-klagomål mail.docx", "A 13612-2026")</f>
        <v/>
      </c>
      <c r="AA36">
        <f>HYPERLINK("https://klasma.github.io/Logging_2029/tillsyn/A 13612-2026 tillsynsbegäran.docx", "A 13612-2026")</f>
        <v/>
      </c>
      <c r="AB36">
        <f>HYPERLINK("https://klasma.github.io/Logging_2029/tillsynsmail/A 13612-2026 tillsynsbegäran mail.docx", "A 13612-2026")</f>
        <v/>
      </c>
    </row>
    <row r="37" ht="15" customHeight="1">
      <c r="A37" t="inlineStr">
        <is>
          <t>S 5005-2024</t>
        </is>
      </c>
      <c r="B37" t="inlineStr">
        <is>
          <t>samrådsanmälan</t>
        </is>
      </c>
      <c r="C37" t="inlineStr">
        <is>
          <t>Annan skogsbruksåtgärd</t>
        </is>
      </c>
      <c r="D37" s="1" t="n">
        <v>45632</v>
      </c>
      <c r="E37" s="1" t="n">
        <v>46221</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s="2" t="inlineStr">
        <is>
          <t>Mosippa
Backstarr
Dropptaggsvamp</t>
        </is>
      </c>
      <c r="V37">
        <f>HYPERLINK("https://klasma.github.io/Logging_2029/artfynd/S 5005-2024 artfynd.xlsx", "S 5005-2024")</f>
        <v/>
      </c>
      <c r="W37">
        <f>HYPERLINK("https://klasma.github.io/Logging_2029/kartor/S 5005-2024 karta.png", "S 5005-2024")</f>
        <v/>
      </c>
      <c r="Y37">
        <f>HYPERLINK("https://klasma.github.io/Logging_2029/klagomål/S 5005-2024 FSC-klagomål.docx", "S 5005-2024")</f>
        <v/>
      </c>
      <c r="Z37">
        <f>HYPERLINK("https://klasma.github.io/Logging_2029/klagomålsmail/S 5005-2024 FSC-klagomål mail.docx", "S 5005-2024")</f>
        <v/>
      </c>
      <c r="AA37">
        <f>HYPERLINK("https://klasma.github.io/Logging_2029/tillsyn/S 5005-2024 tillsynsbegäran.docx", "S 5005-2024")</f>
        <v/>
      </c>
      <c r="AB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46221</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s="2" t="inlineStr">
        <is>
          <t>Garnlav
Tjäder</t>
        </is>
      </c>
      <c r="V38">
        <f>HYPERLINK("https://klasma.github.io/Logging_2029/artfynd/A 41718-2021 artfynd.xlsx", "A 41718-2021")</f>
        <v/>
      </c>
      <c r="W38">
        <f>HYPERLINK("https://klasma.github.io/Logging_2029/kartor/A 41718-2021 karta.png", "A 41718-2021")</f>
        <v/>
      </c>
      <c r="Y38">
        <f>HYPERLINK("https://klasma.github.io/Logging_2029/klagomål/A 41718-2021 FSC-klagomål.docx", "A 41718-2021")</f>
        <v/>
      </c>
      <c r="Z38">
        <f>HYPERLINK("https://klasma.github.io/Logging_2029/klagomålsmail/A 41718-2021 FSC-klagomål mail.docx", "A 41718-2021")</f>
        <v/>
      </c>
      <c r="AA38">
        <f>HYPERLINK("https://klasma.github.io/Logging_2029/tillsyn/A 41718-2021 tillsynsbegäran.docx", "A 41718-2021")</f>
        <v/>
      </c>
      <c r="AB38">
        <f>HYPERLINK("https://klasma.github.io/Logging_2029/tillsynsmail/A 41718-2021 tillsynsbegäran mail.docx", "A 41718-2021")</f>
        <v/>
      </c>
      <c r="AC38">
        <f>HYPERLINK("https://klasma.github.io/Logging_2029/fåglar/A 41718-2021 prioriterade fågelarter.docx", "A 41718-2021")</f>
        <v/>
      </c>
    </row>
    <row r="39" ht="15" customHeight="1">
      <c r="A39" t="inlineStr">
        <is>
          <t>A 59826-2023</t>
        </is>
      </c>
      <c r="B39" t="inlineStr">
        <is>
          <t>avverkningsanmälan</t>
        </is>
      </c>
      <c r="C39" t="inlineStr">
        <is>
          <t>Föryngringsavverkning</t>
        </is>
      </c>
      <c r="D39" s="1" t="n">
        <v>45254</v>
      </c>
      <c r="E39" s="1" t="n">
        <v>46221</v>
      </c>
      <c r="F39" t="inlineStr">
        <is>
          <t>DALARNAS LÄN</t>
        </is>
      </c>
      <c r="G39" t="inlineStr">
        <is>
          <t>LEKSAND</t>
        </is>
      </c>
      <c r="I39" t="n">
        <v>1.1</v>
      </c>
      <c r="J39" t="n">
        <v>0</v>
      </c>
      <c r="K39" t="n">
        <v>1</v>
      </c>
      <c r="L39" t="n">
        <v>1</v>
      </c>
      <c r="M39" t="n">
        <v>0</v>
      </c>
      <c r="N39" t="n">
        <v>0</v>
      </c>
      <c r="O39" t="n">
        <v>0</v>
      </c>
      <c r="P39" t="n">
        <v>0</v>
      </c>
      <c r="Q39" t="n">
        <v>1</v>
      </c>
      <c r="R39" t="n">
        <v>0</v>
      </c>
      <c r="S39" t="n">
        <v>2</v>
      </c>
      <c r="T39" t="n">
        <v>2</v>
      </c>
      <c r="U39" s="2" t="inlineStr">
        <is>
          <t>Stiftgelélav
Skinnlav</t>
        </is>
      </c>
      <c r="V39">
        <f>HYPERLINK("https://klasma.github.io/Logging_2029/artfynd/A 59826-2023 artfynd.xlsx", "A 59826-2023")</f>
        <v/>
      </c>
      <c r="W39">
        <f>HYPERLINK("https://klasma.github.io/Logging_2029/kartor/A 59826-2023 karta.png", "A 59826-2023")</f>
        <v/>
      </c>
      <c r="Y39">
        <f>HYPERLINK("https://klasma.github.io/Logging_2029/klagomål/A 59826-2023 FSC-klagomål.docx", "A 59826-2023")</f>
        <v/>
      </c>
      <c r="Z39">
        <f>HYPERLINK("https://klasma.github.io/Logging_2029/klagomålsmail/A 59826-2023 FSC-klagomål mail.docx", "A 59826-2023")</f>
        <v/>
      </c>
      <c r="AA39">
        <f>HYPERLINK("https://klasma.github.io/Logging_2029/tillsyn/A 59826-2023 tillsynsbegäran.docx", "A 59826-2023")</f>
        <v/>
      </c>
      <c r="AB39">
        <f>HYPERLINK("https://klasma.github.io/Logging_2029/tillsynsmail/A 59826-2023 tillsynsbegäran mail.docx", "A 59826-2023")</f>
        <v/>
      </c>
    </row>
    <row r="40" ht="15" customHeight="1">
      <c r="A40" t="inlineStr">
        <is>
          <t>A 63514-2023</t>
        </is>
      </c>
      <c r="B40" t="inlineStr">
        <is>
          <t>avverkningsanmälan</t>
        </is>
      </c>
      <c r="C40" t="inlineStr">
        <is>
          <t>Avverkning för att bevara och utveckla /försöksver</t>
        </is>
      </c>
      <c r="D40" s="1" t="n">
        <v>45274</v>
      </c>
      <c r="E40" s="1" t="n">
        <v>46221</v>
      </c>
      <c r="F40" t="inlineStr">
        <is>
          <t>DALARNAS LÄN</t>
        </is>
      </c>
      <c r="G40" t="inlineStr">
        <is>
          <t>LEKSAND</t>
        </is>
      </c>
      <c r="I40" t="n">
        <v>1</v>
      </c>
      <c r="J40" t="n">
        <v>2</v>
      </c>
      <c r="K40" t="n">
        <v>0</v>
      </c>
      <c r="L40" t="n">
        <v>1</v>
      </c>
      <c r="M40" t="n">
        <v>0</v>
      </c>
      <c r="N40" t="n">
        <v>0</v>
      </c>
      <c r="O40" t="n">
        <v>0</v>
      </c>
      <c r="P40" t="n">
        <v>0</v>
      </c>
      <c r="Q40" t="n">
        <v>1</v>
      </c>
      <c r="R40" t="n">
        <v>0</v>
      </c>
      <c r="S40" t="n">
        <v>2</v>
      </c>
      <c r="T40" t="n">
        <v>2</v>
      </c>
      <c r="U40" s="2" t="inlineStr">
        <is>
          <t>Grönsångare
Trana</t>
        </is>
      </c>
      <c r="V40">
        <f>HYPERLINK("https://klasma.github.io/Logging_2029/artfynd/A 63514-2023 artfynd.xlsx", "A 63514-2023")</f>
        <v/>
      </c>
      <c r="W40">
        <f>HYPERLINK("https://klasma.github.io/Logging_2029/kartor/A 63514-2023 karta.png", "A 63514-2023")</f>
        <v/>
      </c>
      <c r="Y40">
        <f>HYPERLINK("https://klasma.github.io/Logging_2029/klagomål/A 63514-2023 FSC-klagomål.docx", "A 63514-2023")</f>
        <v/>
      </c>
      <c r="Z40">
        <f>HYPERLINK("https://klasma.github.io/Logging_2029/klagomålsmail/A 63514-2023 FSC-klagomål mail.docx", "A 63514-2023")</f>
        <v/>
      </c>
      <c r="AA40">
        <f>HYPERLINK("https://klasma.github.io/Logging_2029/tillsyn/A 63514-2023 tillsynsbegäran.docx", "A 63514-2023")</f>
        <v/>
      </c>
      <c r="AB40">
        <f>HYPERLINK("https://klasma.github.io/Logging_2029/tillsynsmail/A 63514-2023 tillsynsbegäran mail.docx", "A 63514-2023")</f>
        <v/>
      </c>
      <c r="AC40">
        <f>HYPERLINK("https://klasma.github.io/Logging_2029/fåglar/A 63514-2023 prioriterade fågelarter.docx", "A 63514-2023")</f>
        <v/>
      </c>
    </row>
    <row r="41" ht="15" customHeight="1">
      <c r="A41" t="inlineStr">
        <is>
          <t>A 62161-2024</t>
        </is>
      </c>
      <c r="B41" t="inlineStr">
        <is>
          <t>avverkningsanmälan</t>
        </is>
      </c>
      <c r="C41" t="inlineStr">
        <is>
          <t>Föryngringsavverkning</t>
        </is>
      </c>
      <c r="D41" s="1" t="n">
        <v>45656</v>
      </c>
      <c r="E41" s="1" t="n">
        <v>46221</v>
      </c>
      <c r="F41" t="inlineStr">
        <is>
          <t>DALARNAS LÄN</t>
        </is>
      </c>
      <c r="G41" t="inlineStr">
        <is>
          <t>LEKSAND</t>
        </is>
      </c>
      <c r="I41" t="n">
        <v>2</v>
      </c>
      <c r="J41" t="n">
        <v>1</v>
      </c>
      <c r="K41" t="n">
        <v>2</v>
      </c>
      <c r="L41" t="n">
        <v>0</v>
      </c>
      <c r="M41" t="n">
        <v>0</v>
      </c>
      <c r="N41" t="n">
        <v>0</v>
      </c>
      <c r="O41" t="n">
        <v>0</v>
      </c>
      <c r="P41" t="n">
        <v>0</v>
      </c>
      <c r="Q41" t="n">
        <v>0</v>
      </c>
      <c r="R41" t="n">
        <v>0</v>
      </c>
      <c r="S41" t="n">
        <v>2</v>
      </c>
      <c r="T41" t="n">
        <v>2</v>
      </c>
      <c r="U41" s="2" t="inlineStr">
        <is>
          <t>Kambräken
Korallrot</t>
        </is>
      </c>
      <c r="V41">
        <f>HYPERLINK("https://klasma.github.io/Logging_2029/artfynd/A 62161-2024 artfynd.xlsx", "A 62161-2024")</f>
        <v/>
      </c>
      <c r="W41">
        <f>HYPERLINK("https://klasma.github.io/Logging_2029/kartor/A 62161-2024 karta.png", "A 62161-2024")</f>
        <v/>
      </c>
      <c r="Y41">
        <f>HYPERLINK("https://klasma.github.io/Logging_2029/klagomål/A 62161-2024 FSC-klagomål.docx", "A 62161-2024")</f>
        <v/>
      </c>
      <c r="Z41">
        <f>HYPERLINK("https://klasma.github.io/Logging_2029/klagomålsmail/A 62161-2024 FSC-klagomål mail.docx", "A 62161-2024")</f>
        <v/>
      </c>
      <c r="AA41">
        <f>HYPERLINK("https://klasma.github.io/Logging_2029/tillsyn/A 62161-2024 tillsynsbegäran.docx", "A 62161-2024")</f>
        <v/>
      </c>
      <c r="AB41">
        <f>HYPERLINK("https://klasma.github.io/Logging_2029/tillsynsmail/A 62161-2024 tillsynsbegäran mail.docx", "A 62161-2024")</f>
        <v/>
      </c>
    </row>
    <row r="42" ht="15" customHeight="1">
      <c r="A42" t="inlineStr">
        <is>
          <t>A 27183-2025</t>
        </is>
      </c>
      <c r="B42" t="inlineStr">
        <is>
          <t>avverkningsanmälan</t>
        </is>
      </c>
      <c r="C42" t="inlineStr">
        <is>
          <t>Föryngringsavverkning</t>
        </is>
      </c>
      <c r="D42" s="1" t="n">
        <v>45812</v>
      </c>
      <c r="E42" s="1" t="n">
        <v>46221</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s="2" t="inlineStr">
        <is>
          <t>Brun gräsfjäril
Väddnätfjäril</t>
        </is>
      </c>
      <c r="V42">
        <f>HYPERLINK("https://klasma.github.io/Logging_2029/artfynd/A 27183-2025 artfynd.xlsx", "A 27183-2025")</f>
        <v/>
      </c>
      <c r="W42">
        <f>HYPERLINK("https://klasma.github.io/Logging_2029/kartor/A 27183-2025 karta.png", "A 27183-2025")</f>
        <v/>
      </c>
      <c r="Y42">
        <f>HYPERLINK("https://klasma.github.io/Logging_2029/klagomål/A 27183-2025 FSC-klagomål.docx", "A 27183-2025")</f>
        <v/>
      </c>
      <c r="Z42">
        <f>HYPERLINK("https://klasma.github.io/Logging_2029/klagomålsmail/A 27183-2025 FSC-klagomål mail.docx", "A 27183-2025")</f>
        <v/>
      </c>
      <c r="AA42">
        <f>HYPERLINK("https://klasma.github.io/Logging_2029/tillsyn/A 27183-2025 tillsynsbegäran.docx", "A 27183-2025")</f>
        <v/>
      </c>
      <c r="AB42">
        <f>HYPERLINK("https://klasma.github.io/Logging_2029/tillsynsmail/A 27183-2025 tillsynsbegäran mail.docx", "A 27183-2025")</f>
        <v/>
      </c>
    </row>
    <row r="43" ht="15" customHeight="1">
      <c r="A43" t="inlineStr">
        <is>
          <t>A 9408-2024</t>
        </is>
      </c>
      <c r="B43" t="inlineStr">
        <is>
          <t>avverkningsanmälan</t>
        </is>
      </c>
      <c r="C43" t="inlineStr">
        <is>
          <t>Föryngringsavverkning</t>
        </is>
      </c>
      <c r="D43" s="1" t="n">
        <v>45358</v>
      </c>
      <c r="E43" s="1" t="n">
        <v>46221</v>
      </c>
      <c r="F43" t="inlineStr">
        <is>
          <t>DALARNAS LÄN</t>
        </is>
      </c>
      <c r="G43" t="inlineStr">
        <is>
          <t>LEKSAND</t>
        </is>
      </c>
      <c r="I43" t="n">
        <v>3</v>
      </c>
      <c r="J43" t="n">
        <v>0</v>
      </c>
      <c r="K43" t="n">
        <v>0</v>
      </c>
      <c r="L43" t="n">
        <v>2</v>
      </c>
      <c r="M43" t="n">
        <v>0</v>
      </c>
      <c r="N43" t="n">
        <v>0</v>
      </c>
      <c r="O43" t="n">
        <v>0</v>
      </c>
      <c r="P43" t="n">
        <v>0</v>
      </c>
      <c r="Q43" t="n">
        <v>2</v>
      </c>
      <c r="R43" t="n">
        <v>0</v>
      </c>
      <c r="S43" t="n">
        <v>2</v>
      </c>
      <c r="T43" t="n">
        <v>2</v>
      </c>
      <c r="U43" s="2" t="inlineStr">
        <is>
          <t>Kolflarnlav
Talltaggsvamp</t>
        </is>
      </c>
      <c r="V43">
        <f>HYPERLINK("https://klasma.github.io/Logging_2029/artfynd/A 9408-2024 artfynd.xlsx", "A 9408-2024")</f>
        <v/>
      </c>
      <c r="W43">
        <f>HYPERLINK("https://klasma.github.io/Logging_2029/kartor/A 9408-2024 karta.png", "A 9408-2024")</f>
        <v/>
      </c>
      <c r="Y43">
        <f>HYPERLINK("https://klasma.github.io/Logging_2029/klagomål/A 9408-2024 FSC-klagomål.docx", "A 9408-2024")</f>
        <v/>
      </c>
      <c r="Z43">
        <f>HYPERLINK("https://klasma.github.io/Logging_2029/klagomålsmail/A 9408-2024 FSC-klagomål mail.docx", "A 9408-2024")</f>
        <v/>
      </c>
      <c r="AA43">
        <f>HYPERLINK("https://klasma.github.io/Logging_2029/tillsyn/A 9408-2024 tillsynsbegäran.docx", "A 9408-2024")</f>
        <v/>
      </c>
      <c r="AB43">
        <f>HYPERLINK("https://klasma.github.io/Logging_2029/tillsynsmail/A 9408-2024 tillsynsbegäran mail.docx", "A 9408-2024")</f>
        <v/>
      </c>
    </row>
    <row r="44" ht="15" customHeight="1">
      <c r="A44" t="inlineStr">
        <is>
          <t>A 39546-2025</t>
        </is>
      </c>
      <c r="B44" t="inlineStr">
        <is>
          <t>avverkningsanmälan</t>
        </is>
      </c>
      <c r="C44" t="inlineStr">
        <is>
          <t>Föryngringsavverkning</t>
        </is>
      </c>
      <c r="D44" s="1" t="n">
        <v>45890</v>
      </c>
      <c r="E44" s="1" t="n">
        <v>46221</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s="2" t="inlineStr">
        <is>
          <t>Aspgelélav
Stuplav</t>
        </is>
      </c>
      <c r="V44">
        <f>HYPERLINK("https://klasma.github.io/Logging_2029/artfynd/A 39546-2025 artfynd.xlsx", "A 39546-2025")</f>
        <v/>
      </c>
      <c r="W44">
        <f>HYPERLINK("https://klasma.github.io/Logging_2029/kartor/A 39546-2025 karta.png", "A 39546-2025")</f>
        <v/>
      </c>
      <c r="Y44">
        <f>HYPERLINK("https://klasma.github.io/Logging_2029/klagomål/A 39546-2025 FSC-klagomål.docx", "A 39546-2025")</f>
        <v/>
      </c>
      <c r="Z44">
        <f>HYPERLINK("https://klasma.github.io/Logging_2029/klagomålsmail/A 39546-2025 FSC-klagomål mail.docx", "A 39546-2025")</f>
        <v/>
      </c>
      <c r="AA44">
        <f>HYPERLINK("https://klasma.github.io/Logging_2029/tillsyn/A 39546-2025 tillsynsbegäran.docx", "A 39546-2025")</f>
        <v/>
      </c>
      <c r="AB44">
        <f>HYPERLINK("https://klasma.github.io/Logging_2029/tillsynsmail/A 39546-2025 tillsynsbegäran mail.docx", "A 39546-2025")</f>
        <v/>
      </c>
    </row>
    <row r="45" ht="15" customHeight="1">
      <c r="A45" t="inlineStr">
        <is>
          <t>A 6778-2022</t>
        </is>
      </c>
      <c r="B45" t="inlineStr">
        <is>
          <t>avverkningsanmälan</t>
        </is>
      </c>
      <c r="C45" t="inlineStr">
        <is>
          <t>Föryngringsavverkning</t>
        </is>
      </c>
      <c r="D45" s="1" t="n">
        <v>44602</v>
      </c>
      <c r="E45" s="1" t="n">
        <v>46221</v>
      </c>
      <c r="F45" t="inlineStr">
        <is>
          <t>DALARNAS LÄN</t>
        </is>
      </c>
      <c r="G45" t="inlineStr">
        <is>
          <t>LEKSAND</t>
        </is>
      </c>
      <c r="H45" t="inlineStr">
        <is>
          <t>Kyrkan</t>
        </is>
      </c>
      <c r="I45" t="n">
        <v>2</v>
      </c>
      <c r="J45" t="n">
        <v>2</v>
      </c>
      <c r="K45" t="n">
        <v>0</v>
      </c>
      <c r="L45" t="n">
        <v>1</v>
      </c>
      <c r="M45" t="n">
        <v>0</v>
      </c>
      <c r="N45" t="n">
        <v>0</v>
      </c>
      <c r="O45" t="n">
        <v>0</v>
      </c>
      <c r="P45" t="n">
        <v>0</v>
      </c>
      <c r="Q45" t="n">
        <v>1</v>
      </c>
      <c r="R45" t="n">
        <v>0</v>
      </c>
      <c r="S45" t="n">
        <v>2</v>
      </c>
      <c r="T45" t="n">
        <v>2</v>
      </c>
      <c r="U45" s="2" t="inlineStr">
        <is>
          <t>Talltita
Orre</t>
        </is>
      </c>
      <c r="V45">
        <f>HYPERLINK("https://klasma.github.io/Logging_2029/artfynd/A 6778-2022 artfynd.xlsx", "A 6778-2022")</f>
        <v/>
      </c>
      <c r="W45">
        <f>HYPERLINK("https://klasma.github.io/Logging_2029/kartor/A 6778-2022 karta.png", "A 6778-2022")</f>
        <v/>
      </c>
      <c r="Y45">
        <f>HYPERLINK("https://klasma.github.io/Logging_2029/klagomål/A 6778-2022 FSC-klagomål.docx", "A 6778-2022")</f>
        <v/>
      </c>
      <c r="Z45">
        <f>HYPERLINK("https://klasma.github.io/Logging_2029/klagomålsmail/A 6778-2022 FSC-klagomål mail.docx", "A 6778-2022")</f>
        <v/>
      </c>
      <c r="AA45">
        <f>HYPERLINK("https://klasma.github.io/Logging_2029/tillsyn/A 6778-2022 tillsynsbegäran.docx", "A 6778-2022")</f>
        <v/>
      </c>
      <c r="AB45">
        <f>HYPERLINK("https://klasma.github.io/Logging_2029/tillsynsmail/A 6778-2022 tillsynsbegäran mail.docx", "A 6778-2022")</f>
        <v/>
      </c>
      <c r="AC45">
        <f>HYPERLINK("https://klasma.github.io/Logging_2029/fåglar/A 6778-2022 prioriterade fågelarter.docx", "A 6778-2022")</f>
        <v/>
      </c>
    </row>
    <row r="46" ht="15" customHeight="1">
      <c r="A46" t="inlineStr">
        <is>
          <t>A 34996-2025</t>
        </is>
      </c>
      <c r="B46" t="inlineStr">
        <is>
          <t>avverkningsanmälan</t>
        </is>
      </c>
      <c r="C46" t="inlineStr">
        <is>
          <t>Föryngringsavverkning</t>
        </is>
      </c>
      <c r="D46" s="1" t="n">
        <v>45849</v>
      </c>
      <c r="E46" s="1" t="n">
        <v>46221</v>
      </c>
      <c r="F46" t="inlineStr">
        <is>
          <t>DALARNAS LÄN</t>
        </is>
      </c>
      <c r="G46" t="inlineStr">
        <is>
          <t>LEKSAND</t>
        </is>
      </c>
      <c r="I46" t="n">
        <v>1.1</v>
      </c>
      <c r="J46" t="n">
        <v>0</v>
      </c>
      <c r="K46" t="n">
        <v>0</v>
      </c>
      <c r="L46" t="n">
        <v>1</v>
      </c>
      <c r="M46" t="n">
        <v>1</v>
      </c>
      <c r="N46" t="n">
        <v>0</v>
      </c>
      <c r="O46" t="n">
        <v>0</v>
      </c>
      <c r="P46" t="n">
        <v>0</v>
      </c>
      <c r="Q46" t="n">
        <v>2</v>
      </c>
      <c r="R46" t="n">
        <v>1</v>
      </c>
      <c r="S46" t="n">
        <v>2</v>
      </c>
      <c r="T46" t="n">
        <v>3</v>
      </c>
      <c r="U46" s="2" t="inlineStr">
        <is>
          <t>Garnlav
Dvärgbägarlav</t>
        </is>
      </c>
      <c r="V46">
        <f>HYPERLINK("https://klasma.github.io/Logging_2029/artfynd/A 34996-2025 artfynd.xlsx", "A 34996-2025")</f>
        <v/>
      </c>
      <c r="W46">
        <f>HYPERLINK("https://klasma.github.io/Logging_2029/kartor/A 34996-2025 karta.png", "A 34996-2025")</f>
        <v/>
      </c>
      <c r="Y46">
        <f>HYPERLINK("https://klasma.github.io/Logging_2029/klagomål/A 34996-2025 FSC-klagomål.docx", "A 34996-2025")</f>
        <v/>
      </c>
      <c r="Z46">
        <f>HYPERLINK("https://klasma.github.io/Logging_2029/klagomålsmail/A 34996-2025 FSC-klagomål mail.docx", "A 34996-2025")</f>
        <v/>
      </c>
      <c r="AA46">
        <f>HYPERLINK("https://klasma.github.io/Logging_2029/tillsyn/A 34996-2025 tillsynsbegäran.docx", "A 34996-2025")</f>
        <v/>
      </c>
      <c r="AB46">
        <f>HYPERLINK("https://klasma.github.io/Logging_2029/tillsynsmail/A 34996-2025 tillsynsbegäran mail.docx", "A 34996-2025")</f>
        <v/>
      </c>
    </row>
    <row r="47" ht="15" customHeight="1">
      <c r="A47" t="inlineStr">
        <is>
          <t>A 53633-2024</t>
        </is>
      </c>
      <c r="B47" t="inlineStr">
        <is>
          <t>avverkningsanmälan</t>
        </is>
      </c>
      <c r="C47" t="inlineStr">
        <is>
          <t>Föryngringsavverkning</t>
        </is>
      </c>
      <c r="D47" s="1" t="n">
        <v>45614</v>
      </c>
      <c r="E47" s="1" t="n">
        <v>46221</v>
      </c>
      <c r="F47" t="inlineStr">
        <is>
          <t>DALARNAS LÄN</t>
        </is>
      </c>
      <c r="G47" t="inlineStr">
        <is>
          <t>LEKSAND</t>
        </is>
      </c>
      <c r="I47" t="n">
        <v>1.6</v>
      </c>
      <c r="J47" t="n">
        <v>2</v>
      </c>
      <c r="K47" t="n">
        <v>0</v>
      </c>
      <c r="L47" t="n">
        <v>1</v>
      </c>
      <c r="M47" t="n">
        <v>0</v>
      </c>
      <c r="N47" t="n">
        <v>0</v>
      </c>
      <c r="O47" t="n">
        <v>0</v>
      </c>
      <c r="P47" t="n">
        <v>0</v>
      </c>
      <c r="Q47" t="n">
        <v>1</v>
      </c>
      <c r="R47" t="n">
        <v>0</v>
      </c>
      <c r="S47" t="n">
        <v>2</v>
      </c>
      <c r="T47" t="n">
        <v>3</v>
      </c>
      <c r="U47" s="2" t="inlineStr">
        <is>
          <t>Tretåig hackspett
Fläcknycklar</t>
        </is>
      </c>
      <c r="V47">
        <f>HYPERLINK("https://klasma.github.io/Logging_2029/artfynd/A 53633-2024 artfynd.xlsx", "A 53633-2024")</f>
        <v/>
      </c>
      <c r="W47">
        <f>HYPERLINK("https://klasma.github.io/Logging_2029/kartor/A 53633-2024 karta.png", "A 53633-2024")</f>
        <v/>
      </c>
      <c r="Y47">
        <f>HYPERLINK("https://klasma.github.io/Logging_2029/klagomål/A 53633-2024 FSC-klagomål.docx", "A 53633-2024")</f>
        <v/>
      </c>
      <c r="Z47">
        <f>HYPERLINK("https://klasma.github.io/Logging_2029/klagomålsmail/A 53633-2024 FSC-klagomål mail.docx", "A 53633-2024")</f>
        <v/>
      </c>
      <c r="AA47">
        <f>HYPERLINK("https://klasma.github.io/Logging_2029/tillsyn/A 53633-2024 tillsynsbegäran.docx", "A 53633-2024")</f>
        <v/>
      </c>
      <c r="AB47">
        <f>HYPERLINK("https://klasma.github.io/Logging_2029/tillsynsmail/A 53633-2024 tillsynsbegäran mail.docx", "A 53633-2024")</f>
        <v/>
      </c>
      <c r="AC47">
        <f>HYPERLINK("https://klasma.github.io/Logging_2029/fåglar/A 53633-2024 prioriterade fågelarter.docx", "A 53633-2024")</f>
        <v/>
      </c>
    </row>
    <row r="48" ht="15" customHeight="1">
      <c r="A48" t="inlineStr">
        <is>
          <t>A 41873-2022</t>
        </is>
      </c>
      <c r="B48" t="inlineStr">
        <is>
          <t>avverkningsanmälan</t>
        </is>
      </c>
      <c r="C48" t="inlineStr">
        <is>
          <t>Föryngringsavverkning</t>
        </is>
      </c>
      <c r="D48" s="1" t="n">
        <v>44829</v>
      </c>
      <c r="E48" s="1" t="n">
        <v>46221</v>
      </c>
      <c r="F48" t="inlineStr">
        <is>
          <t>DALARNAS LÄN</t>
        </is>
      </c>
      <c r="G48" t="inlineStr">
        <is>
          <t>LEKSAND</t>
        </is>
      </c>
      <c r="I48" t="n">
        <v>2.1</v>
      </c>
      <c r="J48" t="n">
        <v>1</v>
      </c>
      <c r="K48" t="n">
        <v>1</v>
      </c>
      <c r="L48" t="n">
        <v>0</v>
      </c>
      <c r="M48" t="n">
        <v>0</v>
      </c>
      <c r="N48" t="n">
        <v>0</v>
      </c>
      <c r="O48" t="n">
        <v>0</v>
      </c>
      <c r="P48" t="n">
        <v>0</v>
      </c>
      <c r="Q48" t="n">
        <v>0</v>
      </c>
      <c r="R48" t="n">
        <v>0</v>
      </c>
      <c r="S48" t="n">
        <v>2</v>
      </c>
      <c r="T48" t="n">
        <v>2</v>
      </c>
      <c r="U48" s="2" t="inlineStr">
        <is>
          <t>Underviol
Spillkråka</t>
        </is>
      </c>
      <c r="V48">
        <f>HYPERLINK("https://klasma.github.io/Logging_2029/artfynd/A 41873-2022 artfynd.xlsx", "A 41873-2022")</f>
        <v/>
      </c>
      <c r="W48">
        <f>HYPERLINK("https://klasma.github.io/Logging_2029/kartor/A 41873-2022 karta.png", "A 41873-2022")</f>
        <v/>
      </c>
      <c r="Y48">
        <f>HYPERLINK("https://klasma.github.io/Logging_2029/klagomål/A 41873-2022 FSC-klagomål.docx", "A 41873-2022")</f>
        <v/>
      </c>
      <c r="Z48">
        <f>HYPERLINK("https://klasma.github.io/Logging_2029/klagomålsmail/A 41873-2022 FSC-klagomål mail.docx", "A 41873-2022")</f>
        <v/>
      </c>
      <c r="AA48">
        <f>HYPERLINK("https://klasma.github.io/Logging_2029/tillsyn/A 41873-2022 tillsynsbegäran.docx", "A 41873-2022")</f>
        <v/>
      </c>
      <c r="AB48">
        <f>HYPERLINK("https://klasma.github.io/Logging_2029/tillsynsmail/A 41873-2022 tillsynsbegäran mail.docx", "A 41873-2022")</f>
        <v/>
      </c>
      <c r="AC48">
        <f>HYPERLINK("https://klasma.github.io/Logging_2029/fåglar/A 41873-2022 prioriterade fågelarter.docx", "A 41873-2022")</f>
        <v/>
      </c>
    </row>
    <row r="49" ht="15" customHeight="1">
      <c r="A49" t="inlineStr">
        <is>
          <t>A 16333-2023</t>
        </is>
      </c>
      <c r="B49" t="inlineStr">
        <is>
          <t>avverkningsanmälan</t>
        </is>
      </c>
      <c r="C49" t="inlineStr">
        <is>
          <t>Avverkning för annat ändamål</t>
        </is>
      </c>
      <c r="D49" s="1" t="n">
        <v>45028</v>
      </c>
      <c r="E49" s="1" t="n">
        <v>46221</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s="2" t="inlineStr">
        <is>
          <t>Läderskål
Nattviol</t>
        </is>
      </c>
      <c r="V49">
        <f>HYPERLINK("https://klasma.github.io/Logging_2029/artfynd/A 16333-2023 artfynd.xlsx", "A 16333-2023")</f>
        <v/>
      </c>
      <c r="W49">
        <f>HYPERLINK("https://klasma.github.io/Logging_2029/kartor/A 16333-2023 karta.png", "A 16333-2023")</f>
        <v/>
      </c>
      <c r="Y49">
        <f>HYPERLINK("https://klasma.github.io/Logging_2029/klagomål/A 16333-2023 FSC-klagomål.docx", "A 16333-2023")</f>
        <v/>
      </c>
      <c r="Z49">
        <f>HYPERLINK("https://klasma.github.io/Logging_2029/klagomålsmail/A 16333-2023 FSC-klagomål mail.docx", "A 16333-2023")</f>
        <v/>
      </c>
      <c r="AA49">
        <f>HYPERLINK("https://klasma.github.io/Logging_2029/tillsyn/A 16333-2023 tillsynsbegäran.docx", "A 16333-2023")</f>
        <v/>
      </c>
      <c r="AB49">
        <f>HYPERLINK("https://klasma.github.io/Logging_2029/tillsynsmail/A 16333-2023 tillsynsbegäran mail.docx", "A 16333-2023")</f>
        <v/>
      </c>
    </row>
    <row r="50" ht="15" customHeight="1">
      <c r="A50" t="inlineStr">
        <is>
          <t>A 58495-2023</t>
        </is>
      </c>
      <c r="B50" t="inlineStr">
        <is>
          <t>avverkningsanmälan</t>
        </is>
      </c>
      <c r="C50" t="inlineStr">
        <is>
          <t>Avverkning för annat ändamål</t>
        </is>
      </c>
      <c r="D50" s="1" t="n">
        <v>45251</v>
      </c>
      <c r="E50" s="1" t="n">
        <v>46221</v>
      </c>
      <c r="F50" t="inlineStr">
        <is>
          <t>DALARNAS LÄN</t>
        </is>
      </c>
      <c r="G50" t="inlineStr">
        <is>
          <t>LEKSAND</t>
        </is>
      </c>
      <c r="I50" t="n">
        <v>1.7</v>
      </c>
      <c r="J50" t="n">
        <v>0</v>
      </c>
      <c r="K50" t="n">
        <v>2</v>
      </c>
      <c r="L50" t="n">
        <v>0</v>
      </c>
      <c r="M50" t="n">
        <v>0</v>
      </c>
      <c r="N50" t="n">
        <v>0</v>
      </c>
      <c r="O50" t="n">
        <v>0</v>
      </c>
      <c r="P50" t="n">
        <v>0</v>
      </c>
      <c r="Q50" t="n">
        <v>0</v>
      </c>
      <c r="R50" t="n">
        <v>0</v>
      </c>
      <c r="S50" t="n">
        <v>2</v>
      </c>
      <c r="T50" t="n">
        <v>4</v>
      </c>
      <c r="U50" s="2" t="inlineStr">
        <is>
          <t>Brun nållav
Sotlav</t>
        </is>
      </c>
      <c r="V50">
        <f>HYPERLINK("https://klasma.github.io/Logging_2029/artfynd/A 58495-2023 artfynd.xlsx", "A 58495-2023")</f>
        <v/>
      </c>
      <c r="W50">
        <f>HYPERLINK("https://klasma.github.io/Logging_2029/kartor/A 58495-2023 karta.png", "A 58495-2023")</f>
        <v/>
      </c>
      <c r="Y50">
        <f>HYPERLINK("https://klasma.github.io/Logging_2029/klagomål/A 58495-2023 FSC-klagomål.docx", "A 58495-2023")</f>
        <v/>
      </c>
      <c r="Z50">
        <f>HYPERLINK("https://klasma.github.io/Logging_2029/klagomålsmail/A 58495-2023 FSC-klagomål mail.docx", "A 58495-2023")</f>
        <v/>
      </c>
      <c r="AA50">
        <f>HYPERLINK("https://klasma.github.io/Logging_2029/tillsyn/A 58495-2023 tillsynsbegäran.docx", "A 58495-2023")</f>
        <v/>
      </c>
      <c r="AB50">
        <f>HYPERLINK("https://klasma.github.io/Logging_2029/tillsynsmail/A 58495-2023 tillsynsbegäran mail.docx", "A 58495-2023")</f>
        <v/>
      </c>
    </row>
    <row r="51" ht="15" customHeight="1">
      <c r="A51" t="inlineStr">
        <is>
          <t>A 368-2026</t>
        </is>
      </c>
      <c r="B51" t="inlineStr">
        <is>
          <t>avverkningsanmälan</t>
        </is>
      </c>
      <c r="C51" t="inlineStr">
        <is>
          <t>Föryngringsavverkning</t>
        </is>
      </c>
      <c r="D51" s="1" t="n">
        <v>46027</v>
      </c>
      <c r="E51" s="1" t="n">
        <v>46221</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s="2" t="inlineStr">
        <is>
          <t>Rosenticka
Rynkskinn</t>
        </is>
      </c>
      <c r="V51">
        <f>HYPERLINK("https://klasma.github.io/Logging_2029/artfynd/A 368-2026 artfynd.xlsx", "A 368-2026")</f>
        <v/>
      </c>
      <c r="W51">
        <f>HYPERLINK("https://klasma.github.io/Logging_2029/kartor/A 368-2026 karta.png", "A 368-2026")</f>
        <v/>
      </c>
      <c r="Y51">
        <f>HYPERLINK("https://klasma.github.io/Logging_2029/klagomål/A 368-2026 FSC-klagomål.docx", "A 368-2026")</f>
        <v/>
      </c>
      <c r="Z51">
        <f>HYPERLINK("https://klasma.github.io/Logging_2029/klagomålsmail/A 368-2026 FSC-klagomål mail.docx", "A 368-2026")</f>
        <v/>
      </c>
      <c r="AA51">
        <f>HYPERLINK("https://klasma.github.io/Logging_2029/tillsyn/A 368-2026 tillsynsbegäran.docx", "A 368-2026")</f>
        <v/>
      </c>
      <c r="AB51">
        <f>HYPERLINK("https://klasma.github.io/Logging_2029/tillsynsmail/A 368-2026 tillsynsbegäran mail.docx", "A 368-2026")</f>
        <v/>
      </c>
    </row>
    <row r="52" ht="15" customHeight="1">
      <c r="A52" t="inlineStr">
        <is>
          <t>A 59205-2023</t>
        </is>
      </c>
      <c r="B52" t="inlineStr">
        <is>
          <t>avverkningsanmälan</t>
        </is>
      </c>
      <c r="C52" t="inlineStr">
        <is>
          <t>Föryngringsavverkning</t>
        </is>
      </c>
      <c r="D52" s="1" t="n">
        <v>45251</v>
      </c>
      <c r="E52" s="1" t="n">
        <v>46221</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s="2" t="inlineStr">
        <is>
          <t>Knärot
Revlummer</t>
        </is>
      </c>
      <c r="V52">
        <f>HYPERLINK("https://klasma.github.io/Logging_2029/artfynd/A 59205-2023 artfynd.xlsx", "A 59205-2023")</f>
        <v/>
      </c>
      <c r="W52">
        <f>HYPERLINK("https://klasma.github.io/Logging_2029/kartor/A 59205-2023 karta.png", "A 59205-2023")</f>
        <v/>
      </c>
      <c r="X52">
        <f>HYPERLINK("https://klasma.github.io/Logging_2029/knärot/A 59205-2023 karta knärot.png", "A 59205-2023")</f>
        <v/>
      </c>
      <c r="Y52">
        <f>HYPERLINK("https://klasma.github.io/Logging_2029/klagomål/A 59205-2023 FSC-klagomål.docx", "A 59205-2023")</f>
        <v/>
      </c>
      <c r="Z52">
        <f>HYPERLINK("https://klasma.github.io/Logging_2029/klagomålsmail/A 59205-2023 FSC-klagomål mail.docx", "A 59205-2023")</f>
        <v/>
      </c>
      <c r="AA52">
        <f>HYPERLINK("https://klasma.github.io/Logging_2029/tillsyn/A 59205-2023 tillsynsbegäran.docx", "A 59205-2023")</f>
        <v/>
      </c>
      <c r="AB52">
        <f>HYPERLINK("https://klasma.github.io/Logging_2029/tillsynsmail/A 59205-2023 tillsynsbegäran mail.docx", "A 59205-2023")</f>
        <v/>
      </c>
    </row>
    <row r="53" ht="15" customHeight="1">
      <c r="A53" t="inlineStr">
        <is>
          <t>A 70451-2021</t>
        </is>
      </c>
      <c r="B53" t="inlineStr">
        <is>
          <t>avverkningsanmälan</t>
        </is>
      </c>
      <c r="C53" t="inlineStr">
        <is>
          <t>Avverkning för annat ändamål</t>
        </is>
      </c>
      <c r="D53" s="1" t="n">
        <v>44536</v>
      </c>
      <c r="E53" s="1" t="n">
        <v>46221</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s="2" t="inlineStr">
        <is>
          <t>Gullpudra</t>
        </is>
      </c>
      <c r="V53">
        <f>HYPERLINK("https://klasma.github.io/Logging_2029/artfynd/A 70451-2021 artfynd.xlsx", "A 70451-2021")</f>
        <v/>
      </c>
      <c r="W53">
        <f>HYPERLINK("https://klasma.github.io/Logging_2029/kartor/A 70451-2021 karta.png", "A 70451-2021")</f>
        <v/>
      </c>
      <c r="Y53">
        <f>HYPERLINK("https://klasma.github.io/Logging_2029/klagomål/A 70451-2021 FSC-klagomål.docx", "A 70451-2021")</f>
        <v/>
      </c>
      <c r="Z53">
        <f>HYPERLINK("https://klasma.github.io/Logging_2029/klagomålsmail/A 70451-2021 FSC-klagomål mail.docx", "A 70451-2021")</f>
        <v/>
      </c>
      <c r="AA53">
        <f>HYPERLINK("https://klasma.github.io/Logging_2029/tillsyn/A 70451-2021 tillsynsbegäran.docx", "A 70451-2021")</f>
        <v/>
      </c>
      <c r="AB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46221</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HYPERLINK("https://klasma.github.io/Logging_2029/artfynd/A 51502-2022 artfynd.xlsx", "A 51502-2022")</f>
        <v/>
      </c>
      <c r="W54">
        <f>HYPERLINK("https://klasma.github.io/Logging_2029/kartor/A 51502-2022 karta.png", "A 51502-2022")</f>
        <v/>
      </c>
      <c r="Y54">
        <f>HYPERLINK("https://klasma.github.io/Logging_2029/klagomål/A 51502-2022 FSC-klagomål.docx", "A 51502-2022")</f>
        <v/>
      </c>
      <c r="Z54">
        <f>HYPERLINK("https://klasma.github.io/Logging_2029/klagomålsmail/A 51502-2022 FSC-klagomål mail.docx", "A 51502-2022")</f>
        <v/>
      </c>
      <c r="AA54">
        <f>HYPERLINK("https://klasma.github.io/Logging_2029/tillsyn/A 51502-2022 tillsynsbegäran.docx", "A 51502-2022")</f>
        <v/>
      </c>
      <c r="AB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46221</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s="2" t="inlineStr">
        <is>
          <t>Skogsknipprot</t>
        </is>
      </c>
      <c r="V55">
        <f>HYPERLINK("https://klasma.github.io/Logging_2029/artfynd/A 26289-2022 artfynd.xlsx", "A 26289-2022")</f>
        <v/>
      </c>
      <c r="W55">
        <f>HYPERLINK("https://klasma.github.io/Logging_2029/kartor/A 26289-2022 karta.png", "A 26289-2022")</f>
        <v/>
      </c>
      <c r="Y55">
        <f>HYPERLINK("https://klasma.github.io/Logging_2029/klagomål/A 26289-2022 FSC-klagomål.docx", "A 26289-2022")</f>
        <v/>
      </c>
      <c r="Z55">
        <f>HYPERLINK("https://klasma.github.io/Logging_2029/klagomålsmail/A 26289-2022 FSC-klagomål mail.docx", "A 26289-2022")</f>
        <v/>
      </c>
      <c r="AA55">
        <f>HYPERLINK("https://klasma.github.io/Logging_2029/tillsyn/A 26289-2022 tillsynsbegäran.docx", "A 26289-2022")</f>
        <v/>
      </c>
      <c r="AB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46221</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s="2" t="inlineStr">
        <is>
          <t>Orre</t>
        </is>
      </c>
      <c r="V56">
        <f>HYPERLINK("https://klasma.github.io/Logging_2029/artfynd/A 30449-2022 artfynd.xlsx", "A 30449-2022")</f>
        <v/>
      </c>
      <c r="W56">
        <f>HYPERLINK("https://klasma.github.io/Logging_2029/kartor/A 30449-2022 karta.png", "A 30449-2022")</f>
        <v/>
      </c>
      <c r="Y56">
        <f>HYPERLINK("https://klasma.github.io/Logging_2029/klagomål/A 30449-2022 FSC-klagomål.docx", "A 30449-2022")</f>
        <v/>
      </c>
      <c r="Z56">
        <f>HYPERLINK("https://klasma.github.io/Logging_2029/klagomålsmail/A 30449-2022 FSC-klagomål mail.docx", "A 30449-2022")</f>
        <v/>
      </c>
      <c r="AA56">
        <f>HYPERLINK("https://klasma.github.io/Logging_2029/tillsyn/A 30449-2022 tillsynsbegäran.docx", "A 30449-2022")</f>
        <v/>
      </c>
      <c r="AB56">
        <f>HYPERLINK("https://klasma.github.io/Logging_2029/tillsynsmail/A 30449-2022 tillsynsbegäran mail.docx", "A 30449-2022")</f>
        <v/>
      </c>
      <c r="AC56">
        <f>HYPERLINK("https://klasma.github.io/Logging_2029/fåglar/A 30449-2022 prioriterade fågelarter.docx", "A 30449-2022")</f>
        <v/>
      </c>
    </row>
    <row r="57" ht="15" customHeight="1">
      <c r="A57" t="inlineStr">
        <is>
          <t>A 7928-2023</t>
        </is>
      </c>
      <c r="B57" t="inlineStr">
        <is>
          <t>avverkningsanmälan</t>
        </is>
      </c>
      <c r="C57" t="inlineStr">
        <is>
          <t>Föryngringsavverkning</t>
        </is>
      </c>
      <c r="D57" s="1" t="n">
        <v>44973</v>
      </c>
      <c r="E57" s="1" t="n">
        <v>46221</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s="2" t="inlineStr">
        <is>
          <t>Grantaggsvamp</t>
        </is>
      </c>
      <c r="V57">
        <f>HYPERLINK("https://klasma.github.io/Logging_2029/artfynd/A 7928-2023 artfynd.xlsx", "A 7928-2023")</f>
        <v/>
      </c>
      <c r="W57">
        <f>HYPERLINK("https://klasma.github.io/Logging_2029/kartor/A 7928-2023 karta.png", "A 7928-2023")</f>
        <v/>
      </c>
      <c r="Y57">
        <f>HYPERLINK("https://klasma.github.io/Logging_2029/klagomål/A 7928-2023 FSC-klagomål.docx", "A 7928-2023")</f>
        <v/>
      </c>
      <c r="Z57">
        <f>HYPERLINK("https://klasma.github.io/Logging_2029/klagomålsmail/A 7928-2023 FSC-klagomål mail.docx", "A 7928-2023")</f>
        <v/>
      </c>
      <c r="AA57">
        <f>HYPERLINK("https://klasma.github.io/Logging_2029/tillsyn/A 7928-2023 tillsynsbegäran.docx", "A 7928-2023")</f>
        <v/>
      </c>
      <c r="AB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46221</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s="2" t="inlineStr">
        <is>
          <t>Scharlakansvaxing</t>
        </is>
      </c>
      <c r="V58">
        <f>HYPERLINK("https://klasma.github.io/Logging_2029/artfynd/A 5582-2024 artfynd.xlsx", "A 5582-2024")</f>
        <v/>
      </c>
      <c r="W58">
        <f>HYPERLINK("https://klasma.github.io/Logging_2029/kartor/A 5582-2024 karta.png", "A 5582-2024")</f>
        <v/>
      </c>
      <c r="Y58">
        <f>HYPERLINK("https://klasma.github.io/Logging_2029/klagomål/A 5582-2024 FSC-klagomål.docx", "A 5582-2024")</f>
        <v/>
      </c>
      <c r="Z58">
        <f>HYPERLINK("https://klasma.github.io/Logging_2029/klagomålsmail/A 5582-2024 FSC-klagomål mail.docx", "A 5582-2024")</f>
        <v/>
      </c>
      <c r="AA58">
        <f>HYPERLINK("https://klasma.github.io/Logging_2029/tillsyn/A 5582-2024 tillsynsbegäran.docx", "A 5582-2024")</f>
        <v/>
      </c>
      <c r="AB58">
        <f>HYPERLINK("https://klasma.github.io/Logging_2029/tillsynsmail/A 5582-2024 tillsynsbegäran mail.docx", "A 5582-2024")</f>
        <v/>
      </c>
    </row>
    <row r="59" ht="15" customHeight="1">
      <c r="A59" t="inlineStr">
        <is>
          <t>A 3144-2026</t>
        </is>
      </c>
      <c r="B59" t="inlineStr">
        <is>
          <t>avverkningsanmälan</t>
        </is>
      </c>
      <c r="C59" t="inlineStr">
        <is>
          <t>Föryngringsavverkning</t>
        </is>
      </c>
      <c r="D59" s="1" t="n">
        <v>46041</v>
      </c>
      <c r="E59" s="1" t="n">
        <v>46221</v>
      </c>
      <c r="F59" t="inlineStr">
        <is>
          <t>DALARNAS LÄN</t>
        </is>
      </c>
      <c r="G59" t="inlineStr">
        <is>
          <t>LEKSAND</t>
        </is>
      </c>
      <c r="I59" t="n">
        <v>4.8</v>
      </c>
      <c r="J59" t="n">
        <v>0</v>
      </c>
      <c r="K59" t="n">
        <v>0</v>
      </c>
      <c r="L59" t="n">
        <v>1</v>
      </c>
      <c r="M59" t="n">
        <v>0</v>
      </c>
      <c r="N59" t="n">
        <v>0</v>
      </c>
      <c r="O59" t="n">
        <v>0</v>
      </c>
      <c r="P59" t="n">
        <v>0</v>
      </c>
      <c r="Q59" t="n">
        <v>1</v>
      </c>
      <c r="R59" t="n">
        <v>0</v>
      </c>
      <c r="S59" t="n">
        <v>1</v>
      </c>
      <c r="T59" t="n">
        <v>1</v>
      </c>
      <c r="U59" s="2" t="inlineStr">
        <is>
          <t>Slåtterfibbla</t>
        </is>
      </c>
      <c r="V59">
        <f>HYPERLINK("https://klasma.github.io/Logging_2029/artfynd/A 3144-2026 artfynd.xlsx", "A 3144-2026")</f>
        <v/>
      </c>
      <c r="W59">
        <f>HYPERLINK("https://klasma.github.io/Logging_2029/kartor/A 3144-2026 karta.png", "A 3144-2026")</f>
        <v/>
      </c>
      <c r="Y59">
        <f>HYPERLINK("https://klasma.github.io/Logging_2029/klagomål/A 3144-2026 FSC-klagomål.docx", "A 3144-2026")</f>
        <v/>
      </c>
      <c r="Z59">
        <f>HYPERLINK("https://klasma.github.io/Logging_2029/klagomålsmail/A 3144-2026 FSC-klagomål mail.docx", "A 3144-2026")</f>
        <v/>
      </c>
      <c r="AA59">
        <f>HYPERLINK("https://klasma.github.io/Logging_2029/tillsyn/A 3144-2026 tillsynsbegäran.docx", "A 3144-2026")</f>
        <v/>
      </c>
      <c r="AB59">
        <f>HYPERLINK("https://klasma.github.io/Logging_2029/tillsynsmail/A 3144-2026 tillsynsbegäran mail.docx", "A 3144-2026")</f>
        <v/>
      </c>
    </row>
    <row r="60" ht="15" customHeight="1">
      <c r="A60" t="inlineStr">
        <is>
          <t>A 31951-2025</t>
        </is>
      </c>
      <c r="B60" t="inlineStr">
        <is>
          <t>avverkningsanmälan</t>
        </is>
      </c>
      <c r="C60" t="inlineStr">
        <is>
          <t>Föryngringsavverkning</t>
        </is>
      </c>
      <c r="D60" s="1" t="n">
        <v>45835</v>
      </c>
      <c r="E60" s="1" t="n">
        <v>46221</v>
      </c>
      <c r="F60" t="inlineStr">
        <is>
          <t>DALARNAS LÄN</t>
        </is>
      </c>
      <c r="G60" t="inlineStr">
        <is>
          <t>LEKSAND</t>
        </is>
      </c>
      <c r="I60" t="n">
        <v>6.6</v>
      </c>
      <c r="J60" t="n">
        <v>1</v>
      </c>
      <c r="K60" t="n">
        <v>0</v>
      </c>
      <c r="L60" t="n">
        <v>0</v>
      </c>
      <c r="M60" t="n">
        <v>0</v>
      </c>
      <c r="N60" t="n">
        <v>0</v>
      </c>
      <c r="O60" t="n">
        <v>0</v>
      </c>
      <c r="P60" t="n">
        <v>0</v>
      </c>
      <c r="Q60" t="n">
        <v>0</v>
      </c>
      <c r="R60" t="n">
        <v>0</v>
      </c>
      <c r="S60" t="n">
        <v>1</v>
      </c>
      <c r="T60" t="n">
        <v>6</v>
      </c>
      <c r="U60" s="2" t="inlineStr">
        <is>
          <t>Tjäder</t>
        </is>
      </c>
      <c r="V60">
        <f>HYPERLINK("https://klasma.github.io/Logging_2029/artfynd/A 31951-2025 artfynd.xlsx", "A 31951-2025")</f>
        <v/>
      </c>
      <c r="W60">
        <f>HYPERLINK("https://klasma.github.io/Logging_2029/kartor/A 31951-2025 karta.png", "A 31951-2025")</f>
        <v/>
      </c>
      <c r="Y60">
        <f>HYPERLINK("https://klasma.github.io/Logging_2029/klagomål/A 31951-2025 FSC-klagomål.docx", "A 31951-2025")</f>
        <v/>
      </c>
      <c r="Z60">
        <f>HYPERLINK("https://klasma.github.io/Logging_2029/klagomålsmail/A 31951-2025 FSC-klagomål mail.docx", "A 31951-2025")</f>
        <v/>
      </c>
      <c r="AA60">
        <f>HYPERLINK("https://klasma.github.io/Logging_2029/tillsyn/A 31951-2025 tillsynsbegäran.docx", "A 31951-2025")</f>
        <v/>
      </c>
      <c r="AB60">
        <f>HYPERLINK("https://klasma.github.io/Logging_2029/tillsynsmail/A 31951-2025 tillsynsbegäran mail.docx", "A 31951-2025")</f>
        <v/>
      </c>
      <c r="AC60">
        <f>HYPERLINK("https://klasma.github.io/Logging_2029/fåglar/A 31951-2025 prioriterade fågelarter.docx", "A 31951-2025")</f>
        <v/>
      </c>
    </row>
    <row r="61" ht="15" customHeight="1">
      <c r="A61" t="inlineStr">
        <is>
          <t>A 164-2023</t>
        </is>
      </c>
      <c r="B61" t="inlineStr">
        <is>
          <t>avverkningsanmälan</t>
        </is>
      </c>
      <c r="C61" t="inlineStr">
        <is>
          <t>Avverkning för annat ändamål</t>
        </is>
      </c>
      <c r="D61" s="1" t="n">
        <v>44918</v>
      </c>
      <c r="E61" s="1" t="n">
        <v>46221</v>
      </c>
      <c r="F61" t="inlineStr">
        <is>
          <t>DALARNAS LÄN</t>
        </is>
      </c>
      <c r="G61" t="inlineStr">
        <is>
          <t>LEKSAND</t>
        </is>
      </c>
      <c r="I61" t="n">
        <v>0.7</v>
      </c>
      <c r="J61" t="n">
        <v>0</v>
      </c>
      <c r="K61" t="n">
        <v>0</v>
      </c>
      <c r="L61" t="n">
        <v>1</v>
      </c>
      <c r="M61" t="n">
        <v>0</v>
      </c>
      <c r="N61" t="n">
        <v>0</v>
      </c>
      <c r="O61" t="n">
        <v>0</v>
      </c>
      <c r="P61" t="n">
        <v>0</v>
      </c>
      <c r="Q61" t="n">
        <v>1</v>
      </c>
      <c r="R61" t="n">
        <v>0</v>
      </c>
      <c r="S61" t="n">
        <v>1</v>
      </c>
      <c r="T61" t="n">
        <v>1</v>
      </c>
      <c r="U61" s="2" t="inlineStr">
        <is>
          <t>Skogshare</t>
        </is>
      </c>
      <c r="V61">
        <f>HYPERLINK("https://klasma.github.io/Logging_2029/artfynd/A 164-2023 artfynd.xlsx", "A 164-2023")</f>
        <v/>
      </c>
      <c r="W61">
        <f>HYPERLINK("https://klasma.github.io/Logging_2029/kartor/A 164-2023 karta.png", "A 164-2023")</f>
        <v/>
      </c>
      <c r="Y61">
        <f>HYPERLINK("https://klasma.github.io/Logging_2029/klagomål/A 164-2023 FSC-klagomål.docx", "A 164-2023")</f>
        <v/>
      </c>
      <c r="Z61">
        <f>HYPERLINK("https://klasma.github.io/Logging_2029/klagomålsmail/A 164-2023 FSC-klagomål mail.docx", "A 164-2023")</f>
        <v/>
      </c>
      <c r="AA61">
        <f>HYPERLINK("https://klasma.github.io/Logging_2029/tillsyn/A 164-2023 tillsynsbegäran.docx", "A 164-2023")</f>
        <v/>
      </c>
      <c r="AB61">
        <f>HYPERLINK("https://klasma.github.io/Logging_2029/tillsynsmail/A 164-2023 tillsynsbegäran mail.docx", "A 164-2023")</f>
        <v/>
      </c>
    </row>
    <row r="62" ht="15" customHeight="1">
      <c r="A62" t="inlineStr">
        <is>
          <t>A 32726-2025</t>
        </is>
      </c>
      <c r="B62" t="inlineStr">
        <is>
          <t>avverkningsanmälan</t>
        </is>
      </c>
      <c r="C62" t="inlineStr">
        <is>
          <t>Avverkning för annat ändamål</t>
        </is>
      </c>
      <c r="D62" s="1" t="n">
        <v>45839</v>
      </c>
      <c r="E62" s="1" t="n">
        <v>46221</v>
      </c>
      <c r="F62" t="inlineStr">
        <is>
          <t>DALARNAS LÄN</t>
        </is>
      </c>
      <c r="G62" t="inlineStr">
        <is>
          <t>LEKSAND</t>
        </is>
      </c>
      <c r="H62" t="inlineStr">
        <is>
          <t>Bergvik skog väst AB</t>
        </is>
      </c>
      <c r="I62" t="n">
        <v>2.5</v>
      </c>
      <c r="J62" t="n">
        <v>1</v>
      </c>
      <c r="K62" t="n">
        <v>0</v>
      </c>
      <c r="L62" t="n">
        <v>0</v>
      </c>
      <c r="M62" t="n">
        <v>0</v>
      </c>
      <c r="N62" t="n">
        <v>0</v>
      </c>
      <c r="O62" t="n">
        <v>0</v>
      </c>
      <c r="P62" t="n">
        <v>0</v>
      </c>
      <c r="Q62" t="n">
        <v>0</v>
      </c>
      <c r="R62" t="n">
        <v>0</v>
      </c>
      <c r="S62" t="n">
        <v>1</v>
      </c>
      <c r="T62" t="n">
        <v>1</v>
      </c>
      <c r="U62" s="2" t="inlineStr">
        <is>
          <t>Fläcknycklar</t>
        </is>
      </c>
      <c r="V62">
        <f>HYPERLINK("https://klasma.github.io/Logging_2029/artfynd/A 32726-2025 artfynd.xlsx", "A 32726-2025")</f>
        <v/>
      </c>
      <c r="W62">
        <f>HYPERLINK("https://klasma.github.io/Logging_2029/kartor/A 32726-2025 karta.png", "A 32726-2025")</f>
        <v/>
      </c>
      <c r="Y62">
        <f>HYPERLINK("https://klasma.github.io/Logging_2029/klagomål/A 32726-2025 FSC-klagomål.docx", "A 32726-2025")</f>
        <v/>
      </c>
      <c r="Z62">
        <f>HYPERLINK("https://klasma.github.io/Logging_2029/klagomålsmail/A 32726-2025 FSC-klagomål mail.docx", "A 32726-2025")</f>
        <v/>
      </c>
      <c r="AA62">
        <f>HYPERLINK("https://klasma.github.io/Logging_2029/tillsyn/A 32726-2025 tillsynsbegäran.docx", "A 32726-2025")</f>
        <v/>
      </c>
      <c r="AB62">
        <f>HYPERLINK("https://klasma.github.io/Logging_2029/tillsynsmail/A 32726-2025 tillsynsbegäran mail.docx", "A 32726-2025")</f>
        <v/>
      </c>
    </row>
    <row r="63" ht="15" customHeight="1">
      <c r="A63" t="inlineStr">
        <is>
          <t>A 8969-2026</t>
        </is>
      </c>
      <c r="B63" t="inlineStr">
        <is>
          <t>avverkningsanmälan</t>
        </is>
      </c>
      <c r="C63" t="inlineStr">
        <is>
          <t>Föryngringsavverkning</t>
        </is>
      </c>
      <c r="D63" s="1" t="n">
        <v>46069</v>
      </c>
      <c r="E63" s="1" t="n">
        <v>46221</v>
      </c>
      <c r="F63" t="inlineStr">
        <is>
          <t>DALARNAS LÄN</t>
        </is>
      </c>
      <c r="G63" t="inlineStr">
        <is>
          <t>LEKSAND</t>
        </is>
      </c>
      <c r="I63" t="n">
        <v>1.9</v>
      </c>
      <c r="J63" t="n">
        <v>0</v>
      </c>
      <c r="K63" t="n">
        <v>0</v>
      </c>
      <c r="L63" t="n">
        <v>1</v>
      </c>
      <c r="M63" t="n">
        <v>0</v>
      </c>
      <c r="N63" t="n">
        <v>0</v>
      </c>
      <c r="O63" t="n">
        <v>0</v>
      </c>
      <c r="P63" t="n">
        <v>0</v>
      </c>
      <c r="Q63" t="n">
        <v>1</v>
      </c>
      <c r="R63" t="n">
        <v>0</v>
      </c>
      <c r="S63" t="n">
        <v>1</v>
      </c>
      <c r="T63" t="n">
        <v>1</v>
      </c>
      <c r="U63" s="2" t="inlineStr">
        <is>
          <t>Gullklöver</t>
        </is>
      </c>
      <c r="V63">
        <f>HYPERLINK("https://klasma.github.io/Logging_2029/artfynd/A 8969-2026 artfynd.xlsx", "A 8969-2026")</f>
        <v/>
      </c>
      <c r="W63">
        <f>HYPERLINK("https://klasma.github.io/Logging_2029/kartor/A 8969-2026 karta.png", "A 8969-2026")</f>
        <v/>
      </c>
      <c r="Y63">
        <f>HYPERLINK("https://klasma.github.io/Logging_2029/klagomål/A 8969-2026 FSC-klagomål.docx", "A 8969-2026")</f>
        <v/>
      </c>
      <c r="Z63">
        <f>HYPERLINK("https://klasma.github.io/Logging_2029/klagomålsmail/A 8969-2026 FSC-klagomål mail.docx", "A 8969-2026")</f>
        <v/>
      </c>
      <c r="AA63">
        <f>HYPERLINK("https://klasma.github.io/Logging_2029/tillsyn/A 8969-2026 tillsynsbegäran.docx", "A 8969-2026")</f>
        <v/>
      </c>
      <c r="AB63">
        <f>HYPERLINK("https://klasma.github.io/Logging_2029/tillsynsmail/A 8969-2026 tillsynsbegäran mail.docx", "A 8969-2026")</f>
        <v/>
      </c>
    </row>
    <row r="64" ht="15" customHeight="1">
      <c r="A64" t="inlineStr">
        <is>
          <t>A 53438-2025</t>
        </is>
      </c>
      <c r="B64" t="inlineStr">
        <is>
          <t>avverkningsanmälan</t>
        </is>
      </c>
      <c r="C64" t="inlineStr">
        <is>
          <t>Föryngringsavverkning</t>
        </is>
      </c>
      <c r="D64" s="1" t="n">
        <v>45959</v>
      </c>
      <c r="E64" s="1" t="n">
        <v>46221</v>
      </c>
      <c r="F64" t="inlineStr">
        <is>
          <t>DALARNAS LÄN</t>
        </is>
      </c>
      <c r="G64" t="inlineStr">
        <is>
          <t>LEKSAND</t>
        </is>
      </c>
      <c r="I64" t="n">
        <v>1.2</v>
      </c>
      <c r="J64" t="n">
        <v>1</v>
      </c>
      <c r="K64" t="n">
        <v>0</v>
      </c>
      <c r="L64" t="n">
        <v>0</v>
      </c>
      <c r="M64" t="n">
        <v>0</v>
      </c>
      <c r="N64" t="n">
        <v>0</v>
      </c>
      <c r="O64" t="n">
        <v>0</v>
      </c>
      <c r="P64" t="n">
        <v>0</v>
      </c>
      <c r="Q64" t="n">
        <v>0</v>
      </c>
      <c r="R64" t="n">
        <v>0</v>
      </c>
      <c r="S64" t="n">
        <v>1</v>
      </c>
      <c r="T64" t="n">
        <v>1</v>
      </c>
      <c r="U64" s="2" t="inlineStr">
        <is>
          <t>Tjäder</t>
        </is>
      </c>
      <c r="V64">
        <f>HYPERLINK("https://klasma.github.io/Logging_2029/artfynd/A 53438-2025 artfynd.xlsx", "A 53438-2025")</f>
        <v/>
      </c>
      <c r="W64">
        <f>HYPERLINK("https://klasma.github.io/Logging_2029/kartor/A 53438-2025 karta.png", "A 53438-2025")</f>
        <v/>
      </c>
      <c r="Y64">
        <f>HYPERLINK("https://klasma.github.io/Logging_2029/klagomål/A 53438-2025 FSC-klagomål.docx", "A 53438-2025")</f>
        <v/>
      </c>
      <c r="Z64">
        <f>HYPERLINK("https://klasma.github.io/Logging_2029/klagomålsmail/A 53438-2025 FSC-klagomål mail.docx", "A 53438-2025")</f>
        <v/>
      </c>
      <c r="AA64">
        <f>HYPERLINK("https://klasma.github.io/Logging_2029/tillsyn/A 53438-2025 tillsynsbegäran.docx", "A 53438-2025")</f>
        <v/>
      </c>
      <c r="AB64">
        <f>HYPERLINK("https://klasma.github.io/Logging_2029/tillsynsmail/A 53438-2025 tillsynsbegäran mail.docx", "A 53438-2025")</f>
        <v/>
      </c>
      <c r="AC64">
        <f>HYPERLINK("https://klasma.github.io/Logging_2029/fåglar/A 53438-2025 prioriterade fågelarter.docx", "A 53438-2025")</f>
        <v/>
      </c>
    </row>
    <row r="65" ht="15" customHeight="1">
      <c r="A65" t="inlineStr">
        <is>
          <t>A 53619-2025</t>
        </is>
      </c>
      <c r="B65" t="inlineStr">
        <is>
          <t>avverkningsanmälan</t>
        </is>
      </c>
      <c r="C65" t="inlineStr">
        <is>
          <t>Föryngringsavverkning</t>
        </is>
      </c>
      <c r="D65" s="1" t="n">
        <v>45960</v>
      </c>
      <c r="E65" s="1" t="n">
        <v>46221</v>
      </c>
      <c r="F65" t="inlineStr">
        <is>
          <t>DALARNAS LÄN</t>
        </is>
      </c>
      <c r="G65" t="inlineStr">
        <is>
          <t>LEKSAND</t>
        </is>
      </c>
      <c r="H65" t="inlineStr">
        <is>
          <t>Bergvik skog väst AB</t>
        </is>
      </c>
      <c r="I65" t="n">
        <v>1.8</v>
      </c>
      <c r="J65" t="n">
        <v>1</v>
      </c>
      <c r="K65" t="n">
        <v>0</v>
      </c>
      <c r="L65" t="n">
        <v>0</v>
      </c>
      <c r="M65" t="n">
        <v>0</v>
      </c>
      <c r="N65" t="n">
        <v>0</v>
      </c>
      <c r="O65" t="n">
        <v>0</v>
      </c>
      <c r="P65" t="n">
        <v>0</v>
      </c>
      <c r="Q65" t="n">
        <v>0</v>
      </c>
      <c r="R65" t="n">
        <v>0</v>
      </c>
      <c r="S65" t="n">
        <v>1</v>
      </c>
      <c r="T65" t="n">
        <v>1</v>
      </c>
      <c r="U65" s="2" t="inlineStr">
        <is>
          <t>Utter</t>
        </is>
      </c>
      <c r="V65">
        <f>HYPERLINK("https://klasma.github.io/Logging_2029/artfynd/A 53619-2025 artfynd.xlsx", "A 53619-2025")</f>
        <v/>
      </c>
      <c r="W65">
        <f>HYPERLINK("https://klasma.github.io/Logging_2029/kartor/A 53619-2025 karta.png", "A 53619-2025")</f>
        <v/>
      </c>
      <c r="Y65">
        <f>HYPERLINK("https://klasma.github.io/Logging_2029/klagomål/A 53619-2025 FSC-klagomål.docx", "A 53619-2025")</f>
        <v/>
      </c>
      <c r="Z65">
        <f>HYPERLINK("https://klasma.github.io/Logging_2029/klagomålsmail/A 53619-2025 FSC-klagomål mail.docx", "A 53619-2025")</f>
        <v/>
      </c>
      <c r="AA65">
        <f>HYPERLINK("https://klasma.github.io/Logging_2029/tillsyn/A 53619-2025 tillsynsbegäran.docx", "A 53619-2025")</f>
        <v/>
      </c>
      <c r="AB65">
        <f>HYPERLINK("https://klasma.github.io/Logging_2029/tillsynsmail/A 53619-2025 tillsynsbegäran mail.docx", "A 53619-2025")</f>
        <v/>
      </c>
    </row>
    <row r="66" ht="15" customHeight="1">
      <c r="A66" t="inlineStr">
        <is>
          <t>A 4974-2025</t>
        </is>
      </c>
      <c r="B66" t="inlineStr">
        <is>
          <t>avverkningsanmälan</t>
        </is>
      </c>
      <c r="C66" t="inlineStr">
        <is>
          <t>Föryngringsavverkning</t>
        </is>
      </c>
      <c r="D66" s="1" t="n">
        <v>45690</v>
      </c>
      <c r="E66" s="1" t="n">
        <v>46221</v>
      </c>
      <c r="F66" t="inlineStr">
        <is>
          <t>DALARNAS LÄN</t>
        </is>
      </c>
      <c r="G66" t="inlineStr">
        <is>
          <t>LEKSAND</t>
        </is>
      </c>
      <c r="I66" t="n">
        <v>0.9</v>
      </c>
      <c r="J66" t="n">
        <v>1</v>
      </c>
      <c r="K66" t="n">
        <v>0</v>
      </c>
      <c r="L66" t="n">
        <v>0</v>
      </c>
      <c r="M66" t="n">
        <v>0</v>
      </c>
      <c r="N66" t="n">
        <v>0</v>
      </c>
      <c r="O66" t="n">
        <v>0</v>
      </c>
      <c r="P66" t="n">
        <v>0</v>
      </c>
      <c r="Q66" t="n">
        <v>0</v>
      </c>
      <c r="R66" t="n">
        <v>0</v>
      </c>
      <c r="S66" t="n">
        <v>1</v>
      </c>
      <c r="T66" t="n">
        <v>1</v>
      </c>
      <c r="U66" s="2" t="inlineStr">
        <is>
          <t>Spillkråka</t>
        </is>
      </c>
      <c r="V66">
        <f>HYPERLINK("https://klasma.github.io/Logging_2029/artfynd/A 4974-2025 artfynd.xlsx", "A 4974-2025")</f>
        <v/>
      </c>
      <c r="W66">
        <f>HYPERLINK("https://klasma.github.io/Logging_2029/kartor/A 4974-2025 karta.png", "A 4974-2025")</f>
        <v/>
      </c>
      <c r="Y66">
        <f>HYPERLINK("https://klasma.github.io/Logging_2029/klagomål/A 4974-2025 FSC-klagomål.docx", "A 4974-2025")</f>
        <v/>
      </c>
      <c r="Z66">
        <f>HYPERLINK("https://klasma.github.io/Logging_2029/klagomålsmail/A 4974-2025 FSC-klagomål mail.docx", "A 4974-2025")</f>
        <v/>
      </c>
      <c r="AA66">
        <f>HYPERLINK("https://klasma.github.io/Logging_2029/tillsyn/A 4974-2025 tillsynsbegäran.docx", "A 4974-2025")</f>
        <v/>
      </c>
      <c r="AB66">
        <f>HYPERLINK("https://klasma.github.io/Logging_2029/tillsynsmail/A 4974-2025 tillsynsbegäran mail.docx", "A 4974-2025")</f>
        <v/>
      </c>
      <c r="AC66">
        <f>HYPERLINK("https://klasma.github.io/Logging_2029/fåglar/A 4974-2025 prioriterade fågelarter.docx", "A 4974-2025")</f>
        <v/>
      </c>
    </row>
    <row r="67" ht="15" customHeight="1">
      <c r="A67" t="inlineStr">
        <is>
          <t>A 26287-2023</t>
        </is>
      </c>
      <c r="B67" t="inlineStr">
        <is>
          <t>avverkningsanmälan</t>
        </is>
      </c>
      <c r="C67" t="inlineStr">
        <is>
          <t>Föryngringsavverkning</t>
        </is>
      </c>
      <c r="D67" s="1" t="n">
        <v>45091</v>
      </c>
      <c r="E67" s="1" t="n">
        <v>46221</v>
      </c>
      <c r="F67" t="inlineStr">
        <is>
          <t>DALARNAS LÄN</t>
        </is>
      </c>
      <c r="G67" t="inlineStr">
        <is>
          <t>LEKSAND</t>
        </is>
      </c>
      <c r="I67" t="n">
        <v>2.4</v>
      </c>
      <c r="J67" t="n">
        <v>0</v>
      </c>
      <c r="K67" t="n">
        <v>1</v>
      </c>
      <c r="L67" t="n">
        <v>0</v>
      </c>
      <c r="M67" t="n">
        <v>0</v>
      </c>
      <c r="N67" t="n">
        <v>0</v>
      </c>
      <c r="O67" t="n">
        <v>0</v>
      </c>
      <c r="P67" t="n">
        <v>0</v>
      </c>
      <c r="Q67" t="n">
        <v>0</v>
      </c>
      <c r="R67" t="n">
        <v>0</v>
      </c>
      <c r="S67" t="n">
        <v>1</v>
      </c>
      <c r="T67" t="n">
        <v>1</v>
      </c>
      <c r="U67" s="2" t="inlineStr">
        <is>
          <t>Mindre märgborre</t>
        </is>
      </c>
      <c r="V67">
        <f>HYPERLINK("https://klasma.github.io/Logging_2029/artfynd/A 26287-2023 artfynd.xlsx", "A 26287-2023")</f>
        <v/>
      </c>
      <c r="W67">
        <f>HYPERLINK("https://klasma.github.io/Logging_2029/kartor/A 26287-2023 karta.png", "A 26287-2023")</f>
        <v/>
      </c>
      <c r="Y67">
        <f>HYPERLINK("https://klasma.github.io/Logging_2029/klagomål/A 26287-2023 FSC-klagomål.docx", "A 26287-2023")</f>
        <v/>
      </c>
      <c r="Z67">
        <f>HYPERLINK("https://klasma.github.io/Logging_2029/klagomålsmail/A 26287-2023 FSC-klagomål mail.docx", "A 26287-2023")</f>
        <v/>
      </c>
      <c r="AA67">
        <f>HYPERLINK("https://klasma.github.io/Logging_2029/tillsyn/A 26287-2023 tillsynsbegäran.docx", "A 26287-2023")</f>
        <v/>
      </c>
      <c r="AB67">
        <f>HYPERLINK("https://klasma.github.io/Logging_2029/tillsynsmail/A 26287-2023 tillsynsbegäran mail.docx", "A 26287-2023")</f>
        <v/>
      </c>
    </row>
    <row r="68" ht="15" customHeight="1">
      <c r="A68" t="inlineStr">
        <is>
          <t>A 57869-2025</t>
        </is>
      </c>
      <c r="B68" t="inlineStr">
        <is>
          <t>avverkningsanmälan</t>
        </is>
      </c>
      <c r="C68" t="inlineStr">
        <is>
          <t>Föryngringsavverkning</t>
        </is>
      </c>
      <c r="D68" s="1" t="n">
        <v>45981</v>
      </c>
      <c r="E68" s="1" t="n">
        <v>46221</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s="2" t="inlineStr">
        <is>
          <t>Utter</t>
        </is>
      </c>
      <c r="V68">
        <f>HYPERLINK("https://klasma.github.io/Logging_2029/artfynd/A 57869-2025 artfynd.xlsx", "A 57869-2025")</f>
        <v/>
      </c>
      <c r="W68">
        <f>HYPERLINK("https://klasma.github.io/Logging_2029/kartor/A 57869-2025 karta.png", "A 57869-2025")</f>
        <v/>
      </c>
      <c r="Y68">
        <f>HYPERLINK("https://klasma.github.io/Logging_2029/klagomål/A 57869-2025 FSC-klagomål.docx", "A 57869-2025")</f>
        <v/>
      </c>
      <c r="Z68">
        <f>HYPERLINK("https://klasma.github.io/Logging_2029/klagomålsmail/A 57869-2025 FSC-klagomål mail.docx", "A 57869-2025")</f>
        <v/>
      </c>
      <c r="AA68">
        <f>HYPERLINK("https://klasma.github.io/Logging_2029/tillsyn/A 57869-2025 tillsynsbegäran.docx", "A 57869-2025")</f>
        <v/>
      </c>
      <c r="AB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46221</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s="2" t="inlineStr">
        <is>
          <t>Trana</t>
        </is>
      </c>
      <c r="V69">
        <f>HYPERLINK("https://klasma.github.io/Logging_2029/artfynd/A 53122-2023 artfynd.xlsx", "A 53122-2023")</f>
        <v/>
      </c>
      <c r="W69">
        <f>HYPERLINK("https://klasma.github.io/Logging_2029/kartor/A 53122-2023 karta.png", "A 53122-2023")</f>
        <v/>
      </c>
      <c r="Y69">
        <f>HYPERLINK("https://klasma.github.io/Logging_2029/klagomål/A 53122-2023 FSC-klagomål.docx", "A 53122-2023")</f>
        <v/>
      </c>
      <c r="Z69">
        <f>HYPERLINK("https://klasma.github.io/Logging_2029/klagomålsmail/A 53122-2023 FSC-klagomål mail.docx", "A 53122-2023")</f>
        <v/>
      </c>
      <c r="AA69">
        <f>HYPERLINK("https://klasma.github.io/Logging_2029/tillsyn/A 53122-2023 tillsynsbegäran.docx", "A 53122-2023")</f>
        <v/>
      </c>
      <c r="AB69">
        <f>HYPERLINK("https://klasma.github.io/Logging_2029/tillsynsmail/A 53122-2023 tillsynsbegäran mail.docx", "A 53122-2023")</f>
        <v/>
      </c>
      <c r="AC69">
        <f>HYPERLINK("https://klasma.github.io/Logging_2029/fåglar/A 53122-2023 prioriterade fågelarter.docx", "A 53122-2023")</f>
        <v/>
      </c>
    </row>
    <row r="70" ht="15" customHeight="1">
      <c r="A70" t="inlineStr">
        <is>
          <t>A 16815-2025</t>
        </is>
      </c>
      <c r="B70" t="inlineStr">
        <is>
          <t>avverkningsanmälan</t>
        </is>
      </c>
      <c r="C70" t="inlineStr">
        <is>
          <t>Föryngringsavverkning</t>
        </is>
      </c>
      <c r="D70" s="1" t="n">
        <v>45754</v>
      </c>
      <c r="E70" s="1" t="n">
        <v>46221</v>
      </c>
      <c r="F70" t="inlineStr">
        <is>
          <t>DALARNAS LÄN</t>
        </is>
      </c>
      <c r="G70" t="inlineStr">
        <is>
          <t>LEKSAND</t>
        </is>
      </c>
      <c r="I70" t="n">
        <v>2.8</v>
      </c>
      <c r="J70" t="n">
        <v>0</v>
      </c>
      <c r="K70" t="n">
        <v>1</v>
      </c>
      <c r="L70" t="n">
        <v>0</v>
      </c>
      <c r="M70" t="n">
        <v>0</v>
      </c>
      <c r="N70" t="n">
        <v>0</v>
      </c>
      <c r="O70" t="n">
        <v>0</v>
      </c>
      <c r="P70" t="n">
        <v>0</v>
      </c>
      <c r="Q70" t="n">
        <v>0</v>
      </c>
      <c r="R70" t="n">
        <v>0</v>
      </c>
      <c r="S70" t="n">
        <v>1</v>
      </c>
      <c r="T70" t="n">
        <v>1</v>
      </c>
      <c r="U70" s="2" t="inlineStr">
        <is>
          <t>Svavelriska</t>
        </is>
      </c>
      <c r="V70">
        <f>HYPERLINK("https://klasma.github.io/Logging_2029/artfynd/A 16815-2025 artfynd.xlsx", "A 16815-2025")</f>
        <v/>
      </c>
      <c r="W70">
        <f>HYPERLINK("https://klasma.github.io/Logging_2029/kartor/A 16815-2025 karta.png", "A 16815-2025")</f>
        <v/>
      </c>
      <c r="Y70">
        <f>HYPERLINK("https://klasma.github.io/Logging_2029/klagomål/A 16815-2025 FSC-klagomål.docx", "A 16815-2025")</f>
        <v/>
      </c>
      <c r="Z70">
        <f>HYPERLINK("https://klasma.github.io/Logging_2029/klagomålsmail/A 16815-2025 FSC-klagomål mail.docx", "A 16815-2025")</f>
        <v/>
      </c>
      <c r="AA70">
        <f>HYPERLINK("https://klasma.github.io/Logging_2029/tillsyn/A 16815-2025 tillsynsbegäran.docx", "A 16815-2025")</f>
        <v/>
      </c>
      <c r="AB70">
        <f>HYPERLINK("https://klasma.github.io/Logging_2029/tillsynsmail/A 16815-2025 tillsynsbegäran mail.docx", "A 16815-2025")</f>
        <v/>
      </c>
    </row>
    <row r="71" ht="15" customHeight="1">
      <c r="A71" t="inlineStr">
        <is>
          <t>A 59271-2025</t>
        </is>
      </c>
      <c r="B71" t="inlineStr">
        <is>
          <t>avverkningsanmälan</t>
        </is>
      </c>
      <c r="C71" t="inlineStr">
        <is>
          <t>Föryngringsavverkning</t>
        </is>
      </c>
      <c r="D71" s="1" t="n">
        <v>45988</v>
      </c>
      <c r="E71" s="1" t="n">
        <v>46221</v>
      </c>
      <c r="F71" t="inlineStr">
        <is>
          <t>DALARNAS LÄN</t>
        </is>
      </c>
      <c r="G71" t="inlineStr">
        <is>
          <t>LEKSAND</t>
        </is>
      </c>
      <c r="I71" t="n">
        <v>2.2</v>
      </c>
      <c r="J71" t="n">
        <v>0</v>
      </c>
      <c r="K71" t="n">
        <v>1</v>
      </c>
      <c r="L71" t="n">
        <v>0</v>
      </c>
      <c r="M71" t="n">
        <v>0</v>
      </c>
      <c r="N71" t="n">
        <v>0</v>
      </c>
      <c r="O71" t="n">
        <v>0</v>
      </c>
      <c r="P71" t="n">
        <v>0</v>
      </c>
      <c r="Q71" t="n">
        <v>0</v>
      </c>
      <c r="R71" t="n">
        <v>0</v>
      </c>
      <c r="S71" t="n">
        <v>1</v>
      </c>
      <c r="T71" t="n">
        <v>1</v>
      </c>
      <c r="U71" s="2" t="inlineStr">
        <is>
          <t>Brun nållav</t>
        </is>
      </c>
      <c r="V71">
        <f>HYPERLINK("https://klasma.github.io/Logging_2029/artfynd/A 59271-2025 artfynd.xlsx", "A 59271-2025")</f>
        <v/>
      </c>
      <c r="W71">
        <f>HYPERLINK("https://klasma.github.io/Logging_2029/kartor/A 59271-2025 karta.png", "A 59271-2025")</f>
        <v/>
      </c>
      <c r="Y71">
        <f>HYPERLINK("https://klasma.github.io/Logging_2029/klagomål/A 59271-2025 FSC-klagomål.docx", "A 59271-2025")</f>
        <v/>
      </c>
      <c r="Z71">
        <f>HYPERLINK("https://klasma.github.io/Logging_2029/klagomålsmail/A 59271-2025 FSC-klagomål mail.docx", "A 59271-2025")</f>
        <v/>
      </c>
      <c r="AA71">
        <f>HYPERLINK("https://klasma.github.io/Logging_2029/tillsyn/A 59271-2025 tillsynsbegäran.docx", "A 59271-2025")</f>
        <v/>
      </c>
      <c r="AB71">
        <f>HYPERLINK("https://klasma.github.io/Logging_2029/tillsynsmail/A 59271-2025 tillsynsbegäran mail.docx", "A 59271-2025")</f>
        <v/>
      </c>
    </row>
    <row r="72" ht="15" customHeight="1">
      <c r="A72" t="inlineStr">
        <is>
          <t>A 11218-2023</t>
        </is>
      </c>
      <c r="B72" t="inlineStr">
        <is>
          <t>avverkningsanmälan</t>
        </is>
      </c>
      <c r="C72" t="inlineStr">
        <is>
          <t>Föryngringsavverkning</t>
        </is>
      </c>
      <c r="D72" s="1" t="n">
        <v>44992</v>
      </c>
      <c r="E72" s="1" t="n">
        <v>46221</v>
      </c>
      <c r="F72" t="inlineStr">
        <is>
          <t>DALARNAS LÄN</t>
        </is>
      </c>
      <c r="G72" t="inlineStr">
        <is>
          <t>LEKSAND</t>
        </is>
      </c>
      <c r="I72" t="n">
        <v>2.6</v>
      </c>
      <c r="J72" t="n">
        <v>1</v>
      </c>
      <c r="K72" t="n">
        <v>0</v>
      </c>
      <c r="L72" t="n">
        <v>0</v>
      </c>
      <c r="M72" t="n">
        <v>1</v>
      </c>
      <c r="N72" t="n">
        <v>0</v>
      </c>
      <c r="O72" t="n">
        <v>0</v>
      </c>
      <c r="P72" t="n">
        <v>0</v>
      </c>
      <c r="Q72" t="n">
        <v>1</v>
      </c>
      <c r="R72" t="n">
        <v>1</v>
      </c>
      <c r="S72" t="n">
        <v>1</v>
      </c>
      <c r="T72" t="n">
        <v>1</v>
      </c>
      <c r="U72" s="2" t="inlineStr">
        <is>
          <t>Knärot</t>
        </is>
      </c>
      <c r="V72">
        <f>HYPERLINK("https://klasma.github.io/Logging_2029/artfynd/A 11218-2023 artfynd.xlsx", "A 11218-2023")</f>
        <v/>
      </c>
      <c r="W72">
        <f>HYPERLINK("https://klasma.github.io/Logging_2029/kartor/A 11218-2023 karta.png", "A 11218-2023")</f>
        <v/>
      </c>
      <c r="X72">
        <f>HYPERLINK("https://klasma.github.io/Logging_2029/knärot/A 11218-2023 karta knärot.png", "A 11218-2023")</f>
        <v/>
      </c>
      <c r="Y72">
        <f>HYPERLINK("https://klasma.github.io/Logging_2029/klagomål/A 11218-2023 FSC-klagomål.docx", "A 11218-2023")</f>
        <v/>
      </c>
      <c r="Z72">
        <f>HYPERLINK("https://klasma.github.io/Logging_2029/klagomålsmail/A 11218-2023 FSC-klagomål mail.docx", "A 11218-2023")</f>
        <v/>
      </c>
      <c r="AA72">
        <f>HYPERLINK("https://klasma.github.io/Logging_2029/tillsyn/A 11218-2023 tillsynsbegäran.docx", "A 11218-2023")</f>
        <v/>
      </c>
      <c r="AB72">
        <f>HYPERLINK("https://klasma.github.io/Logging_2029/tillsynsmail/A 11218-2023 tillsynsbegäran mail.docx", "A 11218-2023")</f>
        <v/>
      </c>
    </row>
    <row r="73" ht="15" customHeight="1">
      <c r="A73" t="inlineStr">
        <is>
          <t>A 17461-2026</t>
        </is>
      </c>
      <c r="B73" t="inlineStr">
        <is>
          <t>avverkningsanmälan</t>
        </is>
      </c>
      <c r="C73" t="inlineStr">
        <is>
          <t>Föryngringsavverkning</t>
        </is>
      </c>
      <c r="D73" s="1" t="n">
        <v>46120</v>
      </c>
      <c r="E73" s="1" t="n">
        <v>46221</v>
      </c>
      <c r="F73" t="inlineStr">
        <is>
          <t>DALARNAS LÄN</t>
        </is>
      </c>
      <c r="G73" t="inlineStr">
        <is>
          <t>LEKSAND</t>
        </is>
      </c>
      <c r="I73" t="n">
        <v>1.3</v>
      </c>
      <c r="J73" t="n">
        <v>1</v>
      </c>
      <c r="K73" t="n">
        <v>0</v>
      </c>
      <c r="L73" t="n">
        <v>0</v>
      </c>
      <c r="M73" t="n">
        <v>1</v>
      </c>
      <c r="N73" t="n">
        <v>0</v>
      </c>
      <c r="O73" t="n">
        <v>0</v>
      </c>
      <c r="P73" t="n">
        <v>0</v>
      </c>
      <c r="Q73" t="n">
        <v>1</v>
      </c>
      <c r="R73" t="n">
        <v>1</v>
      </c>
      <c r="S73" t="n">
        <v>1</v>
      </c>
      <c r="T73" t="n">
        <v>1</v>
      </c>
      <c r="U73" s="2" t="inlineStr">
        <is>
          <t>Brun gräsfjäril</t>
        </is>
      </c>
      <c r="V73">
        <f>HYPERLINK("https://klasma.github.io/Logging_2029/artfynd/A 17461-2026 artfynd.xlsx", "A 17461-2026")</f>
        <v/>
      </c>
      <c r="W73">
        <f>HYPERLINK("https://klasma.github.io/Logging_2029/kartor/A 17461-2026 karta.png", "A 17461-2026")</f>
        <v/>
      </c>
      <c r="Y73">
        <f>HYPERLINK("https://klasma.github.io/Logging_2029/klagomål/A 17461-2026 FSC-klagomål.docx", "A 17461-2026")</f>
        <v/>
      </c>
      <c r="Z73">
        <f>HYPERLINK("https://klasma.github.io/Logging_2029/klagomålsmail/A 17461-2026 FSC-klagomål mail.docx", "A 17461-2026")</f>
        <v/>
      </c>
      <c r="AA73">
        <f>HYPERLINK("https://klasma.github.io/Logging_2029/tillsyn/A 17461-2026 tillsynsbegäran.docx", "A 17461-2026")</f>
        <v/>
      </c>
      <c r="AB73">
        <f>HYPERLINK("https://klasma.github.io/Logging_2029/tillsynsmail/A 17461-2026 tillsynsbegäran mail.docx", "A 17461-2026")</f>
        <v/>
      </c>
    </row>
    <row r="74" ht="15" customHeight="1">
      <c r="A74" t="inlineStr">
        <is>
          <t>A 18107-2025</t>
        </is>
      </c>
      <c r="B74" t="inlineStr">
        <is>
          <t>avverkningsanmälan</t>
        </is>
      </c>
      <c r="C74" t="inlineStr">
        <is>
          <t>Föryngringsavverkning</t>
        </is>
      </c>
      <c r="D74" s="1" t="n">
        <v>45761</v>
      </c>
      <c r="E74" s="1" t="n">
        <v>46221</v>
      </c>
      <c r="F74" t="inlineStr">
        <is>
          <t>DALARNAS LÄN</t>
        </is>
      </c>
      <c r="G74" t="inlineStr">
        <is>
          <t>LEKSAND</t>
        </is>
      </c>
      <c r="I74" t="n">
        <v>1.2</v>
      </c>
      <c r="J74" t="n">
        <v>0</v>
      </c>
      <c r="K74" t="n">
        <v>0</v>
      </c>
      <c r="L74" t="n">
        <v>1</v>
      </c>
      <c r="M74" t="n">
        <v>0</v>
      </c>
      <c r="N74" t="n">
        <v>0</v>
      </c>
      <c r="O74" t="n">
        <v>0</v>
      </c>
      <c r="P74" t="n">
        <v>0</v>
      </c>
      <c r="Q74" t="n">
        <v>1</v>
      </c>
      <c r="R74" t="n">
        <v>0</v>
      </c>
      <c r="S74" t="n">
        <v>1</v>
      </c>
      <c r="T74" t="n">
        <v>1</v>
      </c>
      <c r="U74" s="2" t="inlineStr">
        <is>
          <t>Gullpudra</t>
        </is>
      </c>
      <c r="V74">
        <f>HYPERLINK("https://klasma.github.io/Logging_2029/artfynd/A 18107-2025 artfynd.xlsx", "A 18107-2025")</f>
        <v/>
      </c>
      <c r="W74">
        <f>HYPERLINK("https://klasma.github.io/Logging_2029/kartor/A 18107-2025 karta.png", "A 18107-2025")</f>
        <v/>
      </c>
      <c r="Y74">
        <f>HYPERLINK("https://klasma.github.io/Logging_2029/klagomål/A 18107-2025 FSC-klagomål.docx", "A 18107-2025")</f>
        <v/>
      </c>
      <c r="Z74">
        <f>HYPERLINK("https://klasma.github.io/Logging_2029/klagomålsmail/A 18107-2025 FSC-klagomål mail.docx", "A 18107-2025")</f>
        <v/>
      </c>
      <c r="AA74">
        <f>HYPERLINK("https://klasma.github.io/Logging_2029/tillsyn/A 18107-2025 tillsynsbegäran.docx", "A 18107-2025")</f>
        <v/>
      </c>
      <c r="AB74">
        <f>HYPERLINK("https://klasma.github.io/Logging_2029/tillsynsmail/A 18107-2025 tillsynsbegäran mail.docx", "A 18107-2025")</f>
        <v/>
      </c>
    </row>
    <row r="75" ht="15" customHeight="1">
      <c r="A75" t="inlineStr">
        <is>
          <t>A 33318-2023</t>
        </is>
      </c>
      <c r="B75" t="inlineStr">
        <is>
          <t>avverkningsanmälan</t>
        </is>
      </c>
      <c r="C75" t="inlineStr">
        <is>
          <t>Föryngringsavverkning</t>
        </is>
      </c>
      <c r="D75" s="1" t="n">
        <v>45127</v>
      </c>
      <c r="E75" s="1" t="n">
        <v>46221</v>
      </c>
      <c r="F75" t="inlineStr">
        <is>
          <t>DALARNAS LÄN</t>
        </is>
      </c>
      <c r="G75" t="inlineStr">
        <is>
          <t>LEKSAND</t>
        </is>
      </c>
      <c r="I75" t="n">
        <v>5.5</v>
      </c>
      <c r="J75" t="n">
        <v>1</v>
      </c>
      <c r="K75" t="n">
        <v>0</v>
      </c>
      <c r="L75" t="n">
        <v>1</v>
      </c>
      <c r="M75" t="n">
        <v>0</v>
      </c>
      <c r="N75" t="n">
        <v>0</v>
      </c>
      <c r="O75" t="n">
        <v>0</v>
      </c>
      <c r="P75" t="n">
        <v>0</v>
      </c>
      <c r="Q75" t="n">
        <v>1</v>
      </c>
      <c r="R75" t="n">
        <v>0</v>
      </c>
      <c r="S75" t="n">
        <v>1</v>
      </c>
      <c r="T75" t="n">
        <v>1</v>
      </c>
      <c r="U75" s="2" t="inlineStr">
        <is>
          <t>Sparvuggla</t>
        </is>
      </c>
      <c r="V75">
        <f>HYPERLINK("https://klasma.github.io/Logging_2029/artfynd/A 33318-2023 artfynd.xlsx", "A 33318-2023")</f>
        <v/>
      </c>
      <c r="W75">
        <f>HYPERLINK("https://klasma.github.io/Logging_2029/kartor/A 33318-2023 karta.png", "A 33318-2023")</f>
        <v/>
      </c>
      <c r="Y75">
        <f>HYPERLINK("https://klasma.github.io/Logging_2029/klagomål/A 33318-2023 FSC-klagomål.docx", "A 33318-2023")</f>
        <v/>
      </c>
      <c r="Z75">
        <f>HYPERLINK("https://klasma.github.io/Logging_2029/klagomålsmail/A 33318-2023 FSC-klagomål mail.docx", "A 33318-2023")</f>
        <v/>
      </c>
      <c r="AA75">
        <f>HYPERLINK("https://klasma.github.io/Logging_2029/tillsyn/A 33318-2023 tillsynsbegäran.docx", "A 33318-2023")</f>
        <v/>
      </c>
      <c r="AB75">
        <f>HYPERLINK("https://klasma.github.io/Logging_2029/tillsynsmail/A 33318-2023 tillsynsbegäran mail.docx", "A 33318-2023")</f>
        <v/>
      </c>
      <c r="AC75">
        <f>HYPERLINK("https://klasma.github.io/Logging_2029/fåglar/A 33318-2023 prioriterade fågelarter.docx", "A 33318-2023")</f>
        <v/>
      </c>
    </row>
    <row r="76" ht="15" customHeight="1">
      <c r="A76" t="inlineStr">
        <is>
          <t>A 4257-2022</t>
        </is>
      </c>
      <c r="B76" t="inlineStr">
        <is>
          <t>avverkningsanmälan</t>
        </is>
      </c>
      <c r="C76" t="inlineStr">
        <is>
          <t>Föryngringsavverkning</t>
        </is>
      </c>
      <c r="D76" s="1" t="n">
        <v>44588</v>
      </c>
      <c r="E76" s="1" t="n">
        <v>46221</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s="2" t="inlineStr">
        <is>
          <t>Skogsknipprot</t>
        </is>
      </c>
      <c r="V76">
        <f>HYPERLINK("https://klasma.github.io/Logging_2029/artfynd/A 4257-2022 artfynd.xlsx", "A 4257-2022")</f>
        <v/>
      </c>
      <c r="W76">
        <f>HYPERLINK("https://klasma.github.io/Logging_2029/kartor/A 4257-2022 karta.png", "A 4257-2022")</f>
        <v/>
      </c>
      <c r="Y76">
        <f>HYPERLINK("https://klasma.github.io/Logging_2029/klagomål/A 4257-2022 FSC-klagomål.docx", "A 4257-2022")</f>
        <v/>
      </c>
      <c r="Z76">
        <f>HYPERLINK("https://klasma.github.io/Logging_2029/klagomålsmail/A 4257-2022 FSC-klagomål mail.docx", "A 4257-2022")</f>
        <v/>
      </c>
      <c r="AA76">
        <f>HYPERLINK("https://klasma.github.io/Logging_2029/tillsyn/A 4257-2022 tillsynsbegäran.docx", "A 4257-2022")</f>
        <v/>
      </c>
      <c r="AB76">
        <f>HYPERLINK("https://klasma.github.io/Logging_2029/tillsynsmail/A 4257-2022 tillsynsbegäran mail.docx", "A 4257-2022")</f>
        <v/>
      </c>
    </row>
    <row r="77" ht="15" customHeight="1">
      <c r="A77" t="inlineStr">
        <is>
          <t>A 60113-2022</t>
        </is>
      </c>
      <c r="B77" t="inlineStr">
        <is>
          <t>avverkningsanmälan</t>
        </is>
      </c>
      <c r="C77" t="inlineStr">
        <is>
          <t>Föryngringsavverkning</t>
        </is>
      </c>
      <c r="D77" s="1" t="n">
        <v>44909</v>
      </c>
      <c r="E77" s="1" t="n">
        <v>46221</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s="2" t="inlineStr">
        <is>
          <t>Slaguggla</t>
        </is>
      </c>
      <c r="V77">
        <f>HYPERLINK("https://klasma.github.io/Logging_2029/artfynd/A 60113-2022 artfynd.xlsx", "A 60113-2022")</f>
        <v/>
      </c>
      <c r="W77">
        <f>HYPERLINK("https://klasma.github.io/Logging_2029/kartor/A 60113-2022 karta.png", "A 60113-2022")</f>
        <v/>
      </c>
      <c r="Y77">
        <f>HYPERLINK("https://klasma.github.io/Logging_2029/klagomål/A 60113-2022 FSC-klagomål.docx", "A 60113-2022")</f>
        <v/>
      </c>
      <c r="Z77">
        <f>HYPERLINK("https://klasma.github.io/Logging_2029/klagomålsmail/A 60113-2022 FSC-klagomål mail.docx", "A 60113-2022")</f>
        <v/>
      </c>
      <c r="AA77">
        <f>HYPERLINK("https://klasma.github.io/Logging_2029/tillsyn/A 60113-2022 tillsynsbegäran.docx", "A 60113-2022")</f>
        <v/>
      </c>
      <c r="AB77">
        <f>HYPERLINK("https://klasma.github.io/Logging_2029/tillsynsmail/A 60113-2022 tillsynsbegäran mail.docx", "A 60113-2022")</f>
        <v/>
      </c>
      <c r="AC77">
        <f>HYPERLINK("https://klasma.github.io/Logging_2029/fåglar/A 60113-2022 prioriterade fågelarter.docx", "A 60113-2022")</f>
        <v/>
      </c>
    </row>
    <row r="78" ht="15" customHeight="1">
      <c r="A78" t="inlineStr">
        <is>
          <t>A 55633-2024</t>
        </is>
      </c>
      <c r="B78" t="inlineStr">
        <is>
          <t>avverkningsanmälan</t>
        </is>
      </c>
      <c r="C78" t="inlineStr">
        <is>
          <t>Föryngringsavverkning</t>
        </is>
      </c>
      <c r="D78" s="1" t="n">
        <v>45621</v>
      </c>
      <c r="E78" s="1" t="n">
        <v>46221</v>
      </c>
      <c r="F78" t="inlineStr">
        <is>
          <t>DALARNAS LÄN</t>
        </is>
      </c>
      <c r="G78" t="inlineStr">
        <is>
          <t>LEKSAND</t>
        </is>
      </c>
      <c r="I78" t="n">
        <v>7.8</v>
      </c>
      <c r="J78" t="n">
        <v>0</v>
      </c>
      <c r="K78" t="n">
        <v>0</v>
      </c>
      <c r="L78" t="n">
        <v>1</v>
      </c>
      <c r="M78" t="n">
        <v>0</v>
      </c>
      <c r="N78" t="n">
        <v>0</v>
      </c>
      <c r="O78" t="n">
        <v>0</v>
      </c>
      <c r="P78" t="n">
        <v>0</v>
      </c>
      <c r="Q78" t="n">
        <v>1</v>
      </c>
      <c r="R78" t="n">
        <v>0</v>
      </c>
      <c r="S78" t="n">
        <v>1</v>
      </c>
      <c r="T78" t="n">
        <v>1</v>
      </c>
      <c r="U78" s="2" t="inlineStr">
        <is>
          <t>Ullticka</t>
        </is>
      </c>
      <c r="V78">
        <f>HYPERLINK("https://klasma.github.io/Logging_2029/artfynd/A 55633-2024 artfynd.xlsx", "A 55633-2024")</f>
        <v/>
      </c>
      <c r="W78">
        <f>HYPERLINK("https://klasma.github.io/Logging_2029/kartor/A 55633-2024 karta.png", "A 55633-2024")</f>
        <v/>
      </c>
      <c r="Y78">
        <f>HYPERLINK("https://klasma.github.io/Logging_2029/klagomål/A 55633-2024 FSC-klagomål.docx", "A 55633-2024")</f>
        <v/>
      </c>
      <c r="Z78">
        <f>HYPERLINK("https://klasma.github.io/Logging_2029/klagomålsmail/A 55633-2024 FSC-klagomål mail.docx", "A 55633-2024")</f>
        <v/>
      </c>
      <c r="AA78">
        <f>HYPERLINK("https://klasma.github.io/Logging_2029/tillsyn/A 55633-2024 tillsynsbegäran.docx", "A 55633-2024")</f>
        <v/>
      </c>
      <c r="AB78">
        <f>HYPERLINK("https://klasma.github.io/Logging_2029/tillsynsmail/A 55633-2024 tillsynsbegäran mail.docx", "A 55633-2024")</f>
        <v/>
      </c>
    </row>
    <row r="79" ht="15" customHeight="1">
      <c r="A79" t="inlineStr">
        <is>
          <t>A 59751-2024</t>
        </is>
      </c>
      <c r="B79" t="inlineStr">
        <is>
          <t>avverkningsanmälan</t>
        </is>
      </c>
      <c r="C79" t="inlineStr">
        <is>
          <t>Avverkning för annat ändamål</t>
        </is>
      </c>
      <c r="D79" s="1" t="n">
        <v>45638</v>
      </c>
      <c r="E79" s="1" t="n">
        <v>46221</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s="2" t="inlineStr">
        <is>
          <t>Spillkråka</t>
        </is>
      </c>
      <c r="V79">
        <f>HYPERLINK("https://klasma.github.io/Logging_2029/artfynd/A 59751-2024 artfynd.xlsx", "A 59751-2024")</f>
        <v/>
      </c>
      <c r="W79">
        <f>HYPERLINK("https://klasma.github.io/Logging_2029/kartor/A 59751-2024 karta.png", "A 59751-2024")</f>
        <v/>
      </c>
      <c r="Y79">
        <f>HYPERLINK("https://klasma.github.io/Logging_2029/klagomål/A 59751-2024 FSC-klagomål.docx", "A 59751-2024")</f>
        <v/>
      </c>
      <c r="Z79">
        <f>HYPERLINK("https://klasma.github.io/Logging_2029/klagomålsmail/A 59751-2024 FSC-klagomål mail.docx", "A 59751-2024")</f>
        <v/>
      </c>
      <c r="AA79">
        <f>HYPERLINK("https://klasma.github.io/Logging_2029/tillsyn/A 59751-2024 tillsynsbegäran.docx", "A 59751-2024")</f>
        <v/>
      </c>
      <c r="AB79">
        <f>HYPERLINK("https://klasma.github.io/Logging_2029/tillsynsmail/A 59751-2024 tillsynsbegäran mail.docx", "A 59751-2024")</f>
        <v/>
      </c>
      <c r="AC79">
        <f>HYPERLINK("https://klasma.github.io/Logging_2029/fåglar/A 59751-2024 prioriterade fågelarter.docx", "A 59751-2024")</f>
        <v/>
      </c>
    </row>
    <row r="80" ht="15" customHeight="1">
      <c r="A80" t="inlineStr">
        <is>
          <t>A 164-2024</t>
        </is>
      </c>
      <c r="B80" t="inlineStr">
        <is>
          <t>avverkningsanmälan</t>
        </is>
      </c>
      <c r="C80" t="inlineStr">
        <is>
          <t>Avverkning för annat ändamål</t>
        </is>
      </c>
      <c r="D80" s="1" t="n">
        <v>45294</v>
      </c>
      <c r="E80" s="1" t="n">
        <v>46221</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s="2" t="inlineStr">
        <is>
          <t>Järpe</t>
        </is>
      </c>
      <c r="V80">
        <f>HYPERLINK("https://klasma.github.io/Logging_2029/artfynd/A 164-2024 artfynd.xlsx", "A 164-2024")</f>
        <v/>
      </c>
      <c r="W80">
        <f>HYPERLINK("https://klasma.github.io/Logging_2029/kartor/A 164-2024 karta.png", "A 164-2024")</f>
        <v/>
      </c>
      <c r="Y80">
        <f>HYPERLINK("https://klasma.github.io/Logging_2029/klagomål/A 164-2024 FSC-klagomål.docx", "A 164-2024")</f>
        <v/>
      </c>
      <c r="Z80">
        <f>HYPERLINK("https://klasma.github.io/Logging_2029/klagomålsmail/A 164-2024 FSC-klagomål mail.docx", "A 164-2024")</f>
        <v/>
      </c>
      <c r="AA80">
        <f>HYPERLINK("https://klasma.github.io/Logging_2029/tillsyn/A 164-2024 tillsynsbegäran.docx", "A 164-2024")</f>
        <v/>
      </c>
      <c r="AB80">
        <f>HYPERLINK("https://klasma.github.io/Logging_2029/tillsynsmail/A 164-2024 tillsynsbegäran mail.docx", "A 164-2024")</f>
        <v/>
      </c>
      <c r="AC80">
        <f>HYPERLINK("https://klasma.github.io/Logging_2029/fåglar/A 164-2024 prioriterade fågelarter.docx", "A 164-2024")</f>
        <v/>
      </c>
    </row>
    <row r="81" ht="15" customHeight="1">
      <c r="A81" t="inlineStr">
        <is>
          <t>A 20946-2023</t>
        </is>
      </c>
      <c r="B81" t="inlineStr">
        <is>
          <t>avverkningsanmälan</t>
        </is>
      </c>
      <c r="C81" t="inlineStr">
        <is>
          <t>Föryngringsavverkning</t>
        </is>
      </c>
      <c r="D81" s="1" t="n">
        <v>45061</v>
      </c>
      <c r="E81" s="1" t="n">
        <v>46221</v>
      </c>
      <c r="F81" t="inlineStr">
        <is>
          <t>DALARNAS LÄN</t>
        </is>
      </c>
      <c r="G81" t="inlineStr">
        <is>
          <t>LEKSAND</t>
        </is>
      </c>
      <c r="I81" t="n">
        <v>2.7</v>
      </c>
      <c r="J81" t="n">
        <v>1</v>
      </c>
      <c r="K81" t="n">
        <v>0</v>
      </c>
      <c r="L81" t="n">
        <v>0</v>
      </c>
      <c r="M81" t="n">
        <v>1</v>
      </c>
      <c r="N81" t="n">
        <v>0</v>
      </c>
      <c r="O81" t="n">
        <v>0</v>
      </c>
      <c r="P81" t="n">
        <v>0</v>
      </c>
      <c r="Q81" t="n">
        <v>1</v>
      </c>
      <c r="R81" t="n">
        <v>1</v>
      </c>
      <c r="S81" t="n">
        <v>1</v>
      </c>
      <c r="T81" t="n">
        <v>1</v>
      </c>
      <c r="U81" s="2" t="inlineStr">
        <is>
          <t>Väddnätfjäril</t>
        </is>
      </c>
      <c r="V81">
        <f>HYPERLINK("https://klasma.github.io/Logging_2029/artfynd/A 20946-2023 artfynd.xlsx", "A 20946-2023")</f>
        <v/>
      </c>
      <c r="W81">
        <f>HYPERLINK("https://klasma.github.io/Logging_2029/kartor/A 20946-2023 karta.png", "A 20946-2023")</f>
        <v/>
      </c>
      <c r="Y81">
        <f>HYPERLINK("https://klasma.github.io/Logging_2029/klagomål/A 20946-2023 FSC-klagomål.docx", "A 20946-2023")</f>
        <v/>
      </c>
      <c r="Z81">
        <f>HYPERLINK("https://klasma.github.io/Logging_2029/klagomålsmail/A 20946-2023 FSC-klagomål mail.docx", "A 20946-2023")</f>
        <v/>
      </c>
      <c r="AA81">
        <f>HYPERLINK("https://klasma.github.io/Logging_2029/tillsyn/A 20946-2023 tillsynsbegäran.docx", "A 20946-2023")</f>
        <v/>
      </c>
      <c r="AB81">
        <f>HYPERLINK("https://klasma.github.io/Logging_2029/tillsynsmail/A 20946-2023 tillsynsbegäran mail.docx", "A 20946-2023")</f>
        <v/>
      </c>
    </row>
    <row r="82" ht="15" customHeight="1">
      <c r="A82" t="inlineStr">
        <is>
          <t>A 16743-2026</t>
        </is>
      </c>
      <c r="B82" t="inlineStr">
        <is>
          <t>avverkningsanmälan</t>
        </is>
      </c>
      <c r="C82" t="inlineStr">
        <is>
          <t>Föryngringsavverkning</t>
        </is>
      </c>
      <c r="D82" s="1" t="n">
        <v>46113</v>
      </c>
      <c r="E82" s="1" t="n">
        <v>46221</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s="2" t="inlineStr">
        <is>
          <t>Järpe</t>
        </is>
      </c>
      <c r="V82">
        <f>HYPERLINK("https://klasma.github.io/Logging_2029/artfynd/A 16743-2026 artfynd.xlsx", "A 16743-2026")</f>
        <v/>
      </c>
      <c r="W82">
        <f>HYPERLINK("https://klasma.github.io/Logging_2029/kartor/A 16743-2026 karta.png", "A 16743-2026")</f>
        <v/>
      </c>
      <c r="Y82">
        <f>HYPERLINK("https://klasma.github.io/Logging_2029/klagomål/A 16743-2026 FSC-klagomål.docx", "A 16743-2026")</f>
        <v/>
      </c>
      <c r="Z82">
        <f>HYPERLINK("https://klasma.github.io/Logging_2029/klagomålsmail/A 16743-2026 FSC-klagomål mail.docx", "A 16743-2026")</f>
        <v/>
      </c>
      <c r="AA82">
        <f>HYPERLINK("https://klasma.github.io/Logging_2029/tillsyn/A 16743-2026 tillsynsbegäran.docx", "A 16743-2026")</f>
        <v/>
      </c>
      <c r="AB82">
        <f>HYPERLINK("https://klasma.github.io/Logging_2029/tillsynsmail/A 16743-2026 tillsynsbegäran mail.docx", "A 16743-2026")</f>
        <v/>
      </c>
      <c r="AC82">
        <f>HYPERLINK("https://klasma.github.io/Logging_2029/fåglar/A 16743-2026 prioriterade fågelarter.docx", "A 16743-2026")</f>
        <v/>
      </c>
    </row>
    <row r="83" ht="15" customHeight="1">
      <c r="A83" t="inlineStr">
        <is>
          <t>A 29131-2026</t>
        </is>
      </c>
      <c r="B83" t="inlineStr">
        <is>
          <t>avverkningsanmälan</t>
        </is>
      </c>
      <c r="C83" t="inlineStr">
        <is>
          <t>Föryngringsavverkning</t>
        </is>
      </c>
      <c r="D83" s="1" t="n">
        <v>46202</v>
      </c>
      <c r="E83" s="1" t="n">
        <v>46221</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s="2" t="inlineStr">
        <is>
          <t>Spillkråka</t>
        </is>
      </c>
      <c r="V83">
        <f>HYPERLINK("https://klasma.github.io/Logging_2029/artfynd/A 29131-2026 artfynd.xlsx", "A 29131-2026")</f>
        <v/>
      </c>
      <c r="W83">
        <f>HYPERLINK("https://klasma.github.io/Logging_2029/kartor/A 29131-2026 karta.png", "A 29131-2026")</f>
        <v/>
      </c>
      <c r="Y83">
        <f>HYPERLINK("https://klasma.github.io/Logging_2029/klagomål/A 29131-2026 FSC-klagomål.docx", "A 29131-2026")</f>
        <v/>
      </c>
      <c r="Z83">
        <f>HYPERLINK("https://klasma.github.io/Logging_2029/klagomålsmail/A 29131-2026 FSC-klagomål mail.docx", "A 29131-2026")</f>
        <v/>
      </c>
      <c r="AA83">
        <f>HYPERLINK("https://klasma.github.io/Logging_2029/tillsyn/A 29131-2026 tillsynsbegäran.docx", "A 29131-2026")</f>
        <v/>
      </c>
      <c r="AB83">
        <f>HYPERLINK("https://klasma.github.io/Logging_2029/tillsynsmail/A 29131-2026 tillsynsbegäran mail.docx", "A 29131-2026")</f>
        <v/>
      </c>
      <c r="AC83">
        <f>HYPERLINK("https://klasma.github.io/Logging_2029/fåglar/A 29131-2026 prioriterade fågelarter.docx", "A 29131-2026")</f>
        <v/>
      </c>
    </row>
    <row r="84" ht="15" customHeight="1">
      <c r="A84" t="inlineStr">
        <is>
          <t>A 13401-2023</t>
        </is>
      </c>
      <c r="B84" t="inlineStr">
        <is>
          <t>avverkningsanmälan</t>
        </is>
      </c>
      <c r="C84" t="inlineStr">
        <is>
          <t>Föryngringsavverkning</t>
        </is>
      </c>
      <c r="D84" s="1" t="n">
        <v>45005</v>
      </c>
      <c r="E84" s="1" t="n">
        <v>46221</v>
      </c>
      <c r="F84" t="inlineStr">
        <is>
          <t>DALARNAS LÄN</t>
        </is>
      </c>
      <c r="G84" t="inlineStr">
        <is>
          <t>LEKSAND</t>
        </is>
      </c>
      <c r="I84" t="n">
        <v>0.7</v>
      </c>
      <c r="J84" t="n">
        <v>1</v>
      </c>
      <c r="K84" t="n">
        <v>0</v>
      </c>
      <c r="L84" t="n">
        <v>0</v>
      </c>
      <c r="M84" t="n">
        <v>0</v>
      </c>
      <c r="N84" t="n">
        <v>0</v>
      </c>
      <c r="O84" t="n">
        <v>0</v>
      </c>
      <c r="P84" t="n">
        <v>0</v>
      </c>
      <c r="Q84" t="n">
        <v>0</v>
      </c>
      <c r="R84" t="n">
        <v>0</v>
      </c>
      <c r="S84" t="n">
        <v>1</v>
      </c>
      <c r="T84" t="n">
        <v>1</v>
      </c>
      <c r="U84" s="2" t="inlineStr">
        <is>
          <t>Orre</t>
        </is>
      </c>
      <c r="V84">
        <f>HYPERLINK("https://klasma.github.io/Logging_2029/artfynd/A 13401-2023 artfynd.xlsx", "A 13401-2023")</f>
        <v/>
      </c>
      <c r="W84">
        <f>HYPERLINK("https://klasma.github.io/Logging_2029/kartor/A 13401-2023 karta.png", "A 13401-2023")</f>
        <v/>
      </c>
      <c r="Y84">
        <f>HYPERLINK("https://klasma.github.io/Logging_2029/klagomål/A 13401-2023 FSC-klagomål.docx", "A 13401-2023")</f>
        <v/>
      </c>
      <c r="Z84">
        <f>HYPERLINK("https://klasma.github.io/Logging_2029/klagomålsmail/A 13401-2023 FSC-klagomål mail.docx", "A 13401-2023")</f>
        <v/>
      </c>
      <c r="AA84">
        <f>HYPERLINK("https://klasma.github.io/Logging_2029/tillsyn/A 13401-2023 tillsynsbegäran.docx", "A 13401-2023")</f>
        <v/>
      </c>
      <c r="AB84">
        <f>HYPERLINK("https://klasma.github.io/Logging_2029/tillsynsmail/A 13401-2023 tillsynsbegäran mail.docx", "A 13401-2023")</f>
        <v/>
      </c>
      <c r="AC84">
        <f>HYPERLINK("https://klasma.github.io/Logging_2029/fåglar/A 13401-2023 prioriterade fågelarter.docx", "A 13401-2023")</f>
        <v/>
      </c>
    </row>
    <row r="85" ht="15" customHeight="1">
      <c r="A85" t="inlineStr">
        <is>
          <t>A 30175-2023</t>
        </is>
      </c>
      <c r="B85" t="inlineStr">
        <is>
          <t>avverkningsanmälan</t>
        </is>
      </c>
      <c r="C85" t="inlineStr">
        <is>
          <t>Avverkning för annat ändamål</t>
        </is>
      </c>
      <c r="D85" s="1" t="n">
        <v>45110</v>
      </c>
      <c r="E85" s="1" t="n">
        <v>46221</v>
      </c>
      <c r="F85" t="inlineStr">
        <is>
          <t>DALARNAS LÄN</t>
        </is>
      </c>
      <c r="G85" t="inlineStr">
        <is>
          <t>LEKSAND</t>
        </is>
      </c>
      <c r="I85" t="n">
        <v>0.5</v>
      </c>
      <c r="J85" t="n">
        <v>1</v>
      </c>
      <c r="K85" t="n">
        <v>1</v>
      </c>
      <c r="L85" t="n">
        <v>0</v>
      </c>
      <c r="M85" t="n">
        <v>0</v>
      </c>
      <c r="N85" t="n">
        <v>0</v>
      </c>
      <c r="O85" t="n">
        <v>0</v>
      </c>
      <c r="P85" t="n">
        <v>0</v>
      </c>
      <c r="Q85" t="n">
        <v>0</v>
      </c>
      <c r="R85" t="n">
        <v>0</v>
      </c>
      <c r="S85" t="n">
        <v>1</v>
      </c>
      <c r="T85" t="n">
        <v>2</v>
      </c>
      <c r="U85" s="2" t="inlineStr">
        <is>
          <t>Guckusko</t>
        </is>
      </c>
      <c r="V85">
        <f>HYPERLINK("https://klasma.github.io/Logging_2029/artfynd/A 30175-2023 artfynd.xlsx", "A 30175-2023")</f>
        <v/>
      </c>
      <c r="W85">
        <f>HYPERLINK("https://klasma.github.io/Logging_2029/kartor/A 30175-2023 karta.png", "A 30175-2023")</f>
        <v/>
      </c>
      <c r="Y85">
        <f>HYPERLINK("https://klasma.github.io/Logging_2029/klagomål/A 30175-2023 FSC-klagomål.docx", "A 30175-2023")</f>
        <v/>
      </c>
      <c r="Z85">
        <f>HYPERLINK("https://klasma.github.io/Logging_2029/klagomålsmail/A 30175-2023 FSC-klagomål mail.docx", "A 30175-2023")</f>
        <v/>
      </c>
      <c r="AA85">
        <f>HYPERLINK("https://klasma.github.io/Logging_2029/tillsyn/A 30175-2023 tillsynsbegäran.docx", "A 30175-2023")</f>
        <v/>
      </c>
      <c r="AB85">
        <f>HYPERLINK("https://klasma.github.io/Logging_2029/tillsynsmail/A 30175-2023 tillsynsbegäran mail.docx", "A 30175-2023")</f>
        <v/>
      </c>
    </row>
    <row r="86" ht="15" customHeight="1">
      <c r="A86" t="inlineStr">
        <is>
          <t>A 15120-2023</t>
        </is>
      </c>
      <c r="B86" t="inlineStr">
        <is>
          <t>avverkningsanmälan</t>
        </is>
      </c>
      <c r="C86" t="inlineStr">
        <is>
          <t>Föryngringsavverkning</t>
        </is>
      </c>
      <c r="D86" s="1" t="n">
        <v>45016</v>
      </c>
      <c r="E86" s="1" t="n">
        <v>46221</v>
      </c>
      <c r="F86" t="inlineStr">
        <is>
          <t>DALARNAS LÄN</t>
        </is>
      </c>
      <c r="G86" t="inlineStr">
        <is>
          <t>LEKSAND</t>
        </is>
      </c>
      <c r="I86" t="n">
        <v>2.7</v>
      </c>
      <c r="J86" t="n">
        <v>1</v>
      </c>
      <c r="K86" t="n">
        <v>0</v>
      </c>
      <c r="L86" t="n">
        <v>0</v>
      </c>
      <c r="M86" t="n">
        <v>0</v>
      </c>
      <c r="N86" t="n">
        <v>0</v>
      </c>
      <c r="O86" t="n">
        <v>0</v>
      </c>
      <c r="P86" t="n">
        <v>0</v>
      </c>
      <c r="Q86" t="n">
        <v>0</v>
      </c>
      <c r="R86" t="n">
        <v>0</v>
      </c>
      <c r="S86" t="n">
        <v>1</v>
      </c>
      <c r="T86" t="n">
        <v>1</v>
      </c>
      <c r="U86" s="2" t="inlineStr">
        <is>
          <t>Kungsfågel</t>
        </is>
      </c>
      <c r="V86">
        <f>HYPERLINK("https://klasma.github.io/Logging_2029/artfynd/A 15120-2023 artfynd.xlsx", "A 15120-2023")</f>
        <v/>
      </c>
      <c r="W86">
        <f>HYPERLINK("https://klasma.github.io/Logging_2029/kartor/A 15120-2023 karta.png", "A 15120-2023")</f>
        <v/>
      </c>
      <c r="Y86">
        <f>HYPERLINK("https://klasma.github.io/Logging_2029/klagomål/A 15120-2023 FSC-klagomål.docx", "A 15120-2023")</f>
        <v/>
      </c>
      <c r="Z86">
        <f>HYPERLINK("https://klasma.github.io/Logging_2029/klagomålsmail/A 15120-2023 FSC-klagomål mail.docx", "A 15120-2023")</f>
        <v/>
      </c>
      <c r="AA86">
        <f>HYPERLINK("https://klasma.github.io/Logging_2029/tillsyn/A 15120-2023 tillsynsbegäran.docx", "A 15120-2023")</f>
        <v/>
      </c>
      <c r="AB86">
        <f>HYPERLINK("https://klasma.github.io/Logging_2029/tillsynsmail/A 15120-2023 tillsynsbegäran mail.docx", "A 15120-2023")</f>
        <v/>
      </c>
    </row>
    <row r="87" ht="15" customHeight="1">
      <c r="A87" t="inlineStr">
        <is>
          <t>A 31124-2024</t>
        </is>
      </c>
      <c r="B87" t="inlineStr">
        <is>
          <t>avverkningsanmälan</t>
        </is>
      </c>
      <c r="C87" t="inlineStr">
        <is>
          <t>Föryngringsavverkning</t>
        </is>
      </c>
      <c r="D87" s="1" t="n">
        <v>45502</v>
      </c>
      <c r="E87" s="1" t="n">
        <v>46221</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s="2" t="inlineStr">
        <is>
          <t>Väddnätfjäril</t>
        </is>
      </c>
      <c r="V87">
        <f>HYPERLINK("https://klasma.github.io/Logging_2029/artfynd/A 31124-2024 artfynd.xlsx", "A 31124-2024")</f>
        <v/>
      </c>
      <c r="W87">
        <f>HYPERLINK("https://klasma.github.io/Logging_2029/kartor/A 31124-2024 karta.png", "A 31124-2024")</f>
        <v/>
      </c>
      <c r="Y87">
        <f>HYPERLINK("https://klasma.github.io/Logging_2029/klagomål/A 31124-2024 FSC-klagomål.docx", "A 31124-2024")</f>
        <v/>
      </c>
      <c r="Z87">
        <f>HYPERLINK("https://klasma.github.io/Logging_2029/klagomålsmail/A 31124-2024 FSC-klagomål mail.docx", "A 31124-2024")</f>
        <v/>
      </c>
      <c r="AA87">
        <f>HYPERLINK("https://klasma.github.io/Logging_2029/tillsyn/A 31124-2024 tillsynsbegäran.docx", "A 31124-2024")</f>
        <v/>
      </c>
      <c r="AB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46221</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s="2" t="inlineStr">
        <is>
          <t>Brun gräsfjäril</t>
        </is>
      </c>
      <c r="V88">
        <f>HYPERLINK("https://klasma.github.io/Logging_2029/artfynd/A 60042-2023 artfynd.xlsx", "A 60042-2023")</f>
        <v/>
      </c>
      <c r="W88">
        <f>HYPERLINK("https://klasma.github.io/Logging_2029/kartor/A 60042-2023 karta.png", "A 60042-2023")</f>
        <v/>
      </c>
      <c r="Y88">
        <f>HYPERLINK("https://klasma.github.io/Logging_2029/klagomål/A 60042-2023 FSC-klagomål.docx", "A 60042-2023")</f>
        <v/>
      </c>
      <c r="Z88">
        <f>HYPERLINK("https://klasma.github.io/Logging_2029/klagomålsmail/A 60042-2023 FSC-klagomål mail.docx", "A 60042-2023")</f>
        <v/>
      </c>
      <c r="AA88">
        <f>HYPERLINK("https://klasma.github.io/Logging_2029/tillsyn/A 60042-2023 tillsynsbegäran.docx", "A 60042-2023")</f>
        <v/>
      </c>
      <c r="AB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46221</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s="2" t="inlineStr">
        <is>
          <t>Blåsippa</t>
        </is>
      </c>
      <c r="V89">
        <f>HYPERLINK("https://klasma.github.io/Logging_2029/artfynd/A 23855-2025 artfynd.xlsx", "A 23855-2025")</f>
        <v/>
      </c>
      <c r="W89">
        <f>HYPERLINK("https://klasma.github.io/Logging_2029/kartor/A 23855-2025 karta.png", "A 23855-2025")</f>
        <v/>
      </c>
      <c r="Y89">
        <f>HYPERLINK("https://klasma.github.io/Logging_2029/klagomål/A 23855-2025 FSC-klagomål.docx", "A 23855-2025")</f>
        <v/>
      </c>
      <c r="Z89">
        <f>HYPERLINK("https://klasma.github.io/Logging_2029/klagomålsmail/A 23855-2025 FSC-klagomål mail.docx", "A 23855-2025")</f>
        <v/>
      </c>
      <c r="AA89">
        <f>HYPERLINK("https://klasma.github.io/Logging_2029/tillsyn/A 23855-2025 tillsynsbegäran.docx", "A 23855-2025")</f>
        <v/>
      </c>
      <c r="AB89">
        <f>HYPERLINK("https://klasma.github.io/Logging_2029/tillsynsmail/A 23855-2025 tillsynsbegäran mail.docx", "A 23855-2025")</f>
        <v/>
      </c>
    </row>
    <row r="90" ht="15" customHeight="1">
      <c r="A90" t="inlineStr">
        <is>
          <t>S 3066-2023</t>
        </is>
      </c>
      <c r="B90" t="inlineStr">
        <is>
          <t>samrådsanmälan</t>
        </is>
      </c>
      <c r="C90" t="inlineStr">
        <is>
          <t>Annan skogsbruksåtgärd</t>
        </is>
      </c>
      <c r="D90" s="1" t="n">
        <v>45181</v>
      </c>
      <c r="E90" s="1" t="n">
        <v>46221</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s="2" t="inlineStr">
        <is>
          <t>Tibast</t>
        </is>
      </c>
      <c r="V90">
        <f>HYPERLINK("https://klasma.github.io/Logging_2029/artfynd/S 3066-2023 artfynd.xlsx", "S 3066-2023")</f>
        <v/>
      </c>
      <c r="W90">
        <f>HYPERLINK("https://klasma.github.io/Logging_2029/kartor/S 3066-2023 karta.png", "S 3066-2023")</f>
        <v/>
      </c>
      <c r="Y90">
        <f>HYPERLINK("https://klasma.github.io/Logging_2029/klagomål/S 3066-2023 FSC-klagomål.docx", "S 3066-2023")</f>
        <v/>
      </c>
      <c r="Z90">
        <f>HYPERLINK("https://klasma.github.io/Logging_2029/klagomålsmail/S 3066-2023 FSC-klagomål mail.docx", "S 3066-2023")</f>
        <v/>
      </c>
      <c r="AA90">
        <f>HYPERLINK("https://klasma.github.io/Logging_2029/tillsyn/S 3066-2023 tillsynsbegäran.docx", "S 3066-2023")</f>
        <v/>
      </c>
      <c r="AB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46221</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s="2" t="inlineStr">
        <is>
          <t>Plattlummer</t>
        </is>
      </c>
      <c r="V91">
        <f>HYPERLINK("https://klasma.github.io/Logging_2029/artfynd/S 3446-2025 artfynd.xlsx", "S 3446-2025")</f>
        <v/>
      </c>
      <c r="W91">
        <f>HYPERLINK("https://klasma.github.io/Logging_2029/kartor/S 3446-2025 karta.png", "S 3446-2025")</f>
        <v/>
      </c>
      <c r="Y91">
        <f>HYPERLINK("https://klasma.github.io/Logging_2029/klagomål/S 3446-2025 FSC-klagomål.docx", "S 3446-2025")</f>
        <v/>
      </c>
      <c r="Z91">
        <f>HYPERLINK("https://klasma.github.io/Logging_2029/klagomålsmail/S 3446-2025 FSC-klagomål mail.docx", "S 3446-2025")</f>
        <v/>
      </c>
      <c r="AA91">
        <f>HYPERLINK("https://klasma.github.io/Logging_2029/tillsyn/S 3446-2025 tillsynsbegäran.docx", "S 3446-2025")</f>
        <v/>
      </c>
      <c r="AB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46221</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s="2" t="inlineStr"/>
    </row>
    <row r="93" ht="15" customHeight="1">
      <c r="A93" t="inlineStr">
        <is>
          <t>A 32476-2022</t>
        </is>
      </c>
      <c r="B93" t="inlineStr">
        <is>
          <t>avverkningsanmälan</t>
        </is>
      </c>
      <c r="C93" t="inlineStr">
        <is>
          <t>Föryngringsavverkning</t>
        </is>
      </c>
      <c r="D93" s="1" t="n">
        <v>44782</v>
      </c>
      <c r="E93" s="1" t="n">
        <v>46221</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s="2" t="inlineStr"/>
    </row>
    <row r="94" ht="15" customHeight="1">
      <c r="A94" t="inlineStr">
        <is>
          <t>A 59422-2021</t>
        </is>
      </c>
      <c r="B94" t="inlineStr">
        <is>
          <t>avverkningsanmälan</t>
        </is>
      </c>
      <c r="C94" t="inlineStr">
        <is>
          <t>Föryngringsavverkning</t>
        </is>
      </c>
      <c r="D94" s="1" t="n">
        <v>44491</v>
      </c>
      <c r="E94" s="1" t="n">
        <v>46221</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s="2" t="inlineStr"/>
    </row>
    <row r="95" ht="15" customHeight="1">
      <c r="A95" t="inlineStr">
        <is>
          <t>A 43300-2022</t>
        </is>
      </c>
      <c r="B95" t="inlineStr">
        <is>
          <t>avverkningsanmälan</t>
        </is>
      </c>
      <c r="C95" t="inlineStr">
        <is>
          <t>Föryngringsavverkning</t>
        </is>
      </c>
      <c r="D95" s="1" t="n">
        <v>44834</v>
      </c>
      <c r="E95" s="1" t="n">
        <v>46221</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s="2" t="inlineStr"/>
    </row>
    <row r="96" ht="15" customHeight="1">
      <c r="A96" t="inlineStr">
        <is>
          <t>A 35801-2022</t>
        </is>
      </c>
      <c r="B96" t="inlineStr">
        <is>
          <t>avverkningsanmälan</t>
        </is>
      </c>
      <c r="C96" t="inlineStr">
        <is>
          <t>Föryngringsavverkning</t>
        </is>
      </c>
      <c r="D96" s="1" t="n">
        <v>44802</v>
      </c>
      <c r="E96" s="1" t="n">
        <v>46221</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s="2" t="inlineStr"/>
    </row>
    <row r="97" ht="15" customHeight="1">
      <c r="A97" t="inlineStr">
        <is>
          <t>A 16375-2022</t>
        </is>
      </c>
      <c r="B97" t="inlineStr">
        <is>
          <t>avverkningsanmälan</t>
        </is>
      </c>
      <c r="C97" t="inlineStr">
        <is>
          <t>Föryngringsavverkning</t>
        </is>
      </c>
      <c r="D97" s="1" t="n">
        <v>44671</v>
      </c>
      <c r="E97" s="1" t="n">
        <v>46221</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s="2" t="inlineStr"/>
    </row>
    <row r="98" ht="15" customHeight="1">
      <c r="A98" t="inlineStr">
        <is>
          <t>A 51842-2022</t>
        </is>
      </c>
      <c r="B98" t="inlineStr">
        <is>
          <t>avverkningsanmälan</t>
        </is>
      </c>
      <c r="C98" t="inlineStr">
        <is>
          <t>Föryngringsavverkning</t>
        </is>
      </c>
      <c r="D98" s="1" t="n">
        <v>44872</v>
      </c>
      <c r="E98" s="1" t="n">
        <v>46221</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s="2" t="inlineStr"/>
    </row>
    <row r="99" ht="15" customHeight="1">
      <c r="A99" t="inlineStr">
        <is>
          <t>A 64718-2021</t>
        </is>
      </c>
      <c r="B99" t="inlineStr">
        <is>
          <t>avverkningsanmälan</t>
        </is>
      </c>
      <c r="C99" t="inlineStr">
        <is>
          <t>Föryngringsavverkning</t>
        </is>
      </c>
      <c r="D99" s="1" t="n">
        <v>44512</v>
      </c>
      <c r="E99" s="1" t="n">
        <v>46221</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s="2" t="inlineStr"/>
    </row>
    <row r="100" ht="15" customHeight="1">
      <c r="A100" t="inlineStr">
        <is>
          <t>A 37283-2021</t>
        </is>
      </c>
      <c r="B100" t="inlineStr">
        <is>
          <t>avverkningsanmälan</t>
        </is>
      </c>
      <c r="C100" t="inlineStr">
        <is>
          <t>Föryngringsavverkning</t>
        </is>
      </c>
      <c r="D100" s="1" t="n">
        <v>44397</v>
      </c>
      <c r="E100" s="1" t="n">
        <v>46221</v>
      </c>
      <c r="F100" t="inlineStr">
        <is>
          <t>DALARNAS LÄN</t>
        </is>
      </c>
      <c r="G100" t="inlineStr">
        <is>
          <t>LEKSAND</t>
        </is>
      </c>
      <c r="I100" t="n">
        <v>2.9</v>
      </c>
      <c r="J100" t="n">
        <v>0</v>
      </c>
      <c r="K100" t="n">
        <v>0</v>
      </c>
      <c r="L100" t="n">
        <v>0</v>
      </c>
      <c r="M100" t="n">
        <v>0</v>
      </c>
      <c r="N100" t="n">
        <v>0</v>
      </c>
      <c r="O100" t="n">
        <v>0</v>
      </c>
      <c r="P100" t="n">
        <v>0</v>
      </c>
      <c r="Q100" t="n">
        <v>0</v>
      </c>
      <c r="R100" t="n">
        <v>0</v>
      </c>
      <c r="S100" t="n">
        <v>0</v>
      </c>
      <c r="T100" t="n">
        <v>0</v>
      </c>
      <c r="U100" s="2" t="inlineStr"/>
    </row>
    <row r="101" ht="15" customHeight="1">
      <c r="A101" t="inlineStr">
        <is>
          <t>A 51498-2022</t>
        </is>
      </c>
      <c r="B101" t="inlineStr">
        <is>
          <t>avverkningsanmälan</t>
        </is>
      </c>
      <c r="C101" t="inlineStr">
        <is>
          <t>Föryngringsavverkning</t>
        </is>
      </c>
      <c r="D101" s="1" t="n">
        <v>44869</v>
      </c>
      <c r="E101" s="1" t="n">
        <v>46221</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791-2022</t>
        </is>
      </c>
      <c r="B102" t="inlineStr">
        <is>
          <t>avverkningsanmälan</t>
        </is>
      </c>
      <c r="C102" t="inlineStr">
        <is>
          <t>Föryngringsavverkning</t>
        </is>
      </c>
      <c r="D102" s="1" t="n">
        <v>44570</v>
      </c>
      <c r="E102" s="1" t="n">
        <v>46221</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63831-2021</t>
        </is>
      </c>
      <c r="B103" t="inlineStr">
        <is>
          <t>avverkningsanmälan</t>
        </is>
      </c>
      <c r="C103" t="inlineStr">
        <is>
          <t>Föryngringsavverkning</t>
        </is>
      </c>
      <c r="D103" s="1" t="n">
        <v>44509</v>
      </c>
      <c r="E103" s="1" t="n">
        <v>46221</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37531-2021</t>
        </is>
      </c>
      <c r="B104" t="inlineStr">
        <is>
          <t>avverkningsanmälan</t>
        </is>
      </c>
      <c r="C104" t="inlineStr">
        <is>
          <t>Föryngringsavverkning</t>
        </is>
      </c>
      <c r="D104" s="1" t="n">
        <v>44399</v>
      </c>
      <c r="E104" s="1" t="n">
        <v>46221</v>
      </c>
      <c r="F104" t="inlineStr">
        <is>
          <t>DALARNAS LÄN</t>
        </is>
      </c>
      <c r="G104" t="inlineStr">
        <is>
          <t>LEKSAND</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16353-2022</t>
        </is>
      </c>
      <c r="B105" t="inlineStr">
        <is>
          <t>avverkningsanmälan</t>
        </is>
      </c>
      <c r="C105" t="inlineStr">
        <is>
          <t>Avverkning för annat ändamål</t>
        </is>
      </c>
      <c r="D105" s="1" t="n">
        <v>44670</v>
      </c>
      <c r="E105" s="1" t="n">
        <v>46221</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58569-2021</t>
        </is>
      </c>
      <c r="B106" t="inlineStr">
        <is>
          <t>avverkningsanmälan</t>
        </is>
      </c>
      <c r="C106" t="inlineStr">
        <is>
          <t>Föryngringsavverkning</t>
        </is>
      </c>
      <c r="D106" s="1" t="n">
        <v>44488</v>
      </c>
      <c r="E106" s="1" t="n">
        <v>46221</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53293-2022</t>
        </is>
      </c>
      <c r="B107" t="inlineStr">
        <is>
          <t>avverkningsanmälan</t>
        </is>
      </c>
      <c r="C107" t="inlineStr">
        <is>
          <t>Avverkning för annat ändamål</t>
        </is>
      </c>
      <c r="D107" s="1" t="n">
        <v>44877</v>
      </c>
      <c r="E107" s="1" t="n">
        <v>46221</v>
      </c>
      <c r="F107" t="inlineStr">
        <is>
          <t>DALARNAS LÄN</t>
        </is>
      </c>
      <c r="G107" t="inlineStr">
        <is>
          <t>LEKSAND</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71311-2021</t>
        </is>
      </c>
      <c r="B108" t="inlineStr">
        <is>
          <t>avverkningsanmälan</t>
        </is>
      </c>
      <c r="C108" t="inlineStr">
        <is>
          <t>Föryngringsavverkning</t>
        </is>
      </c>
      <c r="D108" s="1" t="n">
        <v>44539</v>
      </c>
      <c r="E108" s="1" t="n">
        <v>46221</v>
      </c>
      <c r="F108" t="inlineStr">
        <is>
          <t>DALARNAS LÄN</t>
        </is>
      </c>
      <c r="G108" t="inlineStr">
        <is>
          <t>LEKSAND</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68573-2021</t>
        </is>
      </c>
      <c r="B109" t="inlineStr">
        <is>
          <t>avverkningsanmälan</t>
        </is>
      </c>
      <c r="C109" t="inlineStr">
        <is>
          <t>Föryngringsavverkning</t>
        </is>
      </c>
      <c r="D109" s="1" t="n">
        <v>44529</v>
      </c>
      <c r="E109" s="1" t="n">
        <v>46221</v>
      </c>
      <c r="F109" t="inlineStr">
        <is>
          <t>DALARNAS LÄN</t>
        </is>
      </c>
      <c r="G109" t="inlineStr">
        <is>
          <t>LEKSAND</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40584-2021</t>
        </is>
      </c>
      <c r="B110" t="inlineStr">
        <is>
          <t>avverkningsanmälan</t>
        </is>
      </c>
      <c r="C110" t="inlineStr">
        <is>
          <t>Föryngringsavverkning</t>
        </is>
      </c>
      <c r="D110" s="1" t="n">
        <v>44420</v>
      </c>
      <c r="E110" s="1" t="n">
        <v>46221</v>
      </c>
      <c r="F110" t="inlineStr">
        <is>
          <t>DALARNAS LÄN</t>
        </is>
      </c>
      <c r="G110" t="inlineStr">
        <is>
          <t>LEKSAND</t>
        </is>
      </c>
      <c r="I110" t="n">
        <v>6</v>
      </c>
      <c r="J110" t="n">
        <v>0</v>
      </c>
      <c r="K110" t="n">
        <v>0</v>
      </c>
      <c r="L110" t="n">
        <v>0</v>
      </c>
      <c r="M110" t="n">
        <v>0</v>
      </c>
      <c r="N110" t="n">
        <v>0</v>
      </c>
      <c r="O110" t="n">
        <v>0</v>
      </c>
      <c r="P110" t="n">
        <v>0</v>
      </c>
      <c r="Q110" t="n">
        <v>0</v>
      </c>
      <c r="R110" t="n">
        <v>0</v>
      </c>
      <c r="S110" t="n">
        <v>0</v>
      </c>
      <c r="T110" t="n">
        <v>0</v>
      </c>
      <c r="U110" s="2" t="inlineStr"/>
    </row>
    <row r="111" ht="15" customHeight="1">
      <c r="A111" t="inlineStr">
        <is>
          <t>A 70296-2021</t>
        </is>
      </c>
      <c r="B111" t="inlineStr">
        <is>
          <t>avverkningsanmälan</t>
        </is>
      </c>
      <c r="C111" t="inlineStr">
        <is>
          <t>Föryngringsavverkning</t>
        </is>
      </c>
      <c r="D111" s="1" t="n">
        <v>44536</v>
      </c>
      <c r="E111" s="1" t="n">
        <v>46221</v>
      </c>
      <c r="F111" t="inlineStr">
        <is>
          <t>DALARNAS LÄN</t>
        </is>
      </c>
      <c r="G111" t="inlineStr">
        <is>
          <t>LEKSAND</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43275-2022</t>
        </is>
      </c>
      <c r="B112" t="inlineStr">
        <is>
          <t>avverkningsanmälan</t>
        </is>
      </c>
      <c r="C112" t="inlineStr">
        <is>
          <t>Föryngringsavverkning</t>
        </is>
      </c>
      <c r="D112" s="1" t="n">
        <v>44824</v>
      </c>
      <c r="E112" s="1" t="n">
        <v>46221</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43304-2022</t>
        </is>
      </c>
      <c r="B113" t="inlineStr">
        <is>
          <t>avverkningsanmälan</t>
        </is>
      </c>
      <c r="C113" t="inlineStr">
        <is>
          <t>Föryngringsavverkning</t>
        </is>
      </c>
      <c r="D113" s="1" t="n">
        <v>44834</v>
      </c>
      <c r="E113" s="1" t="n">
        <v>46221</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19480-2022</t>
        </is>
      </c>
      <c r="B114" t="inlineStr">
        <is>
          <t>avverkningsanmälan</t>
        </is>
      </c>
      <c r="C114" t="inlineStr">
        <is>
          <t>Föryngringsavverkning</t>
        </is>
      </c>
      <c r="D114" s="1" t="n">
        <v>44693</v>
      </c>
      <c r="E114" s="1" t="n">
        <v>46221</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62279-2021</t>
        </is>
      </c>
      <c r="B115" t="inlineStr">
        <is>
          <t>avverkningsanmälan</t>
        </is>
      </c>
      <c r="C115" t="inlineStr">
        <is>
          <t>Föryngringsavverkning</t>
        </is>
      </c>
      <c r="D115" s="1" t="n">
        <v>44503</v>
      </c>
      <c r="E115" s="1" t="n">
        <v>46221</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70026-2021</t>
        </is>
      </c>
      <c r="B116" t="inlineStr">
        <is>
          <t>avverkningsanmälan</t>
        </is>
      </c>
      <c r="C116" t="inlineStr">
        <is>
          <t>Avverkning för annat ändamål</t>
        </is>
      </c>
      <c r="D116" s="1" t="n">
        <v>44533</v>
      </c>
      <c r="E116" s="1" t="n">
        <v>46221</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46672-2022</t>
        </is>
      </c>
      <c r="B117" t="inlineStr">
        <is>
          <t>avverkningsanmälan</t>
        </is>
      </c>
      <c r="C117" t="inlineStr">
        <is>
          <t>Föryngringsavverkning</t>
        </is>
      </c>
      <c r="D117" s="1" t="n">
        <v>44851</v>
      </c>
      <c r="E117" s="1" t="n">
        <v>46221</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50219-2022</t>
        </is>
      </c>
      <c r="B118" t="inlineStr">
        <is>
          <t>avverkningsanmälan</t>
        </is>
      </c>
      <c r="C118" t="inlineStr">
        <is>
          <t>Föryngringsavverkning</t>
        </is>
      </c>
      <c r="D118" s="1" t="n">
        <v>44865</v>
      </c>
      <c r="E118" s="1" t="n">
        <v>46221</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34317-2022</t>
        </is>
      </c>
      <c r="B119" t="inlineStr">
        <is>
          <t>avverkningsanmälan</t>
        </is>
      </c>
      <c r="C119" t="inlineStr">
        <is>
          <t>Föryngringsavverkning</t>
        </is>
      </c>
      <c r="D119" s="1" t="n">
        <v>44792</v>
      </c>
      <c r="E119" s="1" t="n">
        <v>46221</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18870-2022</t>
        </is>
      </c>
      <c r="B120" t="inlineStr">
        <is>
          <t>avverkningsanmälan</t>
        </is>
      </c>
      <c r="C120" t="inlineStr">
        <is>
          <t>Föryngringsavverkning</t>
        </is>
      </c>
      <c r="D120" s="1" t="n">
        <v>44690</v>
      </c>
      <c r="E120" s="1" t="n">
        <v>46221</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18140-2022</t>
        </is>
      </c>
      <c r="B121" t="inlineStr">
        <is>
          <t>avverkningsanmälan</t>
        </is>
      </c>
      <c r="C121" t="inlineStr">
        <is>
          <t>Föryngringsavverkning</t>
        </is>
      </c>
      <c r="D121" s="1" t="n">
        <v>44684</v>
      </c>
      <c r="E121" s="1" t="n">
        <v>46221</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43410-2021</t>
        </is>
      </c>
      <c r="B122" t="inlineStr">
        <is>
          <t>avverkningsanmälan</t>
        </is>
      </c>
      <c r="C122" t="inlineStr">
        <is>
          <t>Föryngringsavverkning</t>
        </is>
      </c>
      <c r="D122" s="1" t="n">
        <v>44432</v>
      </c>
      <c r="E122" s="1" t="n">
        <v>46221</v>
      </c>
      <c r="F122" t="inlineStr">
        <is>
          <t>DALARNAS LÄN</t>
        </is>
      </c>
      <c r="G122" t="inlineStr">
        <is>
          <t>LEKSAND</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72155-2021</t>
        </is>
      </c>
      <c r="B123" t="inlineStr">
        <is>
          <t>avverkningsanmälan</t>
        </is>
      </c>
      <c r="C123" t="inlineStr">
        <is>
          <t>Föryngringsavverkning</t>
        </is>
      </c>
      <c r="D123" s="1" t="n">
        <v>44543</v>
      </c>
      <c r="E123" s="1" t="n">
        <v>46221</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38619-2021</t>
        </is>
      </c>
      <c r="B124" t="inlineStr">
        <is>
          <t>avverkningsanmälan</t>
        </is>
      </c>
      <c r="C124" t="inlineStr">
        <is>
          <t>Föryngringsavverkning</t>
        </is>
      </c>
      <c r="D124" s="1" t="n">
        <v>44409</v>
      </c>
      <c r="E124" s="1" t="n">
        <v>46221</v>
      </c>
      <c r="F124" t="inlineStr">
        <is>
          <t>DALARNAS LÄN</t>
        </is>
      </c>
      <c r="G124" t="inlineStr">
        <is>
          <t>LEKSAND</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14140-2022</t>
        </is>
      </c>
      <c r="B125" t="inlineStr">
        <is>
          <t>avverkningsanmälan</t>
        </is>
      </c>
      <c r="C125" t="inlineStr">
        <is>
          <t>Avverkning för annat ändamål</t>
        </is>
      </c>
      <c r="D125" s="1" t="n">
        <v>44651</v>
      </c>
      <c r="E125" s="1" t="n">
        <v>46221</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31871-2022</t>
        </is>
      </c>
      <c r="B126" t="inlineStr">
        <is>
          <t>avverkningsanmälan</t>
        </is>
      </c>
      <c r="C126" t="inlineStr">
        <is>
          <t>Föryngringsavverkning</t>
        </is>
      </c>
      <c r="D126" s="1" t="n">
        <v>44777</v>
      </c>
      <c r="E126" s="1" t="n">
        <v>46221</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45155-2021</t>
        </is>
      </c>
      <c r="B127" t="inlineStr">
        <is>
          <t>avverkningsanmälan</t>
        </is>
      </c>
      <c r="C127" t="inlineStr">
        <is>
          <t>Föryngringsavverkning</t>
        </is>
      </c>
      <c r="D127" s="1" t="n">
        <v>44439</v>
      </c>
      <c r="E127" s="1" t="n">
        <v>46221</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49581-2022</t>
        </is>
      </c>
      <c r="B128" t="inlineStr">
        <is>
          <t>avverkningsanmälan</t>
        </is>
      </c>
      <c r="C128" t="inlineStr">
        <is>
          <t>Föryngringsavverkning</t>
        </is>
      </c>
      <c r="D128" s="1" t="n">
        <v>44862</v>
      </c>
      <c r="E128" s="1" t="n">
        <v>46221</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35080-2022</t>
        </is>
      </c>
      <c r="B129" t="inlineStr">
        <is>
          <t>avverkningsanmälan</t>
        </is>
      </c>
      <c r="C129" t="inlineStr">
        <is>
          <t>Föryngringsavverkning</t>
        </is>
      </c>
      <c r="D129" s="1" t="n">
        <v>44797</v>
      </c>
      <c r="E129" s="1" t="n">
        <v>46221</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70098-2021</t>
        </is>
      </c>
      <c r="B130" t="inlineStr">
        <is>
          <t>avverkningsanmälan</t>
        </is>
      </c>
      <c r="C130" t="inlineStr">
        <is>
          <t>Föryngringsavverkning</t>
        </is>
      </c>
      <c r="D130" s="1" t="n">
        <v>44533</v>
      </c>
      <c r="E130" s="1" t="n">
        <v>46221</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45040-2021</t>
        </is>
      </c>
      <c r="B131" t="inlineStr">
        <is>
          <t>avverkningsanmälan</t>
        </is>
      </c>
      <c r="C131" t="inlineStr">
        <is>
          <t>Föryngringsavverkning</t>
        </is>
      </c>
      <c r="D131" s="1" t="n">
        <v>44438</v>
      </c>
      <c r="E131" s="1" t="n">
        <v>46221</v>
      </c>
      <c r="F131" t="inlineStr">
        <is>
          <t>DALARNAS LÄN</t>
        </is>
      </c>
      <c r="G131" t="inlineStr">
        <is>
          <t>LEKSAND</t>
        </is>
      </c>
      <c r="I131" t="n">
        <v>2.7</v>
      </c>
      <c r="J131" t="n">
        <v>0</v>
      </c>
      <c r="K131" t="n">
        <v>0</v>
      </c>
      <c r="L131" t="n">
        <v>0</v>
      </c>
      <c r="M131" t="n">
        <v>0</v>
      </c>
      <c r="N131" t="n">
        <v>0</v>
      </c>
      <c r="O131" t="n">
        <v>0</v>
      </c>
      <c r="P131" t="n">
        <v>0</v>
      </c>
      <c r="Q131" t="n">
        <v>0</v>
      </c>
      <c r="R131" t="n">
        <v>0</v>
      </c>
      <c r="S131" t="n">
        <v>0</v>
      </c>
      <c r="T131" t="n">
        <v>0</v>
      </c>
      <c r="U131" s="2" t="inlineStr"/>
    </row>
    <row r="132" ht="15" customHeight="1">
      <c r="A132" t="inlineStr">
        <is>
          <t>A 28128-2022</t>
        </is>
      </c>
      <c r="B132" t="inlineStr">
        <is>
          <t>avverkningsanmälan</t>
        </is>
      </c>
      <c r="C132" t="inlineStr">
        <is>
          <t>Föryngringsavverkning</t>
        </is>
      </c>
      <c r="D132" s="1" t="n">
        <v>44746</v>
      </c>
      <c r="E132" s="1" t="n">
        <v>46221</v>
      </c>
      <c r="F132" t="inlineStr">
        <is>
          <t>DALARNAS LÄN</t>
        </is>
      </c>
      <c r="G132" t="inlineStr">
        <is>
          <t>LEKSAND</t>
        </is>
      </c>
      <c r="I132" t="n">
        <v>3.5</v>
      </c>
      <c r="J132" t="n">
        <v>0</v>
      </c>
      <c r="K132" t="n">
        <v>0</v>
      </c>
      <c r="L132" t="n">
        <v>0</v>
      </c>
      <c r="M132" t="n">
        <v>0</v>
      </c>
      <c r="N132" t="n">
        <v>0</v>
      </c>
      <c r="O132" t="n">
        <v>0</v>
      </c>
      <c r="P132" t="n">
        <v>0</v>
      </c>
      <c r="Q132" t="n">
        <v>0</v>
      </c>
      <c r="R132" t="n">
        <v>0</v>
      </c>
      <c r="S132" t="n">
        <v>0</v>
      </c>
      <c r="T132" t="n">
        <v>0</v>
      </c>
      <c r="U132" s="2" t="inlineStr"/>
    </row>
    <row r="133" ht="15" customHeight="1">
      <c r="A133" t="inlineStr">
        <is>
          <t>A 19559-2023</t>
        </is>
      </c>
      <c r="B133" t="inlineStr">
        <is>
          <t>avverkningsanmälan</t>
        </is>
      </c>
      <c r="C133" t="inlineStr">
        <is>
          <t>Avverkning för annat ändamål</t>
        </is>
      </c>
      <c r="D133" s="1" t="n">
        <v>45050</v>
      </c>
      <c r="E133" s="1" t="n">
        <v>46221</v>
      </c>
      <c r="F133" t="inlineStr">
        <is>
          <t>DALARNAS LÄN</t>
        </is>
      </c>
      <c r="G133" t="inlineStr">
        <is>
          <t>LEKSAND</t>
        </is>
      </c>
      <c r="I133" t="n">
        <v>0.1</v>
      </c>
      <c r="J133" t="n">
        <v>0</v>
      </c>
      <c r="K133" t="n">
        <v>0</v>
      </c>
      <c r="L133" t="n">
        <v>0</v>
      </c>
      <c r="M133" t="n">
        <v>0</v>
      </c>
      <c r="N133" t="n">
        <v>0</v>
      </c>
      <c r="O133" t="n">
        <v>0</v>
      </c>
      <c r="P133" t="n">
        <v>0</v>
      </c>
      <c r="Q133" t="n">
        <v>0</v>
      </c>
      <c r="R133" t="n">
        <v>0</v>
      </c>
      <c r="S133" t="n">
        <v>0</v>
      </c>
      <c r="T133" t="n">
        <v>0</v>
      </c>
      <c r="U133" s="2" t="inlineStr"/>
    </row>
    <row r="134" ht="15" customHeight="1">
      <c r="A134" t="inlineStr">
        <is>
          <t>A 8046-2024</t>
        </is>
      </c>
      <c r="B134" t="inlineStr">
        <is>
          <t>avverkningsanmälan</t>
        </is>
      </c>
      <c r="C134" t="inlineStr">
        <is>
          <t>Föryngringsavverkning</t>
        </is>
      </c>
      <c r="D134" s="1" t="n">
        <v>45351</v>
      </c>
      <c r="E134" s="1" t="n">
        <v>46221</v>
      </c>
      <c r="F134" t="inlineStr">
        <is>
          <t>DALARNAS LÄN</t>
        </is>
      </c>
      <c r="G134" t="inlineStr">
        <is>
          <t>LEKSAND</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38001-2023</t>
        </is>
      </c>
      <c r="B135" t="inlineStr">
        <is>
          <t>avverkningsanmälan</t>
        </is>
      </c>
      <c r="C135" t="inlineStr">
        <is>
          <t>Föryngringsavverkning</t>
        </is>
      </c>
      <c r="D135" s="1" t="n">
        <v>45160</v>
      </c>
      <c r="E135" s="1" t="n">
        <v>46221</v>
      </c>
      <c r="F135" t="inlineStr">
        <is>
          <t>DALARNAS LÄN</t>
        </is>
      </c>
      <c r="G135" t="inlineStr">
        <is>
          <t>LEKSAND</t>
        </is>
      </c>
      <c r="I135" t="n">
        <v>3.6</v>
      </c>
      <c r="J135" t="n">
        <v>0</v>
      </c>
      <c r="K135" t="n">
        <v>0</v>
      </c>
      <c r="L135" t="n">
        <v>0</v>
      </c>
      <c r="M135" t="n">
        <v>0</v>
      </c>
      <c r="N135" t="n">
        <v>0</v>
      </c>
      <c r="O135" t="n">
        <v>0</v>
      </c>
      <c r="P135" t="n">
        <v>0</v>
      </c>
      <c r="Q135" t="n">
        <v>0</v>
      </c>
      <c r="R135" t="n">
        <v>0</v>
      </c>
      <c r="S135" t="n">
        <v>0</v>
      </c>
      <c r="T135" t="n">
        <v>0</v>
      </c>
      <c r="U135" s="2" t="inlineStr"/>
    </row>
    <row r="136" ht="15" customHeight="1">
      <c r="A136" t="inlineStr">
        <is>
          <t>A 12290-2024</t>
        </is>
      </c>
      <c r="B136" t="inlineStr">
        <is>
          <t>avverkningsanmälan</t>
        </is>
      </c>
      <c r="C136" t="inlineStr">
        <is>
          <t>Föryngringsavverkning</t>
        </is>
      </c>
      <c r="D136" s="1" t="n">
        <v>45378</v>
      </c>
      <c r="E136" s="1" t="n">
        <v>46221</v>
      </c>
      <c r="F136" t="inlineStr">
        <is>
          <t>DALARNAS LÄN</t>
        </is>
      </c>
      <c r="G136" t="inlineStr">
        <is>
          <t>LEKSAND</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5583-2024</t>
        </is>
      </c>
      <c r="B137" t="inlineStr">
        <is>
          <t>avverkningsanmälan</t>
        </is>
      </c>
      <c r="C137" t="inlineStr">
        <is>
          <t>Föryngringsavverkning</t>
        </is>
      </c>
      <c r="D137" s="1" t="n">
        <v>45334</v>
      </c>
      <c r="E137" s="1" t="n">
        <v>46221</v>
      </c>
      <c r="F137" t="inlineStr">
        <is>
          <t>DALARNAS LÄN</t>
        </is>
      </c>
      <c r="G137" t="inlineStr">
        <is>
          <t>LEKSAND</t>
        </is>
      </c>
      <c r="H137" t="inlineStr">
        <is>
          <t>Kyrkan</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7417-2024</t>
        </is>
      </c>
      <c r="B138" t="inlineStr">
        <is>
          <t>avverkningsanmälan</t>
        </is>
      </c>
      <c r="C138" t="inlineStr">
        <is>
          <t>Föryngringsavverkning</t>
        </is>
      </c>
      <c r="D138" s="1" t="n">
        <v>45345</v>
      </c>
      <c r="E138" s="1" t="n">
        <v>46221</v>
      </c>
      <c r="F138" t="inlineStr">
        <is>
          <t>DALARNAS LÄN</t>
        </is>
      </c>
      <c r="G138" t="inlineStr">
        <is>
          <t>LEKSAND</t>
        </is>
      </c>
      <c r="I138" t="n">
        <v>2.8</v>
      </c>
      <c r="J138" t="n">
        <v>0</v>
      </c>
      <c r="K138" t="n">
        <v>0</v>
      </c>
      <c r="L138" t="n">
        <v>0</v>
      </c>
      <c r="M138" t="n">
        <v>0</v>
      </c>
      <c r="N138" t="n">
        <v>0</v>
      </c>
      <c r="O138" t="n">
        <v>0</v>
      </c>
      <c r="P138" t="n">
        <v>0</v>
      </c>
      <c r="Q138" t="n">
        <v>0</v>
      </c>
      <c r="R138" t="n">
        <v>0</v>
      </c>
      <c r="S138" t="n">
        <v>0</v>
      </c>
      <c r="T138" t="n">
        <v>0</v>
      </c>
      <c r="U138" s="2" t="inlineStr"/>
    </row>
    <row r="139" ht="15" customHeight="1">
      <c r="A139" t="inlineStr">
        <is>
          <t>A 14616-2024</t>
        </is>
      </c>
      <c r="B139" t="inlineStr">
        <is>
          <t>avverkningsanmälan</t>
        </is>
      </c>
      <c r="C139" t="inlineStr">
        <is>
          <t>Föryngringsavverkning</t>
        </is>
      </c>
      <c r="D139" s="1" t="n">
        <v>45397</v>
      </c>
      <c r="E139" s="1" t="n">
        <v>46221</v>
      </c>
      <c r="F139" t="inlineStr">
        <is>
          <t>DALARNAS LÄN</t>
        </is>
      </c>
      <c r="G139" t="inlineStr">
        <is>
          <t>LEKSAND</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6758-2024</t>
        </is>
      </c>
      <c r="B140" t="inlineStr">
        <is>
          <t>avverkningsanmälan</t>
        </is>
      </c>
      <c r="C140" t="inlineStr">
        <is>
          <t>Föryngringsavverkning</t>
        </is>
      </c>
      <c r="D140" s="1" t="n">
        <v>45342</v>
      </c>
      <c r="E140" s="1" t="n">
        <v>46221</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25038-2023</t>
        </is>
      </c>
      <c r="B141" t="inlineStr">
        <is>
          <t>avverkningsanmälan</t>
        </is>
      </c>
      <c r="C141" t="inlineStr">
        <is>
          <t>Föryngringsavverkning</t>
        </is>
      </c>
      <c r="D141" s="1" t="n">
        <v>45085</v>
      </c>
      <c r="E141" s="1" t="n">
        <v>46221</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48644-2023</t>
        </is>
      </c>
      <c r="B142" t="inlineStr">
        <is>
          <t>avverkningsanmälan</t>
        </is>
      </c>
      <c r="C142" t="inlineStr">
        <is>
          <t>Föryngringsavverkning</t>
        </is>
      </c>
      <c r="D142" s="1" t="n">
        <v>45208</v>
      </c>
      <c r="E142" s="1" t="n">
        <v>46221</v>
      </c>
      <c r="F142" t="inlineStr">
        <is>
          <t>DALARNAS LÄN</t>
        </is>
      </c>
      <c r="G142" t="inlineStr">
        <is>
          <t>LEKSAND</t>
        </is>
      </c>
      <c r="H142" t="inlineStr">
        <is>
          <t>Bergvik skog väst AB</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51857-2022</t>
        </is>
      </c>
      <c r="B143" t="inlineStr">
        <is>
          <t>avverkningsanmälan</t>
        </is>
      </c>
      <c r="C143" t="inlineStr">
        <is>
          <t>Föryngringsavverkning</t>
        </is>
      </c>
      <c r="D143" s="1" t="n">
        <v>44867</v>
      </c>
      <c r="E143" s="1" t="n">
        <v>46221</v>
      </c>
      <c r="F143" t="inlineStr">
        <is>
          <t>DALARNAS LÄN</t>
        </is>
      </c>
      <c r="G143" t="inlineStr">
        <is>
          <t>LEKSAND</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19820-2024</t>
        </is>
      </c>
      <c r="B144" t="inlineStr">
        <is>
          <t>avverkningsanmälan</t>
        </is>
      </c>
      <c r="C144" t="inlineStr">
        <is>
          <t>Avverkning för annat ändamål</t>
        </is>
      </c>
      <c r="D144" s="1" t="n">
        <v>45433</v>
      </c>
      <c r="E144" s="1" t="n">
        <v>46221</v>
      </c>
      <c r="F144" t="inlineStr">
        <is>
          <t>DALARNAS LÄN</t>
        </is>
      </c>
      <c r="G144" t="inlineStr">
        <is>
          <t>LEKSAND</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19823-2024</t>
        </is>
      </c>
      <c r="B145" t="inlineStr">
        <is>
          <t>avverkningsanmälan</t>
        </is>
      </c>
      <c r="C145" t="inlineStr">
        <is>
          <t>Avverkning för annat ändamål</t>
        </is>
      </c>
      <c r="D145" s="1" t="n">
        <v>45433</v>
      </c>
      <c r="E145" s="1" t="n">
        <v>46221</v>
      </c>
      <c r="F145" t="inlineStr">
        <is>
          <t>DALARNAS LÄN</t>
        </is>
      </c>
      <c r="G145" t="inlineStr">
        <is>
          <t>LEKSAND</t>
        </is>
      </c>
      <c r="I145" t="n">
        <v>0.3</v>
      </c>
      <c r="J145" t="n">
        <v>0</v>
      </c>
      <c r="K145" t="n">
        <v>0</v>
      </c>
      <c r="L145" t="n">
        <v>0</v>
      </c>
      <c r="M145" t="n">
        <v>0</v>
      </c>
      <c r="N145" t="n">
        <v>0</v>
      </c>
      <c r="O145" t="n">
        <v>0</v>
      </c>
      <c r="P145" t="n">
        <v>0</v>
      </c>
      <c r="Q145" t="n">
        <v>0</v>
      </c>
      <c r="R145" t="n">
        <v>0</v>
      </c>
      <c r="S145" t="n">
        <v>0</v>
      </c>
      <c r="T145" t="n">
        <v>0</v>
      </c>
      <c r="U145" s="2" t="inlineStr"/>
    </row>
    <row r="146" ht="15" customHeight="1">
      <c r="A146" t="inlineStr">
        <is>
          <t>A 412-2024</t>
        </is>
      </c>
      <c r="B146" t="inlineStr">
        <is>
          <t>avverkningsanmälan</t>
        </is>
      </c>
      <c r="C146" t="inlineStr">
        <is>
          <t>Föryngringsavverkning</t>
        </is>
      </c>
      <c r="D146" s="1" t="n">
        <v>45296</v>
      </c>
      <c r="E146" s="1" t="n">
        <v>46221</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59673-2023</t>
        </is>
      </c>
      <c r="B147" t="inlineStr">
        <is>
          <t>avverkningsanmälan</t>
        </is>
      </c>
      <c r="C147" t="inlineStr">
        <is>
          <t>Föryngringsavverkning</t>
        </is>
      </c>
      <c r="D147" s="1" t="n">
        <v>45255</v>
      </c>
      <c r="E147" s="1" t="n">
        <v>46221</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s="2" t="inlineStr"/>
    </row>
    <row r="148" ht="15" customHeight="1">
      <c r="A148" t="inlineStr">
        <is>
          <t>A 16005-2025</t>
        </is>
      </c>
      <c r="B148" t="inlineStr">
        <is>
          <t>avverkningsanmälan</t>
        </is>
      </c>
      <c r="C148" t="inlineStr">
        <is>
          <t>Avverkning för annat ändamål</t>
        </is>
      </c>
      <c r="D148" s="1" t="n">
        <v>45749</v>
      </c>
      <c r="E148" s="1" t="n">
        <v>46221</v>
      </c>
      <c r="F148" t="inlineStr">
        <is>
          <t>DALARNAS LÄN</t>
        </is>
      </c>
      <c r="G148" t="inlineStr">
        <is>
          <t>LEKSAND</t>
        </is>
      </c>
      <c r="I148" t="n">
        <v>2.1</v>
      </c>
      <c r="J148" t="n">
        <v>0</v>
      </c>
      <c r="K148" t="n">
        <v>0</v>
      </c>
      <c r="L148" t="n">
        <v>0</v>
      </c>
      <c r="M148" t="n">
        <v>0</v>
      </c>
      <c r="N148" t="n">
        <v>0</v>
      </c>
      <c r="O148" t="n">
        <v>0</v>
      </c>
      <c r="P148" t="n">
        <v>0</v>
      </c>
      <c r="Q148" t="n">
        <v>0</v>
      </c>
      <c r="R148" t="n">
        <v>0</v>
      </c>
      <c r="S148" t="n">
        <v>0</v>
      </c>
      <c r="T148" t="n">
        <v>0</v>
      </c>
      <c r="U148" s="2" t="inlineStr"/>
    </row>
    <row r="149" ht="15" customHeight="1">
      <c r="A149" t="inlineStr">
        <is>
          <t>A 40755-2024</t>
        </is>
      </c>
      <c r="B149" t="inlineStr">
        <is>
          <t>avverkningsanmälan</t>
        </is>
      </c>
      <c r="C149" t="inlineStr">
        <is>
          <t>Föryngringsavverkning</t>
        </is>
      </c>
      <c r="D149" s="1" t="n">
        <v>45558</v>
      </c>
      <c r="E149" s="1" t="n">
        <v>46221</v>
      </c>
      <c r="F149" t="inlineStr">
        <is>
          <t>DALARNAS LÄN</t>
        </is>
      </c>
      <c r="G149" t="inlineStr">
        <is>
          <t>LEKSAND</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22281-2024</t>
        </is>
      </c>
      <c r="B150" t="inlineStr">
        <is>
          <t>avverkningsanmälan</t>
        </is>
      </c>
      <c r="C150" t="inlineStr">
        <is>
          <t>Föryngringsavverkning</t>
        </is>
      </c>
      <c r="D150" s="1" t="n">
        <v>45446</v>
      </c>
      <c r="E150" s="1" t="n">
        <v>46221</v>
      </c>
      <c r="F150" t="inlineStr">
        <is>
          <t>DALARNAS LÄN</t>
        </is>
      </c>
      <c r="G150" t="inlineStr">
        <is>
          <t>LEKSAND</t>
        </is>
      </c>
      <c r="H150" t="inlineStr">
        <is>
          <t>Bergvik skog väst AB</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23615-2024</t>
        </is>
      </c>
      <c r="B151" t="inlineStr">
        <is>
          <t>avverkningsanmälan</t>
        </is>
      </c>
      <c r="C151" t="inlineStr">
        <is>
          <t>Föryngringsavverkning</t>
        </is>
      </c>
      <c r="D151" s="1" t="n">
        <v>45454</v>
      </c>
      <c r="E151" s="1" t="n">
        <v>46221</v>
      </c>
      <c r="F151" t="inlineStr">
        <is>
          <t>DALARNAS LÄN</t>
        </is>
      </c>
      <c r="G151" t="inlineStr">
        <is>
          <t>LEKSAND</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17726-2024</t>
        </is>
      </c>
      <c r="B152" t="inlineStr">
        <is>
          <t>avverkningsanmälan</t>
        </is>
      </c>
      <c r="C152" t="inlineStr">
        <is>
          <t>Föryngringsavverkning</t>
        </is>
      </c>
      <c r="D152" s="1" t="n">
        <v>45418</v>
      </c>
      <c r="E152" s="1" t="n">
        <v>46221</v>
      </c>
      <c r="F152" t="inlineStr">
        <is>
          <t>DALARNAS LÄN</t>
        </is>
      </c>
      <c r="G152" t="inlineStr">
        <is>
          <t>LEKSAND</t>
        </is>
      </c>
      <c r="I152" t="n">
        <v>5.2</v>
      </c>
      <c r="J152" t="n">
        <v>0</v>
      </c>
      <c r="K152" t="n">
        <v>0</v>
      </c>
      <c r="L152" t="n">
        <v>0</v>
      </c>
      <c r="M152" t="n">
        <v>0</v>
      </c>
      <c r="N152" t="n">
        <v>0</v>
      </c>
      <c r="O152" t="n">
        <v>0</v>
      </c>
      <c r="P152" t="n">
        <v>0</v>
      </c>
      <c r="Q152" t="n">
        <v>0</v>
      </c>
      <c r="R152" t="n">
        <v>0</v>
      </c>
      <c r="S152" t="n">
        <v>0</v>
      </c>
      <c r="T152" t="n">
        <v>0</v>
      </c>
      <c r="U152" s="2" t="inlineStr"/>
    </row>
    <row r="153" ht="15" customHeight="1">
      <c r="A153" t="inlineStr">
        <is>
          <t>A 5738-2023</t>
        </is>
      </c>
      <c r="B153" t="inlineStr">
        <is>
          <t>avverkningsanmälan</t>
        </is>
      </c>
      <c r="C153" t="inlineStr">
        <is>
          <t>Avverkning för annat ändamål</t>
        </is>
      </c>
      <c r="D153" s="1" t="n">
        <v>44962</v>
      </c>
      <c r="E153" s="1" t="n">
        <v>46221</v>
      </c>
      <c r="F153" t="inlineStr">
        <is>
          <t>DALARNAS LÄN</t>
        </is>
      </c>
      <c r="G153" t="inlineStr">
        <is>
          <t>LEKSAND</t>
        </is>
      </c>
      <c r="I153" t="n">
        <v>0.2</v>
      </c>
      <c r="J153" t="n">
        <v>0</v>
      </c>
      <c r="K153" t="n">
        <v>0</v>
      </c>
      <c r="L153" t="n">
        <v>0</v>
      </c>
      <c r="M153" t="n">
        <v>0</v>
      </c>
      <c r="N153" t="n">
        <v>0</v>
      </c>
      <c r="O153" t="n">
        <v>0</v>
      </c>
      <c r="P153" t="n">
        <v>0</v>
      </c>
      <c r="Q153" t="n">
        <v>0</v>
      </c>
      <c r="R153" t="n">
        <v>0</v>
      </c>
      <c r="S153" t="n">
        <v>0</v>
      </c>
      <c r="T153" t="n">
        <v>0</v>
      </c>
      <c r="U153" s="2" t="inlineStr"/>
    </row>
    <row r="154" ht="15" customHeight="1">
      <c r="A154" t="inlineStr">
        <is>
          <t>A 5570-2024</t>
        </is>
      </c>
      <c r="B154" t="inlineStr">
        <is>
          <t>avverkningsanmälan</t>
        </is>
      </c>
      <c r="C154" t="inlineStr">
        <is>
          <t>Föryngringsavverkning</t>
        </is>
      </c>
      <c r="D154" s="1" t="n">
        <v>45334</v>
      </c>
      <c r="E154" s="1" t="n">
        <v>46221</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s="2" t="inlineStr"/>
    </row>
    <row r="155" ht="15" customHeight="1">
      <c r="A155" t="inlineStr">
        <is>
          <t>A 60692-2023</t>
        </is>
      </c>
      <c r="B155" t="inlineStr">
        <is>
          <t>avverkningsanmälan</t>
        </is>
      </c>
      <c r="C155" t="inlineStr">
        <is>
          <t>Föryngringsavverkning</t>
        </is>
      </c>
      <c r="D155" s="1" t="n">
        <v>45260</v>
      </c>
      <c r="E155" s="1" t="n">
        <v>46221</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43693-2022</t>
        </is>
      </c>
      <c r="B156" t="inlineStr">
        <is>
          <t>avverkningsanmälan</t>
        </is>
      </c>
      <c r="C156" t="inlineStr">
        <is>
          <t>Föryngringsavverkning</t>
        </is>
      </c>
      <c r="D156" s="1" t="n">
        <v>44837</v>
      </c>
      <c r="E156" s="1" t="n">
        <v>46221</v>
      </c>
      <c r="F156" t="inlineStr">
        <is>
          <t>DALARNAS LÄN</t>
        </is>
      </c>
      <c r="G156" t="inlineStr">
        <is>
          <t>LEKSAND</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43735-2022</t>
        </is>
      </c>
      <c r="B157" t="inlineStr">
        <is>
          <t>avverkningsanmälan</t>
        </is>
      </c>
      <c r="C157" t="inlineStr">
        <is>
          <t>Föryngringsavverkning</t>
        </is>
      </c>
      <c r="D157" s="1" t="n">
        <v>44837</v>
      </c>
      <c r="E157" s="1" t="n">
        <v>46221</v>
      </c>
      <c r="F157" t="inlineStr">
        <is>
          <t>DALARNAS LÄN</t>
        </is>
      </c>
      <c r="G157" t="inlineStr">
        <is>
          <t>LEKSAND</t>
        </is>
      </c>
      <c r="I157" t="n">
        <v>2.9</v>
      </c>
      <c r="J157" t="n">
        <v>0</v>
      </c>
      <c r="K157" t="n">
        <v>0</v>
      </c>
      <c r="L157" t="n">
        <v>0</v>
      </c>
      <c r="M157" t="n">
        <v>0</v>
      </c>
      <c r="N157" t="n">
        <v>0</v>
      </c>
      <c r="O157" t="n">
        <v>0</v>
      </c>
      <c r="P157" t="n">
        <v>0</v>
      </c>
      <c r="Q157" t="n">
        <v>0</v>
      </c>
      <c r="R157" t="n">
        <v>0</v>
      </c>
      <c r="S157" t="n">
        <v>0</v>
      </c>
      <c r="T157" t="n">
        <v>0</v>
      </c>
      <c r="U157" s="2" t="inlineStr"/>
    </row>
    <row r="158" ht="15" customHeight="1">
      <c r="A158" t="inlineStr">
        <is>
          <t>A 23283-2024</t>
        </is>
      </c>
      <c r="B158" t="inlineStr">
        <is>
          <t>avverkningsanmälan</t>
        </is>
      </c>
      <c r="C158" t="inlineStr">
        <is>
          <t>Föryngringsavverkning</t>
        </is>
      </c>
      <c r="D158" s="1" t="n">
        <v>45453</v>
      </c>
      <c r="E158" s="1" t="n">
        <v>46221</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47121-2021</t>
        </is>
      </c>
      <c r="B159" t="inlineStr">
        <is>
          <t>avverkningsanmälan</t>
        </is>
      </c>
      <c r="C159" t="inlineStr">
        <is>
          <t>Föryngringsavverkning</t>
        </is>
      </c>
      <c r="D159" s="1" t="n">
        <v>44446</v>
      </c>
      <c r="E159" s="1" t="n">
        <v>46221</v>
      </c>
      <c r="F159" t="inlineStr">
        <is>
          <t>DALARNAS LÄN</t>
        </is>
      </c>
      <c r="G159" t="inlineStr">
        <is>
          <t>LEKSAND</t>
        </is>
      </c>
      <c r="I159" t="n">
        <v>3.5</v>
      </c>
      <c r="J159" t="n">
        <v>0</v>
      </c>
      <c r="K159" t="n">
        <v>0</v>
      </c>
      <c r="L159" t="n">
        <v>0</v>
      </c>
      <c r="M159" t="n">
        <v>0</v>
      </c>
      <c r="N159" t="n">
        <v>0</v>
      </c>
      <c r="O159" t="n">
        <v>0</v>
      </c>
      <c r="P159" t="n">
        <v>0</v>
      </c>
      <c r="Q159" t="n">
        <v>0</v>
      </c>
      <c r="R159" t="n">
        <v>0</v>
      </c>
      <c r="S159" t="n">
        <v>0</v>
      </c>
      <c r="T159" t="n">
        <v>0</v>
      </c>
      <c r="U159" s="2" t="inlineStr"/>
    </row>
    <row r="160" ht="15" customHeight="1">
      <c r="A160" t="inlineStr">
        <is>
          <t>A 32688-2024</t>
        </is>
      </c>
      <c r="B160" t="inlineStr">
        <is>
          <t>avverkningsanmälan</t>
        </is>
      </c>
      <c r="C160" t="inlineStr">
        <is>
          <t>Föryngringsavverkning</t>
        </is>
      </c>
      <c r="D160" s="1" t="n">
        <v>45515</v>
      </c>
      <c r="E160" s="1" t="n">
        <v>46221</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30204-2024</t>
        </is>
      </c>
      <c r="B161" t="inlineStr">
        <is>
          <t>avverkningsanmälan</t>
        </is>
      </c>
      <c r="C161" t="inlineStr">
        <is>
          <t>Föryngringsavverkning</t>
        </is>
      </c>
      <c r="D161" s="1" t="n">
        <v>45490</v>
      </c>
      <c r="E161" s="1" t="n">
        <v>46221</v>
      </c>
      <c r="F161" t="inlineStr">
        <is>
          <t>DALARNAS LÄN</t>
        </is>
      </c>
      <c r="G161" t="inlineStr">
        <is>
          <t>LEKSAND</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4121-2024</t>
        </is>
      </c>
      <c r="B162" t="inlineStr">
        <is>
          <t>avverkningsanmälan</t>
        </is>
      </c>
      <c r="C162" t="inlineStr">
        <is>
          <t>Avverkning för annat ändamål</t>
        </is>
      </c>
      <c r="D162" s="1" t="n">
        <v>45323</v>
      </c>
      <c r="E162" s="1" t="n">
        <v>46221</v>
      </c>
      <c r="F162" t="inlineStr">
        <is>
          <t>DALARNAS LÄN</t>
        </is>
      </c>
      <c r="G162" t="inlineStr">
        <is>
          <t>LEKSAND</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61614-2023</t>
        </is>
      </c>
      <c r="B163" t="inlineStr">
        <is>
          <t>avverkningsanmälan</t>
        </is>
      </c>
      <c r="C163" t="inlineStr">
        <is>
          <t>Föryngringsavverkning</t>
        </is>
      </c>
      <c r="D163" s="1" t="n">
        <v>45261</v>
      </c>
      <c r="E163" s="1" t="n">
        <v>46221</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34585-2024</t>
        </is>
      </c>
      <c r="B164" t="inlineStr">
        <is>
          <t>avverkningsanmälan</t>
        </is>
      </c>
      <c r="C164" t="inlineStr">
        <is>
          <t>Föryngringsavverkning</t>
        </is>
      </c>
      <c r="D164" s="1" t="n">
        <v>45526</v>
      </c>
      <c r="E164" s="1" t="n">
        <v>46221</v>
      </c>
      <c r="F164" t="inlineStr">
        <is>
          <t>DALARNAS LÄN</t>
        </is>
      </c>
      <c r="G164" t="inlineStr">
        <is>
          <t>LEKSAND</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30860-2024</t>
        </is>
      </c>
      <c r="B165" t="inlineStr">
        <is>
          <t>avverkningsanmälan</t>
        </is>
      </c>
      <c r="C165" t="inlineStr">
        <is>
          <t>Föryngringsavverkning</t>
        </is>
      </c>
      <c r="D165" s="1" t="n">
        <v>45497</v>
      </c>
      <c r="E165" s="1" t="n">
        <v>46221</v>
      </c>
      <c r="F165" t="inlineStr">
        <is>
          <t>DALARNAS LÄN</t>
        </is>
      </c>
      <c r="G165" t="inlineStr">
        <is>
          <t>LEKSAND</t>
        </is>
      </c>
      <c r="H165" t="inlineStr">
        <is>
          <t>Bergvik skog väst AB</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5584-2024</t>
        </is>
      </c>
      <c r="B166" t="inlineStr">
        <is>
          <t>avverkningsanmälan</t>
        </is>
      </c>
      <c r="C166" t="inlineStr">
        <is>
          <t>Föryngringsavverkning</t>
        </is>
      </c>
      <c r="D166" s="1" t="n">
        <v>45334</v>
      </c>
      <c r="E166" s="1" t="n">
        <v>46221</v>
      </c>
      <c r="F166" t="inlineStr">
        <is>
          <t>DALARNAS LÄN</t>
        </is>
      </c>
      <c r="G166" t="inlineStr">
        <is>
          <t>LEKSAND</t>
        </is>
      </c>
      <c r="H166" t="inlineStr">
        <is>
          <t>Kyrkan</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40752-2024</t>
        </is>
      </c>
      <c r="B167" t="inlineStr">
        <is>
          <t>avverkningsanmälan</t>
        </is>
      </c>
      <c r="C167" t="inlineStr">
        <is>
          <t>Föryngringsavverkning</t>
        </is>
      </c>
      <c r="D167" s="1" t="n">
        <v>45558</v>
      </c>
      <c r="E167" s="1" t="n">
        <v>46221</v>
      </c>
      <c r="F167" t="inlineStr">
        <is>
          <t>DALARNAS LÄN</t>
        </is>
      </c>
      <c r="G167" t="inlineStr">
        <is>
          <t>LEKSAND</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58244-2024</t>
        </is>
      </c>
      <c r="B168" t="inlineStr">
        <is>
          <t>avverkningsanmälan</t>
        </is>
      </c>
      <c r="C168" t="inlineStr">
        <is>
          <t>Föryngringsavverkning</t>
        </is>
      </c>
      <c r="D168" s="1" t="n">
        <v>45631</v>
      </c>
      <c r="E168" s="1" t="n">
        <v>46221</v>
      </c>
      <c r="F168" t="inlineStr">
        <is>
          <t>DALARNAS LÄN</t>
        </is>
      </c>
      <c r="G168" t="inlineStr">
        <is>
          <t>LEKSAND</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8743-2023</t>
        </is>
      </c>
      <c r="B169" t="inlineStr">
        <is>
          <t>avverkningsanmälan</t>
        </is>
      </c>
      <c r="C169" t="inlineStr">
        <is>
          <t>Föryngringsavverkning</t>
        </is>
      </c>
      <c r="D169" s="1" t="n">
        <v>44978</v>
      </c>
      <c r="E169" s="1" t="n">
        <v>46221</v>
      </c>
      <c r="F169" t="inlineStr">
        <is>
          <t>DALARNAS LÄN</t>
        </is>
      </c>
      <c r="G169" t="inlineStr">
        <is>
          <t>LEKSAND</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11606-2025</t>
        </is>
      </c>
      <c r="B170" t="inlineStr">
        <is>
          <t>avverkningsanmälan</t>
        </is>
      </c>
      <c r="C170" t="inlineStr">
        <is>
          <t>Föryngringsavverkning</t>
        </is>
      </c>
      <c r="D170" s="1" t="n">
        <v>45727</v>
      </c>
      <c r="E170" s="1" t="n">
        <v>46221</v>
      </c>
      <c r="F170" t="inlineStr">
        <is>
          <t>DALARNAS LÄN</t>
        </is>
      </c>
      <c r="G170" t="inlineStr">
        <is>
          <t>LEKSAND</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63544-2023</t>
        </is>
      </c>
      <c r="B171" t="inlineStr">
        <is>
          <t>avverkningsanmälan</t>
        </is>
      </c>
      <c r="C171" t="inlineStr">
        <is>
          <t>Föryngringsavverkning</t>
        </is>
      </c>
      <c r="D171" s="1" t="n">
        <v>45275</v>
      </c>
      <c r="E171" s="1" t="n">
        <v>46221</v>
      </c>
      <c r="F171" t="inlineStr">
        <is>
          <t>DALARNAS LÄN</t>
        </is>
      </c>
      <c r="G171" t="inlineStr">
        <is>
          <t>LEKSAND</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21954-2023</t>
        </is>
      </c>
      <c r="B172" t="inlineStr">
        <is>
          <t>avverkningsanmälan</t>
        </is>
      </c>
      <c r="C172" t="inlineStr">
        <is>
          <t>Föryngringsavverkning</t>
        </is>
      </c>
      <c r="D172" s="1" t="n">
        <v>45068</v>
      </c>
      <c r="E172" s="1" t="n">
        <v>46221</v>
      </c>
      <c r="F172" t="inlineStr">
        <is>
          <t>DALARNAS LÄN</t>
        </is>
      </c>
      <c r="G172" t="inlineStr">
        <is>
          <t>LEKSAND</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72575-2021</t>
        </is>
      </c>
      <c r="B173" t="inlineStr">
        <is>
          <t>avverkningsanmälan</t>
        </is>
      </c>
      <c r="C173" t="inlineStr">
        <is>
          <t>Föryngringsavverkning</t>
        </is>
      </c>
      <c r="D173" s="1" t="n">
        <v>44546</v>
      </c>
      <c r="E173" s="1" t="n">
        <v>46221</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72581-2021</t>
        </is>
      </c>
      <c r="B174" t="inlineStr">
        <is>
          <t>avverkningsanmälan</t>
        </is>
      </c>
      <c r="C174" t="inlineStr">
        <is>
          <t>Föryngringsavverkning</t>
        </is>
      </c>
      <c r="D174" s="1" t="n">
        <v>44546</v>
      </c>
      <c r="E174" s="1" t="n">
        <v>46221</v>
      </c>
      <c r="F174" t="inlineStr">
        <is>
          <t>DALARNAS LÄN</t>
        </is>
      </c>
      <c r="G174" t="inlineStr">
        <is>
          <t>LEKSAND</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28032-2024</t>
        </is>
      </c>
      <c r="B175" t="inlineStr">
        <is>
          <t>avverkningsanmälan</t>
        </is>
      </c>
      <c r="C175" t="inlineStr">
        <is>
          <t>Föryngringsavverkning</t>
        </is>
      </c>
      <c r="D175" s="1" t="n">
        <v>45476</v>
      </c>
      <c r="E175" s="1" t="n">
        <v>46221</v>
      </c>
      <c r="F175" t="inlineStr">
        <is>
          <t>DALARNAS LÄN</t>
        </is>
      </c>
      <c r="G175" t="inlineStr">
        <is>
          <t>LEKSAND</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19550-2023</t>
        </is>
      </c>
      <c r="B176" t="inlineStr">
        <is>
          <t>avverkningsanmälan</t>
        </is>
      </c>
      <c r="C176" t="inlineStr">
        <is>
          <t>Föryngringsavverkning</t>
        </is>
      </c>
      <c r="D176" s="1" t="n">
        <v>45049</v>
      </c>
      <c r="E176" s="1" t="n">
        <v>46221</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57223-2025</t>
        </is>
      </c>
      <c r="B177" t="inlineStr">
        <is>
          <t>avverkningsanmälan</t>
        </is>
      </c>
      <c r="C177" t="inlineStr">
        <is>
          <t>Föryngringsavverkning</t>
        </is>
      </c>
      <c r="D177" s="1" t="n">
        <v>45979</v>
      </c>
      <c r="E177" s="1" t="n">
        <v>46221</v>
      </c>
      <c r="F177" t="inlineStr">
        <is>
          <t>DALARNAS LÄN</t>
        </is>
      </c>
      <c r="G177" t="inlineStr">
        <is>
          <t>LEKSAND</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47203-2023</t>
        </is>
      </c>
      <c r="B178" t="inlineStr">
        <is>
          <t>avverkningsanmälan</t>
        </is>
      </c>
      <c r="C178" t="inlineStr">
        <is>
          <t>Avverkning för annat ändamål</t>
        </is>
      </c>
      <c r="D178" s="1" t="n">
        <v>45202</v>
      </c>
      <c r="E178" s="1" t="n">
        <v>46221</v>
      </c>
      <c r="F178" t="inlineStr">
        <is>
          <t>DALARNAS LÄN</t>
        </is>
      </c>
      <c r="G178" t="inlineStr">
        <is>
          <t>LEKSAND</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9105-2024</t>
        </is>
      </c>
      <c r="B179" t="inlineStr">
        <is>
          <t>avverkningsanmälan</t>
        </is>
      </c>
      <c r="C179" t="inlineStr">
        <is>
          <t>Avverkning för annat ändamål</t>
        </is>
      </c>
      <c r="D179" s="1" t="n">
        <v>45357</v>
      </c>
      <c r="E179" s="1" t="n">
        <v>46221</v>
      </c>
      <c r="F179" t="inlineStr">
        <is>
          <t>DALARNAS LÄN</t>
        </is>
      </c>
      <c r="G179" t="inlineStr">
        <is>
          <t>LEKSAND</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50447-2023</t>
        </is>
      </c>
      <c r="B180" t="inlineStr">
        <is>
          <t>avverkningsanmälan</t>
        </is>
      </c>
      <c r="C180" t="inlineStr">
        <is>
          <t>Föryngringsavverkning</t>
        </is>
      </c>
      <c r="D180" s="1" t="n">
        <v>45216</v>
      </c>
      <c r="E180" s="1" t="n">
        <v>46221</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57962-2025</t>
        </is>
      </c>
      <c r="B181" t="inlineStr">
        <is>
          <t>avverkningsanmälan</t>
        </is>
      </c>
      <c r="C181" t="inlineStr">
        <is>
          <t>Föryngringsavverkning</t>
        </is>
      </c>
      <c r="D181" s="1" t="n">
        <v>45982</v>
      </c>
      <c r="E181" s="1" t="n">
        <v>46221</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61787-2022</t>
        </is>
      </c>
      <c r="B182" t="inlineStr">
        <is>
          <t>avverkningsanmälan</t>
        </is>
      </c>
      <c r="C182" t="inlineStr">
        <is>
          <t>Föryngringsavverkning</t>
        </is>
      </c>
      <c r="D182" s="1" t="n">
        <v>44917</v>
      </c>
      <c r="E182" s="1" t="n">
        <v>46221</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3240-2026</t>
        </is>
      </c>
      <c r="B183" t="inlineStr">
        <is>
          <t>avverkningsanmälan</t>
        </is>
      </c>
      <c r="C183" t="inlineStr">
        <is>
          <t>Föryngringsavverkning</t>
        </is>
      </c>
      <c r="D183" s="1" t="n">
        <v>46041</v>
      </c>
      <c r="E183" s="1" t="n">
        <v>46221</v>
      </c>
      <c r="F183" t="inlineStr">
        <is>
          <t>DALARNAS LÄN</t>
        </is>
      </c>
      <c r="G183" t="inlineStr">
        <is>
          <t>LEKSAND</t>
        </is>
      </c>
      <c r="I183" t="n">
        <v>6.1</v>
      </c>
      <c r="J183" t="n">
        <v>0</v>
      </c>
      <c r="K183" t="n">
        <v>0</v>
      </c>
      <c r="L183" t="n">
        <v>0</v>
      </c>
      <c r="M183" t="n">
        <v>0</v>
      </c>
      <c r="N183" t="n">
        <v>0</v>
      </c>
      <c r="O183" t="n">
        <v>0</v>
      </c>
      <c r="P183" t="n">
        <v>0</v>
      </c>
      <c r="Q183" t="n">
        <v>0</v>
      </c>
      <c r="R183" t="n">
        <v>0</v>
      </c>
      <c r="S183" t="n">
        <v>0</v>
      </c>
      <c r="T183" t="n">
        <v>0</v>
      </c>
      <c r="U183" s="2" t="inlineStr"/>
    </row>
    <row r="184" ht="15" customHeight="1">
      <c r="A184" t="inlineStr">
        <is>
          <t>A 3244-2026</t>
        </is>
      </c>
      <c r="B184" t="inlineStr">
        <is>
          <t>avverkningsanmälan</t>
        </is>
      </c>
      <c r="C184" t="inlineStr">
        <is>
          <t>Föryngringsavverkning</t>
        </is>
      </c>
      <c r="D184" s="1" t="n">
        <v>46041</v>
      </c>
      <c r="E184" s="1" t="n">
        <v>46221</v>
      </c>
      <c r="F184" t="inlineStr">
        <is>
          <t>DALARNAS LÄN</t>
        </is>
      </c>
      <c r="G184" t="inlineStr">
        <is>
          <t>LEKSAND</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28913-2024</t>
        </is>
      </c>
      <c r="B185" t="inlineStr">
        <is>
          <t>avverkningsanmälan</t>
        </is>
      </c>
      <c r="C185" t="inlineStr">
        <is>
          <t>Föryngringsavverkning</t>
        </is>
      </c>
      <c r="D185" s="1" t="n">
        <v>45480</v>
      </c>
      <c r="E185" s="1" t="n">
        <v>46221</v>
      </c>
      <c r="F185" t="inlineStr">
        <is>
          <t>DALARNAS LÄN</t>
        </is>
      </c>
      <c r="G185" t="inlineStr">
        <is>
          <t>LEKSAND</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57231-2025</t>
        </is>
      </c>
      <c r="B186" t="inlineStr">
        <is>
          <t>avverkningsanmälan</t>
        </is>
      </c>
      <c r="C186" t="inlineStr">
        <is>
          <t>Föryngringsavverkning</t>
        </is>
      </c>
      <c r="D186" s="1" t="n">
        <v>45979</v>
      </c>
      <c r="E186" s="1" t="n">
        <v>46221</v>
      </c>
      <c r="F186" t="inlineStr">
        <is>
          <t>DALARNAS LÄN</t>
        </is>
      </c>
      <c r="G186" t="inlineStr">
        <is>
          <t>LEKSAND</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25329-2022</t>
        </is>
      </c>
      <c r="B187" t="inlineStr">
        <is>
          <t>avverkningsanmälan</t>
        </is>
      </c>
      <c r="C187" t="inlineStr">
        <is>
          <t>Föryngringsavverkning</t>
        </is>
      </c>
      <c r="D187" s="1" t="n">
        <v>44731</v>
      </c>
      <c r="E187" s="1" t="n">
        <v>46221</v>
      </c>
      <c r="F187" t="inlineStr">
        <is>
          <t>DALARNAS LÄN</t>
        </is>
      </c>
      <c r="G187" t="inlineStr">
        <is>
          <t>LEKSAND</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6050-2023</t>
        </is>
      </c>
      <c r="B188" t="inlineStr">
        <is>
          <t>avverkningsanmälan</t>
        </is>
      </c>
      <c r="C188" t="inlineStr">
        <is>
          <t>Föryngringsavverkning</t>
        </is>
      </c>
      <c r="D188" s="1" t="n">
        <v>44959</v>
      </c>
      <c r="E188" s="1" t="n">
        <v>46221</v>
      </c>
      <c r="F188" t="inlineStr">
        <is>
          <t>DALARNAS LÄN</t>
        </is>
      </c>
      <c r="G188" t="inlineStr">
        <is>
          <t>LEKSAND</t>
        </is>
      </c>
      <c r="I188" t="n">
        <v>6.2</v>
      </c>
      <c r="J188" t="n">
        <v>0</v>
      </c>
      <c r="K188" t="n">
        <v>0</v>
      </c>
      <c r="L188" t="n">
        <v>0</v>
      </c>
      <c r="M188" t="n">
        <v>0</v>
      </c>
      <c r="N188" t="n">
        <v>0</v>
      </c>
      <c r="O188" t="n">
        <v>0</v>
      </c>
      <c r="P188" t="n">
        <v>0</v>
      </c>
      <c r="Q188" t="n">
        <v>0</v>
      </c>
      <c r="R188" t="n">
        <v>0</v>
      </c>
      <c r="S188" t="n">
        <v>0</v>
      </c>
      <c r="T188" t="n">
        <v>0</v>
      </c>
      <c r="U188" s="2" t="inlineStr"/>
    </row>
    <row r="189" ht="15" customHeight="1">
      <c r="A189" t="inlineStr">
        <is>
          <t>A 3978-2026</t>
        </is>
      </c>
      <c r="B189" t="inlineStr">
        <is>
          <t>avverkningsanmälan</t>
        </is>
      </c>
      <c r="C189" t="inlineStr">
        <is>
          <t>Föryngringsavverkning</t>
        </is>
      </c>
      <c r="D189" s="1" t="n">
        <v>46044</v>
      </c>
      <c r="E189" s="1" t="n">
        <v>46221</v>
      </c>
      <c r="F189" t="inlineStr">
        <is>
          <t>DALARNAS LÄN</t>
        </is>
      </c>
      <c r="G189" t="inlineStr">
        <is>
          <t>LEKSAND</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3734-2026</t>
        </is>
      </c>
      <c r="B190" t="inlineStr">
        <is>
          <t>avverkningsanmälan</t>
        </is>
      </c>
      <c r="C190" t="inlineStr">
        <is>
          <t>Föryngringsavverkning</t>
        </is>
      </c>
      <c r="D190" s="1" t="n">
        <v>46043</v>
      </c>
      <c r="E190" s="1" t="n">
        <v>46221</v>
      </c>
      <c r="F190" t="inlineStr">
        <is>
          <t>DALARNAS LÄN</t>
        </is>
      </c>
      <c r="G190" t="inlineStr">
        <is>
          <t>LEKSAND</t>
        </is>
      </c>
      <c r="I190" t="n">
        <v>7.2</v>
      </c>
      <c r="J190" t="n">
        <v>0</v>
      </c>
      <c r="K190" t="n">
        <v>0</v>
      </c>
      <c r="L190" t="n">
        <v>0</v>
      </c>
      <c r="M190" t="n">
        <v>0</v>
      </c>
      <c r="N190" t="n">
        <v>0</v>
      </c>
      <c r="O190" t="n">
        <v>0</v>
      </c>
      <c r="P190" t="n">
        <v>0</v>
      </c>
      <c r="Q190" t="n">
        <v>0</v>
      </c>
      <c r="R190" t="n">
        <v>0</v>
      </c>
      <c r="S190" t="n">
        <v>0</v>
      </c>
      <c r="T190" t="n">
        <v>0</v>
      </c>
      <c r="U190" s="2" t="inlineStr"/>
    </row>
    <row r="191" ht="15" customHeight="1">
      <c r="A191" t="inlineStr">
        <is>
          <t>A 27791-2023</t>
        </is>
      </c>
      <c r="B191" t="inlineStr">
        <is>
          <t>avverkningsanmälan</t>
        </is>
      </c>
      <c r="C191" t="inlineStr">
        <is>
          <t>Föryngringsavverkning</t>
        </is>
      </c>
      <c r="D191" s="1" t="n">
        <v>45098</v>
      </c>
      <c r="E191" s="1" t="n">
        <v>46221</v>
      </c>
      <c r="F191" t="inlineStr">
        <is>
          <t>DALARNAS LÄN</t>
        </is>
      </c>
      <c r="G191" t="inlineStr">
        <is>
          <t>LEKSAND</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3834-2026</t>
        </is>
      </c>
      <c r="B192" t="inlineStr">
        <is>
          <t>avverkningsanmälan</t>
        </is>
      </c>
      <c r="C192" t="inlineStr">
        <is>
          <t>Föryngringsavverkning</t>
        </is>
      </c>
      <c r="D192" s="1" t="n">
        <v>46043</v>
      </c>
      <c r="E192" s="1" t="n">
        <v>46221</v>
      </c>
      <c r="F192" t="inlineStr">
        <is>
          <t>DALARNAS LÄN</t>
        </is>
      </c>
      <c r="G192" t="inlineStr">
        <is>
          <t>LEKSAND</t>
        </is>
      </c>
      <c r="I192" t="n">
        <v>14.4</v>
      </c>
      <c r="J192" t="n">
        <v>0</v>
      </c>
      <c r="K192" t="n">
        <v>0</v>
      </c>
      <c r="L192" t="n">
        <v>0</v>
      </c>
      <c r="M192" t="n">
        <v>0</v>
      </c>
      <c r="N192" t="n">
        <v>0</v>
      </c>
      <c r="O192" t="n">
        <v>0</v>
      </c>
      <c r="P192" t="n">
        <v>0</v>
      </c>
      <c r="Q192" t="n">
        <v>0</v>
      </c>
      <c r="R192" t="n">
        <v>0</v>
      </c>
      <c r="S192" t="n">
        <v>0</v>
      </c>
      <c r="T192" t="n">
        <v>0</v>
      </c>
      <c r="U192" s="2" t="inlineStr"/>
    </row>
    <row r="193" ht="15" customHeight="1">
      <c r="A193" t="inlineStr">
        <is>
          <t>A 14504-2025</t>
        </is>
      </c>
      <c r="B193" t="inlineStr">
        <is>
          <t>avverkningsanmälan</t>
        </is>
      </c>
      <c r="C193" t="inlineStr">
        <is>
          <t>Föryngringsavverkning</t>
        </is>
      </c>
      <c r="D193" s="1" t="n">
        <v>45741</v>
      </c>
      <c r="E193" s="1" t="n">
        <v>46221</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38498-2025</t>
        </is>
      </c>
      <c r="B194" t="inlineStr">
        <is>
          <t>avverkningsanmälan</t>
        </is>
      </c>
      <c r="C194" t="inlineStr">
        <is>
          <t>Föryngringsavverkning</t>
        </is>
      </c>
      <c r="D194" s="1" t="n">
        <v>45884</v>
      </c>
      <c r="E194" s="1" t="n">
        <v>46221</v>
      </c>
      <c r="F194" t="inlineStr">
        <is>
          <t>DALARNAS LÄN</t>
        </is>
      </c>
      <c r="G194" t="inlineStr">
        <is>
          <t>LEKSAND</t>
        </is>
      </c>
      <c r="I194" t="n">
        <v>2.1</v>
      </c>
      <c r="J194" t="n">
        <v>0</v>
      </c>
      <c r="K194" t="n">
        <v>0</v>
      </c>
      <c r="L194" t="n">
        <v>0</v>
      </c>
      <c r="M194" t="n">
        <v>0</v>
      </c>
      <c r="N194" t="n">
        <v>0</v>
      </c>
      <c r="O194" t="n">
        <v>0</v>
      </c>
      <c r="P194" t="n">
        <v>0</v>
      </c>
      <c r="Q194" t="n">
        <v>0</v>
      </c>
      <c r="R194" t="n">
        <v>0</v>
      </c>
      <c r="S194" t="n">
        <v>0</v>
      </c>
      <c r="T194" t="n">
        <v>0</v>
      </c>
      <c r="U194" s="2" t="inlineStr"/>
    </row>
    <row r="195" ht="15" customHeight="1">
      <c r="A195" t="inlineStr">
        <is>
          <t>A 3723-2026</t>
        </is>
      </c>
      <c r="B195" t="inlineStr">
        <is>
          <t>avverkningsanmälan</t>
        </is>
      </c>
      <c r="C195" t="inlineStr">
        <is>
          <t>Föryngringsavverkning</t>
        </is>
      </c>
      <c r="D195" s="1" t="n">
        <v>46043</v>
      </c>
      <c r="E195" s="1" t="n">
        <v>46221</v>
      </c>
      <c r="F195" t="inlineStr">
        <is>
          <t>DALARNAS LÄN</t>
        </is>
      </c>
      <c r="G195" t="inlineStr">
        <is>
          <t>LEKSAND</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27262-2025</t>
        </is>
      </c>
      <c r="B196" t="inlineStr">
        <is>
          <t>avverkningsanmälan</t>
        </is>
      </c>
      <c r="C196" t="inlineStr">
        <is>
          <t>Föryngringsavverkning</t>
        </is>
      </c>
      <c r="D196" s="1" t="n">
        <v>45812</v>
      </c>
      <c r="E196" s="1" t="n">
        <v>46221</v>
      </c>
      <c r="F196" t="inlineStr">
        <is>
          <t>DALARNAS LÄN</t>
        </is>
      </c>
      <c r="G196" t="inlineStr">
        <is>
          <t>LEKSAND</t>
        </is>
      </c>
      <c r="H196" t="inlineStr">
        <is>
          <t>Bergvik skog väst AB</t>
        </is>
      </c>
      <c r="I196" t="n">
        <v>7.7</v>
      </c>
      <c r="J196" t="n">
        <v>0</v>
      </c>
      <c r="K196" t="n">
        <v>0</v>
      </c>
      <c r="L196" t="n">
        <v>0</v>
      </c>
      <c r="M196" t="n">
        <v>0</v>
      </c>
      <c r="N196" t="n">
        <v>0</v>
      </c>
      <c r="O196" t="n">
        <v>0</v>
      </c>
      <c r="P196" t="n">
        <v>0</v>
      </c>
      <c r="Q196" t="n">
        <v>0</v>
      </c>
      <c r="R196" t="n">
        <v>0</v>
      </c>
      <c r="S196" t="n">
        <v>0</v>
      </c>
      <c r="T196" t="n">
        <v>0</v>
      </c>
      <c r="U196" s="2" t="inlineStr"/>
    </row>
    <row r="197" ht="15" customHeight="1">
      <c r="A197" t="inlineStr">
        <is>
          <t>A 3968-2026</t>
        </is>
      </c>
      <c r="B197" t="inlineStr">
        <is>
          <t>avverkningsanmälan</t>
        </is>
      </c>
      <c r="C197" t="inlineStr">
        <is>
          <t>Föryngringsavverkning</t>
        </is>
      </c>
      <c r="D197" s="1" t="n">
        <v>46044</v>
      </c>
      <c r="E197" s="1" t="n">
        <v>46221</v>
      </c>
      <c r="F197" t="inlineStr">
        <is>
          <t>DALARNAS LÄN</t>
        </is>
      </c>
      <c r="G197" t="inlineStr">
        <is>
          <t>LEKSAND</t>
        </is>
      </c>
      <c r="I197" t="n">
        <v>2.3</v>
      </c>
      <c r="J197" t="n">
        <v>0</v>
      </c>
      <c r="K197" t="n">
        <v>0</v>
      </c>
      <c r="L197" t="n">
        <v>0</v>
      </c>
      <c r="M197" t="n">
        <v>0</v>
      </c>
      <c r="N197" t="n">
        <v>0</v>
      </c>
      <c r="O197" t="n">
        <v>0</v>
      </c>
      <c r="P197" t="n">
        <v>0</v>
      </c>
      <c r="Q197" t="n">
        <v>0</v>
      </c>
      <c r="R197" t="n">
        <v>0</v>
      </c>
      <c r="S197" t="n">
        <v>0</v>
      </c>
      <c r="T197" t="n">
        <v>0</v>
      </c>
      <c r="U197" s="2" t="inlineStr"/>
    </row>
    <row r="198" ht="15" customHeight="1">
      <c r="A198" t="inlineStr">
        <is>
          <t>A 32072-2024</t>
        </is>
      </c>
      <c r="B198" t="inlineStr">
        <is>
          <t>avverkningsanmälan</t>
        </is>
      </c>
      <c r="C198" t="inlineStr">
        <is>
          <t>Föryngringsavverkning</t>
        </is>
      </c>
      <c r="D198" s="1" t="n">
        <v>45510</v>
      </c>
      <c r="E198" s="1" t="n">
        <v>46221</v>
      </c>
      <c r="F198" t="inlineStr">
        <is>
          <t>DALARNAS LÄN</t>
        </is>
      </c>
      <c r="G198" t="inlineStr">
        <is>
          <t>LEKSAND</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27680-2025</t>
        </is>
      </c>
      <c r="B199" t="inlineStr">
        <is>
          <t>avverkningsanmälan</t>
        </is>
      </c>
      <c r="C199" t="inlineStr">
        <is>
          <t>Föryngringsavverkning</t>
        </is>
      </c>
      <c r="D199" s="1" t="n">
        <v>45813</v>
      </c>
      <c r="E199" s="1" t="n">
        <v>46221</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13165-2023</t>
        </is>
      </c>
      <c r="B200" t="inlineStr">
        <is>
          <t>avverkningsanmälan</t>
        </is>
      </c>
      <c r="C200" t="inlineStr">
        <is>
          <t>Föryngringsavverkning</t>
        </is>
      </c>
      <c r="D200" s="1" t="n">
        <v>45002</v>
      </c>
      <c r="E200" s="1" t="n">
        <v>46221</v>
      </c>
      <c r="F200" t="inlineStr">
        <is>
          <t>DALARNAS LÄN</t>
        </is>
      </c>
      <c r="G200" t="inlineStr">
        <is>
          <t>LEKSAND</t>
        </is>
      </c>
      <c r="I200" t="n">
        <v>2.4</v>
      </c>
      <c r="J200" t="n">
        <v>0</v>
      </c>
      <c r="K200" t="n">
        <v>0</v>
      </c>
      <c r="L200" t="n">
        <v>0</v>
      </c>
      <c r="M200" t="n">
        <v>0</v>
      </c>
      <c r="N200" t="n">
        <v>0</v>
      </c>
      <c r="O200" t="n">
        <v>0</v>
      </c>
      <c r="P200" t="n">
        <v>0</v>
      </c>
      <c r="Q200" t="n">
        <v>0</v>
      </c>
      <c r="R200" t="n">
        <v>0</v>
      </c>
      <c r="S200" t="n">
        <v>0</v>
      </c>
      <c r="T200" t="n">
        <v>0</v>
      </c>
      <c r="U200" s="2" t="inlineStr"/>
    </row>
    <row r="201" ht="15" customHeight="1">
      <c r="A201" t="inlineStr">
        <is>
          <t>A 28483-2025</t>
        </is>
      </c>
      <c r="B201" t="inlineStr">
        <is>
          <t>avverkningsanmälan</t>
        </is>
      </c>
      <c r="C201" t="inlineStr">
        <is>
          <t>Avverkning för annat ändamål</t>
        </is>
      </c>
      <c r="D201" s="1" t="n">
        <v>45818</v>
      </c>
      <c r="E201" s="1" t="n">
        <v>46221</v>
      </c>
      <c r="F201" t="inlineStr">
        <is>
          <t>DALARNAS LÄN</t>
        </is>
      </c>
      <c r="G201" t="inlineStr">
        <is>
          <t>LEKSAND</t>
        </is>
      </c>
      <c r="H201" t="inlineStr">
        <is>
          <t>Bergvik skog väst AB</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7467-2023</t>
        </is>
      </c>
      <c r="B202" t="inlineStr">
        <is>
          <t>avverkningsanmälan</t>
        </is>
      </c>
      <c r="C202" t="inlineStr">
        <is>
          <t>Föryngringsavverkning</t>
        </is>
      </c>
      <c r="D202" s="1" t="n">
        <v>44966</v>
      </c>
      <c r="E202" s="1" t="n">
        <v>46221</v>
      </c>
      <c r="F202" t="inlineStr">
        <is>
          <t>DALARNAS LÄN</t>
        </is>
      </c>
      <c r="G202" t="inlineStr">
        <is>
          <t>LEKSAND</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45788-2021</t>
        </is>
      </c>
      <c r="B203" t="inlineStr">
        <is>
          <t>avverkningsanmälan</t>
        </is>
      </c>
      <c r="C203" t="inlineStr">
        <is>
          <t>Föryngringsavverkning</t>
        </is>
      </c>
      <c r="D203" s="1" t="n">
        <v>44441</v>
      </c>
      <c r="E203" s="1" t="n">
        <v>46221</v>
      </c>
      <c r="F203" t="inlineStr">
        <is>
          <t>DALARNAS LÄN</t>
        </is>
      </c>
      <c r="G203" t="inlineStr">
        <is>
          <t>LEKSAND</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28505-2025</t>
        </is>
      </c>
      <c r="B204" t="inlineStr">
        <is>
          <t>avverkningsanmälan</t>
        </is>
      </c>
      <c r="C204" t="inlineStr">
        <is>
          <t>Föryngringsavverkning</t>
        </is>
      </c>
      <c r="D204" s="1" t="n">
        <v>45818</v>
      </c>
      <c r="E204" s="1" t="n">
        <v>46221</v>
      </c>
      <c r="F204" t="inlineStr">
        <is>
          <t>DALARNAS LÄN</t>
        </is>
      </c>
      <c r="G204" t="inlineStr">
        <is>
          <t>LEKSAND</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28499-2025</t>
        </is>
      </c>
      <c r="B205" t="inlineStr">
        <is>
          <t>avverkningsanmälan</t>
        </is>
      </c>
      <c r="C205" t="inlineStr">
        <is>
          <t>Föryngringsavverkning</t>
        </is>
      </c>
      <c r="D205" s="1" t="n">
        <v>45818</v>
      </c>
      <c r="E205" s="1" t="n">
        <v>46221</v>
      </c>
      <c r="F205" t="inlineStr">
        <is>
          <t>DALARNAS LÄN</t>
        </is>
      </c>
      <c r="G205" t="inlineStr">
        <is>
          <t>LEKSAND</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27984-2025</t>
        </is>
      </c>
      <c r="B206" t="inlineStr">
        <is>
          <t>avverkningsanmälan</t>
        </is>
      </c>
      <c r="C206" t="inlineStr">
        <is>
          <t>Föryngringsavverkning</t>
        </is>
      </c>
      <c r="D206" s="1" t="n">
        <v>45817</v>
      </c>
      <c r="E206" s="1" t="n">
        <v>46221</v>
      </c>
      <c r="F206" t="inlineStr">
        <is>
          <t>DALARNAS LÄN</t>
        </is>
      </c>
      <c r="G206" t="inlineStr">
        <is>
          <t>LEKSAND</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28592-2023</t>
        </is>
      </c>
      <c r="B207" t="inlineStr">
        <is>
          <t>avverkningsanmälan</t>
        </is>
      </c>
      <c r="C207" t="inlineStr">
        <is>
          <t>Föryngringsavverkning</t>
        </is>
      </c>
      <c r="D207" s="1" t="n">
        <v>45103</v>
      </c>
      <c r="E207" s="1" t="n">
        <v>46221</v>
      </c>
      <c r="F207" t="inlineStr">
        <is>
          <t>DALARNAS LÄN</t>
        </is>
      </c>
      <c r="G207" t="inlineStr">
        <is>
          <t>LEKSAND</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38721-2025</t>
        </is>
      </c>
      <c r="B208" t="inlineStr">
        <is>
          <t>avverkningsanmälan</t>
        </is>
      </c>
      <c r="C208" t="inlineStr">
        <is>
          <t>Föryngringsavverkning</t>
        </is>
      </c>
      <c r="D208" s="1" t="n">
        <v>45886</v>
      </c>
      <c r="E208" s="1" t="n">
        <v>46221</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28770-2025</t>
        </is>
      </c>
      <c r="B209" t="inlineStr">
        <is>
          <t>avverkningsanmälan</t>
        </is>
      </c>
      <c r="C209" t="inlineStr">
        <is>
          <t>Föryngringsavverkning</t>
        </is>
      </c>
      <c r="D209" s="1" t="n">
        <v>45820</v>
      </c>
      <c r="E209" s="1" t="n">
        <v>46221</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2630-2025</t>
        </is>
      </c>
      <c r="B210" t="inlineStr">
        <is>
          <t>avverkningsanmälan</t>
        </is>
      </c>
      <c r="C210" t="inlineStr">
        <is>
          <t>Föryngringsavverkning</t>
        </is>
      </c>
      <c r="D210" s="1" t="n">
        <v>45675</v>
      </c>
      <c r="E210" s="1" t="n">
        <v>46221</v>
      </c>
      <c r="F210" t="inlineStr">
        <is>
          <t>DALARNAS LÄN</t>
        </is>
      </c>
      <c r="G210" t="inlineStr">
        <is>
          <t>LEKSAND</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29005-2025</t>
        </is>
      </c>
      <c r="B211" t="inlineStr">
        <is>
          <t>avverkningsanmälan</t>
        </is>
      </c>
      <c r="C211" t="inlineStr">
        <is>
          <t>Föryngringsavverkning</t>
        </is>
      </c>
      <c r="D211" s="1" t="n">
        <v>45821</v>
      </c>
      <c r="E211" s="1" t="n">
        <v>46221</v>
      </c>
      <c r="F211" t="inlineStr">
        <is>
          <t>DALARNAS LÄN</t>
        </is>
      </c>
      <c r="G211" t="inlineStr">
        <is>
          <t>LEKSAND</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39516-2025</t>
        </is>
      </c>
      <c r="B212" t="inlineStr">
        <is>
          <t>avverkningsanmälan</t>
        </is>
      </c>
      <c r="C212" t="inlineStr">
        <is>
          <t>Föryngringsavverkning</t>
        </is>
      </c>
      <c r="D212" s="1" t="n">
        <v>45890</v>
      </c>
      <c r="E212" s="1" t="n">
        <v>46221</v>
      </c>
      <c r="F212" t="inlineStr">
        <is>
          <t>DALARNAS LÄN</t>
        </is>
      </c>
      <c r="G212" t="inlineStr">
        <is>
          <t>LEKSAND</t>
        </is>
      </c>
      <c r="I212" t="n">
        <v>3.6</v>
      </c>
      <c r="J212" t="n">
        <v>0</v>
      </c>
      <c r="K212" t="n">
        <v>0</v>
      </c>
      <c r="L212" t="n">
        <v>0</v>
      </c>
      <c r="M212" t="n">
        <v>0</v>
      </c>
      <c r="N212" t="n">
        <v>0</v>
      </c>
      <c r="O212" t="n">
        <v>0</v>
      </c>
      <c r="P212" t="n">
        <v>0</v>
      </c>
      <c r="Q212" t="n">
        <v>0</v>
      </c>
      <c r="R212" t="n">
        <v>0</v>
      </c>
      <c r="S212" t="n">
        <v>0</v>
      </c>
      <c r="T212" t="n">
        <v>0</v>
      </c>
      <c r="U212" s="2" t="inlineStr"/>
    </row>
    <row r="213" ht="15" customHeight="1">
      <c r="A213" t="inlineStr">
        <is>
          <t>A 13063-2023</t>
        </is>
      </c>
      <c r="B213" t="inlineStr">
        <is>
          <t>avverkningsanmälan</t>
        </is>
      </c>
      <c r="C213" t="inlineStr">
        <is>
          <t>Föryngringsavverkning</t>
        </is>
      </c>
      <c r="D213" s="1" t="n">
        <v>45001</v>
      </c>
      <c r="E213" s="1" t="n">
        <v>46221</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39660-2025</t>
        </is>
      </c>
      <c r="B214" t="inlineStr">
        <is>
          <t>avverkningsanmälan</t>
        </is>
      </c>
      <c r="C214" t="inlineStr">
        <is>
          <t>Föryngringsavverkning</t>
        </is>
      </c>
      <c r="D214" s="1" t="n">
        <v>45890</v>
      </c>
      <c r="E214" s="1" t="n">
        <v>46221</v>
      </c>
      <c r="F214" t="inlineStr">
        <is>
          <t>DALARNAS LÄN</t>
        </is>
      </c>
      <c r="G214" t="inlineStr">
        <is>
          <t>LEKSAND</t>
        </is>
      </c>
      <c r="H214" t="inlineStr">
        <is>
          <t>Bergvik skog väst AB</t>
        </is>
      </c>
      <c r="I214" t="n">
        <v>5.8</v>
      </c>
      <c r="J214" t="n">
        <v>0</v>
      </c>
      <c r="K214" t="n">
        <v>0</v>
      </c>
      <c r="L214" t="n">
        <v>0</v>
      </c>
      <c r="M214" t="n">
        <v>0</v>
      </c>
      <c r="N214" t="n">
        <v>0</v>
      </c>
      <c r="O214" t="n">
        <v>0</v>
      </c>
      <c r="P214" t="n">
        <v>0</v>
      </c>
      <c r="Q214" t="n">
        <v>0</v>
      </c>
      <c r="R214" t="n">
        <v>0</v>
      </c>
      <c r="S214" t="n">
        <v>0</v>
      </c>
      <c r="T214" t="n">
        <v>0</v>
      </c>
      <c r="U214" s="2" t="inlineStr"/>
    </row>
    <row r="215" ht="15" customHeight="1">
      <c r="A215" t="inlineStr">
        <is>
          <t>A 39693-2025</t>
        </is>
      </c>
      <c r="B215" t="inlineStr">
        <is>
          <t>avverkningsanmälan</t>
        </is>
      </c>
      <c r="C215" t="inlineStr">
        <is>
          <t>Föryngringsavverkning</t>
        </is>
      </c>
      <c r="D215" s="1" t="n">
        <v>45890</v>
      </c>
      <c r="E215" s="1" t="n">
        <v>46221</v>
      </c>
      <c r="F215" t="inlineStr">
        <is>
          <t>DALARNAS LÄN</t>
        </is>
      </c>
      <c r="G215" t="inlineStr">
        <is>
          <t>LEKSAND</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4476-2026</t>
        </is>
      </c>
      <c r="B216" t="inlineStr">
        <is>
          <t>avverkningsanmälan</t>
        </is>
      </c>
      <c r="C216" t="inlineStr">
        <is>
          <t>Föryngringsavverkning</t>
        </is>
      </c>
      <c r="D216" s="1" t="n">
        <v>46045</v>
      </c>
      <c r="E216" s="1" t="n">
        <v>46221</v>
      </c>
      <c r="F216" t="inlineStr">
        <is>
          <t>DALARNAS LÄN</t>
        </is>
      </c>
      <c r="G216" t="inlineStr">
        <is>
          <t>LEKSAND</t>
        </is>
      </c>
      <c r="I216" t="n">
        <v>2.3</v>
      </c>
      <c r="J216" t="n">
        <v>0</v>
      </c>
      <c r="K216" t="n">
        <v>0</v>
      </c>
      <c r="L216" t="n">
        <v>0</v>
      </c>
      <c r="M216" t="n">
        <v>0</v>
      </c>
      <c r="N216" t="n">
        <v>0</v>
      </c>
      <c r="O216" t="n">
        <v>0</v>
      </c>
      <c r="P216" t="n">
        <v>0</v>
      </c>
      <c r="Q216" t="n">
        <v>0</v>
      </c>
      <c r="R216" t="n">
        <v>0</v>
      </c>
      <c r="S216" t="n">
        <v>0</v>
      </c>
      <c r="T216" t="n">
        <v>0</v>
      </c>
      <c r="U216" s="2" t="inlineStr"/>
    </row>
    <row r="217" ht="15" customHeight="1">
      <c r="A217" t="inlineStr">
        <is>
          <t>A 36444-2023</t>
        </is>
      </c>
      <c r="B217" t="inlineStr">
        <is>
          <t>avverkningsanmälan</t>
        </is>
      </c>
      <c r="C217" t="inlineStr">
        <is>
          <t>Föryngringsavverkning</t>
        </is>
      </c>
      <c r="D217" s="1" t="n">
        <v>45152</v>
      </c>
      <c r="E217" s="1" t="n">
        <v>46221</v>
      </c>
      <c r="F217" t="inlineStr">
        <is>
          <t>DALARNAS LÄN</t>
        </is>
      </c>
      <c r="G217" t="inlineStr">
        <is>
          <t>LEKSAND</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29553-2025</t>
        </is>
      </c>
      <c r="B218" t="inlineStr">
        <is>
          <t>avverkningsanmälan</t>
        </is>
      </c>
      <c r="C218" t="inlineStr">
        <is>
          <t>Föryngringsavverkning</t>
        </is>
      </c>
      <c r="D218" s="1" t="n">
        <v>45825</v>
      </c>
      <c r="E218" s="1" t="n">
        <v>46221</v>
      </c>
      <c r="F218" t="inlineStr">
        <is>
          <t>DALARNAS LÄN</t>
        </is>
      </c>
      <c r="G218" t="inlineStr">
        <is>
          <t>LEKSAND</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4338-2026</t>
        </is>
      </c>
      <c r="B219" t="inlineStr">
        <is>
          <t>avverkningsanmälan</t>
        </is>
      </c>
      <c r="C219" t="inlineStr">
        <is>
          <t>Föryngringsavverkning</t>
        </is>
      </c>
      <c r="D219" s="1" t="n">
        <v>46045</v>
      </c>
      <c r="E219" s="1" t="n">
        <v>46221</v>
      </c>
      <c r="F219" t="inlineStr">
        <is>
          <t>DALARNAS LÄN</t>
        </is>
      </c>
      <c r="G219" t="inlineStr">
        <is>
          <t>LEKSAND</t>
        </is>
      </c>
      <c r="I219" t="n">
        <v>6.9</v>
      </c>
      <c r="J219" t="n">
        <v>0</v>
      </c>
      <c r="K219" t="n">
        <v>0</v>
      </c>
      <c r="L219" t="n">
        <v>0</v>
      </c>
      <c r="M219" t="n">
        <v>0</v>
      </c>
      <c r="N219" t="n">
        <v>0</v>
      </c>
      <c r="O219" t="n">
        <v>0</v>
      </c>
      <c r="P219" t="n">
        <v>0</v>
      </c>
      <c r="Q219" t="n">
        <v>0</v>
      </c>
      <c r="R219" t="n">
        <v>0</v>
      </c>
      <c r="S219" t="n">
        <v>0</v>
      </c>
      <c r="T219" t="n">
        <v>0</v>
      </c>
      <c r="U219" s="2" t="inlineStr"/>
    </row>
    <row r="220" ht="15" customHeight="1">
      <c r="A220" t="inlineStr">
        <is>
          <t>A 46628-2024</t>
        </is>
      </c>
      <c r="B220" t="inlineStr">
        <is>
          <t>avverkningsanmälan</t>
        </is>
      </c>
      <c r="C220" t="inlineStr">
        <is>
          <t>Avverkning för annat ändamål</t>
        </is>
      </c>
      <c r="D220" s="1" t="n">
        <v>45583</v>
      </c>
      <c r="E220" s="1" t="n">
        <v>46221</v>
      </c>
      <c r="F220" t="inlineStr">
        <is>
          <t>DALARNAS LÄN</t>
        </is>
      </c>
      <c r="G220" t="inlineStr">
        <is>
          <t>LEKSAND</t>
        </is>
      </c>
      <c r="I220" t="n">
        <v>0.2</v>
      </c>
      <c r="J220" t="n">
        <v>0</v>
      </c>
      <c r="K220" t="n">
        <v>0</v>
      </c>
      <c r="L220" t="n">
        <v>0</v>
      </c>
      <c r="M220" t="n">
        <v>0</v>
      </c>
      <c r="N220" t="n">
        <v>0</v>
      </c>
      <c r="O220" t="n">
        <v>0</v>
      </c>
      <c r="P220" t="n">
        <v>0</v>
      </c>
      <c r="Q220" t="n">
        <v>0</v>
      </c>
      <c r="R220" t="n">
        <v>0</v>
      </c>
      <c r="S220" t="n">
        <v>0</v>
      </c>
      <c r="T220" t="n">
        <v>0</v>
      </c>
      <c r="U220" s="2" t="inlineStr"/>
    </row>
    <row r="221" ht="15" customHeight="1">
      <c r="A221" t="inlineStr">
        <is>
          <t>A 30254-2025</t>
        </is>
      </c>
      <c r="B221" t="inlineStr">
        <is>
          <t>avverkningsanmälan</t>
        </is>
      </c>
      <c r="C221" t="inlineStr">
        <is>
          <t>Föryngringsavverkning</t>
        </is>
      </c>
      <c r="D221" s="1" t="n">
        <v>45827</v>
      </c>
      <c r="E221" s="1" t="n">
        <v>46221</v>
      </c>
      <c r="F221" t="inlineStr">
        <is>
          <t>DALARNAS LÄN</t>
        </is>
      </c>
      <c r="G221" t="inlineStr">
        <is>
          <t>LEKSAND</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9141-2023</t>
        </is>
      </c>
      <c r="B222" t="inlineStr">
        <is>
          <t>avverkningsanmälan</t>
        </is>
      </c>
      <c r="C222" t="inlineStr">
        <is>
          <t>Föryngringsavverkning</t>
        </is>
      </c>
      <c r="D222" s="1" t="n">
        <v>44974</v>
      </c>
      <c r="E222" s="1" t="n">
        <v>46221</v>
      </c>
      <c r="F222" t="inlineStr">
        <is>
          <t>DALARNAS LÄN</t>
        </is>
      </c>
      <c r="G222" t="inlineStr">
        <is>
          <t>LEKSAND</t>
        </is>
      </c>
      <c r="I222" t="n">
        <v>1.9</v>
      </c>
      <c r="J222" t="n">
        <v>0</v>
      </c>
      <c r="K222" t="n">
        <v>0</v>
      </c>
      <c r="L222" t="n">
        <v>0</v>
      </c>
      <c r="M222" t="n">
        <v>0</v>
      </c>
      <c r="N222" t="n">
        <v>0</v>
      </c>
      <c r="O222" t="n">
        <v>0</v>
      </c>
      <c r="P222" t="n">
        <v>0</v>
      </c>
      <c r="Q222" t="n">
        <v>0</v>
      </c>
      <c r="R222" t="n">
        <v>0</v>
      </c>
      <c r="S222" t="n">
        <v>0</v>
      </c>
      <c r="T222" t="n">
        <v>0</v>
      </c>
      <c r="U222" s="2" t="inlineStr"/>
    </row>
    <row r="223" ht="15" customHeight="1">
      <c r="A223" t="inlineStr">
        <is>
          <t>A 41237-2025</t>
        </is>
      </c>
      <c r="B223" t="inlineStr">
        <is>
          <t>avverkningsanmälan</t>
        </is>
      </c>
      <c r="C223" t="inlineStr">
        <is>
          <t>Föryngringsavverkning</t>
        </is>
      </c>
      <c r="D223" s="1" t="n">
        <v>45898</v>
      </c>
      <c r="E223" s="1" t="n">
        <v>46221</v>
      </c>
      <c r="F223" t="inlineStr">
        <is>
          <t>DALARNAS LÄN</t>
        </is>
      </c>
      <c r="G223" t="inlineStr">
        <is>
          <t>LEKSAND</t>
        </is>
      </c>
      <c r="H223" t="inlineStr">
        <is>
          <t>Bergvik skog väst AB</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41248-2025</t>
        </is>
      </c>
      <c r="B224" t="inlineStr">
        <is>
          <t>avverkningsanmälan</t>
        </is>
      </c>
      <c r="C224" t="inlineStr">
        <is>
          <t>Föryngringsavverkning</t>
        </is>
      </c>
      <c r="D224" s="1" t="n">
        <v>45898</v>
      </c>
      <c r="E224" s="1" t="n">
        <v>46221</v>
      </c>
      <c r="F224" t="inlineStr">
        <is>
          <t>DALARNAS LÄN</t>
        </is>
      </c>
      <c r="G224" t="inlineStr">
        <is>
          <t>LEKSAND</t>
        </is>
      </c>
      <c r="H224" t="inlineStr">
        <is>
          <t>Bergvik skog väst AB</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41308-2025</t>
        </is>
      </c>
      <c r="B225" t="inlineStr">
        <is>
          <t>avverkningsanmälan</t>
        </is>
      </c>
      <c r="C225" t="inlineStr">
        <is>
          <t>Föryngringsavverkning</t>
        </is>
      </c>
      <c r="D225" s="1" t="n">
        <v>45898</v>
      </c>
      <c r="E225" s="1" t="n">
        <v>46221</v>
      </c>
      <c r="F225" t="inlineStr">
        <is>
          <t>DALARNAS LÄN</t>
        </is>
      </c>
      <c r="G225" t="inlineStr">
        <is>
          <t>LEKSAND</t>
        </is>
      </c>
      <c r="H225" t="inlineStr">
        <is>
          <t>Bergvik skog väst AB</t>
        </is>
      </c>
      <c r="I225" t="n">
        <v>6.7</v>
      </c>
      <c r="J225" t="n">
        <v>0</v>
      </c>
      <c r="K225" t="n">
        <v>0</v>
      </c>
      <c r="L225" t="n">
        <v>0</v>
      </c>
      <c r="M225" t="n">
        <v>0</v>
      </c>
      <c r="N225" t="n">
        <v>0</v>
      </c>
      <c r="O225" t="n">
        <v>0</v>
      </c>
      <c r="P225" t="n">
        <v>0</v>
      </c>
      <c r="Q225" t="n">
        <v>0</v>
      </c>
      <c r="R225" t="n">
        <v>0</v>
      </c>
      <c r="S225" t="n">
        <v>0</v>
      </c>
      <c r="T225" t="n">
        <v>0</v>
      </c>
      <c r="U225" s="2" t="inlineStr"/>
    </row>
    <row r="226" ht="15" customHeight="1">
      <c r="A226" t="inlineStr">
        <is>
          <t>A 54844-2021</t>
        </is>
      </c>
      <c r="B226" t="inlineStr">
        <is>
          <t>avverkningsanmälan</t>
        </is>
      </c>
      <c r="C226" t="inlineStr">
        <is>
          <t>Föryngringsavverkning</t>
        </is>
      </c>
      <c r="D226" s="1" t="n">
        <v>44474</v>
      </c>
      <c r="E226" s="1" t="n">
        <v>46221</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s="2" t="inlineStr"/>
    </row>
    <row r="227" ht="15" customHeight="1">
      <c r="A227" t="inlineStr">
        <is>
          <t>A 8211-2023</t>
        </is>
      </c>
      <c r="B227" t="inlineStr">
        <is>
          <t>avverkningsanmälan</t>
        </is>
      </c>
      <c r="C227" t="inlineStr">
        <is>
          <t>Föryngringsavverkning</t>
        </is>
      </c>
      <c r="D227" s="1" t="n">
        <v>44974</v>
      </c>
      <c r="E227" s="1" t="n">
        <v>46221</v>
      </c>
      <c r="F227" t="inlineStr">
        <is>
          <t>DALARNAS LÄN</t>
        </is>
      </c>
      <c r="G227" t="inlineStr">
        <is>
          <t>LEKSAND</t>
        </is>
      </c>
      <c r="I227" t="n">
        <v>5.2</v>
      </c>
      <c r="J227" t="n">
        <v>0</v>
      </c>
      <c r="K227" t="n">
        <v>0</v>
      </c>
      <c r="L227" t="n">
        <v>0</v>
      </c>
      <c r="M227" t="n">
        <v>0</v>
      </c>
      <c r="N227" t="n">
        <v>0</v>
      </c>
      <c r="O227" t="n">
        <v>0</v>
      </c>
      <c r="P227" t="n">
        <v>0</v>
      </c>
      <c r="Q227" t="n">
        <v>0</v>
      </c>
      <c r="R227" t="n">
        <v>0</v>
      </c>
      <c r="S227" t="n">
        <v>0</v>
      </c>
      <c r="T227" t="n">
        <v>0</v>
      </c>
      <c r="U227" s="2" t="inlineStr"/>
    </row>
    <row r="228" ht="15" customHeight="1">
      <c r="A228" t="inlineStr">
        <is>
          <t>A 30917-2025</t>
        </is>
      </c>
      <c r="B228" t="inlineStr">
        <is>
          <t>avverkningsanmälan</t>
        </is>
      </c>
      <c r="C228" t="inlineStr">
        <is>
          <t>Föryngringsavverkning</t>
        </is>
      </c>
      <c r="D228" s="1" t="n">
        <v>45832</v>
      </c>
      <c r="E228" s="1" t="n">
        <v>46221</v>
      </c>
      <c r="F228" t="inlineStr">
        <is>
          <t>DALARNAS LÄN</t>
        </is>
      </c>
      <c r="G228" t="inlineStr">
        <is>
          <t>LEKSAND</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30911-2025</t>
        </is>
      </c>
      <c r="B229" t="inlineStr">
        <is>
          <t>avverkningsanmälan</t>
        </is>
      </c>
      <c r="C229" t="inlineStr">
        <is>
          <t>Avverkning för annat ändamål</t>
        </is>
      </c>
      <c r="D229" s="1" t="n">
        <v>45832</v>
      </c>
      <c r="E229" s="1" t="n">
        <v>46221</v>
      </c>
      <c r="F229" t="inlineStr">
        <is>
          <t>DALARNAS LÄN</t>
        </is>
      </c>
      <c r="G229" t="inlineStr">
        <is>
          <t>LEKSAND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30920-2025</t>
        </is>
      </c>
      <c r="B230" t="inlineStr">
        <is>
          <t>avverkningsanmälan</t>
        </is>
      </c>
      <c r="C230" t="inlineStr">
        <is>
          <t>Föryngringsavverkning</t>
        </is>
      </c>
      <c r="D230" s="1" t="n">
        <v>45832</v>
      </c>
      <c r="E230" s="1" t="n">
        <v>46221</v>
      </c>
      <c r="F230" t="inlineStr">
        <is>
          <t>DALARNAS LÄN</t>
        </is>
      </c>
      <c r="G230" t="inlineStr">
        <is>
          <t>LEKSAND</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41487-2025</t>
        </is>
      </c>
      <c r="B231" t="inlineStr">
        <is>
          <t>avverkningsanmälan</t>
        </is>
      </c>
      <c r="C231" t="inlineStr">
        <is>
          <t>Föryngringsavverkning</t>
        </is>
      </c>
      <c r="D231" s="1" t="n">
        <v>45901</v>
      </c>
      <c r="E231" s="1" t="n">
        <v>46221</v>
      </c>
      <c r="F231" t="inlineStr">
        <is>
          <t>DALARNAS LÄN</t>
        </is>
      </c>
      <c r="G231" t="inlineStr">
        <is>
          <t>LEKSAND</t>
        </is>
      </c>
      <c r="H231" t="inlineStr">
        <is>
          <t>Bergvik skog väst AB</t>
        </is>
      </c>
      <c r="I231" t="n">
        <v>7.3</v>
      </c>
      <c r="J231" t="n">
        <v>0</v>
      </c>
      <c r="K231" t="n">
        <v>0</v>
      </c>
      <c r="L231" t="n">
        <v>0</v>
      </c>
      <c r="M231" t="n">
        <v>0</v>
      </c>
      <c r="N231" t="n">
        <v>0</v>
      </c>
      <c r="O231" t="n">
        <v>0</v>
      </c>
      <c r="P231" t="n">
        <v>0</v>
      </c>
      <c r="Q231" t="n">
        <v>0</v>
      </c>
      <c r="R231" t="n">
        <v>0</v>
      </c>
      <c r="S231" t="n">
        <v>0</v>
      </c>
      <c r="T231" t="n">
        <v>0</v>
      </c>
      <c r="U231" s="2" t="inlineStr"/>
    </row>
    <row r="232" ht="15" customHeight="1">
      <c r="A232" t="inlineStr">
        <is>
          <t>A 46665-2023</t>
        </is>
      </c>
      <c r="B232" t="inlineStr">
        <is>
          <t>avverkningsanmälan</t>
        </is>
      </c>
      <c r="C232" t="inlineStr">
        <is>
          <t>Föryngringsavverkning</t>
        </is>
      </c>
      <c r="D232" s="1" t="n">
        <v>45198</v>
      </c>
      <c r="E232" s="1" t="n">
        <v>46221</v>
      </c>
      <c r="F232" t="inlineStr">
        <is>
          <t>DALARNAS LÄN</t>
        </is>
      </c>
      <c r="G232" t="inlineStr">
        <is>
          <t>LEKSAND</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31446-2025</t>
        </is>
      </c>
      <c r="B233" t="inlineStr">
        <is>
          <t>avverkningsanmälan</t>
        </is>
      </c>
      <c r="C233" t="inlineStr">
        <is>
          <t>Föryngringsavverkning</t>
        </is>
      </c>
      <c r="D233" s="1" t="n">
        <v>45833</v>
      </c>
      <c r="E233" s="1" t="n">
        <v>46221</v>
      </c>
      <c r="F233" t="inlineStr">
        <is>
          <t>DALARNAS LÄN</t>
        </is>
      </c>
      <c r="G233" t="inlineStr">
        <is>
          <t>LEKSAND</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42284-2025</t>
        </is>
      </c>
      <c r="B234" t="inlineStr">
        <is>
          <t>avverkningsanmälan</t>
        </is>
      </c>
      <c r="C234" t="inlineStr">
        <is>
          <t>Avverkning för annat ändamål</t>
        </is>
      </c>
      <c r="D234" s="1" t="n">
        <v>45903</v>
      </c>
      <c r="E234" s="1" t="n">
        <v>46221</v>
      </c>
      <c r="F234" t="inlineStr">
        <is>
          <t>DALARNAS LÄN</t>
        </is>
      </c>
      <c r="G234" t="inlineStr">
        <is>
          <t>LEKSAND</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14615-2024</t>
        </is>
      </c>
      <c r="B235" t="inlineStr">
        <is>
          <t>avverkningsanmälan</t>
        </is>
      </c>
      <c r="C235" t="inlineStr">
        <is>
          <t>Föryngringsavverkning</t>
        </is>
      </c>
      <c r="D235" s="1" t="n">
        <v>45397</v>
      </c>
      <c r="E235" s="1" t="n">
        <v>46221</v>
      </c>
      <c r="F235" t="inlineStr">
        <is>
          <t>DALARNAS LÄN</t>
        </is>
      </c>
      <c r="G235" t="inlineStr">
        <is>
          <t>LEKSAND</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5040-2026</t>
        </is>
      </c>
      <c r="B236" t="inlineStr">
        <is>
          <t>avverkningsanmälan</t>
        </is>
      </c>
      <c r="C236" t="inlineStr">
        <is>
          <t>Föryngringsavverkning</t>
        </is>
      </c>
      <c r="D236" s="1" t="n">
        <v>46049</v>
      </c>
      <c r="E236" s="1" t="n">
        <v>46221</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5541-2026</t>
        </is>
      </c>
      <c r="B237" t="inlineStr">
        <is>
          <t>avverkningsanmälan</t>
        </is>
      </c>
      <c r="C237" t="inlineStr">
        <is>
          <t>Föryngringsavverkning</t>
        </is>
      </c>
      <c r="D237" s="1" t="n">
        <v>46050</v>
      </c>
      <c r="E237" s="1" t="n">
        <v>46221</v>
      </c>
      <c r="F237" t="inlineStr">
        <is>
          <t>DALARNAS LÄN</t>
        </is>
      </c>
      <c r="G237" t="inlineStr">
        <is>
          <t>LEKSAND</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32593-2025</t>
        </is>
      </c>
      <c r="B238" t="inlineStr">
        <is>
          <t>avverkningsanmälan</t>
        </is>
      </c>
      <c r="C238" t="inlineStr">
        <is>
          <t>Föryngringsavverkning</t>
        </is>
      </c>
      <c r="D238" s="1" t="n">
        <v>45838</v>
      </c>
      <c r="E238" s="1" t="n">
        <v>46221</v>
      </c>
      <c r="F238" t="inlineStr">
        <is>
          <t>DALARNAS LÄN</t>
        </is>
      </c>
      <c r="G238" t="inlineStr">
        <is>
          <t>LEKSAND</t>
        </is>
      </c>
      <c r="H238" t="inlineStr">
        <is>
          <t>Bergvik skog väst AB</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54289-2023</t>
        </is>
      </c>
      <c r="B239" t="inlineStr">
        <is>
          <t>avverkningsanmälan</t>
        </is>
      </c>
      <c r="C239" t="inlineStr">
        <is>
          <t>Föryngringsavverkning</t>
        </is>
      </c>
      <c r="D239" s="1" t="n">
        <v>45232</v>
      </c>
      <c r="E239" s="1" t="n">
        <v>46221</v>
      </c>
      <c r="F239" t="inlineStr">
        <is>
          <t>DALARNAS LÄN</t>
        </is>
      </c>
      <c r="G239" t="inlineStr">
        <is>
          <t>LEKSAND</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5022-2026</t>
        </is>
      </c>
      <c r="B240" t="inlineStr">
        <is>
          <t>avverkningsanmälan</t>
        </is>
      </c>
      <c r="C240" t="inlineStr">
        <is>
          <t>Föryngringsavverkning</t>
        </is>
      </c>
      <c r="D240" s="1" t="n">
        <v>46049</v>
      </c>
      <c r="E240" s="1" t="n">
        <v>46221</v>
      </c>
      <c r="F240" t="inlineStr">
        <is>
          <t>DALARNAS LÄN</t>
        </is>
      </c>
      <c r="G240" t="inlineStr">
        <is>
          <t>LEKSAND</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32301-2025</t>
        </is>
      </c>
      <c r="B241" t="inlineStr">
        <is>
          <t>avverkningsanmälan</t>
        </is>
      </c>
      <c r="C241" t="inlineStr">
        <is>
          <t>Föryngringsavverkning</t>
        </is>
      </c>
      <c r="D241" s="1" t="n">
        <v>45835</v>
      </c>
      <c r="E241" s="1" t="n">
        <v>46221</v>
      </c>
      <c r="F241" t="inlineStr">
        <is>
          <t>DALARNAS LÄN</t>
        </is>
      </c>
      <c r="G241" t="inlineStr">
        <is>
          <t>LEKSAND</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29157-2022</t>
        </is>
      </c>
      <c r="B242" t="inlineStr">
        <is>
          <t>avverkningsanmälan</t>
        </is>
      </c>
      <c r="C242" t="inlineStr">
        <is>
          <t>Avverkning för att bevara och utveckla /försöksver</t>
        </is>
      </c>
      <c r="D242" s="1" t="n">
        <v>44750</v>
      </c>
      <c r="E242" s="1" t="n">
        <v>46221</v>
      </c>
      <c r="F242" t="inlineStr">
        <is>
          <t>DALARNAS LÄN</t>
        </is>
      </c>
      <c r="G242" t="inlineStr">
        <is>
          <t>LEKSAND</t>
        </is>
      </c>
      <c r="H242" t="inlineStr">
        <is>
          <t>Bergvik skog väst AB</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43830-2025</t>
        </is>
      </c>
      <c r="B243" t="inlineStr">
        <is>
          <t>avverkningsanmälan</t>
        </is>
      </c>
      <c r="C243" t="inlineStr">
        <is>
          <t>Föryngringsavverkning</t>
        </is>
      </c>
      <c r="D243" s="1" t="n">
        <v>45912</v>
      </c>
      <c r="E243" s="1" t="n">
        <v>46221</v>
      </c>
      <c r="F243" t="inlineStr">
        <is>
          <t>DALARNAS LÄN</t>
        </is>
      </c>
      <c r="G243" t="inlineStr">
        <is>
          <t>LEKSAND</t>
        </is>
      </c>
      <c r="H243" t="inlineStr">
        <is>
          <t>Bergvik skog väst AB</t>
        </is>
      </c>
      <c r="I243" t="n">
        <v>3.1</v>
      </c>
      <c r="J243" t="n">
        <v>0</v>
      </c>
      <c r="K243" t="n">
        <v>0</v>
      </c>
      <c r="L243" t="n">
        <v>0</v>
      </c>
      <c r="M243" t="n">
        <v>0</v>
      </c>
      <c r="N243" t="n">
        <v>0</v>
      </c>
      <c r="O243" t="n">
        <v>0</v>
      </c>
      <c r="P243" t="n">
        <v>0</v>
      </c>
      <c r="Q243" t="n">
        <v>0</v>
      </c>
      <c r="R243" t="n">
        <v>0</v>
      </c>
      <c r="S243" t="n">
        <v>0</v>
      </c>
      <c r="T243" t="n">
        <v>0</v>
      </c>
      <c r="U243" s="2" t="inlineStr"/>
    </row>
    <row r="244" ht="15" customHeight="1">
      <c r="A244" t="inlineStr">
        <is>
          <t>A 43630-2025</t>
        </is>
      </c>
      <c r="B244" t="inlineStr">
        <is>
          <t>avverkningsanmälan</t>
        </is>
      </c>
      <c r="C244" t="inlineStr">
        <is>
          <t>Föryngringsavverkning</t>
        </is>
      </c>
      <c r="D244" s="1" t="n">
        <v>45911</v>
      </c>
      <c r="E244" s="1" t="n">
        <v>46221</v>
      </c>
      <c r="F244" t="inlineStr">
        <is>
          <t>DALARNAS LÄN</t>
        </is>
      </c>
      <c r="G244" t="inlineStr">
        <is>
          <t>LEKSAND</t>
        </is>
      </c>
      <c r="I244" t="n">
        <v>4.7</v>
      </c>
      <c r="J244" t="n">
        <v>0</v>
      </c>
      <c r="K244" t="n">
        <v>0</v>
      </c>
      <c r="L244" t="n">
        <v>0</v>
      </c>
      <c r="M244" t="n">
        <v>0</v>
      </c>
      <c r="N244" t="n">
        <v>0</v>
      </c>
      <c r="O244" t="n">
        <v>0</v>
      </c>
      <c r="P244" t="n">
        <v>0</v>
      </c>
      <c r="Q244" t="n">
        <v>0</v>
      </c>
      <c r="R244" t="n">
        <v>0</v>
      </c>
      <c r="S244" t="n">
        <v>0</v>
      </c>
      <c r="T244" t="n">
        <v>0</v>
      </c>
      <c r="U244" s="2" t="inlineStr"/>
    </row>
    <row r="245" ht="15" customHeight="1">
      <c r="A245" t="inlineStr">
        <is>
          <t>A 43629-2025</t>
        </is>
      </c>
      <c r="B245" t="inlineStr">
        <is>
          <t>avverkningsanmälan</t>
        </is>
      </c>
      <c r="C245" t="inlineStr">
        <is>
          <t>Föryngringsavverkning</t>
        </is>
      </c>
      <c r="D245" s="1" t="n">
        <v>45911</v>
      </c>
      <c r="E245" s="1" t="n">
        <v>46221</v>
      </c>
      <c r="F245" t="inlineStr">
        <is>
          <t>DALARNAS LÄN</t>
        </is>
      </c>
      <c r="G245" t="inlineStr">
        <is>
          <t>LEKSAND</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43781-2025</t>
        </is>
      </c>
      <c r="B246" t="inlineStr">
        <is>
          <t>avverkningsanmälan</t>
        </is>
      </c>
      <c r="C246" t="inlineStr">
        <is>
          <t>Föryngringsavverkning</t>
        </is>
      </c>
      <c r="D246" s="1" t="n">
        <v>45912</v>
      </c>
      <c r="E246" s="1" t="n">
        <v>46221</v>
      </c>
      <c r="F246" t="inlineStr">
        <is>
          <t>DALARNAS LÄN</t>
        </is>
      </c>
      <c r="G246" t="inlineStr">
        <is>
          <t>LEKSAND</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43875-2025</t>
        </is>
      </c>
      <c r="B247" t="inlineStr">
        <is>
          <t>avverkningsanmälan</t>
        </is>
      </c>
      <c r="C247" t="inlineStr">
        <is>
          <t>Föryngringsavverkning</t>
        </is>
      </c>
      <c r="D247" s="1" t="n">
        <v>45912</v>
      </c>
      <c r="E247" s="1" t="n">
        <v>46221</v>
      </c>
      <c r="F247" t="inlineStr">
        <is>
          <t>DALARNAS LÄN</t>
        </is>
      </c>
      <c r="G247" t="inlineStr">
        <is>
          <t>LEKSAND</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5989-2026</t>
        </is>
      </c>
      <c r="B248" t="inlineStr">
        <is>
          <t>avverkningsanmälan</t>
        </is>
      </c>
      <c r="C248" t="inlineStr">
        <is>
          <t>Föryngringsavverkning</t>
        </is>
      </c>
      <c r="D248" s="1" t="n">
        <v>46052</v>
      </c>
      <c r="E248" s="1" t="n">
        <v>46221</v>
      </c>
      <c r="F248" t="inlineStr">
        <is>
          <t>DALARNAS LÄN</t>
        </is>
      </c>
      <c r="G248" t="inlineStr">
        <is>
          <t>LEKSAND</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43628-2025</t>
        </is>
      </c>
      <c r="B249" t="inlineStr">
        <is>
          <t>avverkningsanmälan</t>
        </is>
      </c>
      <c r="C249" t="inlineStr">
        <is>
          <t>Föryngringsavverkning</t>
        </is>
      </c>
      <c r="D249" s="1" t="n">
        <v>45911</v>
      </c>
      <c r="E249" s="1" t="n">
        <v>46221</v>
      </c>
      <c r="F249" t="inlineStr">
        <is>
          <t>DALARNAS LÄN</t>
        </is>
      </c>
      <c r="G249" t="inlineStr">
        <is>
          <t>LEKSAND</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44519-2025</t>
        </is>
      </c>
      <c r="B250" t="inlineStr">
        <is>
          <t>avverkningsanmälan</t>
        </is>
      </c>
      <c r="C250" t="inlineStr">
        <is>
          <t>Föryngringsavverkning</t>
        </is>
      </c>
      <c r="D250" s="1" t="n">
        <v>45916</v>
      </c>
      <c r="E250" s="1" t="n">
        <v>46221</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32855-2025</t>
        </is>
      </c>
      <c r="B251" t="inlineStr">
        <is>
          <t>avverkningsanmälan</t>
        </is>
      </c>
      <c r="C251" t="inlineStr">
        <is>
          <t>Föryngringsavverkning</t>
        </is>
      </c>
      <c r="D251" s="1" t="n">
        <v>45839</v>
      </c>
      <c r="E251" s="1" t="n">
        <v>46221</v>
      </c>
      <c r="F251" t="inlineStr">
        <is>
          <t>DALARNAS LÄN</t>
        </is>
      </c>
      <c r="G251" t="inlineStr">
        <is>
          <t>LEKSAND</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4460-2026</t>
        </is>
      </c>
      <c r="B252" t="inlineStr">
        <is>
          <t>avverkningsanmälan</t>
        </is>
      </c>
      <c r="C252" t="inlineStr">
        <is>
          <t>Föryngringsavverkning</t>
        </is>
      </c>
      <c r="D252" s="1" t="n">
        <v>46045</v>
      </c>
      <c r="E252" s="1" t="n">
        <v>46221</v>
      </c>
      <c r="F252" t="inlineStr">
        <is>
          <t>DALARNAS LÄN</t>
        </is>
      </c>
      <c r="G252" t="inlineStr">
        <is>
          <t>LEKSAND</t>
        </is>
      </c>
      <c r="I252" t="n">
        <v>11.6</v>
      </c>
      <c r="J252" t="n">
        <v>0</v>
      </c>
      <c r="K252" t="n">
        <v>0</v>
      </c>
      <c r="L252" t="n">
        <v>0</v>
      </c>
      <c r="M252" t="n">
        <v>0</v>
      </c>
      <c r="N252" t="n">
        <v>0</v>
      </c>
      <c r="O252" t="n">
        <v>0</v>
      </c>
      <c r="P252" t="n">
        <v>0</v>
      </c>
      <c r="Q252" t="n">
        <v>0</v>
      </c>
      <c r="R252" t="n">
        <v>0</v>
      </c>
      <c r="S252" t="n">
        <v>0</v>
      </c>
      <c r="T252" t="n">
        <v>0</v>
      </c>
      <c r="U252" s="2" t="inlineStr"/>
    </row>
    <row r="253" ht="15" customHeight="1">
      <c r="A253" t="inlineStr">
        <is>
          <t>A 44237-2025</t>
        </is>
      </c>
      <c r="B253" t="inlineStr">
        <is>
          <t>avverkningsanmälan</t>
        </is>
      </c>
      <c r="C253" t="inlineStr">
        <is>
          <t>Föryngringsavverkning</t>
        </is>
      </c>
      <c r="D253" s="1" t="n">
        <v>45915</v>
      </c>
      <c r="E253" s="1" t="n">
        <v>46221</v>
      </c>
      <c r="F253" t="inlineStr">
        <is>
          <t>DALARNAS LÄN</t>
        </is>
      </c>
      <c r="G253" t="inlineStr">
        <is>
          <t>LEKSAND</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12356-2023</t>
        </is>
      </c>
      <c r="B254" t="inlineStr">
        <is>
          <t>avverkningsanmälan</t>
        </is>
      </c>
      <c r="C254" t="inlineStr">
        <is>
          <t>Avverkning för annat ändamål</t>
        </is>
      </c>
      <c r="D254" s="1" t="n">
        <v>44998</v>
      </c>
      <c r="E254" s="1" t="n">
        <v>46221</v>
      </c>
      <c r="F254" t="inlineStr">
        <is>
          <t>DALARNAS LÄN</t>
        </is>
      </c>
      <c r="G254" t="inlineStr">
        <is>
          <t>LEKSAND</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41046-2024</t>
        </is>
      </c>
      <c r="B255" t="inlineStr">
        <is>
          <t>avverkningsanmälan</t>
        </is>
      </c>
      <c r="C255" t="inlineStr">
        <is>
          <t>Föryngringsavverkning</t>
        </is>
      </c>
      <c r="D255" s="1" t="n">
        <v>45559</v>
      </c>
      <c r="E255" s="1" t="n">
        <v>46221</v>
      </c>
      <c r="F255" t="inlineStr">
        <is>
          <t>DALARNAS LÄN</t>
        </is>
      </c>
      <c r="G255" t="inlineStr">
        <is>
          <t>LEKSAND</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56016-2024</t>
        </is>
      </c>
      <c r="B256" t="inlineStr">
        <is>
          <t>avverkningsanmälan</t>
        </is>
      </c>
      <c r="C256" t="inlineStr">
        <is>
          <t>Föryngringsavverkning</t>
        </is>
      </c>
      <c r="D256" s="1" t="n">
        <v>45623</v>
      </c>
      <c r="E256" s="1" t="n">
        <v>46221</v>
      </c>
      <c r="F256" t="inlineStr">
        <is>
          <t>DALARNAS LÄN</t>
        </is>
      </c>
      <c r="G256" t="inlineStr">
        <is>
          <t>LEKSAND</t>
        </is>
      </c>
      <c r="I256" t="n">
        <v>6.1</v>
      </c>
      <c r="J256" t="n">
        <v>0</v>
      </c>
      <c r="K256" t="n">
        <v>0</v>
      </c>
      <c r="L256" t="n">
        <v>0</v>
      </c>
      <c r="M256" t="n">
        <v>0</v>
      </c>
      <c r="N256" t="n">
        <v>0</v>
      </c>
      <c r="O256" t="n">
        <v>0</v>
      </c>
      <c r="P256" t="n">
        <v>0</v>
      </c>
      <c r="Q256" t="n">
        <v>0</v>
      </c>
      <c r="R256" t="n">
        <v>0</v>
      </c>
      <c r="S256" t="n">
        <v>0</v>
      </c>
      <c r="T256" t="n">
        <v>0</v>
      </c>
      <c r="U256" s="2" t="inlineStr"/>
    </row>
    <row r="257" ht="15" customHeight="1">
      <c r="A257" t="inlineStr">
        <is>
          <t>A 44672-2025</t>
        </is>
      </c>
      <c r="B257" t="inlineStr">
        <is>
          <t>avverkningsanmälan</t>
        </is>
      </c>
      <c r="C257" t="inlineStr">
        <is>
          <t>Föryngringsavverkning</t>
        </is>
      </c>
      <c r="D257" s="1" t="n">
        <v>45917</v>
      </c>
      <c r="E257" s="1" t="n">
        <v>46221</v>
      </c>
      <c r="F257" t="inlineStr">
        <is>
          <t>DALARNAS LÄN</t>
        </is>
      </c>
      <c r="G257" t="inlineStr">
        <is>
          <t>LEKSAND</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45101-2025</t>
        </is>
      </c>
      <c r="B258" t="inlineStr">
        <is>
          <t>avverkningsanmälan</t>
        </is>
      </c>
      <c r="C258" t="inlineStr">
        <is>
          <t>Föryngringsavverkning</t>
        </is>
      </c>
      <c r="D258" s="1" t="n">
        <v>45919</v>
      </c>
      <c r="E258" s="1" t="n">
        <v>46221</v>
      </c>
      <c r="F258" t="inlineStr">
        <is>
          <t>DALARNAS LÄN</t>
        </is>
      </c>
      <c r="G258" t="inlineStr">
        <is>
          <t>LEKSAND</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45300-2025</t>
        </is>
      </c>
      <c r="B259" t="inlineStr">
        <is>
          <t>avverkningsanmälan</t>
        </is>
      </c>
      <c r="C259" t="inlineStr">
        <is>
          <t>Föryngringsavverkning</t>
        </is>
      </c>
      <c r="D259" s="1" t="n">
        <v>45921</v>
      </c>
      <c r="E259" s="1" t="n">
        <v>46221</v>
      </c>
      <c r="F259" t="inlineStr">
        <is>
          <t>DALARNAS LÄN</t>
        </is>
      </c>
      <c r="G259" t="inlineStr">
        <is>
          <t>LEKSAND</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5691-2026</t>
        </is>
      </c>
      <c r="B260" t="inlineStr">
        <is>
          <t>avverkningsanmälan</t>
        </is>
      </c>
      <c r="C260" t="inlineStr">
        <is>
          <t>Föryngringsavverkning</t>
        </is>
      </c>
      <c r="D260" s="1" t="n">
        <v>46051</v>
      </c>
      <c r="E260" s="1" t="n">
        <v>46221</v>
      </c>
      <c r="F260" t="inlineStr">
        <is>
          <t>DALARNAS LÄN</t>
        </is>
      </c>
      <c r="G260" t="inlineStr">
        <is>
          <t>LEKSAND</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593-2026</t>
        </is>
      </c>
      <c r="B261" t="inlineStr">
        <is>
          <t>avverkningsanmälan</t>
        </is>
      </c>
      <c r="C261" t="inlineStr">
        <is>
          <t>Föryngringsavverkning</t>
        </is>
      </c>
      <c r="D261" s="1" t="n">
        <v>46029</v>
      </c>
      <c r="E261" s="1" t="n">
        <v>46221</v>
      </c>
      <c r="F261" t="inlineStr">
        <is>
          <t>DALARNAS LÄN</t>
        </is>
      </c>
      <c r="G261" t="inlineStr">
        <is>
          <t>LEKSAND</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6463-2026</t>
        </is>
      </c>
      <c r="B262" t="inlineStr">
        <is>
          <t>avverkningsanmälan</t>
        </is>
      </c>
      <c r="C262" t="inlineStr">
        <is>
          <t>Föryngringsavverkning</t>
        </is>
      </c>
      <c r="D262" s="1" t="n">
        <v>46056</v>
      </c>
      <c r="E262" s="1" t="n">
        <v>46221</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45318-2025</t>
        </is>
      </c>
      <c r="B263" t="inlineStr">
        <is>
          <t>avverkningsanmälan</t>
        </is>
      </c>
      <c r="C263" t="inlineStr">
        <is>
          <t>Föryngringsavverkning</t>
        </is>
      </c>
      <c r="D263" s="1" t="n">
        <v>45921</v>
      </c>
      <c r="E263" s="1" t="n">
        <v>46221</v>
      </c>
      <c r="F263" t="inlineStr">
        <is>
          <t>DALARNAS LÄN</t>
        </is>
      </c>
      <c r="G263" t="inlineStr">
        <is>
          <t>LEKSAND</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16293-2025</t>
        </is>
      </c>
      <c r="B264" t="inlineStr">
        <is>
          <t>avverkningsanmälan</t>
        </is>
      </c>
      <c r="C264" t="inlineStr">
        <is>
          <t>Föryngringsavverkning</t>
        </is>
      </c>
      <c r="D264" s="1" t="n">
        <v>45751</v>
      </c>
      <c r="E264" s="1" t="n">
        <v>46221</v>
      </c>
      <c r="F264" t="inlineStr">
        <is>
          <t>DALARNAS LÄN</t>
        </is>
      </c>
      <c r="G264" t="inlineStr">
        <is>
          <t>LEKSAND</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41896-2024</t>
        </is>
      </c>
      <c r="B265" t="inlineStr">
        <is>
          <t>avverkningsanmälan</t>
        </is>
      </c>
      <c r="C265" t="inlineStr">
        <is>
          <t>Föryngringsavverkning</t>
        </is>
      </c>
      <c r="D265" s="1" t="n">
        <v>45561</v>
      </c>
      <c r="E265" s="1" t="n">
        <v>46221</v>
      </c>
      <c r="F265" t="inlineStr">
        <is>
          <t>DALARNAS LÄN</t>
        </is>
      </c>
      <c r="G265" t="inlineStr">
        <is>
          <t>LEKSAND</t>
        </is>
      </c>
      <c r="H265" t="inlineStr">
        <is>
          <t>Bergvik skog väst AB</t>
        </is>
      </c>
      <c r="I265" t="n">
        <v>2.8</v>
      </c>
      <c r="J265" t="n">
        <v>0</v>
      </c>
      <c r="K265" t="n">
        <v>0</v>
      </c>
      <c r="L265" t="n">
        <v>0</v>
      </c>
      <c r="M265" t="n">
        <v>0</v>
      </c>
      <c r="N265" t="n">
        <v>0</v>
      </c>
      <c r="O265" t="n">
        <v>0</v>
      </c>
      <c r="P265" t="n">
        <v>0</v>
      </c>
      <c r="Q265" t="n">
        <v>0</v>
      </c>
      <c r="R265" t="n">
        <v>0</v>
      </c>
      <c r="S265" t="n">
        <v>0</v>
      </c>
      <c r="T265" t="n">
        <v>0</v>
      </c>
      <c r="U265" s="2" t="inlineStr"/>
    </row>
    <row r="266" ht="15" customHeight="1">
      <c r="A266" t="inlineStr">
        <is>
          <t>A 46176-2025</t>
        </is>
      </c>
      <c r="B266" t="inlineStr">
        <is>
          <t>avverkningsanmälan</t>
        </is>
      </c>
      <c r="C266" t="inlineStr">
        <is>
          <t>Föryngringsavverkning</t>
        </is>
      </c>
      <c r="D266" s="1" t="n">
        <v>45924</v>
      </c>
      <c r="E266" s="1" t="n">
        <v>46221</v>
      </c>
      <c r="F266" t="inlineStr">
        <is>
          <t>DALARNAS LÄN</t>
        </is>
      </c>
      <c r="G266" t="inlineStr">
        <is>
          <t>LEKSAND</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34537-2025</t>
        </is>
      </c>
      <c r="B267" t="inlineStr">
        <is>
          <t>avverkningsanmälan</t>
        </is>
      </c>
      <c r="C267" t="inlineStr">
        <is>
          <t>Föryngringsavverkning</t>
        </is>
      </c>
      <c r="D267" s="1" t="n">
        <v>45847</v>
      </c>
      <c r="E267" s="1" t="n">
        <v>46221</v>
      </c>
      <c r="F267" t="inlineStr">
        <is>
          <t>DALARNAS LÄN</t>
        </is>
      </c>
      <c r="G267" t="inlineStr">
        <is>
          <t>LEKSAND</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51860-2024</t>
        </is>
      </c>
      <c r="B268" t="inlineStr">
        <is>
          <t>avverkningsanmälan</t>
        </is>
      </c>
      <c r="C268" t="inlineStr">
        <is>
          <t>Föryngringsavverkning</t>
        </is>
      </c>
      <c r="D268" s="1" t="n">
        <v>45607</v>
      </c>
      <c r="E268" s="1" t="n">
        <v>46221</v>
      </c>
      <c r="F268" t="inlineStr">
        <is>
          <t>DALARNAS LÄN</t>
        </is>
      </c>
      <c r="G268" t="inlineStr">
        <is>
          <t>LEKSAND</t>
        </is>
      </c>
      <c r="H268" t="inlineStr">
        <is>
          <t>Bergvik skog väst AB</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12363-2023</t>
        </is>
      </c>
      <c r="B269" t="inlineStr">
        <is>
          <t>avverkningsanmälan</t>
        </is>
      </c>
      <c r="C269" t="inlineStr">
        <is>
          <t>Föryngringsavverkning</t>
        </is>
      </c>
      <c r="D269" s="1" t="n">
        <v>44998</v>
      </c>
      <c r="E269" s="1" t="n">
        <v>46221</v>
      </c>
      <c r="F269" t="inlineStr">
        <is>
          <t>DALARNAS LÄN</t>
        </is>
      </c>
      <c r="G269" t="inlineStr">
        <is>
          <t>LEKSAND</t>
        </is>
      </c>
      <c r="I269" t="n">
        <v>10</v>
      </c>
      <c r="J269" t="n">
        <v>0</v>
      </c>
      <c r="K269" t="n">
        <v>0</v>
      </c>
      <c r="L269" t="n">
        <v>0</v>
      </c>
      <c r="M269" t="n">
        <v>0</v>
      </c>
      <c r="N269" t="n">
        <v>0</v>
      </c>
      <c r="O269" t="n">
        <v>0</v>
      </c>
      <c r="P269" t="n">
        <v>0</v>
      </c>
      <c r="Q269" t="n">
        <v>0</v>
      </c>
      <c r="R269" t="n">
        <v>0</v>
      </c>
      <c r="S269" t="n">
        <v>0</v>
      </c>
      <c r="T269" t="n">
        <v>0</v>
      </c>
      <c r="U269" s="2" t="inlineStr"/>
    </row>
    <row r="270" ht="15" customHeight="1">
      <c r="A270" t="inlineStr">
        <is>
          <t>A 34965-2025</t>
        </is>
      </c>
      <c r="B270" t="inlineStr">
        <is>
          <t>avverkningsanmälan</t>
        </is>
      </c>
      <c r="C270" t="inlineStr">
        <is>
          <t>Föryngringsavverkning</t>
        </is>
      </c>
      <c r="D270" s="1" t="n">
        <v>45849</v>
      </c>
      <c r="E270" s="1" t="n">
        <v>46221</v>
      </c>
      <c r="F270" t="inlineStr">
        <is>
          <t>DALARNAS LÄN</t>
        </is>
      </c>
      <c r="G270" t="inlineStr">
        <is>
          <t>LEKSAND</t>
        </is>
      </c>
      <c r="H270" t="inlineStr">
        <is>
          <t>Bergvik skog väst AB</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34966-2025</t>
        </is>
      </c>
      <c r="B271" t="inlineStr">
        <is>
          <t>avverkningsanmälan</t>
        </is>
      </c>
      <c r="C271" t="inlineStr">
        <is>
          <t>Föryngringsavverkning</t>
        </is>
      </c>
      <c r="D271" s="1" t="n">
        <v>45849</v>
      </c>
      <c r="E271" s="1" t="n">
        <v>46221</v>
      </c>
      <c r="F271" t="inlineStr">
        <is>
          <t>DALARNAS LÄN</t>
        </is>
      </c>
      <c r="G271" t="inlineStr">
        <is>
          <t>LEKSAND</t>
        </is>
      </c>
      <c r="H271" t="inlineStr">
        <is>
          <t>Bergvik skog väst AB</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46405-2025</t>
        </is>
      </c>
      <c r="B272" t="inlineStr">
        <is>
          <t>avverkningsanmälan</t>
        </is>
      </c>
      <c r="C272" t="inlineStr">
        <is>
          <t>Föryngringsavverkning</t>
        </is>
      </c>
      <c r="D272" s="1" t="n">
        <v>45925</v>
      </c>
      <c r="E272" s="1" t="n">
        <v>46221</v>
      </c>
      <c r="F272" t="inlineStr">
        <is>
          <t>DALARNAS LÄN</t>
        </is>
      </c>
      <c r="G272" t="inlineStr">
        <is>
          <t>LEKSAND</t>
        </is>
      </c>
      <c r="I272" t="n">
        <v>5.7</v>
      </c>
      <c r="J272" t="n">
        <v>0</v>
      </c>
      <c r="K272" t="n">
        <v>0</v>
      </c>
      <c r="L272" t="n">
        <v>0</v>
      </c>
      <c r="M272" t="n">
        <v>0</v>
      </c>
      <c r="N272" t="n">
        <v>0</v>
      </c>
      <c r="O272" t="n">
        <v>0</v>
      </c>
      <c r="P272" t="n">
        <v>0</v>
      </c>
      <c r="Q272" t="n">
        <v>0</v>
      </c>
      <c r="R272" t="n">
        <v>0</v>
      </c>
      <c r="S272" t="n">
        <v>0</v>
      </c>
      <c r="T272" t="n">
        <v>0</v>
      </c>
      <c r="U272" s="2" t="inlineStr"/>
    </row>
    <row r="273" ht="15" customHeight="1">
      <c r="A273" t="inlineStr">
        <is>
          <t>A 46483-2025</t>
        </is>
      </c>
      <c r="B273" t="inlineStr">
        <is>
          <t>avverkningsanmälan</t>
        </is>
      </c>
      <c r="C273" t="inlineStr">
        <is>
          <t>Föryngringsavverkning</t>
        </is>
      </c>
      <c r="D273" s="1" t="n">
        <v>45925</v>
      </c>
      <c r="E273" s="1" t="n">
        <v>46221</v>
      </c>
      <c r="F273" t="inlineStr">
        <is>
          <t>DALARNAS LÄN</t>
        </is>
      </c>
      <c r="G273" t="inlineStr">
        <is>
          <t>LEKSAND</t>
        </is>
      </c>
      <c r="I273" t="n">
        <v>3.6</v>
      </c>
      <c r="J273" t="n">
        <v>0</v>
      </c>
      <c r="K273" t="n">
        <v>0</v>
      </c>
      <c r="L273" t="n">
        <v>0</v>
      </c>
      <c r="M273" t="n">
        <v>0</v>
      </c>
      <c r="N273" t="n">
        <v>0</v>
      </c>
      <c r="O273" t="n">
        <v>0</v>
      </c>
      <c r="P273" t="n">
        <v>0</v>
      </c>
      <c r="Q273" t="n">
        <v>0</v>
      </c>
      <c r="R273" t="n">
        <v>0</v>
      </c>
      <c r="S273" t="n">
        <v>0</v>
      </c>
      <c r="T273" t="n">
        <v>0</v>
      </c>
      <c r="U273" s="2" t="inlineStr"/>
    </row>
    <row r="274" ht="15" customHeight="1">
      <c r="A274" t="inlineStr">
        <is>
          <t>A 15020-2023</t>
        </is>
      </c>
      <c r="B274" t="inlineStr">
        <is>
          <t>avverkningsanmälan</t>
        </is>
      </c>
      <c r="C274" t="inlineStr">
        <is>
          <t>Föryngringsavverkning</t>
        </is>
      </c>
      <c r="D274" s="1" t="n">
        <v>45015</v>
      </c>
      <c r="E274" s="1" t="n">
        <v>46221</v>
      </c>
      <c r="F274" t="inlineStr">
        <is>
          <t>DALARNAS LÄN</t>
        </is>
      </c>
      <c r="G274" t="inlineStr">
        <is>
          <t>LEKSAND</t>
        </is>
      </c>
      <c r="I274" t="n">
        <v>2.6</v>
      </c>
      <c r="J274" t="n">
        <v>0</v>
      </c>
      <c r="K274" t="n">
        <v>0</v>
      </c>
      <c r="L274" t="n">
        <v>0</v>
      </c>
      <c r="M274" t="n">
        <v>0</v>
      </c>
      <c r="N274" t="n">
        <v>0</v>
      </c>
      <c r="O274" t="n">
        <v>0</v>
      </c>
      <c r="P274" t="n">
        <v>0</v>
      </c>
      <c r="Q274" t="n">
        <v>0</v>
      </c>
      <c r="R274" t="n">
        <v>0</v>
      </c>
      <c r="S274" t="n">
        <v>0</v>
      </c>
      <c r="T274" t="n">
        <v>0</v>
      </c>
      <c r="U274" s="2" t="inlineStr"/>
    </row>
    <row r="275" ht="15" customHeight="1">
      <c r="A275" t="inlineStr">
        <is>
          <t>A 46978-2025</t>
        </is>
      </c>
      <c r="B275" t="inlineStr">
        <is>
          <t>avverkningsanmälan</t>
        </is>
      </c>
      <c r="C275" t="inlineStr">
        <is>
          <t>Föryngringsavverkning</t>
        </is>
      </c>
      <c r="D275" s="1" t="n">
        <v>45929</v>
      </c>
      <c r="E275" s="1" t="n">
        <v>46221</v>
      </c>
      <c r="F275" t="inlineStr">
        <is>
          <t>DALARNAS LÄN</t>
        </is>
      </c>
      <c r="G275" t="inlineStr">
        <is>
          <t>LEKSAND</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23323-2023</t>
        </is>
      </c>
      <c r="B276" t="inlineStr">
        <is>
          <t>avverkningsanmälan</t>
        </is>
      </c>
      <c r="C276" t="inlineStr">
        <is>
          <t>Föryngringsavverkning</t>
        </is>
      </c>
      <c r="D276" s="1" t="n">
        <v>45076</v>
      </c>
      <c r="E276" s="1" t="n">
        <v>46221</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10299-2024</t>
        </is>
      </c>
      <c r="B277" t="inlineStr">
        <is>
          <t>avverkningsanmälan</t>
        </is>
      </c>
      <c r="C277" t="inlineStr">
        <is>
          <t>Föryngringsavverkning</t>
        </is>
      </c>
      <c r="D277" s="1" t="n">
        <v>45365</v>
      </c>
      <c r="E277" s="1" t="n">
        <v>46221</v>
      </c>
      <c r="F277" t="inlineStr">
        <is>
          <t>DALARNAS LÄN</t>
        </is>
      </c>
      <c r="G277" t="inlineStr">
        <is>
          <t>LEKSAND</t>
        </is>
      </c>
      <c r="I277" t="n">
        <v>3.6</v>
      </c>
      <c r="J277" t="n">
        <v>0</v>
      </c>
      <c r="K277" t="n">
        <v>0</v>
      </c>
      <c r="L277" t="n">
        <v>0</v>
      </c>
      <c r="M277" t="n">
        <v>0</v>
      </c>
      <c r="N277" t="n">
        <v>0</v>
      </c>
      <c r="O277" t="n">
        <v>0</v>
      </c>
      <c r="P277" t="n">
        <v>0</v>
      </c>
      <c r="Q277" t="n">
        <v>0</v>
      </c>
      <c r="R277" t="n">
        <v>0</v>
      </c>
      <c r="S277" t="n">
        <v>0</v>
      </c>
      <c r="T277" t="n">
        <v>0</v>
      </c>
      <c r="U277" s="2" t="inlineStr"/>
    </row>
    <row r="278" ht="15" customHeight="1">
      <c r="A278" t="inlineStr">
        <is>
          <t>A 55643-2024</t>
        </is>
      </c>
      <c r="B278" t="inlineStr">
        <is>
          <t>avverkningsanmälan</t>
        </is>
      </c>
      <c r="C278" t="inlineStr">
        <is>
          <t>Föryngringsavverkning</t>
        </is>
      </c>
      <c r="D278" s="1" t="n">
        <v>45621</v>
      </c>
      <c r="E278" s="1" t="n">
        <v>46221</v>
      </c>
      <c r="F278" t="inlineStr">
        <is>
          <t>DALARNAS LÄN</t>
        </is>
      </c>
      <c r="G278" t="inlineStr">
        <is>
          <t>LEKSAND</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16137-2023</t>
        </is>
      </c>
      <c r="B279" t="inlineStr">
        <is>
          <t>avverkningsanmälan</t>
        </is>
      </c>
      <c r="C279" t="inlineStr">
        <is>
          <t>Föryngringsavverkning</t>
        </is>
      </c>
      <c r="D279" s="1" t="n">
        <v>45027</v>
      </c>
      <c r="E279" s="1" t="n">
        <v>46221</v>
      </c>
      <c r="F279" t="inlineStr">
        <is>
          <t>DALARNAS LÄN</t>
        </is>
      </c>
      <c r="G279" t="inlineStr">
        <is>
          <t>LEKSAND</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47976-2025</t>
        </is>
      </c>
      <c r="B280" t="inlineStr">
        <is>
          <t>avverkningsanmälan</t>
        </is>
      </c>
      <c r="C280" t="inlineStr">
        <is>
          <t>Föryngringsavverkning</t>
        </is>
      </c>
      <c r="D280" s="1" t="n">
        <v>45932</v>
      </c>
      <c r="E280" s="1" t="n">
        <v>46221</v>
      </c>
      <c r="F280" t="inlineStr">
        <is>
          <t>DALARNAS LÄN</t>
        </is>
      </c>
      <c r="G280" t="inlineStr">
        <is>
          <t>LEKSAND</t>
        </is>
      </c>
      <c r="H280" t="inlineStr">
        <is>
          <t>Bergvik skog väst AB</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47977-2025</t>
        </is>
      </c>
      <c r="B281" t="inlineStr">
        <is>
          <t>avverkningsanmälan</t>
        </is>
      </c>
      <c r="C281" t="inlineStr">
        <is>
          <t>Föryngringsavverkning</t>
        </is>
      </c>
      <c r="D281" s="1" t="n">
        <v>45932</v>
      </c>
      <c r="E281" s="1" t="n">
        <v>46221</v>
      </c>
      <c r="F281" t="inlineStr">
        <is>
          <t>DALARNAS LÄN</t>
        </is>
      </c>
      <c r="G281" t="inlineStr">
        <is>
          <t>LEKSAND</t>
        </is>
      </c>
      <c r="H281" t="inlineStr">
        <is>
          <t>Bergvik skog väst AB</t>
        </is>
      </c>
      <c r="I281" t="n">
        <v>0.2</v>
      </c>
      <c r="J281" t="n">
        <v>0</v>
      </c>
      <c r="K281" t="n">
        <v>0</v>
      </c>
      <c r="L281" t="n">
        <v>0</v>
      </c>
      <c r="M281" t="n">
        <v>0</v>
      </c>
      <c r="N281" t="n">
        <v>0</v>
      </c>
      <c r="O281" t="n">
        <v>0</v>
      </c>
      <c r="P281" t="n">
        <v>0</v>
      </c>
      <c r="Q281" t="n">
        <v>0</v>
      </c>
      <c r="R281" t="n">
        <v>0</v>
      </c>
      <c r="S281" t="n">
        <v>0</v>
      </c>
      <c r="T281" t="n">
        <v>0</v>
      </c>
      <c r="U281" s="2" t="inlineStr"/>
    </row>
    <row r="282" ht="15" customHeight="1">
      <c r="A282" t="inlineStr">
        <is>
          <t>A 56283-2024</t>
        </is>
      </c>
      <c r="B282" t="inlineStr">
        <is>
          <t>avverkningsanmälan</t>
        </is>
      </c>
      <c r="C282" t="inlineStr">
        <is>
          <t>Föryngringsavverkning</t>
        </is>
      </c>
      <c r="D282" s="1" t="n">
        <v>45624</v>
      </c>
      <c r="E282" s="1" t="n">
        <v>46221</v>
      </c>
      <c r="F282" t="inlineStr">
        <is>
          <t>DALARNAS LÄN</t>
        </is>
      </c>
      <c r="G282" t="inlineStr">
        <is>
          <t>LEKSAND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56299-2024</t>
        </is>
      </c>
      <c r="B283" t="inlineStr">
        <is>
          <t>avverkningsanmälan</t>
        </is>
      </c>
      <c r="C283" t="inlineStr">
        <is>
          <t>Föryngringsavverkning</t>
        </is>
      </c>
      <c r="D283" s="1" t="n">
        <v>45624</v>
      </c>
      <c r="E283" s="1" t="n">
        <v>46221</v>
      </c>
      <c r="F283" t="inlineStr">
        <is>
          <t>DALARNAS LÄN</t>
        </is>
      </c>
      <c r="G283" t="inlineStr">
        <is>
          <t>LEKSAND</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6245-2026</t>
        </is>
      </c>
      <c r="B284" t="inlineStr">
        <is>
          <t>avverkningsanmälan</t>
        </is>
      </c>
      <c r="C284" t="inlineStr">
        <is>
          <t>Föryngringsavverkning</t>
        </is>
      </c>
      <c r="D284" s="1" t="n">
        <v>46055</v>
      </c>
      <c r="E284" s="1" t="n">
        <v>46221</v>
      </c>
      <c r="F284" t="inlineStr">
        <is>
          <t>DALARNAS LÄN</t>
        </is>
      </c>
      <c r="G284" t="inlineStr">
        <is>
          <t>LEKSAND</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36021-2025</t>
        </is>
      </c>
      <c r="B285" t="inlineStr">
        <is>
          <t>avverkningsanmälan</t>
        </is>
      </c>
      <c r="C285" t="inlineStr">
        <is>
          <t>Föryngringsavverkning</t>
        </is>
      </c>
      <c r="D285" s="1" t="n">
        <v>45863</v>
      </c>
      <c r="E285" s="1" t="n">
        <v>46221</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48421-2025</t>
        </is>
      </c>
      <c r="B286" t="inlineStr">
        <is>
          <t>avverkningsanmälan</t>
        </is>
      </c>
      <c r="C286" t="inlineStr">
        <is>
          <t>Föryngringsavverkning</t>
        </is>
      </c>
      <c r="D286" s="1" t="n">
        <v>45934</v>
      </c>
      <c r="E286" s="1" t="n">
        <v>46221</v>
      </c>
      <c r="F286" t="inlineStr">
        <is>
          <t>DALARNAS LÄN</t>
        </is>
      </c>
      <c r="G286" t="inlineStr">
        <is>
          <t>LEKSAND</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36020-2025</t>
        </is>
      </c>
      <c r="B287" t="inlineStr">
        <is>
          <t>avverkningsanmälan</t>
        </is>
      </c>
      <c r="C287" t="inlineStr">
        <is>
          <t>Föryngringsavverkning</t>
        </is>
      </c>
      <c r="D287" s="1" t="n">
        <v>45863</v>
      </c>
      <c r="E287" s="1" t="n">
        <v>46221</v>
      </c>
      <c r="F287" t="inlineStr">
        <is>
          <t>DALARNAS LÄN</t>
        </is>
      </c>
      <c r="G287" t="inlineStr">
        <is>
          <t>LEKSAND</t>
        </is>
      </c>
      <c r="H287" t="inlineStr">
        <is>
          <t>Bergvik skog väst AB</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57927-2024</t>
        </is>
      </c>
      <c r="B288" t="inlineStr">
        <is>
          <t>avverkningsanmälan</t>
        </is>
      </c>
      <c r="C288" t="inlineStr">
        <is>
          <t>Föryngringsavverkning</t>
        </is>
      </c>
      <c r="D288" s="1" t="n">
        <v>45630</v>
      </c>
      <c r="E288" s="1" t="n">
        <v>46221</v>
      </c>
      <c r="F288" t="inlineStr">
        <is>
          <t>DALARNAS LÄN</t>
        </is>
      </c>
      <c r="G288" t="inlineStr">
        <is>
          <t>LEKSAND</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59199-2024</t>
        </is>
      </c>
      <c r="B289" t="inlineStr">
        <is>
          <t>avverkningsanmälan</t>
        </is>
      </c>
      <c r="C289" t="inlineStr">
        <is>
          <t>Föryngringsavverkning</t>
        </is>
      </c>
      <c r="D289" s="1" t="n">
        <v>45637</v>
      </c>
      <c r="E289" s="1" t="n">
        <v>46221</v>
      </c>
      <c r="F289" t="inlineStr">
        <is>
          <t>DALARNAS LÄN</t>
        </is>
      </c>
      <c r="G289" t="inlineStr">
        <is>
          <t>LEKSAND</t>
        </is>
      </c>
      <c r="I289" t="n">
        <v>5.4</v>
      </c>
      <c r="J289" t="n">
        <v>0</v>
      </c>
      <c r="K289" t="n">
        <v>0</v>
      </c>
      <c r="L289" t="n">
        <v>0</v>
      </c>
      <c r="M289" t="n">
        <v>0</v>
      </c>
      <c r="N289" t="n">
        <v>0</v>
      </c>
      <c r="O289" t="n">
        <v>0</v>
      </c>
      <c r="P289" t="n">
        <v>0</v>
      </c>
      <c r="Q289" t="n">
        <v>0</v>
      </c>
      <c r="R289" t="n">
        <v>0</v>
      </c>
      <c r="S289" t="n">
        <v>0</v>
      </c>
      <c r="T289" t="n">
        <v>0</v>
      </c>
      <c r="U289" s="2" t="inlineStr"/>
    </row>
    <row r="290" ht="15" customHeight="1">
      <c r="A290" t="inlineStr">
        <is>
          <t>A 57930-2024</t>
        </is>
      </c>
      <c r="B290" t="inlineStr">
        <is>
          <t>avverkningsanmälan</t>
        </is>
      </c>
      <c r="C290" t="inlineStr">
        <is>
          <t>Föryngringsavverkning</t>
        </is>
      </c>
      <c r="D290" s="1" t="n">
        <v>45630</v>
      </c>
      <c r="E290" s="1" t="n">
        <v>46221</v>
      </c>
      <c r="F290" t="inlineStr">
        <is>
          <t>DALARNAS LÄN</t>
        </is>
      </c>
      <c r="G290" t="inlineStr">
        <is>
          <t>LEKSAND</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33310-2023</t>
        </is>
      </c>
      <c r="B291" t="inlineStr">
        <is>
          <t>avverkningsanmälan</t>
        </is>
      </c>
      <c r="C291" t="inlineStr">
        <is>
          <t>Föryngringsavverkning</t>
        </is>
      </c>
      <c r="D291" s="1" t="n">
        <v>45127</v>
      </c>
      <c r="E291" s="1" t="n">
        <v>46221</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48922-2025</t>
        </is>
      </c>
      <c r="B292" t="inlineStr">
        <is>
          <t>avverkningsanmälan</t>
        </is>
      </c>
      <c r="C292" t="inlineStr">
        <is>
          <t>Föryngringsavverkning</t>
        </is>
      </c>
      <c r="D292" s="1" t="n">
        <v>45937</v>
      </c>
      <c r="E292" s="1" t="n">
        <v>46221</v>
      </c>
      <c r="F292" t="inlineStr">
        <is>
          <t>DALARNAS LÄN</t>
        </is>
      </c>
      <c r="G292" t="inlineStr">
        <is>
          <t>LEKSAND</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56753-2023</t>
        </is>
      </c>
      <c r="B293" t="inlineStr">
        <is>
          <t>avverkningsanmälan</t>
        </is>
      </c>
      <c r="C293" t="inlineStr">
        <is>
          <t>Föryngringsavverkning</t>
        </is>
      </c>
      <c r="D293" s="1" t="n">
        <v>45244</v>
      </c>
      <c r="E293" s="1" t="n">
        <v>46221</v>
      </c>
      <c r="F293" t="inlineStr">
        <is>
          <t>DALARNAS LÄN</t>
        </is>
      </c>
      <c r="G293" t="inlineStr">
        <is>
          <t>LEKSAND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49076-2025</t>
        </is>
      </c>
      <c r="B294" t="inlineStr">
        <is>
          <t>avverkningsanmälan</t>
        </is>
      </c>
      <c r="C294" t="inlineStr">
        <is>
          <t>Föryngringsavverkning</t>
        </is>
      </c>
      <c r="D294" s="1" t="n">
        <v>45937</v>
      </c>
      <c r="E294" s="1" t="n">
        <v>46221</v>
      </c>
      <c r="F294" t="inlineStr">
        <is>
          <t>DALARNAS LÄN</t>
        </is>
      </c>
      <c r="G294" t="inlineStr">
        <is>
          <t>LEKSAND</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11403-2023</t>
        </is>
      </c>
      <c r="B295" t="inlineStr">
        <is>
          <t>avverkningsanmälan</t>
        </is>
      </c>
      <c r="C295" t="inlineStr">
        <is>
          <t>Avverkning för annat ändamål</t>
        </is>
      </c>
      <c r="D295" s="1" t="n">
        <v>44993</v>
      </c>
      <c r="E295" s="1" t="n">
        <v>46221</v>
      </c>
      <c r="F295" t="inlineStr">
        <is>
          <t>DALARNAS LÄN</t>
        </is>
      </c>
      <c r="G295" t="inlineStr">
        <is>
          <t>LEKSAND</t>
        </is>
      </c>
      <c r="I295" t="n">
        <v>0.1</v>
      </c>
      <c r="J295" t="n">
        <v>0</v>
      </c>
      <c r="K295" t="n">
        <v>0</v>
      </c>
      <c r="L295" t="n">
        <v>0</v>
      </c>
      <c r="M295" t="n">
        <v>0</v>
      </c>
      <c r="N295" t="n">
        <v>0</v>
      </c>
      <c r="O295" t="n">
        <v>0</v>
      </c>
      <c r="P295" t="n">
        <v>0</v>
      </c>
      <c r="Q295" t="n">
        <v>0</v>
      </c>
      <c r="R295" t="n">
        <v>0</v>
      </c>
      <c r="S295" t="n">
        <v>0</v>
      </c>
      <c r="T295" t="n">
        <v>0</v>
      </c>
      <c r="U295" s="2" t="inlineStr"/>
    </row>
    <row r="296" ht="15" customHeight="1">
      <c r="A296" t="inlineStr">
        <is>
          <t>A 22683-2022</t>
        </is>
      </c>
      <c r="B296" t="inlineStr">
        <is>
          <t>avverkningsanmälan</t>
        </is>
      </c>
      <c r="C296" t="inlineStr">
        <is>
          <t>Föryngringsavverkning</t>
        </is>
      </c>
      <c r="D296" s="1" t="n">
        <v>44714</v>
      </c>
      <c r="E296" s="1" t="n">
        <v>46221</v>
      </c>
      <c r="F296" t="inlineStr">
        <is>
          <t>DALARNAS LÄN</t>
        </is>
      </c>
      <c r="G296" t="inlineStr">
        <is>
          <t>LEKSAND</t>
        </is>
      </c>
      <c r="H296" t="inlineStr">
        <is>
          <t>Bergvik skog väst AB</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6846-2023</t>
        </is>
      </c>
      <c r="B297" t="inlineStr">
        <is>
          <t>avverkningsanmälan</t>
        </is>
      </c>
      <c r="C297" t="inlineStr">
        <is>
          <t>Föryngringsavverkning</t>
        </is>
      </c>
      <c r="D297" s="1" t="n">
        <v>44967</v>
      </c>
      <c r="E297" s="1" t="n">
        <v>46221</v>
      </c>
      <c r="F297" t="inlineStr">
        <is>
          <t>DALARNAS LÄN</t>
        </is>
      </c>
      <c r="G297" t="inlineStr">
        <is>
          <t>LEKSAND</t>
        </is>
      </c>
      <c r="H297" t="inlineStr">
        <is>
          <t>Bergvik skog väst AB</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49505-2025</t>
        </is>
      </c>
      <c r="B298" t="inlineStr">
        <is>
          <t>avverkningsanmälan</t>
        </is>
      </c>
      <c r="C298" t="inlineStr">
        <is>
          <t>Avverkning för annat ändamål</t>
        </is>
      </c>
      <c r="D298" s="1" t="n">
        <v>45939</v>
      </c>
      <c r="E298" s="1" t="n">
        <v>46221</v>
      </c>
      <c r="F298" t="inlineStr">
        <is>
          <t>DALARNAS LÄN</t>
        </is>
      </c>
      <c r="G298" t="inlineStr">
        <is>
          <t>LEKSAND</t>
        </is>
      </c>
      <c r="H298" t="inlineStr">
        <is>
          <t>Bergvik skog väst AB</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50332-2025</t>
        </is>
      </c>
      <c r="B299" t="inlineStr">
        <is>
          <t>avverkningsanmälan</t>
        </is>
      </c>
      <c r="C299" t="inlineStr">
        <is>
          <t>Föryngringsavverkning</t>
        </is>
      </c>
      <c r="D299" s="1" t="n">
        <v>45944</v>
      </c>
      <c r="E299" s="1" t="n">
        <v>46221</v>
      </c>
      <c r="F299" t="inlineStr">
        <is>
          <t>DALARNAS LÄN</t>
        </is>
      </c>
      <c r="G299" t="inlineStr">
        <is>
          <t>LEKSAND</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37996-2025</t>
        </is>
      </c>
      <c r="B300" t="inlineStr">
        <is>
          <t>avverkningsanmälan</t>
        </is>
      </c>
      <c r="C300" t="inlineStr">
        <is>
          <t>Föryngringsavverkning</t>
        </is>
      </c>
      <c r="D300" s="1" t="n">
        <v>45881</v>
      </c>
      <c r="E300" s="1" t="n">
        <v>46221</v>
      </c>
      <c r="F300" t="inlineStr">
        <is>
          <t>DALARNAS LÄN</t>
        </is>
      </c>
      <c r="G300" t="inlineStr">
        <is>
          <t>LEKSAND</t>
        </is>
      </c>
      <c r="I300" t="n">
        <v>4.2</v>
      </c>
      <c r="J300" t="n">
        <v>0</v>
      </c>
      <c r="K300" t="n">
        <v>0</v>
      </c>
      <c r="L300" t="n">
        <v>0</v>
      </c>
      <c r="M300" t="n">
        <v>0</v>
      </c>
      <c r="N300" t="n">
        <v>0</v>
      </c>
      <c r="O300" t="n">
        <v>0</v>
      </c>
      <c r="P300" t="n">
        <v>0</v>
      </c>
      <c r="Q300" t="n">
        <v>0</v>
      </c>
      <c r="R300" t="n">
        <v>0</v>
      </c>
      <c r="S300" t="n">
        <v>0</v>
      </c>
      <c r="T300" t="n">
        <v>0</v>
      </c>
      <c r="U300" s="2" t="inlineStr"/>
    </row>
    <row r="301" ht="15" customHeight="1">
      <c r="A301" t="inlineStr">
        <is>
          <t>A 50704-2025</t>
        </is>
      </c>
      <c r="B301" t="inlineStr">
        <is>
          <t>avverkningsanmälan</t>
        </is>
      </c>
      <c r="C301" t="inlineStr">
        <is>
          <t>Föryngringsavverkning</t>
        </is>
      </c>
      <c r="D301" s="1" t="n">
        <v>45946</v>
      </c>
      <c r="E301" s="1" t="n">
        <v>46221</v>
      </c>
      <c r="F301" t="inlineStr">
        <is>
          <t>DALARNAS LÄN</t>
        </is>
      </c>
      <c r="G301" t="inlineStr">
        <is>
          <t>LEKSAND</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38090-2025</t>
        </is>
      </c>
      <c r="B302" t="inlineStr">
        <is>
          <t>avverkningsanmälan</t>
        </is>
      </c>
      <c r="C302" t="inlineStr">
        <is>
          <t>Föryngringsavverkning</t>
        </is>
      </c>
      <c r="D302" s="1" t="n">
        <v>45882</v>
      </c>
      <c r="E302" s="1" t="n">
        <v>46221</v>
      </c>
      <c r="F302" t="inlineStr">
        <is>
          <t>DALARNAS LÄN</t>
        </is>
      </c>
      <c r="G302" t="inlineStr">
        <is>
          <t>LEKSAND</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53981-2024</t>
        </is>
      </c>
      <c r="B303" t="inlineStr">
        <is>
          <t>avverkningsanmälan</t>
        </is>
      </c>
      <c r="C303" t="inlineStr">
        <is>
          <t>Föryngringsavverkning</t>
        </is>
      </c>
      <c r="D303" s="1" t="n">
        <v>45615</v>
      </c>
      <c r="E303" s="1" t="n">
        <v>46221</v>
      </c>
      <c r="F303" t="inlineStr">
        <is>
          <t>DALARNAS LÄN</t>
        </is>
      </c>
      <c r="G303" t="inlineStr">
        <is>
          <t>LEKSAND</t>
        </is>
      </c>
      <c r="I303" t="n">
        <v>5.4</v>
      </c>
      <c r="J303" t="n">
        <v>0</v>
      </c>
      <c r="K303" t="n">
        <v>0</v>
      </c>
      <c r="L303" t="n">
        <v>0</v>
      </c>
      <c r="M303" t="n">
        <v>0</v>
      </c>
      <c r="N303" t="n">
        <v>0</v>
      </c>
      <c r="O303" t="n">
        <v>0</v>
      </c>
      <c r="P303" t="n">
        <v>0</v>
      </c>
      <c r="Q303" t="n">
        <v>0</v>
      </c>
      <c r="R303" t="n">
        <v>0</v>
      </c>
      <c r="S303" t="n">
        <v>0</v>
      </c>
      <c r="T303" t="n">
        <v>0</v>
      </c>
      <c r="U303" s="2" t="inlineStr"/>
    </row>
    <row r="304" ht="15" customHeight="1">
      <c r="A304" t="inlineStr">
        <is>
          <t>A 33593-2024</t>
        </is>
      </c>
      <c r="B304" t="inlineStr">
        <is>
          <t>avverkningsanmälan</t>
        </is>
      </c>
      <c r="C304" t="inlineStr">
        <is>
          <t>Föryngringsavverkning</t>
        </is>
      </c>
      <c r="D304" s="1" t="n">
        <v>45520</v>
      </c>
      <c r="E304" s="1" t="n">
        <v>46221</v>
      </c>
      <c r="F304" t="inlineStr">
        <is>
          <t>DALARNAS LÄN</t>
        </is>
      </c>
      <c r="G304" t="inlineStr">
        <is>
          <t>LEKSAND</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36534-2024</t>
        </is>
      </c>
      <c r="B305" t="inlineStr">
        <is>
          <t>avverkningsanmälan</t>
        </is>
      </c>
      <c r="C305" t="inlineStr">
        <is>
          <t>Föryngringsavverkning</t>
        </is>
      </c>
      <c r="D305" s="1" t="n">
        <v>45537</v>
      </c>
      <c r="E305" s="1" t="n">
        <v>46221</v>
      </c>
      <c r="F305" t="inlineStr">
        <is>
          <t>DALARNAS LÄN</t>
        </is>
      </c>
      <c r="G305" t="inlineStr">
        <is>
          <t>LEKSAND</t>
        </is>
      </c>
      <c r="I305" t="n">
        <v>4</v>
      </c>
      <c r="J305" t="n">
        <v>0</v>
      </c>
      <c r="K305" t="n">
        <v>0</v>
      </c>
      <c r="L305" t="n">
        <v>0</v>
      </c>
      <c r="M305" t="n">
        <v>0</v>
      </c>
      <c r="N305" t="n">
        <v>0</v>
      </c>
      <c r="O305" t="n">
        <v>0</v>
      </c>
      <c r="P305" t="n">
        <v>0</v>
      </c>
      <c r="Q305" t="n">
        <v>0</v>
      </c>
      <c r="R305" t="n">
        <v>0</v>
      </c>
      <c r="S305" t="n">
        <v>0</v>
      </c>
      <c r="T305" t="n">
        <v>0</v>
      </c>
      <c r="U305" s="2" t="inlineStr"/>
    </row>
    <row r="306" ht="15" customHeight="1">
      <c r="A306" t="inlineStr">
        <is>
          <t>A 4280-2026</t>
        </is>
      </c>
      <c r="B306" t="inlineStr">
        <is>
          <t>avverkningsanmälan</t>
        </is>
      </c>
      <c r="C306" t="inlineStr">
        <is>
          <t>Föryngringsavverkning</t>
        </is>
      </c>
      <c r="D306" s="1" t="n">
        <v>46044</v>
      </c>
      <c r="E306" s="1" t="n">
        <v>46221</v>
      </c>
      <c r="F306" t="inlineStr">
        <is>
          <t>DALARNAS LÄN</t>
        </is>
      </c>
      <c r="G306" t="inlineStr">
        <is>
          <t>LEKSAND</t>
        </is>
      </c>
      <c r="I306" t="n">
        <v>7.2</v>
      </c>
      <c r="J306" t="n">
        <v>0</v>
      </c>
      <c r="K306" t="n">
        <v>0</v>
      </c>
      <c r="L306" t="n">
        <v>0</v>
      </c>
      <c r="M306" t="n">
        <v>0</v>
      </c>
      <c r="N306" t="n">
        <v>0</v>
      </c>
      <c r="O306" t="n">
        <v>0</v>
      </c>
      <c r="P306" t="n">
        <v>0</v>
      </c>
      <c r="Q306" t="n">
        <v>0</v>
      </c>
      <c r="R306" t="n">
        <v>0</v>
      </c>
      <c r="S306" t="n">
        <v>0</v>
      </c>
      <c r="T306" t="n">
        <v>0</v>
      </c>
      <c r="U306" s="2" t="inlineStr"/>
    </row>
    <row r="307" ht="15" customHeight="1">
      <c r="A307" t="inlineStr">
        <is>
          <t>A 11740-2025</t>
        </is>
      </c>
      <c r="B307" t="inlineStr">
        <is>
          <t>avverkningsanmälan</t>
        </is>
      </c>
      <c r="C307" t="inlineStr">
        <is>
          <t>Avverkning för annat ändamål</t>
        </is>
      </c>
      <c r="D307" s="1" t="n">
        <v>45727</v>
      </c>
      <c r="E307" s="1" t="n">
        <v>46221</v>
      </c>
      <c r="F307" t="inlineStr">
        <is>
          <t>DALARNAS LÄN</t>
        </is>
      </c>
      <c r="G307" t="inlineStr">
        <is>
          <t>LEKSAND</t>
        </is>
      </c>
      <c r="H307" t="inlineStr">
        <is>
          <t>Övriga Aktiebolag</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51663-2025</t>
        </is>
      </c>
      <c r="B308" t="inlineStr">
        <is>
          <t>avverkningsanmälan</t>
        </is>
      </c>
      <c r="C308" t="inlineStr">
        <is>
          <t>Föryngringsavverkning</t>
        </is>
      </c>
      <c r="D308" s="1" t="n">
        <v>45951</v>
      </c>
      <c r="E308" s="1" t="n">
        <v>46221</v>
      </c>
      <c r="F308" t="inlineStr">
        <is>
          <t>DALARNAS LÄN</t>
        </is>
      </c>
      <c r="G308" t="inlineStr">
        <is>
          <t>LEKSAND</t>
        </is>
      </c>
      <c r="H308" t="inlineStr">
        <is>
          <t>Bergvik skog väst AB</t>
        </is>
      </c>
      <c r="I308" t="n">
        <v>3.1</v>
      </c>
      <c r="J308" t="n">
        <v>0</v>
      </c>
      <c r="K308" t="n">
        <v>0</v>
      </c>
      <c r="L308" t="n">
        <v>0</v>
      </c>
      <c r="M308" t="n">
        <v>0</v>
      </c>
      <c r="N308" t="n">
        <v>0</v>
      </c>
      <c r="O308" t="n">
        <v>0</v>
      </c>
      <c r="P308" t="n">
        <v>0</v>
      </c>
      <c r="Q308" t="n">
        <v>0</v>
      </c>
      <c r="R308" t="n">
        <v>0</v>
      </c>
      <c r="S308" t="n">
        <v>0</v>
      </c>
      <c r="T308" t="n">
        <v>0</v>
      </c>
      <c r="U308" s="2" t="inlineStr"/>
    </row>
    <row r="309" ht="15" customHeight="1">
      <c r="A309" t="inlineStr">
        <is>
          <t>A 19296-2024</t>
        </is>
      </c>
      <c r="B309" t="inlineStr">
        <is>
          <t>avverkningsanmälan</t>
        </is>
      </c>
      <c r="C309" t="inlineStr">
        <is>
          <t>Föryngringsavverkning</t>
        </is>
      </c>
      <c r="D309" s="1" t="n">
        <v>45428</v>
      </c>
      <c r="E309" s="1" t="n">
        <v>46221</v>
      </c>
      <c r="F309" t="inlineStr">
        <is>
          <t>DALARNAS LÄN</t>
        </is>
      </c>
      <c r="G309" t="inlineStr">
        <is>
          <t>LEKSAND</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51728-2025</t>
        </is>
      </c>
      <c r="B310" t="inlineStr">
        <is>
          <t>avverkningsanmälan</t>
        </is>
      </c>
      <c r="C310" t="inlineStr">
        <is>
          <t>Föryngringsavverkning</t>
        </is>
      </c>
      <c r="D310" s="1" t="n">
        <v>45951</v>
      </c>
      <c r="E310" s="1" t="n">
        <v>46221</v>
      </c>
      <c r="F310" t="inlineStr">
        <is>
          <t>DALARNAS LÄN</t>
        </is>
      </c>
      <c r="G310" t="inlineStr">
        <is>
          <t>LEKSAND</t>
        </is>
      </c>
      <c r="H310" t="inlineStr">
        <is>
          <t>Bergvik skog väst AB</t>
        </is>
      </c>
      <c r="I310" t="n">
        <v>14.2</v>
      </c>
      <c r="J310" t="n">
        <v>0</v>
      </c>
      <c r="K310" t="n">
        <v>0</v>
      </c>
      <c r="L310" t="n">
        <v>0</v>
      </c>
      <c r="M310" t="n">
        <v>0</v>
      </c>
      <c r="N310" t="n">
        <v>0</v>
      </c>
      <c r="O310" t="n">
        <v>0</v>
      </c>
      <c r="P310" t="n">
        <v>0</v>
      </c>
      <c r="Q310" t="n">
        <v>0</v>
      </c>
      <c r="R310" t="n">
        <v>0</v>
      </c>
      <c r="S310" t="n">
        <v>0</v>
      </c>
      <c r="T310" t="n">
        <v>0</v>
      </c>
      <c r="U310" s="2" t="inlineStr"/>
    </row>
    <row r="311" ht="15" customHeight="1">
      <c r="A311" t="inlineStr">
        <is>
          <t>A 51926-2025</t>
        </is>
      </c>
      <c r="B311" t="inlineStr">
        <is>
          <t>avverkningsanmälan</t>
        </is>
      </c>
      <c r="C311" t="inlineStr">
        <is>
          <t>Föryngringsavverkning</t>
        </is>
      </c>
      <c r="D311" s="1" t="n">
        <v>45952</v>
      </c>
      <c r="E311" s="1" t="n">
        <v>46221</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52671-2025</t>
        </is>
      </c>
      <c r="B312" t="inlineStr">
        <is>
          <t>avverkningsanmälan</t>
        </is>
      </c>
      <c r="C312" t="inlineStr">
        <is>
          <t>Föryngringsavverkning</t>
        </is>
      </c>
      <c r="D312" s="1" t="n">
        <v>45955</v>
      </c>
      <c r="E312" s="1" t="n">
        <v>46221</v>
      </c>
      <c r="F312" t="inlineStr">
        <is>
          <t>DALARNAS LÄN</t>
        </is>
      </c>
      <c r="G312" t="inlineStr">
        <is>
          <t>LEKSAND</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44491-2023</t>
        </is>
      </c>
      <c r="B313" t="inlineStr">
        <is>
          <t>avverkningsanmälan</t>
        </is>
      </c>
      <c r="C313" t="inlineStr">
        <is>
          <t>Föryngringsavverkning</t>
        </is>
      </c>
      <c r="D313" s="1" t="n">
        <v>45183</v>
      </c>
      <c r="E313" s="1" t="n">
        <v>46221</v>
      </c>
      <c r="F313" t="inlineStr">
        <is>
          <t>DALARNAS LÄN</t>
        </is>
      </c>
      <c r="G313" t="inlineStr">
        <is>
          <t>LEKSAND</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8726-2026</t>
        </is>
      </c>
      <c r="B314" t="inlineStr">
        <is>
          <t>avverkningsanmälan</t>
        </is>
      </c>
      <c r="C314" t="inlineStr">
        <is>
          <t>Föryngringsavverkning</t>
        </is>
      </c>
      <c r="D314" s="1" t="n">
        <v>46066</v>
      </c>
      <c r="E314" s="1" t="n">
        <v>46221</v>
      </c>
      <c r="F314" t="inlineStr">
        <is>
          <t>DALARNAS LÄN</t>
        </is>
      </c>
      <c r="G314" t="inlineStr">
        <is>
          <t>LEKSAND</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33001-2023</t>
        </is>
      </c>
      <c r="B315" t="inlineStr">
        <is>
          <t>avverkningsanmälan</t>
        </is>
      </c>
      <c r="C315" t="inlineStr">
        <is>
          <t>Föryngringsavverkning</t>
        </is>
      </c>
      <c r="D315" s="1" t="n">
        <v>45125</v>
      </c>
      <c r="E315" s="1" t="n">
        <v>46221</v>
      </c>
      <c r="F315" t="inlineStr">
        <is>
          <t>DALARNAS LÄN</t>
        </is>
      </c>
      <c r="G315" t="inlineStr">
        <is>
          <t>LEKSAND</t>
        </is>
      </c>
      <c r="H315" t="inlineStr">
        <is>
          <t>Bergvik skog väst AB</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53041-2025</t>
        </is>
      </c>
      <c r="B316" t="inlineStr">
        <is>
          <t>avverkningsanmälan</t>
        </is>
      </c>
      <c r="C316" t="inlineStr">
        <is>
          <t>Föryngringsavverkning</t>
        </is>
      </c>
      <c r="D316" s="1" t="n">
        <v>45958</v>
      </c>
      <c r="E316" s="1" t="n">
        <v>46221</v>
      </c>
      <c r="F316" t="inlineStr">
        <is>
          <t>DALARNAS LÄN</t>
        </is>
      </c>
      <c r="G316" t="inlineStr">
        <is>
          <t>LEKSAND</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1968-2026</t>
        </is>
      </c>
      <c r="B317" t="inlineStr">
        <is>
          <t>avverkningsanmälan</t>
        </is>
      </c>
      <c r="C317" t="inlineStr">
        <is>
          <t>Föryngringsavverkning</t>
        </is>
      </c>
      <c r="D317" s="1" t="n">
        <v>46035</v>
      </c>
      <c r="E317" s="1" t="n">
        <v>46221</v>
      </c>
      <c r="F317" t="inlineStr">
        <is>
          <t>DALARNAS LÄN</t>
        </is>
      </c>
      <c r="G317" t="inlineStr">
        <is>
          <t>LEKSAND</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33674-2023</t>
        </is>
      </c>
      <c r="B318" t="inlineStr">
        <is>
          <t>avverkningsanmälan</t>
        </is>
      </c>
      <c r="C318" t="inlineStr">
        <is>
          <t>Föryngringsavverkning</t>
        </is>
      </c>
      <c r="D318" s="1" t="n">
        <v>45132</v>
      </c>
      <c r="E318" s="1" t="n">
        <v>46221</v>
      </c>
      <c r="F318" t="inlineStr">
        <is>
          <t>DALARNAS LÄN</t>
        </is>
      </c>
      <c r="G318" t="inlineStr">
        <is>
          <t>LEKSAND</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35746-2025</t>
        </is>
      </c>
      <c r="B319" t="inlineStr">
        <is>
          <t>avverkningsanmälan</t>
        </is>
      </c>
      <c r="C319" t="inlineStr">
        <is>
          <t>Föryngringsavverkning</t>
        </is>
      </c>
      <c r="D319" s="1" t="n">
        <v>45860</v>
      </c>
      <c r="E319" s="1" t="n">
        <v>46221</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24373-2025</t>
        </is>
      </c>
      <c r="B320" t="inlineStr">
        <is>
          <t>avverkningsanmälan</t>
        </is>
      </c>
      <c r="C320" t="inlineStr">
        <is>
          <t>Föryngringsavverkning</t>
        </is>
      </c>
      <c r="D320" s="1" t="n">
        <v>45797</v>
      </c>
      <c r="E320" s="1" t="n">
        <v>46221</v>
      </c>
      <c r="F320" t="inlineStr">
        <is>
          <t>DALARNAS LÄN</t>
        </is>
      </c>
      <c r="G320" t="inlineStr">
        <is>
          <t>LEKSAND</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16135-2023</t>
        </is>
      </c>
      <c r="B321" t="inlineStr">
        <is>
          <t>avverkningsanmälan</t>
        </is>
      </c>
      <c r="C321" t="inlineStr">
        <is>
          <t>Föryngringsavverkning</t>
        </is>
      </c>
      <c r="D321" s="1" t="n">
        <v>45027</v>
      </c>
      <c r="E321" s="1" t="n">
        <v>46221</v>
      </c>
      <c r="F321" t="inlineStr">
        <is>
          <t>DALARNAS LÄN</t>
        </is>
      </c>
      <c r="G321" t="inlineStr">
        <is>
          <t>LEKSAND</t>
        </is>
      </c>
      <c r="I321" t="n">
        <v>4.9</v>
      </c>
      <c r="J321" t="n">
        <v>0</v>
      </c>
      <c r="K321" t="n">
        <v>0</v>
      </c>
      <c r="L321" t="n">
        <v>0</v>
      </c>
      <c r="M321" t="n">
        <v>0</v>
      </c>
      <c r="N321" t="n">
        <v>0</v>
      </c>
      <c r="O321" t="n">
        <v>0</v>
      </c>
      <c r="P321" t="n">
        <v>0</v>
      </c>
      <c r="Q321" t="n">
        <v>0</v>
      </c>
      <c r="R321" t="n">
        <v>0</v>
      </c>
      <c r="S321" t="n">
        <v>0</v>
      </c>
      <c r="T321" t="n">
        <v>0</v>
      </c>
      <c r="U321" s="2" t="inlineStr"/>
    </row>
    <row r="322" ht="15" customHeight="1">
      <c r="A322" t="inlineStr">
        <is>
          <t>A 9170-2026</t>
        </is>
      </c>
      <c r="B322" t="inlineStr">
        <is>
          <t>avverkningsanmälan</t>
        </is>
      </c>
      <c r="C322" t="inlineStr">
        <is>
          <t>Föryngringsavverkning</t>
        </is>
      </c>
      <c r="D322" s="1" t="n">
        <v>46070</v>
      </c>
      <c r="E322" s="1" t="n">
        <v>46221</v>
      </c>
      <c r="F322" t="inlineStr">
        <is>
          <t>DALARNAS LÄN</t>
        </is>
      </c>
      <c r="G322" t="inlineStr">
        <is>
          <t>LEKSAND</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30198-2024</t>
        </is>
      </c>
      <c r="B323" t="inlineStr">
        <is>
          <t>avverkningsanmälan</t>
        </is>
      </c>
      <c r="C323" t="inlineStr">
        <is>
          <t>Föryngringsavverkning</t>
        </is>
      </c>
      <c r="D323" s="1" t="n">
        <v>45490</v>
      </c>
      <c r="E323" s="1" t="n">
        <v>46221</v>
      </c>
      <c r="F323" t="inlineStr">
        <is>
          <t>DALARNAS LÄN</t>
        </is>
      </c>
      <c r="G323" t="inlineStr">
        <is>
          <t>LEKSAND</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10373-2023</t>
        </is>
      </c>
      <c r="B324" t="inlineStr">
        <is>
          <t>avverkningsanmälan</t>
        </is>
      </c>
      <c r="C324" t="inlineStr">
        <is>
          <t>Föryngringsavverkning</t>
        </is>
      </c>
      <c r="D324" s="1" t="n">
        <v>44987</v>
      </c>
      <c r="E324" s="1" t="n">
        <v>46221</v>
      </c>
      <c r="F324" t="inlineStr">
        <is>
          <t>DALARNAS LÄN</t>
        </is>
      </c>
      <c r="G324" t="inlineStr">
        <is>
          <t>LEKSAND</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9163-2026</t>
        </is>
      </c>
      <c r="B325" t="inlineStr">
        <is>
          <t>avverkningsanmälan</t>
        </is>
      </c>
      <c r="C325" t="inlineStr">
        <is>
          <t>Föryngringsavverkning</t>
        </is>
      </c>
      <c r="D325" s="1" t="n">
        <v>46070</v>
      </c>
      <c r="E325" s="1" t="n">
        <v>46221</v>
      </c>
      <c r="F325" t="inlineStr">
        <is>
          <t>DALARNAS LÄN</t>
        </is>
      </c>
      <c r="G325" t="inlineStr">
        <is>
          <t>LEKSAND</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9360-2026</t>
        </is>
      </c>
      <c r="B326" t="inlineStr">
        <is>
          <t>avverkningsanmälan</t>
        </is>
      </c>
      <c r="C326" t="inlineStr">
        <is>
          <t>Föryngringsavverkning</t>
        </is>
      </c>
      <c r="D326" s="1" t="n">
        <v>46070</v>
      </c>
      <c r="E326" s="1" t="n">
        <v>46221</v>
      </c>
      <c r="F326" t="inlineStr">
        <is>
          <t>DALARNAS LÄN</t>
        </is>
      </c>
      <c r="G326" t="inlineStr">
        <is>
          <t>LEKSAND</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57267-2025</t>
        </is>
      </c>
      <c r="B327" t="inlineStr">
        <is>
          <t>avverkningsanmälan</t>
        </is>
      </c>
      <c r="C327" t="inlineStr">
        <is>
          <t>Föryngringsavverkning</t>
        </is>
      </c>
      <c r="D327" s="1" t="n">
        <v>45979</v>
      </c>
      <c r="E327" s="1" t="n">
        <v>46221</v>
      </c>
      <c r="F327" t="inlineStr">
        <is>
          <t>DALARNAS LÄN</t>
        </is>
      </c>
      <c r="G327" t="inlineStr">
        <is>
          <t>LEKSAND</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24369-2025</t>
        </is>
      </c>
      <c r="B328" t="inlineStr">
        <is>
          <t>avverkningsanmälan</t>
        </is>
      </c>
      <c r="C328" t="inlineStr">
        <is>
          <t>Föryngringsavverkning</t>
        </is>
      </c>
      <c r="D328" s="1" t="n">
        <v>45797</v>
      </c>
      <c r="E328" s="1" t="n">
        <v>46221</v>
      </c>
      <c r="F328" t="inlineStr">
        <is>
          <t>DALARNAS LÄN</t>
        </is>
      </c>
      <c r="G328" t="inlineStr">
        <is>
          <t>LEKSAND</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62525-2025</t>
        </is>
      </c>
      <c r="B329" t="inlineStr">
        <is>
          <t>avverkningsanmälan</t>
        </is>
      </c>
      <c r="C329" t="inlineStr">
        <is>
          <t>Föryngringsavverkning</t>
        </is>
      </c>
      <c r="D329" s="1" t="n">
        <v>46007</v>
      </c>
      <c r="E329" s="1" t="n">
        <v>46221</v>
      </c>
      <c r="F329" t="inlineStr">
        <is>
          <t>DALARNAS LÄN</t>
        </is>
      </c>
      <c r="G329" t="inlineStr">
        <is>
          <t>LEKSAND</t>
        </is>
      </c>
      <c r="I329" t="n">
        <v>5.7</v>
      </c>
      <c r="J329" t="n">
        <v>0</v>
      </c>
      <c r="K329" t="n">
        <v>0</v>
      </c>
      <c r="L329" t="n">
        <v>0</v>
      </c>
      <c r="M329" t="n">
        <v>0</v>
      </c>
      <c r="N329" t="n">
        <v>0</v>
      </c>
      <c r="O329" t="n">
        <v>0</v>
      </c>
      <c r="P329" t="n">
        <v>0</v>
      </c>
      <c r="Q329" t="n">
        <v>0</v>
      </c>
      <c r="R329" t="n">
        <v>0</v>
      </c>
      <c r="S329" t="n">
        <v>0</v>
      </c>
      <c r="T329" t="n">
        <v>0</v>
      </c>
      <c r="U329" s="2" t="inlineStr"/>
    </row>
    <row r="330" ht="15" customHeight="1">
      <c r="A330" t="inlineStr">
        <is>
          <t>A 54015-2025</t>
        </is>
      </c>
      <c r="B330" t="inlineStr">
        <is>
          <t>avverkningsanmälan</t>
        </is>
      </c>
      <c r="C330" t="inlineStr">
        <is>
          <t>Föryngringsavverkning</t>
        </is>
      </c>
      <c r="D330" s="1" t="n">
        <v>45961</v>
      </c>
      <c r="E330" s="1" t="n">
        <v>46221</v>
      </c>
      <c r="F330" t="inlineStr">
        <is>
          <t>DALARNAS LÄN</t>
        </is>
      </c>
      <c r="G330" t="inlineStr">
        <is>
          <t>LEKSAND</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9541-2026</t>
        </is>
      </c>
      <c r="B331" t="inlineStr">
        <is>
          <t>avverkningsanmälan</t>
        </is>
      </c>
      <c r="C331" t="inlineStr">
        <is>
          <t>Föryngringsavverkning</t>
        </is>
      </c>
      <c r="D331" s="1" t="n">
        <v>46071</v>
      </c>
      <c r="E331" s="1" t="n">
        <v>46221</v>
      </c>
      <c r="F331" t="inlineStr">
        <is>
          <t>DALARNAS LÄN</t>
        </is>
      </c>
      <c r="G331" t="inlineStr">
        <is>
          <t>LEKSAND</t>
        </is>
      </c>
      <c r="I331" t="n">
        <v>10.8</v>
      </c>
      <c r="J331" t="n">
        <v>0</v>
      </c>
      <c r="K331" t="n">
        <v>0</v>
      </c>
      <c r="L331" t="n">
        <v>0</v>
      </c>
      <c r="M331" t="n">
        <v>0</v>
      </c>
      <c r="N331" t="n">
        <v>0</v>
      </c>
      <c r="O331" t="n">
        <v>0</v>
      </c>
      <c r="P331" t="n">
        <v>0</v>
      </c>
      <c r="Q331" t="n">
        <v>0</v>
      </c>
      <c r="R331" t="n">
        <v>0</v>
      </c>
      <c r="S331" t="n">
        <v>0</v>
      </c>
      <c r="T331" t="n">
        <v>0</v>
      </c>
      <c r="U331" s="2" t="inlineStr"/>
    </row>
    <row r="332" ht="15" customHeight="1">
      <c r="A332" t="inlineStr">
        <is>
          <t>A 54120-2025</t>
        </is>
      </c>
      <c r="B332" t="inlineStr">
        <is>
          <t>avverkningsanmälan</t>
        </is>
      </c>
      <c r="C332" t="inlineStr">
        <is>
          <t>Föryngringsavverkning</t>
        </is>
      </c>
      <c r="D332" s="1" t="n">
        <v>45964</v>
      </c>
      <c r="E332" s="1" t="n">
        <v>46221</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33566-2023</t>
        </is>
      </c>
      <c r="B333" t="inlineStr">
        <is>
          <t>avverkningsanmälan</t>
        </is>
      </c>
      <c r="C333" t="inlineStr">
        <is>
          <t>Föryngringsavverkning</t>
        </is>
      </c>
      <c r="D333" s="1" t="n">
        <v>45131</v>
      </c>
      <c r="E333" s="1" t="n">
        <v>46221</v>
      </c>
      <c r="F333" t="inlineStr">
        <is>
          <t>DALARNAS LÄN</t>
        </is>
      </c>
      <c r="G333" t="inlineStr">
        <is>
          <t>LEKSAND</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53804-2025</t>
        </is>
      </c>
      <c r="B334" t="inlineStr">
        <is>
          <t>avverkningsanmälan</t>
        </is>
      </c>
      <c r="C334" t="inlineStr">
        <is>
          <t>Föryngringsavverkning</t>
        </is>
      </c>
      <c r="D334" s="1" t="n">
        <v>45960</v>
      </c>
      <c r="E334" s="1" t="n">
        <v>46221</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9802-2026</t>
        </is>
      </c>
      <c r="B335" t="inlineStr">
        <is>
          <t>avverkningsanmälan</t>
        </is>
      </c>
      <c r="C335" t="inlineStr">
        <is>
          <t>Föryngringsavverkning</t>
        </is>
      </c>
      <c r="D335" s="1" t="n">
        <v>46072</v>
      </c>
      <c r="E335" s="1" t="n">
        <v>46221</v>
      </c>
      <c r="F335" t="inlineStr">
        <is>
          <t>DALARNAS LÄN</t>
        </is>
      </c>
      <c r="G335" t="inlineStr">
        <is>
          <t>LEKSAND</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54125-2025</t>
        </is>
      </c>
      <c r="B336" t="inlineStr">
        <is>
          <t>avverkningsanmälan</t>
        </is>
      </c>
      <c r="C336" t="inlineStr">
        <is>
          <t>Föryngringsavverkning</t>
        </is>
      </c>
      <c r="D336" s="1" t="n">
        <v>45964</v>
      </c>
      <c r="E336" s="1" t="n">
        <v>46221</v>
      </c>
      <c r="F336" t="inlineStr">
        <is>
          <t>DALARNAS LÄN</t>
        </is>
      </c>
      <c r="G336" t="inlineStr">
        <is>
          <t>LEKSAND</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53836-2025</t>
        </is>
      </c>
      <c r="B337" t="inlineStr">
        <is>
          <t>avverkningsanmälan</t>
        </is>
      </c>
      <c r="C337" t="inlineStr">
        <is>
          <t>Föryngringsavverkning</t>
        </is>
      </c>
      <c r="D337" s="1" t="n">
        <v>45961</v>
      </c>
      <c r="E337" s="1" t="n">
        <v>46221</v>
      </c>
      <c r="F337" t="inlineStr">
        <is>
          <t>DALARNAS LÄN</t>
        </is>
      </c>
      <c r="G337" t="inlineStr">
        <is>
          <t>LEKSAND</t>
        </is>
      </c>
      <c r="I337" t="n">
        <v>3.5</v>
      </c>
      <c r="J337" t="n">
        <v>0</v>
      </c>
      <c r="K337" t="n">
        <v>0</v>
      </c>
      <c r="L337" t="n">
        <v>0</v>
      </c>
      <c r="M337" t="n">
        <v>0</v>
      </c>
      <c r="N337" t="n">
        <v>0</v>
      </c>
      <c r="O337" t="n">
        <v>0</v>
      </c>
      <c r="P337" t="n">
        <v>0</v>
      </c>
      <c r="Q337" t="n">
        <v>0</v>
      </c>
      <c r="R337" t="n">
        <v>0</v>
      </c>
      <c r="S337" t="n">
        <v>0</v>
      </c>
      <c r="T337" t="n">
        <v>0</v>
      </c>
      <c r="U337" s="2" t="inlineStr"/>
    </row>
    <row r="338" ht="15" customHeight="1">
      <c r="A338" t="inlineStr">
        <is>
          <t>A 7395-2025</t>
        </is>
      </c>
      <c r="B338" t="inlineStr">
        <is>
          <t>avverkningsanmälan</t>
        </is>
      </c>
      <c r="C338" t="inlineStr">
        <is>
          <t>Avverkning för annat ändamål</t>
        </is>
      </c>
      <c r="D338" s="1" t="n">
        <v>45705</v>
      </c>
      <c r="E338" s="1" t="n">
        <v>46221</v>
      </c>
      <c r="F338" t="inlineStr">
        <is>
          <t>DALARNAS LÄN</t>
        </is>
      </c>
      <c r="G338" t="inlineStr">
        <is>
          <t>LEKSAND</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9644-2026</t>
        </is>
      </c>
      <c r="B339" t="inlineStr">
        <is>
          <t>avverkningsanmälan</t>
        </is>
      </c>
      <c r="C339" t="inlineStr">
        <is>
          <t>Föryngringsavverkning</t>
        </is>
      </c>
      <c r="D339" s="1" t="n">
        <v>46072</v>
      </c>
      <c r="E339" s="1" t="n">
        <v>46221</v>
      </c>
      <c r="F339" t="inlineStr">
        <is>
          <t>DALARNAS LÄN</t>
        </is>
      </c>
      <c r="G339" t="inlineStr">
        <is>
          <t>LEKSAND</t>
        </is>
      </c>
      <c r="I339" t="n">
        <v>3.5</v>
      </c>
      <c r="J339" t="n">
        <v>0</v>
      </c>
      <c r="K339" t="n">
        <v>0</v>
      </c>
      <c r="L339" t="n">
        <v>0</v>
      </c>
      <c r="M339" t="n">
        <v>0</v>
      </c>
      <c r="N339" t="n">
        <v>0</v>
      </c>
      <c r="O339" t="n">
        <v>0</v>
      </c>
      <c r="P339" t="n">
        <v>0</v>
      </c>
      <c r="Q339" t="n">
        <v>0</v>
      </c>
      <c r="R339" t="n">
        <v>0</v>
      </c>
      <c r="S339" t="n">
        <v>0</v>
      </c>
      <c r="T339" t="n">
        <v>0</v>
      </c>
      <c r="U339" s="2" t="inlineStr"/>
    </row>
    <row r="340" ht="15" customHeight="1">
      <c r="A340" t="inlineStr">
        <is>
          <t>A 53838-2025</t>
        </is>
      </c>
      <c r="B340" t="inlineStr">
        <is>
          <t>avverkningsanmälan</t>
        </is>
      </c>
      <c r="C340" t="inlineStr">
        <is>
          <t>Föryngringsavverkning</t>
        </is>
      </c>
      <c r="D340" s="1" t="n">
        <v>45961</v>
      </c>
      <c r="E340" s="1" t="n">
        <v>46221</v>
      </c>
      <c r="F340" t="inlineStr">
        <is>
          <t>DALARNAS LÄN</t>
        </is>
      </c>
      <c r="G340" t="inlineStr">
        <is>
          <t>LEKSAND</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31971-2024</t>
        </is>
      </c>
      <c r="B341" t="inlineStr">
        <is>
          <t>avverkningsanmälan</t>
        </is>
      </c>
      <c r="C341" t="inlineStr">
        <is>
          <t>Föryngringsavverkning</t>
        </is>
      </c>
      <c r="D341" s="1" t="n">
        <v>45510</v>
      </c>
      <c r="E341" s="1" t="n">
        <v>46221</v>
      </c>
      <c r="F341" t="inlineStr">
        <is>
          <t>DALARNAS LÄN</t>
        </is>
      </c>
      <c r="G341" t="inlineStr">
        <is>
          <t>LEKSAND</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54779-2025</t>
        </is>
      </c>
      <c r="B342" t="inlineStr">
        <is>
          <t>avverkningsanmälan</t>
        </is>
      </c>
      <c r="C342" t="inlineStr">
        <is>
          <t>Föryngringsavverkning</t>
        </is>
      </c>
      <c r="D342" s="1" t="n">
        <v>45966</v>
      </c>
      <c r="E342" s="1" t="n">
        <v>46221</v>
      </c>
      <c r="F342" t="inlineStr">
        <is>
          <t>DALARNAS LÄN</t>
        </is>
      </c>
      <c r="G342" t="inlineStr">
        <is>
          <t>LEKSAND</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54815-2025</t>
        </is>
      </c>
      <c r="B343" t="inlineStr">
        <is>
          <t>avverkningsanmälan</t>
        </is>
      </c>
      <c r="C343" t="inlineStr">
        <is>
          <t>Föryngringsavverkning</t>
        </is>
      </c>
      <c r="D343" s="1" t="n">
        <v>45966</v>
      </c>
      <c r="E343" s="1" t="n">
        <v>46221</v>
      </c>
      <c r="F343" t="inlineStr">
        <is>
          <t>DALARNAS LÄN</t>
        </is>
      </c>
      <c r="G343" t="inlineStr">
        <is>
          <t>LEKSAND</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9851-2026</t>
        </is>
      </c>
      <c r="B344" t="inlineStr">
        <is>
          <t>avverkningsanmälan</t>
        </is>
      </c>
      <c r="C344" t="inlineStr">
        <is>
          <t>Föryngringsavverkning</t>
        </is>
      </c>
      <c r="D344" s="1" t="n">
        <v>46072</v>
      </c>
      <c r="E344" s="1" t="n">
        <v>46221</v>
      </c>
      <c r="F344" t="inlineStr">
        <is>
          <t>DALARNAS LÄN</t>
        </is>
      </c>
      <c r="G344" t="inlineStr">
        <is>
          <t>LEKSAND</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61546-2021</t>
        </is>
      </c>
      <c r="B345" t="inlineStr">
        <is>
          <t>avverkningsanmälan</t>
        </is>
      </c>
      <c r="C345" t="inlineStr">
        <is>
          <t>Föryngringsavverkning</t>
        </is>
      </c>
      <c r="D345" s="1" t="n">
        <v>44501</v>
      </c>
      <c r="E345" s="1" t="n">
        <v>46221</v>
      </c>
      <c r="F345" t="inlineStr">
        <is>
          <t>DALARNAS LÄN</t>
        </is>
      </c>
      <c r="G345" t="inlineStr">
        <is>
          <t>LEKSAND</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54440-2025</t>
        </is>
      </c>
      <c r="B346" t="inlineStr">
        <is>
          <t>avverkningsanmälan</t>
        </is>
      </c>
      <c r="C346" t="inlineStr">
        <is>
          <t>Föryngringsavverkning</t>
        </is>
      </c>
      <c r="D346" s="1" t="n">
        <v>45965</v>
      </c>
      <c r="E346" s="1" t="n">
        <v>46221</v>
      </c>
      <c r="F346" t="inlineStr">
        <is>
          <t>DALARNAS LÄN</t>
        </is>
      </c>
      <c r="G346" t="inlineStr">
        <is>
          <t>LEKSAND</t>
        </is>
      </c>
      <c r="H346" t="inlineStr">
        <is>
          <t>Bergvik skog väst AB</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54295-2025</t>
        </is>
      </c>
      <c r="B347" t="inlineStr">
        <is>
          <t>avverkningsanmälan</t>
        </is>
      </c>
      <c r="C347" t="inlineStr">
        <is>
          <t>Föryngringsavverkning</t>
        </is>
      </c>
      <c r="D347" s="1" t="n">
        <v>45964</v>
      </c>
      <c r="E347" s="1" t="n">
        <v>46221</v>
      </c>
      <c r="F347" t="inlineStr">
        <is>
          <t>DALARNAS LÄN</t>
        </is>
      </c>
      <c r="G347" t="inlineStr">
        <is>
          <t>LEKSAND</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7653-2025</t>
        </is>
      </c>
      <c r="B348" t="inlineStr">
        <is>
          <t>avverkningsanmälan</t>
        </is>
      </c>
      <c r="C348" t="inlineStr">
        <is>
          <t>Avverkning för annat ändamål</t>
        </is>
      </c>
      <c r="D348" s="1" t="n">
        <v>45705</v>
      </c>
      <c r="E348" s="1" t="n">
        <v>46221</v>
      </c>
      <c r="F348" t="inlineStr">
        <is>
          <t>DALARNAS LÄN</t>
        </is>
      </c>
      <c r="G348" t="inlineStr">
        <is>
          <t>LEKSAND</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54752-2025</t>
        </is>
      </c>
      <c r="B349" t="inlineStr">
        <is>
          <t>avverkningsanmälan</t>
        </is>
      </c>
      <c r="C349" t="inlineStr">
        <is>
          <t>Föryngringsavverkning</t>
        </is>
      </c>
      <c r="D349" s="1" t="n">
        <v>45966</v>
      </c>
      <c r="E349" s="1" t="n">
        <v>46221</v>
      </c>
      <c r="F349" t="inlineStr">
        <is>
          <t>DALARNAS LÄN</t>
        </is>
      </c>
      <c r="G349" t="inlineStr">
        <is>
          <t>LEKSAND</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54767-2025</t>
        </is>
      </c>
      <c r="B350" t="inlineStr">
        <is>
          <t>avverkningsanmälan</t>
        </is>
      </c>
      <c r="C350" t="inlineStr">
        <is>
          <t>Föryngringsavverkning</t>
        </is>
      </c>
      <c r="D350" s="1" t="n">
        <v>45966</v>
      </c>
      <c r="E350" s="1" t="n">
        <v>46221</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s="2" t="inlineStr"/>
    </row>
    <row r="351" ht="15" customHeight="1">
      <c r="A351" t="inlineStr">
        <is>
          <t>A 54785-2025</t>
        </is>
      </c>
      <c r="B351" t="inlineStr">
        <is>
          <t>avverkningsanmälan</t>
        </is>
      </c>
      <c r="C351" t="inlineStr">
        <is>
          <t>Föryngringsavverkning</t>
        </is>
      </c>
      <c r="D351" s="1" t="n">
        <v>45966</v>
      </c>
      <c r="E351" s="1" t="n">
        <v>46221</v>
      </c>
      <c r="F351" t="inlineStr">
        <is>
          <t>DALARNAS LÄN</t>
        </is>
      </c>
      <c r="G351" t="inlineStr">
        <is>
          <t>LEKSAND</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54805-2025</t>
        </is>
      </c>
      <c r="B352" t="inlineStr">
        <is>
          <t>avverkningsanmälan</t>
        </is>
      </c>
      <c r="C352" t="inlineStr">
        <is>
          <t>Föryngringsavverkning</t>
        </is>
      </c>
      <c r="D352" s="1" t="n">
        <v>45966</v>
      </c>
      <c r="E352" s="1" t="n">
        <v>46221</v>
      </c>
      <c r="F352" t="inlineStr">
        <is>
          <t>DALARNAS LÄN</t>
        </is>
      </c>
      <c r="G352" t="inlineStr">
        <is>
          <t>LEKSAND</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54293-2025</t>
        </is>
      </c>
      <c r="B353" t="inlineStr">
        <is>
          <t>avverkningsanmälan</t>
        </is>
      </c>
      <c r="C353" t="inlineStr">
        <is>
          <t>Föryngringsavverkning</t>
        </is>
      </c>
      <c r="D353" s="1" t="n">
        <v>45964</v>
      </c>
      <c r="E353" s="1" t="n">
        <v>46221</v>
      </c>
      <c r="F353" t="inlineStr">
        <is>
          <t>DALARNAS LÄN</t>
        </is>
      </c>
      <c r="G353" t="inlineStr">
        <is>
          <t>LEKSAND</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41853-2023</t>
        </is>
      </c>
      <c r="B354" t="inlineStr">
        <is>
          <t>avverkningsanmälan</t>
        </is>
      </c>
      <c r="C354" t="inlineStr">
        <is>
          <t>Föryngringsavverkning</t>
        </is>
      </c>
      <c r="D354" s="1" t="n">
        <v>45176</v>
      </c>
      <c r="E354" s="1" t="n">
        <v>46221</v>
      </c>
      <c r="F354" t="inlineStr">
        <is>
          <t>DALARNAS LÄN</t>
        </is>
      </c>
      <c r="G354" t="inlineStr">
        <is>
          <t>LEKSAND</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54494-2025</t>
        </is>
      </c>
      <c r="B355" t="inlineStr">
        <is>
          <t>avverkningsanmälan</t>
        </is>
      </c>
      <c r="C355" t="inlineStr">
        <is>
          <t>Föryngringsavverkning</t>
        </is>
      </c>
      <c r="D355" s="1" t="n">
        <v>45965</v>
      </c>
      <c r="E355" s="1" t="n">
        <v>46221</v>
      </c>
      <c r="F355" t="inlineStr">
        <is>
          <t>DALARNAS LÄN</t>
        </is>
      </c>
      <c r="G355" t="inlineStr">
        <is>
          <t>LEKSAND</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62295-2023</t>
        </is>
      </c>
      <c r="B356" t="inlineStr">
        <is>
          <t>avverkningsanmälan</t>
        </is>
      </c>
      <c r="C356" t="inlineStr">
        <is>
          <t>Föryngringsavverkning</t>
        </is>
      </c>
      <c r="D356" s="1" t="n">
        <v>45267</v>
      </c>
      <c r="E356" s="1" t="n">
        <v>46221</v>
      </c>
      <c r="F356" t="inlineStr">
        <is>
          <t>DALARNAS LÄN</t>
        </is>
      </c>
      <c r="G356" t="inlineStr">
        <is>
          <t>LEKSAND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10771-2024</t>
        </is>
      </c>
      <c r="B357" t="inlineStr">
        <is>
          <t>avverkningsanmälan</t>
        </is>
      </c>
      <c r="C357" t="inlineStr">
        <is>
          <t>Avverkning för annat ändamål</t>
        </is>
      </c>
      <c r="D357" s="1" t="n">
        <v>45369</v>
      </c>
      <c r="E357" s="1" t="n">
        <v>46221</v>
      </c>
      <c r="F357" t="inlineStr">
        <is>
          <t>DALARNAS LÄN</t>
        </is>
      </c>
      <c r="G357" t="inlineStr">
        <is>
          <t>LEKSAND</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55493-2025</t>
        </is>
      </c>
      <c r="B358" t="inlineStr">
        <is>
          <t>avverkningsanmälan</t>
        </is>
      </c>
      <c r="C358" t="inlineStr">
        <is>
          <t>Föryngringsavverkning</t>
        </is>
      </c>
      <c r="D358" s="1" t="n">
        <v>45971</v>
      </c>
      <c r="E358" s="1" t="n">
        <v>46221</v>
      </c>
      <c r="F358" t="inlineStr">
        <is>
          <t>DALARNAS LÄN</t>
        </is>
      </c>
      <c r="G358" t="inlineStr">
        <is>
          <t>LEKSAND</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55784-2025</t>
        </is>
      </c>
      <c r="B359" t="inlineStr">
        <is>
          <t>avverkningsanmälan</t>
        </is>
      </c>
      <c r="C359" t="inlineStr">
        <is>
          <t>Föryngringsavverkning</t>
        </is>
      </c>
      <c r="D359" s="1" t="n">
        <v>45972</v>
      </c>
      <c r="E359" s="1" t="n">
        <v>46221</v>
      </c>
      <c r="F359" t="inlineStr">
        <is>
          <t>DALARNAS LÄN</t>
        </is>
      </c>
      <c r="G359" t="inlineStr">
        <is>
          <t>LEKSAND</t>
        </is>
      </c>
      <c r="I359" t="n">
        <v>1.5</v>
      </c>
      <c r="J359" t="n">
        <v>0</v>
      </c>
      <c r="K359" t="n">
        <v>0</v>
      </c>
      <c r="L359" t="n">
        <v>0</v>
      </c>
      <c r="M359" t="n">
        <v>0</v>
      </c>
      <c r="N359" t="n">
        <v>0</v>
      </c>
      <c r="O359" t="n">
        <v>0</v>
      </c>
      <c r="P359" t="n">
        <v>0</v>
      </c>
      <c r="Q359" t="n">
        <v>0</v>
      </c>
      <c r="R359" t="n">
        <v>0</v>
      </c>
      <c r="S359" t="n">
        <v>0</v>
      </c>
      <c r="T359" t="n">
        <v>0</v>
      </c>
      <c r="U359" s="2" t="inlineStr"/>
    </row>
    <row r="360" ht="15" customHeight="1">
      <c r="A360" t="inlineStr">
        <is>
          <t>A 56161-2025</t>
        </is>
      </c>
      <c r="B360" t="inlineStr">
        <is>
          <t>avverkningsanmälan</t>
        </is>
      </c>
      <c r="C360" t="inlineStr">
        <is>
          <t>Föryngringsavverkning</t>
        </is>
      </c>
      <c r="D360" s="1" t="n">
        <v>45974</v>
      </c>
      <c r="E360" s="1" t="n">
        <v>46221</v>
      </c>
      <c r="F360" t="inlineStr">
        <is>
          <t>DALARNAS LÄN</t>
        </is>
      </c>
      <c r="G360" t="inlineStr">
        <is>
          <t>LEKSAND</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46834-2023</t>
        </is>
      </c>
      <c r="B361" t="inlineStr">
        <is>
          <t>avverkningsanmälan</t>
        </is>
      </c>
      <c r="C361" t="inlineStr">
        <is>
          <t>Föryngringsavverkning</t>
        </is>
      </c>
      <c r="D361" s="1" t="n">
        <v>45199</v>
      </c>
      <c r="E361" s="1" t="n">
        <v>46221</v>
      </c>
      <c r="F361" t="inlineStr">
        <is>
          <t>DALARNAS LÄN</t>
        </is>
      </c>
      <c r="G361" t="inlineStr">
        <is>
          <t>LEKSAND</t>
        </is>
      </c>
      <c r="I361" t="n">
        <v>16.3</v>
      </c>
      <c r="J361" t="n">
        <v>0</v>
      </c>
      <c r="K361" t="n">
        <v>0</v>
      </c>
      <c r="L361" t="n">
        <v>0</v>
      </c>
      <c r="M361" t="n">
        <v>0</v>
      </c>
      <c r="N361" t="n">
        <v>0</v>
      </c>
      <c r="O361" t="n">
        <v>0</v>
      </c>
      <c r="P361" t="n">
        <v>0</v>
      </c>
      <c r="Q361" t="n">
        <v>0</v>
      </c>
      <c r="R361" t="n">
        <v>0</v>
      </c>
      <c r="S361" t="n">
        <v>0</v>
      </c>
      <c r="T361" t="n">
        <v>0</v>
      </c>
      <c r="U361" s="2" t="inlineStr"/>
    </row>
    <row r="362" ht="15" customHeight="1">
      <c r="A362" t="inlineStr">
        <is>
          <t>A 56331-2025</t>
        </is>
      </c>
      <c r="B362" t="inlineStr">
        <is>
          <t>avverkningsanmälan</t>
        </is>
      </c>
      <c r="C362" t="inlineStr">
        <is>
          <t>Föryngringsavverkning</t>
        </is>
      </c>
      <c r="D362" s="1" t="n">
        <v>45974</v>
      </c>
      <c r="E362" s="1" t="n">
        <v>46221</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21402-2023</t>
        </is>
      </c>
      <c r="B363" t="inlineStr">
        <is>
          <t>avverkningsanmälan</t>
        </is>
      </c>
      <c r="C363" t="inlineStr">
        <is>
          <t>Avverkning för annat ändamål</t>
        </is>
      </c>
      <c r="D363" s="1" t="n">
        <v>45061</v>
      </c>
      <c r="E363" s="1" t="n">
        <v>46221</v>
      </c>
      <c r="F363" t="inlineStr">
        <is>
          <t>DALARNAS LÄN</t>
        </is>
      </c>
      <c r="G363" t="inlineStr">
        <is>
          <t>LEKSAND</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56960-2025</t>
        </is>
      </c>
      <c r="B364" t="inlineStr">
        <is>
          <t>avverkningsanmälan</t>
        </is>
      </c>
      <c r="C364" t="inlineStr">
        <is>
          <t>Föryngringsavverkning</t>
        </is>
      </c>
      <c r="D364" s="1" t="n">
        <v>45978</v>
      </c>
      <c r="E364" s="1" t="n">
        <v>46221</v>
      </c>
      <c r="F364" t="inlineStr">
        <is>
          <t>DALARNAS LÄN</t>
        </is>
      </c>
      <c r="G364" t="inlineStr">
        <is>
          <t>LEKSAND</t>
        </is>
      </c>
      <c r="I364" t="n">
        <v>3.1</v>
      </c>
      <c r="J364" t="n">
        <v>0</v>
      </c>
      <c r="K364" t="n">
        <v>0</v>
      </c>
      <c r="L364" t="n">
        <v>0</v>
      </c>
      <c r="M364" t="n">
        <v>0</v>
      </c>
      <c r="N364" t="n">
        <v>0</v>
      </c>
      <c r="O364" t="n">
        <v>0</v>
      </c>
      <c r="P364" t="n">
        <v>0</v>
      </c>
      <c r="Q364" t="n">
        <v>0</v>
      </c>
      <c r="R364" t="n">
        <v>0</v>
      </c>
      <c r="S364" t="n">
        <v>0</v>
      </c>
      <c r="T364" t="n">
        <v>0</v>
      </c>
      <c r="U364" s="2" t="inlineStr"/>
    </row>
    <row r="365" ht="15" customHeight="1">
      <c r="A365" t="inlineStr">
        <is>
          <t>A 43142-2024</t>
        </is>
      </c>
      <c r="B365" t="inlineStr">
        <is>
          <t>avverkningsanmälan</t>
        </is>
      </c>
      <c r="C365" t="inlineStr">
        <is>
          <t>Föryngringsavverkning</t>
        </is>
      </c>
      <c r="D365" s="1" t="n">
        <v>45567</v>
      </c>
      <c r="E365" s="1" t="n">
        <v>46221</v>
      </c>
      <c r="F365" t="inlineStr">
        <is>
          <t>DALARNAS LÄN</t>
        </is>
      </c>
      <c r="G365" t="inlineStr">
        <is>
          <t>LEKSAND</t>
        </is>
      </c>
      <c r="H365" t="inlineStr">
        <is>
          <t>Bergvik skog väst AB</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56623-2025</t>
        </is>
      </c>
      <c r="B366" t="inlineStr">
        <is>
          <t>avverkningsanmälan</t>
        </is>
      </c>
      <c r="C366" t="inlineStr">
        <is>
          <t>Föryngringsavverkning</t>
        </is>
      </c>
      <c r="D366" s="1" t="n">
        <v>45975</v>
      </c>
      <c r="E366" s="1" t="n">
        <v>46221</v>
      </c>
      <c r="F366" t="inlineStr">
        <is>
          <t>DALARNAS LÄN</t>
        </is>
      </c>
      <c r="G366" t="inlineStr">
        <is>
          <t>LEKSAND</t>
        </is>
      </c>
      <c r="H366" t="inlineStr">
        <is>
          <t>Bergvik skog väst AB</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47673-2023</t>
        </is>
      </c>
      <c r="B367" t="inlineStr">
        <is>
          <t>avverkningsanmälan</t>
        </is>
      </c>
      <c r="C367" t="inlineStr">
        <is>
          <t>Föryngringsavverkning</t>
        </is>
      </c>
      <c r="D367" s="1" t="n">
        <v>45203</v>
      </c>
      <c r="E367" s="1" t="n">
        <v>46221</v>
      </c>
      <c r="F367" t="inlineStr">
        <is>
          <t>DALARNAS LÄN</t>
        </is>
      </c>
      <c r="G367" t="inlineStr">
        <is>
          <t>LEKSAND</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59718-2023</t>
        </is>
      </c>
      <c r="B368" t="inlineStr">
        <is>
          <t>avverkningsanmälan</t>
        </is>
      </c>
      <c r="C368" t="inlineStr">
        <is>
          <t>Föryngringsavverkning</t>
        </is>
      </c>
      <c r="D368" s="1" t="n">
        <v>45257</v>
      </c>
      <c r="E368" s="1" t="n">
        <v>46221</v>
      </c>
      <c r="F368" t="inlineStr">
        <is>
          <t>DALARNAS LÄN</t>
        </is>
      </c>
      <c r="G368" t="inlineStr">
        <is>
          <t>LEKSAND</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1775-2022</t>
        </is>
      </c>
      <c r="B369" t="inlineStr">
        <is>
          <t>avverkningsanmälan</t>
        </is>
      </c>
      <c r="C369" t="inlineStr">
        <is>
          <t>Föryngringsavverkning</t>
        </is>
      </c>
      <c r="D369" s="1" t="n">
        <v>44574</v>
      </c>
      <c r="E369" s="1" t="n">
        <v>46221</v>
      </c>
      <c r="F369" t="inlineStr">
        <is>
          <t>DALARNAS LÄN</t>
        </is>
      </c>
      <c r="G369" t="inlineStr">
        <is>
          <t>LEKSAND</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58114-2025</t>
        </is>
      </c>
      <c r="B370" t="inlineStr">
        <is>
          <t>avverkningsanmälan</t>
        </is>
      </c>
      <c r="C370" t="inlineStr">
        <is>
          <t>Föryngringsavverkning</t>
        </is>
      </c>
      <c r="D370" s="1" t="n">
        <v>45982</v>
      </c>
      <c r="E370" s="1" t="n">
        <v>46221</v>
      </c>
      <c r="F370" t="inlineStr">
        <is>
          <t>DALARNAS LÄN</t>
        </is>
      </c>
      <c r="G370" t="inlineStr">
        <is>
          <t>LEKSAND</t>
        </is>
      </c>
      <c r="I370" t="n">
        <v>3</v>
      </c>
      <c r="J370" t="n">
        <v>0</v>
      </c>
      <c r="K370" t="n">
        <v>0</v>
      </c>
      <c r="L370" t="n">
        <v>0</v>
      </c>
      <c r="M370" t="n">
        <v>0</v>
      </c>
      <c r="N370" t="n">
        <v>0</v>
      </c>
      <c r="O370" t="n">
        <v>0</v>
      </c>
      <c r="P370" t="n">
        <v>0</v>
      </c>
      <c r="Q370" t="n">
        <v>0</v>
      </c>
      <c r="R370" t="n">
        <v>0</v>
      </c>
      <c r="S370" t="n">
        <v>0</v>
      </c>
      <c r="T370" t="n">
        <v>0</v>
      </c>
      <c r="U370" s="2" t="inlineStr"/>
    </row>
    <row r="371" ht="15" customHeight="1">
      <c r="A371" t="inlineStr">
        <is>
          <t>A 30994-2023</t>
        </is>
      </c>
      <c r="B371" t="inlineStr">
        <is>
          <t>avverkningsanmälan</t>
        </is>
      </c>
      <c r="C371" t="inlineStr">
        <is>
          <t>Föryngringsavverkning</t>
        </is>
      </c>
      <c r="D371" s="1" t="n">
        <v>45113</v>
      </c>
      <c r="E371" s="1" t="n">
        <v>46221</v>
      </c>
      <c r="F371" t="inlineStr">
        <is>
          <t>DALARNAS LÄN</t>
        </is>
      </c>
      <c r="G371" t="inlineStr">
        <is>
          <t>LEKSAND</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57688-2025</t>
        </is>
      </c>
      <c r="B372" t="inlineStr">
        <is>
          <t>avverkningsanmälan</t>
        </is>
      </c>
      <c r="C372" t="inlineStr">
        <is>
          <t>Föryngringsavverkning</t>
        </is>
      </c>
      <c r="D372" s="1" t="n">
        <v>45981</v>
      </c>
      <c r="E372" s="1" t="n">
        <v>46221</v>
      </c>
      <c r="F372" t="inlineStr">
        <is>
          <t>DALARNAS LÄN</t>
        </is>
      </c>
      <c r="G372" t="inlineStr">
        <is>
          <t>LEKSAND</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58921-2025</t>
        </is>
      </c>
      <c r="B373" t="inlineStr">
        <is>
          <t>avverkningsanmälan</t>
        </is>
      </c>
      <c r="C373" t="inlineStr">
        <is>
          <t>Avverkning för annat ändamål</t>
        </is>
      </c>
      <c r="D373" s="1" t="n">
        <v>45986</v>
      </c>
      <c r="E373" s="1" t="n">
        <v>46221</v>
      </c>
      <c r="F373" t="inlineStr">
        <is>
          <t>DALARNAS LÄN</t>
        </is>
      </c>
      <c r="G373" t="inlineStr">
        <is>
          <t>LEKSAND</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58449-2025</t>
        </is>
      </c>
      <c r="B374" t="inlineStr">
        <is>
          <t>avverkningsanmälan</t>
        </is>
      </c>
      <c r="C374" t="inlineStr">
        <is>
          <t>Föryngringsavverkning</t>
        </is>
      </c>
      <c r="D374" s="1" t="n">
        <v>45985</v>
      </c>
      <c r="E374" s="1" t="n">
        <v>46221</v>
      </c>
      <c r="F374" t="inlineStr">
        <is>
          <t>DALARNAS LÄN</t>
        </is>
      </c>
      <c r="G374" t="inlineStr">
        <is>
          <t>LEKSAND</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58519-2025</t>
        </is>
      </c>
      <c r="B375" t="inlineStr">
        <is>
          <t>avverkningsanmälan</t>
        </is>
      </c>
      <c r="C375" t="inlineStr">
        <is>
          <t>Föryngringsavverkning</t>
        </is>
      </c>
      <c r="D375" s="1" t="n">
        <v>45985</v>
      </c>
      <c r="E375" s="1" t="n">
        <v>46221</v>
      </c>
      <c r="F375" t="inlineStr">
        <is>
          <t>DALARNAS LÄN</t>
        </is>
      </c>
      <c r="G375" t="inlineStr">
        <is>
          <t>LEKSAND</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54677-2025</t>
        </is>
      </c>
      <c r="B376" t="inlineStr">
        <is>
          <t>avverkningsanmälan</t>
        </is>
      </c>
      <c r="C376" t="inlineStr">
        <is>
          <t>Avverkning för annat ändamål</t>
        </is>
      </c>
      <c r="D376" s="1" t="n">
        <v>45966</v>
      </c>
      <c r="E376" s="1" t="n">
        <v>46221</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58516-2025</t>
        </is>
      </c>
      <c r="B377" t="inlineStr">
        <is>
          <t>avverkningsanmälan</t>
        </is>
      </c>
      <c r="C377" t="inlineStr">
        <is>
          <t>Föryngringsavverkning</t>
        </is>
      </c>
      <c r="D377" s="1" t="n">
        <v>45985</v>
      </c>
      <c r="E377" s="1" t="n">
        <v>46221</v>
      </c>
      <c r="F377" t="inlineStr">
        <is>
          <t>DALARNAS LÄN</t>
        </is>
      </c>
      <c r="G377" t="inlineStr">
        <is>
          <t>LEKSAND</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58626-2025</t>
        </is>
      </c>
      <c r="B378" t="inlineStr">
        <is>
          <t>avverkningsanmälan</t>
        </is>
      </c>
      <c r="C378" t="inlineStr">
        <is>
          <t>Föryngringsavverkning</t>
        </is>
      </c>
      <c r="D378" s="1" t="n">
        <v>45986</v>
      </c>
      <c r="E378" s="1" t="n">
        <v>46221</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51480-2022</t>
        </is>
      </c>
      <c r="B379" t="inlineStr">
        <is>
          <t>avverkningsanmälan</t>
        </is>
      </c>
      <c r="C379" t="inlineStr">
        <is>
          <t>Föryngringsavverkning</t>
        </is>
      </c>
      <c r="D379" s="1" t="n">
        <v>44869</v>
      </c>
      <c r="E379" s="1" t="n">
        <v>46221</v>
      </c>
      <c r="F379" t="inlineStr">
        <is>
          <t>DALARNAS LÄN</t>
        </is>
      </c>
      <c r="G379" t="inlineStr">
        <is>
          <t>LEKSAND</t>
        </is>
      </c>
      <c r="H379" t="inlineStr">
        <is>
          <t>Bergvik skog väst AB</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58376-2025</t>
        </is>
      </c>
      <c r="B380" t="inlineStr">
        <is>
          <t>avverkningsanmälan</t>
        </is>
      </c>
      <c r="C380" t="inlineStr">
        <is>
          <t>Föryngringsavverkning</t>
        </is>
      </c>
      <c r="D380" s="1" t="n">
        <v>45985</v>
      </c>
      <c r="E380" s="1" t="n">
        <v>46221</v>
      </c>
      <c r="F380" t="inlineStr">
        <is>
          <t>DALARNAS LÄN</t>
        </is>
      </c>
      <c r="G380" t="inlineStr">
        <is>
          <t>LEKSAND</t>
        </is>
      </c>
      <c r="I380" t="n">
        <v>5.7</v>
      </c>
      <c r="J380" t="n">
        <v>0</v>
      </c>
      <c r="K380" t="n">
        <v>0</v>
      </c>
      <c r="L380" t="n">
        <v>0</v>
      </c>
      <c r="M380" t="n">
        <v>0</v>
      </c>
      <c r="N380" t="n">
        <v>0</v>
      </c>
      <c r="O380" t="n">
        <v>0</v>
      </c>
      <c r="P380" t="n">
        <v>0</v>
      </c>
      <c r="Q380" t="n">
        <v>0</v>
      </c>
      <c r="R380" t="n">
        <v>0</v>
      </c>
      <c r="S380" t="n">
        <v>0</v>
      </c>
      <c r="T380" t="n">
        <v>0</v>
      </c>
      <c r="U380" s="2" t="inlineStr"/>
    </row>
    <row r="381" ht="15" customHeight="1">
      <c r="A381" t="inlineStr">
        <is>
          <t>A 59083-2025</t>
        </is>
      </c>
      <c r="B381" t="inlineStr">
        <is>
          <t>avverkningsanmälan</t>
        </is>
      </c>
      <c r="C381" t="inlineStr">
        <is>
          <t>Föryngringsavverkning</t>
        </is>
      </c>
      <c r="D381" s="1" t="n">
        <v>45988</v>
      </c>
      <c r="E381" s="1" t="n">
        <v>46221</v>
      </c>
      <c r="F381" t="inlineStr">
        <is>
          <t>DALARNAS LÄN</t>
        </is>
      </c>
      <c r="G381" t="inlineStr">
        <is>
          <t>LEKSAND</t>
        </is>
      </c>
      <c r="H381" t="inlineStr">
        <is>
          <t>Bergvik skog väst AB</t>
        </is>
      </c>
      <c r="I381" t="n">
        <v>2.7</v>
      </c>
      <c r="J381" t="n">
        <v>0</v>
      </c>
      <c r="K381" t="n">
        <v>0</v>
      </c>
      <c r="L381" t="n">
        <v>0</v>
      </c>
      <c r="M381" t="n">
        <v>0</v>
      </c>
      <c r="N381" t="n">
        <v>0</v>
      </c>
      <c r="O381" t="n">
        <v>0</v>
      </c>
      <c r="P381" t="n">
        <v>0</v>
      </c>
      <c r="Q381" t="n">
        <v>0</v>
      </c>
      <c r="R381" t="n">
        <v>0</v>
      </c>
      <c r="S381" t="n">
        <v>0</v>
      </c>
      <c r="T381" t="n">
        <v>0</v>
      </c>
      <c r="U381" s="2" t="inlineStr"/>
      <c r="X381">
        <f>HYPERLINK("https://klasma.github.io/Logging_2029/knärot/A 59083-2025 karta knärot.png", "A 59083-2025")</f>
        <v/>
      </c>
      <c r="Y381">
        <f>HYPERLINK("https://klasma.github.io/Logging_2029/klagomål/A 59083-2025 FSC-klagomål.docx", "A 59083-2025")</f>
        <v/>
      </c>
      <c r="Z381">
        <f>HYPERLINK("https://klasma.github.io/Logging_2029/klagomålsmail/A 59083-2025 FSC-klagomål mail.docx", "A 59083-2025")</f>
        <v/>
      </c>
      <c r="AA381">
        <f>HYPERLINK("https://klasma.github.io/Logging_2029/tillsyn/A 59083-2025 tillsynsbegäran.docx", "A 59083-2025")</f>
        <v/>
      </c>
      <c r="AB381">
        <f>HYPERLINK("https://klasma.github.io/Logging_2029/tillsynsmail/A 59083-2025 tillsynsbegäran mail.docx", "A 59083-2025")</f>
        <v/>
      </c>
    </row>
    <row r="382" ht="15" customHeight="1">
      <c r="A382" t="inlineStr">
        <is>
          <t>A 43237-2024</t>
        </is>
      </c>
      <c r="B382" t="inlineStr">
        <is>
          <t>avverkningsanmälan</t>
        </is>
      </c>
      <c r="C382" t="inlineStr">
        <is>
          <t>Föryngringsavverkning</t>
        </is>
      </c>
      <c r="D382" s="1" t="n">
        <v>45567</v>
      </c>
      <c r="E382" s="1" t="n">
        <v>46221</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59106-2025</t>
        </is>
      </c>
      <c r="B383" t="inlineStr">
        <is>
          <t>avverkningsanmälan</t>
        </is>
      </c>
      <c r="C383" t="inlineStr">
        <is>
          <t>Föryngringsavverkning</t>
        </is>
      </c>
      <c r="D383" s="1" t="n">
        <v>45988</v>
      </c>
      <c r="E383" s="1" t="n">
        <v>46221</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34482-2022</t>
        </is>
      </c>
      <c r="B384" t="inlineStr">
        <is>
          <t>avverkningsanmälan</t>
        </is>
      </c>
      <c r="C384" t="inlineStr">
        <is>
          <t>Föryngringsavverkning</t>
        </is>
      </c>
      <c r="D384" s="1" t="n">
        <v>44792</v>
      </c>
      <c r="E384" s="1" t="n">
        <v>46221</v>
      </c>
      <c r="F384" t="inlineStr">
        <is>
          <t>DALARNAS LÄN</t>
        </is>
      </c>
      <c r="G384" t="inlineStr">
        <is>
          <t>LEKSAND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30595-2023</t>
        </is>
      </c>
      <c r="B385" t="inlineStr">
        <is>
          <t>avverkningsanmälan</t>
        </is>
      </c>
      <c r="C385" t="inlineStr">
        <is>
          <t>Föryngringsavverkning</t>
        </is>
      </c>
      <c r="D385" s="1" t="n">
        <v>45112</v>
      </c>
      <c r="E385" s="1" t="n">
        <v>46221</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56943-2024</t>
        </is>
      </c>
      <c r="B386" t="inlineStr">
        <is>
          <t>avverkningsanmälan</t>
        </is>
      </c>
      <c r="C386" t="inlineStr">
        <is>
          <t>Föryngringsavverkning</t>
        </is>
      </c>
      <c r="D386" s="1" t="n">
        <v>45625</v>
      </c>
      <c r="E386" s="1" t="n">
        <v>46221</v>
      </c>
      <c r="F386" t="inlineStr">
        <is>
          <t>DALARNAS LÄN</t>
        </is>
      </c>
      <c r="G386" t="inlineStr">
        <is>
          <t>LEKSAND</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12967-2026</t>
        </is>
      </c>
      <c r="B387" t="inlineStr">
        <is>
          <t>avverkningsanmälan</t>
        </is>
      </c>
      <c r="C387" t="inlineStr">
        <is>
          <t>Föryngringsavverkning</t>
        </is>
      </c>
      <c r="D387" s="1" t="n">
        <v>46092</v>
      </c>
      <c r="E387" s="1" t="n">
        <v>46221</v>
      </c>
      <c r="F387" t="inlineStr">
        <is>
          <t>DALARNAS LÄN</t>
        </is>
      </c>
      <c r="G387" t="inlineStr">
        <is>
          <t>LEKSAND</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41934-2025</t>
        </is>
      </c>
      <c r="B388" t="inlineStr">
        <is>
          <t>avverkningsanmälan</t>
        </is>
      </c>
      <c r="C388" t="inlineStr">
        <is>
          <t>Föryngringsavverkning</t>
        </is>
      </c>
      <c r="D388" s="1" t="n">
        <v>45903</v>
      </c>
      <c r="E388" s="1" t="n">
        <v>46221</v>
      </c>
      <c r="F388" t="inlineStr">
        <is>
          <t>DALARNAS LÄN</t>
        </is>
      </c>
      <c r="G388" t="inlineStr">
        <is>
          <t>LEKSAND</t>
        </is>
      </c>
      <c r="H388" t="inlineStr">
        <is>
          <t>Bergvik skog väst AB</t>
        </is>
      </c>
      <c r="I388" t="n">
        <v>3</v>
      </c>
      <c r="J388" t="n">
        <v>0</v>
      </c>
      <c r="K388" t="n">
        <v>0</v>
      </c>
      <c r="L388" t="n">
        <v>0</v>
      </c>
      <c r="M388" t="n">
        <v>0</v>
      </c>
      <c r="N388" t="n">
        <v>0</v>
      </c>
      <c r="O388" t="n">
        <v>0</v>
      </c>
      <c r="P388" t="n">
        <v>0</v>
      </c>
      <c r="Q388" t="n">
        <v>0</v>
      </c>
      <c r="R388" t="n">
        <v>0</v>
      </c>
      <c r="S388" t="n">
        <v>0</v>
      </c>
      <c r="T388" t="n">
        <v>0</v>
      </c>
      <c r="U388" s="2" t="inlineStr"/>
    </row>
    <row r="389" ht="15" customHeight="1">
      <c r="A389" t="inlineStr">
        <is>
          <t>A 60067-2025</t>
        </is>
      </c>
      <c r="B389" t="inlineStr">
        <is>
          <t>avverkningsanmälan</t>
        </is>
      </c>
      <c r="C389" t="inlineStr">
        <is>
          <t>Föryngringsavverkning</t>
        </is>
      </c>
      <c r="D389" s="1" t="n">
        <v>45993</v>
      </c>
      <c r="E389" s="1" t="n">
        <v>46221</v>
      </c>
      <c r="F389" t="inlineStr">
        <is>
          <t>DALARNAS LÄN</t>
        </is>
      </c>
      <c r="G389" t="inlineStr">
        <is>
          <t>LEKSAND</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60023-2025</t>
        </is>
      </c>
      <c r="B390" t="inlineStr">
        <is>
          <t>avverkningsanmälan</t>
        </is>
      </c>
      <c r="C390" t="inlineStr">
        <is>
          <t>Föryngringsavverkning</t>
        </is>
      </c>
      <c r="D390" s="1" t="n">
        <v>45993</v>
      </c>
      <c r="E390" s="1" t="n">
        <v>46221</v>
      </c>
      <c r="F390" t="inlineStr">
        <is>
          <t>DALARNAS LÄN</t>
        </is>
      </c>
      <c r="G390" t="inlineStr">
        <is>
          <t>LEKSAND</t>
        </is>
      </c>
      <c r="I390" t="n">
        <v>6.5</v>
      </c>
      <c r="J390" t="n">
        <v>0</v>
      </c>
      <c r="K390" t="n">
        <v>0</v>
      </c>
      <c r="L390" t="n">
        <v>0</v>
      </c>
      <c r="M390" t="n">
        <v>0</v>
      </c>
      <c r="N390" t="n">
        <v>0</v>
      </c>
      <c r="O390" t="n">
        <v>0</v>
      </c>
      <c r="P390" t="n">
        <v>0</v>
      </c>
      <c r="Q390" t="n">
        <v>0</v>
      </c>
      <c r="R390" t="n">
        <v>0</v>
      </c>
      <c r="S390" t="n">
        <v>0</v>
      </c>
      <c r="T390" t="n">
        <v>0</v>
      </c>
      <c r="U390" s="2" t="inlineStr"/>
    </row>
    <row r="391" ht="15" customHeight="1">
      <c r="A391" t="inlineStr">
        <is>
          <t>A 52977-2022</t>
        </is>
      </c>
      <c r="B391" t="inlineStr">
        <is>
          <t>avverkningsanmälan</t>
        </is>
      </c>
      <c r="C391" t="inlineStr">
        <is>
          <t>Föryngringsavverkning</t>
        </is>
      </c>
      <c r="D391" s="1" t="n">
        <v>44875</v>
      </c>
      <c r="E391" s="1" t="n">
        <v>46221</v>
      </c>
      <c r="F391" t="inlineStr">
        <is>
          <t>DALARNAS LÄN</t>
        </is>
      </c>
      <c r="G391" t="inlineStr">
        <is>
          <t>LEKSAND</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13713-2026</t>
        </is>
      </c>
      <c r="B392" t="inlineStr">
        <is>
          <t>avverkningsanmälan</t>
        </is>
      </c>
      <c r="C392" t="inlineStr">
        <is>
          <t>Föryngringsavverkning</t>
        </is>
      </c>
      <c r="D392" s="1" t="n">
        <v>46097</v>
      </c>
      <c r="E392" s="1" t="n">
        <v>46221</v>
      </c>
      <c r="F392" t="inlineStr">
        <is>
          <t>DALARNAS LÄN</t>
        </is>
      </c>
      <c r="G392" t="inlineStr">
        <is>
          <t>LEKSAND</t>
        </is>
      </c>
      <c r="I392" t="n">
        <v>7.8</v>
      </c>
      <c r="J392" t="n">
        <v>0</v>
      </c>
      <c r="K392" t="n">
        <v>0</v>
      </c>
      <c r="L392" t="n">
        <v>0</v>
      </c>
      <c r="M392" t="n">
        <v>0</v>
      </c>
      <c r="N392" t="n">
        <v>0</v>
      </c>
      <c r="O392" t="n">
        <v>0</v>
      </c>
      <c r="P392" t="n">
        <v>0</v>
      </c>
      <c r="Q392" t="n">
        <v>0</v>
      </c>
      <c r="R392" t="n">
        <v>0</v>
      </c>
      <c r="S392" t="n">
        <v>0</v>
      </c>
      <c r="T392" t="n">
        <v>0</v>
      </c>
      <c r="U392" s="2" t="inlineStr"/>
    </row>
    <row r="393" ht="15" customHeight="1">
      <c r="A393" t="inlineStr">
        <is>
          <t>A 60614-2025</t>
        </is>
      </c>
      <c r="B393" t="inlineStr">
        <is>
          <t>avverkningsanmälan</t>
        </is>
      </c>
      <c r="C393" t="inlineStr">
        <is>
          <t>Föryngringsavverkning</t>
        </is>
      </c>
      <c r="D393" s="1" t="n">
        <v>45996</v>
      </c>
      <c r="E393" s="1" t="n">
        <v>46221</v>
      </c>
      <c r="F393" t="inlineStr">
        <is>
          <t>DALARNAS LÄN</t>
        </is>
      </c>
      <c r="G393" t="inlineStr">
        <is>
          <t>LEKSAND</t>
        </is>
      </c>
      <c r="I393" t="n">
        <v>3.4</v>
      </c>
      <c r="J393" t="n">
        <v>0</v>
      </c>
      <c r="K393" t="n">
        <v>0</v>
      </c>
      <c r="L393" t="n">
        <v>0</v>
      </c>
      <c r="M393" t="n">
        <v>0</v>
      </c>
      <c r="N393" t="n">
        <v>0</v>
      </c>
      <c r="O393" t="n">
        <v>0</v>
      </c>
      <c r="P393" t="n">
        <v>0</v>
      </c>
      <c r="Q393" t="n">
        <v>0</v>
      </c>
      <c r="R393" t="n">
        <v>0</v>
      </c>
      <c r="S393" t="n">
        <v>0</v>
      </c>
      <c r="T393" t="n">
        <v>0</v>
      </c>
      <c r="U393" s="2" t="inlineStr"/>
    </row>
    <row r="394" ht="15" customHeight="1">
      <c r="A394" t="inlineStr">
        <is>
          <t>A 13697-2026</t>
        </is>
      </c>
      <c r="B394" t="inlineStr">
        <is>
          <t>avverkningsanmälan</t>
        </is>
      </c>
      <c r="C394" t="inlineStr">
        <is>
          <t>Föryngringsavverkning</t>
        </is>
      </c>
      <c r="D394" s="1" t="n">
        <v>46097</v>
      </c>
      <c r="E394" s="1" t="n">
        <v>46221</v>
      </c>
      <c r="F394" t="inlineStr">
        <is>
          <t>DALARNAS LÄN</t>
        </is>
      </c>
      <c r="G394" t="inlineStr">
        <is>
          <t>LEKSAND</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13650-2026</t>
        </is>
      </c>
      <c r="B395" t="inlineStr">
        <is>
          <t>avverkningsanmälan</t>
        </is>
      </c>
      <c r="C395" t="inlineStr">
        <is>
          <t>Föryngringsavverkning</t>
        </is>
      </c>
      <c r="D395" s="1" t="n">
        <v>46097</v>
      </c>
      <c r="E395" s="1" t="n">
        <v>46221</v>
      </c>
      <c r="F395" t="inlineStr">
        <is>
          <t>DALARNAS LÄN</t>
        </is>
      </c>
      <c r="G395" t="inlineStr">
        <is>
          <t>LEKSAND</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13705-2026</t>
        </is>
      </c>
      <c r="B396" t="inlineStr">
        <is>
          <t>avverkningsanmälan</t>
        </is>
      </c>
      <c r="C396" t="inlineStr">
        <is>
          <t>Föryngringsavverkning</t>
        </is>
      </c>
      <c r="D396" s="1" t="n">
        <v>46097</v>
      </c>
      <c r="E396" s="1" t="n">
        <v>46221</v>
      </c>
      <c r="F396" t="inlineStr">
        <is>
          <t>DALARNAS LÄN</t>
        </is>
      </c>
      <c r="G396" t="inlineStr">
        <is>
          <t>LEKSAND</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60358-2025</t>
        </is>
      </c>
      <c r="B397" t="inlineStr">
        <is>
          <t>avverkningsanmälan</t>
        </is>
      </c>
      <c r="C397" t="inlineStr">
        <is>
          <t>Föryngringsavverkning</t>
        </is>
      </c>
      <c r="D397" s="1" t="n">
        <v>45995</v>
      </c>
      <c r="E397" s="1" t="n">
        <v>46221</v>
      </c>
      <c r="F397" t="inlineStr">
        <is>
          <t>DALARNAS LÄN</t>
        </is>
      </c>
      <c r="G397" t="inlineStr">
        <is>
          <t>LEKSAND</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25921-2024</t>
        </is>
      </c>
      <c r="B398" t="inlineStr">
        <is>
          <t>avverkningsanmälan</t>
        </is>
      </c>
      <c r="C398" t="inlineStr">
        <is>
          <t>Föryngringsavverkning</t>
        </is>
      </c>
      <c r="D398" s="1" t="n">
        <v>45467</v>
      </c>
      <c r="E398" s="1" t="n">
        <v>46221</v>
      </c>
      <c r="F398" t="inlineStr">
        <is>
          <t>DALARNAS LÄN</t>
        </is>
      </c>
      <c r="G398" t="inlineStr">
        <is>
          <t>LEKSAND</t>
        </is>
      </c>
      <c r="I398" t="n">
        <v>2.8</v>
      </c>
      <c r="J398" t="n">
        <v>0</v>
      </c>
      <c r="K398" t="n">
        <v>0</v>
      </c>
      <c r="L398" t="n">
        <v>0</v>
      </c>
      <c r="M398" t="n">
        <v>0</v>
      </c>
      <c r="N398" t="n">
        <v>0</v>
      </c>
      <c r="O398" t="n">
        <v>0</v>
      </c>
      <c r="P398" t="n">
        <v>0</v>
      </c>
      <c r="Q398" t="n">
        <v>0</v>
      </c>
      <c r="R398" t="n">
        <v>0</v>
      </c>
      <c r="S398" t="n">
        <v>0</v>
      </c>
      <c r="T398" t="n">
        <v>0</v>
      </c>
      <c r="U398" s="2" t="inlineStr"/>
    </row>
    <row r="399" ht="15" customHeight="1">
      <c r="A399" t="inlineStr">
        <is>
          <t>A 60544-2025</t>
        </is>
      </c>
      <c r="B399" t="inlineStr">
        <is>
          <t>avverkningsanmälan</t>
        </is>
      </c>
      <c r="C399" t="inlineStr">
        <is>
          <t>Föryngringsavverkning</t>
        </is>
      </c>
      <c r="D399" s="1" t="n">
        <v>45995</v>
      </c>
      <c r="E399" s="1" t="n">
        <v>46221</v>
      </c>
      <c r="F399" t="inlineStr">
        <is>
          <t>DALARNAS LÄN</t>
        </is>
      </c>
      <c r="G399" t="inlineStr">
        <is>
          <t>LEKSAND</t>
        </is>
      </c>
      <c r="I399" t="n">
        <v>4.4</v>
      </c>
      <c r="J399" t="n">
        <v>0</v>
      </c>
      <c r="K399" t="n">
        <v>0</v>
      </c>
      <c r="L399" t="n">
        <v>0</v>
      </c>
      <c r="M399" t="n">
        <v>0</v>
      </c>
      <c r="N399" t="n">
        <v>0</v>
      </c>
      <c r="O399" t="n">
        <v>0</v>
      </c>
      <c r="P399" t="n">
        <v>0</v>
      </c>
      <c r="Q399" t="n">
        <v>0</v>
      </c>
      <c r="R399" t="n">
        <v>0</v>
      </c>
      <c r="S399" t="n">
        <v>0</v>
      </c>
      <c r="T399" t="n">
        <v>0</v>
      </c>
      <c r="U399" s="2" t="inlineStr"/>
    </row>
    <row r="400" ht="15" customHeight="1">
      <c r="A400" t="inlineStr">
        <is>
          <t>A 28892-2022</t>
        </is>
      </c>
      <c r="B400" t="inlineStr">
        <is>
          <t>avverkningsanmälan</t>
        </is>
      </c>
      <c r="C400" t="inlineStr">
        <is>
          <t>Föryngringsavverkning</t>
        </is>
      </c>
      <c r="D400" s="1" t="n">
        <v>44749</v>
      </c>
      <c r="E400" s="1" t="n">
        <v>46221</v>
      </c>
      <c r="F400" t="inlineStr">
        <is>
          <t>DALARNAS LÄN</t>
        </is>
      </c>
      <c r="G400" t="inlineStr">
        <is>
          <t>LEKSAND</t>
        </is>
      </c>
      <c r="H400" t="inlineStr">
        <is>
          <t>Bergvik skog väst AB</t>
        </is>
      </c>
      <c r="I400" t="n">
        <v>9.1</v>
      </c>
      <c r="J400" t="n">
        <v>0</v>
      </c>
      <c r="K400" t="n">
        <v>0</v>
      </c>
      <c r="L400" t="n">
        <v>0</v>
      </c>
      <c r="M400" t="n">
        <v>0</v>
      </c>
      <c r="N400" t="n">
        <v>0</v>
      </c>
      <c r="O400" t="n">
        <v>0</v>
      </c>
      <c r="P400" t="n">
        <v>0</v>
      </c>
      <c r="Q400" t="n">
        <v>0</v>
      </c>
      <c r="R400" t="n">
        <v>0</v>
      </c>
      <c r="S400" t="n">
        <v>0</v>
      </c>
      <c r="T400" t="n">
        <v>0</v>
      </c>
      <c r="U400" s="2" t="inlineStr"/>
    </row>
    <row r="401" ht="15" customHeight="1">
      <c r="A401" t="inlineStr">
        <is>
          <t>A 320-2023</t>
        </is>
      </c>
      <c r="B401" t="inlineStr">
        <is>
          <t>avverkningsanmälan</t>
        </is>
      </c>
      <c r="C401" t="inlineStr">
        <is>
          <t>Föryngringsavverkning</t>
        </is>
      </c>
      <c r="D401" s="1" t="n">
        <v>44929</v>
      </c>
      <c r="E401" s="1" t="n">
        <v>46221</v>
      </c>
      <c r="F401" t="inlineStr">
        <is>
          <t>DALARNAS LÄN</t>
        </is>
      </c>
      <c r="G401" t="inlineStr">
        <is>
          <t>LEKSAND</t>
        </is>
      </c>
      <c r="H401" t="inlineStr">
        <is>
          <t>Övriga Aktiebolag</t>
        </is>
      </c>
      <c r="I401" t="n">
        <v>5.4</v>
      </c>
      <c r="J401" t="n">
        <v>0</v>
      </c>
      <c r="K401" t="n">
        <v>0</v>
      </c>
      <c r="L401" t="n">
        <v>0</v>
      </c>
      <c r="M401" t="n">
        <v>0</v>
      </c>
      <c r="N401" t="n">
        <v>0</v>
      </c>
      <c r="O401" t="n">
        <v>0</v>
      </c>
      <c r="P401" t="n">
        <v>0</v>
      </c>
      <c r="Q401" t="n">
        <v>0</v>
      </c>
      <c r="R401" t="n">
        <v>0</v>
      </c>
      <c r="S401" t="n">
        <v>0</v>
      </c>
      <c r="T401" t="n">
        <v>0</v>
      </c>
      <c r="U401" s="2" t="inlineStr"/>
    </row>
    <row r="402" ht="15" customHeight="1">
      <c r="A402" t="inlineStr">
        <is>
          <t>A 61491-2025</t>
        </is>
      </c>
      <c r="B402" t="inlineStr">
        <is>
          <t>avverkningsanmälan</t>
        </is>
      </c>
      <c r="C402" t="inlineStr">
        <is>
          <t>Föryngringsavverkning</t>
        </is>
      </c>
      <c r="D402" s="1" t="n">
        <v>46001</v>
      </c>
      <c r="E402" s="1" t="n">
        <v>46221</v>
      </c>
      <c r="F402" t="inlineStr">
        <is>
          <t>DALARNAS LÄN</t>
        </is>
      </c>
      <c r="G402" t="inlineStr">
        <is>
          <t>LEKSAND</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61684-2025</t>
        </is>
      </c>
      <c r="B403" t="inlineStr">
        <is>
          <t>avverkningsanmälan</t>
        </is>
      </c>
      <c r="C403" t="inlineStr">
        <is>
          <t>Föryngringsavverkning</t>
        </is>
      </c>
      <c r="D403" s="1" t="n">
        <v>46002</v>
      </c>
      <c r="E403" s="1" t="n">
        <v>46221</v>
      </c>
      <c r="F403" t="inlineStr">
        <is>
          <t>DALARNAS LÄN</t>
        </is>
      </c>
      <c r="G403" t="inlineStr">
        <is>
          <t>LEKSAND</t>
        </is>
      </c>
      <c r="I403" t="n">
        <v>2.4</v>
      </c>
      <c r="J403" t="n">
        <v>0</v>
      </c>
      <c r="K403" t="n">
        <v>0</v>
      </c>
      <c r="L403" t="n">
        <v>0</v>
      </c>
      <c r="M403" t="n">
        <v>0</v>
      </c>
      <c r="N403" t="n">
        <v>0</v>
      </c>
      <c r="O403" t="n">
        <v>0</v>
      </c>
      <c r="P403" t="n">
        <v>0</v>
      </c>
      <c r="Q403" t="n">
        <v>0</v>
      </c>
      <c r="R403" t="n">
        <v>0</v>
      </c>
      <c r="S403" t="n">
        <v>0</v>
      </c>
      <c r="T403" t="n">
        <v>0</v>
      </c>
      <c r="U403" s="2" t="inlineStr"/>
    </row>
    <row r="404" ht="15" customHeight="1">
      <c r="A404" t="inlineStr">
        <is>
          <t>A 23896-2024</t>
        </is>
      </c>
      <c r="B404" t="inlineStr">
        <is>
          <t>avverkningsanmälan</t>
        </is>
      </c>
      <c r="C404" t="inlineStr">
        <is>
          <t>Avverkning för annat ändamål</t>
        </is>
      </c>
      <c r="D404" s="1" t="n">
        <v>45455</v>
      </c>
      <c r="E404" s="1" t="n">
        <v>46221</v>
      </c>
      <c r="F404" t="inlineStr">
        <is>
          <t>DALARNAS LÄN</t>
        </is>
      </c>
      <c r="G404" t="inlineStr">
        <is>
          <t>LEKSAND</t>
        </is>
      </c>
      <c r="H404" t="inlineStr">
        <is>
          <t>Övriga Aktiebolag</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28578-2023</t>
        </is>
      </c>
      <c r="B405" t="inlineStr">
        <is>
          <t>avverkningsanmälan</t>
        </is>
      </c>
      <c r="C405" t="inlineStr">
        <is>
          <t>Föryngringsavverkning</t>
        </is>
      </c>
      <c r="D405" s="1" t="n">
        <v>45103</v>
      </c>
      <c r="E405" s="1" t="n">
        <v>46221</v>
      </c>
      <c r="F405" t="inlineStr">
        <is>
          <t>DALARNAS LÄN</t>
        </is>
      </c>
      <c r="G405" t="inlineStr">
        <is>
          <t>LEKSAND</t>
        </is>
      </c>
      <c r="I405" t="n">
        <v>4.4</v>
      </c>
      <c r="J405" t="n">
        <v>0</v>
      </c>
      <c r="K405" t="n">
        <v>0</v>
      </c>
      <c r="L405" t="n">
        <v>0</v>
      </c>
      <c r="M405" t="n">
        <v>0</v>
      </c>
      <c r="N405" t="n">
        <v>0</v>
      </c>
      <c r="O405" t="n">
        <v>0</v>
      </c>
      <c r="P405" t="n">
        <v>0</v>
      </c>
      <c r="Q405" t="n">
        <v>0</v>
      </c>
      <c r="R405" t="n">
        <v>0</v>
      </c>
      <c r="S405" t="n">
        <v>0</v>
      </c>
      <c r="T405" t="n">
        <v>0</v>
      </c>
      <c r="U405" s="2" t="inlineStr"/>
    </row>
    <row r="406" ht="15" customHeight="1">
      <c r="A406" t="inlineStr">
        <is>
          <t>A 61288-2022</t>
        </is>
      </c>
      <c r="B406" t="inlineStr">
        <is>
          <t>avverkningsanmälan</t>
        </is>
      </c>
      <c r="C406" t="inlineStr">
        <is>
          <t>Föryngringsavverkning</t>
        </is>
      </c>
      <c r="D406" s="1" t="n">
        <v>44915</v>
      </c>
      <c r="E406" s="1" t="n">
        <v>46221</v>
      </c>
      <c r="F406" t="inlineStr">
        <is>
          <t>DALARNAS LÄN</t>
        </is>
      </c>
      <c r="G406" t="inlineStr">
        <is>
          <t>LEKSAND</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20936-2023</t>
        </is>
      </c>
      <c r="B407" t="inlineStr">
        <is>
          <t>avverkningsanmälan</t>
        </is>
      </c>
      <c r="C407" t="inlineStr">
        <is>
          <t>Föryngringsavverkning</t>
        </is>
      </c>
      <c r="D407" s="1" t="n">
        <v>45061</v>
      </c>
      <c r="E407" s="1" t="n">
        <v>46221</v>
      </c>
      <c r="F407" t="inlineStr">
        <is>
          <t>DALARNAS LÄN</t>
        </is>
      </c>
      <c r="G407" t="inlineStr">
        <is>
          <t>LEKSAND</t>
        </is>
      </c>
      <c r="I407" t="n">
        <v>0.3</v>
      </c>
      <c r="J407" t="n">
        <v>0</v>
      </c>
      <c r="K407" t="n">
        <v>0</v>
      </c>
      <c r="L407" t="n">
        <v>0</v>
      </c>
      <c r="M407" t="n">
        <v>0</v>
      </c>
      <c r="N407" t="n">
        <v>0</v>
      </c>
      <c r="O407" t="n">
        <v>0</v>
      </c>
      <c r="P407" t="n">
        <v>0</v>
      </c>
      <c r="Q407" t="n">
        <v>0</v>
      </c>
      <c r="R407" t="n">
        <v>0</v>
      </c>
      <c r="S407" t="n">
        <v>0</v>
      </c>
      <c r="T407" t="n">
        <v>0</v>
      </c>
      <c r="U407" s="2" t="inlineStr"/>
    </row>
    <row r="408" ht="15" customHeight="1">
      <c r="A408" t="inlineStr">
        <is>
          <t>A 62301-2025</t>
        </is>
      </c>
      <c r="B408" t="inlineStr">
        <is>
          <t>avverkningsanmälan</t>
        </is>
      </c>
      <c r="C408" t="inlineStr">
        <is>
          <t>Föryngringsavverkning</t>
        </is>
      </c>
      <c r="D408" s="1" t="n">
        <v>46006</v>
      </c>
      <c r="E408" s="1" t="n">
        <v>46221</v>
      </c>
      <c r="F408" t="inlineStr">
        <is>
          <t>DALARNAS LÄN</t>
        </is>
      </c>
      <c r="G408" t="inlineStr">
        <is>
          <t>LEKSAND</t>
        </is>
      </c>
      <c r="I408" t="n">
        <v>2.4</v>
      </c>
      <c r="J408" t="n">
        <v>0</v>
      </c>
      <c r="K408" t="n">
        <v>0</v>
      </c>
      <c r="L408" t="n">
        <v>0</v>
      </c>
      <c r="M408" t="n">
        <v>0</v>
      </c>
      <c r="N408" t="n">
        <v>0</v>
      </c>
      <c r="O408" t="n">
        <v>0</v>
      </c>
      <c r="P408" t="n">
        <v>0</v>
      </c>
      <c r="Q408" t="n">
        <v>0</v>
      </c>
      <c r="R408" t="n">
        <v>0</v>
      </c>
      <c r="S408" t="n">
        <v>0</v>
      </c>
      <c r="T408" t="n">
        <v>0</v>
      </c>
      <c r="U408" s="2" t="inlineStr"/>
    </row>
    <row r="409" ht="15" customHeight="1">
      <c r="A409" t="inlineStr">
        <is>
          <t>A 62306-2025</t>
        </is>
      </c>
      <c r="B409" t="inlineStr">
        <is>
          <t>avverkningsanmälan</t>
        </is>
      </c>
      <c r="C409" t="inlineStr">
        <is>
          <t>Föryngringsavverkning</t>
        </is>
      </c>
      <c r="D409" s="1" t="n">
        <v>46006</v>
      </c>
      <c r="E409" s="1" t="n">
        <v>46221</v>
      </c>
      <c r="F409" t="inlineStr">
        <is>
          <t>DALARNAS LÄN</t>
        </is>
      </c>
      <c r="G409" t="inlineStr">
        <is>
          <t>LEKSAND</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62337-2025</t>
        </is>
      </c>
      <c r="B410" t="inlineStr">
        <is>
          <t>avverkningsanmälan</t>
        </is>
      </c>
      <c r="C410" t="inlineStr">
        <is>
          <t>Föryngringsavverkning</t>
        </is>
      </c>
      <c r="D410" s="1" t="n">
        <v>46006</v>
      </c>
      <c r="E410" s="1" t="n">
        <v>46221</v>
      </c>
      <c r="F410" t="inlineStr">
        <is>
          <t>DALARNAS LÄN</t>
        </is>
      </c>
      <c r="G410" t="inlineStr">
        <is>
          <t>LEKSAND</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62322-2025</t>
        </is>
      </c>
      <c r="B411" t="inlineStr">
        <is>
          <t>avverkningsanmälan</t>
        </is>
      </c>
      <c r="C411" t="inlineStr">
        <is>
          <t>Föryngringsavverkning</t>
        </is>
      </c>
      <c r="D411" s="1" t="n">
        <v>46006</v>
      </c>
      <c r="E411" s="1" t="n">
        <v>46221</v>
      </c>
      <c r="F411" t="inlineStr">
        <is>
          <t>DALARNAS LÄN</t>
        </is>
      </c>
      <c r="G411" t="inlineStr">
        <is>
          <t>LEKSAND</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62556-2025</t>
        </is>
      </c>
      <c r="B412" t="inlineStr">
        <is>
          <t>avverkningsanmälan</t>
        </is>
      </c>
      <c r="C412" t="inlineStr">
        <is>
          <t>Avverkning för annat ändamål</t>
        </is>
      </c>
      <c r="D412" s="1" t="n">
        <v>46007</v>
      </c>
      <c r="E412" s="1" t="n">
        <v>46221</v>
      </c>
      <c r="F412" t="inlineStr">
        <is>
          <t>DALARNAS LÄN</t>
        </is>
      </c>
      <c r="G412" t="inlineStr">
        <is>
          <t>LEKSAND</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62560-2025</t>
        </is>
      </c>
      <c r="B413" t="inlineStr">
        <is>
          <t>avverkningsanmälan</t>
        </is>
      </c>
      <c r="C413" t="inlineStr">
        <is>
          <t>Avverkning för annat ändamål</t>
        </is>
      </c>
      <c r="D413" s="1" t="n">
        <v>46007</v>
      </c>
      <c r="E413" s="1" t="n">
        <v>46221</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62557-2025</t>
        </is>
      </c>
      <c r="B414" t="inlineStr">
        <is>
          <t>avverkningsanmälan</t>
        </is>
      </c>
      <c r="C414" t="inlineStr">
        <is>
          <t>Avverkning för annat ändamål</t>
        </is>
      </c>
      <c r="D414" s="1" t="n">
        <v>46007</v>
      </c>
      <c r="E414" s="1" t="n">
        <v>46221</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8061-2026</t>
        </is>
      </c>
      <c r="B415" t="inlineStr">
        <is>
          <t>avverkningsanmälan</t>
        </is>
      </c>
      <c r="C415" t="inlineStr">
        <is>
          <t>Föryngringsavverkning</t>
        </is>
      </c>
      <c r="D415" s="1" t="n">
        <v>46063</v>
      </c>
      <c r="E415" s="1" t="n">
        <v>46221</v>
      </c>
      <c r="F415" t="inlineStr">
        <is>
          <t>DALARNAS LÄN</t>
        </is>
      </c>
      <c r="G415" t="inlineStr">
        <is>
          <t>LEKSAND</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62574-2025</t>
        </is>
      </c>
      <c r="B416" t="inlineStr">
        <is>
          <t>avverkningsanmälan</t>
        </is>
      </c>
      <c r="C416" t="inlineStr">
        <is>
          <t>Föryngringsavverkning</t>
        </is>
      </c>
      <c r="D416" s="1" t="n">
        <v>46007</v>
      </c>
      <c r="E416" s="1" t="n">
        <v>46221</v>
      </c>
      <c r="F416" t="inlineStr">
        <is>
          <t>DALARNAS LÄN</t>
        </is>
      </c>
      <c r="G416" t="inlineStr">
        <is>
          <t>LEKSAND</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17377-2025</t>
        </is>
      </c>
      <c r="B417" t="inlineStr">
        <is>
          <t>avverkningsanmälan</t>
        </is>
      </c>
      <c r="C417" t="inlineStr">
        <is>
          <t>Föryngringsavverkning</t>
        </is>
      </c>
      <c r="D417" s="1" t="n">
        <v>45756</v>
      </c>
      <c r="E417" s="1" t="n">
        <v>46221</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61269-2022</t>
        </is>
      </c>
      <c r="B418" t="inlineStr">
        <is>
          <t>avverkningsanmälan</t>
        </is>
      </c>
      <c r="C418" t="inlineStr">
        <is>
          <t>Föryngringsavverkning</t>
        </is>
      </c>
      <c r="D418" s="1" t="n">
        <v>44909</v>
      </c>
      <c r="E418" s="1" t="n">
        <v>46221</v>
      </c>
      <c r="F418" t="inlineStr">
        <is>
          <t>DALARNAS LÄN</t>
        </is>
      </c>
      <c r="G418" t="inlineStr">
        <is>
          <t>LEKSAND</t>
        </is>
      </c>
      <c r="I418" t="n">
        <v>4.2</v>
      </c>
      <c r="J418" t="n">
        <v>0</v>
      </c>
      <c r="K418" t="n">
        <v>0</v>
      </c>
      <c r="L418" t="n">
        <v>0</v>
      </c>
      <c r="M418" t="n">
        <v>0</v>
      </c>
      <c r="N418" t="n">
        <v>0</v>
      </c>
      <c r="O418" t="n">
        <v>0</v>
      </c>
      <c r="P418" t="n">
        <v>0</v>
      </c>
      <c r="Q418" t="n">
        <v>0</v>
      </c>
      <c r="R418" t="n">
        <v>0</v>
      </c>
      <c r="S418" t="n">
        <v>0</v>
      </c>
      <c r="T418" t="n">
        <v>0</v>
      </c>
      <c r="U418" s="2" t="inlineStr"/>
    </row>
    <row r="419" ht="15" customHeight="1">
      <c r="A419" t="inlineStr">
        <is>
          <t>A 53817-2023</t>
        </is>
      </c>
      <c r="B419" t="inlineStr">
        <is>
          <t>avverkningsanmälan</t>
        </is>
      </c>
      <c r="C419" t="inlineStr">
        <is>
          <t>Föryngringsavverkning</t>
        </is>
      </c>
      <c r="D419" s="1" t="n">
        <v>45231</v>
      </c>
      <c r="E419" s="1" t="n">
        <v>46221</v>
      </c>
      <c r="F419" t="inlineStr">
        <is>
          <t>DALARNAS LÄN</t>
        </is>
      </c>
      <c r="G419" t="inlineStr">
        <is>
          <t>LEKSAND</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28633-2023</t>
        </is>
      </c>
      <c r="B420" t="inlineStr">
        <is>
          <t>avverkningsanmälan</t>
        </is>
      </c>
      <c r="C420" t="inlineStr">
        <is>
          <t>Föryngringsavverkning</t>
        </is>
      </c>
      <c r="D420" s="1" t="n">
        <v>45103</v>
      </c>
      <c r="E420" s="1" t="n">
        <v>46221</v>
      </c>
      <c r="F420" t="inlineStr">
        <is>
          <t>DALARNAS LÄN</t>
        </is>
      </c>
      <c r="G420" t="inlineStr">
        <is>
          <t>LEKSAND</t>
        </is>
      </c>
      <c r="H420" t="inlineStr">
        <is>
          <t>Bergvik skog väst AB</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63260-2025</t>
        </is>
      </c>
      <c r="B421" t="inlineStr">
        <is>
          <t>avverkningsanmälan</t>
        </is>
      </c>
      <c r="C421" t="inlineStr">
        <is>
          <t>Föryngringsavverkning</t>
        </is>
      </c>
      <c r="D421" s="1" t="n">
        <v>46010</v>
      </c>
      <c r="E421" s="1" t="n">
        <v>46221</v>
      </c>
      <c r="F421" t="inlineStr">
        <is>
          <t>DALARNAS LÄN</t>
        </is>
      </c>
      <c r="G421" t="inlineStr">
        <is>
          <t>LEKSAND</t>
        </is>
      </c>
      <c r="I421" t="n">
        <v>11.7</v>
      </c>
      <c r="J421" t="n">
        <v>0</v>
      </c>
      <c r="K421" t="n">
        <v>0</v>
      </c>
      <c r="L421" t="n">
        <v>0</v>
      </c>
      <c r="M421" t="n">
        <v>0</v>
      </c>
      <c r="N421" t="n">
        <v>0</v>
      </c>
      <c r="O421" t="n">
        <v>0</v>
      </c>
      <c r="P421" t="n">
        <v>0</v>
      </c>
      <c r="Q421" t="n">
        <v>0</v>
      </c>
      <c r="R421" t="n">
        <v>0</v>
      </c>
      <c r="S421" t="n">
        <v>0</v>
      </c>
      <c r="T421" t="n">
        <v>0</v>
      </c>
      <c r="U421" s="2" t="inlineStr"/>
    </row>
    <row r="422" ht="15" customHeight="1">
      <c r="A422" t="inlineStr">
        <is>
          <t>A 63360-2025</t>
        </is>
      </c>
      <c r="B422" t="inlineStr">
        <is>
          <t>avverkningsanmälan</t>
        </is>
      </c>
      <c r="C422" t="inlineStr">
        <is>
          <t>Föryngringsavverkning</t>
        </is>
      </c>
      <c r="D422" s="1" t="n">
        <v>46010</v>
      </c>
      <c r="E422" s="1" t="n">
        <v>46221</v>
      </c>
      <c r="F422" t="inlineStr">
        <is>
          <t>DALARNAS LÄN</t>
        </is>
      </c>
      <c r="G422" t="inlineStr">
        <is>
          <t>LEKSAND</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14943-2023</t>
        </is>
      </c>
      <c r="B423" t="inlineStr">
        <is>
          <t>avverkningsanmälan</t>
        </is>
      </c>
      <c r="C423" t="inlineStr">
        <is>
          <t>Föryngringsavverkning</t>
        </is>
      </c>
      <c r="D423" s="1" t="n">
        <v>45015</v>
      </c>
      <c r="E423" s="1" t="n">
        <v>46221</v>
      </c>
      <c r="F423" t="inlineStr">
        <is>
          <t>DALARNAS LÄN</t>
        </is>
      </c>
      <c r="G423" t="inlineStr">
        <is>
          <t>LEKSAND</t>
        </is>
      </c>
      <c r="I423" t="n">
        <v>1.7</v>
      </c>
      <c r="J423" t="n">
        <v>0</v>
      </c>
      <c r="K423" t="n">
        <v>0</v>
      </c>
      <c r="L423" t="n">
        <v>0</v>
      </c>
      <c r="M423" t="n">
        <v>0</v>
      </c>
      <c r="N423" t="n">
        <v>0</v>
      </c>
      <c r="O423" t="n">
        <v>0</v>
      </c>
      <c r="P423" t="n">
        <v>0</v>
      </c>
      <c r="Q423" t="n">
        <v>0</v>
      </c>
      <c r="R423" t="n">
        <v>0</v>
      </c>
      <c r="S423" t="n">
        <v>0</v>
      </c>
      <c r="T423" t="n">
        <v>0</v>
      </c>
      <c r="U423" s="2" t="inlineStr"/>
    </row>
    <row r="424" ht="15" customHeight="1">
      <c r="A424" t="inlineStr">
        <is>
          <t>A 41840-2024</t>
        </is>
      </c>
      <c r="B424" t="inlineStr">
        <is>
          <t>avverkningsanmälan</t>
        </is>
      </c>
      <c r="C424" t="inlineStr">
        <is>
          <t>Föryngringsavverkning</t>
        </is>
      </c>
      <c r="D424" s="1" t="n">
        <v>45561</v>
      </c>
      <c r="E424" s="1" t="n">
        <v>46221</v>
      </c>
      <c r="F424" t="inlineStr">
        <is>
          <t>DALARNAS LÄN</t>
        </is>
      </c>
      <c r="G424" t="inlineStr">
        <is>
          <t>LEKSAND</t>
        </is>
      </c>
      <c r="I424" t="n">
        <v>0.4</v>
      </c>
      <c r="J424" t="n">
        <v>0</v>
      </c>
      <c r="K424" t="n">
        <v>0</v>
      </c>
      <c r="L424" t="n">
        <v>0</v>
      </c>
      <c r="M424" t="n">
        <v>0</v>
      </c>
      <c r="N424" t="n">
        <v>0</v>
      </c>
      <c r="O424" t="n">
        <v>0</v>
      </c>
      <c r="P424" t="n">
        <v>0</v>
      </c>
      <c r="Q424" t="n">
        <v>0</v>
      </c>
      <c r="R424" t="n">
        <v>0</v>
      </c>
      <c r="S424" t="n">
        <v>0</v>
      </c>
      <c r="T424" t="n">
        <v>0</v>
      </c>
      <c r="U424" s="2" t="inlineStr"/>
    </row>
    <row r="425" ht="15" customHeight="1">
      <c r="A425" t="inlineStr">
        <is>
          <t>A 33143-2024</t>
        </is>
      </c>
      <c r="B425" t="inlineStr">
        <is>
          <t>avverkningsanmälan</t>
        </is>
      </c>
      <c r="C425" t="inlineStr">
        <is>
          <t>Avverkning för att bevara och utveckla /försöksver</t>
        </is>
      </c>
      <c r="D425" s="1" t="n">
        <v>45518</v>
      </c>
      <c r="E425" s="1" t="n">
        <v>46221</v>
      </c>
      <c r="F425" t="inlineStr">
        <is>
          <t>DALARNAS LÄN</t>
        </is>
      </c>
      <c r="G425" t="inlineStr">
        <is>
          <t>LEKSAND</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14795-2026</t>
        </is>
      </c>
      <c r="B426" t="inlineStr">
        <is>
          <t>avverkningsanmälan</t>
        </is>
      </c>
      <c r="C426" t="inlineStr">
        <is>
          <t>Föryngringsavverkning</t>
        </is>
      </c>
      <c r="D426" s="1" t="n">
        <v>46101</v>
      </c>
      <c r="E426" s="1" t="n">
        <v>46221</v>
      </c>
      <c r="F426" t="inlineStr">
        <is>
          <t>DALARNAS LÄN</t>
        </is>
      </c>
      <c r="G426" t="inlineStr">
        <is>
          <t>LEKSAND</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63592-2025</t>
        </is>
      </c>
      <c r="B427" t="inlineStr">
        <is>
          <t>avverkningsanmälan</t>
        </is>
      </c>
      <c r="C427" t="inlineStr">
        <is>
          <t>Föryngringsavverkning</t>
        </is>
      </c>
      <c r="D427" s="1" t="n">
        <v>46013</v>
      </c>
      <c r="E427" s="1" t="n">
        <v>46221</v>
      </c>
      <c r="F427" t="inlineStr">
        <is>
          <t>DALARNAS LÄN</t>
        </is>
      </c>
      <c r="G427" t="inlineStr">
        <is>
          <t>LEKSAND</t>
        </is>
      </c>
      <c r="I427" t="n">
        <v>2.7</v>
      </c>
      <c r="J427" t="n">
        <v>0</v>
      </c>
      <c r="K427" t="n">
        <v>0</v>
      </c>
      <c r="L427" t="n">
        <v>0</v>
      </c>
      <c r="M427" t="n">
        <v>0</v>
      </c>
      <c r="N427" t="n">
        <v>0</v>
      </c>
      <c r="O427" t="n">
        <v>0</v>
      </c>
      <c r="P427" t="n">
        <v>0</v>
      </c>
      <c r="Q427" t="n">
        <v>0</v>
      </c>
      <c r="R427" t="n">
        <v>0</v>
      </c>
      <c r="S427" t="n">
        <v>0</v>
      </c>
      <c r="T427" t="n">
        <v>0</v>
      </c>
      <c r="U427" s="2" t="inlineStr"/>
    </row>
    <row r="428" ht="15" customHeight="1">
      <c r="A428" t="inlineStr">
        <is>
          <t>A 63906-2025</t>
        </is>
      </c>
      <c r="B428" t="inlineStr">
        <is>
          <t>avverkningsanmälan</t>
        </is>
      </c>
      <c r="C428" t="inlineStr">
        <is>
          <t>Föryngringsavverkning</t>
        </is>
      </c>
      <c r="D428" s="1" t="n">
        <v>46020</v>
      </c>
      <c r="E428" s="1" t="n">
        <v>46221</v>
      </c>
      <c r="F428" t="inlineStr">
        <is>
          <t>DALARNAS LÄN</t>
        </is>
      </c>
      <c r="G428" t="inlineStr">
        <is>
          <t>LEKSAND</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63905-2025</t>
        </is>
      </c>
      <c r="B429" t="inlineStr">
        <is>
          <t>avverkningsanmälan</t>
        </is>
      </c>
      <c r="C429" t="inlineStr">
        <is>
          <t>Föryngringsavverkning</t>
        </is>
      </c>
      <c r="D429" s="1" t="n">
        <v>46020</v>
      </c>
      <c r="E429" s="1" t="n">
        <v>46221</v>
      </c>
      <c r="F429" t="inlineStr">
        <is>
          <t>DALARNAS LÄN</t>
        </is>
      </c>
      <c r="G429" t="inlineStr">
        <is>
          <t>LEKSAND</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63757-2025</t>
        </is>
      </c>
      <c r="B430" t="inlineStr">
        <is>
          <t>avverkningsanmälan</t>
        </is>
      </c>
      <c r="C430" t="inlineStr">
        <is>
          <t>Föryngringsavverkning</t>
        </is>
      </c>
      <c r="D430" s="1" t="n">
        <v>46018</v>
      </c>
      <c r="E430" s="1" t="n">
        <v>46221</v>
      </c>
      <c r="F430" t="inlineStr">
        <is>
          <t>DALARNAS LÄN</t>
        </is>
      </c>
      <c r="G430" t="inlineStr">
        <is>
          <t>LEKSAND</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64096-2025</t>
        </is>
      </c>
      <c r="B431" t="inlineStr">
        <is>
          <t>avverkningsanmälan</t>
        </is>
      </c>
      <c r="C431" t="inlineStr">
        <is>
          <t>Föryngringsavverkning</t>
        </is>
      </c>
      <c r="D431" s="1" t="n">
        <v>46021</v>
      </c>
      <c r="E431" s="1" t="n">
        <v>46221</v>
      </c>
      <c r="F431" t="inlineStr">
        <is>
          <t>DALARNAS LÄN</t>
        </is>
      </c>
      <c r="G431" t="inlineStr">
        <is>
          <t>LEKSAND</t>
        </is>
      </c>
      <c r="I431" t="n">
        <v>4.5</v>
      </c>
      <c r="J431" t="n">
        <v>0</v>
      </c>
      <c r="K431" t="n">
        <v>0</v>
      </c>
      <c r="L431" t="n">
        <v>0</v>
      </c>
      <c r="M431" t="n">
        <v>0</v>
      </c>
      <c r="N431" t="n">
        <v>0</v>
      </c>
      <c r="O431" t="n">
        <v>0</v>
      </c>
      <c r="P431" t="n">
        <v>0</v>
      </c>
      <c r="Q431" t="n">
        <v>0</v>
      </c>
      <c r="R431" t="n">
        <v>0</v>
      </c>
      <c r="S431" t="n">
        <v>0</v>
      </c>
      <c r="T431" t="n">
        <v>0</v>
      </c>
      <c r="U431" s="2" t="inlineStr"/>
    </row>
    <row r="432" ht="15" customHeight="1">
      <c r="A432" t="inlineStr">
        <is>
          <t>A 63967-2025</t>
        </is>
      </c>
      <c r="B432" t="inlineStr">
        <is>
          <t>avverkningsanmälan</t>
        </is>
      </c>
      <c r="C432" t="inlineStr">
        <is>
          <t>Föryngringsavverkning</t>
        </is>
      </c>
      <c r="D432" s="1" t="n">
        <v>46021</v>
      </c>
      <c r="E432" s="1" t="n">
        <v>46221</v>
      </c>
      <c r="F432" t="inlineStr">
        <is>
          <t>DALARNAS LÄN</t>
        </is>
      </c>
      <c r="G432" t="inlineStr">
        <is>
          <t>LEKSAND</t>
        </is>
      </c>
      <c r="I432" t="n">
        <v>6.4</v>
      </c>
      <c r="J432" t="n">
        <v>0</v>
      </c>
      <c r="K432" t="n">
        <v>0</v>
      </c>
      <c r="L432" t="n">
        <v>0</v>
      </c>
      <c r="M432" t="n">
        <v>0</v>
      </c>
      <c r="N432" t="n">
        <v>0</v>
      </c>
      <c r="O432" t="n">
        <v>0</v>
      </c>
      <c r="P432" t="n">
        <v>0</v>
      </c>
      <c r="Q432" t="n">
        <v>0</v>
      </c>
      <c r="R432" t="n">
        <v>0</v>
      </c>
      <c r="S432" t="n">
        <v>0</v>
      </c>
      <c r="T432" t="n">
        <v>0</v>
      </c>
      <c r="U432" s="2" t="inlineStr"/>
    </row>
    <row r="433" ht="15" customHeight="1">
      <c r="A433" t="inlineStr">
        <is>
          <t>A 94-2026</t>
        </is>
      </c>
      <c r="B433" t="inlineStr">
        <is>
          <t>avverkningsanmälan</t>
        </is>
      </c>
      <c r="C433" t="inlineStr">
        <is>
          <t>Föryngringsavverkning</t>
        </is>
      </c>
      <c r="D433" s="1" t="n">
        <v>46024</v>
      </c>
      <c r="E433" s="1" t="n">
        <v>46221</v>
      </c>
      <c r="F433" t="inlineStr">
        <is>
          <t>DALARNAS LÄN</t>
        </is>
      </c>
      <c r="G433" t="inlineStr">
        <is>
          <t>LEKSAND</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133-2026</t>
        </is>
      </c>
      <c r="B434" t="inlineStr">
        <is>
          <t>avverkningsanmälan</t>
        </is>
      </c>
      <c r="C434" t="inlineStr">
        <is>
          <t>Föryngringsavverkning</t>
        </is>
      </c>
      <c r="D434" s="1" t="n">
        <v>46024</v>
      </c>
      <c r="E434" s="1" t="n">
        <v>46221</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319-2026</t>
        </is>
      </c>
      <c r="B435" t="inlineStr">
        <is>
          <t>avverkningsanmälan</t>
        </is>
      </c>
      <c r="C435" t="inlineStr">
        <is>
          <t>Föryngringsavverkning</t>
        </is>
      </c>
      <c r="D435" s="1" t="n">
        <v>46027</v>
      </c>
      <c r="E435" s="1" t="n">
        <v>46221</v>
      </c>
      <c r="F435" t="inlineStr">
        <is>
          <t>DALARNAS LÄN</t>
        </is>
      </c>
      <c r="G435" t="inlineStr">
        <is>
          <t>LEKSAND</t>
        </is>
      </c>
      <c r="I435" t="n">
        <v>12.9</v>
      </c>
      <c r="J435" t="n">
        <v>0</v>
      </c>
      <c r="K435" t="n">
        <v>0</v>
      </c>
      <c r="L435" t="n">
        <v>0</v>
      </c>
      <c r="M435" t="n">
        <v>0</v>
      </c>
      <c r="N435" t="n">
        <v>0</v>
      </c>
      <c r="O435" t="n">
        <v>0</v>
      </c>
      <c r="P435" t="n">
        <v>0</v>
      </c>
      <c r="Q435" t="n">
        <v>0</v>
      </c>
      <c r="R435" t="n">
        <v>0</v>
      </c>
      <c r="S435" t="n">
        <v>0</v>
      </c>
      <c r="T435" t="n">
        <v>0</v>
      </c>
      <c r="U435" s="2" t="inlineStr"/>
    </row>
    <row r="436" ht="15" customHeight="1">
      <c r="A436" t="inlineStr">
        <is>
          <t>A 471-2025</t>
        </is>
      </c>
      <c r="B436" t="inlineStr">
        <is>
          <t>avverkningsanmälan</t>
        </is>
      </c>
      <c r="C436" t="inlineStr">
        <is>
          <t>Föryngringsavverkning</t>
        </is>
      </c>
      <c r="D436" s="1" t="n">
        <v>45664</v>
      </c>
      <c r="E436" s="1" t="n">
        <v>46221</v>
      </c>
      <c r="F436" t="inlineStr">
        <is>
          <t>DALARNAS LÄN</t>
        </is>
      </c>
      <c r="G436" t="inlineStr">
        <is>
          <t>LEKSAND</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720-2026</t>
        </is>
      </c>
      <c r="B437" t="inlineStr">
        <is>
          <t>avverkningsanmälan</t>
        </is>
      </c>
      <c r="C437" t="inlineStr">
        <is>
          <t>Föryngringsavverkning</t>
        </is>
      </c>
      <c r="D437" s="1" t="n">
        <v>46029</v>
      </c>
      <c r="E437" s="1" t="n">
        <v>46221</v>
      </c>
      <c r="F437" t="inlineStr">
        <is>
          <t>DALARNAS LÄN</t>
        </is>
      </c>
      <c r="G437" t="inlineStr">
        <is>
          <t>LEKSAND</t>
        </is>
      </c>
      <c r="I437" t="n">
        <v>6.7</v>
      </c>
      <c r="J437" t="n">
        <v>0</v>
      </c>
      <c r="K437" t="n">
        <v>0</v>
      </c>
      <c r="L437" t="n">
        <v>0</v>
      </c>
      <c r="M437" t="n">
        <v>0</v>
      </c>
      <c r="N437" t="n">
        <v>0</v>
      </c>
      <c r="O437" t="n">
        <v>0</v>
      </c>
      <c r="P437" t="n">
        <v>0</v>
      </c>
      <c r="Q437" t="n">
        <v>0</v>
      </c>
      <c r="R437" t="n">
        <v>0</v>
      </c>
      <c r="S437" t="n">
        <v>0</v>
      </c>
      <c r="T437" t="n">
        <v>0</v>
      </c>
      <c r="U437" s="2" t="inlineStr"/>
    </row>
    <row r="438" ht="15" customHeight="1">
      <c r="A438" t="inlineStr">
        <is>
          <t>A 15583-2026</t>
        </is>
      </c>
      <c r="B438" t="inlineStr">
        <is>
          <t>avverkningsanmälan</t>
        </is>
      </c>
      <c r="C438" t="inlineStr">
        <is>
          <t>Föryngringsavverkning</t>
        </is>
      </c>
      <c r="D438" s="1" t="n">
        <v>46106</v>
      </c>
      <c r="E438" s="1" t="n">
        <v>46221</v>
      </c>
      <c r="F438" t="inlineStr">
        <is>
          <t>DALARNAS LÄN</t>
        </is>
      </c>
      <c r="G438" t="inlineStr">
        <is>
          <t>LEKSAND</t>
        </is>
      </c>
      <c r="H438" t="inlineStr">
        <is>
          <t>Bergvik skog väst AB</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521-2026</t>
        </is>
      </c>
      <c r="B439" t="inlineStr">
        <is>
          <t>avverkningsanmälan</t>
        </is>
      </c>
      <c r="C439" t="inlineStr">
        <is>
          <t>Föryngringsavverkning</t>
        </is>
      </c>
      <c r="D439" s="1" t="n">
        <v>46029</v>
      </c>
      <c r="E439" s="1" t="n">
        <v>46221</v>
      </c>
      <c r="F439" t="inlineStr">
        <is>
          <t>DALARNAS LÄN</t>
        </is>
      </c>
      <c r="G439" t="inlineStr">
        <is>
          <t>LEKSAND</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435-2026</t>
        </is>
      </c>
      <c r="B440" t="inlineStr">
        <is>
          <t>avverkningsanmälan</t>
        </is>
      </c>
      <c r="C440" t="inlineStr">
        <is>
          <t>Föryngringsavverkning</t>
        </is>
      </c>
      <c r="D440" s="1" t="n">
        <v>46029</v>
      </c>
      <c r="E440" s="1" t="n">
        <v>46221</v>
      </c>
      <c r="F440" t="inlineStr">
        <is>
          <t>DALARNAS LÄN</t>
        </is>
      </c>
      <c r="G440" t="inlineStr">
        <is>
          <t>LEKSAND</t>
        </is>
      </c>
      <c r="I440" t="n">
        <v>3.5</v>
      </c>
      <c r="J440" t="n">
        <v>0</v>
      </c>
      <c r="K440" t="n">
        <v>0</v>
      </c>
      <c r="L440" t="n">
        <v>0</v>
      </c>
      <c r="M440" t="n">
        <v>0</v>
      </c>
      <c r="N440" t="n">
        <v>0</v>
      </c>
      <c r="O440" t="n">
        <v>0</v>
      </c>
      <c r="P440" t="n">
        <v>0</v>
      </c>
      <c r="Q440" t="n">
        <v>0</v>
      </c>
      <c r="R440" t="n">
        <v>0</v>
      </c>
      <c r="S440" t="n">
        <v>0</v>
      </c>
      <c r="T440" t="n">
        <v>0</v>
      </c>
      <c r="U440" s="2" t="inlineStr"/>
    </row>
    <row r="441" ht="15" customHeight="1">
      <c r="A441" t="inlineStr">
        <is>
          <t>A 11128-2023</t>
        </is>
      </c>
      <c r="B441" t="inlineStr">
        <is>
          <t>avverkningsanmälan</t>
        </is>
      </c>
      <c r="C441" t="inlineStr">
        <is>
          <t>Avverkning för annat ändamål</t>
        </is>
      </c>
      <c r="D441" s="1" t="n">
        <v>44992</v>
      </c>
      <c r="E441" s="1" t="n">
        <v>46221</v>
      </c>
      <c r="F441" t="inlineStr">
        <is>
          <t>DALARNAS LÄN</t>
        </is>
      </c>
      <c r="G441" t="inlineStr">
        <is>
          <t>LEKSAND</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60024-2023</t>
        </is>
      </c>
      <c r="B442" t="inlineStr">
        <is>
          <t>avverkningsanmälan</t>
        </is>
      </c>
      <c r="C442" t="inlineStr">
        <is>
          <t>Föryngringsavverkning</t>
        </is>
      </c>
      <c r="D442" s="1" t="n">
        <v>45258</v>
      </c>
      <c r="E442" s="1" t="n">
        <v>46221</v>
      </c>
      <c r="F442" t="inlineStr">
        <is>
          <t>DALARNAS LÄN</t>
        </is>
      </c>
      <c r="G442" t="inlineStr">
        <is>
          <t>LEKSAND</t>
        </is>
      </c>
      <c r="I442" t="n">
        <v>4.2</v>
      </c>
      <c r="J442" t="n">
        <v>0</v>
      </c>
      <c r="K442" t="n">
        <v>0</v>
      </c>
      <c r="L442" t="n">
        <v>0</v>
      </c>
      <c r="M442" t="n">
        <v>0</v>
      </c>
      <c r="N442" t="n">
        <v>0</v>
      </c>
      <c r="O442" t="n">
        <v>0</v>
      </c>
      <c r="P442" t="n">
        <v>0</v>
      </c>
      <c r="Q442" t="n">
        <v>0</v>
      </c>
      <c r="R442" t="n">
        <v>0</v>
      </c>
      <c r="S442" t="n">
        <v>0</v>
      </c>
      <c r="T442" t="n">
        <v>0</v>
      </c>
      <c r="U442" s="2" t="inlineStr"/>
    </row>
    <row r="443" ht="15" customHeight="1">
      <c r="A443" t="inlineStr">
        <is>
          <t>A 11859-2024</t>
        </is>
      </c>
      <c r="B443" t="inlineStr">
        <is>
          <t>avverkningsanmälan</t>
        </is>
      </c>
      <c r="C443" t="inlineStr">
        <is>
          <t>Föryngringsavverkning</t>
        </is>
      </c>
      <c r="D443" s="1" t="n">
        <v>45376</v>
      </c>
      <c r="E443" s="1" t="n">
        <v>46221</v>
      </c>
      <c r="F443" t="inlineStr">
        <is>
          <t>DALARNAS LÄN</t>
        </is>
      </c>
      <c r="G443" t="inlineStr">
        <is>
          <t>LEKSAND</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62133-2023</t>
        </is>
      </c>
      <c r="B444" t="inlineStr">
        <is>
          <t>avverkningsanmälan</t>
        </is>
      </c>
      <c r="C444" t="inlineStr">
        <is>
          <t>Föryngringsavverkning</t>
        </is>
      </c>
      <c r="D444" s="1" t="n">
        <v>45267</v>
      </c>
      <c r="E444" s="1" t="n">
        <v>46221</v>
      </c>
      <c r="F444" t="inlineStr">
        <is>
          <t>DALARNAS LÄN</t>
        </is>
      </c>
      <c r="G444" t="inlineStr">
        <is>
          <t>LEKSAND</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367-2026</t>
        </is>
      </c>
      <c r="B445" t="inlineStr">
        <is>
          <t>avverkningsanmälan</t>
        </is>
      </c>
      <c r="C445" t="inlineStr">
        <is>
          <t>Föryngringsavverkning</t>
        </is>
      </c>
      <c r="D445" s="1" t="n">
        <v>46027</v>
      </c>
      <c r="E445" s="1" t="n">
        <v>46221</v>
      </c>
      <c r="F445" t="inlineStr">
        <is>
          <t>DALARNAS LÄN</t>
        </is>
      </c>
      <c r="G445" t="inlineStr">
        <is>
          <t>LEKSAND</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15561-2026</t>
        </is>
      </c>
      <c r="B446" t="inlineStr">
        <is>
          <t>avverkningsanmälan</t>
        </is>
      </c>
      <c r="C446" t="inlineStr">
        <is>
          <t>Föryngringsavverkning</t>
        </is>
      </c>
      <c r="D446" s="1" t="n">
        <v>46106</v>
      </c>
      <c r="E446" s="1" t="n">
        <v>46221</v>
      </c>
      <c r="F446" t="inlineStr">
        <is>
          <t>DALARNAS LÄN</t>
        </is>
      </c>
      <c r="G446" t="inlineStr">
        <is>
          <t>LEKSAND</t>
        </is>
      </c>
      <c r="H446" t="inlineStr">
        <is>
          <t>Bergvik skog väst AB</t>
        </is>
      </c>
      <c r="I446" t="n">
        <v>11.3</v>
      </c>
      <c r="J446" t="n">
        <v>0</v>
      </c>
      <c r="K446" t="n">
        <v>0</v>
      </c>
      <c r="L446" t="n">
        <v>0</v>
      </c>
      <c r="M446" t="n">
        <v>0</v>
      </c>
      <c r="N446" t="n">
        <v>0</v>
      </c>
      <c r="O446" t="n">
        <v>0</v>
      </c>
      <c r="P446" t="n">
        <v>0</v>
      </c>
      <c r="Q446" t="n">
        <v>0</v>
      </c>
      <c r="R446" t="n">
        <v>0</v>
      </c>
      <c r="S446" t="n">
        <v>0</v>
      </c>
      <c r="T446" t="n">
        <v>0</v>
      </c>
      <c r="U446" s="2" t="inlineStr"/>
    </row>
    <row r="447" ht="15" customHeight="1">
      <c r="A447" t="inlineStr">
        <is>
          <t>A 6039-2023</t>
        </is>
      </c>
      <c r="B447" t="inlineStr">
        <is>
          <t>avverkningsanmälan</t>
        </is>
      </c>
      <c r="C447" t="inlineStr">
        <is>
          <t>Föryngringsavverkning</t>
        </is>
      </c>
      <c r="D447" s="1" t="n">
        <v>44959</v>
      </c>
      <c r="E447" s="1" t="n">
        <v>46221</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22517-2024</t>
        </is>
      </c>
      <c r="B448" t="inlineStr">
        <is>
          <t>avverkningsanmälan</t>
        </is>
      </c>
      <c r="C448" t="inlineStr">
        <is>
          <t>Föryngringsavverkning</t>
        </is>
      </c>
      <c r="D448" s="1" t="n">
        <v>45447</v>
      </c>
      <c r="E448" s="1" t="n">
        <v>46221</v>
      </c>
      <c r="F448" t="inlineStr">
        <is>
          <t>DALARNAS LÄN</t>
        </is>
      </c>
      <c r="G448" t="inlineStr">
        <is>
          <t>LEKSAND</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52801-2023</t>
        </is>
      </c>
      <c r="B449" t="inlineStr">
        <is>
          <t>avverkningsanmälan</t>
        </is>
      </c>
      <c r="C449" t="inlineStr">
        <is>
          <t>Föryngringsavverkning</t>
        </is>
      </c>
      <c r="D449" s="1" t="n">
        <v>45219</v>
      </c>
      <c r="E449" s="1" t="n">
        <v>46221</v>
      </c>
      <c r="F449" t="inlineStr">
        <is>
          <t>DALARNAS LÄN</t>
        </is>
      </c>
      <c r="G449" t="inlineStr">
        <is>
          <t>LEKSAND</t>
        </is>
      </c>
      <c r="I449" t="n">
        <v>4.9</v>
      </c>
      <c r="J449" t="n">
        <v>0</v>
      </c>
      <c r="K449" t="n">
        <v>0</v>
      </c>
      <c r="L449" t="n">
        <v>0</v>
      </c>
      <c r="M449" t="n">
        <v>0</v>
      </c>
      <c r="N449" t="n">
        <v>0</v>
      </c>
      <c r="O449" t="n">
        <v>0</v>
      </c>
      <c r="P449" t="n">
        <v>0</v>
      </c>
      <c r="Q449" t="n">
        <v>0</v>
      </c>
      <c r="R449" t="n">
        <v>0</v>
      </c>
      <c r="S449" t="n">
        <v>0</v>
      </c>
      <c r="T449" t="n">
        <v>0</v>
      </c>
      <c r="U449" s="2" t="inlineStr"/>
    </row>
    <row r="450" ht="15" customHeight="1">
      <c r="A450" t="inlineStr">
        <is>
          <t>A 45768-2023</t>
        </is>
      </c>
      <c r="B450" t="inlineStr">
        <is>
          <t>avverkningsanmälan</t>
        </is>
      </c>
      <c r="C450" t="inlineStr">
        <is>
          <t>Avverkning för annat ändamål</t>
        </is>
      </c>
      <c r="D450" s="1" t="n">
        <v>45195</v>
      </c>
      <c r="E450" s="1" t="n">
        <v>46221</v>
      </c>
      <c r="F450" t="inlineStr">
        <is>
          <t>DALARNAS LÄN</t>
        </is>
      </c>
      <c r="G450" t="inlineStr">
        <is>
          <t>LEKSAND</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A 15641-2026</t>
        </is>
      </c>
      <c r="B451" t="inlineStr">
        <is>
          <t>avverkningsanmälan</t>
        </is>
      </c>
      <c r="C451" t="inlineStr">
        <is>
          <t>Föryngringsavverkning</t>
        </is>
      </c>
      <c r="D451" s="1" t="n">
        <v>46106</v>
      </c>
      <c r="E451" s="1" t="n">
        <v>46221</v>
      </c>
      <c r="F451" t="inlineStr">
        <is>
          <t>DALARNAS LÄN</t>
        </is>
      </c>
      <c r="G451" t="inlineStr">
        <is>
          <t>LEKSAND</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1960-2026</t>
        </is>
      </c>
      <c r="B452" t="inlineStr">
        <is>
          <t>avverkningsanmälan</t>
        </is>
      </c>
      <c r="C452" t="inlineStr">
        <is>
          <t>Föryngringsavverkning</t>
        </is>
      </c>
      <c r="D452" s="1" t="n">
        <v>46035</v>
      </c>
      <c r="E452" s="1" t="n">
        <v>46221</v>
      </c>
      <c r="F452" t="inlineStr">
        <is>
          <t>DALARNAS LÄN</t>
        </is>
      </c>
      <c r="G452" t="inlineStr">
        <is>
          <t>LEKSAND</t>
        </is>
      </c>
      <c r="I452" t="n">
        <v>4.3</v>
      </c>
      <c r="J452" t="n">
        <v>0</v>
      </c>
      <c r="K452" t="n">
        <v>0</v>
      </c>
      <c r="L452" t="n">
        <v>0</v>
      </c>
      <c r="M452" t="n">
        <v>0</v>
      </c>
      <c r="N452" t="n">
        <v>0</v>
      </c>
      <c r="O452" t="n">
        <v>0</v>
      </c>
      <c r="P452" t="n">
        <v>0</v>
      </c>
      <c r="Q452" t="n">
        <v>0</v>
      </c>
      <c r="R452" t="n">
        <v>0</v>
      </c>
      <c r="S452" t="n">
        <v>0</v>
      </c>
      <c r="T452" t="n">
        <v>0</v>
      </c>
      <c r="U452" s="2" t="inlineStr"/>
    </row>
    <row r="453" ht="15" customHeight="1">
      <c r="A453" t="inlineStr">
        <is>
          <t>A 41306-2024</t>
        </is>
      </c>
      <c r="B453" t="inlineStr">
        <is>
          <t>avverkningsanmälan</t>
        </is>
      </c>
      <c r="C453" t="inlineStr">
        <is>
          <t>Föryngringsavverkning</t>
        </is>
      </c>
      <c r="D453" s="1" t="n">
        <v>45559</v>
      </c>
      <c r="E453" s="1" t="n">
        <v>46221</v>
      </c>
      <c r="F453" t="inlineStr">
        <is>
          <t>DALARNAS LÄN</t>
        </is>
      </c>
      <c r="G453" t="inlineStr">
        <is>
          <t>LEKSAND</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1899-2026</t>
        </is>
      </c>
      <c r="B454" t="inlineStr">
        <is>
          <t>avverkningsanmälan</t>
        </is>
      </c>
      <c r="C454" t="inlineStr">
        <is>
          <t>Avverkning för annat ändamål</t>
        </is>
      </c>
      <c r="D454" s="1" t="n">
        <v>46035</v>
      </c>
      <c r="E454" s="1" t="n">
        <v>46221</v>
      </c>
      <c r="F454" t="inlineStr">
        <is>
          <t>DALARNAS LÄN</t>
        </is>
      </c>
      <c r="G454" t="inlineStr">
        <is>
          <t>LEKSAND</t>
        </is>
      </c>
      <c r="I454" t="n">
        <v>3.6</v>
      </c>
      <c r="J454" t="n">
        <v>0</v>
      </c>
      <c r="K454" t="n">
        <v>0</v>
      </c>
      <c r="L454" t="n">
        <v>0</v>
      </c>
      <c r="M454" t="n">
        <v>0</v>
      </c>
      <c r="N454" t="n">
        <v>0</v>
      </c>
      <c r="O454" t="n">
        <v>0</v>
      </c>
      <c r="P454" t="n">
        <v>0</v>
      </c>
      <c r="Q454" t="n">
        <v>0</v>
      </c>
      <c r="R454" t="n">
        <v>0</v>
      </c>
      <c r="S454" t="n">
        <v>0</v>
      </c>
      <c r="T454" t="n">
        <v>0</v>
      </c>
      <c r="U454" s="2" t="inlineStr"/>
    </row>
    <row r="455" ht="15" customHeight="1">
      <c r="A455" t="inlineStr">
        <is>
          <t>A 1983-2026</t>
        </is>
      </c>
      <c r="B455" t="inlineStr">
        <is>
          <t>avverkningsanmälan</t>
        </is>
      </c>
      <c r="C455" t="inlineStr">
        <is>
          <t>Föryngringsavverkning</t>
        </is>
      </c>
      <c r="D455" s="1" t="n">
        <v>46035</v>
      </c>
      <c r="E455" s="1" t="n">
        <v>46221</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36450-2023</t>
        </is>
      </c>
      <c r="B456" t="inlineStr">
        <is>
          <t>avverkningsanmälan</t>
        </is>
      </c>
      <c r="C456" t="inlineStr">
        <is>
          <t>Föryngringsavverkning</t>
        </is>
      </c>
      <c r="D456" s="1" t="n">
        <v>45152</v>
      </c>
      <c r="E456" s="1" t="n">
        <v>46221</v>
      </c>
      <c r="F456" t="inlineStr">
        <is>
          <t>DALARNAS LÄN</t>
        </is>
      </c>
      <c r="G456" t="inlineStr">
        <is>
          <t>LEKSAND</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16188-2026</t>
        </is>
      </c>
      <c r="B457" t="inlineStr">
        <is>
          <t>avverkningsanmälan</t>
        </is>
      </c>
      <c r="C457" t="inlineStr">
        <is>
          <t>Föryngringsavverkning</t>
        </is>
      </c>
      <c r="D457" s="1" t="n">
        <v>46111</v>
      </c>
      <c r="E457" s="1" t="n">
        <v>46221</v>
      </c>
      <c r="F457" t="inlineStr">
        <is>
          <t>DALARNAS LÄN</t>
        </is>
      </c>
      <c r="G457" t="inlineStr">
        <is>
          <t>LEKSAND</t>
        </is>
      </c>
      <c r="H457" t="inlineStr">
        <is>
          <t>Övriga Aktiebolag</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57536-2025</t>
        </is>
      </c>
      <c r="B458" t="inlineStr">
        <is>
          <t>avverkningsanmälan</t>
        </is>
      </c>
      <c r="C458" t="inlineStr">
        <is>
          <t>Föryngringsavverkning</t>
        </is>
      </c>
      <c r="D458" s="1" t="n">
        <v>45980</v>
      </c>
      <c r="E458" s="1" t="n">
        <v>46221</v>
      </c>
      <c r="F458" t="inlineStr">
        <is>
          <t>DALARNAS LÄN</t>
        </is>
      </c>
      <c r="G458" t="inlineStr">
        <is>
          <t>LEKSAND</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3737-2023</t>
        </is>
      </c>
      <c r="B459" t="inlineStr">
        <is>
          <t>avverkningsanmälan</t>
        </is>
      </c>
      <c r="C459" t="inlineStr">
        <is>
          <t>Föryngringsavverkning</t>
        </is>
      </c>
      <c r="D459" s="1" t="n">
        <v>44951</v>
      </c>
      <c r="E459" s="1" t="n">
        <v>46221</v>
      </c>
      <c r="F459" t="inlineStr">
        <is>
          <t>DALARNAS LÄN</t>
        </is>
      </c>
      <c r="G459" t="inlineStr">
        <is>
          <t>LEKSAND</t>
        </is>
      </c>
      <c r="I459" t="n">
        <v>3.1</v>
      </c>
      <c r="J459" t="n">
        <v>0</v>
      </c>
      <c r="K459" t="n">
        <v>0</v>
      </c>
      <c r="L459" t="n">
        <v>0</v>
      </c>
      <c r="M459" t="n">
        <v>0</v>
      </c>
      <c r="N459" t="n">
        <v>0</v>
      </c>
      <c r="O459" t="n">
        <v>0</v>
      </c>
      <c r="P459" t="n">
        <v>0</v>
      </c>
      <c r="Q459" t="n">
        <v>0</v>
      </c>
      <c r="R459" t="n">
        <v>0</v>
      </c>
      <c r="S459" t="n">
        <v>0</v>
      </c>
      <c r="T459" t="n">
        <v>0</v>
      </c>
      <c r="U459" s="2" t="inlineStr"/>
    </row>
    <row r="460" ht="15" customHeight="1">
      <c r="A460" t="inlineStr">
        <is>
          <t>A 11678-2023</t>
        </is>
      </c>
      <c r="B460" t="inlineStr">
        <is>
          <t>avverkningsanmälan</t>
        </is>
      </c>
      <c r="C460" t="inlineStr">
        <is>
          <t>Avverkning för annat ändamål</t>
        </is>
      </c>
      <c r="D460" s="1" t="n">
        <v>44994</v>
      </c>
      <c r="E460" s="1" t="n">
        <v>46221</v>
      </c>
      <c r="F460" t="inlineStr">
        <is>
          <t>DALARNAS LÄN</t>
        </is>
      </c>
      <c r="G460" t="inlineStr">
        <is>
          <t>LEKSAND</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16234-2026</t>
        </is>
      </c>
      <c r="B461" t="inlineStr">
        <is>
          <t>avverkningsanmälan</t>
        </is>
      </c>
      <c r="C461" t="inlineStr">
        <is>
          <t>Föryngringsavverkning</t>
        </is>
      </c>
      <c r="D461" s="1" t="n">
        <v>46111</v>
      </c>
      <c r="E461" s="1" t="n">
        <v>46221</v>
      </c>
      <c r="F461" t="inlineStr">
        <is>
          <t>DALARNAS LÄN</t>
        </is>
      </c>
      <c r="G461" t="inlineStr">
        <is>
          <t>LEKSAND</t>
        </is>
      </c>
      <c r="H461" t="inlineStr">
        <is>
          <t>Bergvik skog väst AB</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13288-2023</t>
        </is>
      </c>
      <c r="B462" t="inlineStr">
        <is>
          <t>avverkningsanmälan</t>
        </is>
      </c>
      <c r="C462" t="inlineStr">
        <is>
          <t>Föryngringsavverkning</t>
        </is>
      </c>
      <c r="D462" s="1" t="n">
        <v>45004</v>
      </c>
      <c r="E462" s="1" t="n">
        <v>46221</v>
      </c>
      <c r="F462" t="inlineStr">
        <is>
          <t>DALARNAS LÄN</t>
        </is>
      </c>
      <c r="G462" t="inlineStr">
        <is>
          <t>LEKSAND</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16238-2026</t>
        </is>
      </c>
      <c r="B463" t="inlineStr">
        <is>
          <t>avverkningsanmälan</t>
        </is>
      </c>
      <c r="C463" t="inlineStr">
        <is>
          <t>Föryngringsavverkning</t>
        </is>
      </c>
      <c r="D463" s="1" t="n">
        <v>46111</v>
      </c>
      <c r="E463" s="1" t="n">
        <v>46221</v>
      </c>
      <c r="F463" t="inlineStr">
        <is>
          <t>DALARNAS LÄN</t>
        </is>
      </c>
      <c r="G463" t="inlineStr">
        <is>
          <t>LEKSAND</t>
        </is>
      </c>
      <c r="H463" t="inlineStr">
        <is>
          <t>Bergvik skog väst AB</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11869-2024</t>
        </is>
      </c>
      <c r="B464" t="inlineStr">
        <is>
          <t>avverkningsanmälan</t>
        </is>
      </c>
      <c r="C464" t="inlineStr">
        <is>
          <t>Föryngringsavverkning</t>
        </is>
      </c>
      <c r="D464" s="1" t="n">
        <v>45376</v>
      </c>
      <c r="E464" s="1" t="n">
        <v>46221</v>
      </c>
      <c r="F464" t="inlineStr">
        <is>
          <t>DALARNAS LÄN</t>
        </is>
      </c>
      <c r="G464" t="inlineStr">
        <is>
          <t>LEKSAND</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27520-2023</t>
        </is>
      </c>
      <c r="B465" t="inlineStr">
        <is>
          <t>avverkningsanmälan</t>
        </is>
      </c>
      <c r="C465" t="inlineStr">
        <is>
          <t>Föryngringsavverkning</t>
        </is>
      </c>
      <c r="D465" s="1" t="n">
        <v>45097</v>
      </c>
      <c r="E465" s="1" t="n">
        <v>46221</v>
      </c>
      <c r="F465" t="inlineStr">
        <is>
          <t>DALARNAS LÄN</t>
        </is>
      </c>
      <c r="G465" t="inlineStr">
        <is>
          <t>LEKSAND</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30169-2023</t>
        </is>
      </c>
      <c r="B466" t="inlineStr">
        <is>
          <t>avverkningsanmälan</t>
        </is>
      </c>
      <c r="C466" t="inlineStr">
        <is>
          <t>Föryngringsavverkning</t>
        </is>
      </c>
      <c r="D466" s="1" t="n">
        <v>45110</v>
      </c>
      <c r="E466" s="1" t="n">
        <v>46221</v>
      </c>
      <c r="F466" t="inlineStr">
        <is>
          <t>DALARNAS LÄN</t>
        </is>
      </c>
      <c r="G466" t="inlineStr">
        <is>
          <t>LEKSAND</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37952-2024</t>
        </is>
      </c>
      <c r="B467" t="inlineStr">
        <is>
          <t>avverkningsanmälan</t>
        </is>
      </c>
      <c r="C467" t="inlineStr">
        <is>
          <t>Föryngringsavverkning</t>
        </is>
      </c>
      <c r="D467" s="1" t="n">
        <v>45544</v>
      </c>
      <c r="E467" s="1" t="n">
        <v>46221</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16613-2026</t>
        </is>
      </c>
      <c r="B468" t="inlineStr">
        <is>
          <t>avverkningsanmälan</t>
        </is>
      </c>
      <c r="C468" t="inlineStr">
        <is>
          <t>Föryngringsavverkning</t>
        </is>
      </c>
      <c r="D468" s="1" t="n">
        <v>46112</v>
      </c>
      <c r="E468" s="1" t="n">
        <v>46221</v>
      </c>
      <c r="F468" t="inlineStr">
        <is>
          <t>DALARNAS LÄN</t>
        </is>
      </c>
      <c r="G468" t="inlineStr">
        <is>
          <t>LEKSAND</t>
        </is>
      </c>
      <c r="H468" t="inlineStr">
        <is>
          <t>Bergvik skog väst AB</t>
        </is>
      </c>
      <c r="I468" t="n">
        <v>12.7</v>
      </c>
      <c r="J468" t="n">
        <v>0</v>
      </c>
      <c r="K468" t="n">
        <v>0</v>
      </c>
      <c r="L468" t="n">
        <v>0</v>
      </c>
      <c r="M468" t="n">
        <v>0</v>
      </c>
      <c r="N468" t="n">
        <v>0</v>
      </c>
      <c r="O468" t="n">
        <v>0</v>
      </c>
      <c r="P468" t="n">
        <v>0</v>
      </c>
      <c r="Q468" t="n">
        <v>0</v>
      </c>
      <c r="R468" t="n">
        <v>0</v>
      </c>
      <c r="S468" t="n">
        <v>0</v>
      </c>
      <c r="T468" t="n">
        <v>0</v>
      </c>
      <c r="U468" s="2" t="inlineStr"/>
    </row>
    <row r="469" ht="15" customHeight="1">
      <c r="A469" t="inlineStr">
        <is>
          <t>A 16868-2026</t>
        </is>
      </c>
      <c r="B469" t="inlineStr">
        <is>
          <t>avverkningsanmälan</t>
        </is>
      </c>
      <c r="C469" t="inlineStr">
        <is>
          <t>Föryngringsavverkning</t>
        </is>
      </c>
      <c r="D469" s="1" t="n">
        <v>46113</v>
      </c>
      <c r="E469" s="1" t="n">
        <v>46221</v>
      </c>
      <c r="F469" t="inlineStr">
        <is>
          <t>DALARNAS LÄN</t>
        </is>
      </c>
      <c r="G469" t="inlineStr">
        <is>
          <t>LEKSAND</t>
        </is>
      </c>
      <c r="H469" t="inlineStr">
        <is>
          <t>Bergvik skog väst AB</t>
        </is>
      </c>
      <c r="I469" t="n">
        <v>4.4</v>
      </c>
      <c r="J469" t="n">
        <v>0</v>
      </c>
      <c r="K469" t="n">
        <v>0</v>
      </c>
      <c r="L469" t="n">
        <v>0</v>
      </c>
      <c r="M469" t="n">
        <v>0</v>
      </c>
      <c r="N469" t="n">
        <v>0</v>
      </c>
      <c r="O469" t="n">
        <v>0</v>
      </c>
      <c r="P469" t="n">
        <v>0</v>
      </c>
      <c r="Q469" t="n">
        <v>0</v>
      </c>
      <c r="R469" t="n">
        <v>0</v>
      </c>
      <c r="S469" t="n">
        <v>0</v>
      </c>
      <c r="T469" t="n">
        <v>0</v>
      </c>
      <c r="U469" s="2" t="inlineStr"/>
    </row>
    <row r="470" ht="15" customHeight="1">
      <c r="A470" t="inlineStr">
        <is>
          <t>A 3352-2024</t>
        </is>
      </c>
      <c r="B470" t="inlineStr">
        <is>
          <t>avverkningsanmälan</t>
        </is>
      </c>
      <c r="C470" t="inlineStr">
        <is>
          <t>Föryngringsavverkning</t>
        </is>
      </c>
      <c r="D470" s="1" t="n">
        <v>45317</v>
      </c>
      <c r="E470" s="1" t="n">
        <v>46221</v>
      </c>
      <c r="F470" t="inlineStr">
        <is>
          <t>DALARNAS LÄN</t>
        </is>
      </c>
      <c r="G470" t="inlineStr">
        <is>
          <t>LEKSAND</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16861-2026</t>
        </is>
      </c>
      <c r="B471" t="inlineStr">
        <is>
          <t>avverkningsanmälan</t>
        </is>
      </c>
      <c r="C471" t="inlineStr">
        <is>
          <t>Föryngringsavverkning</t>
        </is>
      </c>
      <c r="D471" s="1" t="n">
        <v>46113</v>
      </c>
      <c r="E471" s="1" t="n">
        <v>46221</v>
      </c>
      <c r="F471" t="inlineStr">
        <is>
          <t>DALARNAS LÄN</t>
        </is>
      </c>
      <c r="G471" t="inlineStr">
        <is>
          <t>LEKSAND</t>
        </is>
      </c>
      <c r="I471" t="n">
        <v>18.9</v>
      </c>
      <c r="J471" t="n">
        <v>0</v>
      </c>
      <c r="K471" t="n">
        <v>0</v>
      </c>
      <c r="L471" t="n">
        <v>0</v>
      </c>
      <c r="M471" t="n">
        <v>0</v>
      </c>
      <c r="N471" t="n">
        <v>0</v>
      </c>
      <c r="O471" t="n">
        <v>0</v>
      </c>
      <c r="P471" t="n">
        <v>0</v>
      </c>
      <c r="Q471" t="n">
        <v>0</v>
      </c>
      <c r="R471" t="n">
        <v>0</v>
      </c>
      <c r="S471" t="n">
        <v>0</v>
      </c>
      <c r="T471" t="n">
        <v>0</v>
      </c>
      <c r="U471" s="2" t="inlineStr"/>
    </row>
    <row r="472" ht="15" customHeight="1">
      <c r="A472" t="inlineStr">
        <is>
          <t>A 17290-2026</t>
        </is>
      </c>
      <c r="B472" t="inlineStr">
        <is>
          <t>avverkningsanmälan</t>
        </is>
      </c>
      <c r="C472" t="inlineStr">
        <is>
          <t>Föryngringsavverkning</t>
        </is>
      </c>
      <c r="D472" s="1" t="n">
        <v>46119</v>
      </c>
      <c r="E472" s="1" t="n">
        <v>46221</v>
      </c>
      <c r="F472" t="inlineStr">
        <is>
          <t>DALARNAS LÄN</t>
        </is>
      </c>
      <c r="G472" t="inlineStr">
        <is>
          <t>LEKSAND</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11004-2023</t>
        </is>
      </c>
      <c r="B473" t="inlineStr">
        <is>
          <t>avverkningsanmälan</t>
        </is>
      </c>
      <c r="C473" t="inlineStr">
        <is>
          <t>Föryngringsavverkning</t>
        </is>
      </c>
      <c r="D473" s="1" t="n">
        <v>44986</v>
      </c>
      <c r="E473" s="1" t="n">
        <v>46221</v>
      </c>
      <c r="F473" t="inlineStr">
        <is>
          <t>DALARNAS LÄN</t>
        </is>
      </c>
      <c r="G473" t="inlineStr">
        <is>
          <t>LEKSAND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27244-2023</t>
        </is>
      </c>
      <c r="B474" t="inlineStr">
        <is>
          <t>avverkningsanmälan</t>
        </is>
      </c>
      <c r="C474" t="inlineStr">
        <is>
          <t>Föryngringsavverkning</t>
        </is>
      </c>
      <c r="D474" s="1" t="n">
        <v>45096</v>
      </c>
      <c r="E474" s="1" t="n">
        <v>46221</v>
      </c>
      <c r="F474" t="inlineStr">
        <is>
          <t>DALARNAS LÄN</t>
        </is>
      </c>
      <c r="G474" t="inlineStr">
        <is>
          <t>LEKSAND</t>
        </is>
      </c>
      <c r="I474" t="n">
        <v>5</v>
      </c>
      <c r="J474" t="n">
        <v>0</v>
      </c>
      <c r="K474" t="n">
        <v>0</v>
      </c>
      <c r="L474" t="n">
        <v>0</v>
      </c>
      <c r="M474" t="n">
        <v>0</v>
      </c>
      <c r="N474" t="n">
        <v>0</v>
      </c>
      <c r="O474" t="n">
        <v>0</v>
      </c>
      <c r="P474" t="n">
        <v>0</v>
      </c>
      <c r="Q474" t="n">
        <v>0</v>
      </c>
      <c r="R474" t="n">
        <v>0</v>
      </c>
      <c r="S474" t="n">
        <v>0</v>
      </c>
      <c r="T474" t="n">
        <v>0</v>
      </c>
      <c r="U474" s="2" t="inlineStr"/>
    </row>
    <row r="475" ht="15" customHeight="1">
      <c r="A475" t="inlineStr">
        <is>
          <t>A 17590-2026</t>
        </is>
      </c>
      <c r="B475" t="inlineStr">
        <is>
          <t>avverkningsanmälan</t>
        </is>
      </c>
      <c r="C475" t="inlineStr">
        <is>
          <t>Föryngringsavverkning</t>
        </is>
      </c>
      <c r="D475" s="1" t="n">
        <v>46121</v>
      </c>
      <c r="E475" s="1" t="n">
        <v>46221</v>
      </c>
      <c r="F475" t="inlineStr">
        <is>
          <t>DALARNAS LÄN</t>
        </is>
      </c>
      <c r="G475" t="inlineStr">
        <is>
          <t>LEKSAND</t>
        </is>
      </c>
      <c r="H475" t="inlineStr">
        <is>
          <t>Övriga Aktiebolag</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17849-2026</t>
        </is>
      </c>
      <c r="B476" t="inlineStr">
        <is>
          <t>avverkningsanmälan</t>
        </is>
      </c>
      <c r="C476" t="inlineStr">
        <is>
          <t>Föryngringsavverkning</t>
        </is>
      </c>
      <c r="D476" s="1" t="n">
        <v>46122</v>
      </c>
      <c r="E476" s="1" t="n">
        <v>46221</v>
      </c>
      <c r="F476" t="inlineStr">
        <is>
          <t>DALARNAS LÄN</t>
        </is>
      </c>
      <c r="G476" t="inlineStr">
        <is>
          <t>LEKSAND</t>
        </is>
      </c>
      <c r="H476" t="inlineStr">
        <is>
          <t>Bergvik skog väst AB</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18482-2026</t>
        </is>
      </c>
      <c r="B477" t="inlineStr">
        <is>
          <t>avverkningsanmälan</t>
        </is>
      </c>
      <c r="C477" t="inlineStr">
        <is>
          <t>Föryngringsavverkning</t>
        </is>
      </c>
      <c r="D477" s="1" t="n">
        <v>46127</v>
      </c>
      <c r="E477" s="1" t="n">
        <v>46221</v>
      </c>
      <c r="F477" t="inlineStr">
        <is>
          <t>DALARNAS LÄN</t>
        </is>
      </c>
      <c r="G477" t="inlineStr">
        <is>
          <t>LEKSAND</t>
        </is>
      </c>
      <c r="H477" t="inlineStr">
        <is>
          <t>Bergvik skog väst AB</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18510-2026</t>
        </is>
      </c>
      <c r="B478" t="inlineStr">
        <is>
          <t>avverkningsanmälan</t>
        </is>
      </c>
      <c r="C478" t="inlineStr">
        <is>
          <t>Föryngringsavverkning</t>
        </is>
      </c>
      <c r="D478" s="1" t="n">
        <v>46127</v>
      </c>
      <c r="E478" s="1" t="n">
        <v>46221</v>
      </c>
      <c r="F478" t="inlineStr">
        <is>
          <t>DALARNAS LÄN</t>
        </is>
      </c>
      <c r="G478" t="inlineStr">
        <is>
          <t>LEKSAND</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16051-2023</t>
        </is>
      </c>
      <c r="B479" t="inlineStr">
        <is>
          <t>avverkningsanmälan</t>
        </is>
      </c>
      <c r="C479" t="inlineStr">
        <is>
          <t>Föryngringsavverkning</t>
        </is>
      </c>
      <c r="D479" s="1" t="n">
        <v>45027</v>
      </c>
      <c r="E479" s="1" t="n">
        <v>46221</v>
      </c>
      <c r="F479" t="inlineStr">
        <is>
          <t>DALARNAS LÄN</t>
        </is>
      </c>
      <c r="G479" t="inlineStr">
        <is>
          <t>LEKSAND</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18492-2026</t>
        </is>
      </c>
      <c r="B480" t="inlineStr">
        <is>
          <t>avverkningsanmälan</t>
        </is>
      </c>
      <c r="C480" t="inlineStr">
        <is>
          <t>Föryngringsavverkning</t>
        </is>
      </c>
      <c r="D480" s="1" t="n">
        <v>46127</v>
      </c>
      <c r="E480" s="1" t="n">
        <v>46221</v>
      </c>
      <c r="F480" t="inlineStr">
        <is>
          <t>DALARNAS LÄN</t>
        </is>
      </c>
      <c r="G480" t="inlineStr">
        <is>
          <t>LEKSAND</t>
        </is>
      </c>
      <c r="H480" t="inlineStr">
        <is>
          <t>Bergvik skog väst AB</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18579-2026</t>
        </is>
      </c>
      <c r="B481" t="inlineStr">
        <is>
          <t>avverkningsanmälan</t>
        </is>
      </c>
      <c r="C481" t="inlineStr">
        <is>
          <t>Föryngringsavverkning</t>
        </is>
      </c>
      <c r="D481" s="1" t="n">
        <v>46127</v>
      </c>
      <c r="E481" s="1" t="n">
        <v>46221</v>
      </c>
      <c r="F481" t="inlineStr">
        <is>
          <t>DALARNAS LÄN</t>
        </is>
      </c>
      <c r="G481" t="inlineStr">
        <is>
          <t>LEKSAND</t>
        </is>
      </c>
      <c r="H481" t="inlineStr">
        <is>
          <t>Bergvik skog väst AB</t>
        </is>
      </c>
      <c r="I481" t="n">
        <v>16.8</v>
      </c>
      <c r="J481" t="n">
        <v>0</v>
      </c>
      <c r="K481" t="n">
        <v>0</v>
      </c>
      <c r="L481" t="n">
        <v>0</v>
      </c>
      <c r="M481" t="n">
        <v>0</v>
      </c>
      <c r="N481" t="n">
        <v>0</v>
      </c>
      <c r="O481" t="n">
        <v>0</v>
      </c>
      <c r="P481" t="n">
        <v>0</v>
      </c>
      <c r="Q481" t="n">
        <v>0</v>
      </c>
      <c r="R481" t="n">
        <v>0</v>
      </c>
      <c r="S481" t="n">
        <v>0</v>
      </c>
      <c r="T481" t="n">
        <v>0</v>
      </c>
      <c r="U481" s="2" t="inlineStr"/>
    </row>
    <row r="482" ht="15" customHeight="1">
      <c r="A482" t="inlineStr">
        <is>
          <t>A 2579-2022</t>
        </is>
      </c>
      <c r="B482" t="inlineStr">
        <is>
          <t>avverkningsanmälan</t>
        </is>
      </c>
      <c r="C482" t="inlineStr">
        <is>
          <t>Föryngringsavverkning</t>
        </is>
      </c>
      <c r="D482" s="1" t="n">
        <v>44580</v>
      </c>
      <c r="E482" s="1" t="n">
        <v>46221</v>
      </c>
      <c r="F482" t="inlineStr">
        <is>
          <t>DALARNAS LÄN</t>
        </is>
      </c>
      <c r="G482" t="inlineStr">
        <is>
          <t>LEKSAND</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18342-2026</t>
        </is>
      </c>
      <c r="B483" t="inlineStr">
        <is>
          <t>avverkningsanmälan</t>
        </is>
      </c>
      <c r="C483" t="inlineStr">
        <is>
          <t>Föryngringsavverkning</t>
        </is>
      </c>
      <c r="D483" s="1" t="n">
        <v>46126</v>
      </c>
      <c r="E483" s="1" t="n">
        <v>46221</v>
      </c>
      <c r="F483" t="inlineStr">
        <is>
          <t>DALARNAS LÄN</t>
        </is>
      </c>
      <c r="G483" t="inlineStr">
        <is>
          <t>LEKSAND</t>
        </is>
      </c>
      <c r="H483" t="inlineStr">
        <is>
          <t>Bergvik skog väst AB</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18414-2026</t>
        </is>
      </c>
      <c r="B484" t="inlineStr">
        <is>
          <t>avverkningsanmälan</t>
        </is>
      </c>
      <c r="C484" t="inlineStr">
        <is>
          <t>Föryngringsavverkning</t>
        </is>
      </c>
      <c r="D484" s="1" t="n">
        <v>46126</v>
      </c>
      <c r="E484" s="1" t="n">
        <v>46221</v>
      </c>
      <c r="F484" t="inlineStr">
        <is>
          <t>DALARNAS LÄN</t>
        </is>
      </c>
      <c r="G484" t="inlineStr">
        <is>
          <t>LEKSAND</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49395-2024</t>
        </is>
      </c>
      <c r="B485" t="inlineStr">
        <is>
          <t>avverkningsanmälan</t>
        </is>
      </c>
      <c r="C485" t="inlineStr">
        <is>
          <t>Föryngringsavverkning</t>
        </is>
      </c>
      <c r="D485" s="1" t="n">
        <v>45595</v>
      </c>
      <c r="E485" s="1" t="n">
        <v>46221</v>
      </c>
      <c r="F485" t="inlineStr">
        <is>
          <t>DALARNAS LÄN</t>
        </is>
      </c>
      <c r="G485" t="inlineStr">
        <is>
          <t>LEKSAND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16982-2026</t>
        </is>
      </c>
      <c r="B486" t="inlineStr">
        <is>
          <t>avverkningsanmälan</t>
        </is>
      </c>
      <c r="C486" t="inlineStr">
        <is>
          <t>Föryngringsavverkning</t>
        </is>
      </c>
      <c r="D486" s="1" t="n">
        <v>46114</v>
      </c>
      <c r="E486" s="1" t="n">
        <v>46221</v>
      </c>
      <c r="F486" t="inlineStr">
        <is>
          <t>DALARNAS LÄN</t>
        </is>
      </c>
      <c r="G486" t="inlineStr">
        <is>
          <t>LEKSAND</t>
        </is>
      </c>
      <c r="H486" t="inlineStr">
        <is>
          <t>Bergvik skog väst AB</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18766-2026</t>
        </is>
      </c>
      <c r="B487" t="inlineStr">
        <is>
          <t>avverkningsanmälan</t>
        </is>
      </c>
      <c r="C487" t="inlineStr">
        <is>
          <t>Föryngringsavverkning</t>
        </is>
      </c>
      <c r="D487" s="1" t="n">
        <v>46128</v>
      </c>
      <c r="E487" s="1" t="n">
        <v>46221</v>
      </c>
      <c r="F487" t="inlineStr">
        <is>
          <t>DALARNAS LÄN</t>
        </is>
      </c>
      <c r="G487" t="inlineStr">
        <is>
          <t>LEKSAND</t>
        </is>
      </c>
      <c r="H487" t="inlineStr">
        <is>
          <t>Bergvik skog väst AB</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19190-2026</t>
        </is>
      </c>
      <c r="B488" t="inlineStr">
        <is>
          <t>avverkningsanmälan</t>
        </is>
      </c>
      <c r="C488" t="inlineStr">
        <is>
          <t>Föryngringsavverkning</t>
        </is>
      </c>
      <c r="D488" s="1" t="n">
        <v>46132</v>
      </c>
      <c r="E488" s="1" t="n">
        <v>46221</v>
      </c>
      <c r="F488" t="inlineStr">
        <is>
          <t>DALARNAS LÄN</t>
        </is>
      </c>
      <c r="G488" t="inlineStr">
        <is>
          <t>LEKSAND</t>
        </is>
      </c>
      <c r="I488" t="n">
        <v>24.9</v>
      </c>
      <c r="J488" t="n">
        <v>0</v>
      </c>
      <c r="K488" t="n">
        <v>0</v>
      </c>
      <c r="L488" t="n">
        <v>0</v>
      </c>
      <c r="M488" t="n">
        <v>0</v>
      </c>
      <c r="N488" t="n">
        <v>0</v>
      </c>
      <c r="O488" t="n">
        <v>0</v>
      </c>
      <c r="P488" t="n">
        <v>0</v>
      </c>
      <c r="Q488" t="n">
        <v>0</v>
      </c>
      <c r="R488" t="n">
        <v>0</v>
      </c>
      <c r="S488" t="n">
        <v>0</v>
      </c>
      <c r="T488" t="n">
        <v>0</v>
      </c>
      <c r="U488" s="2" t="inlineStr"/>
    </row>
    <row r="489" ht="15" customHeight="1">
      <c r="A489" t="inlineStr">
        <is>
          <t>A 33317-2023</t>
        </is>
      </c>
      <c r="B489" t="inlineStr">
        <is>
          <t>avverkningsanmälan</t>
        </is>
      </c>
      <c r="C489" t="inlineStr">
        <is>
          <t>Föryngringsavverkning</t>
        </is>
      </c>
      <c r="D489" s="1" t="n">
        <v>45127</v>
      </c>
      <c r="E489" s="1" t="n">
        <v>46221</v>
      </c>
      <c r="F489" t="inlineStr">
        <is>
          <t>DALARNAS LÄN</t>
        </is>
      </c>
      <c r="G489" t="inlineStr">
        <is>
          <t>LEKSAND</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17106-2026</t>
        </is>
      </c>
      <c r="B490" t="inlineStr">
        <is>
          <t>avverkningsanmälan</t>
        </is>
      </c>
      <c r="C490" t="inlineStr">
        <is>
          <t>Föryngringsavverkning</t>
        </is>
      </c>
      <c r="D490" s="1" t="n">
        <v>46114</v>
      </c>
      <c r="E490" s="1" t="n">
        <v>46221</v>
      </c>
      <c r="F490" t="inlineStr">
        <is>
          <t>DALARNAS LÄN</t>
        </is>
      </c>
      <c r="G490" t="inlineStr">
        <is>
          <t>LEKSAND</t>
        </is>
      </c>
      <c r="H490" t="inlineStr">
        <is>
          <t>Bergvik skog väst AB</t>
        </is>
      </c>
      <c r="I490" t="n">
        <v>2.9</v>
      </c>
      <c r="J490" t="n">
        <v>0</v>
      </c>
      <c r="K490" t="n">
        <v>0</v>
      </c>
      <c r="L490" t="n">
        <v>0</v>
      </c>
      <c r="M490" t="n">
        <v>0</v>
      </c>
      <c r="N490" t="n">
        <v>0</v>
      </c>
      <c r="O490" t="n">
        <v>0</v>
      </c>
      <c r="P490" t="n">
        <v>0</v>
      </c>
      <c r="Q490" t="n">
        <v>0</v>
      </c>
      <c r="R490" t="n">
        <v>0</v>
      </c>
      <c r="S490" t="n">
        <v>0</v>
      </c>
      <c r="T490" t="n">
        <v>0</v>
      </c>
      <c r="U490" s="2" t="inlineStr"/>
    </row>
    <row r="491" ht="15" customHeight="1">
      <c r="A491" t="inlineStr">
        <is>
          <t>A 19305-2026</t>
        </is>
      </c>
      <c r="B491" t="inlineStr">
        <is>
          <t>avverkningsanmälan</t>
        </is>
      </c>
      <c r="C491" t="inlineStr">
        <is>
          <t>Föryngringsavverkning</t>
        </is>
      </c>
      <c r="D491" s="1" t="n">
        <v>46133</v>
      </c>
      <c r="E491" s="1" t="n">
        <v>46221</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17099-2026</t>
        </is>
      </c>
      <c r="B492" t="inlineStr">
        <is>
          <t>avverkningsanmälan</t>
        </is>
      </c>
      <c r="C492" t="inlineStr">
        <is>
          <t>Föryngringsavverkning</t>
        </is>
      </c>
      <c r="D492" s="1" t="n">
        <v>46114</v>
      </c>
      <c r="E492" s="1" t="n">
        <v>46221</v>
      </c>
      <c r="F492" t="inlineStr">
        <is>
          <t>DALARNAS LÄN</t>
        </is>
      </c>
      <c r="G492" t="inlineStr">
        <is>
          <t>LEKSAND</t>
        </is>
      </c>
      <c r="H492" t="inlineStr">
        <is>
          <t>Bergvik skog väst AB</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19818-2026</t>
        </is>
      </c>
      <c r="B493" t="inlineStr">
        <is>
          <t>avverkningsanmälan</t>
        </is>
      </c>
      <c r="C493" t="inlineStr">
        <is>
          <t>Föryngringsavverkning</t>
        </is>
      </c>
      <c r="D493" s="1" t="n">
        <v>46135</v>
      </c>
      <c r="E493" s="1" t="n">
        <v>46221</v>
      </c>
      <c r="F493" t="inlineStr">
        <is>
          <t>DALARNAS LÄN</t>
        </is>
      </c>
      <c r="G493" t="inlineStr">
        <is>
          <t>LEKSAND</t>
        </is>
      </c>
      <c r="H493" t="inlineStr">
        <is>
          <t>Bergvik skog väst AB</t>
        </is>
      </c>
      <c r="I493" t="n">
        <v>4.4</v>
      </c>
      <c r="J493" t="n">
        <v>0</v>
      </c>
      <c r="K493" t="n">
        <v>0</v>
      </c>
      <c r="L493" t="n">
        <v>0</v>
      </c>
      <c r="M493" t="n">
        <v>0</v>
      </c>
      <c r="N493" t="n">
        <v>0</v>
      </c>
      <c r="O493" t="n">
        <v>0</v>
      </c>
      <c r="P493" t="n">
        <v>0</v>
      </c>
      <c r="Q493" t="n">
        <v>0</v>
      </c>
      <c r="R493" t="n">
        <v>0</v>
      </c>
      <c r="S493" t="n">
        <v>0</v>
      </c>
      <c r="T493" t="n">
        <v>0</v>
      </c>
      <c r="U493" s="2" t="inlineStr"/>
    </row>
    <row r="494" ht="15" customHeight="1">
      <c r="A494" t="inlineStr">
        <is>
          <t>A 56941-2024</t>
        </is>
      </c>
      <c r="B494" t="inlineStr">
        <is>
          <t>avverkningsanmälan</t>
        </is>
      </c>
      <c r="C494" t="inlineStr">
        <is>
          <t>Föryngringsavverkning</t>
        </is>
      </c>
      <c r="D494" s="1" t="n">
        <v>45625</v>
      </c>
      <c r="E494" s="1" t="n">
        <v>46221</v>
      </c>
      <c r="F494" t="inlineStr">
        <is>
          <t>DALARNAS LÄN</t>
        </is>
      </c>
      <c r="G494" t="inlineStr">
        <is>
          <t>LEKSAND</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18611-2026</t>
        </is>
      </c>
      <c r="B495" t="inlineStr">
        <is>
          <t>avverkningsanmälan</t>
        </is>
      </c>
      <c r="C495" t="inlineStr">
        <is>
          <t>Föryngringsavverkning</t>
        </is>
      </c>
      <c r="D495" s="1" t="n">
        <v>46127</v>
      </c>
      <c r="E495" s="1" t="n">
        <v>46221</v>
      </c>
      <c r="F495" t="inlineStr">
        <is>
          <t>DALARNAS LÄN</t>
        </is>
      </c>
      <c r="G495" t="inlineStr">
        <is>
          <t>LEKSAND</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52572-2024</t>
        </is>
      </c>
      <c r="B496" t="inlineStr">
        <is>
          <t>avverkningsanmälan</t>
        </is>
      </c>
      <c r="C496" t="inlineStr">
        <is>
          <t>Föryngringsavverkning</t>
        </is>
      </c>
      <c r="D496" s="1" t="n">
        <v>45609</v>
      </c>
      <c r="E496" s="1" t="n">
        <v>46221</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40407-2024</t>
        </is>
      </c>
      <c r="B497" t="inlineStr">
        <is>
          <t>avverkningsanmälan</t>
        </is>
      </c>
      <c r="C497" t="inlineStr">
        <is>
          <t>Föryngringsavverkning</t>
        </is>
      </c>
      <c r="D497" s="1" t="n">
        <v>45555</v>
      </c>
      <c r="E497" s="1" t="n">
        <v>46221</v>
      </c>
      <c r="F497" t="inlineStr">
        <is>
          <t>DALARNAS LÄN</t>
        </is>
      </c>
      <c r="G497" t="inlineStr">
        <is>
          <t>LEKSAND</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12851-2023</t>
        </is>
      </c>
      <c r="B498" t="inlineStr">
        <is>
          <t>avverkningsanmälan</t>
        </is>
      </c>
      <c r="C498" t="inlineStr">
        <is>
          <t>Föryngringsavverkning</t>
        </is>
      </c>
      <c r="D498" s="1" t="n">
        <v>45001</v>
      </c>
      <c r="E498" s="1" t="n">
        <v>46221</v>
      </c>
      <c r="F498" t="inlineStr">
        <is>
          <t>DALARNAS LÄN</t>
        </is>
      </c>
      <c r="G498" t="inlineStr">
        <is>
          <t>LEKSAND</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19295-2024</t>
        </is>
      </c>
      <c r="B499" t="inlineStr">
        <is>
          <t>avverkningsanmälan</t>
        </is>
      </c>
      <c r="C499" t="inlineStr">
        <is>
          <t>Föryngringsavverkning</t>
        </is>
      </c>
      <c r="D499" s="1" t="n">
        <v>45428</v>
      </c>
      <c r="E499" s="1" t="n">
        <v>46221</v>
      </c>
      <c r="F499" t="inlineStr">
        <is>
          <t>DALARNAS LÄN</t>
        </is>
      </c>
      <c r="G499" t="inlineStr">
        <is>
          <t>LEKSAND</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40009-2024</t>
        </is>
      </c>
      <c r="B500" t="inlineStr">
        <is>
          <t>avverkningsanmälan</t>
        </is>
      </c>
      <c r="C500" t="inlineStr">
        <is>
          <t>Föryngringsavverkning</t>
        </is>
      </c>
      <c r="D500" s="1" t="n">
        <v>45553</v>
      </c>
      <c r="E500" s="1" t="n">
        <v>46221</v>
      </c>
      <c r="F500" t="inlineStr">
        <is>
          <t>DALARNAS LÄN</t>
        </is>
      </c>
      <c r="G500" t="inlineStr">
        <is>
          <t>LEKSAND</t>
        </is>
      </c>
      <c r="H500" t="inlineStr">
        <is>
          <t>Bergvik skog väst AB</t>
        </is>
      </c>
      <c r="I500" t="n">
        <v>3</v>
      </c>
      <c r="J500" t="n">
        <v>0</v>
      </c>
      <c r="K500" t="n">
        <v>0</v>
      </c>
      <c r="L500" t="n">
        <v>0</v>
      </c>
      <c r="M500" t="n">
        <v>0</v>
      </c>
      <c r="N500" t="n">
        <v>0</v>
      </c>
      <c r="O500" t="n">
        <v>0</v>
      </c>
      <c r="P500" t="n">
        <v>0</v>
      </c>
      <c r="Q500" t="n">
        <v>0</v>
      </c>
      <c r="R500" t="n">
        <v>0</v>
      </c>
      <c r="S500" t="n">
        <v>0</v>
      </c>
      <c r="T500" t="n">
        <v>0</v>
      </c>
      <c r="U500" s="2" t="inlineStr"/>
    </row>
    <row r="501" ht="15" customHeight="1">
      <c r="A501" t="inlineStr">
        <is>
          <t>A 9781-2024</t>
        </is>
      </c>
      <c r="B501" t="inlineStr">
        <is>
          <t>avverkningsanmälan</t>
        </is>
      </c>
      <c r="C501" t="inlineStr">
        <is>
          <t>Föryngringsavverkning</t>
        </is>
      </c>
      <c r="D501" s="1" t="n">
        <v>45362</v>
      </c>
      <c r="E501" s="1" t="n">
        <v>46221</v>
      </c>
      <c r="F501" t="inlineStr">
        <is>
          <t>DALARNAS LÄN</t>
        </is>
      </c>
      <c r="G501" t="inlineStr">
        <is>
          <t>LEKSAND</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25610-2025</t>
        </is>
      </c>
      <c r="B502" t="inlineStr">
        <is>
          <t>avverkningsanmälan</t>
        </is>
      </c>
      <c r="C502" t="inlineStr">
        <is>
          <t>Föryngringsavverkning</t>
        </is>
      </c>
      <c r="D502" s="1" t="n">
        <v>45803</v>
      </c>
      <c r="E502" s="1" t="n">
        <v>46221</v>
      </c>
      <c r="F502" t="inlineStr">
        <is>
          <t>DALARNAS LÄN</t>
        </is>
      </c>
      <c r="G502" t="inlineStr">
        <is>
          <t>LEKSAND</t>
        </is>
      </c>
      <c r="I502" t="n">
        <v>5.2</v>
      </c>
      <c r="J502" t="n">
        <v>0</v>
      </c>
      <c r="K502" t="n">
        <v>0</v>
      </c>
      <c r="L502" t="n">
        <v>0</v>
      </c>
      <c r="M502" t="n">
        <v>0</v>
      </c>
      <c r="N502" t="n">
        <v>0</v>
      </c>
      <c r="O502" t="n">
        <v>0</v>
      </c>
      <c r="P502" t="n">
        <v>0</v>
      </c>
      <c r="Q502" t="n">
        <v>0</v>
      </c>
      <c r="R502" t="n">
        <v>0</v>
      </c>
      <c r="S502" t="n">
        <v>0</v>
      </c>
      <c r="T502" t="n">
        <v>0</v>
      </c>
      <c r="U502" s="2" t="inlineStr"/>
    </row>
    <row r="503" ht="15" customHeight="1">
      <c r="A503" t="inlineStr">
        <is>
          <t>A 40230-2023</t>
        </is>
      </c>
      <c r="B503" t="inlineStr">
        <is>
          <t>avverkningsanmälan</t>
        </is>
      </c>
      <c r="C503" t="inlineStr">
        <is>
          <t>Föryngringsavverkning</t>
        </is>
      </c>
      <c r="D503" s="1" t="n">
        <v>45169</v>
      </c>
      <c r="E503" s="1" t="n">
        <v>46221</v>
      </c>
      <c r="F503" t="inlineStr">
        <is>
          <t>DALARNAS LÄN</t>
        </is>
      </c>
      <c r="G503" t="inlineStr">
        <is>
          <t>LEKSAND</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39819-2024</t>
        </is>
      </c>
      <c r="B504" t="inlineStr">
        <is>
          <t>avverkningsanmälan</t>
        </is>
      </c>
      <c r="C504" t="inlineStr">
        <is>
          <t>Föryngringsavverkning</t>
        </is>
      </c>
      <c r="D504" s="1" t="n">
        <v>45553</v>
      </c>
      <c r="E504" s="1" t="n">
        <v>46221</v>
      </c>
      <c r="F504" t="inlineStr">
        <is>
          <t>DALARNAS LÄN</t>
        </is>
      </c>
      <c r="G504" t="inlineStr">
        <is>
          <t>LEKSAND</t>
        </is>
      </c>
      <c r="H504" t="inlineStr">
        <is>
          <t>Bergvik skog väst AB</t>
        </is>
      </c>
      <c r="I504" t="n">
        <v>3.7</v>
      </c>
      <c r="J504" t="n">
        <v>0</v>
      </c>
      <c r="K504" t="n">
        <v>0</v>
      </c>
      <c r="L504" t="n">
        <v>0</v>
      </c>
      <c r="M504" t="n">
        <v>0</v>
      </c>
      <c r="N504" t="n">
        <v>0</v>
      </c>
      <c r="O504" t="n">
        <v>0</v>
      </c>
      <c r="P504" t="n">
        <v>0</v>
      </c>
      <c r="Q504" t="n">
        <v>0</v>
      </c>
      <c r="R504" t="n">
        <v>0</v>
      </c>
      <c r="S504" t="n">
        <v>0</v>
      </c>
      <c r="T504" t="n">
        <v>0</v>
      </c>
      <c r="U504" s="2" t="inlineStr"/>
    </row>
    <row r="505" ht="15" customHeight="1">
      <c r="A505" t="inlineStr">
        <is>
          <t>A 27445-2024</t>
        </is>
      </c>
      <c r="B505" t="inlineStr">
        <is>
          <t>avverkningsanmälan</t>
        </is>
      </c>
      <c r="C505" t="inlineStr">
        <is>
          <t>Föryngringsavverkning</t>
        </is>
      </c>
      <c r="D505" s="1" t="n">
        <v>45474</v>
      </c>
      <c r="E505" s="1" t="n">
        <v>46221</v>
      </c>
      <c r="F505" t="inlineStr">
        <is>
          <t>DALARNAS LÄN</t>
        </is>
      </c>
      <c r="G505" t="inlineStr">
        <is>
          <t>LEKSAND</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31728-2024</t>
        </is>
      </c>
      <c r="B506" t="inlineStr">
        <is>
          <t>avverkningsanmälan</t>
        </is>
      </c>
      <c r="C506" t="inlineStr">
        <is>
          <t>Föryngringsavverkning</t>
        </is>
      </c>
      <c r="D506" s="1" t="n">
        <v>45509</v>
      </c>
      <c r="E506" s="1" t="n">
        <v>46221</v>
      </c>
      <c r="F506" t="inlineStr">
        <is>
          <t>DALARNAS LÄN</t>
        </is>
      </c>
      <c r="G506" t="inlineStr">
        <is>
          <t>LEKSAND</t>
        </is>
      </c>
      <c r="I506" t="n">
        <v>1.2</v>
      </c>
      <c r="J506" t="n">
        <v>0</v>
      </c>
      <c r="K506" t="n">
        <v>0</v>
      </c>
      <c r="L506" t="n">
        <v>0</v>
      </c>
      <c r="M506" t="n">
        <v>0</v>
      </c>
      <c r="N506" t="n">
        <v>0</v>
      </c>
      <c r="O506" t="n">
        <v>0</v>
      </c>
      <c r="P506" t="n">
        <v>0</v>
      </c>
      <c r="Q506" t="n">
        <v>0</v>
      </c>
      <c r="R506" t="n">
        <v>0</v>
      </c>
      <c r="S506" t="n">
        <v>0</v>
      </c>
      <c r="T506" t="n">
        <v>0</v>
      </c>
      <c r="U506" s="2" t="inlineStr"/>
    </row>
    <row r="507" ht="15" customHeight="1">
      <c r="A507" t="inlineStr">
        <is>
          <t>A 35998-2025</t>
        </is>
      </c>
      <c r="B507" t="inlineStr">
        <is>
          <t>avverkningsanmälan</t>
        </is>
      </c>
      <c r="C507" t="inlineStr">
        <is>
          <t>Föryngringsavverkning</t>
        </is>
      </c>
      <c r="D507" s="1" t="n">
        <v>45863</v>
      </c>
      <c r="E507" s="1" t="n">
        <v>46221</v>
      </c>
      <c r="F507" t="inlineStr">
        <is>
          <t>DALARNAS LÄN</t>
        </is>
      </c>
      <c r="G507" t="inlineStr">
        <is>
          <t>LEKSAND</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40165-2022</t>
        </is>
      </c>
      <c r="B508" t="inlineStr">
        <is>
          <t>avverkningsanmälan</t>
        </is>
      </c>
      <c r="C508" t="inlineStr">
        <is>
          <t>Föryngringsavverkning</t>
        </is>
      </c>
      <c r="D508" s="1" t="n">
        <v>44820</v>
      </c>
      <c r="E508" s="1" t="n">
        <v>46221</v>
      </c>
      <c r="F508" t="inlineStr">
        <is>
          <t>DALARNAS LÄN</t>
        </is>
      </c>
      <c r="G508" t="inlineStr">
        <is>
          <t>LEKSAND</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52100-2024</t>
        </is>
      </c>
      <c r="B509" t="inlineStr">
        <is>
          <t>avverkningsanmälan</t>
        </is>
      </c>
      <c r="C509" t="inlineStr">
        <is>
          <t>Avverkning för annat ändamål</t>
        </is>
      </c>
      <c r="D509" s="1" t="n">
        <v>45608</v>
      </c>
      <c r="E509" s="1" t="n">
        <v>46221</v>
      </c>
      <c r="F509" t="inlineStr">
        <is>
          <t>DALARNAS LÄN</t>
        </is>
      </c>
      <c r="G509" t="inlineStr">
        <is>
          <t>LEKSAND</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31726-2024</t>
        </is>
      </c>
      <c r="B510" t="inlineStr">
        <is>
          <t>avverkningsanmälan</t>
        </is>
      </c>
      <c r="C510" t="inlineStr">
        <is>
          <t>Föryngringsavverkning</t>
        </is>
      </c>
      <c r="D510" s="1" t="n">
        <v>45509</v>
      </c>
      <c r="E510" s="1" t="n">
        <v>46221</v>
      </c>
      <c r="F510" t="inlineStr">
        <is>
          <t>DALARNAS LÄN</t>
        </is>
      </c>
      <c r="G510" t="inlineStr">
        <is>
          <t>LEKSAND</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2048-2026</t>
        </is>
      </c>
      <c r="B511" t="inlineStr">
        <is>
          <t>avverkningsanmälan</t>
        </is>
      </c>
      <c r="C511" t="inlineStr">
        <is>
          <t>Föryngringsavverkning</t>
        </is>
      </c>
      <c r="D511" s="1" t="n">
        <v>46035</v>
      </c>
      <c r="E511" s="1" t="n">
        <v>46221</v>
      </c>
      <c r="F511" t="inlineStr">
        <is>
          <t>DALARNAS LÄN</t>
        </is>
      </c>
      <c r="G511" t="inlineStr">
        <is>
          <t>LEKSAND</t>
        </is>
      </c>
      <c r="I511" t="n">
        <v>2.7</v>
      </c>
      <c r="J511" t="n">
        <v>0</v>
      </c>
      <c r="K511" t="n">
        <v>0</v>
      </c>
      <c r="L511" t="n">
        <v>0</v>
      </c>
      <c r="M511" t="n">
        <v>0</v>
      </c>
      <c r="N511" t="n">
        <v>0</v>
      </c>
      <c r="O511" t="n">
        <v>0</v>
      </c>
      <c r="P511" t="n">
        <v>0</v>
      </c>
      <c r="Q511" t="n">
        <v>0</v>
      </c>
      <c r="R511" t="n">
        <v>0</v>
      </c>
      <c r="S511" t="n">
        <v>0</v>
      </c>
      <c r="T511" t="n">
        <v>0</v>
      </c>
      <c r="U511" s="2" t="inlineStr"/>
    </row>
    <row r="512" ht="15" customHeight="1">
      <c r="A512" t="inlineStr">
        <is>
          <t>A 52059-2024</t>
        </is>
      </c>
      <c r="B512" t="inlineStr">
        <is>
          <t>avverkningsanmälan</t>
        </is>
      </c>
      <c r="C512" t="inlineStr">
        <is>
          <t>Föryngringsavverkning</t>
        </is>
      </c>
      <c r="D512" s="1" t="n">
        <v>45608</v>
      </c>
      <c r="E512" s="1" t="n">
        <v>46221</v>
      </c>
      <c r="F512" t="inlineStr">
        <is>
          <t>DALARNAS LÄN</t>
        </is>
      </c>
      <c r="G512" t="inlineStr">
        <is>
          <t>LEKSAND</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12992-2022</t>
        </is>
      </c>
      <c r="B513" t="inlineStr">
        <is>
          <t>avverkningsanmälan</t>
        </is>
      </c>
      <c r="C513" t="inlineStr">
        <is>
          <t>Avverkning för att bevara och utveckla /försöksver</t>
        </is>
      </c>
      <c r="D513" s="1" t="n">
        <v>44643</v>
      </c>
      <c r="E513" s="1" t="n">
        <v>46221</v>
      </c>
      <c r="F513" t="inlineStr">
        <is>
          <t>DALARNAS LÄN</t>
        </is>
      </c>
      <c r="G513" t="inlineStr">
        <is>
          <t>LEKSAND</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1983-2025</t>
        </is>
      </c>
      <c r="B514" t="inlineStr">
        <is>
          <t>avverkningsanmälan</t>
        </is>
      </c>
      <c r="C514" t="inlineStr">
        <is>
          <t>Föryngringsavverkning</t>
        </is>
      </c>
      <c r="D514" s="1" t="n">
        <v>45670</v>
      </c>
      <c r="E514" s="1" t="n">
        <v>46221</v>
      </c>
      <c r="F514" t="inlineStr">
        <is>
          <t>DALARNAS LÄN</t>
        </is>
      </c>
      <c r="G514" t="inlineStr">
        <is>
          <t>LEKSAND</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11712-2025</t>
        </is>
      </c>
      <c r="B515" t="inlineStr">
        <is>
          <t>avverkningsanmälan</t>
        </is>
      </c>
      <c r="C515" t="inlineStr">
        <is>
          <t>Föryngringsavverkning</t>
        </is>
      </c>
      <c r="D515" s="1" t="n">
        <v>45727</v>
      </c>
      <c r="E515" s="1" t="n">
        <v>46221</v>
      </c>
      <c r="F515" t="inlineStr">
        <is>
          <t>DALARNAS LÄN</t>
        </is>
      </c>
      <c r="G515" t="inlineStr">
        <is>
          <t>LEKSAND</t>
        </is>
      </c>
      <c r="I515" t="n">
        <v>6</v>
      </c>
      <c r="J515" t="n">
        <v>0</v>
      </c>
      <c r="K515" t="n">
        <v>0</v>
      </c>
      <c r="L515" t="n">
        <v>0</v>
      </c>
      <c r="M515" t="n">
        <v>0</v>
      </c>
      <c r="N515" t="n">
        <v>0</v>
      </c>
      <c r="O515" t="n">
        <v>0</v>
      </c>
      <c r="P515" t="n">
        <v>0</v>
      </c>
      <c r="Q515" t="n">
        <v>0</v>
      </c>
      <c r="R515" t="n">
        <v>0</v>
      </c>
      <c r="S515" t="n">
        <v>0</v>
      </c>
      <c r="T515" t="n">
        <v>0</v>
      </c>
      <c r="U515" s="2" t="inlineStr"/>
    </row>
    <row r="516" ht="15" customHeight="1">
      <c r="A516" t="inlineStr">
        <is>
          <t>A 53243-2025</t>
        </is>
      </c>
      <c r="B516" t="inlineStr">
        <is>
          <t>avverkningsanmälan</t>
        </is>
      </c>
      <c r="C516" t="inlineStr">
        <is>
          <t>Föryngringsavverkning</t>
        </is>
      </c>
      <c r="D516" s="1" t="n">
        <v>45958</v>
      </c>
      <c r="E516" s="1" t="n">
        <v>46221</v>
      </c>
      <c r="F516" t="inlineStr">
        <is>
          <t>DALARNAS LÄN</t>
        </is>
      </c>
      <c r="G516" t="inlineStr">
        <is>
          <t>LEKSAND</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40642-2023</t>
        </is>
      </c>
      <c r="B517" t="inlineStr">
        <is>
          <t>avverkningsanmälan</t>
        </is>
      </c>
      <c r="C517" t="inlineStr">
        <is>
          <t>Föryngringsavverkning</t>
        </is>
      </c>
      <c r="D517" s="1" t="n">
        <v>45169</v>
      </c>
      <c r="E517" s="1" t="n">
        <v>46221</v>
      </c>
      <c r="F517" t="inlineStr">
        <is>
          <t>DALARNAS LÄN</t>
        </is>
      </c>
      <c r="G517" t="inlineStr">
        <is>
          <t>LEKSAND</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31787-2025</t>
        </is>
      </c>
      <c r="B518" t="inlineStr">
        <is>
          <t>avverkningsanmälan</t>
        </is>
      </c>
      <c r="C518" t="inlineStr">
        <is>
          <t>Föryngringsavverkning</t>
        </is>
      </c>
      <c r="D518" s="1" t="n">
        <v>45834</v>
      </c>
      <c r="E518" s="1" t="n">
        <v>46221</v>
      </c>
      <c r="F518" t="inlineStr">
        <is>
          <t>DALARNAS LÄN</t>
        </is>
      </c>
      <c r="G518" t="inlineStr">
        <is>
          <t>LEKSAND</t>
        </is>
      </c>
      <c r="H518" t="inlineStr">
        <is>
          <t>Bergvik skog väst AB</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47854-2023</t>
        </is>
      </c>
      <c r="B519" t="inlineStr">
        <is>
          <t>avverkningsanmälan</t>
        </is>
      </c>
      <c r="C519" t="inlineStr">
        <is>
          <t>Föryngringsavverkning</t>
        </is>
      </c>
      <c r="D519" s="1" t="n">
        <v>45198</v>
      </c>
      <c r="E519" s="1" t="n">
        <v>46221</v>
      </c>
      <c r="F519" t="inlineStr">
        <is>
          <t>DALARNAS LÄN</t>
        </is>
      </c>
      <c r="G519" t="inlineStr">
        <is>
          <t>LEKSAND</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39136-2023</t>
        </is>
      </c>
      <c r="B520" t="inlineStr">
        <is>
          <t>avverkningsanmälan</t>
        </is>
      </c>
      <c r="C520" t="inlineStr">
        <is>
          <t>Avverkning för annat ändamål</t>
        </is>
      </c>
      <c r="D520" s="1" t="n">
        <v>45165</v>
      </c>
      <c r="E520" s="1" t="n">
        <v>46221</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s="2" t="inlineStr"/>
    </row>
    <row r="521" ht="15" customHeight="1">
      <c r="A521" t="inlineStr">
        <is>
          <t>A 20541-2026</t>
        </is>
      </c>
      <c r="B521" t="inlineStr">
        <is>
          <t>avverkningsanmälan</t>
        </is>
      </c>
      <c r="C521" t="inlineStr">
        <is>
          <t>Föryngringsavverkning</t>
        </is>
      </c>
      <c r="D521" s="1" t="n">
        <v>46140</v>
      </c>
      <c r="E521" s="1" t="n">
        <v>46221</v>
      </c>
      <c r="F521" t="inlineStr">
        <is>
          <t>DALARNAS LÄN</t>
        </is>
      </c>
      <c r="G521" t="inlineStr">
        <is>
          <t>LEKSAND</t>
        </is>
      </c>
      <c r="I521" t="n">
        <v>3</v>
      </c>
      <c r="J521" t="n">
        <v>0</v>
      </c>
      <c r="K521" t="n">
        <v>0</v>
      </c>
      <c r="L521" t="n">
        <v>0</v>
      </c>
      <c r="M521" t="n">
        <v>0</v>
      </c>
      <c r="N521" t="n">
        <v>0</v>
      </c>
      <c r="O521" t="n">
        <v>0</v>
      </c>
      <c r="P521" t="n">
        <v>0</v>
      </c>
      <c r="Q521" t="n">
        <v>0</v>
      </c>
      <c r="R521" t="n">
        <v>0</v>
      </c>
      <c r="S521" t="n">
        <v>0</v>
      </c>
      <c r="T521" t="n">
        <v>0</v>
      </c>
      <c r="U521" s="2" t="inlineStr"/>
    </row>
    <row r="522" ht="15" customHeight="1">
      <c r="A522" t="inlineStr">
        <is>
          <t>A 15632-2026</t>
        </is>
      </c>
      <c r="B522" t="inlineStr">
        <is>
          <t>avverkningsanmälan</t>
        </is>
      </c>
      <c r="C522" t="inlineStr">
        <is>
          <t>Föryngringsavverkning</t>
        </is>
      </c>
      <c r="D522" s="1" t="n">
        <v>46106</v>
      </c>
      <c r="E522" s="1" t="n">
        <v>46221</v>
      </c>
      <c r="F522" t="inlineStr">
        <is>
          <t>DALARNAS LÄN</t>
        </is>
      </c>
      <c r="G522" t="inlineStr">
        <is>
          <t>LEKSAND</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26187-2026</t>
        </is>
      </c>
      <c r="B523" t="inlineStr">
        <is>
          <t>avverkningsanmälan</t>
        </is>
      </c>
      <c r="C523" t="inlineStr">
        <is>
          <t>Föryngringsavverkning</t>
        </is>
      </c>
      <c r="D523" s="1" t="n">
        <v>46182</v>
      </c>
      <c r="E523" s="1" t="n">
        <v>46221</v>
      </c>
      <c r="F523" t="inlineStr">
        <is>
          <t>DALARNAS LÄN</t>
        </is>
      </c>
      <c r="G523" t="inlineStr">
        <is>
          <t>LEKSAND</t>
        </is>
      </c>
      <c r="I523" t="n">
        <v>1</v>
      </c>
      <c r="J523" t="n">
        <v>0</v>
      </c>
      <c r="K523" t="n">
        <v>0</v>
      </c>
      <c r="L523" t="n">
        <v>0</v>
      </c>
      <c r="M523" t="n">
        <v>0</v>
      </c>
      <c r="N523" t="n">
        <v>0</v>
      </c>
      <c r="O523" t="n">
        <v>0</v>
      </c>
      <c r="P523" t="n">
        <v>0</v>
      </c>
      <c r="Q523" t="n">
        <v>0</v>
      </c>
      <c r="R523" t="n">
        <v>0</v>
      </c>
      <c r="S523" t="n">
        <v>0</v>
      </c>
      <c r="T523" t="n">
        <v>0</v>
      </c>
      <c r="U523" s="2" t="inlineStr"/>
    </row>
    <row r="524" ht="15" customHeight="1">
      <c r="A524" t="inlineStr">
        <is>
          <t>A 44469-2024</t>
        </is>
      </c>
      <c r="B524" t="inlineStr">
        <is>
          <t>avverkningsanmälan</t>
        </is>
      </c>
      <c r="C524" t="inlineStr">
        <is>
          <t>Föryngringsavverkning</t>
        </is>
      </c>
      <c r="D524" s="1" t="n">
        <v>45574</v>
      </c>
      <c r="E524" s="1" t="n">
        <v>46221</v>
      </c>
      <c r="F524" t="inlineStr">
        <is>
          <t>DALARNAS LÄN</t>
        </is>
      </c>
      <c r="G524" t="inlineStr">
        <is>
          <t>LEKSAND</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52293-2024</t>
        </is>
      </c>
      <c r="B525" t="inlineStr">
        <is>
          <t>avverkningsanmälan</t>
        </is>
      </c>
      <c r="C525" t="inlineStr">
        <is>
          <t>Föryngringsavverkning</t>
        </is>
      </c>
      <c r="D525" s="1" t="n">
        <v>45608</v>
      </c>
      <c r="E525" s="1" t="n">
        <v>46221</v>
      </c>
      <c r="F525" t="inlineStr">
        <is>
          <t>DALARNAS LÄN</t>
        </is>
      </c>
      <c r="G525" t="inlineStr">
        <is>
          <t>LEKSAND</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46876-2023</t>
        </is>
      </c>
      <c r="B526" t="inlineStr">
        <is>
          <t>avverkningsanmälan</t>
        </is>
      </c>
      <c r="C526" t="inlineStr">
        <is>
          <t>Föryngringsavverkning</t>
        </is>
      </c>
      <c r="D526" s="1" t="n">
        <v>45200</v>
      </c>
      <c r="E526" s="1" t="n">
        <v>46221</v>
      </c>
      <c r="F526" t="inlineStr">
        <is>
          <t>DALARNAS LÄN</t>
        </is>
      </c>
      <c r="G526" t="inlineStr">
        <is>
          <t>LEKSAND</t>
        </is>
      </c>
      <c r="I526" t="n">
        <v>2.4</v>
      </c>
      <c r="J526" t="n">
        <v>0</v>
      </c>
      <c r="K526" t="n">
        <v>0</v>
      </c>
      <c r="L526" t="n">
        <v>0</v>
      </c>
      <c r="M526" t="n">
        <v>0</v>
      </c>
      <c r="N526" t="n">
        <v>0</v>
      </c>
      <c r="O526" t="n">
        <v>0</v>
      </c>
      <c r="P526" t="n">
        <v>0</v>
      </c>
      <c r="Q526" t="n">
        <v>0</v>
      </c>
      <c r="R526" t="n">
        <v>0</v>
      </c>
      <c r="S526" t="n">
        <v>0</v>
      </c>
      <c r="T526" t="n">
        <v>0</v>
      </c>
      <c r="U526" s="2" t="inlineStr"/>
    </row>
    <row r="527" ht="15" customHeight="1">
      <c r="A527" t="inlineStr">
        <is>
          <t>A 40181-2023</t>
        </is>
      </c>
      <c r="B527" t="inlineStr">
        <is>
          <t>avverkningsanmälan</t>
        </is>
      </c>
      <c r="C527" t="inlineStr">
        <is>
          <t>Föryngringsavverkning</t>
        </is>
      </c>
      <c r="D527" s="1" t="n">
        <v>45169</v>
      </c>
      <c r="E527" s="1" t="n">
        <v>46221</v>
      </c>
      <c r="F527" t="inlineStr">
        <is>
          <t>DALARNAS LÄN</t>
        </is>
      </c>
      <c r="G527" t="inlineStr">
        <is>
          <t>LEKSAND</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16197-2024</t>
        </is>
      </c>
      <c r="B528" t="inlineStr">
        <is>
          <t>avverkningsanmälan</t>
        </is>
      </c>
      <c r="C528" t="inlineStr">
        <is>
          <t>Föryngringsavverkning</t>
        </is>
      </c>
      <c r="D528" s="1" t="n">
        <v>45406</v>
      </c>
      <c r="E528" s="1" t="n">
        <v>46221</v>
      </c>
      <c r="F528" t="inlineStr">
        <is>
          <t>DALARNAS LÄN</t>
        </is>
      </c>
      <c r="G528" t="inlineStr">
        <is>
          <t>LEKSAND</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1267-2025</t>
        </is>
      </c>
      <c r="B529" t="inlineStr">
        <is>
          <t>avverkningsanmälan</t>
        </is>
      </c>
      <c r="C529" t="inlineStr">
        <is>
          <t>Avverkning för annat ändamål</t>
        </is>
      </c>
      <c r="D529" s="1" t="n">
        <v>45667</v>
      </c>
      <c r="E529" s="1" t="n">
        <v>46221</v>
      </c>
      <c r="F529" t="inlineStr">
        <is>
          <t>DALARNAS LÄN</t>
        </is>
      </c>
      <c r="G529" t="inlineStr">
        <is>
          <t>LEKSAND</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42230-2023</t>
        </is>
      </c>
      <c r="B530" t="inlineStr">
        <is>
          <t>avverkningsanmälan</t>
        </is>
      </c>
      <c r="C530" t="inlineStr">
        <is>
          <t>Föryngringsavverkning</t>
        </is>
      </c>
      <c r="D530" s="1" t="n">
        <v>45180</v>
      </c>
      <c r="E530" s="1" t="n">
        <v>46221</v>
      </c>
      <c r="F530" t="inlineStr">
        <is>
          <t>DALARNAS LÄN</t>
        </is>
      </c>
      <c r="G530" t="inlineStr">
        <is>
          <t>LEKSAND</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1443-2024</t>
        </is>
      </c>
      <c r="B531" t="inlineStr">
        <is>
          <t>avverkningsanmälan</t>
        </is>
      </c>
      <c r="C531" t="inlineStr">
        <is>
          <t>Föryngringsavverkning</t>
        </is>
      </c>
      <c r="D531" s="1" t="n">
        <v>45303</v>
      </c>
      <c r="E531" s="1" t="n">
        <v>46221</v>
      </c>
      <c r="F531" t="inlineStr">
        <is>
          <t>DALARNAS LÄN</t>
        </is>
      </c>
      <c r="G531" t="inlineStr">
        <is>
          <t>LEKSAND</t>
        </is>
      </c>
      <c r="I531" t="n">
        <v>9.800000000000001</v>
      </c>
      <c r="J531" t="n">
        <v>0</v>
      </c>
      <c r="K531" t="n">
        <v>0</v>
      </c>
      <c r="L531" t="n">
        <v>0</v>
      </c>
      <c r="M531" t="n">
        <v>0</v>
      </c>
      <c r="N531" t="n">
        <v>0</v>
      </c>
      <c r="O531" t="n">
        <v>0</v>
      </c>
      <c r="P531" t="n">
        <v>0</v>
      </c>
      <c r="Q531" t="n">
        <v>0</v>
      </c>
      <c r="R531" t="n">
        <v>0</v>
      </c>
      <c r="S531" t="n">
        <v>0</v>
      </c>
      <c r="T531" t="n">
        <v>0</v>
      </c>
      <c r="U531" s="2" t="inlineStr"/>
    </row>
    <row r="532" ht="15" customHeight="1">
      <c r="A532" t="inlineStr">
        <is>
          <t>A 20164-2026</t>
        </is>
      </c>
      <c r="B532" t="inlineStr">
        <is>
          <t>avverkningsanmälan</t>
        </is>
      </c>
      <c r="C532" t="inlineStr">
        <is>
          <t>Föryngringsavverkning</t>
        </is>
      </c>
      <c r="D532" s="1" t="n">
        <v>46139</v>
      </c>
      <c r="E532" s="1" t="n">
        <v>46221</v>
      </c>
      <c r="F532" t="inlineStr">
        <is>
          <t>DALARNAS LÄN</t>
        </is>
      </c>
      <c r="G532" t="inlineStr">
        <is>
          <t>LEKSAND</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8045-2024</t>
        </is>
      </c>
      <c r="B533" t="inlineStr">
        <is>
          <t>avverkningsanmälan</t>
        </is>
      </c>
      <c r="C533" t="inlineStr">
        <is>
          <t>Föryngringsavverkning</t>
        </is>
      </c>
      <c r="D533" s="1" t="n">
        <v>45351</v>
      </c>
      <c r="E533" s="1" t="n">
        <v>46221</v>
      </c>
      <c r="F533" t="inlineStr">
        <is>
          <t>DALARNAS LÄN</t>
        </is>
      </c>
      <c r="G533" t="inlineStr">
        <is>
          <t>LEKSAND</t>
        </is>
      </c>
      <c r="I533" t="n">
        <v>6.7</v>
      </c>
      <c r="J533" t="n">
        <v>0</v>
      </c>
      <c r="K533" t="n">
        <v>0</v>
      </c>
      <c r="L533" t="n">
        <v>0</v>
      </c>
      <c r="M533" t="n">
        <v>0</v>
      </c>
      <c r="N533" t="n">
        <v>0</v>
      </c>
      <c r="O533" t="n">
        <v>0</v>
      </c>
      <c r="P533" t="n">
        <v>0</v>
      </c>
      <c r="Q533" t="n">
        <v>0</v>
      </c>
      <c r="R533" t="n">
        <v>0</v>
      </c>
      <c r="S533" t="n">
        <v>0</v>
      </c>
      <c r="T533" t="n">
        <v>0</v>
      </c>
      <c r="U533" s="2" t="inlineStr"/>
    </row>
    <row r="534" ht="15" customHeight="1">
      <c r="A534" t="inlineStr">
        <is>
          <t>A 57013-2023</t>
        </is>
      </c>
      <c r="B534" t="inlineStr">
        <is>
          <t>avverkningsanmälan</t>
        </is>
      </c>
      <c r="C534" t="inlineStr">
        <is>
          <t>Avverkning för annat ändamål</t>
        </is>
      </c>
      <c r="D534" s="1" t="n">
        <v>45244</v>
      </c>
      <c r="E534" s="1" t="n">
        <v>46221</v>
      </c>
      <c r="F534" t="inlineStr">
        <is>
          <t>DALARNAS LÄN</t>
        </is>
      </c>
      <c r="G534" t="inlineStr">
        <is>
          <t>LEKSAND</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43220-2024</t>
        </is>
      </c>
      <c r="B535" t="inlineStr">
        <is>
          <t>avverkningsanmälan</t>
        </is>
      </c>
      <c r="C535" t="inlineStr">
        <is>
          <t>Föryngringsavverkning</t>
        </is>
      </c>
      <c r="D535" s="1" t="n">
        <v>45567</v>
      </c>
      <c r="E535" s="1" t="n">
        <v>46221</v>
      </c>
      <c r="F535" t="inlineStr">
        <is>
          <t>DALARNAS LÄN</t>
        </is>
      </c>
      <c r="G535" t="inlineStr">
        <is>
          <t>LEKSAND</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37832-2023</t>
        </is>
      </c>
      <c r="B536" t="inlineStr">
        <is>
          <t>avverkningsanmälan</t>
        </is>
      </c>
      <c r="C536" t="inlineStr">
        <is>
          <t>Föryngringsavverkning</t>
        </is>
      </c>
      <c r="D536" s="1" t="n">
        <v>45160</v>
      </c>
      <c r="E536" s="1" t="n">
        <v>46221</v>
      </c>
      <c r="F536" t="inlineStr">
        <is>
          <t>DALARNAS LÄN</t>
        </is>
      </c>
      <c r="G536" t="inlineStr">
        <is>
          <t>LEKSAND</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24003-2024</t>
        </is>
      </c>
      <c r="B537" t="inlineStr">
        <is>
          <t>avverkningsanmälan</t>
        </is>
      </c>
      <c r="C537" t="inlineStr">
        <is>
          <t>Föryngringsavverkning</t>
        </is>
      </c>
      <c r="D537" s="1" t="n">
        <v>45456</v>
      </c>
      <c r="E537" s="1" t="n">
        <v>46221</v>
      </c>
      <c r="F537" t="inlineStr">
        <is>
          <t>DALARNAS LÄN</t>
        </is>
      </c>
      <c r="G537" t="inlineStr">
        <is>
          <t>LEKSAND</t>
        </is>
      </c>
      <c r="H537" t="inlineStr">
        <is>
          <t>Bergvik skog väst AB</t>
        </is>
      </c>
      <c r="I537" t="n">
        <v>3.2</v>
      </c>
      <c r="J537" t="n">
        <v>0</v>
      </c>
      <c r="K537" t="n">
        <v>0</v>
      </c>
      <c r="L537" t="n">
        <v>0</v>
      </c>
      <c r="M537" t="n">
        <v>0</v>
      </c>
      <c r="N537" t="n">
        <v>0</v>
      </c>
      <c r="O537" t="n">
        <v>0</v>
      </c>
      <c r="P537" t="n">
        <v>0</v>
      </c>
      <c r="Q537" t="n">
        <v>0</v>
      </c>
      <c r="R537" t="n">
        <v>0</v>
      </c>
      <c r="S537" t="n">
        <v>0</v>
      </c>
      <c r="T537" t="n">
        <v>0</v>
      </c>
      <c r="U537" s="2" t="inlineStr"/>
    </row>
    <row r="538" ht="15" customHeight="1">
      <c r="A538" t="inlineStr">
        <is>
          <t>A 2068-2026</t>
        </is>
      </c>
      <c r="B538" t="inlineStr">
        <is>
          <t>avverkningsanmälan</t>
        </is>
      </c>
      <c r="C538" t="inlineStr">
        <is>
          <t>Föryngringsavverkning</t>
        </is>
      </c>
      <c r="D538" s="1" t="n">
        <v>46036</v>
      </c>
      <c r="E538" s="1" t="n">
        <v>46221</v>
      </c>
      <c r="F538" t="inlineStr">
        <is>
          <t>DALARNAS LÄN</t>
        </is>
      </c>
      <c r="G538" t="inlineStr">
        <is>
          <t>LEKSAND</t>
        </is>
      </c>
      <c r="H538" t="inlineStr">
        <is>
          <t>Övriga Aktiebolag</t>
        </is>
      </c>
      <c r="I538" t="n">
        <v>15.5</v>
      </c>
      <c r="J538" t="n">
        <v>0</v>
      </c>
      <c r="K538" t="n">
        <v>0</v>
      </c>
      <c r="L538" t="n">
        <v>0</v>
      </c>
      <c r="M538" t="n">
        <v>0</v>
      </c>
      <c r="N538" t="n">
        <v>0</v>
      </c>
      <c r="O538" t="n">
        <v>0</v>
      </c>
      <c r="P538" t="n">
        <v>0</v>
      </c>
      <c r="Q538" t="n">
        <v>0</v>
      </c>
      <c r="R538" t="n">
        <v>0</v>
      </c>
      <c r="S538" t="n">
        <v>0</v>
      </c>
      <c r="T538" t="n">
        <v>0</v>
      </c>
      <c r="U538" s="2" t="inlineStr"/>
    </row>
    <row r="539" ht="15" customHeight="1">
      <c r="A539" t="inlineStr">
        <is>
          <t>A 21457-2025</t>
        </is>
      </c>
      <c r="B539" t="inlineStr">
        <is>
          <t>avverkningsanmälan</t>
        </is>
      </c>
      <c r="C539" t="inlineStr">
        <is>
          <t>Föryngringsavverkning</t>
        </is>
      </c>
      <c r="D539" s="1" t="n">
        <v>45782</v>
      </c>
      <c r="E539" s="1" t="n">
        <v>46221</v>
      </c>
      <c r="F539" t="inlineStr">
        <is>
          <t>DALARNAS LÄN</t>
        </is>
      </c>
      <c r="G539" t="inlineStr">
        <is>
          <t>LEKSAND</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12582-2025</t>
        </is>
      </c>
      <c r="B540" t="inlineStr">
        <is>
          <t>avverkningsanmälan</t>
        </is>
      </c>
      <c r="C540" t="inlineStr">
        <is>
          <t>Föryngringsavverkning</t>
        </is>
      </c>
      <c r="D540" s="1" t="n">
        <v>45732</v>
      </c>
      <c r="E540" s="1" t="n">
        <v>46221</v>
      </c>
      <c r="F540" t="inlineStr">
        <is>
          <t>DALARNAS LÄN</t>
        </is>
      </c>
      <c r="G540" t="inlineStr">
        <is>
          <t>LEKSAND</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43419-2024</t>
        </is>
      </c>
      <c r="B541" t="inlineStr">
        <is>
          <t>avverkningsanmälan</t>
        </is>
      </c>
      <c r="C541" t="inlineStr">
        <is>
          <t>Avverkning för annat ändamål</t>
        </is>
      </c>
      <c r="D541" s="1" t="n">
        <v>45568</v>
      </c>
      <c r="E541" s="1" t="n">
        <v>46221</v>
      </c>
      <c r="F541" t="inlineStr">
        <is>
          <t>DALARNAS LÄN</t>
        </is>
      </c>
      <c r="G541" t="inlineStr">
        <is>
          <t>LEKSAND</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39595-2023</t>
        </is>
      </c>
      <c r="B542" t="inlineStr">
        <is>
          <t>avverkningsanmälan</t>
        </is>
      </c>
      <c r="C542" t="inlineStr">
        <is>
          <t>Föryngringsavverkning</t>
        </is>
      </c>
      <c r="D542" s="1" t="n">
        <v>45167</v>
      </c>
      <c r="E542" s="1" t="n">
        <v>46221</v>
      </c>
      <c r="F542" t="inlineStr">
        <is>
          <t>DALARNAS LÄN</t>
        </is>
      </c>
      <c r="G542" t="inlineStr">
        <is>
          <t>LEKSAND</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6028-2025</t>
        </is>
      </c>
      <c r="B543" t="inlineStr">
        <is>
          <t>avverkningsanmälan</t>
        </is>
      </c>
      <c r="C543" t="inlineStr">
        <is>
          <t>Föryngringsavverkning</t>
        </is>
      </c>
      <c r="D543" s="1" t="n">
        <v>45695</v>
      </c>
      <c r="E543" s="1" t="n">
        <v>46221</v>
      </c>
      <c r="F543" t="inlineStr">
        <is>
          <t>DALARNAS LÄN</t>
        </is>
      </c>
      <c r="G543" t="inlineStr">
        <is>
          <t>LEKSAND</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17606-2024</t>
        </is>
      </c>
      <c r="B544" t="inlineStr">
        <is>
          <t>avverkningsanmälan</t>
        </is>
      </c>
      <c r="C544" t="inlineStr">
        <is>
          <t>Föryngringsavverkning</t>
        </is>
      </c>
      <c r="D544" s="1" t="n">
        <v>45415</v>
      </c>
      <c r="E544" s="1" t="n">
        <v>46221</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1950-2026</t>
        </is>
      </c>
      <c r="B545" t="inlineStr">
        <is>
          <t>avverkningsanmälan</t>
        </is>
      </c>
      <c r="C545" t="inlineStr">
        <is>
          <t>Föryngringsavverkning</t>
        </is>
      </c>
      <c r="D545" s="1" t="n">
        <v>46035</v>
      </c>
      <c r="E545" s="1" t="n">
        <v>46221</v>
      </c>
      <c r="F545" t="inlineStr">
        <is>
          <t>DALARNAS LÄN</t>
        </is>
      </c>
      <c r="G545" t="inlineStr">
        <is>
          <t>LEKSAND</t>
        </is>
      </c>
      <c r="I545" t="n">
        <v>5.3</v>
      </c>
      <c r="J545" t="n">
        <v>0</v>
      </c>
      <c r="K545" t="n">
        <v>0</v>
      </c>
      <c r="L545" t="n">
        <v>0</v>
      </c>
      <c r="M545" t="n">
        <v>0</v>
      </c>
      <c r="N545" t="n">
        <v>0</v>
      </c>
      <c r="O545" t="n">
        <v>0</v>
      </c>
      <c r="P545" t="n">
        <v>0</v>
      </c>
      <c r="Q545" t="n">
        <v>0</v>
      </c>
      <c r="R545" t="n">
        <v>0</v>
      </c>
      <c r="S545" t="n">
        <v>0</v>
      </c>
      <c r="T545" t="n">
        <v>0</v>
      </c>
      <c r="U545" s="2" t="inlineStr"/>
    </row>
    <row r="546" ht="15" customHeight="1">
      <c r="A546" t="inlineStr">
        <is>
          <t>A 8211-2026</t>
        </is>
      </c>
      <c r="B546" t="inlineStr">
        <is>
          <t>avverkningsanmälan</t>
        </is>
      </c>
      <c r="C546" t="inlineStr">
        <is>
          <t>Föryngringsavverkning</t>
        </is>
      </c>
      <c r="D546" s="1" t="n">
        <v>46064</v>
      </c>
      <c r="E546" s="1" t="n">
        <v>46221</v>
      </c>
      <c r="F546" t="inlineStr">
        <is>
          <t>DALARNAS LÄN</t>
        </is>
      </c>
      <c r="G546" t="inlineStr">
        <is>
          <t>LEKSAND</t>
        </is>
      </c>
      <c r="I546" t="n">
        <v>4.9</v>
      </c>
      <c r="J546" t="n">
        <v>0</v>
      </c>
      <c r="K546" t="n">
        <v>0</v>
      </c>
      <c r="L546" t="n">
        <v>0</v>
      </c>
      <c r="M546" t="n">
        <v>0</v>
      </c>
      <c r="N546" t="n">
        <v>0</v>
      </c>
      <c r="O546" t="n">
        <v>0</v>
      </c>
      <c r="P546" t="n">
        <v>0</v>
      </c>
      <c r="Q546" t="n">
        <v>0</v>
      </c>
      <c r="R546" t="n">
        <v>0</v>
      </c>
      <c r="S546" t="n">
        <v>0</v>
      </c>
      <c r="T546" t="n">
        <v>0</v>
      </c>
      <c r="U546" s="2" t="inlineStr"/>
    </row>
    <row r="547" ht="15" customHeight="1">
      <c r="A547" t="inlineStr">
        <is>
          <t>A 20303-2026</t>
        </is>
      </c>
      <c r="B547" t="inlineStr">
        <is>
          <t>avverkningsanmälan</t>
        </is>
      </c>
      <c r="C547" t="inlineStr">
        <is>
          <t>Föryngringsavverkning</t>
        </is>
      </c>
      <c r="D547" s="1" t="n">
        <v>46139</v>
      </c>
      <c r="E547" s="1" t="n">
        <v>46221</v>
      </c>
      <c r="F547" t="inlineStr">
        <is>
          <t>DALARNAS LÄN</t>
        </is>
      </c>
      <c r="G547" t="inlineStr">
        <is>
          <t>LEKSAND</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26021-2026</t>
        </is>
      </c>
      <c r="B548" t="inlineStr">
        <is>
          <t>avverkningsanmälan</t>
        </is>
      </c>
      <c r="C548" t="inlineStr">
        <is>
          <t>Föryngringsavverkning</t>
        </is>
      </c>
      <c r="D548" s="1" t="n">
        <v>46181</v>
      </c>
      <c r="E548" s="1" t="n">
        <v>46221</v>
      </c>
      <c r="F548" t="inlineStr">
        <is>
          <t>DALARNAS LÄN</t>
        </is>
      </c>
      <c r="G548" t="inlineStr">
        <is>
          <t>LEKSAND</t>
        </is>
      </c>
      <c r="H548" t="inlineStr">
        <is>
          <t>Bergvik skog väst AB</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61054-2023</t>
        </is>
      </c>
      <c r="B549" t="inlineStr">
        <is>
          <t>avverkningsanmälan</t>
        </is>
      </c>
      <c r="C549" t="inlineStr">
        <is>
          <t>Föryngringsavverkning</t>
        </is>
      </c>
      <c r="D549" s="1" t="n">
        <v>45261</v>
      </c>
      <c r="E549" s="1" t="n">
        <v>46221</v>
      </c>
      <c r="F549" t="inlineStr">
        <is>
          <t>DALARNAS LÄN</t>
        </is>
      </c>
      <c r="G549" t="inlineStr">
        <is>
          <t>LEKSAND</t>
        </is>
      </c>
      <c r="I549" t="n">
        <v>0.4</v>
      </c>
      <c r="J549" t="n">
        <v>0</v>
      </c>
      <c r="K549" t="n">
        <v>0</v>
      </c>
      <c r="L549" t="n">
        <v>0</v>
      </c>
      <c r="M549" t="n">
        <v>0</v>
      </c>
      <c r="N549" t="n">
        <v>0</v>
      </c>
      <c r="O549" t="n">
        <v>0</v>
      </c>
      <c r="P549" t="n">
        <v>0</v>
      </c>
      <c r="Q549" t="n">
        <v>0</v>
      </c>
      <c r="R549" t="n">
        <v>0</v>
      </c>
      <c r="S549" t="n">
        <v>0</v>
      </c>
      <c r="T549" t="n">
        <v>0</v>
      </c>
      <c r="U549" s="2" t="inlineStr"/>
    </row>
    <row r="550" ht="15" customHeight="1">
      <c r="A550" t="inlineStr">
        <is>
          <t>A 61056-2023</t>
        </is>
      </c>
      <c r="B550" t="inlineStr">
        <is>
          <t>avverkningsanmälan</t>
        </is>
      </c>
      <c r="C550" t="inlineStr">
        <is>
          <t>Föryngringsavverkning</t>
        </is>
      </c>
      <c r="D550" s="1" t="n">
        <v>45261</v>
      </c>
      <c r="E550" s="1" t="n">
        <v>46221</v>
      </c>
      <c r="F550" t="inlineStr">
        <is>
          <t>DALARNAS LÄN</t>
        </is>
      </c>
      <c r="G550" t="inlineStr">
        <is>
          <t>LEKSAND</t>
        </is>
      </c>
      <c r="I550" t="n">
        <v>0.3</v>
      </c>
      <c r="J550" t="n">
        <v>0</v>
      </c>
      <c r="K550" t="n">
        <v>0</v>
      </c>
      <c r="L550" t="n">
        <v>0</v>
      </c>
      <c r="M550" t="n">
        <v>0</v>
      </c>
      <c r="N550" t="n">
        <v>0</v>
      </c>
      <c r="O550" t="n">
        <v>0</v>
      </c>
      <c r="P550" t="n">
        <v>0</v>
      </c>
      <c r="Q550" t="n">
        <v>0</v>
      </c>
      <c r="R550" t="n">
        <v>0</v>
      </c>
      <c r="S550" t="n">
        <v>0</v>
      </c>
      <c r="T550" t="n">
        <v>0</v>
      </c>
      <c r="U550" s="2" t="inlineStr"/>
    </row>
    <row r="551" ht="15" customHeight="1">
      <c r="A551" t="inlineStr">
        <is>
          <t>A 57925-2024</t>
        </is>
      </c>
      <c r="B551" t="inlineStr">
        <is>
          <t>avverkningsanmälan</t>
        </is>
      </c>
      <c r="C551" t="inlineStr">
        <is>
          <t>Föryngringsavverkning</t>
        </is>
      </c>
      <c r="D551" s="1" t="n">
        <v>45630</v>
      </c>
      <c r="E551" s="1" t="n">
        <v>46221</v>
      </c>
      <c r="F551" t="inlineStr">
        <is>
          <t>DALARNAS LÄN</t>
        </is>
      </c>
      <c r="G551" t="inlineStr">
        <is>
          <t>LEKSAND</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26519-2026</t>
        </is>
      </c>
      <c r="B552" t="inlineStr">
        <is>
          <t>avverkningsanmälan</t>
        </is>
      </c>
      <c r="C552" t="inlineStr">
        <is>
          <t>Föryngringsavverkning</t>
        </is>
      </c>
      <c r="D552" s="1" t="n">
        <v>46183</v>
      </c>
      <c r="E552" s="1" t="n">
        <v>46221</v>
      </c>
      <c r="F552" t="inlineStr">
        <is>
          <t>DALARNAS LÄN</t>
        </is>
      </c>
      <c r="G552" t="inlineStr">
        <is>
          <t>LEKSAND</t>
        </is>
      </c>
      <c r="H552" t="inlineStr">
        <is>
          <t>Bergvik skog väst AB</t>
        </is>
      </c>
      <c r="I552" t="n">
        <v>5</v>
      </c>
      <c r="J552" t="n">
        <v>0</v>
      </c>
      <c r="K552" t="n">
        <v>0</v>
      </c>
      <c r="L552" t="n">
        <v>0</v>
      </c>
      <c r="M552" t="n">
        <v>0</v>
      </c>
      <c r="N552" t="n">
        <v>0</v>
      </c>
      <c r="O552" t="n">
        <v>0</v>
      </c>
      <c r="P552" t="n">
        <v>0</v>
      </c>
      <c r="Q552" t="n">
        <v>0</v>
      </c>
      <c r="R552" t="n">
        <v>0</v>
      </c>
      <c r="S552" t="n">
        <v>0</v>
      </c>
      <c r="T552" t="n">
        <v>0</v>
      </c>
      <c r="U552" s="2" t="inlineStr"/>
    </row>
    <row r="553" ht="15" customHeight="1">
      <c r="A553" t="inlineStr">
        <is>
          <t>A 7894-2025</t>
        </is>
      </c>
      <c r="B553" t="inlineStr">
        <is>
          <t>avverkningsanmälan</t>
        </is>
      </c>
      <c r="C553" t="inlineStr">
        <is>
          <t>Föryngringsavverkning</t>
        </is>
      </c>
      <c r="D553" s="1" t="n">
        <v>45707</v>
      </c>
      <c r="E553" s="1" t="n">
        <v>46221</v>
      </c>
      <c r="F553" t="inlineStr">
        <is>
          <t>DALARNAS LÄN</t>
        </is>
      </c>
      <c r="G553" t="inlineStr">
        <is>
          <t>LEKSAND</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58877-2023</t>
        </is>
      </c>
      <c r="B554" t="inlineStr">
        <is>
          <t>avverkningsanmälan</t>
        </is>
      </c>
      <c r="C554" t="inlineStr">
        <is>
          <t>Föryngringsavverkning</t>
        </is>
      </c>
      <c r="D554" s="1" t="n">
        <v>45252</v>
      </c>
      <c r="E554" s="1" t="n">
        <v>46221</v>
      </c>
      <c r="F554" t="inlineStr">
        <is>
          <t>DALARNAS LÄN</t>
        </is>
      </c>
      <c r="G554" t="inlineStr">
        <is>
          <t>LEKSAND</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17455-2022</t>
        </is>
      </c>
      <c r="B555" t="inlineStr">
        <is>
          <t>avverkningsanmälan</t>
        </is>
      </c>
      <c r="C555" t="inlineStr">
        <is>
          <t>Föryngringsavverkning</t>
        </is>
      </c>
      <c r="D555" s="1" t="n">
        <v>44679</v>
      </c>
      <c r="E555" s="1" t="n">
        <v>46221</v>
      </c>
      <c r="F555" t="inlineStr">
        <is>
          <t>DALARNAS LÄN</t>
        </is>
      </c>
      <c r="G555" t="inlineStr">
        <is>
          <t>LEKSAND</t>
        </is>
      </c>
      <c r="H555" t="inlineStr">
        <is>
          <t>Bergvik skog väst AB</t>
        </is>
      </c>
      <c r="I555" t="n">
        <v>1.8</v>
      </c>
      <c r="J555" t="n">
        <v>0</v>
      </c>
      <c r="K555" t="n">
        <v>0</v>
      </c>
      <c r="L555" t="n">
        <v>0</v>
      </c>
      <c r="M555" t="n">
        <v>0</v>
      </c>
      <c r="N555" t="n">
        <v>0</v>
      </c>
      <c r="O555" t="n">
        <v>0</v>
      </c>
      <c r="P555" t="n">
        <v>0</v>
      </c>
      <c r="Q555" t="n">
        <v>0</v>
      </c>
      <c r="R555" t="n">
        <v>0</v>
      </c>
      <c r="S555" t="n">
        <v>0</v>
      </c>
      <c r="T555" t="n">
        <v>0</v>
      </c>
      <c r="U555" s="2" t="inlineStr"/>
    </row>
    <row r="556" ht="15" customHeight="1">
      <c r="A556" t="inlineStr">
        <is>
          <t>A 60040-2023</t>
        </is>
      </c>
      <c r="B556" t="inlineStr">
        <is>
          <t>avverkningsanmälan</t>
        </is>
      </c>
      <c r="C556" t="inlineStr">
        <is>
          <t>Föryngringsavverkning</t>
        </is>
      </c>
      <c r="D556" s="1" t="n">
        <v>45256</v>
      </c>
      <c r="E556" s="1" t="n">
        <v>46221</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33306-2023</t>
        </is>
      </c>
      <c r="B557" t="inlineStr">
        <is>
          <t>avverkningsanmälan</t>
        </is>
      </c>
      <c r="C557" t="inlineStr">
        <is>
          <t>Föryngringsavverkning</t>
        </is>
      </c>
      <c r="D557" s="1" t="n">
        <v>45127</v>
      </c>
      <c r="E557" s="1" t="n">
        <v>46221</v>
      </c>
      <c r="F557" t="inlineStr">
        <is>
          <t>DALARNAS LÄN</t>
        </is>
      </c>
      <c r="G557" t="inlineStr">
        <is>
          <t>LEKSAND</t>
        </is>
      </c>
      <c r="I557" t="n">
        <v>2.2</v>
      </c>
      <c r="J557" t="n">
        <v>0</v>
      </c>
      <c r="K557" t="n">
        <v>0</v>
      </c>
      <c r="L557" t="n">
        <v>0</v>
      </c>
      <c r="M557" t="n">
        <v>0</v>
      </c>
      <c r="N557" t="n">
        <v>0</v>
      </c>
      <c r="O557" t="n">
        <v>0</v>
      </c>
      <c r="P557" t="n">
        <v>0</v>
      </c>
      <c r="Q557" t="n">
        <v>0</v>
      </c>
      <c r="R557" t="n">
        <v>0</v>
      </c>
      <c r="S557" t="n">
        <v>0</v>
      </c>
      <c r="T557" t="n">
        <v>0</v>
      </c>
      <c r="U557" s="2" t="inlineStr"/>
    </row>
    <row r="558" ht="15" customHeight="1">
      <c r="A558" t="inlineStr">
        <is>
          <t>A 33316-2023</t>
        </is>
      </c>
      <c r="B558" t="inlineStr">
        <is>
          <t>avverkningsanmälan</t>
        </is>
      </c>
      <c r="C558" t="inlineStr">
        <is>
          <t>Föryngringsavverkning</t>
        </is>
      </c>
      <c r="D558" s="1" t="n">
        <v>45127</v>
      </c>
      <c r="E558" s="1" t="n">
        <v>46221</v>
      </c>
      <c r="F558" t="inlineStr">
        <is>
          <t>DALARNAS LÄN</t>
        </is>
      </c>
      <c r="G558" t="inlineStr">
        <is>
          <t>LEKSAND</t>
        </is>
      </c>
      <c r="I558" t="n">
        <v>8.9</v>
      </c>
      <c r="J558" t="n">
        <v>0</v>
      </c>
      <c r="K558" t="n">
        <v>0</v>
      </c>
      <c r="L558" t="n">
        <v>0</v>
      </c>
      <c r="M558" t="n">
        <v>0</v>
      </c>
      <c r="N558" t="n">
        <v>0</v>
      </c>
      <c r="O558" t="n">
        <v>0</v>
      </c>
      <c r="P558" t="n">
        <v>0</v>
      </c>
      <c r="Q558" t="n">
        <v>0</v>
      </c>
      <c r="R558" t="n">
        <v>0</v>
      </c>
      <c r="S558" t="n">
        <v>0</v>
      </c>
      <c r="T558" t="n">
        <v>0</v>
      </c>
      <c r="U558" s="2" t="inlineStr"/>
    </row>
    <row r="559" ht="15" customHeight="1">
      <c r="A559" t="inlineStr">
        <is>
          <t>A 1149-2026</t>
        </is>
      </c>
      <c r="B559" t="inlineStr">
        <is>
          <t>avverkningsanmälan</t>
        </is>
      </c>
      <c r="C559" t="inlineStr">
        <is>
          <t>Föryngringsavverkning</t>
        </is>
      </c>
      <c r="D559" s="1" t="n">
        <v>46030</v>
      </c>
      <c r="E559" s="1" t="n">
        <v>46221</v>
      </c>
      <c r="F559" t="inlineStr">
        <is>
          <t>DALARNAS LÄN</t>
        </is>
      </c>
      <c r="G559" t="inlineStr">
        <is>
          <t>LEKSAND</t>
        </is>
      </c>
      <c r="I559" t="n">
        <v>11.7</v>
      </c>
      <c r="J559" t="n">
        <v>0</v>
      </c>
      <c r="K559" t="n">
        <v>0</v>
      </c>
      <c r="L559" t="n">
        <v>0</v>
      </c>
      <c r="M559" t="n">
        <v>0</v>
      </c>
      <c r="N559" t="n">
        <v>0</v>
      </c>
      <c r="O559" t="n">
        <v>0</v>
      </c>
      <c r="P559" t="n">
        <v>0</v>
      </c>
      <c r="Q559" t="n">
        <v>0</v>
      </c>
      <c r="R559" t="n">
        <v>0</v>
      </c>
      <c r="S559" t="n">
        <v>0</v>
      </c>
      <c r="T559" t="n">
        <v>0</v>
      </c>
      <c r="U559" s="2" t="inlineStr"/>
    </row>
    <row r="560" ht="15" customHeight="1">
      <c r="A560" t="inlineStr">
        <is>
          <t>A 22681-2022</t>
        </is>
      </c>
      <c r="B560" t="inlineStr">
        <is>
          <t>avverkningsanmälan</t>
        </is>
      </c>
      <c r="C560" t="inlineStr">
        <is>
          <t>Föryngringsavverkning</t>
        </is>
      </c>
      <c r="D560" s="1" t="n">
        <v>44714</v>
      </c>
      <c r="E560" s="1" t="n">
        <v>46221</v>
      </c>
      <c r="F560" t="inlineStr">
        <is>
          <t>DALARNAS LÄN</t>
        </is>
      </c>
      <c r="G560" t="inlineStr">
        <is>
          <t>LEKSAND</t>
        </is>
      </c>
      <c r="H560" t="inlineStr">
        <is>
          <t>Bergvik skog väst AB</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30196-2023</t>
        </is>
      </c>
      <c r="B561" t="inlineStr">
        <is>
          <t>avverkningsanmälan</t>
        </is>
      </c>
      <c r="C561" t="inlineStr">
        <is>
          <t>Avverkning för att bevara och utveckla /försöksver</t>
        </is>
      </c>
      <c r="D561" s="1" t="n">
        <v>45110</v>
      </c>
      <c r="E561" s="1" t="n">
        <v>46221</v>
      </c>
      <c r="F561" t="inlineStr">
        <is>
          <t>DALARNAS LÄN</t>
        </is>
      </c>
      <c r="G561" t="inlineStr">
        <is>
          <t>LEKSAND</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26348-2026</t>
        </is>
      </c>
      <c r="B562" t="inlineStr">
        <is>
          <t>avverkningsanmälan</t>
        </is>
      </c>
      <c r="C562" t="inlineStr">
        <is>
          <t>Föryngringsavverkning</t>
        </is>
      </c>
      <c r="D562" s="1" t="n">
        <v>46182</v>
      </c>
      <c r="E562" s="1" t="n">
        <v>46221</v>
      </c>
      <c r="F562" t="inlineStr">
        <is>
          <t>DALARNAS LÄN</t>
        </is>
      </c>
      <c r="G562" t="inlineStr">
        <is>
          <t>LEKSAND</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46446-2023</t>
        </is>
      </c>
      <c r="B563" t="inlineStr">
        <is>
          <t>avverkningsanmälan</t>
        </is>
      </c>
      <c r="C563" t="inlineStr">
        <is>
          <t>Föryngringsavverkning</t>
        </is>
      </c>
      <c r="D563" s="1" t="n">
        <v>45197</v>
      </c>
      <c r="E563" s="1" t="n">
        <v>46221</v>
      </c>
      <c r="F563" t="inlineStr">
        <is>
          <t>DALARNAS LÄN</t>
        </is>
      </c>
      <c r="G563" t="inlineStr">
        <is>
          <t>LEKSAND</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16592-2023</t>
        </is>
      </c>
      <c r="B564" t="inlineStr">
        <is>
          <t>avverkningsanmälan</t>
        </is>
      </c>
      <c r="C564" t="inlineStr">
        <is>
          <t>Föryngringsavverkning</t>
        </is>
      </c>
      <c r="D564" s="1" t="n">
        <v>45030</v>
      </c>
      <c r="E564" s="1" t="n">
        <v>46221</v>
      </c>
      <c r="F564" t="inlineStr">
        <is>
          <t>DALARNAS LÄN</t>
        </is>
      </c>
      <c r="G564" t="inlineStr">
        <is>
          <t>LEKSAND</t>
        </is>
      </c>
      <c r="I564" t="n">
        <v>11.5</v>
      </c>
      <c r="J564" t="n">
        <v>0</v>
      </c>
      <c r="K564" t="n">
        <v>0</v>
      </c>
      <c r="L564" t="n">
        <v>0</v>
      </c>
      <c r="M564" t="n">
        <v>0</v>
      </c>
      <c r="N564" t="n">
        <v>0</v>
      </c>
      <c r="O564" t="n">
        <v>0</v>
      </c>
      <c r="P564" t="n">
        <v>0</v>
      </c>
      <c r="Q564" t="n">
        <v>0</v>
      </c>
      <c r="R564" t="n">
        <v>0</v>
      </c>
      <c r="S564" t="n">
        <v>0</v>
      </c>
      <c r="T564" t="n">
        <v>0</v>
      </c>
      <c r="U564" s="2" t="inlineStr"/>
    </row>
    <row r="565" ht="15" customHeight="1">
      <c r="A565" t="inlineStr">
        <is>
          <t>A 54682-2023</t>
        </is>
      </c>
      <c r="B565" t="inlineStr">
        <is>
          <t>avverkningsanmälan</t>
        </is>
      </c>
      <c r="C565" t="inlineStr">
        <is>
          <t>Föryngringsavverkning</t>
        </is>
      </c>
      <c r="D565" s="1" t="n">
        <v>45235</v>
      </c>
      <c r="E565" s="1" t="n">
        <v>46221</v>
      </c>
      <c r="F565" t="inlineStr">
        <is>
          <t>DALARNAS LÄN</t>
        </is>
      </c>
      <c r="G565" t="inlineStr">
        <is>
          <t>LEKSAND</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20663-2026</t>
        </is>
      </c>
      <c r="B566" t="inlineStr">
        <is>
          <t>avverkningsanmälan</t>
        </is>
      </c>
      <c r="C566" t="inlineStr">
        <is>
          <t>Föryngringsavverkning</t>
        </is>
      </c>
      <c r="D566" s="1" t="n">
        <v>46141</v>
      </c>
      <c r="E566" s="1" t="n">
        <v>46221</v>
      </c>
      <c r="F566" t="inlineStr">
        <is>
          <t>DALARNAS LÄN</t>
        </is>
      </c>
      <c r="G566" t="inlineStr">
        <is>
          <t>LEKSAND</t>
        </is>
      </c>
      <c r="H566" t="inlineStr">
        <is>
          <t>Bergvik skog väst AB</t>
        </is>
      </c>
      <c r="I566" t="n">
        <v>12.8</v>
      </c>
      <c r="J566" t="n">
        <v>0</v>
      </c>
      <c r="K566" t="n">
        <v>0</v>
      </c>
      <c r="L566" t="n">
        <v>0</v>
      </c>
      <c r="M566" t="n">
        <v>0</v>
      </c>
      <c r="N566" t="n">
        <v>0</v>
      </c>
      <c r="O566" t="n">
        <v>0</v>
      </c>
      <c r="P566" t="n">
        <v>0</v>
      </c>
      <c r="Q566" t="n">
        <v>0</v>
      </c>
      <c r="R566" t="n">
        <v>0</v>
      </c>
      <c r="S566" t="n">
        <v>0</v>
      </c>
      <c r="T566" t="n">
        <v>0</v>
      </c>
      <c r="U566" s="2" t="inlineStr"/>
    </row>
    <row r="567" ht="15" customHeight="1">
      <c r="A567" t="inlineStr">
        <is>
          <t>A 26923-2026</t>
        </is>
      </c>
      <c r="B567" t="inlineStr">
        <is>
          <t>avverkningsanmälan</t>
        </is>
      </c>
      <c r="C567" t="inlineStr">
        <is>
          <t>Föryngringsavverkning</t>
        </is>
      </c>
      <c r="D567" s="1" t="n">
        <v>46185</v>
      </c>
      <c r="E567" s="1" t="n">
        <v>46221</v>
      </c>
      <c r="F567" t="inlineStr">
        <is>
          <t>DALARNAS LÄN</t>
        </is>
      </c>
      <c r="G567" t="inlineStr">
        <is>
          <t>LEKSAND</t>
        </is>
      </c>
      <c r="H567" t="inlineStr">
        <is>
          <t>Bergvik skog väst AB</t>
        </is>
      </c>
      <c r="I567" t="n">
        <v>3.9</v>
      </c>
      <c r="J567" t="n">
        <v>0</v>
      </c>
      <c r="K567" t="n">
        <v>0</v>
      </c>
      <c r="L567" t="n">
        <v>0</v>
      </c>
      <c r="M567" t="n">
        <v>0</v>
      </c>
      <c r="N567" t="n">
        <v>0</v>
      </c>
      <c r="O567" t="n">
        <v>0</v>
      </c>
      <c r="P567" t="n">
        <v>0</v>
      </c>
      <c r="Q567" t="n">
        <v>0</v>
      </c>
      <c r="R567" t="n">
        <v>0</v>
      </c>
      <c r="S567" t="n">
        <v>0</v>
      </c>
      <c r="T567" t="n">
        <v>0</v>
      </c>
      <c r="U567" s="2" t="inlineStr"/>
    </row>
    <row r="568" ht="15" customHeight="1">
      <c r="A568" t="inlineStr">
        <is>
          <t>A 30000-2023</t>
        </is>
      </c>
      <c r="B568" t="inlineStr">
        <is>
          <t>avverkningsanmälan</t>
        </is>
      </c>
      <c r="C568" t="inlineStr">
        <is>
          <t>Föryngringsavverkning</t>
        </is>
      </c>
      <c r="D568" s="1" t="n">
        <v>45109</v>
      </c>
      <c r="E568" s="1" t="n">
        <v>46221</v>
      </c>
      <c r="F568" t="inlineStr">
        <is>
          <t>DALARNAS LÄN</t>
        </is>
      </c>
      <c r="G568" t="inlineStr">
        <is>
          <t>LEKSAND</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2820-2024</t>
        </is>
      </c>
      <c r="B569" t="inlineStr">
        <is>
          <t>avverkningsanmälan</t>
        </is>
      </c>
      <c r="C569" t="inlineStr">
        <is>
          <t>Föryngringsavverkning</t>
        </is>
      </c>
      <c r="D569" s="1" t="n">
        <v>45314</v>
      </c>
      <c r="E569" s="1" t="n">
        <v>46221</v>
      </c>
      <c r="F569" t="inlineStr">
        <is>
          <t>DALARNAS LÄN</t>
        </is>
      </c>
      <c r="G569" t="inlineStr">
        <is>
          <t>LEKSAND</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2822-2024</t>
        </is>
      </c>
      <c r="B570" t="inlineStr">
        <is>
          <t>avverkningsanmälan</t>
        </is>
      </c>
      <c r="C570" t="inlineStr">
        <is>
          <t>Föryngringsavverkning</t>
        </is>
      </c>
      <c r="D570" s="1" t="n">
        <v>45314</v>
      </c>
      <c r="E570" s="1" t="n">
        <v>46221</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51320-2023</t>
        </is>
      </c>
      <c r="B571" t="inlineStr">
        <is>
          <t>avverkningsanmälan</t>
        </is>
      </c>
      <c r="C571" t="inlineStr">
        <is>
          <t>Föryngringsavverkning</t>
        </is>
      </c>
      <c r="D571" s="1" t="n">
        <v>45219</v>
      </c>
      <c r="E571" s="1" t="n">
        <v>46221</v>
      </c>
      <c r="F571" t="inlineStr">
        <is>
          <t>DALARNAS LÄN</t>
        </is>
      </c>
      <c r="G571" t="inlineStr">
        <is>
          <t>LEKSAND</t>
        </is>
      </c>
      <c r="I571" t="n">
        <v>2.1</v>
      </c>
      <c r="J571" t="n">
        <v>0</v>
      </c>
      <c r="K571" t="n">
        <v>0</v>
      </c>
      <c r="L571" t="n">
        <v>0</v>
      </c>
      <c r="M571" t="n">
        <v>0</v>
      </c>
      <c r="N571" t="n">
        <v>0</v>
      </c>
      <c r="O571" t="n">
        <v>0</v>
      </c>
      <c r="P571" t="n">
        <v>0</v>
      </c>
      <c r="Q571" t="n">
        <v>0</v>
      </c>
      <c r="R571" t="n">
        <v>0</v>
      </c>
      <c r="S571" t="n">
        <v>0</v>
      </c>
      <c r="T571" t="n">
        <v>0</v>
      </c>
      <c r="U571" s="2" t="inlineStr"/>
    </row>
    <row r="572" ht="15" customHeight="1">
      <c r="A572" t="inlineStr">
        <is>
          <t>A 21177-2026</t>
        </is>
      </c>
      <c r="B572" t="inlineStr">
        <is>
          <t>avverkningsanmälan</t>
        </is>
      </c>
      <c r="C572" t="inlineStr">
        <is>
          <t>Föryngringsavverkning</t>
        </is>
      </c>
      <c r="D572" s="1" t="n">
        <v>46146</v>
      </c>
      <c r="E572" s="1" t="n">
        <v>46221</v>
      </c>
      <c r="F572" t="inlineStr">
        <is>
          <t>DALARNAS LÄN</t>
        </is>
      </c>
      <c r="G572" t="inlineStr">
        <is>
          <t>LEKSAND</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51377-2023</t>
        </is>
      </c>
      <c r="B573" t="inlineStr">
        <is>
          <t>avverkningsanmälan</t>
        </is>
      </c>
      <c r="C573" t="inlineStr">
        <is>
          <t>Avverkning för annat ändamål</t>
        </is>
      </c>
      <c r="D573" s="1" t="n">
        <v>45219</v>
      </c>
      <c r="E573" s="1" t="n">
        <v>46221</v>
      </c>
      <c r="F573" t="inlineStr">
        <is>
          <t>DALARNAS LÄN</t>
        </is>
      </c>
      <c r="G573" t="inlineStr">
        <is>
          <t>LEKSAND</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27201-2026</t>
        </is>
      </c>
      <c r="B574" t="inlineStr">
        <is>
          <t>avverkningsanmälan</t>
        </is>
      </c>
      <c r="C574" t="inlineStr">
        <is>
          <t>Föryngringsavverkning</t>
        </is>
      </c>
      <c r="D574" s="1" t="n">
        <v>46188</v>
      </c>
      <c r="E574" s="1" t="n">
        <v>46221</v>
      </c>
      <c r="F574" t="inlineStr">
        <is>
          <t>DALARNAS LÄN</t>
        </is>
      </c>
      <c r="G574" t="inlineStr">
        <is>
          <t>LEKSAND</t>
        </is>
      </c>
      <c r="I574" t="n">
        <v>3.7</v>
      </c>
      <c r="J574" t="n">
        <v>0</v>
      </c>
      <c r="K574" t="n">
        <v>0</v>
      </c>
      <c r="L574" t="n">
        <v>0</v>
      </c>
      <c r="M574" t="n">
        <v>0</v>
      </c>
      <c r="N574" t="n">
        <v>0</v>
      </c>
      <c r="O574" t="n">
        <v>0</v>
      </c>
      <c r="P574" t="n">
        <v>0</v>
      </c>
      <c r="Q574" t="n">
        <v>0</v>
      </c>
      <c r="R574" t="n">
        <v>0</v>
      </c>
      <c r="S574" t="n">
        <v>0</v>
      </c>
      <c r="T574" t="n">
        <v>0</v>
      </c>
      <c r="U574" s="2" t="inlineStr"/>
    </row>
    <row r="575" ht="15" customHeight="1">
      <c r="A575" t="inlineStr">
        <is>
          <t>A 59859-2023</t>
        </is>
      </c>
      <c r="B575" t="inlineStr">
        <is>
          <t>avverkningsanmälan</t>
        </is>
      </c>
      <c r="C575" t="inlineStr">
        <is>
          <t>Föryngringsavverkning</t>
        </is>
      </c>
      <c r="D575" s="1" t="n">
        <v>45257</v>
      </c>
      <c r="E575" s="1" t="n">
        <v>46221</v>
      </c>
      <c r="F575" t="inlineStr">
        <is>
          <t>DALARNAS LÄN</t>
        </is>
      </c>
      <c r="G575" t="inlineStr">
        <is>
          <t>LEKSAND</t>
        </is>
      </c>
      <c r="H575" t="inlineStr">
        <is>
          <t>Bergvik skog väst AB</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45943-2022</t>
        </is>
      </c>
      <c r="B576" t="inlineStr">
        <is>
          <t>avverkningsanmälan</t>
        </is>
      </c>
      <c r="C576" t="inlineStr">
        <is>
          <t>Föryngringsavverkning</t>
        </is>
      </c>
      <c r="D576" s="1" t="n">
        <v>44846</v>
      </c>
      <c r="E576" s="1" t="n">
        <v>46221</v>
      </c>
      <c r="F576" t="inlineStr">
        <is>
          <t>DALARNAS LÄN</t>
        </is>
      </c>
      <c r="G576" t="inlineStr">
        <is>
          <t>LEKSAND</t>
        </is>
      </c>
      <c r="I576" t="n">
        <v>8.800000000000001</v>
      </c>
      <c r="J576" t="n">
        <v>0</v>
      </c>
      <c r="K576" t="n">
        <v>0</v>
      </c>
      <c r="L576" t="n">
        <v>0</v>
      </c>
      <c r="M576" t="n">
        <v>0</v>
      </c>
      <c r="N576" t="n">
        <v>0</v>
      </c>
      <c r="O576" t="n">
        <v>0</v>
      </c>
      <c r="P576" t="n">
        <v>0</v>
      </c>
      <c r="Q576" t="n">
        <v>0</v>
      </c>
      <c r="R576" t="n">
        <v>0</v>
      </c>
      <c r="S576" t="n">
        <v>0</v>
      </c>
      <c r="T576" t="n">
        <v>0</v>
      </c>
      <c r="U576" s="2" t="inlineStr"/>
    </row>
    <row r="577" ht="15" customHeight="1">
      <c r="A577" t="inlineStr">
        <is>
          <t>A 21250-2026</t>
        </is>
      </c>
      <c r="B577" t="inlineStr">
        <is>
          <t>avverkningsanmälan</t>
        </is>
      </c>
      <c r="C577" t="inlineStr">
        <is>
          <t>Föryngringsavverkning</t>
        </is>
      </c>
      <c r="D577" s="1" t="n">
        <v>46147</v>
      </c>
      <c r="E577" s="1" t="n">
        <v>46221</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60878-2023</t>
        </is>
      </c>
      <c r="B578" t="inlineStr">
        <is>
          <t>avverkningsanmälan</t>
        </is>
      </c>
      <c r="C578" t="inlineStr">
        <is>
          <t>Föryngringsavverkning</t>
        </is>
      </c>
      <c r="D578" s="1" t="n">
        <v>45259</v>
      </c>
      <c r="E578" s="1" t="n">
        <v>46221</v>
      </c>
      <c r="F578" t="inlineStr">
        <is>
          <t>DALARNAS LÄN</t>
        </is>
      </c>
      <c r="G578" t="inlineStr">
        <is>
          <t>LEKSAND</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61502-2023</t>
        </is>
      </c>
      <c r="B579" t="inlineStr">
        <is>
          <t>avverkningsanmälan</t>
        </is>
      </c>
      <c r="C579" t="inlineStr">
        <is>
          <t>Föryngringsavverkning</t>
        </is>
      </c>
      <c r="D579" s="1" t="n">
        <v>45264</v>
      </c>
      <c r="E579" s="1" t="n">
        <v>46221</v>
      </c>
      <c r="F579" t="inlineStr">
        <is>
          <t>DALARNAS LÄN</t>
        </is>
      </c>
      <c r="G579" t="inlineStr">
        <is>
          <t>LEKSAND</t>
        </is>
      </c>
      <c r="I579" t="n">
        <v>5.2</v>
      </c>
      <c r="J579" t="n">
        <v>0</v>
      </c>
      <c r="K579" t="n">
        <v>0</v>
      </c>
      <c r="L579" t="n">
        <v>0</v>
      </c>
      <c r="M579" t="n">
        <v>0</v>
      </c>
      <c r="N579" t="n">
        <v>0</v>
      </c>
      <c r="O579" t="n">
        <v>0</v>
      </c>
      <c r="P579" t="n">
        <v>0</v>
      </c>
      <c r="Q579" t="n">
        <v>0</v>
      </c>
      <c r="R579" t="n">
        <v>0</v>
      </c>
      <c r="S579" t="n">
        <v>0</v>
      </c>
      <c r="T579" t="n">
        <v>0</v>
      </c>
      <c r="U579" s="2" t="inlineStr"/>
    </row>
    <row r="580" ht="15" customHeight="1">
      <c r="A580" t="inlineStr">
        <is>
          <t>A 28965-2023</t>
        </is>
      </c>
      <c r="B580" t="inlineStr">
        <is>
          <t>avverkningsanmälan</t>
        </is>
      </c>
      <c r="C580" t="inlineStr">
        <is>
          <t>Föryngringsavverkning</t>
        </is>
      </c>
      <c r="D580" s="1" t="n">
        <v>45104</v>
      </c>
      <c r="E580" s="1" t="n">
        <v>46221</v>
      </c>
      <c r="F580" t="inlineStr">
        <is>
          <t>DALARNAS LÄN</t>
        </is>
      </c>
      <c r="G580" t="inlineStr">
        <is>
          <t>LEKSAND</t>
        </is>
      </c>
      <c r="H580" t="inlineStr">
        <is>
          <t>Bergvik skog väst AB</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21544-2026</t>
        </is>
      </c>
      <c r="B581" t="inlineStr">
        <is>
          <t>avverkningsanmälan</t>
        </is>
      </c>
      <c r="C581" t="inlineStr">
        <is>
          <t>Föryngringsavverkning</t>
        </is>
      </c>
      <c r="D581" s="1" t="n">
        <v>46148</v>
      </c>
      <c r="E581" s="1" t="n">
        <v>46221</v>
      </c>
      <c r="F581" t="inlineStr">
        <is>
          <t>DALARNAS LÄN</t>
        </is>
      </c>
      <c r="G581" t="inlineStr">
        <is>
          <t>LEKSAND</t>
        </is>
      </c>
      <c r="H581" t="inlineStr">
        <is>
          <t>Bergvik skog väst AB</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17357-2026</t>
        </is>
      </c>
      <c r="B582" t="inlineStr">
        <is>
          <t>avverkningsanmälan</t>
        </is>
      </c>
      <c r="C582" t="inlineStr">
        <is>
          <t>Föryngringsavverkning</t>
        </is>
      </c>
      <c r="D582" s="1" t="n">
        <v>46119</v>
      </c>
      <c r="E582" s="1" t="n">
        <v>46221</v>
      </c>
      <c r="F582" t="inlineStr">
        <is>
          <t>DALARNAS LÄN</t>
        </is>
      </c>
      <c r="G582" t="inlineStr">
        <is>
          <t>LEKSAND</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1719-2024</t>
        </is>
      </c>
      <c r="B583" t="inlineStr">
        <is>
          <t>avverkningsanmälan</t>
        </is>
      </c>
      <c r="C583" t="inlineStr">
        <is>
          <t>Föryngringsavverkning</t>
        </is>
      </c>
      <c r="D583" s="1" t="n">
        <v>45307</v>
      </c>
      <c r="E583" s="1" t="n">
        <v>46221</v>
      </c>
      <c r="F583" t="inlineStr">
        <is>
          <t>DALARNAS LÄN</t>
        </is>
      </c>
      <c r="G583" t="inlineStr">
        <is>
          <t>LEKSAND</t>
        </is>
      </c>
      <c r="I583" t="n">
        <v>2.8</v>
      </c>
      <c r="J583" t="n">
        <v>0</v>
      </c>
      <c r="K583" t="n">
        <v>0</v>
      </c>
      <c r="L583" t="n">
        <v>0</v>
      </c>
      <c r="M583" t="n">
        <v>0</v>
      </c>
      <c r="N583" t="n">
        <v>0</v>
      </c>
      <c r="O583" t="n">
        <v>0</v>
      </c>
      <c r="P583" t="n">
        <v>0</v>
      </c>
      <c r="Q583" t="n">
        <v>0</v>
      </c>
      <c r="R583" t="n">
        <v>0</v>
      </c>
      <c r="S583" t="n">
        <v>0</v>
      </c>
      <c r="T583" t="n">
        <v>0</v>
      </c>
      <c r="U583" s="2" t="inlineStr"/>
    </row>
    <row r="584" ht="15" customHeight="1">
      <c r="A584" t="inlineStr">
        <is>
          <t>A 27691-2026</t>
        </is>
      </c>
      <c r="B584" t="inlineStr">
        <is>
          <t>avverkningsanmälan</t>
        </is>
      </c>
      <c r="C584" t="inlineStr">
        <is>
          <t>Föryngringsavverkning</t>
        </is>
      </c>
      <c r="D584" s="1" t="n">
        <v>46190</v>
      </c>
      <c r="E584" s="1" t="n">
        <v>46221</v>
      </c>
      <c r="F584" t="inlineStr">
        <is>
          <t>DALARNAS LÄN</t>
        </is>
      </c>
      <c r="G584" t="inlineStr">
        <is>
          <t>LEKSAND</t>
        </is>
      </c>
      <c r="H584" t="inlineStr">
        <is>
          <t>Bergvik skog väst AB</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21563-2026</t>
        </is>
      </c>
      <c r="B585" t="inlineStr">
        <is>
          <t>avverkningsanmälan</t>
        </is>
      </c>
      <c r="C585" t="inlineStr">
        <is>
          <t>Föryngringsavverkning</t>
        </is>
      </c>
      <c r="D585" s="1" t="n">
        <v>46148</v>
      </c>
      <c r="E585" s="1" t="n">
        <v>46221</v>
      </c>
      <c r="F585" t="inlineStr">
        <is>
          <t>DALARNAS LÄN</t>
        </is>
      </c>
      <c r="G585" t="inlineStr">
        <is>
          <t>LEKSAND</t>
        </is>
      </c>
      <c r="H585" t="inlineStr">
        <is>
          <t>Bergvik skog väst AB</t>
        </is>
      </c>
      <c r="I585" t="n">
        <v>3.2</v>
      </c>
      <c r="J585" t="n">
        <v>0</v>
      </c>
      <c r="K585" t="n">
        <v>0</v>
      </c>
      <c r="L585" t="n">
        <v>0</v>
      </c>
      <c r="M585" t="n">
        <v>0</v>
      </c>
      <c r="N585" t="n">
        <v>0</v>
      </c>
      <c r="O585" t="n">
        <v>0</v>
      </c>
      <c r="P585" t="n">
        <v>0</v>
      </c>
      <c r="Q585" t="n">
        <v>0</v>
      </c>
      <c r="R585" t="n">
        <v>0</v>
      </c>
      <c r="S585" t="n">
        <v>0</v>
      </c>
      <c r="T585" t="n">
        <v>0</v>
      </c>
      <c r="U585" s="2" t="inlineStr"/>
    </row>
    <row r="586" ht="15" customHeight="1">
      <c r="A586" t="inlineStr">
        <is>
          <t>A 21856-2026</t>
        </is>
      </c>
      <c r="B586" t="inlineStr">
        <is>
          <t>avverkningsanmälan</t>
        </is>
      </c>
      <c r="C586" t="inlineStr">
        <is>
          <t>Föryngringsavverkning</t>
        </is>
      </c>
      <c r="D586" s="1" t="n">
        <v>46150</v>
      </c>
      <c r="E586" s="1" t="n">
        <v>46221</v>
      </c>
      <c r="F586" t="inlineStr">
        <is>
          <t>DALARNAS LÄN</t>
        </is>
      </c>
      <c r="G586" t="inlineStr">
        <is>
          <t>LEKSAND</t>
        </is>
      </c>
      <c r="H586" t="inlineStr">
        <is>
          <t>Bergvik skog väst AB</t>
        </is>
      </c>
      <c r="I586" t="n">
        <v>2.3</v>
      </c>
      <c r="J586" t="n">
        <v>0</v>
      </c>
      <c r="K586" t="n">
        <v>0</v>
      </c>
      <c r="L586" t="n">
        <v>0</v>
      </c>
      <c r="M586" t="n">
        <v>0</v>
      </c>
      <c r="N586" t="n">
        <v>0</v>
      </c>
      <c r="O586" t="n">
        <v>0</v>
      </c>
      <c r="P586" t="n">
        <v>0</v>
      </c>
      <c r="Q586" t="n">
        <v>0</v>
      </c>
      <c r="R586" t="n">
        <v>0</v>
      </c>
      <c r="S586" t="n">
        <v>0</v>
      </c>
      <c r="T586" t="n">
        <v>0</v>
      </c>
      <c r="U586" s="2" t="inlineStr"/>
    </row>
    <row r="587" ht="15" customHeight="1">
      <c r="A587" t="inlineStr">
        <is>
          <t>A 22349-2024</t>
        </is>
      </c>
      <c r="B587" t="inlineStr">
        <is>
          <t>avverkningsanmälan</t>
        </is>
      </c>
      <c r="C587" t="inlineStr">
        <is>
          <t>Föryngringsavverkning</t>
        </is>
      </c>
      <c r="D587" s="1" t="n">
        <v>45446</v>
      </c>
      <c r="E587" s="1" t="n">
        <v>46221</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11617-2024</t>
        </is>
      </c>
      <c r="B588" t="inlineStr">
        <is>
          <t>avverkningsanmälan</t>
        </is>
      </c>
      <c r="C588" t="inlineStr">
        <is>
          <t>Föryngringsavverkning</t>
        </is>
      </c>
      <c r="D588" s="1" t="n">
        <v>45373</v>
      </c>
      <c r="E588" s="1" t="n">
        <v>46221</v>
      </c>
      <c r="F588" t="inlineStr">
        <is>
          <t>DALARNAS LÄN</t>
        </is>
      </c>
      <c r="G588" t="inlineStr">
        <is>
          <t>LEKSAND</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21754-2026</t>
        </is>
      </c>
      <c r="B589" t="inlineStr">
        <is>
          <t>avverkningsanmälan</t>
        </is>
      </c>
      <c r="C589" t="inlineStr">
        <is>
          <t>Föryngringsavverkning</t>
        </is>
      </c>
      <c r="D589" s="1" t="n">
        <v>46149</v>
      </c>
      <c r="E589" s="1" t="n">
        <v>46221</v>
      </c>
      <c r="F589" t="inlineStr">
        <is>
          <t>DALARNAS LÄN</t>
        </is>
      </c>
      <c r="G589" t="inlineStr">
        <is>
          <t>LEKSAND</t>
        </is>
      </c>
      <c r="H589" t="inlineStr">
        <is>
          <t>Bergvik skog väst AB</t>
        </is>
      </c>
      <c r="I589" t="n">
        <v>8.699999999999999</v>
      </c>
      <c r="J589" t="n">
        <v>0</v>
      </c>
      <c r="K589" t="n">
        <v>0</v>
      </c>
      <c r="L589" t="n">
        <v>0</v>
      </c>
      <c r="M589" t="n">
        <v>0</v>
      </c>
      <c r="N589" t="n">
        <v>0</v>
      </c>
      <c r="O589" t="n">
        <v>0</v>
      </c>
      <c r="P589" t="n">
        <v>0</v>
      </c>
      <c r="Q589" t="n">
        <v>0</v>
      </c>
      <c r="R589" t="n">
        <v>0</v>
      </c>
      <c r="S589" t="n">
        <v>0</v>
      </c>
      <c r="T589" t="n">
        <v>0</v>
      </c>
      <c r="U589" s="2" t="inlineStr"/>
    </row>
    <row r="590" ht="15" customHeight="1">
      <c r="A590" t="inlineStr">
        <is>
          <t>A 21751-2026</t>
        </is>
      </c>
      <c r="B590" t="inlineStr">
        <is>
          <t>avverkningsanmälan</t>
        </is>
      </c>
      <c r="C590" t="inlineStr">
        <is>
          <t>Föryngringsavverkning</t>
        </is>
      </c>
      <c r="D590" s="1" t="n">
        <v>46149</v>
      </c>
      <c r="E590" s="1" t="n">
        <v>46221</v>
      </c>
      <c r="F590" t="inlineStr">
        <is>
          <t>DALARNAS LÄN</t>
        </is>
      </c>
      <c r="G590" t="inlineStr">
        <is>
          <t>LEKSAND</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21627-2026</t>
        </is>
      </c>
      <c r="B591" t="inlineStr">
        <is>
          <t>avverkningsanmälan</t>
        </is>
      </c>
      <c r="C591" t="inlineStr">
        <is>
          <t>Föryngringsavverkning</t>
        </is>
      </c>
      <c r="D591" s="1" t="n">
        <v>46149</v>
      </c>
      <c r="E591" s="1" t="n">
        <v>46221</v>
      </c>
      <c r="F591" t="inlineStr">
        <is>
          <t>DALARNAS LÄN</t>
        </is>
      </c>
      <c r="G591" t="inlineStr">
        <is>
          <t>LEKSAND</t>
        </is>
      </c>
      <c r="H591" t="inlineStr">
        <is>
          <t>Övriga Aktiebolag</t>
        </is>
      </c>
      <c r="I591" t="n">
        <v>1.2</v>
      </c>
      <c r="J591" t="n">
        <v>0</v>
      </c>
      <c r="K591" t="n">
        <v>0</v>
      </c>
      <c r="L591" t="n">
        <v>0</v>
      </c>
      <c r="M591" t="n">
        <v>0</v>
      </c>
      <c r="N591" t="n">
        <v>0</v>
      </c>
      <c r="O591" t="n">
        <v>0</v>
      </c>
      <c r="P591" t="n">
        <v>0</v>
      </c>
      <c r="Q591" t="n">
        <v>0</v>
      </c>
      <c r="R591" t="n">
        <v>0</v>
      </c>
      <c r="S591" t="n">
        <v>0</v>
      </c>
      <c r="T591" t="n">
        <v>0</v>
      </c>
      <c r="U591" s="2" t="inlineStr"/>
    </row>
    <row r="592" ht="15" customHeight="1">
      <c r="A592" t="inlineStr">
        <is>
          <t>A 61953-2023</t>
        </is>
      </c>
      <c r="B592" t="inlineStr">
        <is>
          <t>avverkningsanmälan</t>
        </is>
      </c>
      <c r="C592" t="inlineStr">
        <is>
          <t>Föryngringsavverkning</t>
        </is>
      </c>
      <c r="D592" s="1" t="n">
        <v>45266</v>
      </c>
      <c r="E592" s="1" t="n">
        <v>46221</v>
      </c>
      <c r="F592" t="inlineStr">
        <is>
          <t>DALARNAS LÄN</t>
        </is>
      </c>
      <c r="G592" t="inlineStr">
        <is>
          <t>LEKSAND</t>
        </is>
      </c>
      <c r="I592" t="n">
        <v>0.1</v>
      </c>
      <c r="J592" t="n">
        <v>0</v>
      </c>
      <c r="K592" t="n">
        <v>0</v>
      </c>
      <c r="L592" t="n">
        <v>0</v>
      </c>
      <c r="M592" t="n">
        <v>0</v>
      </c>
      <c r="N592" t="n">
        <v>0</v>
      </c>
      <c r="O592" t="n">
        <v>0</v>
      </c>
      <c r="P592" t="n">
        <v>0</v>
      </c>
      <c r="Q592" t="n">
        <v>0</v>
      </c>
      <c r="R592" t="n">
        <v>0</v>
      </c>
      <c r="S592" t="n">
        <v>0</v>
      </c>
      <c r="T592" t="n">
        <v>0</v>
      </c>
      <c r="U592" s="2" t="inlineStr"/>
    </row>
    <row r="593" ht="15" customHeight="1">
      <c r="A593" t="inlineStr">
        <is>
          <t>A 58619-2022</t>
        </is>
      </c>
      <c r="B593" t="inlineStr">
        <is>
          <t>avverkningsanmälan</t>
        </is>
      </c>
      <c r="C593" t="inlineStr">
        <is>
          <t>Föryngringsavverkning</t>
        </is>
      </c>
      <c r="D593" s="1" t="n">
        <v>44902</v>
      </c>
      <c r="E593" s="1" t="n">
        <v>46221</v>
      </c>
      <c r="F593" t="inlineStr">
        <is>
          <t>DALARNAS LÄN</t>
        </is>
      </c>
      <c r="G593" t="inlineStr">
        <is>
          <t>LEKSAND</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61225-2023</t>
        </is>
      </c>
      <c r="B594" t="inlineStr">
        <is>
          <t>avverkningsanmälan</t>
        </is>
      </c>
      <c r="C594" t="inlineStr">
        <is>
          <t>Föryngringsavverkning</t>
        </is>
      </c>
      <c r="D594" s="1" t="n">
        <v>45264</v>
      </c>
      <c r="E594" s="1" t="n">
        <v>46221</v>
      </c>
      <c r="F594" t="inlineStr">
        <is>
          <t>DALARNAS LÄN</t>
        </is>
      </c>
      <c r="G594" t="inlineStr">
        <is>
          <t>LEKSAND</t>
        </is>
      </c>
      <c r="I594" t="n">
        <v>7</v>
      </c>
      <c r="J594" t="n">
        <v>0</v>
      </c>
      <c r="K594" t="n">
        <v>0</v>
      </c>
      <c r="L594" t="n">
        <v>0</v>
      </c>
      <c r="M594" t="n">
        <v>0</v>
      </c>
      <c r="N594" t="n">
        <v>0</v>
      </c>
      <c r="O594" t="n">
        <v>0</v>
      </c>
      <c r="P594" t="n">
        <v>0</v>
      </c>
      <c r="Q594" t="n">
        <v>0</v>
      </c>
      <c r="R594" t="n">
        <v>0</v>
      </c>
      <c r="S594" t="n">
        <v>0</v>
      </c>
      <c r="T594" t="n">
        <v>0</v>
      </c>
      <c r="U594" s="2" t="inlineStr"/>
    </row>
    <row r="595" ht="15" customHeight="1">
      <c r="A595" t="inlineStr">
        <is>
          <t>A 61252-2023</t>
        </is>
      </c>
      <c r="B595" t="inlineStr">
        <is>
          <t>avverkningsanmälan</t>
        </is>
      </c>
      <c r="C595" t="inlineStr">
        <is>
          <t>Föryngringsavverkning</t>
        </is>
      </c>
      <c r="D595" s="1" t="n">
        <v>45261</v>
      </c>
      <c r="E595" s="1" t="n">
        <v>46221</v>
      </c>
      <c r="F595" t="inlineStr">
        <is>
          <t>DALARNAS LÄN</t>
        </is>
      </c>
      <c r="G595" t="inlineStr">
        <is>
          <t>LEKSAND</t>
        </is>
      </c>
      <c r="I595" t="n">
        <v>1.9</v>
      </c>
      <c r="J595" t="n">
        <v>0</v>
      </c>
      <c r="K595" t="n">
        <v>0</v>
      </c>
      <c r="L595" t="n">
        <v>0</v>
      </c>
      <c r="M595" t="n">
        <v>0</v>
      </c>
      <c r="N595" t="n">
        <v>0</v>
      </c>
      <c r="O595" t="n">
        <v>0</v>
      </c>
      <c r="P595" t="n">
        <v>0</v>
      </c>
      <c r="Q595" t="n">
        <v>0</v>
      </c>
      <c r="R595" t="n">
        <v>0</v>
      </c>
      <c r="S595" t="n">
        <v>0</v>
      </c>
      <c r="T595" t="n">
        <v>0</v>
      </c>
      <c r="U595" s="2" t="inlineStr"/>
    </row>
    <row r="596" ht="15" customHeight="1">
      <c r="A596" t="inlineStr">
        <is>
          <t>A 27848-2026</t>
        </is>
      </c>
      <c r="B596" t="inlineStr">
        <is>
          <t>avverkningsanmälan</t>
        </is>
      </c>
      <c r="C596" t="inlineStr">
        <is>
          <t>Föryngringsavverkning</t>
        </is>
      </c>
      <c r="D596" s="1" t="n">
        <v>46191</v>
      </c>
      <c r="E596" s="1" t="n">
        <v>46221</v>
      </c>
      <c r="F596" t="inlineStr">
        <is>
          <t>DALARNAS LÄN</t>
        </is>
      </c>
      <c r="G596" t="inlineStr">
        <is>
          <t>LEKSAND</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14617-2024</t>
        </is>
      </c>
      <c r="B597" t="inlineStr">
        <is>
          <t>avverkningsanmälan</t>
        </is>
      </c>
      <c r="C597" t="inlineStr">
        <is>
          <t>Föryngringsavverkning</t>
        </is>
      </c>
      <c r="D597" s="1" t="n">
        <v>45397</v>
      </c>
      <c r="E597" s="1" t="n">
        <v>46221</v>
      </c>
      <c r="F597" t="inlineStr">
        <is>
          <t>DALARNAS LÄN</t>
        </is>
      </c>
      <c r="G597" t="inlineStr">
        <is>
          <t>LEKSAND</t>
        </is>
      </c>
      <c r="I597" t="n">
        <v>0.2</v>
      </c>
      <c r="J597" t="n">
        <v>0</v>
      </c>
      <c r="K597" t="n">
        <v>0</v>
      </c>
      <c r="L597" t="n">
        <v>0</v>
      </c>
      <c r="M597" t="n">
        <v>0</v>
      </c>
      <c r="N597" t="n">
        <v>0</v>
      </c>
      <c r="O597" t="n">
        <v>0</v>
      </c>
      <c r="P597" t="n">
        <v>0</v>
      </c>
      <c r="Q597" t="n">
        <v>0</v>
      </c>
      <c r="R597" t="n">
        <v>0</v>
      </c>
      <c r="S597" t="n">
        <v>0</v>
      </c>
      <c r="T597" t="n">
        <v>0</v>
      </c>
      <c r="U597" s="2" t="inlineStr"/>
    </row>
    <row r="598" ht="15" customHeight="1">
      <c r="A598" t="inlineStr">
        <is>
          <t>A 46141-2022</t>
        </is>
      </c>
      <c r="B598" t="inlineStr">
        <is>
          <t>avverkningsanmälan</t>
        </is>
      </c>
      <c r="C598" t="inlineStr">
        <is>
          <t>Föryngringsavverkning</t>
        </is>
      </c>
      <c r="D598" s="1" t="n">
        <v>44846</v>
      </c>
      <c r="E598" s="1" t="n">
        <v>46221</v>
      </c>
      <c r="F598" t="inlineStr">
        <is>
          <t>DALARNAS LÄN</t>
        </is>
      </c>
      <c r="G598" t="inlineStr">
        <is>
          <t>LEKSAND</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62993-2023</t>
        </is>
      </c>
      <c r="B599" t="inlineStr">
        <is>
          <t>avverkningsanmälan</t>
        </is>
      </c>
      <c r="C599" t="inlineStr">
        <is>
          <t>Föryngringsavverkning</t>
        </is>
      </c>
      <c r="D599" s="1" t="n">
        <v>45272</v>
      </c>
      <c r="E599" s="1" t="n">
        <v>46221</v>
      </c>
      <c r="F599" t="inlineStr">
        <is>
          <t>DALARNAS LÄN</t>
        </is>
      </c>
      <c r="G599" t="inlineStr">
        <is>
          <t>LEKSAND</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27875-2026</t>
        </is>
      </c>
      <c r="B600" t="inlineStr">
        <is>
          <t>avverkningsanmälan</t>
        </is>
      </c>
      <c r="C600" t="inlineStr">
        <is>
          <t>Föryngringsavverkning</t>
        </is>
      </c>
      <c r="D600" s="1" t="n">
        <v>46191</v>
      </c>
      <c r="E600" s="1" t="n">
        <v>46221</v>
      </c>
      <c r="F600" t="inlineStr">
        <is>
          <t>DALARNAS LÄN</t>
        </is>
      </c>
      <c r="G600" t="inlineStr">
        <is>
          <t>LEKSAND</t>
        </is>
      </c>
      <c r="H600" t="inlineStr">
        <is>
          <t>Bergvik skog väst AB</t>
        </is>
      </c>
      <c r="I600" t="n">
        <v>2.3</v>
      </c>
      <c r="J600" t="n">
        <v>0</v>
      </c>
      <c r="K600" t="n">
        <v>0</v>
      </c>
      <c r="L600" t="n">
        <v>0</v>
      </c>
      <c r="M600" t="n">
        <v>0</v>
      </c>
      <c r="N600" t="n">
        <v>0</v>
      </c>
      <c r="O600" t="n">
        <v>0</v>
      </c>
      <c r="P600" t="n">
        <v>0</v>
      </c>
      <c r="Q600" t="n">
        <v>0</v>
      </c>
      <c r="R600" t="n">
        <v>0</v>
      </c>
      <c r="S600" t="n">
        <v>0</v>
      </c>
      <c r="T600" t="n">
        <v>0</v>
      </c>
      <c r="U600" s="2" t="inlineStr"/>
    </row>
    <row r="601" ht="15" customHeight="1">
      <c r="A601" t="inlineStr">
        <is>
          <t>A 61933-2023</t>
        </is>
      </c>
      <c r="B601" t="inlineStr">
        <is>
          <t>avverkningsanmälan</t>
        </is>
      </c>
      <c r="C601" t="inlineStr">
        <is>
          <t>Föryngringsavverkning</t>
        </is>
      </c>
      <c r="D601" s="1" t="n">
        <v>45266</v>
      </c>
      <c r="E601" s="1" t="n">
        <v>46221</v>
      </c>
      <c r="F601" t="inlineStr">
        <is>
          <t>DALARNAS LÄN</t>
        </is>
      </c>
      <c r="G601" t="inlineStr">
        <is>
          <t>LEKSAND</t>
        </is>
      </c>
      <c r="I601" t="n">
        <v>0.2</v>
      </c>
      <c r="J601" t="n">
        <v>0</v>
      </c>
      <c r="K601" t="n">
        <v>0</v>
      </c>
      <c r="L601" t="n">
        <v>0</v>
      </c>
      <c r="M601" t="n">
        <v>0</v>
      </c>
      <c r="N601" t="n">
        <v>0</v>
      </c>
      <c r="O601" t="n">
        <v>0</v>
      </c>
      <c r="P601" t="n">
        <v>0</v>
      </c>
      <c r="Q601" t="n">
        <v>0</v>
      </c>
      <c r="R601" t="n">
        <v>0</v>
      </c>
      <c r="S601" t="n">
        <v>0</v>
      </c>
      <c r="T601" t="n">
        <v>0</v>
      </c>
      <c r="U601" s="2" t="inlineStr"/>
    </row>
    <row r="602" ht="15" customHeight="1">
      <c r="A602" t="inlineStr">
        <is>
          <t>A 33198-2022</t>
        </is>
      </c>
      <c r="B602" t="inlineStr">
        <is>
          <t>avverkningsanmälan</t>
        </is>
      </c>
      <c r="C602" t="inlineStr">
        <is>
          <t>Föryngringsavverkning</t>
        </is>
      </c>
      <c r="D602" s="1" t="n">
        <v>44785</v>
      </c>
      <c r="E602" s="1" t="n">
        <v>46221</v>
      </c>
      <c r="F602" t="inlineStr">
        <is>
          <t>DALARNAS LÄN</t>
        </is>
      </c>
      <c r="G602" t="inlineStr">
        <is>
          <t>LEKSAND</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27859-2026</t>
        </is>
      </c>
      <c r="B603" t="inlineStr">
        <is>
          <t>avverkningsanmälan</t>
        </is>
      </c>
      <c r="C603" t="inlineStr">
        <is>
          <t>Föryngringsavverkning</t>
        </is>
      </c>
      <c r="D603" s="1" t="n">
        <v>46191</v>
      </c>
      <c r="E603" s="1" t="n">
        <v>46221</v>
      </c>
      <c r="F603" t="inlineStr">
        <is>
          <t>DALARNAS LÄN</t>
        </is>
      </c>
      <c r="G603" t="inlineStr">
        <is>
          <t>LEKSAND</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15619-2025</t>
        </is>
      </c>
      <c r="B604" t="inlineStr">
        <is>
          <t>avverkningsanmälan</t>
        </is>
      </c>
      <c r="C604" t="inlineStr">
        <is>
          <t>Föryngringsavverkning</t>
        </is>
      </c>
      <c r="D604" s="1" t="n">
        <v>45747</v>
      </c>
      <c r="E604" s="1" t="n">
        <v>46221</v>
      </c>
      <c r="F604" t="inlineStr">
        <is>
          <t>DALARNAS LÄN</t>
        </is>
      </c>
      <c r="G604" t="inlineStr">
        <is>
          <t>LEKSAND</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46931-2023</t>
        </is>
      </c>
      <c r="B605" t="inlineStr">
        <is>
          <t>avverkningsanmälan</t>
        </is>
      </c>
      <c r="C605" t="inlineStr">
        <is>
          <t>Föryngringsavverkning</t>
        </is>
      </c>
      <c r="D605" s="1" t="n">
        <v>45201</v>
      </c>
      <c r="E605" s="1" t="n">
        <v>46221</v>
      </c>
      <c r="F605" t="inlineStr">
        <is>
          <t>DALARNAS LÄN</t>
        </is>
      </c>
      <c r="G605" t="inlineStr">
        <is>
          <t>LEKSAND</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12988-2026</t>
        </is>
      </c>
      <c r="B606" t="inlineStr">
        <is>
          <t>avverkningsanmälan</t>
        </is>
      </c>
      <c r="C606" t="inlineStr">
        <is>
          <t>Föryngringsavverkning</t>
        </is>
      </c>
      <c r="D606" s="1" t="n">
        <v>46092</v>
      </c>
      <c r="E606" s="1" t="n">
        <v>46221</v>
      </c>
      <c r="F606" t="inlineStr">
        <is>
          <t>DALARNAS LÄN</t>
        </is>
      </c>
      <c r="G606" t="inlineStr">
        <is>
          <t>LEKSAND</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2853-2026</t>
        </is>
      </c>
      <c r="B607" t="inlineStr">
        <is>
          <t>avverkningsanmälan</t>
        </is>
      </c>
      <c r="C607" t="inlineStr">
        <is>
          <t>Föryngringsavverkning</t>
        </is>
      </c>
      <c r="D607" s="1" t="n">
        <v>46038</v>
      </c>
      <c r="E607" s="1" t="n">
        <v>46221</v>
      </c>
      <c r="F607" t="inlineStr">
        <is>
          <t>DALARNAS LÄN</t>
        </is>
      </c>
      <c r="G607" t="inlineStr">
        <is>
          <t>LEKSAND</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17759-2023</t>
        </is>
      </c>
      <c r="B608" t="inlineStr">
        <is>
          <t>avverkningsanmälan</t>
        </is>
      </c>
      <c r="C608" t="inlineStr">
        <is>
          <t>Föryngringsavverkning</t>
        </is>
      </c>
      <c r="D608" s="1" t="n">
        <v>45037</v>
      </c>
      <c r="E608" s="1" t="n">
        <v>46221</v>
      </c>
      <c r="F608" t="inlineStr">
        <is>
          <t>DALARNAS LÄN</t>
        </is>
      </c>
      <c r="G608" t="inlineStr">
        <is>
          <t>LEKSAND</t>
        </is>
      </c>
      <c r="I608" t="n">
        <v>2.1</v>
      </c>
      <c r="J608" t="n">
        <v>0</v>
      </c>
      <c r="K608" t="n">
        <v>0</v>
      </c>
      <c r="L608" t="n">
        <v>0</v>
      </c>
      <c r="M608" t="n">
        <v>0</v>
      </c>
      <c r="N608" t="n">
        <v>0</v>
      </c>
      <c r="O608" t="n">
        <v>0</v>
      </c>
      <c r="P608" t="n">
        <v>0</v>
      </c>
      <c r="Q608" t="n">
        <v>0</v>
      </c>
      <c r="R608" t="n">
        <v>0</v>
      </c>
      <c r="S608" t="n">
        <v>0</v>
      </c>
      <c r="T608" t="n">
        <v>0</v>
      </c>
      <c r="U608" s="2" t="inlineStr"/>
    </row>
    <row r="609" ht="15" customHeight="1">
      <c r="A609" t="inlineStr">
        <is>
          <t>A 55015-2024</t>
        </is>
      </c>
      <c r="B609" t="inlineStr">
        <is>
          <t>avverkningsanmälan</t>
        </is>
      </c>
      <c r="C609" t="inlineStr">
        <is>
          <t>Föryngringsavverkning</t>
        </is>
      </c>
      <c r="D609" s="1" t="n">
        <v>45621</v>
      </c>
      <c r="E609" s="1" t="n">
        <v>46221</v>
      </c>
      <c r="F609" t="inlineStr">
        <is>
          <t>DALARNAS LÄN</t>
        </is>
      </c>
      <c r="G609" t="inlineStr">
        <is>
          <t>LEKSAND</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60170-2025</t>
        </is>
      </c>
      <c r="B610" t="inlineStr">
        <is>
          <t>avverkningsanmälan</t>
        </is>
      </c>
      <c r="C610" t="inlineStr">
        <is>
          <t>Föryngringsavverkning</t>
        </is>
      </c>
      <c r="D610" s="1" t="n">
        <v>45994</v>
      </c>
      <c r="E610" s="1" t="n">
        <v>46221</v>
      </c>
      <c r="F610" t="inlineStr">
        <is>
          <t>DALARNAS LÄN</t>
        </is>
      </c>
      <c r="G610" t="inlineStr">
        <is>
          <t>LEKSAND</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46505-2023</t>
        </is>
      </c>
      <c r="B611" t="inlineStr">
        <is>
          <t>avverkningsanmälan</t>
        </is>
      </c>
      <c r="C611" t="inlineStr">
        <is>
          <t>Föryngringsavverkning</t>
        </is>
      </c>
      <c r="D611" s="1" t="n">
        <v>45197</v>
      </c>
      <c r="E611" s="1" t="n">
        <v>46221</v>
      </c>
      <c r="F611" t="inlineStr">
        <is>
          <t>DALARNAS LÄN</t>
        </is>
      </c>
      <c r="G611" t="inlineStr">
        <is>
          <t>LEKSAND</t>
        </is>
      </c>
      <c r="I611" t="n">
        <v>2.3</v>
      </c>
      <c r="J611" t="n">
        <v>0</v>
      </c>
      <c r="K611" t="n">
        <v>0</v>
      </c>
      <c r="L611" t="n">
        <v>0</v>
      </c>
      <c r="M611" t="n">
        <v>0</v>
      </c>
      <c r="N611" t="n">
        <v>0</v>
      </c>
      <c r="O611" t="n">
        <v>0</v>
      </c>
      <c r="P611" t="n">
        <v>0</v>
      </c>
      <c r="Q611" t="n">
        <v>0</v>
      </c>
      <c r="R611" t="n">
        <v>0</v>
      </c>
      <c r="S611" t="n">
        <v>0</v>
      </c>
      <c r="T611" t="n">
        <v>0</v>
      </c>
      <c r="U611" s="2" t="inlineStr"/>
    </row>
    <row r="612" ht="15" customHeight="1">
      <c r="A612" t="inlineStr">
        <is>
          <t>A 481-2024</t>
        </is>
      </c>
      <c r="B612" t="inlineStr">
        <is>
          <t>avverkningsanmälan</t>
        </is>
      </c>
      <c r="C612" t="inlineStr">
        <is>
          <t>Föryngringsavverkning</t>
        </is>
      </c>
      <c r="D612" s="1" t="n">
        <v>45298</v>
      </c>
      <c r="E612" s="1" t="n">
        <v>46221</v>
      </c>
      <c r="F612" t="inlineStr">
        <is>
          <t>DALARNAS LÄN</t>
        </is>
      </c>
      <c r="G612" t="inlineStr">
        <is>
          <t>LEKSAND</t>
        </is>
      </c>
      <c r="I612" t="n">
        <v>7</v>
      </c>
      <c r="J612" t="n">
        <v>0</v>
      </c>
      <c r="K612" t="n">
        <v>0</v>
      </c>
      <c r="L612" t="n">
        <v>0</v>
      </c>
      <c r="M612" t="n">
        <v>0</v>
      </c>
      <c r="N612" t="n">
        <v>0</v>
      </c>
      <c r="O612" t="n">
        <v>0</v>
      </c>
      <c r="P612" t="n">
        <v>0</v>
      </c>
      <c r="Q612" t="n">
        <v>0</v>
      </c>
      <c r="R612" t="n">
        <v>0</v>
      </c>
      <c r="S612" t="n">
        <v>0</v>
      </c>
      <c r="T612" t="n">
        <v>0</v>
      </c>
      <c r="U612" s="2" t="inlineStr"/>
    </row>
    <row r="613" ht="15" customHeight="1">
      <c r="A613" t="inlineStr">
        <is>
          <t>A 22202-2026</t>
        </is>
      </c>
      <c r="B613" t="inlineStr">
        <is>
          <t>avverkningsanmälan</t>
        </is>
      </c>
      <c r="C613" t="inlineStr">
        <is>
          <t>Föryngringsavverkning</t>
        </is>
      </c>
      <c r="D613" s="1" t="n">
        <v>46153</v>
      </c>
      <c r="E613" s="1" t="n">
        <v>46221</v>
      </c>
      <c r="F613" t="inlineStr">
        <is>
          <t>DALARNAS LÄN</t>
        </is>
      </c>
      <c r="G613" t="inlineStr">
        <is>
          <t>LEKSAND</t>
        </is>
      </c>
      <c r="H613" t="inlineStr">
        <is>
          <t>Bergvik skog väst AB</t>
        </is>
      </c>
      <c r="I613" t="n">
        <v>7</v>
      </c>
      <c r="J613" t="n">
        <v>0</v>
      </c>
      <c r="K613" t="n">
        <v>0</v>
      </c>
      <c r="L613" t="n">
        <v>0</v>
      </c>
      <c r="M613" t="n">
        <v>0</v>
      </c>
      <c r="N613" t="n">
        <v>0</v>
      </c>
      <c r="O613" t="n">
        <v>0</v>
      </c>
      <c r="P613" t="n">
        <v>0</v>
      </c>
      <c r="Q613" t="n">
        <v>0</v>
      </c>
      <c r="R613" t="n">
        <v>0</v>
      </c>
      <c r="S613" t="n">
        <v>0</v>
      </c>
      <c r="T613" t="n">
        <v>0</v>
      </c>
      <c r="U613" s="2" t="inlineStr"/>
    </row>
    <row r="614" ht="15" customHeight="1">
      <c r="A614" t="inlineStr">
        <is>
          <t>A 50278-2023</t>
        </is>
      </c>
      <c r="B614" t="inlineStr">
        <is>
          <t>avverkningsanmälan</t>
        </is>
      </c>
      <c r="C614" t="inlineStr">
        <is>
          <t>Föryngringsavverkning</t>
        </is>
      </c>
      <c r="D614" s="1" t="n">
        <v>45216</v>
      </c>
      <c r="E614" s="1" t="n">
        <v>46221</v>
      </c>
      <c r="F614" t="inlineStr">
        <is>
          <t>DALARNAS LÄN</t>
        </is>
      </c>
      <c r="G614" t="inlineStr">
        <is>
          <t>LEKSAND</t>
        </is>
      </c>
      <c r="I614" t="n">
        <v>0.4</v>
      </c>
      <c r="J614" t="n">
        <v>0</v>
      </c>
      <c r="K614" t="n">
        <v>0</v>
      </c>
      <c r="L614" t="n">
        <v>0</v>
      </c>
      <c r="M614" t="n">
        <v>0</v>
      </c>
      <c r="N614" t="n">
        <v>0</v>
      </c>
      <c r="O614" t="n">
        <v>0</v>
      </c>
      <c r="P614" t="n">
        <v>0</v>
      </c>
      <c r="Q614" t="n">
        <v>0</v>
      </c>
      <c r="R614" t="n">
        <v>0</v>
      </c>
      <c r="S614" t="n">
        <v>0</v>
      </c>
      <c r="T614" t="n">
        <v>0</v>
      </c>
      <c r="U614" s="2" t="inlineStr"/>
    </row>
    <row r="615" ht="15" customHeight="1">
      <c r="A615" t="inlineStr">
        <is>
          <t>A 22313-2026</t>
        </is>
      </c>
      <c r="B615" t="inlineStr">
        <is>
          <t>avverkningsanmälan</t>
        </is>
      </c>
      <c r="C615" t="inlineStr">
        <is>
          <t>Föryngringsavverkning</t>
        </is>
      </c>
      <c r="D615" s="1" t="n">
        <v>46154</v>
      </c>
      <c r="E615" s="1" t="n">
        <v>46221</v>
      </c>
      <c r="F615" t="inlineStr">
        <is>
          <t>DALARNAS LÄN</t>
        </is>
      </c>
      <c r="G615" t="inlineStr">
        <is>
          <t>LEKSAND</t>
        </is>
      </c>
      <c r="H615" t="inlineStr">
        <is>
          <t>Bergvik skog väst AB</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28247-2026</t>
        </is>
      </c>
      <c r="B616" t="inlineStr">
        <is>
          <t>avverkningsanmälan</t>
        </is>
      </c>
      <c r="C616" t="inlineStr">
        <is>
          <t>Föryngringsavverkning</t>
        </is>
      </c>
      <c r="D616" s="1" t="n">
        <v>46196</v>
      </c>
      <c r="E616" s="1" t="n">
        <v>46221</v>
      </c>
      <c r="F616" t="inlineStr">
        <is>
          <t>DALARNAS LÄN</t>
        </is>
      </c>
      <c r="G616" t="inlineStr">
        <is>
          <t>LEKSAND</t>
        </is>
      </c>
      <c r="I616" t="n">
        <v>1.9</v>
      </c>
      <c r="J616" t="n">
        <v>0</v>
      </c>
      <c r="K616" t="n">
        <v>0</v>
      </c>
      <c r="L616" t="n">
        <v>0</v>
      </c>
      <c r="M616" t="n">
        <v>0</v>
      </c>
      <c r="N616" t="n">
        <v>0</v>
      </c>
      <c r="O616" t="n">
        <v>0</v>
      </c>
      <c r="P616" t="n">
        <v>0</v>
      </c>
      <c r="Q616" t="n">
        <v>0</v>
      </c>
      <c r="R616" t="n">
        <v>0</v>
      </c>
      <c r="S616" t="n">
        <v>0</v>
      </c>
      <c r="T616" t="n">
        <v>0</v>
      </c>
      <c r="U616" s="2" t="inlineStr"/>
    </row>
    <row r="617" ht="15" customHeight="1">
      <c r="A617" t="inlineStr">
        <is>
          <t>A 22105-2026</t>
        </is>
      </c>
      <c r="B617" t="inlineStr">
        <is>
          <t>avverkningsanmälan</t>
        </is>
      </c>
      <c r="C617" t="inlineStr">
        <is>
          <t>Föryngringsavverkning</t>
        </is>
      </c>
      <c r="D617" s="1" t="n">
        <v>46153</v>
      </c>
      <c r="E617" s="1" t="n">
        <v>46221</v>
      </c>
      <c r="F617" t="inlineStr">
        <is>
          <t>DALARNAS LÄN</t>
        </is>
      </c>
      <c r="G617" t="inlineStr">
        <is>
          <t>LEKSAND</t>
        </is>
      </c>
      <c r="H617" t="inlineStr">
        <is>
          <t>Bergvik skog väst AB</t>
        </is>
      </c>
      <c r="I617" t="n">
        <v>1.9</v>
      </c>
      <c r="J617" t="n">
        <v>0</v>
      </c>
      <c r="K617" t="n">
        <v>0</v>
      </c>
      <c r="L617" t="n">
        <v>0</v>
      </c>
      <c r="M617" t="n">
        <v>0</v>
      </c>
      <c r="N617" t="n">
        <v>0</v>
      </c>
      <c r="O617" t="n">
        <v>0</v>
      </c>
      <c r="P617" t="n">
        <v>0</v>
      </c>
      <c r="Q617" t="n">
        <v>0</v>
      </c>
      <c r="R617" t="n">
        <v>0</v>
      </c>
      <c r="S617" t="n">
        <v>0</v>
      </c>
      <c r="T617" t="n">
        <v>0</v>
      </c>
      <c r="U617" s="2" t="inlineStr"/>
    </row>
    <row r="618" ht="15" customHeight="1">
      <c r="A618" t="inlineStr">
        <is>
          <t>A 22418-2026</t>
        </is>
      </c>
      <c r="B618" t="inlineStr">
        <is>
          <t>avverkningsanmälan</t>
        </is>
      </c>
      <c r="C618" t="inlineStr">
        <is>
          <t>Föryngringsavverkning</t>
        </is>
      </c>
      <c r="D618" s="1" t="n">
        <v>46154</v>
      </c>
      <c r="E618" s="1" t="n">
        <v>46221</v>
      </c>
      <c r="F618" t="inlineStr">
        <is>
          <t>DALARNAS LÄN</t>
        </is>
      </c>
      <c r="G618" t="inlineStr">
        <is>
          <t>LEKSAND</t>
        </is>
      </c>
      <c r="H618" t="inlineStr">
        <is>
          <t>Bergvik skog väst AB</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37508-2025</t>
        </is>
      </c>
      <c r="B619" t="inlineStr">
        <is>
          <t>avverkningsanmälan</t>
        </is>
      </c>
      <c r="C619" t="inlineStr">
        <is>
          <t>Föryngringsavverkning</t>
        </is>
      </c>
      <c r="D619" s="1" t="n">
        <v>45877</v>
      </c>
      <c r="E619" s="1" t="n">
        <v>46221</v>
      </c>
      <c r="F619" t="inlineStr">
        <is>
          <t>DALARNAS LÄN</t>
        </is>
      </c>
      <c r="G619" t="inlineStr">
        <is>
          <t>LEKSAND</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32666-2023</t>
        </is>
      </c>
      <c r="B620" t="inlineStr">
        <is>
          <t>avverkningsanmälan</t>
        </is>
      </c>
      <c r="C620" t="inlineStr">
        <is>
          <t>Föryngringsavverkning</t>
        </is>
      </c>
      <c r="D620" s="1" t="n">
        <v>45121</v>
      </c>
      <c r="E620" s="1" t="n">
        <v>46221</v>
      </c>
      <c r="F620" t="inlineStr">
        <is>
          <t>DALARNAS LÄN</t>
        </is>
      </c>
      <c r="G620" t="inlineStr">
        <is>
          <t>LEKSAND</t>
        </is>
      </c>
      <c r="I620" t="n">
        <v>9.9</v>
      </c>
      <c r="J620" t="n">
        <v>0</v>
      </c>
      <c r="K620" t="n">
        <v>0</v>
      </c>
      <c r="L620" t="n">
        <v>0</v>
      </c>
      <c r="M620" t="n">
        <v>0</v>
      </c>
      <c r="N620" t="n">
        <v>0</v>
      </c>
      <c r="O620" t="n">
        <v>0</v>
      </c>
      <c r="P620" t="n">
        <v>0</v>
      </c>
      <c r="Q620" t="n">
        <v>0</v>
      </c>
      <c r="R620" t="n">
        <v>0</v>
      </c>
      <c r="S620" t="n">
        <v>0</v>
      </c>
      <c r="T620" t="n">
        <v>0</v>
      </c>
      <c r="U620" s="2" t="inlineStr"/>
    </row>
    <row r="621" ht="15" customHeight="1">
      <c r="A621" t="inlineStr">
        <is>
          <t>A 18837-2023</t>
        </is>
      </c>
      <c r="B621" t="inlineStr">
        <is>
          <t>avverkningsanmälan</t>
        </is>
      </c>
      <c r="C621" t="inlineStr">
        <is>
          <t>Föryngringsavverkning</t>
        </is>
      </c>
      <c r="D621" s="1" t="n">
        <v>45044</v>
      </c>
      <c r="E621" s="1" t="n">
        <v>46221</v>
      </c>
      <c r="F621" t="inlineStr">
        <is>
          <t>DALARNAS LÄN</t>
        </is>
      </c>
      <c r="G621" t="inlineStr">
        <is>
          <t>LEKSAND</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17730-2024</t>
        </is>
      </c>
      <c r="B622" t="inlineStr">
        <is>
          <t>avverkningsanmälan</t>
        </is>
      </c>
      <c r="C622" t="inlineStr">
        <is>
          <t>Föryngringsavverkning</t>
        </is>
      </c>
      <c r="D622" s="1" t="n">
        <v>45418</v>
      </c>
      <c r="E622" s="1" t="n">
        <v>46221</v>
      </c>
      <c r="F622" t="inlineStr">
        <is>
          <t>DALARNAS LÄN</t>
        </is>
      </c>
      <c r="G622" t="inlineStr">
        <is>
          <t>LEKSAND</t>
        </is>
      </c>
      <c r="I622" t="n">
        <v>2.4</v>
      </c>
      <c r="J622" t="n">
        <v>0</v>
      </c>
      <c r="K622" t="n">
        <v>0</v>
      </c>
      <c r="L622" t="n">
        <v>0</v>
      </c>
      <c r="M622" t="n">
        <v>0</v>
      </c>
      <c r="N622" t="n">
        <v>0</v>
      </c>
      <c r="O622" t="n">
        <v>0</v>
      </c>
      <c r="P622" t="n">
        <v>0</v>
      </c>
      <c r="Q622" t="n">
        <v>0</v>
      </c>
      <c r="R622" t="n">
        <v>0</v>
      </c>
      <c r="S622" t="n">
        <v>0</v>
      </c>
      <c r="T622" t="n">
        <v>0</v>
      </c>
      <c r="U622" s="2" t="inlineStr"/>
    </row>
    <row r="623" ht="15" customHeight="1">
      <c r="A623" t="inlineStr">
        <is>
          <t>A 64933-2023</t>
        </is>
      </c>
      <c r="B623" t="inlineStr">
        <is>
          <t>avverkningsanmälan</t>
        </is>
      </c>
      <c r="C623" t="inlineStr">
        <is>
          <t>Föryngringsavverkning</t>
        </is>
      </c>
      <c r="D623" s="1" t="n">
        <v>45282</v>
      </c>
      <c r="E623" s="1" t="n">
        <v>46221</v>
      </c>
      <c r="F623" t="inlineStr">
        <is>
          <t>DALARNAS LÄN</t>
        </is>
      </c>
      <c r="G623" t="inlineStr">
        <is>
          <t>LEKSAND</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22344-2026</t>
        </is>
      </c>
      <c r="B624" t="inlineStr">
        <is>
          <t>avverkningsanmälan</t>
        </is>
      </c>
      <c r="C624" t="inlineStr">
        <is>
          <t>Föryngringsavverkning</t>
        </is>
      </c>
      <c r="D624" s="1" t="n">
        <v>46154</v>
      </c>
      <c r="E624" s="1" t="n">
        <v>46221</v>
      </c>
      <c r="F624" t="inlineStr">
        <is>
          <t>DALARNAS LÄN</t>
        </is>
      </c>
      <c r="G624" t="inlineStr">
        <is>
          <t>LEKSAND</t>
        </is>
      </c>
      <c r="H624" t="inlineStr">
        <is>
          <t>Bergvik skog väst AB</t>
        </is>
      </c>
      <c r="I624" t="n">
        <v>6.3</v>
      </c>
      <c r="J624" t="n">
        <v>0</v>
      </c>
      <c r="K624" t="n">
        <v>0</v>
      </c>
      <c r="L624" t="n">
        <v>0</v>
      </c>
      <c r="M624" t="n">
        <v>0</v>
      </c>
      <c r="N624" t="n">
        <v>0</v>
      </c>
      <c r="O624" t="n">
        <v>0</v>
      </c>
      <c r="P624" t="n">
        <v>0</v>
      </c>
      <c r="Q624" t="n">
        <v>0</v>
      </c>
      <c r="R624" t="n">
        <v>0</v>
      </c>
      <c r="S624" t="n">
        <v>0</v>
      </c>
      <c r="T624" t="n">
        <v>0</v>
      </c>
      <c r="U624" s="2" t="inlineStr"/>
    </row>
    <row r="625" ht="15" customHeight="1">
      <c r="A625" t="inlineStr">
        <is>
          <t>A 39620-2024</t>
        </is>
      </c>
      <c r="B625" t="inlineStr">
        <is>
          <t>avverkningsanmälan</t>
        </is>
      </c>
      <c r="C625" t="inlineStr">
        <is>
          <t>Föryngringsavverkning</t>
        </is>
      </c>
      <c r="D625" s="1" t="n">
        <v>45552</v>
      </c>
      <c r="E625" s="1" t="n">
        <v>46221</v>
      </c>
      <c r="F625" t="inlineStr">
        <is>
          <t>DALARNAS LÄN</t>
        </is>
      </c>
      <c r="G625" t="inlineStr">
        <is>
          <t>LEKSAND</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4184-2026</t>
        </is>
      </c>
      <c r="B626" t="inlineStr">
        <is>
          <t>avverkningsanmälan</t>
        </is>
      </c>
      <c r="C626" t="inlineStr">
        <is>
          <t>Föryngringsavverkning</t>
        </is>
      </c>
      <c r="D626" s="1" t="n">
        <v>46044</v>
      </c>
      <c r="E626" s="1" t="n">
        <v>46221</v>
      </c>
      <c r="F626" t="inlineStr">
        <is>
          <t>DALARNAS LÄN</t>
        </is>
      </c>
      <c r="G626" t="inlineStr">
        <is>
          <t>LEKSAND</t>
        </is>
      </c>
      <c r="I626" t="n">
        <v>6</v>
      </c>
      <c r="J626" t="n">
        <v>0</v>
      </c>
      <c r="K626" t="n">
        <v>0</v>
      </c>
      <c r="L626" t="n">
        <v>0</v>
      </c>
      <c r="M626" t="n">
        <v>0</v>
      </c>
      <c r="N626" t="n">
        <v>0</v>
      </c>
      <c r="O626" t="n">
        <v>0</v>
      </c>
      <c r="P626" t="n">
        <v>0</v>
      </c>
      <c r="Q626" t="n">
        <v>0</v>
      </c>
      <c r="R626" t="n">
        <v>0</v>
      </c>
      <c r="S626" t="n">
        <v>0</v>
      </c>
      <c r="T626" t="n">
        <v>0</v>
      </c>
      <c r="U626" s="2" t="inlineStr"/>
    </row>
    <row r="627" ht="15" customHeight="1">
      <c r="A627" t="inlineStr">
        <is>
          <t>A 6038-2026</t>
        </is>
      </c>
      <c r="B627" t="inlineStr">
        <is>
          <t>avverkningsanmälan</t>
        </is>
      </c>
      <c r="C627" t="inlineStr">
        <is>
          <t>Föryngringsavverkning</t>
        </is>
      </c>
      <c r="D627" s="1" t="n">
        <v>46052</v>
      </c>
      <c r="E627" s="1" t="n">
        <v>46221</v>
      </c>
      <c r="F627" t="inlineStr">
        <is>
          <t>DALARNAS LÄN</t>
        </is>
      </c>
      <c r="G627" t="inlineStr">
        <is>
          <t>LEKSAND</t>
        </is>
      </c>
      <c r="I627" t="n">
        <v>5.1</v>
      </c>
      <c r="J627" t="n">
        <v>0</v>
      </c>
      <c r="K627" t="n">
        <v>0</v>
      </c>
      <c r="L627" t="n">
        <v>0</v>
      </c>
      <c r="M627" t="n">
        <v>0</v>
      </c>
      <c r="N627" t="n">
        <v>0</v>
      </c>
      <c r="O627" t="n">
        <v>0</v>
      </c>
      <c r="P627" t="n">
        <v>0</v>
      </c>
      <c r="Q627" t="n">
        <v>0</v>
      </c>
      <c r="R627" t="n">
        <v>0</v>
      </c>
      <c r="S627" t="n">
        <v>0</v>
      </c>
      <c r="T627" t="n">
        <v>0</v>
      </c>
      <c r="U627" s="2" t="inlineStr"/>
    </row>
    <row r="628" ht="15" customHeight="1">
      <c r="A628" t="inlineStr">
        <is>
          <t>A 34038-2024</t>
        </is>
      </c>
      <c r="B628" t="inlineStr">
        <is>
          <t>avverkningsanmälan</t>
        </is>
      </c>
      <c r="C628" t="inlineStr">
        <is>
          <t>Föryngringsavverkning</t>
        </is>
      </c>
      <c r="D628" s="1" t="n">
        <v>45523</v>
      </c>
      <c r="E628" s="1" t="n">
        <v>46221</v>
      </c>
      <c r="F628" t="inlineStr">
        <is>
          <t>DALARNAS LÄN</t>
        </is>
      </c>
      <c r="G628" t="inlineStr">
        <is>
          <t>LEKSAND</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22659-2026</t>
        </is>
      </c>
      <c r="B629" t="inlineStr">
        <is>
          <t>avverkningsanmälan</t>
        </is>
      </c>
      <c r="C629" t="inlineStr">
        <is>
          <t>Föryngringsavverkning</t>
        </is>
      </c>
      <c r="D629" s="1" t="n">
        <v>46155</v>
      </c>
      <c r="E629" s="1" t="n">
        <v>46221</v>
      </c>
      <c r="F629" t="inlineStr">
        <is>
          <t>DALARNAS LÄN</t>
        </is>
      </c>
      <c r="G629" t="inlineStr">
        <is>
          <t>LEKSAND</t>
        </is>
      </c>
      <c r="H629" t="inlineStr">
        <is>
          <t>Bergvik skog väst AB</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28561-2026</t>
        </is>
      </c>
      <c r="B630" t="inlineStr">
        <is>
          <t>avverkningsanmälan</t>
        </is>
      </c>
      <c r="C630" t="inlineStr">
        <is>
          <t>Föryngringsavverkning</t>
        </is>
      </c>
      <c r="D630" s="1" t="n">
        <v>46197</v>
      </c>
      <c r="E630" s="1" t="n">
        <v>46221</v>
      </c>
      <c r="F630" t="inlineStr">
        <is>
          <t>DALARNAS LÄN</t>
        </is>
      </c>
      <c r="G630" t="inlineStr">
        <is>
          <t>LEKSAND</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40517-2025</t>
        </is>
      </c>
      <c r="B631" t="inlineStr">
        <is>
          <t>avverkningsanmälan</t>
        </is>
      </c>
      <c r="C631" t="inlineStr">
        <is>
          <t>Föryngringsavverkning</t>
        </is>
      </c>
      <c r="D631" s="1" t="n">
        <v>45896</v>
      </c>
      <c r="E631" s="1" t="n">
        <v>46221</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3728-2026</t>
        </is>
      </c>
      <c r="B632" t="inlineStr">
        <is>
          <t>avverkningsanmälan</t>
        </is>
      </c>
      <c r="C632" t="inlineStr">
        <is>
          <t>Föryngringsavverkning</t>
        </is>
      </c>
      <c r="D632" s="1" t="n">
        <v>46043</v>
      </c>
      <c r="E632" s="1" t="n">
        <v>46221</v>
      </c>
      <c r="F632" t="inlineStr">
        <is>
          <t>DALARNAS LÄN</t>
        </is>
      </c>
      <c r="G632" t="inlineStr">
        <is>
          <t>LEKSAND</t>
        </is>
      </c>
      <c r="I632" t="n">
        <v>7</v>
      </c>
      <c r="J632" t="n">
        <v>0</v>
      </c>
      <c r="K632" t="n">
        <v>0</v>
      </c>
      <c r="L632" t="n">
        <v>0</v>
      </c>
      <c r="M632" t="n">
        <v>0</v>
      </c>
      <c r="N632" t="n">
        <v>0</v>
      </c>
      <c r="O632" t="n">
        <v>0</v>
      </c>
      <c r="P632" t="n">
        <v>0</v>
      </c>
      <c r="Q632" t="n">
        <v>0</v>
      </c>
      <c r="R632" t="n">
        <v>0</v>
      </c>
      <c r="S632" t="n">
        <v>0</v>
      </c>
      <c r="T632" t="n">
        <v>0</v>
      </c>
      <c r="U632" s="2" t="inlineStr"/>
    </row>
    <row r="633" ht="15" customHeight="1">
      <c r="A633" t="inlineStr">
        <is>
          <t>A 22539-2026</t>
        </is>
      </c>
      <c r="B633" t="inlineStr">
        <is>
          <t>avverkningsanmälan</t>
        </is>
      </c>
      <c r="C633" t="inlineStr">
        <is>
          <t>Föryngringsavverkning</t>
        </is>
      </c>
      <c r="D633" s="1" t="n">
        <v>46155</v>
      </c>
      <c r="E633" s="1" t="n">
        <v>46221</v>
      </c>
      <c r="F633" t="inlineStr">
        <is>
          <t>DALARNAS LÄN</t>
        </is>
      </c>
      <c r="G633" t="inlineStr">
        <is>
          <t>LEKSAND</t>
        </is>
      </c>
      <c r="H633" t="inlineStr">
        <is>
          <t>Bergvik skog väst AB</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22699-2026</t>
        </is>
      </c>
      <c r="B634" t="inlineStr">
        <is>
          <t>avverkningsanmälan</t>
        </is>
      </c>
      <c r="C634" t="inlineStr">
        <is>
          <t>Föryngringsavverkning</t>
        </is>
      </c>
      <c r="D634" s="1" t="n">
        <v>46156</v>
      </c>
      <c r="E634" s="1" t="n">
        <v>46221</v>
      </c>
      <c r="F634" t="inlineStr">
        <is>
          <t>DALARNAS LÄN</t>
        </is>
      </c>
      <c r="G634" t="inlineStr">
        <is>
          <t>LEKSAND</t>
        </is>
      </c>
      <c r="I634" t="n">
        <v>4</v>
      </c>
      <c r="J634" t="n">
        <v>0</v>
      </c>
      <c r="K634" t="n">
        <v>0</v>
      </c>
      <c r="L634" t="n">
        <v>0</v>
      </c>
      <c r="M634" t="n">
        <v>0</v>
      </c>
      <c r="N634" t="n">
        <v>0</v>
      </c>
      <c r="O634" t="n">
        <v>0</v>
      </c>
      <c r="P634" t="n">
        <v>0</v>
      </c>
      <c r="Q634" t="n">
        <v>0</v>
      </c>
      <c r="R634" t="n">
        <v>0</v>
      </c>
      <c r="S634" t="n">
        <v>0</v>
      </c>
      <c r="T634" t="n">
        <v>0</v>
      </c>
      <c r="U634" s="2" t="inlineStr"/>
    </row>
    <row r="635" ht="15" customHeight="1">
      <c r="A635" t="inlineStr">
        <is>
          <t>A 22582-2026</t>
        </is>
      </c>
      <c r="B635" t="inlineStr">
        <is>
          <t>avverkningsanmälan</t>
        </is>
      </c>
      <c r="C635" t="inlineStr">
        <is>
          <t>Föryngringsavverkning</t>
        </is>
      </c>
      <c r="D635" s="1" t="n">
        <v>46155</v>
      </c>
      <c r="E635" s="1" t="n">
        <v>46221</v>
      </c>
      <c r="F635" t="inlineStr">
        <is>
          <t>DALARNAS LÄN</t>
        </is>
      </c>
      <c r="G635" t="inlineStr">
        <is>
          <t>LEKSAND</t>
        </is>
      </c>
      <c r="H635" t="inlineStr">
        <is>
          <t>Bergvik skog väst AB</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17233-2023</t>
        </is>
      </c>
      <c r="B636" t="inlineStr">
        <is>
          <t>avverkningsanmälan</t>
        </is>
      </c>
      <c r="C636" t="inlineStr">
        <is>
          <t>Föryngringsavverkning</t>
        </is>
      </c>
      <c r="D636" s="1" t="n">
        <v>45035</v>
      </c>
      <c r="E636" s="1" t="n">
        <v>46221</v>
      </c>
      <c r="F636" t="inlineStr">
        <is>
          <t>DALARNAS LÄN</t>
        </is>
      </c>
      <c r="G636" t="inlineStr">
        <is>
          <t>LEKSAND</t>
        </is>
      </c>
      <c r="I636" t="n">
        <v>1.6</v>
      </c>
      <c r="J636" t="n">
        <v>0</v>
      </c>
      <c r="K636" t="n">
        <v>0</v>
      </c>
      <c r="L636" t="n">
        <v>0</v>
      </c>
      <c r="M636" t="n">
        <v>0</v>
      </c>
      <c r="N636" t="n">
        <v>0</v>
      </c>
      <c r="O636" t="n">
        <v>0</v>
      </c>
      <c r="P636" t="n">
        <v>0</v>
      </c>
      <c r="Q636" t="n">
        <v>0</v>
      </c>
      <c r="R636" t="n">
        <v>0</v>
      </c>
      <c r="S636" t="n">
        <v>0</v>
      </c>
      <c r="T636" t="n">
        <v>0</v>
      </c>
      <c r="U636" s="2" t="inlineStr"/>
    </row>
    <row r="637" ht="15" customHeight="1">
      <c r="A637" t="inlineStr">
        <is>
          <t>A 22702-2026</t>
        </is>
      </c>
      <c r="B637" t="inlineStr">
        <is>
          <t>avverkningsanmälan</t>
        </is>
      </c>
      <c r="C637" t="inlineStr">
        <is>
          <t>Föryngringsavverkning</t>
        </is>
      </c>
      <c r="D637" s="1" t="n">
        <v>46156</v>
      </c>
      <c r="E637" s="1" t="n">
        <v>46221</v>
      </c>
      <c r="F637" t="inlineStr">
        <is>
          <t>DALARNAS LÄN</t>
        </is>
      </c>
      <c r="G637" t="inlineStr">
        <is>
          <t>LEKSAND</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32104-2025</t>
        </is>
      </c>
      <c r="B638" t="inlineStr">
        <is>
          <t>avverkningsanmälan</t>
        </is>
      </c>
      <c r="C638" t="inlineStr">
        <is>
          <t>Föryngringsavverkning</t>
        </is>
      </c>
      <c r="D638" s="1" t="n">
        <v>45835</v>
      </c>
      <c r="E638" s="1" t="n">
        <v>46221</v>
      </c>
      <c r="F638" t="inlineStr">
        <is>
          <t>DALARNAS LÄN</t>
        </is>
      </c>
      <c r="G638" t="inlineStr">
        <is>
          <t>LEKSAND</t>
        </is>
      </c>
      <c r="I638" t="n">
        <v>3.1</v>
      </c>
      <c r="J638" t="n">
        <v>0</v>
      </c>
      <c r="K638" t="n">
        <v>0</v>
      </c>
      <c r="L638" t="n">
        <v>0</v>
      </c>
      <c r="M638" t="n">
        <v>0</v>
      </c>
      <c r="N638" t="n">
        <v>0</v>
      </c>
      <c r="O638" t="n">
        <v>0</v>
      </c>
      <c r="P638" t="n">
        <v>0</v>
      </c>
      <c r="Q638" t="n">
        <v>0</v>
      </c>
      <c r="R638" t="n">
        <v>0</v>
      </c>
      <c r="S638" t="n">
        <v>0</v>
      </c>
      <c r="T638" t="n">
        <v>0</v>
      </c>
      <c r="U638" s="2" t="inlineStr"/>
    </row>
    <row r="639" ht="15" customHeight="1">
      <c r="A639" t="inlineStr">
        <is>
          <t>A 12857-2023</t>
        </is>
      </c>
      <c r="B639" t="inlineStr">
        <is>
          <t>avverkningsanmälan</t>
        </is>
      </c>
      <c r="C639" t="inlineStr">
        <is>
          <t>Föryngringsavverkning</t>
        </is>
      </c>
      <c r="D639" s="1" t="n">
        <v>45001</v>
      </c>
      <c r="E639" s="1" t="n">
        <v>46221</v>
      </c>
      <c r="F639" t="inlineStr">
        <is>
          <t>DALARNAS LÄN</t>
        </is>
      </c>
      <c r="G639" t="inlineStr">
        <is>
          <t>LEKSAND</t>
        </is>
      </c>
      <c r="I639" t="n">
        <v>0.2</v>
      </c>
      <c r="J639" t="n">
        <v>0</v>
      </c>
      <c r="K639" t="n">
        <v>0</v>
      </c>
      <c r="L639" t="n">
        <v>0</v>
      </c>
      <c r="M639" t="n">
        <v>0</v>
      </c>
      <c r="N639" t="n">
        <v>0</v>
      </c>
      <c r="O639" t="n">
        <v>0</v>
      </c>
      <c r="P639" t="n">
        <v>0</v>
      </c>
      <c r="Q639" t="n">
        <v>0</v>
      </c>
      <c r="R639" t="n">
        <v>0</v>
      </c>
      <c r="S639" t="n">
        <v>0</v>
      </c>
      <c r="T639" t="n">
        <v>0</v>
      </c>
      <c r="U639" s="2" t="inlineStr"/>
    </row>
    <row r="640" ht="15" customHeight="1">
      <c r="A640" t="inlineStr">
        <is>
          <t>A 28674-2024</t>
        </is>
      </c>
      <c r="B640" t="inlineStr">
        <is>
          <t>avverkningsanmälan</t>
        </is>
      </c>
      <c r="C640" t="inlineStr">
        <is>
          <t>Föryngringsavverkning</t>
        </is>
      </c>
      <c r="D640" s="1" t="n">
        <v>45478</v>
      </c>
      <c r="E640" s="1" t="n">
        <v>46221</v>
      </c>
      <c r="F640" t="inlineStr">
        <is>
          <t>DALARNAS LÄN</t>
        </is>
      </c>
      <c r="G640" t="inlineStr">
        <is>
          <t>LEKSAND</t>
        </is>
      </c>
      <c r="I640" t="n">
        <v>4.9</v>
      </c>
      <c r="J640" t="n">
        <v>0</v>
      </c>
      <c r="K640" t="n">
        <v>0</v>
      </c>
      <c r="L640" t="n">
        <v>0</v>
      </c>
      <c r="M640" t="n">
        <v>0</v>
      </c>
      <c r="N640" t="n">
        <v>0</v>
      </c>
      <c r="O640" t="n">
        <v>0</v>
      </c>
      <c r="P640" t="n">
        <v>0</v>
      </c>
      <c r="Q640" t="n">
        <v>0</v>
      </c>
      <c r="R640" t="n">
        <v>0</v>
      </c>
      <c r="S640" t="n">
        <v>0</v>
      </c>
      <c r="T640" t="n">
        <v>0</v>
      </c>
      <c r="U640" s="2" t="inlineStr"/>
    </row>
    <row r="641" ht="15" customHeight="1">
      <c r="A641" t="inlineStr">
        <is>
          <t>A 61055-2023</t>
        </is>
      </c>
      <c r="B641" t="inlineStr">
        <is>
          <t>avverkningsanmälan</t>
        </is>
      </c>
      <c r="C641" t="inlineStr">
        <is>
          <t>Föryngringsavverkning</t>
        </is>
      </c>
      <c r="D641" s="1" t="n">
        <v>45261</v>
      </c>
      <c r="E641" s="1" t="n">
        <v>46221</v>
      </c>
      <c r="F641" t="inlineStr">
        <is>
          <t>DALARNAS LÄN</t>
        </is>
      </c>
      <c r="G641" t="inlineStr">
        <is>
          <t>LEKSAND</t>
        </is>
      </c>
      <c r="I641" t="n">
        <v>0.3</v>
      </c>
      <c r="J641" t="n">
        <v>0</v>
      </c>
      <c r="K641" t="n">
        <v>0</v>
      </c>
      <c r="L641" t="n">
        <v>0</v>
      </c>
      <c r="M641" t="n">
        <v>0</v>
      </c>
      <c r="N641" t="n">
        <v>0</v>
      </c>
      <c r="O641" t="n">
        <v>0</v>
      </c>
      <c r="P641" t="n">
        <v>0</v>
      </c>
      <c r="Q641" t="n">
        <v>0</v>
      </c>
      <c r="R641" t="n">
        <v>0</v>
      </c>
      <c r="S641" t="n">
        <v>0</v>
      </c>
      <c r="T641" t="n">
        <v>0</v>
      </c>
      <c r="U641" s="2" t="inlineStr"/>
    </row>
    <row r="642" ht="15" customHeight="1">
      <c r="A642" t="inlineStr">
        <is>
          <t>A 10743-2024</t>
        </is>
      </c>
      <c r="B642" t="inlineStr">
        <is>
          <t>avverkningsanmälan</t>
        </is>
      </c>
      <c r="C642" t="inlineStr">
        <is>
          <t>Föryngringsavverkning</t>
        </is>
      </c>
      <c r="D642" s="1" t="n">
        <v>45369</v>
      </c>
      <c r="E642" s="1" t="n">
        <v>46221</v>
      </c>
      <c r="F642" t="inlineStr">
        <is>
          <t>DALARNAS LÄN</t>
        </is>
      </c>
      <c r="G642" t="inlineStr">
        <is>
          <t>LEKSAND</t>
        </is>
      </c>
      <c r="I642" t="n">
        <v>2.7</v>
      </c>
      <c r="J642" t="n">
        <v>0</v>
      </c>
      <c r="K642" t="n">
        <v>0</v>
      </c>
      <c r="L642" t="n">
        <v>0</v>
      </c>
      <c r="M642" t="n">
        <v>0</v>
      </c>
      <c r="N642" t="n">
        <v>0</v>
      </c>
      <c r="O642" t="n">
        <v>0</v>
      </c>
      <c r="P642" t="n">
        <v>0</v>
      </c>
      <c r="Q642" t="n">
        <v>0</v>
      </c>
      <c r="R642" t="n">
        <v>0</v>
      </c>
      <c r="S642" t="n">
        <v>0</v>
      </c>
      <c r="T642" t="n">
        <v>0</v>
      </c>
      <c r="U642" s="2" t="inlineStr"/>
    </row>
    <row r="643" ht="15" customHeight="1">
      <c r="A643" t="inlineStr">
        <is>
          <t>A 29198-2026</t>
        </is>
      </c>
      <c r="B643" t="inlineStr">
        <is>
          <t>avverkningsanmälan</t>
        </is>
      </c>
      <c r="C643" t="inlineStr">
        <is>
          <t>Föryngringsavverkning</t>
        </is>
      </c>
      <c r="D643" s="1" t="n">
        <v>46202</v>
      </c>
      <c r="E643" s="1" t="n">
        <v>46221</v>
      </c>
      <c r="F643" t="inlineStr">
        <is>
          <t>DALARNAS LÄN</t>
        </is>
      </c>
      <c r="G643" t="inlineStr">
        <is>
          <t>LEKSAND</t>
        </is>
      </c>
      <c r="I643" t="n">
        <v>3.2</v>
      </c>
      <c r="J643" t="n">
        <v>0</v>
      </c>
      <c r="K643" t="n">
        <v>0</v>
      </c>
      <c r="L643" t="n">
        <v>0</v>
      </c>
      <c r="M643" t="n">
        <v>0</v>
      </c>
      <c r="N643" t="n">
        <v>0</v>
      </c>
      <c r="O643" t="n">
        <v>0</v>
      </c>
      <c r="P643" t="n">
        <v>0</v>
      </c>
      <c r="Q643" t="n">
        <v>0</v>
      </c>
      <c r="R643" t="n">
        <v>0</v>
      </c>
      <c r="S643" t="n">
        <v>0</v>
      </c>
      <c r="T643" t="n">
        <v>0</v>
      </c>
      <c r="U643" s="2" t="inlineStr"/>
    </row>
    <row r="644" ht="15" customHeight="1">
      <c r="A644" t="inlineStr">
        <is>
          <t>A 10367-2023</t>
        </is>
      </c>
      <c r="B644" t="inlineStr">
        <is>
          <t>avverkningsanmälan</t>
        </is>
      </c>
      <c r="C644" t="inlineStr">
        <is>
          <t>Föryngringsavverkning</t>
        </is>
      </c>
      <c r="D644" s="1" t="n">
        <v>44987</v>
      </c>
      <c r="E644" s="1" t="n">
        <v>46221</v>
      </c>
      <c r="F644" t="inlineStr">
        <is>
          <t>DALARNAS LÄN</t>
        </is>
      </c>
      <c r="G644" t="inlineStr">
        <is>
          <t>LEKSAND</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1946-2024</t>
        </is>
      </c>
      <c r="B645" t="inlineStr">
        <is>
          <t>avverkningsanmälan</t>
        </is>
      </c>
      <c r="C645" t="inlineStr">
        <is>
          <t>Avverkning för annat ändamål</t>
        </is>
      </c>
      <c r="D645" s="1" t="n">
        <v>45308</v>
      </c>
      <c r="E645" s="1" t="n">
        <v>46221</v>
      </c>
      <c r="F645" t="inlineStr">
        <is>
          <t>DALARNAS LÄN</t>
        </is>
      </c>
      <c r="G645" t="inlineStr">
        <is>
          <t>LEKSAND</t>
        </is>
      </c>
      <c r="I645" t="n">
        <v>2.3</v>
      </c>
      <c r="J645" t="n">
        <v>0</v>
      </c>
      <c r="K645" t="n">
        <v>0</v>
      </c>
      <c r="L645" t="n">
        <v>0</v>
      </c>
      <c r="M645" t="n">
        <v>0</v>
      </c>
      <c r="N645" t="n">
        <v>0</v>
      </c>
      <c r="O645" t="n">
        <v>0</v>
      </c>
      <c r="P645" t="n">
        <v>0</v>
      </c>
      <c r="Q645" t="n">
        <v>0</v>
      </c>
      <c r="R645" t="n">
        <v>0</v>
      </c>
      <c r="S645" t="n">
        <v>0</v>
      </c>
      <c r="T645" t="n">
        <v>0</v>
      </c>
      <c r="U645" s="2" t="inlineStr"/>
    </row>
    <row r="646" ht="15" customHeight="1">
      <c r="A646" t="inlineStr">
        <is>
          <t>A 59763-2023</t>
        </is>
      </c>
      <c r="B646" t="inlineStr">
        <is>
          <t>avverkningsanmälan</t>
        </is>
      </c>
      <c r="C646" t="inlineStr">
        <is>
          <t>Föryngringsavverkning</t>
        </is>
      </c>
      <c r="D646" s="1" t="n">
        <v>45257</v>
      </c>
      <c r="E646" s="1" t="n">
        <v>46221</v>
      </c>
      <c r="F646" t="inlineStr">
        <is>
          <t>DALARNAS LÄN</t>
        </is>
      </c>
      <c r="G646" t="inlineStr">
        <is>
          <t>LEKSAND</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17533-2023</t>
        </is>
      </c>
      <c r="B647" t="inlineStr">
        <is>
          <t>avverkningsanmälan</t>
        </is>
      </c>
      <c r="C647" t="inlineStr">
        <is>
          <t>Föryngringsavverkning</t>
        </is>
      </c>
      <c r="D647" s="1" t="n">
        <v>45036</v>
      </c>
      <c r="E647" s="1" t="n">
        <v>46221</v>
      </c>
      <c r="F647" t="inlineStr">
        <is>
          <t>DALARNAS LÄN</t>
        </is>
      </c>
      <c r="G647" t="inlineStr">
        <is>
          <t>LEKSAND</t>
        </is>
      </c>
      <c r="I647" t="n">
        <v>3</v>
      </c>
      <c r="J647" t="n">
        <v>0</v>
      </c>
      <c r="K647" t="n">
        <v>0</v>
      </c>
      <c r="L647" t="n">
        <v>0</v>
      </c>
      <c r="M647" t="n">
        <v>0</v>
      </c>
      <c r="N647" t="n">
        <v>0</v>
      </c>
      <c r="O647" t="n">
        <v>0</v>
      </c>
      <c r="P647" t="n">
        <v>0</v>
      </c>
      <c r="Q647" t="n">
        <v>0</v>
      </c>
      <c r="R647" t="n">
        <v>0</v>
      </c>
      <c r="S647" t="n">
        <v>0</v>
      </c>
      <c r="T647" t="n">
        <v>0</v>
      </c>
      <c r="U647" s="2" t="inlineStr"/>
    </row>
    <row r="648" ht="15" customHeight="1">
      <c r="A648" t="inlineStr">
        <is>
          <t>A 55268-2024</t>
        </is>
      </c>
      <c r="B648" t="inlineStr">
        <is>
          <t>avverkningsanmälan</t>
        </is>
      </c>
      <c r="C648" t="inlineStr">
        <is>
          <t>Föryngringsavverkning</t>
        </is>
      </c>
      <c r="D648" s="1" t="n">
        <v>45621</v>
      </c>
      <c r="E648" s="1" t="n">
        <v>46221</v>
      </c>
      <c r="F648" t="inlineStr">
        <is>
          <t>DALARNAS LÄN</t>
        </is>
      </c>
      <c r="G648" t="inlineStr">
        <is>
          <t>LEKSAND</t>
        </is>
      </c>
      <c r="I648" t="n">
        <v>4.2</v>
      </c>
      <c r="J648" t="n">
        <v>0</v>
      </c>
      <c r="K648" t="n">
        <v>0</v>
      </c>
      <c r="L648" t="n">
        <v>0</v>
      </c>
      <c r="M648" t="n">
        <v>0</v>
      </c>
      <c r="N648" t="n">
        <v>0</v>
      </c>
      <c r="O648" t="n">
        <v>0</v>
      </c>
      <c r="P648" t="n">
        <v>0</v>
      </c>
      <c r="Q648" t="n">
        <v>0</v>
      </c>
      <c r="R648" t="n">
        <v>0</v>
      </c>
      <c r="S648" t="n">
        <v>0</v>
      </c>
      <c r="T648" t="n">
        <v>0</v>
      </c>
      <c r="U648" s="2" t="inlineStr"/>
    </row>
    <row r="649" ht="15" customHeight="1">
      <c r="A649" t="inlineStr">
        <is>
          <t>A 23024-2026</t>
        </is>
      </c>
      <c r="B649" t="inlineStr">
        <is>
          <t>avverkningsanmälan</t>
        </is>
      </c>
      <c r="C649" t="inlineStr">
        <is>
          <t>Föryngringsavverkning</t>
        </is>
      </c>
      <c r="D649" s="1" t="n">
        <v>46161</v>
      </c>
      <c r="E649" s="1" t="n">
        <v>46221</v>
      </c>
      <c r="F649" t="inlineStr">
        <is>
          <t>DALARNAS LÄN</t>
        </is>
      </c>
      <c r="G649" t="inlineStr">
        <is>
          <t>LEKSAND</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53717-2023</t>
        </is>
      </c>
      <c r="B650" t="inlineStr">
        <is>
          <t>avverkningsanmälan</t>
        </is>
      </c>
      <c r="C650" t="inlineStr">
        <is>
          <t>Föryngringsavverkning</t>
        </is>
      </c>
      <c r="D650" s="1" t="n">
        <v>45230</v>
      </c>
      <c r="E650" s="1" t="n">
        <v>46221</v>
      </c>
      <c r="F650" t="inlineStr">
        <is>
          <t>DALARNAS LÄN</t>
        </is>
      </c>
      <c r="G650" t="inlineStr">
        <is>
          <t>LEKSAND</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43470-2024</t>
        </is>
      </c>
      <c r="B651" t="inlineStr">
        <is>
          <t>avverkningsanmälan</t>
        </is>
      </c>
      <c r="C651" t="inlineStr">
        <is>
          <t>Föryngringsavverkning</t>
        </is>
      </c>
      <c r="D651" s="1" t="n">
        <v>45568</v>
      </c>
      <c r="E651" s="1" t="n">
        <v>46221</v>
      </c>
      <c r="F651" t="inlineStr">
        <is>
          <t>DALARNAS LÄN</t>
        </is>
      </c>
      <c r="G651" t="inlineStr">
        <is>
          <t>LEKSAND</t>
        </is>
      </c>
      <c r="I651" t="n">
        <v>3.1</v>
      </c>
      <c r="J651" t="n">
        <v>0</v>
      </c>
      <c r="K651" t="n">
        <v>0</v>
      </c>
      <c r="L651" t="n">
        <v>0</v>
      </c>
      <c r="M651" t="n">
        <v>0</v>
      </c>
      <c r="N651" t="n">
        <v>0</v>
      </c>
      <c r="O651" t="n">
        <v>0</v>
      </c>
      <c r="P651" t="n">
        <v>0</v>
      </c>
      <c r="Q651" t="n">
        <v>0</v>
      </c>
      <c r="R651" t="n">
        <v>0</v>
      </c>
      <c r="S651" t="n">
        <v>0</v>
      </c>
      <c r="T651" t="n">
        <v>0</v>
      </c>
      <c r="U651" s="2" t="inlineStr"/>
    </row>
    <row r="652" ht="15" customHeight="1">
      <c r="A652" t="inlineStr">
        <is>
          <t>A 54914-2024</t>
        </is>
      </c>
      <c r="B652" t="inlineStr">
        <is>
          <t>avverkningsanmälan</t>
        </is>
      </c>
      <c r="C652" t="inlineStr">
        <is>
          <t>Föryngringsavverkning</t>
        </is>
      </c>
      <c r="D652" s="1" t="n">
        <v>45618</v>
      </c>
      <c r="E652" s="1" t="n">
        <v>46221</v>
      </c>
      <c r="F652" t="inlineStr">
        <is>
          <t>DALARNAS LÄN</t>
        </is>
      </c>
      <c r="G652" t="inlineStr">
        <is>
          <t>LEKSAND</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23368-2026</t>
        </is>
      </c>
      <c r="B653" t="inlineStr">
        <is>
          <t>avverkningsanmälan</t>
        </is>
      </c>
      <c r="C653" t="inlineStr">
        <is>
          <t>Föryngringsavverkning</t>
        </is>
      </c>
      <c r="D653" s="1" t="n">
        <v>46162</v>
      </c>
      <c r="E653" s="1" t="n">
        <v>46221</v>
      </c>
      <c r="F653" t="inlineStr">
        <is>
          <t>DALARNAS LÄN</t>
        </is>
      </c>
      <c r="G653" t="inlineStr">
        <is>
          <t>LEKSAND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167-2023</t>
        </is>
      </c>
      <c r="B654" t="inlineStr">
        <is>
          <t>avverkningsanmälan</t>
        </is>
      </c>
      <c r="C654" t="inlineStr">
        <is>
          <t>Avverkning för annat ändamål</t>
        </is>
      </c>
      <c r="D654" s="1" t="n">
        <v>44918</v>
      </c>
      <c r="E654" s="1" t="n">
        <v>46221</v>
      </c>
      <c r="F654" t="inlineStr">
        <is>
          <t>DALARNAS LÄN</t>
        </is>
      </c>
      <c r="G654" t="inlineStr">
        <is>
          <t>LEKSAND</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9938-2023</t>
        </is>
      </c>
      <c r="B655" t="inlineStr">
        <is>
          <t>avverkningsanmälan</t>
        </is>
      </c>
      <c r="C655" t="inlineStr">
        <is>
          <t>Föryngringsavverkning</t>
        </is>
      </c>
      <c r="D655" s="1" t="n">
        <v>44985</v>
      </c>
      <c r="E655" s="1" t="n">
        <v>46221</v>
      </c>
      <c r="F655" t="inlineStr">
        <is>
          <t>DALARNAS LÄN</t>
        </is>
      </c>
      <c r="G655" t="inlineStr">
        <is>
          <t>LEKSAND</t>
        </is>
      </c>
      <c r="I655" t="n">
        <v>3.1</v>
      </c>
      <c r="J655" t="n">
        <v>0</v>
      </c>
      <c r="K655" t="n">
        <v>0</v>
      </c>
      <c r="L655" t="n">
        <v>0</v>
      </c>
      <c r="M655" t="n">
        <v>0</v>
      </c>
      <c r="N655" t="n">
        <v>0</v>
      </c>
      <c r="O655" t="n">
        <v>0</v>
      </c>
      <c r="P655" t="n">
        <v>0</v>
      </c>
      <c r="Q655" t="n">
        <v>0</v>
      </c>
      <c r="R655" t="n">
        <v>0</v>
      </c>
      <c r="S655" t="n">
        <v>0</v>
      </c>
      <c r="T655" t="n">
        <v>0</v>
      </c>
      <c r="U655" s="2" t="inlineStr"/>
    </row>
    <row r="656" ht="15" customHeight="1">
      <c r="A656" t="inlineStr">
        <is>
          <t>A 59103-2024</t>
        </is>
      </c>
      <c r="B656" t="inlineStr">
        <is>
          <t>avverkningsanmälan</t>
        </is>
      </c>
      <c r="C656" t="inlineStr">
        <is>
          <t>Föryngringsavverkning</t>
        </is>
      </c>
      <c r="D656" s="1" t="n">
        <v>45637</v>
      </c>
      <c r="E656" s="1" t="n">
        <v>46221</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70099-2021</t>
        </is>
      </c>
      <c r="B657" t="inlineStr">
        <is>
          <t>avverkningsanmälan</t>
        </is>
      </c>
      <c r="C657" t="inlineStr">
        <is>
          <t>Föryngringsavverkning</t>
        </is>
      </c>
      <c r="D657" s="1" t="n">
        <v>44533</v>
      </c>
      <c r="E657" s="1" t="n">
        <v>46221</v>
      </c>
      <c r="F657" t="inlineStr">
        <is>
          <t>DALARNAS LÄN</t>
        </is>
      </c>
      <c r="G657" t="inlineStr">
        <is>
          <t>LEKSAND</t>
        </is>
      </c>
      <c r="I657" t="n">
        <v>2.8</v>
      </c>
      <c r="J657" t="n">
        <v>0</v>
      </c>
      <c r="K657" t="n">
        <v>0</v>
      </c>
      <c r="L657" t="n">
        <v>0</v>
      </c>
      <c r="M657" t="n">
        <v>0</v>
      </c>
      <c r="N657" t="n">
        <v>0</v>
      </c>
      <c r="O657" t="n">
        <v>0</v>
      </c>
      <c r="P657" t="n">
        <v>0</v>
      </c>
      <c r="Q657" t="n">
        <v>0</v>
      </c>
      <c r="R657" t="n">
        <v>0</v>
      </c>
      <c r="S657" t="n">
        <v>0</v>
      </c>
      <c r="T657" t="n">
        <v>0</v>
      </c>
      <c r="U657" s="2" t="inlineStr"/>
    </row>
    <row r="658" ht="15" customHeight="1">
      <c r="A658" t="inlineStr">
        <is>
          <t>A 15173-2025</t>
        </is>
      </c>
      <c r="B658" t="inlineStr">
        <is>
          <t>avverkningsanmälan</t>
        </is>
      </c>
      <c r="C658" t="inlineStr">
        <is>
          <t>Avverkning för annat ändamål</t>
        </is>
      </c>
      <c r="D658" s="1" t="n">
        <v>45744</v>
      </c>
      <c r="E658" s="1" t="n">
        <v>46221</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A 30611-2023</t>
        </is>
      </c>
      <c r="B659" t="inlineStr">
        <is>
          <t>avverkningsanmälan</t>
        </is>
      </c>
      <c r="C659" t="inlineStr">
        <is>
          <t>Föryngringsavverkning</t>
        </is>
      </c>
      <c r="D659" s="1" t="n">
        <v>45112</v>
      </c>
      <c r="E659" s="1" t="n">
        <v>46221</v>
      </c>
      <c r="F659" t="inlineStr">
        <is>
          <t>DALARNAS LÄN</t>
        </is>
      </c>
      <c r="G659" t="inlineStr">
        <is>
          <t>LEKSAND</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31254-2023</t>
        </is>
      </c>
      <c r="B660" t="inlineStr">
        <is>
          <t>avverkningsanmälan</t>
        </is>
      </c>
      <c r="C660" t="inlineStr">
        <is>
          <t>Föryngringsavverkning</t>
        </is>
      </c>
      <c r="D660" s="1" t="n">
        <v>45114</v>
      </c>
      <c r="E660" s="1" t="n">
        <v>46221</v>
      </c>
      <c r="F660" t="inlineStr">
        <is>
          <t>DALARNAS LÄN</t>
        </is>
      </c>
      <c r="G660" t="inlineStr">
        <is>
          <t>LEKSAND</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62306-2023</t>
        </is>
      </c>
      <c r="B661" t="inlineStr">
        <is>
          <t>avverkningsanmälan</t>
        </is>
      </c>
      <c r="C661" t="inlineStr">
        <is>
          <t>Föryngringsavverkning</t>
        </is>
      </c>
      <c r="D661" s="1" t="n">
        <v>45266</v>
      </c>
      <c r="E661" s="1" t="n">
        <v>46221</v>
      </c>
      <c r="F661" t="inlineStr">
        <is>
          <t>DALARNAS LÄN</t>
        </is>
      </c>
      <c r="G661" t="inlineStr">
        <is>
          <t>LEKSAND</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28921-2023</t>
        </is>
      </c>
      <c r="B662" t="inlineStr">
        <is>
          <t>avverkningsanmälan</t>
        </is>
      </c>
      <c r="C662" t="inlineStr">
        <is>
          <t>Föryngringsavverkning</t>
        </is>
      </c>
      <c r="D662" s="1" t="n">
        <v>45104</v>
      </c>
      <c r="E662" s="1" t="n">
        <v>46221</v>
      </c>
      <c r="F662" t="inlineStr">
        <is>
          <t>DALARNAS LÄN</t>
        </is>
      </c>
      <c r="G662" t="inlineStr">
        <is>
          <t>LEKSAND</t>
        </is>
      </c>
      <c r="I662" t="n">
        <v>4.4</v>
      </c>
      <c r="J662" t="n">
        <v>0</v>
      </c>
      <c r="K662" t="n">
        <v>0</v>
      </c>
      <c r="L662" t="n">
        <v>0</v>
      </c>
      <c r="M662" t="n">
        <v>0</v>
      </c>
      <c r="N662" t="n">
        <v>0</v>
      </c>
      <c r="O662" t="n">
        <v>0</v>
      </c>
      <c r="P662" t="n">
        <v>0</v>
      </c>
      <c r="Q662" t="n">
        <v>0</v>
      </c>
      <c r="R662" t="n">
        <v>0</v>
      </c>
      <c r="S662" t="n">
        <v>0</v>
      </c>
      <c r="T662" t="n">
        <v>0</v>
      </c>
      <c r="U662" s="2" t="inlineStr"/>
    </row>
    <row r="663" ht="15" customHeight="1">
      <c r="A663" t="inlineStr">
        <is>
          <t>A 8940-2023</t>
        </is>
      </c>
      <c r="B663" t="inlineStr">
        <is>
          <t>avverkningsanmälan</t>
        </is>
      </c>
      <c r="C663" t="inlineStr">
        <is>
          <t>Föryngringsavverkning</t>
        </is>
      </c>
      <c r="D663" s="1" t="n">
        <v>44974</v>
      </c>
      <c r="E663" s="1" t="n">
        <v>46221</v>
      </c>
      <c r="F663" t="inlineStr">
        <is>
          <t>DALARNAS LÄN</t>
        </is>
      </c>
      <c r="G663" t="inlineStr">
        <is>
          <t>LEKSAND</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9459-2023</t>
        </is>
      </c>
      <c r="B664" t="inlineStr">
        <is>
          <t>avverkningsanmälan</t>
        </is>
      </c>
      <c r="C664" t="inlineStr">
        <is>
          <t>Avverkning för annat ändamål</t>
        </is>
      </c>
      <c r="D664" s="1" t="n">
        <v>44977</v>
      </c>
      <c r="E664" s="1" t="n">
        <v>46221</v>
      </c>
      <c r="F664" t="inlineStr">
        <is>
          <t>DALARNAS LÄN</t>
        </is>
      </c>
      <c r="G664" t="inlineStr">
        <is>
          <t>LEKSAND</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48721-2023</t>
        </is>
      </c>
      <c r="B665" t="inlineStr">
        <is>
          <t>avverkningsanmälan</t>
        </is>
      </c>
      <c r="C665" t="inlineStr">
        <is>
          <t>Föryngringsavverkning</t>
        </is>
      </c>
      <c r="D665" s="1" t="n">
        <v>45203</v>
      </c>
      <c r="E665" s="1" t="n">
        <v>46221</v>
      </c>
      <c r="F665" t="inlineStr">
        <is>
          <t>DALARNAS LÄN</t>
        </is>
      </c>
      <c r="G665" t="inlineStr">
        <is>
          <t>LEKSAND</t>
        </is>
      </c>
      <c r="I665" t="n">
        <v>2.9</v>
      </c>
      <c r="J665" t="n">
        <v>0</v>
      </c>
      <c r="K665" t="n">
        <v>0</v>
      </c>
      <c r="L665" t="n">
        <v>0</v>
      </c>
      <c r="M665" t="n">
        <v>0</v>
      </c>
      <c r="N665" t="n">
        <v>0</v>
      </c>
      <c r="O665" t="n">
        <v>0</v>
      </c>
      <c r="P665" t="n">
        <v>0</v>
      </c>
      <c r="Q665" t="n">
        <v>0</v>
      </c>
      <c r="R665" t="n">
        <v>0</v>
      </c>
      <c r="S665" t="n">
        <v>0</v>
      </c>
      <c r="T665" t="n">
        <v>0</v>
      </c>
      <c r="U665" s="2" t="inlineStr"/>
    </row>
    <row r="666" ht="15" customHeight="1">
      <c r="A666" t="inlineStr">
        <is>
          <t>A 33463-2023</t>
        </is>
      </c>
      <c r="B666" t="inlineStr">
        <is>
          <t>avverkningsanmälan</t>
        </is>
      </c>
      <c r="C666" t="inlineStr">
        <is>
          <t>Avverkning för annat ändamål</t>
        </is>
      </c>
      <c r="D666" s="1" t="n">
        <v>45131</v>
      </c>
      <c r="E666" s="1" t="n">
        <v>46221</v>
      </c>
      <c r="F666" t="inlineStr">
        <is>
          <t>DALARNAS LÄN</t>
        </is>
      </c>
      <c r="G666" t="inlineStr">
        <is>
          <t>LEKSAND</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8755-2023</t>
        </is>
      </c>
      <c r="B667" t="inlineStr">
        <is>
          <t>avverkningsanmälan</t>
        </is>
      </c>
      <c r="C667" t="inlineStr">
        <is>
          <t>Föryngringsavverkning</t>
        </is>
      </c>
      <c r="D667" s="1" t="n">
        <v>44978</v>
      </c>
      <c r="E667" s="1" t="n">
        <v>46221</v>
      </c>
      <c r="F667" t="inlineStr">
        <is>
          <t>DALARNAS LÄN</t>
        </is>
      </c>
      <c r="G667" t="inlineStr">
        <is>
          <t>LEKSAND</t>
        </is>
      </c>
      <c r="I667" t="n">
        <v>2.3</v>
      </c>
      <c r="J667" t="n">
        <v>0</v>
      </c>
      <c r="K667" t="n">
        <v>0</v>
      </c>
      <c r="L667" t="n">
        <v>0</v>
      </c>
      <c r="M667" t="n">
        <v>0</v>
      </c>
      <c r="N667" t="n">
        <v>0</v>
      </c>
      <c r="O667" t="n">
        <v>0</v>
      </c>
      <c r="P667" t="n">
        <v>0</v>
      </c>
      <c r="Q667" t="n">
        <v>0</v>
      </c>
      <c r="R667" t="n">
        <v>0</v>
      </c>
      <c r="S667" t="n">
        <v>0</v>
      </c>
      <c r="T667" t="n">
        <v>0</v>
      </c>
      <c r="U667" s="2" t="inlineStr"/>
    </row>
    <row r="668" ht="15" customHeight="1">
      <c r="A668" t="inlineStr">
        <is>
          <t>A 43195-2025</t>
        </is>
      </c>
      <c r="B668" t="inlineStr">
        <is>
          <t>avverkningsanmälan</t>
        </is>
      </c>
      <c r="C668" t="inlineStr">
        <is>
          <t>Föryngringsavverkning</t>
        </is>
      </c>
      <c r="D668" s="1" t="n">
        <v>45910</v>
      </c>
      <c r="E668" s="1" t="n">
        <v>46221</v>
      </c>
      <c r="F668" t="inlineStr">
        <is>
          <t>DALARNAS LÄN</t>
        </is>
      </c>
      <c r="G668" t="inlineStr">
        <is>
          <t>LEKSAND</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10967-2023</t>
        </is>
      </c>
      <c r="B669" t="inlineStr">
        <is>
          <t>avverkningsanmälan</t>
        </is>
      </c>
      <c r="C669" t="inlineStr">
        <is>
          <t>Föryngringsavverkning</t>
        </is>
      </c>
      <c r="D669" s="1" t="n">
        <v>44991</v>
      </c>
      <c r="E669" s="1" t="n">
        <v>46221</v>
      </c>
      <c r="F669" t="inlineStr">
        <is>
          <t>DALARNAS LÄN</t>
        </is>
      </c>
      <c r="G669" t="inlineStr">
        <is>
          <t>LEKSAND</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10974-2023</t>
        </is>
      </c>
      <c r="B670" t="inlineStr">
        <is>
          <t>avverkningsanmälan</t>
        </is>
      </c>
      <c r="C670" t="inlineStr">
        <is>
          <t>Föryngringsavverkning</t>
        </is>
      </c>
      <c r="D670" s="1" t="n">
        <v>44991</v>
      </c>
      <c r="E670" s="1" t="n">
        <v>46221</v>
      </c>
      <c r="F670" t="inlineStr">
        <is>
          <t>DALARNAS LÄN</t>
        </is>
      </c>
      <c r="G670" t="inlineStr">
        <is>
          <t>LEKSAND</t>
        </is>
      </c>
      <c r="I670" t="n">
        <v>0.3</v>
      </c>
      <c r="J670" t="n">
        <v>0</v>
      </c>
      <c r="K670" t="n">
        <v>0</v>
      </c>
      <c r="L670" t="n">
        <v>0</v>
      </c>
      <c r="M670" t="n">
        <v>0</v>
      </c>
      <c r="N670" t="n">
        <v>0</v>
      </c>
      <c r="O670" t="n">
        <v>0</v>
      </c>
      <c r="P670" t="n">
        <v>0</v>
      </c>
      <c r="Q670" t="n">
        <v>0</v>
      </c>
      <c r="R670" t="n">
        <v>0</v>
      </c>
      <c r="S670" t="n">
        <v>0</v>
      </c>
      <c r="T670" t="n">
        <v>0</v>
      </c>
      <c r="U670" s="2" t="inlineStr"/>
    </row>
    <row r="671" ht="15" customHeight="1">
      <c r="A671" t="inlineStr">
        <is>
          <t>A 23916-2026</t>
        </is>
      </c>
      <c r="B671" t="inlineStr">
        <is>
          <t>avverkningsanmälan</t>
        </is>
      </c>
      <c r="C671" t="inlineStr">
        <is>
          <t>Föryngringsavverkning</t>
        </is>
      </c>
      <c r="D671" s="1" t="n">
        <v>46167</v>
      </c>
      <c r="E671" s="1" t="n">
        <v>46221</v>
      </c>
      <c r="F671" t="inlineStr">
        <is>
          <t>DALARNAS LÄN</t>
        </is>
      </c>
      <c r="G671" t="inlineStr">
        <is>
          <t>LEKSAND</t>
        </is>
      </c>
      <c r="H671" t="inlineStr">
        <is>
          <t>Bergvik skog väst AB</t>
        </is>
      </c>
      <c r="I671" t="n">
        <v>6.4</v>
      </c>
      <c r="J671" t="n">
        <v>0</v>
      </c>
      <c r="K671" t="n">
        <v>0</v>
      </c>
      <c r="L671" t="n">
        <v>0</v>
      </c>
      <c r="M671" t="n">
        <v>0</v>
      </c>
      <c r="N671" t="n">
        <v>0</v>
      </c>
      <c r="O671" t="n">
        <v>0</v>
      </c>
      <c r="P671" t="n">
        <v>0</v>
      </c>
      <c r="Q671" t="n">
        <v>0</v>
      </c>
      <c r="R671" t="n">
        <v>0</v>
      </c>
      <c r="S671" t="n">
        <v>0</v>
      </c>
      <c r="T671" t="n">
        <v>0</v>
      </c>
      <c r="U671" s="2" t="inlineStr"/>
    </row>
    <row r="672" ht="15" customHeight="1">
      <c r="A672" t="inlineStr">
        <is>
          <t>A 23837-2026</t>
        </is>
      </c>
      <c r="B672" t="inlineStr">
        <is>
          <t>avverkningsanmälan</t>
        </is>
      </c>
      <c r="C672" t="inlineStr">
        <is>
          <t>Föryngringsavverkning</t>
        </is>
      </c>
      <c r="D672" s="1" t="n">
        <v>46167</v>
      </c>
      <c r="E672" s="1" t="n">
        <v>46221</v>
      </c>
      <c r="F672" t="inlineStr">
        <is>
          <t>DALARNAS LÄN</t>
        </is>
      </c>
      <c r="G672" t="inlineStr">
        <is>
          <t>LEKSAND</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11015-2022</t>
        </is>
      </c>
      <c r="B673" t="inlineStr">
        <is>
          <t>avverkningsanmälan</t>
        </is>
      </c>
      <c r="C673" t="inlineStr">
        <is>
          <t>Föryngringsavverkning</t>
        </is>
      </c>
      <c r="D673" s="1" t="n">
        <v>44628</v>
      </c>
      <c r="E673" s="1" t="n">
        <v>46221</v>
      </c>
      <c r="F673" t="inlineStr">
        <is>
          <t>DALARNAS LÄN</t>
        </is>
      </c>
      <c r="G673" t="inlineStr">
        <is>
          <t>LEKSAND</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1182-2025</t>
        </is>
      </c>
      <c r="B674" t="inlineStr">
        <is>
          <t>avverkningsanmälan</t>
        </is>
      </c>
      <c r="C674" t="inlineStr">
        <is>
          <t>Föryngringsavverkning</t>
        </is>
      </c>
      <c r="D674" s="1" t="n">
        <v>45667</v>
      </c>
      <c r="E674" s="1" t="n">
        <v>46221</v>
      </c>
      <c r="F674" t="inlineStr">
        <is>
          <t>DALARNAS LÄN</t>
        </is>
      </c>
      <c r="G674" t="inlineStr">
        <is>
          <t>LEKSAND</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1519-2024</t>
        </is>
      </c>
      <c r="B675" t="inlineStr">
        <is>
          <t>avverkningsanmälan</t>
        </is>
      </c>
      <c r="C675" t="inlineStr">
        <is>
          <t>Föryngringsavverkning</t>
        </is>
      </c>
      <c r="D675" s="1" t="n">
        <v>45306</v>
      </c>
      <c r="E675" s="1" t="n">
        <v>46221</v>
      </c>
      <c r="F675" t="inlineStr">
        <is>
          <t>DALARNAS LÄN</t>
        </is>
      </c>
      <c r="G675" t="inlineStr">
        <is>
          <t>LEKSAND</t>
        </is>
      </c>
      <c r="I675" t="n">
        <v>3.3</v>
      </c>
      <c r="J675" t="n">
        <v>0</v>
      </c>
      <c r="K675" t="n">
        <v>0</v>
      </c>
      <c r="L675" t="n">
        <v>0</v>
      </c>
      <c r="M675" t="n">
        <v>0</v>
      </c>
      <c r="N675" t="n">
        <v>0</v>
      </c>
      <c r="O675" t="n">
        <v>0</v>
      </c>
      <c r="P675" t="n">
        <v>0</v>
      </c>
      <c r="Q675" t="n">
        <v>0</v>
      </c>
      <c r="R675" t="n">
        <v>0</v>
      </c>
      <c r="S675" t="n">
        <v>0</v>
      </c>
      <c r="T675" t="n">
        <v>0</v>
      </c>
      <c r="U675" s="2" t="inlineStr"/>
    </row>
    <row r="676" ht="15" customHeight="1">
      <c r="A676" t="inlineStr">
        <is>
          <t>A 24121-2026</t>
        </is>
      </c>
      <c r="B676" t="inlineStr">
        <is>
          <t>avverkningsanmälan</t>
        </is>
      </c>
      <c r="C676" t="inlineStr">
        <is>
          <t>Föryngringsavverkning</t>
        </is>
      </c>
      <c r="D676" s="1" t="n">
        <v>46168</v>
      </c>
      <c r="E676" s="1" t="n">
        <v>46221</v>
      </c>
      <c r="F676" t="inlineStr">
        <is>
          <t>DALARNAS LÄN</t>
        </is>
      </c>
      <c r="G676" t="inlineStr">
        <is>
          <t>LEKSAND</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23828-2026</t>
        </is>
      </c>
      <c r="B677" t="inlineStr">
        <is>
          <t>avverkningsanmälan</t>
        </is>
      </c>
      <c r="C677" t="inlineStr">
        <is>
          <t>Föryngringsavverkning</t>
        </is>
      </c>
      <c r="D677" s="1" t="n">
        <v>46166</v>
      </c>
      <c r="E677" s="1" t="n">
        <v>46221</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s="2" t="inlineStr"/>
    </row>
    <row r="678" ht="15" customHeight="1">
      <c r="A678" t="inlineStr">
        <is>
          <t>A 24126-2026</t>
        </is>
      </c>
      <c r="B678" t="inlineStr">
        <is>
          <t>avverkningsanmälan</t>
        </is>
      </c>
      <c r="C678" t="inlineStr">
        <is>
          <t>Föryngringsavverkning</t>
        </is>
      </c>
      <c r="D678" s="1" t="n">
        <v>46168</v>
      </c>
      <c r="E678" s="1" t="n">
        <v>46221</v>
      </c>
      <c r="F678" t="inlineStr">
        <is>
          <t>DALARNAS LÄN</t>
        </is>
      </c>
      <c r="G678" t="inlineStr">
        <is>
          <t>LEKSAND</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71817-2021</t>
        </is>
      </c>
      <c r="B679" t="inlineStr">
        <is>
          <t>avverkningsanmälan</t>
        </is>
      </c>
      <c r="C679" t="inlineStr">
        <is>
          <t>Föryngringsavverkning</t>
        </is>
      </c>
      <c r="D679" s="1" t="n">
        <v>44543</v>
      </c>
      <c r="E679" s="1" t="n">
        <v>46221</v>
      </c>
      <c r="F679" t="inlineStr">
        <is>
          <t>DALARNAS LÄN</t>
        </is>
      </c>
      <c r="G679" t="inlineStr">
        <is>
          <t>LEKSAND</t>
        </is>
      </c>
      <c r="H679" t="inlineStr">
        <is>
          <t>Bergvik skog väst AB</t>
        </is>
      </c>
      <c r="I679" t="n">
        <v>3</v>
      </c>
      <c r="J679" t="n">
        <v>0</v>
      </c>
      <c r="K679" t="n">
        <v>0</v>
      </c>
      <c r="L679" t="n">
        <v>0</v>
      </c>
      <c r="M679" t="n">
        <v>0</v>
      </c>
      <c r="N679" t="n">
        <v>0</v>
      </c>
      <c r="O679" t="n">
        <v>0</v>
      </c>
      <c r="P679" t="n">
        <v>0</v>
      </c>
      <c r="Q679" t="n">
        <v>0</v>
      </c>
      <c r="R679" t="n">
        <v>0</v>
      </c>
      <c r="S679" t="n">
        <v>0</v>
      </c>
      <c r="T679" t="n">
        <v>0</v>
      </c>
      <c r="U679" s="2" t="inlineStr"/>
    </row>
    <row r="680" ht="15" customHeight="1">
      <c r="A680" t="inlineStr">
        <is>
          <t>A 32-2024</t>
        </is>
      </c>
      <c r="B680" t="inlineStr">
        <is>
          <t>avverkningsanmälan</t>
        </is>
      </c>
      <c r="C680" t="inlineStr">
        <is>
          <t>Föryngringsavverkning</t>
        </is>
      </c>
      <c r="D680" s="1" t="n">
        <v>45293</v>
      </c>
      <c r="E680" s="1" t="n">
        <v>46221</v>
      </c>
      <c r="F680" t="inlineStr">
        <is>
          <t>DALARNAS LÄN</t>
        </is>
      </c>
      <c r="G680" t="inlineStr">
        <is>
          <t>LEKSAND</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36932-2023</t>
        </is>
      </c>
      <c r="B681" t="inlineStr">
        <is>
          <t>avverkningsanmälan</t>
        </is>
      </c>
      <c r="C681" t="inlineStr">
        <is>
          <t>Föryngringsavverkning</t>
        </is>
      </c>
      <c r="D681" s="1" t="n">
        <v>45154</v>
      </c>
      <c r="E681" s="1" t="n">
        <v>46221</v>
      </c>
      <c r="F681" t="inlineStr">
        <is>
          <t>DALARNAS LÄN</t>
        </is>
      </c>
      <c r="G681" t="inlineStr">
        <is>
          <t>LEKSAND</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23663-2024</t>
        </is>
      </c>
      <c r="B682" t="inlineStr">
        <is>
          <t>avverkningsanmälan</t>
        </is>
      </c>
      <c r="C682" t="inlineStr">
        <is>
          <t>Föryngringsavverkning</t>
        </is>
      </c>
      <c r="D682" s="1" t="n">
        <v>45454</v>
      </c>
      <c r="E682" s="1" t="n">
        <v>46221</v>
      </c>
      <c r="F682" t="inlineStr">
        <is>
          <t>DALARNAS LÄN</t>
        </is>
      </c>
      <c r="G682" t="inlineStr">
        <is>
          <t>LEKSAND</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33180-2024</t>
        </is>
      </c>
      <c r="B683" t="inlineStr">
        <is>
          <t>avverkningsanmälan</t>
        </is>
      </c>
      <c r="C683" t="inlineStr">
        <is>
          <t>Föryngringsavverkning</t>
        </is>
      </c>
      <c r="D683" s="1" t="n">
        <v>45518</v>
      </c>
      <c r="E683" s="1" t="n">
        <v>46221</v>
      </c>
      <c r="F683" t="inlineStr">
        <is>
          <t>DALARNAS LÄN</t>
        </is>
      </c>
      <c r="G683" t="inlineStr">
        <is>
          <t>LEKSAND</t>
        </is>
      </c>
      <c r="I683" t="n">
        <v>7.6</v>
      </c>
      <c r="J683" t="n">
        <v>0</v>
      </c>
      <c r="K683" t="n">
        <v>0</v>
      </c>
      <c r="L683" t="n">
        <v>0</v>
      </c>
      <c r="M683" t="n">
        <v>0</v>
      </c>
      <c r="N683" t="n">
        <v>0</v>
      </c>
      <c r="O683" t="n">
        <v>0</v>
      </c>
      <c r="P683" t="n">
        <v>0</v>
      </c>
      <c r="Q683" t="n">
        <v>0</v>
      </c>
      <c r="R683" t="n">
        <v>0</v>
      </c>
      <c r="S683" t="n">
        <v>0</v>
      </c>
      <c r="T683" t="n">
        <v>0</v>
      </c>
      <c r="U683" s="2" t="inlineStr"/>
    </row>
    <row r="684" ht="15" customHeight="1">
      <c r="A684" t="inlineStr">
        <is>
          <t>A 60715-2022</t>
        </is>
      </c>
      <c r="B684" t="inlineStr">
        <is>
          <t>avverkningsanmälan</t>
        </is>
      </c>
      <c r="C684" t="inlineStr">
        <is>
          <t>Föryngringsavverkning</t>
        </is>
      </c>
      <c r="D684" s="1" t="n">
        <v>44912</v>
      </c>
      <c r="E684" s="1" t="n">
        <v>46221</v>
      </c>
      <c r="F684" t="inlineStr">
        <is>
          <t>DALARNAS LÄN</t>
        </is>
      </c>
      <c r="G684" t="inlineStr">
        <is>
          <t>LEKSAND</t>
        </is>
      </c>
      <c r="I684" t="n">
        <v>1</v>
      </c>
      <c r="J684" t="n">
        <v>0</v>
      </c>
      <c r="K684" t="n">
        <v>0</v>
      </c>
      <c r="L684" t="n">
        <v>0</v>
      </c>
      <c r="M684" t="n">
        <v>0</v>
      </c>
      <c r="N684" t="n">
        <v>0</v>
      </c>
      <c r="O684" t="n">
        <v>0</v>
      </c>
      <c r="P684" t="n">
        <v>0</v>
      </c>
      <c r="Q684" t="n">
        <v>0</v>
      </c>
      <c r="R684" t="n">
        <v>0</v>
      </c>
      <c r="S684" t="n">
        <v>0</v>
      </c>
      <c r="T684" t="n">
        <v>0</v>
      </c>
      <c r="U684" s="2" t="inlineStr"/>
    </row>
    <row r="685" ht="15" customHeight="1">
      <c r="A685" t="inlineStr">
        <is>
          <t>A 30667-2026</t>
        </is>
      </c>
      <c r="B685" t="inlineStr">
        <is>
          <t>avverkningsanmälan</t>
        </is>
      </c>
      <c r="C685" t="inlineStr">
        <is>
          <t>Föryngringsavverkning</t>
        </is>
      </c>
      <c r="D685" s="1" t="n">
        <v>46211</v>
      </c>
      <c r="E685" s="1" t="n">
        <v>46221</v>
      </c>
      <c r="F685" t="inlineStr">
        <is>
          <t>DALARNAS LÄN</t>
        </is>
      </c>
      <c r="G685" t="inlineStr">
        <is>
          <t>LEKSAND</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11092-2023</t>
        </is>
      </c>
      <c r="B686" t="inlineStr">
        <is>
          <t>avverkningsanmälan</t>
        </is>
      </c>
      <c r="C686" t="inlineStr">
        <is>
          <t>Föryngringsavverkning</t>
        </is>
      </c>
      <c r="D686" s="1" t="n">
        <v>44992</v>
      </c>
      <c r="E686" s="1" t="n">
        <v>46221</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15882-2023</t>
        </is>
      </c>
      <c r="B687" t="inlineStr">
        <is>
          <t>avverkningsanmälan</t>
        </is>
      </c>
      <c r="C687" t="inlineStr">
        <is>
          <t>Avverkning för annat ändamål</t>
        </is>
      </c>
      <c r="D687" s="1" t="n">
        <v>45022</v>
      </c>
      <c r="E687" s="1" t="n">
        <v>46221</v>
      </c>
      <c r="F687" t="inlineStr">
        <is>
          <t>DALARNAS LÄN</t>
        </is>
      </c>
      <c r="G687" t="inlineStr">
        <is>
          <t>LEKSAND</t>
        </is>
      </c>
      <c r="I687" t="n">
        <v>0.1</v>
      </c>
      <c r="J687" t="n">
        <v>0</v>
      </c>
      <c r="K687" t="n">
        <v>0</v>
      </c>
      <c r="L687" t="n">
        <v>0</v>
      </c>
      <c r="M687" t="n">
        <v>0</v>
      </c>
      <c r="N687" t="n">
        <v>0</v>
      </c>
      <c r="O687" t="n">
        <v>0</v>
      </c>
      <c r="P687" t="n">
        <v>0</v>
      </c>
      <c r="Q687" t="n">
        <v>0</v>
      </c>
      <c r="R687" t="n">
        <v>0</v>
      </c>
      <c r="S687" t="n">
        <v>0</v>
      </c>
      <c r="T687" t="n">
        <v>0</v>
      </c>
      <c r="U687" s="2" t="inlineStr"/>
    </row>
    <row r="688" ht="15" customHeight="1">
      <c r="A688" t="inlineStr">
        <is>
          <t>A 30651-2026</t>
        </is>
      </c>
      <c r="B688" t="inlineStr">
        <is>
          <t>avverkningsanmälan</t>
        </is>
      </c>
      <c r="C688" t="inlineStr">
        <is>
          <t>Föryngringsavverkning</t>
        </is>
      </c>
      <c r="D688" s="1" t="n">
        <v>46211</v>
      </c>
      <c r="E688" s="1" t="n">
        <v>46221</v>
      </c>
      <c r="F688" t="inlineStr">
        <is>
          <t>DALARNAS LÄN</t>
        </is>
      </c>
      <c r="G688" t="inlineStr">
        <is>
          <t>LEKSAND</t>
        </is>
      </c>
      <c r="I688" t="n">
        <v>4.2</v>
      </c>
      <c r="J688" t="n">
        <v>0</v>
      </c>
      <c r="K688" t="n">
        <v>0</v>
      </c>
      <c r="L688" t="n">
        <v>0</v>
      </c>
      <c r="M688" t="n">
        <v>0</v>
      </c>
      <c r="N688" t="n">
        <v>0</v>
      </c>
      <c r="O688" t="n">
        <v>0</v>
      </c>
      <c r="P688" t="n">
        <v>0</v>
      </c>
      <c r="Q688" t="n">
        <v>0</v>
      </c>
      <c r="R688" t="n">
        <v>0</v>
      </c>
      <c r="S688" t="n">
        <v>0</v>
      </c>
      <c r="T688" t="n">
        <v>0</v>
      </c>
      <c r="U688" s="2" t="inlineStr"/>
    </row>
    <row r="689" ht="15" customHeight="1">
      <c r="A689" t="inlineStr">
        <is>
          <t>A 1215-2024</t>
        </is>
      </c>
      <c r="B689" t="inlineStr">
        <is>
          <t>avverkningsanmälan</t>
        </is>
      </c>
      <c r="C689" t="inlineStr">
        <is>
          <t>Föryngringsavverkning</t>
        </is>
      </c>
      <c r="D689" s="1" t="n">
        <v>45302</v>
      </c>
      <c r="E689" s="1" t="n">
        <v>46221</v>
      </c>
      <c r="F689" t="inlineStr">
        <is>
          <t>DALARNAS LÄN</t>
        </is>
      </c>
      <c r="G689" t="inlineStr">
        <is>
          <t>LEKSAND</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53464-2024</t>
        </is>
      </c>
      <c r="B690" t="inlineStr">
        <is>
          <t>avverkningsanmälan</t>
        </is>
      </c>
      <c r="C690" t="inlineStr">
        <is>
          <t>Avverkning för annat ändamål</t>
        </is>
      </c>
      <c r="D690" s="1" t="n">
        <v>45611</v>
      </c>
      <c r="E690" s="1" t="n">
        <v>46221</v>
      </c>
      <c r="F690" t="inlineStr">
        <is>
          <t>DALARNAS LÄN</t>
        </is>
      </c>
      <c r="G690" t="inlineStr">
        <is>
          <t>LEKSAND</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56330-2022</t>
        </is>
      </c>
      <c r="B691" t="inlineStr">
        <is>
          <t>avverkningsanmälan</t>
        </is>
      </c>
      <c r="C691" t="inlineStr">
        <is>
          <t>Föryngringsavverkning</t>
        </is>
      </c>
      <c r="D691" s="1" t="n">
        <v>44890</v>
      </c>
      <c r="E691" s="1" t="n">
        <v>46221</v>
      </c>
      <c r="F691" t="inlineStr">
        <is>
          <t>DALARNAS LÄN</t>
        </is>
      </c>
      <c r="G691" t="inlineStr">
        <is>
          <t>LEKSAND</t>
        </is>
      </c>
      <c r="I691" t="n">
        <v>4.9</v>
      </c>
      <c r="J691" t="n">
        <v>0</v>
      </c>
      <c r="K691" t="n">
        <v>0</v>
      </c>
      <c r="L691" t="n">
        <v>0</v>
      </c>
      <c r="M691" t="n">
        <v>0</v>
      </c>
      <c r="N691" t="n">
        <v>0</v>
      </c>
      <c r="O691" t="n">
        <v>0</v>
      </c>
      <c r="P691" t="n">
        <v>0</v>
      </c>
      <c r="Q691" t="n">
        <v>0</v>
      </c>
      <c r="R691" t="n">
        <v>0</v>
      </c>
      <c r="S691" t="n">
        <v>0</v>
      </c>
      <c r="T691" t="n">
        <v>0</v>
      </c>
      <c r="U691" s="2" t="inlineStr"/>
    </row>
    <row r="692" ht="15" customHeight="1">
      <c r="A692" t="inlineStr">
        <is>
          <t>A 2694-2025</t>
        </is>
      </c>
      <c r="B692" t="inlineStr">
        <is>
          <t>avverkningsanmälan</t>
        </is>
      </c>
      <c r="C692" t="inlineStr">
        <is>
          <t>Föryngringsavverkning</t>
        </is>
      </c>
      <c r="D692" s="1" t="n">
        <v>45677</v>
      </c>
      <c r="E692" s="1" t="n">
        <v>46221</v>
      </c>
      <c r="F692" t="inlineStr">
        <is>
          <t>DALARNAS LÄN</t>
        </is>
      </c>
      <c r="G692" t="inlineStr">
        <is>
          <t>LEKSAND</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28534-2026</t>
        </is>
      </c>
      <c r="B693" t="inlineStr">
        <is>
          <t>avverkningsanmälan</t>
        </is>
      </c>
      <c r="C693" t="inlineStr">
        <is>
          <t>Föryngringsavverkning</t>
        </is>
      </c>
      <c r="D693" s="1" t="n">
        <v>46197</v>
      </c>
      <c r="E693" s="1" t="n">
        <v>46221</v>
      </c>
      <c r="F693" t="inlineStr">
        <is>
          <t>DALARNAS LÄN</t>
        </is>
      </c>
      <c r="G693" t="inlineStr">
        <is>
          <t>LEKSAND</t>
        </is>
      </c>
      <c r="H693" t="inlineStr">
        <is>
          <t>Bergvik skog väst AB</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24720-2026</t>
        </is>
      </c>
      <c r="B694" t="inlineStr">
        <is>
          <t>avverkningsanmälan</t>
        </is>
      </c>
      <c r="C694" t="inlineStr">
        <is>
          <t>Föryngringsavverkning</t>
        </is>
      </c>
      <c r="D694" s="1" t="n">
        <v>46171</v>
      </c>
      <c r="E694" s="1" t="n">
        <v>46221</v>
      </c>
      <c r="F694" t="inlineStr">
        <is>
          <t>DALARNAS LÄN</t>
        </is>
      </c>
      <c r="G694" t="inlineStr">
        <is>
          <t>LEKSAND</t>
        </is>
      </c>
      <c r="H694" t="inlineStr">
        <is>
          <t>Övriga Aktiebolag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30998-2023</t>
        </is>
      </c>
      <c r="B695" t="inlineStr">
        <is>
          <t>avverkningsanmälan</t>
        </is>
      </c>
      <c r="C695" t="inlineStr">
        <is>
          <t>Föryngringsavverkning</t>
        </is>
      </c>
      <c r="D695" s="1" t="n">
        <v>45113</v>
      </c>
      <c r="E695" s="1" t="n">
        <v>46221</v>
      </c>
      <c r="F695" t="inlineStr">
        <is>
          <t>DALARNAS LÄN</t>
        </is>
      </c>
      <c r="G695" t="inlineStr">
        <is>
          <t>LEKSAND</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29223-2026</t>
        </is>
      </c>
      <c r="B696" t="inlineStr">
        <is>
          <t>avverkningsanmälan</t>
        </is>
      </c>
      <c r="C696" t="inlineStr">
        <is>
          <t>Föryngringsavverkning</t>
        </is>
      </c>
      <c r="D696" s="1" t="n">
        <v>46202</v>
      </c>
      <c r="E696" s="1" t="n">
        <v>46221</v>
      </c>
      <c r="F696" t="inlineStr">
        <is>
          <t>DALARNAS LÄN</t>
        </is>
      </c>
      <c r="G696" t="inlineStr">
        <is>
          <t>LEKSAND</t>
        </is>
      </c>
      <c r="H696" t="inlineStr">
        <is>
          <t>Bergvik skog väst AB</t>
        </is>
      </c>
      <c r="I696" t="n">
        <v>4.1</v>
      </c>
      <c r="J696" t="n">
        <v>0</v>
      </c>
      <c r="K696" t="n">
        <v>0</v>
      </c>
      <c r="L696" t="n">
        <v>0</v>
      </c>
      <c r="M696" t="n">
        <v>0</v>
      </c>
      <c r="N696" t="n">
        <v>0</v>
      </c>
      <c r="O696" t="n">
        <v>0</v>
      </c>
      <c r="P696" t="n">
        <v>0</v>
      </c>
      <c r="Q696" t="n">
        <v>0</v>
      </c>
      <c r="R696" t="n">
        <v>0</v>
      </c>
      <c r="S696" t="n">
        <v>0</v>
      </c>
      <c r="T696" t="n">
        <v>0</v>
      </c>
      <c r="U696" s="2" t="inlineStr"/>
    </row>
    <row r="697" ht="15" customHeight="1">
      <c r="A697" t="inlineStr">
        <is>
          <t>A 31084-2026</t>
        </is>
      </c>
      <c r="B697" t="inlineStr">
        <is>
          <t>avverkningsanmälan</t>
        </is>
      </c>
      <c r="C697" t="inlineStr">
        <is>
          <t>Föryngringsavverkning</t>
        </is>
      </c>
      <c r="D697" s="1" t="n">
        <v>46216</v>
      </c>
      <c r="E697" s="1" t="n">
        <v>46221</v>
      </c>
      <c r="F697" t="inlineStr">
        <is>
          <t>DALARNAS LÄN</t>
        </is>
      </c>
      <c r="G697" t="inlineStr">
        <is>
          <t>LEKSAND</t>
        </is>
      </c>
      <c r="H697" t="inlineStr">
        <is>
          <t>Bergvik skog väst AB</t>
        </is>
      </c>
      <c r="I697" t="n">
        <v>2.1</v>
      </c>
      <c r="J697" t="n">
        <v>0</v>
      </c>
      <c r="K697" t="n">
        <v>0</v>
      </c>
      <c r="L697" t="n">
        <v>0</v>
      </c>
      <c r="M697" t="n">
        <v>0</v>
      </c>
      <c r="N697" t="n">
        <v>0</v>
      </c>
      <c r="O697" t="n">
        <v>0</v>
      </c>
      <c r="P697" t="n">
        <v>0</v>
      </c>
      <c r="Q697" t="n">
        <v>0</v>
      </c>
      <c r="R697" t="n">
        <v>0</v>
      </c>
      <c r="S697" t="n">
        <v>0</v>
      </c>
      <c r="T697" t="n">
        <v>0</v>
      </c>
      <c r="U697" s="2" t="inlineStr"/>
    </row>
    <row r="698" ht="15" customHeight="1">
      <c r="A698" t="inlineStr">
        <is>
          <t>A 24572-2026</t>
        </is>
      </c>
      <c r="B698" t="inlineStr">
        <is>
          <t>avverkningsanmälan</t>
        </is>
      </c>
      <c r="C698" t="inlineStr">
        <is>
          <t>Föryngringsavverkning</t>
        </is>
      </c>
      <c r="D698" s="1" t="n">
        <v>46170</v>
      </c>
      <c r="E698" s="1" t="n">
        <v>46221</v>
      </c>
      <c r="F698" t="inlineStr">
        <is>
          <t>DALARNAS LÄN</t>
        </is>
      </c>
      <c r="G698" t="inlineStr">
        <is>
          <t>LEKSAND</t>
        </is>
      </c>
      <c r="I698" t="n">
        <v>3</v>
      </c>
      <c r="J698" t="n">
        <v>0</v>
      </c>
      <c r="K698" t="n">
        <v>0</v>
      </c>
      <c r="L698" t="n">
        <v>0</v>
      </c>
      <c r="M698" t="n">
        <v>0</v>
      </c>
      <c r="N698" t="n">
        <v>0</v>
      </c>
      <c r="O698" t="n">
        <v>0</v>
      </c>
      <c r="P698" t="n">
        <v>0</v>
      </c>
      <c r="Q698" t="n">
        <v>0</v>
      </c>
      <c r="R698" t="n">
        <v>0</v>
      </c>
      <c r="S698" t="n">
        <v>0</v>
      </c>
      <c r="T698" t="n">
        <v>0</v>
      </c>
      <c r="U698" s="2" t="inlineStr"/>
    </row>
    <row r="699" ht="15" customHeight="1">
      <c r="A699" t="inlineStr">
        <is>
          <t>A 28492-2026</t>
        </is>
      </c>
      <c r="B699" t="inlineStr">
        <is>
          <t>avverkningsanmälan</t>
        </is>
      </c>
      <c r="C699" t="inlineStr">
        <is>
          <t>Föryngringsavverkning</t>
        </is>
      </c>
      <c r="D699" s="1" t="n">
        <v>46197</v>
      </c>
      <c r="E699" s="1" t="n">
        <v>46221</v>
      </c>
      <c r="F699" t="inlineStr">
        <is>
          <t>DALARNAS LÄN</t>
        </is>
      </c>
      <c r="G699" t="inlineStr">
        <is>
          <t>LEKSAND</t>
        </is>
      </c>
      <c r="H699" t="inlineStr">
        <is>
          <t>Bergvik skog väst AB</t>
        </is>
      </c>
      <c r="I699" t="n">
        <v>11.3</v>
      </c>
      <c r="J699" t="n">
        <v>0</v>
      </c>
      <c r="K699" t="n">
        <v>0</v>
      </c>
      <c r="L699" t="n">
        <v>0</v>
      </c>
      <c r="M699" t="n">
        <v>0</v>
      </c>
      <c r="N699" t="n">
        <v>0</v>
      </c>
      <c r="O699" t="n">
        <v>0</v>
      </c>
      <c r="P699" t="n">
        <v>0</v>
      </c>
      <c r="Q699" t="n">
        <v>0</v>
      </c>
      <c r="R699" t="n">
        <v>0</v>
      </c>
      <c r="S699" t="n">
        <v>0</v>
      </c>
      <c r="T699" t="n">
        <v>0</v>
      </c>
      <c r="U699" s="2" t="inlineStr"/>
    </row>
    <row r="700" ht="15" customHeight="1">
      <c r="A700" t="inlineStr">
        <is>
          <t>A 36262-2023</t>
        </is>
      </c>
      <c r="B700" t="inlineStr">
        <is>
          <t>avverkningsanmälan</t>
        </is>
      </c>
      <c r="C700" t="inlineStr">
        <is>
          <t>Föryngringsavverkning</t>
        </is>
      </c>
      <c r="D700" s="1" t="n">
        <v>45151</v>
      </c>
      <c r="E700" s="1" t="n">
        <v>46221</v>
      </c>
      <c r="F700" t="inlineStr">
        <is>
          <t>DALARNAS LÄN</t>
        </is>
      </c>
      <c r="G700" t="inlineStr">
        <is>
          <t>LEKSAND</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24841-2026</t>
        </is>
      </c>
      <c r="B701" t="inlineStr">
        <is>
          <t>avverkningsanmälan</t>
        </is>
      </c>
      <c r="C701" t="inlineStr">
        <is>
          <t>Föryngringsavverkning</t>
        </is>
      </c>
      <c r="D701" s="1" t="n">
        <v>46174</v>
      </c>
      <c r="E701" s="1" t="n">
        <v>46221</v>
      </c>
      <c r="F701" t="inlineStr">
        <is>
          <t>DALARNAS LÄN</t>
        </is>
      </c>
      <c r="G701" t="inlineStr">
        <is>
          <t>LEKSAND</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60095-2022</t>
        </is>
      </c>
      <c r="B702" t="inlineStr">
        <is>
          <t>avverkningsanmälan</t>
        </is>
      </c>
      <c r="C702" t="inlineStr">
        <is>
          <t>Avverkning för annat ändamål</t>
        </is>
      </c>
      <c r="D702" s="1" t="n">
        <v>44909</v>
      </c>
      <c r="E702" s="1" t="n">
        <v>46221</v>
      </c>
      <c r="F702" t="inlineStr">
        <is>
          <t>DALARNAS LÄN</t>
        </is>
      </c>
      <c r="G702" t="inlineStr">
        <is>
          <t>LEKSAND</t>
        </is>
      </c>
      <c r="I702" t="n">
        <v>2.4</v>
      </c>
      <c r="J702" t="n">
        <v>0</v>
      </c>
      <c r="K702" t="n">
        <v>0</v>
      </c>
      <c r="L702" t="n">
        <v>0</v>
      </c>
      <c r="M702" t="n">
        <v>0</v>
      </c>
      <c r="N702" t="n">
        <v>0</v>
      </c>
      <c r="O702" t="n">
        <v>0</v>
      </c>
      <c r="P702" t="n">
        <v>0</v>
      </c>
      <c r="Q702" t="n">
        <v>0</v>
      </c>
      <c r="R702" t="n">
        <v>0</v>
      </c>
      <c r="S702" t="n">
        <v>0</v>
      </c>
      <c r="T702" t="n">
        <v>0</v>
      </c>
      <c r="U702" s="2" t="inlineStr"/>
    </row>
    <row r="703" ht="15" customHeight="1">
      <c r="A703" t="inlineStr">
        <is>
          <t>A 38117-2023</t>
        </is>
      </c>
      <c r="B703" t="inlineStr">
        <is>
          <t>avverkningsanmälan</t>
        </is>
      </c>
      <c r="C703" t="inlineStr">
        <is>
          <t>Föryngringsavverkning</t>
        </is>
      </c>
      <c r="D703" s="1" t="n">
        <v>45161</v>
      </c>
      <c r="E703" s="1" t="n">
        <v>46221</v>
      </c>
      <c r="F703" t="inlineStr">
        <is>
          <t>DALARNAS LÄN</t>
        </is>
      </c>
      <c r="G703" t="inlineStr">
        <is>
          <t>LEKSAND</t>
        </is>
      </c>
      <c r="I703" t="n">
        <v>1.5</v>
      </c>
      <c r="J703" t="n">
        <v>0</v>
      </c>
      <c r="K703" t="n">
        <v>0</v>
      </c>
      <c r="L703" t="n">
        <v>0</v>
      </c>
      <c r="M703" t="n">
        <v>0</v>
      </c>
      <c r="N703" t="n">
        <v>0</v>
      </c>
      <c r="O703" t="n">
        <v>0</v>
      </c>
      <c r="P703" t="n">
        <v>0</v>
      </c>
      <c r="Q703" t="n">
        <v>0</v>
      </c>
      <c r="R703" t="n">
        <v>0</v>
      </c>
      <c r="S703" t="n">
        <v>0</v>
      </c>
      <c r="T703" t="n">
        <v>0</v>
      </c>
      <c r="U703" s="2" t="inlineStr"/>
    </row>
    <row r="704" ht="15" customHeight="1">
      <c r="A704" t="inlineStr">
        <is>
          <t>A 11418-2023</t>
        </is>
      </c>
      <c r="B704" t="inlineStr">
        <is>
          <t>avverkningsanmälan</t>
        </is>
      </c>
      <c r="C704" t="inlineStr">
        <is>
          <t>Föryngringsavverkning</t>
        </is>
      </c>
      <c r="D704" s="1" t="n">
        <v>44993</v>
      </c>
      <c r="E704" s="1" t="n">
        <v>46221</v>
      </c>
      <c r="F704" t="inlineStr">
        <is>
          <t>DALARNAS LÄN</t>
        </is>
      </c>
      <c r="G704" t="inlineStr">
        <is>
          <t>LEKSAND</t>
        </is>
      </c>
      <c r="I704" t="n">
        <v>2.7</v>
      </c>
      <c r="J704" t="n">
        <v>0</v>
      </c>
      <c r="K704" t="n">
        <v>0</v>
      </c>
      <c r="L704" t="n">
        <v>0</v>
      </c>
      <c r="M704" t="n">
        <v>0</v>
      </c>
      <c r="N704" t="n">
        <v>0</v>
      </c>
      <c r="O704" t="n">
        <v>0</v>
      </c>
      <c r="P704" t="n">
        <v>0</v>
      </c>
      <c r="Q704" t="n">
        <v>0</v>
      </c>
      <c r="R704" t="n">
        <v>0</v>
      </c>
      <c r="S704" t="n">
        <v>0</v>
      </c>
      <c r="T704" t="n">
        <v>0</v>
      </c>
      <c r="U704" s="2" t="inlineStr"/>
    </row>
    <row r="705" ht="15" customHeight="1">
      <c r="A705" t="inlineStr">
        <is>
          <t>A 39558-2023</t>
        </is>
      </c>
      <c r="B705" t="inlineStr">
        <is>
          <t>avverkningsanmälan</t>
        </is>
      </c>
      <c r="C705" t="inlineStr">
        <is>
          <t>Föryngringsavverkning</t>
        </is>
      </c>
      <c r="D705" s="1" t="n">
        <v>45167</v>
      </c>
      <c r="E705" s="1" t="n">
        <v>46221</v>
      </c>
      <c r="F705" t="inlineStr">
        <is>
          <t>DALARNAS LÄN</t>
        </is>
      </c>
      <c r="G705" t="inlineStr">
        <is>
          <t>LEKSAND</t>
        </is>
      </c>
      <c r="I705" t="n">
        <v>39.9</v>
      </c>
      <c r="J705" t="n">
        <v>0</v>
      </c>
      <c r="K705" t="n">
        <v>0</v>
      </c>
      <c r="L705" t="n">
        <v>0</v>
      </c>
      <c r="M705" t="n">
        <v>0</v>
      </c>
      <c r="N705" t="n">
        <v>0</v>
      </c>
      <c r="O705" t="n">
        <v>0</v>
      </c>
      <c r="P705" t="n">
        <v>0</v>
      </c>
      <c r="Q705" t="n">
        <v>0</v>
      </c>
      <c r="R705" t="n">
        <v>0</v>
      </c>
      <c r="S705" t="n">
        <v>0</v>
      </c>
      <c r="T705" t="n">
        <v>0</v>
      </c>
      <c r="U705" s="2" t="inlineStr"/>
    </row>
    <row r="706" ht="15" customHeight="1">
      <c r="A706" t="inlineStr">
        <is>
          <t>A 43231-2024</t>
        </is>
      </c>
      <c r="B706" t="inlineStr">
        <is>
          <t>avverkningsanmälan</t>
        </is>
      </c>
      <c r="C706" t="inlineStr">
        <is>
          <t>Föryngringsavverkning</t>
        </is>
      </c>
      <c r="D706" s="1" t="n">
        <v>45567</v>
      </c>
      <c r="E706" s="1" t="n">
        <v>46221</v>
      </c>
      <c r="F706" t="inlineStr">
        <is>
          <t>DALARNAS LÄN</t>
        </is>
      </c>
      <c r="G706" t="inlineStr">
        <is>
          <t>LEKSAND</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64516-2023</t>
        </is>
      </c>
      <c r="B707" t="inlineStr">
        <is>
          <t>avverkningsanmälan</t>
        </is>
      </c>
      <c r="C707" t="inlineStr">
        <is>
          <t>Avverkning för annat ändamål</t>
        </is>
      </c>
      <c r="D707" s="1" t="n">
        <v>45280</v>
      </c>
      <c r="E707" s="1" t="n">
        <v>46221</v>
      </c>
      <c r="F707" t="inlineStr">
        <is>
          <t>DALARNAS LÄN</t>
        </is>
      </c>
      <c r="G707" t="inlineStr">
        <is>
          <t>LEKSAND</t>
        </is>
      </c>
      <c r="I707" t="n">
        <v>4.4</v>
      </c>
      <c r="J707" t="n">
        <v>0</v>
      </c>
      <c r="K707" t="n">
        <v>0</v>
      </c>
      <c r="L707" t="n">
        <v>0</v>
      </c>
      <c r="M707" t="n">
        <v>0</v>
      </c>
      <c r="N707" t="n">
        <v>0</v>
      </c>
      <c r="O707" t="n">
        <v>0</v>
      </c>
      <c r="P707" t="n">
        <v>0</v>
      </c>
      <c r="Q707" t="n">
        <v>0</v>
      </c>
      <c r="R707" t="n">
        <v>0</v>
      </c>
      <c r="S707" t="n">
        <v>0</v>
      </c>
      <c r="T707" t="n">
        <v>0</v>
      </c>
      <c r="U707" s="2" t="inlineStr"/>
    </row>
    <row r="708" ht="15" customHeight="1">
      <c r="A708" t="inlineStr">
        <is>
          <t>A 25581-2026</t>
        </is>
      </c>
      <c r="B708" t="inlineStr">
        <is>
          <t>avverkningsanmälan</t>
        </is>
      </c>
      <c r="C708" t="inlineStr">
        <is>
          <t>Föryngringsavverkning</t>
        </is>
      </c>
      <c r="D708" s="1" t="n">
        <v>46177</v>
      </c>
      <c r="E708" s="1" t="n">
        <v>46221</v>
      </c>
      <c r="F708" t="inlineStr">
        <is>
          <t>DALARNAS LÄN</t>
        </is>
      </c>
      <c r="G708" t="inlineStr">
        <is>
          <t>LEKSAND</t>
        </is>
      </c>
      <c r="H708" t="inlineStr">
        <is>
          <t>Bergvik skog väst AB</t>
        </is>
      </c>
      <c r="I708" t="n">
        <v>2.4</v>
      </c>
      <c r="J708" t="n">
        <v>0</v>
      </c>
      <c r="K708" t="n">
        <v>0</v>
      </c>
      <c r="L708" t="n">
        <v>0</v>
      </c>
      <c r="M708" t="n">
        <v>0</v>
      </c>
      <c r="N708" t="n">
        <v>0</v>
      </c>
      <c r="O708" t="n">
        <v>0</v>
      </c>
      <c r="P708" t="n">
        <v>0</v>
      </c>
      <c r="Q708" t="n">
        <v>0</v>
      </c>
      <c r="R708" t="n">
        <v>0</v>
      </c>
      <c r="S708" t="n">
        <v>0</v>
      </c>
      <c r="T708" t="n">
        <v>0</v>
      </c>
      <c r="U708" s="2" t="inlineStr"/>
    </row>
    <row r="709" ht="15" customHeight="1">
      <c r="A709" t="inlineStr">
        <is>
          <t>A 53799-2023</t>
        </is>
      </c>
      <c r="B709" t="inlineStr">
        <is>
          <t>avverkningsanmälan</t>
        </is>
      </c>
      <c r="C709" t="inlineStr">
        <is>
          <t>Föryngringsavverkning</t>
        </is>
      </c>
      <c r="D709" s="1" t="n">
        <v>45231</v>
      </c>
      <c r="E709" s="1" t="n">
        <v>46221</v>
      </c>
      <c r="F709" t="inlineStr">
        <is>
          <t>DALARNAS LÄN</t>
        </is>
      </c>
      <c r="G709" t="inlineStr">
        <is>
          <t>LEKSAND</t>
        </is>
      </c>
      <c r="H709" t="inlineStr">
        <is>
          <t>Bergvik skog väst AB</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40193-2024</t>
        </is>
      </c>
      <c r="B710" t="inlineStr">
        <is>
          <t>avverkningsanmälan</t>
        </is>
      </c>
      <c r="C710" t="inlineStr">
        <is>
          <t>Föryngringsavverkning</t>
        </is>
      </c>
      <c r="D710" s="1" t="n">
        <v>45554</v>
      </c>
      <c r="E710" s="1" t="n">
        <v>46221</v>
      </c>
      <c r="F710" t="inlineStr">
        <is>
          <t>DALARNAS LÄN</t>
        </is>
      </c>
      <c r="G710" t="inlineStr">
        <is>
          <t>LEKSAND</t>
        </is>
      </c>
      <c r="H710" t="inlineStr">
        <is>
          <t>Övriga statliga verk och myndigheter</t>
        </is>
      </c>
      <c r="I710" t="n">
        <v>1</v>
      </c>
      <c r="J710" t="n">
        <v>0</v>
      </c>
      <c r="K710" t="n">
        <v>0</v>
      </c>
      <c r="L710" t="n">
        <v>0</v>
      </c>
      <c r="M710" t="n">
        <v>0</v>
      </c>
      <c r="N710" t="n">
        <v>0</v>
      </c>
      <c r="O710" t="n">
        <v>0</v>
      </c>
      <c r="P710" t="n">
        <v>0</v>
      </c>
      <c r="Q710" t="n">
        <v>0</v>
      </c>
      <c r="R710" t="n">
        <v>0</v>
      </c>
      <c r="S710" t="n">
        <v>0</v>
      </c>
      <c r="T710" t="n">
        <v>0</v>
      </c>
      <c r="U710" s="2" t="inlineStr"/>
    </row>
    <row r="711" ht="15" customHeight="1">
      <c r="A711" t="inlineStr">
        <is>
          <t>A 21839-2022</t>
        </is>
      </c>
      <c r="B711" t="inlineStr">
        <is>
          <t>avverkningsanmälan</t>
        </is>
      </c>
      <c r="C711" t="inlineStr">
        <is>
          <t>Föryngringsavverkning</t>
        </is>
      </c>
      <c r="D711" s="1" t="n">
        <v>44711</v>
      </c>
      <c r="E711" s="1" t="n">
        <v>46221</v>
      </c>
      <c r="F711" t="inlineStr">
        <is>
          <t>DALARNAS LÄN</t>
        </is>
      </c>
      <c r="G711" t="inlineStr">
        <is>
          <t>LEKSAND</t>
        </is>
      </c>
      <c r="H711" t="inlineStr">
        <is>
          <t>Bergvik skog väst AB</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22388-2024</t>
        </is>
      </c>
      <c r="B712" t="inlineStr">
        <is>
          <t>avverkningsanmälan</t>
        </is>
      </c>
      <c r="C712" t="inlineStr">
        <is>
          <t>Föryngringsavverkning</t>
        </is>
      </c>
      <c r="D712" s="1" t="n">
        <v>45446</v>
      </c>
      <c r="E712" s="1" t="n">
        <v>46221</v>
      </c>
      <c r="F712" t="inlineStr">
        <is>
          <t>DALARNAS LÄN</t>
        </is>
      </c>
      <c r="G712" t="inlineStr">
        <is>
          <t>LEKSAND</t>
        </is>
      </c>
      <c r="H712" t="inlineStr">
        <is>
          <t>Bergvik skog väst AB</t>
        </is>
      </c>
      <c r="I712" t="n">
        <v>5.3</v>
      </c>
      <c r="J712" t="n">
        <v>0</v>
      </c>
      <c r="K712" t="n">
        <v>0</v>
      </c>
      <c r="L712" t="n">
        <v>0</v>
      </c>
      <c r="M712" t="n">
        <v>0</v>
      </c>
      <c r="N712" t="n">
        <v>0</v>
      </c>
      <c r="O712" t="n">
        <v>0</v>
      </c>
      <c r="P712" t="n">
        <v>0</v>
      </c>
      <c r="Q712" t="n">
        <v>0</v>
      </c>
      <c r="R712" t="n">
        <v>0</v>
      </c>
      <c r="S712" t="n">
        <v>0</v>
      </c>
      <c r="T712" t="n">
        <v>0</v>
      </c>
      <c r="U712" s="2" t="inlineStr"/>
    </row>
    <row r="713" ht="15" customHeight="1">
      <c r="A713" t="inlineStr">
        <is>
          <t>A 25523-2026</t>
        </is>
      </c>
      <c r="B713" t="inlineStr">
        <is>
          <t>avverkningsanmälan</t>
        </is>
      </c>
      <c r="C713" t="inlineStr">
        <is>
          <t>Föryngringsavverkning</t>
        </is>
      </c>
      <c r="D713" s="1" t="n">
        <v>46177</v>
      </c>
      <c r="E713" s="1" t="n">
        <v>46221</v>
      </c>
      <c r="F713" t="inlineStr">
        <is>
          <t>DALARNAS LÄN</t>
        </is>
      </c>
      <c r="G713" t="inlineStr">
        <is>
          <t>LEKSAND</t>
        </is>
      </c>
      <c r="H713" t="inlineStr">
        <is>
          <t>Bergvik skog väst AB</t>
        </is>
      </c>
      <c r="I713" t="n">
        <v>3.3</v>
      </c>
      <c r="J713" t="n">
        <v>0</v>
      </c>
      <c r="K713" t="n">
        <v>0</v>
      </c>
      <c r="L713" t="n">
        <v>0</v>
      </c>
      <c r="M713" t="n">
        <v>0</v>
      </c>
      <c r="N713" t="n">
        <v>0</v>
      </c>
      <c r="O713" t="n">
        <v>0</v>
      </c>
      <c r="P713" t="n">
        <v>0</v>
      </c>
      <c r="Q713" t="n">
        <v>0</v>
      </c>
      <c r="R713" t="n">
        <v>0</v>
      </c>
      <c r="S713" t="n">
        <v>0</v>
      </c>
      <c r="T713" t="n">
        <v>0</v>
      </c>
      <c r="U713" s="2" t="inlineStr"/>
    </row>
    <row r="714" ht="15" customHeight="1">
      <c r="A714" t="inlineStr">
        <is>
          <t>A 25300-2026</t>
        </is>
      </c>
      <c r="B714" t="inlineStr">
        <is>
          <t>avverkningsanmälan</t>
        </is>
      </c>
      <c r="C714" t="inlineStr">
        <is>
          <t>Föryngringsavverkning</t>
        </is>
      </c>
      <c r="D714" s="1" t="n">
        <v>46176</v>
      </c>
      <c r="E714" s="1" t="n">
        <v>46221</v>
      </c>
      <c r="F714" t="inlineStr">
        <is>
          <t>DALARNAS LÄN</t>
        </is>
      </c>
      <c r="G714" t="inlineStr">
        <is>
          <t>LEKSAND</t>
        </is>
      </c>
      <c r="H714" t="inlineStr">
        <is>
          <t>Bergvik skog väst AB</t>
        </is>
      </c>
      <c r="I714" t="n">
        <v>8.300000000000001</v>
      </c>
      <c r="J714" t="n">
        <v>0</v>
      </c>
      <c r="K714" t="n">
        <v>0</v>
      </c>
      <c r="L714" t="n">
        <v>0</v>
      </c>
      <c r="M714" t="n">
        <v>0</v>
      </c>
      <c r="N714" t="n">
        <v>0</v>
      </c>
      <c r="O714" t="n">
        <v>0</v>
      </c>
      <c r="P714" t="n">
        <v>0</v>
      </c>
      <c r="Q714" t="n">
        <v>0</v>
      </c>
      <c r="R714" t="n">
        <v>0</v>
      </c>
      <c r="S714" t="n">
        <v>0</v>
      </c>
      <c r="T714" t="n">
        <v>0</v>
      </c>
      <c r="U714" s="2" t="inlineStr"/>
    </row>
    <row r="715" ht="15" customHeight="1">
      <c r="A715" t="inlineStr">
        <is>
          <t>A 9138-2023</t>
        </is>
      </c>
      <c r="B715" t="inlineStr">
        <is>
          <t>avverkningsanmälan</t>
        </is>
      </c>
      <c r="C715" t="inlineStr">
        <is>
          <t>Föryngringsavverkning</t>
        </is>
      </c>
      <c r="D715" s="1" t="n">
        <v>44974</v>
      </c>
      <c r="E715" s="1" t="n">
        <v>46221</v>
      </c>
      <c r="F715" t="inlineStr">
        <is>
          <t>DALARNAS LÄN</t>
        </is>
      </c>
      <c r="G715" t="inlineStr">
        <is>
          <t>LEKSAND</t>
        </is>
      </c>
      <c r="I715" t="n">
        <v>4.6</v>
      </c>
      <c r="J715" t="n">
        <v>0</v>
      </c>
      <c r="K715" t="n">
        <v>0</v>
      </c>
      <c r="L715" t="n">
        <v>0</v>
      </c>
      <c r="M715" t="n">
        <v>0</v>
      </c>
      <c r="N715" t="n">
        <v>0</v>
      </c>
      <c r="O715" t="n">
        <v>0</v>
      </c>
      <c r="P715" t="n">
        <v>0</v>
      </c>
      <c r="Q715" t="n">
        <v>0</v>
      </c>
      <c r="R715" t="n">
        <v>0</v>
      </c>
      <c r="S715" t="n">
        <v>0</v>
      </c>
      <c r="T715" t="n">
        <v>0</v>
      </c>
      <c r="U715" s="2" t="inlineStr"/>
    </row>
    <row r="716" ht="15" customHeight="1">
      <c r="A716" t="inlineStr">
        <is>
          <t>A 61680-2024</t>
        </is>
      </c>
      <c r="B716" t="inlineStr">
        <is>
          <t>avverkningsanmälan</t>
        </is>
      </c>
      <c r="C716" t="inlineStr">
        <is>
          <t>Föryngringsavverkning</t>
        </is>
      </c>
      <c r="D716" s="1" t="n">
        <v>45647</v>
      </c>
      <c r="E716" s="1" t="n">
        <v>46221</v>
      </c>
      <c r="F716" t="inlineStr">
        <is>
          <t>DALARNAS LÄN</t>
        </is>
      </c>
      <c r="G716" t="inlineStr">
        <is>
          <t>LEKSAND</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54911-2024</t>
        </is>
      </c>
      <c r="B717" t="inlineStr">
        <is>
          <t>avverkningsanmälan</t>
        </is>
      </c>
      <c r="C717" t="inlineStr">
        <is>
          <t>Föryngringsavverkning</t>
        </is>
      </c>
      <c r="D717" s="1" t="n">
        <v>45618</v>
      </c>
      <c r="E717" s="1" t="n">
        <v>46221</v>
      </c>
      <c r="F717" t="inlineStr">
        <is>
          <t>DALARNAS LÄN</t>
        </is>
      </c>
      <c r="G717" t="inlineStr">
        <is>
          <t>LEKSAND</t>
        </is>
      </c>
      <c r="I717" t="n">
        <v>0.9</v>
      </c>
      <c r="J717" t="n">
        <v>0</v>
      </c>
      <c r="K717" t="n">
        <v>0</v>
      </c>
      <c r="L717" t="n">
        <v>0</v>
      </c>
      <c r="M717" t="n">
        <v>0</v>
      </c>
      <c r="N717" t="n">
        <v>0</v>
      </c>
      <c r="O717" t="n">
        <v>0</v>
      </c>
      <c r="P717" t="n">
        <v>0</v>
      </c>
      <c r="Q717" t="n">
        <v>0</v>
      </c>
      <c r="R717" t="n">
        <v>0</v>
      </c>
      <c r="S717" t="n">
        <v>0</v>
      </c>
      <c r="T717" t="n">
        <v>0</v>
      </c>
      <c r="U717" s="2" t="inlineStr"/>
    </row>
    <row r="718" ht="15" customHeight="1">
      <c r="A718" t="inlineStr">
        <is>
          <t>A 16611-2024</t>
        </is>
      </c>
      <c r="B718" t="inlineStr">
        <is>
          <t>avverkningsanmälan</t>
        </is>
      </c>
      <c r="C718" t="inlineStr">
        <is>
          <t>Föryngringsavverkning</t>
        </is>
      </c>
      <c r="D718" s="1" t="n">
        <v>45408</v>
      </c>
      <c r="E718" s="1" t="n">
        <v>46221</v>
      </c>
      <c r="F718" t="inlineStr">
        <is>
          <t>DALARNAS LÄN</t>
        </is>
      </c>
      <c r="G718" t="inlineStr">
        <is>
          <t>LEKSAND</t>
        </is>
      </c>
      <c r="I718" t="n">
        <v>5.9</v>
      </c>
      <c r="J718" t="n">
        <v>0</v>
      </c>
      <c r="K718" t="n">
        <v>0</v>
      </c>
      <c r="L718" t="n">
        <v>0</v>
      </c>
      <c r="M718" t="n">
        <v>0</v>
      </c>
      <c r="N718" t="n">
        <v>0</v>
      </c>
      <c r="O718" t="n">
        <v>0</v>
      </c>
      <c r="P718" t="n">
        <v>0</v>
      </c>
      <c r="Q718" t="n">
        <v>0</v>
      </c>
      <c r="R718" t="n">
        <v>0</v>
      </c>
      <c r="S718" t="n">
        <v>0</v>
      </c>
      <c r="T718" t="n">
        <v>0</v>
      </c>
      <c r="U718" s="2" t="inlineStr"/>
    </row>
    <row r="719" ht="15" customHeight="1">
      <c r="A719" t="inlineStr">
        <is>
          <t>A 402-2024</t>
        </is>
      </c>
      <c r="B719" t="inlineStr">
        <is>
          <t>avverkningsanmälan</t>
        </is>
      </c>
      <c r="C719" t="inlineStr">
        <is>
          <t>Föryngringsavverkning</t>
        </is>
      </c>
      <c r="D719" s="1" t="n">
        <v>45296</v>
      </c>
      <c r="E719" s="1" t="n">
        <v>46221</v>
      </c>
      <c r="F719" t="inlineStr">
        <is>
          <t>DALARNAS LÄN</t>
        </is>
      </c>
      <c r="G719" t="inlineStr">
        <is>
          <t>LEKSAND</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23137-2022</t>
        </is>
      </c>
      <c r="B720" t="inlineStr">
        <is>
          <t>avverkningsanmälan</t>
        </is>
      </c>
      <c r="C720" t="inlineStr">
        <is>
          <t>Föryngringsavverkning</t>
        </is>
      </c>
      <c r="D720" s="1" t="n">
        <v>44719</v>
      </c>
      <c r="E720" s="1" t="n">
        <v>46221</v>
      </c>
      <c r="F720" t="inlineStr">
        <is>
          <t>DALARNAS LÄN</t>
        </is>
      </c>
      <c r="G720" t="inlineStr">
        <is>
          <t>LEKSAND</t>
        </is>
      </c>
      <c r="I720" t="n">
        <v>3</v>
      </c>
      <c r="J720" t="n">
        <v>0</v>
      </c>
      <c r="K720" t="n">
        <v>0</v>
      </c>
      <c r="L720" t="n">
        <v>0</v>
      </c>
      <c r="M720" t="n">
        <v>0</v>
      </c>
      <c r="N720" t="n">
        <v>0</v>
      </c>
      <c r="O720" t="n">
        <v>0</v>
      </c>
      <c r="P720" t="n">
        <v>0</v>
      </c>
      <c r="Q720" t="n">
        <v>0</v>
      </c>
      <c r="R720" t="n">
        <v>0</v>
      </c>
      <c r="S720" t="n">
        <v>0</v>
      </c>
      <c r="T720" t="n">
        <v>0</v>
      </c>
      <c r="U720" s="2" t="inlineStr"/>
    </row>
    <row r="721" ht="15" customHeight="1">
      <c r="A721" t="inlineStr">
        <is>
          <t>A 19590-2023</t>
        </is>
      </c>
      <c r="B721" t="inlineStr">
        <is>
          <t>avverkningsanmälan</t>
        </is>
      </c>
      <c r="C721" t="inlineStr">
        <is>
          <t>Föryngringsavverkning</t>
        </is>
      </c>
      <c r="D721" s="1" t="n">
        <v>45049</v>
      </c>
      <c r="E721" s="1" t="n">
        <v>46221</v>
      </c>
      <c r="F721" t="inlineStr">
        <is>
          <t>DALARNAS LÄN</t>
        </is>
      </c>
      <c r="G721" t="inlineStr">
        <is>
          <t>LEKSAND</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39807-2024</t>
        </is>
      </c>
      <c r="B722" t="inlineStr">
        <is>
          <t>avverkningsanmälan</t>
        </is>
      </c>
      <c r="C722" t="inlineStr">
        <is>
          <t>Föryngringsavverkning</t>
        </is>
      </c>
      <c r="D722" s="1" t="n">
        <v>45553</v>
      </c>
      <c r="E722" s="1" t="n">
        <v>46221</v>
      </c>
      <c r="F722" t="inlineStr">
        <is>
          <t>DALARNAS LÄN</t>
        </is>
      </c>
      <c r="G722" t="inlineStr">
        <is>
          <t>LEKSAND</t>
        </is>
      </c>
      <c r="H722" t="inlineStr">
        <is>
          <t>Bergvik skog väst AB</t>
        </is>
      </c>
      <c r="I722" t="n">
        <v>1.2</v>
      </c>
      <c r="J722" t="n">
        <v>0</v>
      </c>
      <c r="K722" t="n">
        <v>0</v>
      </c>
      <c r="L722" t="n">
        <v>0</v>
      </c>
      <c r="M722" t="n">
        <v>0</v>
      </c>
      <c r="N722" t="n">
        <v>0</v>
      </c>
      <c r="O722" t="n">
        <v>0</v>
      </c>
      <c r="P722" t="n">
        <v>0</v>
      </c>
      <c r="Q722" t="n">
        <v>0</v>
      </c>
      <c r="R722" t="n">
        <v>0</v>
      </c>
      <c r="S722" t="n">
        <v>0</v>
      </c>
      <c r="T722" t="n">
        <v>0</v>
      </c>
      <c r="U722" s="2" t="inlineStr"/>
    </row>
    <row r="723" ht="15" customHeight="1">
      <c r="A723" t="inlineStr">
        <is>
          <t>A 31850-2024</t>
        </is>
      </c>
      <c r="B723" t="inlineStr">
        <is>
          <t>avverkningsanmälan</t>
        </is>
      </c>
      <c r="C723" t="inlineStr">
        <is>
          <t>Avverkning för annat ändamål</t>
        </is>
      </c>
      <c r="D723" s="1" t="n">
        <v>45509</v>
      </c>
      <c r="E723" s="1" t="n">
        <v>46221</v>
      </c>
      <c r="F723" t="inlineStr">
        <is>
          <t>DALARNAS LÄN</t>
        </is>
      </c>
      <c r="G723" t="inlineStr">
        <is>
          <t>LEKSAND</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11277-2025</t>
        </is>
      </c>
      <c r="B724" t="inlineStr">
        <is>
          <t>avverkningsanmälan</t>
        </is>
      </c>
      <c r="C724" t="inlineStr">
        <is>
          <t>Föryngringsavverkning</t>
        </is>
      </c>
      <c r="D724" s="1" t="n">
        <v>45726</v>
      </c>
      <c r="E724" s="1" t="n">
        <v>46221</v>
      </c>
      <c r="F724" t="inlineStr">
        <is>
          <t>DALARNAS LÄN</t>
        </is>
      </c>
      <c r="G724" t="inlineStr">
        <is>
          <t>LEKSAND</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325-2023</t>
        </is>
      </c>
      <c r="B725" t="inlineStr">
        <is>
          <t>avverkningsanmälan</t>
        </is>
      </c>
      <c r="C725" t="inlineStr">
        <is>
          <t>Föryngringsavverkning</t>
        </is>
      </c>
      <c r="D725" s="1" t="n">
        <v>44929</v>
      </c>
      <c r="E725" s="1" t="n">
        <v>46221</v>
      </c>
      <c r="F725" t="inlineStr">
        <is>
          <t>DALARNAS LÄN</t>
        </is>
      </c>
      <c r="G725" t="inlineStr">
        <is>
          <t>LEKSAND</t>
        </is>
      </c>
      <c r="H725" t="inlineStr">
        <is>
          <t>Övriga Aktiebolag</t>
        </is>
      </c>
      <c r="I725" t="n">
        <v>7.1</v>
      </c>
      <c r="J725" t="n">
        <v>0</v>
      </c>
      <c r="K725" t="n">
        <v>0</v>
      </c>
      <c r="L725" t="n">
        <v>0</v>
      </c>
      <c r="M725" t="n">
        <v>0</v>
      </c>
      <c r="N725" t="n">
        <v>0</v>
      </c>
      <c r="O725" t="n">
        <v>0</v>
      </c>
      <c r="P725" t="n">
        <v>0</v>
      </c>
      <c r="Q725" t="n">
        <v>0</v>
      </c>
      <c r="R725" t="n">
        <v>0</v>
      </c>
      <c r="S725" t="n">
        <v>0</v>
      </c>
      <c r="T725" t="n">
        <v>0</v>
      </c>
      <c r="U725" s="2" t="inlineStr"/>
    </row>
    <row r="726" ht="15" customHeight="1">
      <c r="A726" t="inlineStr">
        <is>
          <t>A 11678-2025</t>
        </is>
      </c>
      <c r="B726" t="inlineStr">
        <is>
          <t>avverkningsanmälan</t>
        </is>
      </c>
      <c r="C726" t="inlineStr">
        <is>
          <t>Föryngringsavverkning</t>
        </is>
      </c>
      <c r="D726" s="1" t="n">
        <v>45726</v>
      </c>
      <c r="E726" s="1" t="n">
        <v>46221</v>
      </c>
      <c r="F726" t="inlineStr">
        <is>
          <t>DALARNAS LÄN</t>
        </is>
      </c>
      <c r="G726" t="inlineStr">
        <is>
          <t>LEKSAND</t>
        </is>
      </c>
      <c r="I726" t="n">
        <v>9.4</v>
      </c>
      <c r="J726" t="n">
        <v>0</v>
      </c>
      <c r="K726" t="n">
        <v>0</v>
      </c>
      <c r="L726" t="n">
        <v>0</v>
      </c>
      <c r="M726" t="n">
        <v>0</v>
      </c>
      <c r="N726" t="n">
        <v>0</v>
      </c>
      <c r="O726" t="n">
        <v>0</v>
      </c>
      <c r="P726" t="n">
        <v>0</v>
      </c>
      <c r="Q726" t="n">
        <v>0</v>
      </c>
      <c r="R726" t="n">
        <v>0</v>
      </c>
      <c r="S726" t="n">
        <v>0</v>
      </c>
      <c r="T726" t="n">
        <v>0</v>
      </c>
      <c r="U726" s="2" t="inlineStr"/>
    </row>
    <row r="727" ht="15" customHeight="1">
      <c r="A727" t="inlineStr">
        <is>
          <t>A 28630-2023</t>
        </is>
      </c>
      <c r="B727" t="inlineStr">
        <is>
          <t>avverkningsanmälan</t>
        </is>
      </c>
      <c r="C727" t="inlineStr">
        <is>
          <t>Föryngringsavverkning</t>
        </is>
      </c>
      <c r="D727" s="1" t="n">
        <v>45103</v>
      </c>
      <c r="E727" s="1" t="n">
        <v>46221</v>
      </c>
      <c r="F727" t="inlineStr">
        <is>
          <t>DALARNAS LÄN</t>
        </is>
      </c>
      <c r="G727" t="inlineStr">
        <is>
          <t>LEKSAND</t>
        </is>
      </c>
      <c r="H727" t="inlineStr">
        <is>
          <t>Bergvik skog väst AB</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7759-2025</t>
        </is>
      </c>
      <c r="B728" t="inlineStr">
        <is>
          <t>avverkningsanmälan</t>
        </is>
      </c>
      <c r="C728" t="inlineStr">
        <is>
          <t>Föryngringsavverkning</t>
        </is>
      </c>
      <c r="D728" s="1" t="n">
        <v>45706</v>
      </c>
      <c r="E728" s="1" t="n">
        <v>46221</v>
      </c>
      <c r="F728" t="inlineStr">
        <is>
          <t>DALARNAS LÄN</t>
        </is>
      </c>
      <c r="G728" t="inlineStr">
        <is>
          <t>LEKSAND</t>
        </is>
      </c>
      <c r="I728" t="n">
        <v>3.3</v>
      </c>
      <c r="J728" t="n">
        <v>0</v>
      </c>
      <c r="K728" t="n">
        <v>0</v>
      </c>
      <c r="L728" t="n">
        <v>0</v>
      </c>
      <c r="M728" t="n">
        <v>0</v>
      </c>
      <c r="N728" t="n">
        <v>0</v>
      </c>
      <c r="O728" t="n">
        <v>0</v>
      </c>
      <c r="P728" t="n">
        <v>0</v>
      </c>
      <c r="Q728" t="n">
        <v>0</v>
      </c>
      <c r="R728" t="n">
        <v>0</v>
      </c>
      <c r="S728" t="n">
        <v>0</v>
      </c>
      <c r="T728" t="n">
        <v>0</v>
      </c>
      <c r="U728" s="2" t="inlineStr"/>
    </row>
    <row r="729" ht="15" customHeight="1">
      <c r="A729" t="inlineStr">
        <is>
          <t>A 17078-2023</t>
        </is>
      </c>
      <c r="B729" t="inlineStr">
        <is>
          <t>avverkningsanmälan</t>
        </is>
      </c>
      <c r="C729" t="inlineStr">
        <is>
          <t>Föryngringsavverkning</t>
        </is>
      </c>
      <c r="D729" s="1" t="n">
        <v>45034</v>
      </c>
      <c r="E729" s="1" t="n">
        <v>46221</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5847-2025</t>
        </is>
      </c>
      <c r="B730" t="inlineStr">
        <is>
          <t>avverkningsanmälan</t>
        </is>
      </c>
      <c r="C730" t="inlineStr">
        <is>
          <t>Föryngringsavverkning</t>
        </is>
      </c>
      <c r="D730" s="1" t="n">
        <v>45695</v>
      </c>
      <c r="E730" s="1" t="n">
        <v>46221</v>
      </c>
      <c r="F730" t="inlineStr">
        <is>
          <t>DALARNAS LÄN</t>
        </is>
      </c>
      <c r="G730" t="inlineStr">
        <is>
          <t>LEKSAND</t>
        </is>
      </c>
      <c r="I730" t="n">
        <v>2.6</v>
      </c>
      <c r="J730" t="n">
        <v>0</v>
      </c>
      <c r="K730" t="n">
        <v>0</v>
      </c>
      <c r="L730" t="n">
        <v>0</v>
      </c>
      <c r="M730" t="n">
        <v>0</v>
      </c>
      <c r="N730" t="n">
        <v>0</v>
      </c>
      <c r="O730" t="n">
        <v>0</v>
      </c>
      <c r="P730" t="n">
        <v>0</v>
      </c>
      <c r="Q730" t="n">
        <v>0</v>
      </c>
      <c r="R730" t="n">
        <v>0</v>
      </c>
      <c r="S730" t="n">
        <v>0</v>
      </c>
      <c r="T730" t="n">
        <v>0</v>
      </c>
      <c r="U730" s="2" t="inlineStr"/>
    </row>
    <row r="731" ht="15" customHeight="1">
      <c r="A731" t="inlineStr">
        <is>
          <t>A 5873-2025</t>
        </is>
      </c>
      <c r="B731" t="inlineStr">
        <is>
          <t>avverkningsanmälan</t>
        </is>
      </c>
      <c r="C731" t="inlineStr">
        <is>
          <t>Föryngringsavverkning</t>
        </is>
      </c>
      <c r="D731" s="1" t="n">
        <v>45695</v>
      </c>
      <c r="E731" s="1" t="n">
        <v>46221</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18481-2024</t>
        </is>
      </c>
      <c r="B732" t="inlineStr">
        <is>
          <t>avverkningsanmälan</t>
        </is>
      </c>
      <c r="C732" t="inlineStr">
        <is>
          <t>Föryngringsavverkning</t>
        </is>
      </c>
      <c r="D732" s="1" t="n">
        <v>45425</v>
      </c>
      <c r="E732" s="1" t="n">
        <v>46221</v>
      </c>
      <c r="F732" t="inlineStr">
        <is>
          <t>DALARNAS LÄN</t>
        </is>
      </c>
      <c r="G732" t="inlineStr">
        <is>
          <t>LEKSAND</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18484-2024</t>
        </is>
      </c>
      <c r="B733" t="inlineStr">
        <is>
          <t>avverkningsanmälan</t>
        </is>
      </c>
      <c r="C733" t="inlineStr">
        <is>
          <t>Föryngringsavverkning</t>
        </is>
      </c>
      <c r="D733" s="1" t="n">
        <v>45425</v>
      </c>
      <c r="E733" s="1" t="n">
        <v>46221</v>
      </c>
      <c r="F733" t="inlineStr">
        <is>
          <t>DALARNAS LÄN</t>
        </is>
      </c>
      <c r="G733" t="inlineStr">
        <is>
          <t>LEKSAND</t>
        </is>
      </c>
      <c r="I733" t="n">
        <v>2</v>
      </c>
      <c r="J733" t="n">
        <v>0</v>
      </c>
      <c r="K733" t="n">
        <v>0</v>
      </c>
      <c r="L733" t="n">
        <v>0</v>
      </c>
      <c r="M733" t="n">
        <v>0</v>
      </c>
      <c r="N733" t="n">
        <v>0</v>
      </c>
      <c r="O733" t="n">
        <v>0</v>
      </c>
      <c r="P733" t="n">
        <v>0</v>
      </c>
      <c r="Q733" t="n">
        <v>0</v>
      </c>
      <c r="R733" t="n">
        <v>0</v>
      </c>
      <c r="S733" t="n">
        <v>0</v>
      </c>
      <c r="T733" t="n">
        <v>0</v>
      </c>
      <c r="U733" s="2" t="inlineStr"/>
    </row>
    <row r="734" ht="15" customHeight="1">
      <c r="A734" t="inlineStr">
        <is>
          <t>A 53193-2024</t>
        </is>
      </c>
      <c r="B734" t="inlineStr">
        <is>
          <t>avverkningsanmälan</t>
        </is>
      </c>
      <c r="C734" t="inlineStr">
        <is>
          <t>Föryngringsavverkning</t>
        </is>
      </c>
      <c r="D734" s="1" t="n">
        <v>45610</v>
      </c>
      <c r="E734" s="1" t="n">
        <v>46221</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s="2" t="inlineStr"/>
    </row>
    <row r="735" ht="15" customHeight="1">
      <c r="A735" t="inlineStr">
        <is>
          <t>A 11080-2023</t>
        </is>
      </c>
      <c r="B735" t="inlineStr">
        <is>
          <t>avverkningsanmälan</t>
        </is>
      </c>
      <c r="C735" t="inlineStr">
        <is>
          <t>Föryngringsavverkning</t>
        </is>
      </c>
      <c r="D735" s="1" t="n">
        <v>44992</v>
      </c>
      <c r="E735" s="1" t="n">
        <v>46221</v>
      </c>
      <c r="F735" t="inlineStr">
        <is>
          <t>DALARNAS LÄN</t>
        </is>
      </c>
      <c r="G735" t="inlineStr">
        <is>
          <t>LEKSAND</t>
        </is>
      </c>
      <c r="I735" t="n">
        <v>6.9</v>
      </c>
      <c r="J735" t="n">
        <v>0</v>
      </c>
      <c r="K735" t="n">
        <v>0</v>
      </c>
      <c r="L735" t="n">
        <v>0</v>
      </c>
      <c r="M735" t="n">
        <v>0</v>
      </c>
      <c r="N735" t="n">
        <v>0</v>
      </c>
      <c r="O735" t="n">
        <v>0</v>
      </c>
      <c r="P735" t="n">
        <v>0</v>
      </c>
      <c r="Q735" t="n">
        <v>0</v>
      </c>
      <c r="R735" t="n">
        <v>0</v>
      </c>
      <c r="S735" t="n">
        <v>0</v>
      </c>
      <c r="T735" t="n">
        <v>0</v>
      </c>
      <c r="U735" s="2" t="inlineStr"/>
    </row>
    <row r="736" ht="15" customHeight="1">
      <c r="A736" t="inlineStr">
        <is>
          <t>A 26957-2023</t>
        </is>
      </c>
      <c r="B736" t="inlineStr">
        <is>
          <t>avverkningsanmälan</t>
        </is>
      </c>
      <c r="C736" t="inlineStr">
        <is>
          <t>Föryngringsavverkning</t>
        </is>
      </c>
      <c r="D736" s="1" t="n">
        <v>45093</v>
      </c>
      <c r="E736" s="1" t="n">
        <v>46221</v>
      </c>
      <c r="F736" t="inlineStr">
        <is>
          <t>DALARNAS LÄN</t>
        </is>
      </c>
      <c r="G736" t="inlineStr">
        <is>
          <t>LEKSAND</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19371-2024</t>
        </is>
      </c>
      <c r="B737" t="inlineStr">
        <is>
          <t>avverkningsanmälan</t>
        </is>
      </c>
      <c r="C737" t="inlineStr">
        <is>
          <t>Föryngringsavverkning</t>
        </is>
      </c>
      <c r="D737" s="1" t="n">
        <v>45429</v>
      </c>
      <c r="E737" s="1" t="n">
        <v>46221</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7827-2024</t>
        </is>
      </c>
      <c r="B738" t="inlineStr">
        <is>
          <t>avverkningsanmälan</t>
        </is>
      </c>
      <c r="C738" t="inlineStr">
        <is>
          <t>Föryngringsavverkning</t>
        </is>
      </c>
      <c r="D738" s="1" t="n">
        <v>45349</v>
      </c>
      <c r="E738" s="1" t="n">
        <v>46221</v>
      </c>
      <c r="F738" t="inlineStr">
        <is>
          <t>DALARNAS LÄN</t>
        </is>
      </c>
      <c r="G738" t="inlineStr">
        <is>
          <t>LEKSAND</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49405-2024</t>
        </is>
      </c>
      <c r="B739" t="inlineStr">
        <is>
          <t>avverkningsanmälan</t>
        </is>
      </c>
      <c r="C739" t="inlineStr">
        <is>
          <t>Föryngringsavverkning</t>
        </is>
      </c>
      <c r="D739" s="1" t="n">
        <v>45595</v>
      </c>
      <c r="E739" s="1" t="n">
        <v>46221</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20683-2025</t>
        </is>
      </c>
      <c r="B740" t="inlineStr">
        <is>
          <t>avverkningsanmälan</t>
        </is>
      </c>
      <c r="C740" t="inlineStr">
        <is>
          <t>Föryngringsavverkning</t>
        </is>
      </c>
      <c r="D740" s="1" t="n">
        <v>45776</v>
      </c>
      <c r="E740" s="1" t="n">
        <v>46221</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s="2" t="inlineStr"/>
    </row>
    <row r="741" ht="15" customHeight="1">
      <c r="A741" t="inlineStr">
        <is>
          <t>A 21230-2025</t>
        </is>
      </c>
      <c r="B741" t="inlineStr">
        <is>
          <t>avverkningsanmälan</t>
        </is>
      </c>
      <c r="C741" t="inlineStr">
        <is>
          <t>Föryngringsavverkning</t>
        </is>
      </c>
      <c r="D741" s="1" t="n">
        <v>45779</v>
      </c>
      <c r="E741" s="1" t="n">
        <v>46221</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s="2" t="inlineStr"/>
    </row>
    <row r="742" ht="15" customHeight="1">
      <c r="A742" t="inlineStr">
        <is>
          <t>A 11872-2024</t>
        </is>
      </c>
      <c r="B742" t="inlineStr">
        <is>
          <t>avverkningsanmälan</t>
        </is>
      </c>
      <c r="C742" t="inlineStr">
        <is>
          <t>Föryngringsavverkning</t>
        </is>
      </c>
      <c r="D742" s="1" t="n">
        <v>45376</v>
      </c>
      <c r="E742" s="1" t="n">
        <v>46221</v>
      </c>
      <c r="F742" t="inlineStr">
        <is>
          <t>DALARNAS LÄN</t>
        </is>
      </c>
      <c r="G742" t="inlineStr">
        <is>
          <t>LEKSAND</t>
        </is>
      </c>
      <c r="I742" t="n">
        <v>3.1</v>
      </c>
      <c r="J742" t="n">
        <v>0</v>
      </c>
      <c r="K742" t="n">
        <v>0</v>
      </c>
      <c r="L742" t="n">
        <v>0</v>
      </c>
      <c r="M742" t="n">
        <v>0</v>
      </c>
      <c r="N742" t="n">
        <v>0</v>
      </c>
      <c r="O742" t="n">
        <v>0</v>
      </c>
      <c r="P742" t="n">
        <v>0</v>
      </c>
      <c r="Q742" t="n">
        <v>0</v>
      </c>
      <c r="R742" t="n">
        <v>0</v>
      </c>
      <c r="S742" t="n">
        <v>0</v>
      </c>
      <c r="T742" t="n">
        <v>0</v>
      </c>
      <c r="U742" s="2" t="inlineStr"/>
    </row>
    <row r="743" ht="15" customHeight="1">
      <c r="A743" t="inlineStr">
        <is>
          <t>A 40627-2023</t>
        </is>
      </c>
      <c r="B743" t="inlineStr">
        <is>
          <t>avverkningsanmälan</t>
        </is>
      </c>
      <c r="C743" t="inlineStr">
        <is>
          <t>Föryngringsavverkning</t>
        </is>
      </c>
      <c r="D743" s="1" t="n">
        <v>45170</v>
      </c>
      <c r="E743" s="1" t="n">
        <v>46221</v>
      </c>
      <c r="F743" t="inlineStr">
        <is>
          <t>DALARNAS LÄN</t>
        </is>
      </c>
      <c r="G743" t="inlineStr">
        <is>
          <t>LEKSAND</t>
        </is>
      </c>
      <c r="H743" t="inlineStr">
        <is>
          <t>Bergvik skog väst AB</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14967-2023</t>
        </is>
      </c>
      <c r="B744" t="inlineStr">
        <is>
          <t>avverkningsanmälan</t>
        </is>
      </c>
      <c r="C744" t="inlineStr">
        <is>
          <t>Avverkning för annat ändamål</t>
        </is>
      </c>
      <c r="D744" s="1" t="n">
        <v>45015</v>
      </c>
      <c r="E744" s="1" t="n">
        <v>46221</v>
      </c>
      <c r="F744" t="inlineStr">
        <is>
          <t>DALARNAS LÄN</t>
        </is>
      </c>
      <c r="G744" t="inlineStr">
        <is>
          <t>LEKSAND</t>
        </is>
      </c>
      <c r="I744" t="n">
        <v>1.4</v>
      </c>
      <c r="J744" t="n">
        <v>0</v>
      </c>
      <c r="K744" t="n">
        <v>0</v>
      </c>
      <c r="L744" t="n">
        <v>0</v>
      </c>
      <c r="M744" t="n">
        <v>0</v>
      </c>
      <c r="N744" t="n">
        <v>0</v>
      </c>
      <c r="O744" t="n">
        <v>0</v>
      </c>
      <c r="P744" t="n">
        <v>0</v>
      </c>
      <c r="Q744" t="n">
        <v>0</v>
      </c>
      <c r="R744" t="n">
        <v>0</v>
      </c>
      <c r="S744" t="n">
        <v>0</v>
      </c>
      <c r="T744" t="n">
        <v>0</v>
      </c>
      <c r="U744" s="2" t="inlineStr"/>
    </row>
    <row r="745" ht="15" customHeight="1">
      <c r="A745" t="inlineStr">
        <is>
          <t>A 62307-2023</t>
        </is>
      </c>
      <c r="B745" t="inlineStr">
        <is>
          <t>avverkningsanmälan</t>
        </is>
      </c>
      <c r="C745" t="inlineStr">
        <is>
          <t>Föryngringsavverkning</t>
        </is>
      </c>
      <c r="D745" s="1" t="n">
        <v>45266</v>
      </c>
      <c r="E745" s="1" t="n">
        <v>46221</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61554-2024</t>
        </is>
      </c>
      <c r="B746" t="inlineStr">
        <is>
          <t>avverkningsanmälan</t>
        </is>
      </c>
      <c r="C746" t="inlineStr">
        <is>
          <t>Föryngringsavverkning</t>
        </is>
      </c>
      <c r="D746" s="1" t="n">
        <v>45646</v>
      </c>
      <c r="E746" s="1" t="n">
        <v>46221</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s="2" t="inlineStr"/>
    </row>
    <row r="747" ht="15" customHeight="1">
      <c r="A747" t="inlineStr">
        <is>
          <t>A 34244-2024</t>
        </is>
      </c>
      <c r="B747" t="inlineStr">
        <is>
          <t>avverkningsanmälan</t>
        </is>
      </c>
      <c r="C747" t="inlineStr">
        <is>
          <t>Avverkning för annat ändamål</t>
        </is>
      </c>
      <c r="D747" s="1" t="n">
        <v>45524</v>
      </c>
      <c r="E747" s="1" t="n">
        <v>46221</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7861-2024</t>
        </is>
      </c>
      <c r="B748" t="inlineStr">
        <is>
          <t>avverkningsanmälan</t>
        </is>
      </c>
      <c r="C748" t="inlineStr">
        <is>
          <t>Föryngringsavverkning</t>
        </is>
      </c>
      <c r="D748" s="1" t="n">
        <v>45350</v>
      </c>
      <c r="E748" s="1" t="n">
        <v>46221</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s="2" t="inlineStr"/>
    </row>
    <row r="749" ht="15" customHeight="1">
      <c r="A749" t="inlineStr">
        <is>
          <t>A 22536-2025</t>
        </is>
      </c>
      <c r="B749" t="inlineStr">
        <is>
          <t>avverkningsanmälan</t>
        </is>
      </c>
      <c r="C749" t="inlineStr">
        <is>
          <t>Föryngringsavverkning</t>
        </is>
      </c>
      <c r="D749" s="1" t="n">
        <v>45787</v>
      </c>
      <c r="E749" s="1" t="n">
        <v>46221</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22876-2025</t>
        </is>
      </c>
      <c r="B750" t="inlineStr">
        <is>
          <t>avverkningsanmälan</t>
        </is>
      </c>
      <c r="C750" t="inlineStr">
        <is>
          <t>Föryngringsavverkning</t>
        </is>
      </c>
      <c r="D750" s="1" t="n">
        <v>45790</v>
      </c>
      <c r="E750" s="1" t="n">
        <v>46221</v>
      </c>
      <c r="F750" t="inlineStr">
        <is>
          <t>DALARNAS LÄN</t>
        </is>
      </c>
      <c r="G750" t="inlineStr">
        <is>
          <t>LEKSAND</t>
        </is>
      </c>
      <c r="I750" t="n">
        <v>5.9</v>
      </c>
      <c r="J750" t="n">
        <v>0</v>
      </c>
      <c r="K750" t="n">
        <v>0</v>
      </c>
      <c r="L750" t="n">
        <v>0</v>
      </c>
      <c r="M750" t="n">
        <v>0</v>
      </c>
      <c r="N750" t="n">
        <v>0</v>
      </c>
      <c r="O750" t="n">
        <v>0</v>
      </c>
      <c r="P750" t="n">
        <v>0</v>
      </c>
      <c r="Q750" t="n">
        <v>0</v>
      </c>
      <c r="R750" t="n">
        <v>0</v>
      </c>
      <c r="S750" t="n">
        <v>0</v>
      </c>
      <c r="T750" t="n">
        <v>0</v>
      </c>
      <c r="U750" s="2" t="inlineStr"/>
    </row>
    <row r="751" ht="15" customHeight="1">
      <c r="A751" t="inlineStr">
        <is>
          <t>A 23076-2025</t>
        </is>
      </c>
      <c r="B751" t="inlineStr">
        <is>
          <t>avverkningsanmälan</t>
        </is>
      </c>
      <c r="C751" t="inlineStr">
        <is>
          <t>Föryngringsavverkning</t>
        </is>
      </c>
      <c r="D751" s="1" t="n">
        <v>45790</v>
      </c>
      <c r="E751" s="1" t="n">
        <v>46221</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44822-2024</t>
        </is>
      </c>
      <c r="B752" t="inlineStr">
        <is>
          <t>avverkningsanmälan</t>
        </is>
      </c>
      <c r="C752" t="inlineStr">
        <is>
          <t>Föryngringsavverkning</t>
        </is>
      </c>
      <c r="D752" s="1" t="n">
        <v>45574</v>
      </c>
      <c r="E752" s="1" t="n">
        <v>46221</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49499-2024</t>
        </is>
      </c>
      <c r="B753" t="inlineStr">
        <is>
          <t>avverkningsanmälan</t>
        </is>
      </c>
      <c r="C753" t="inlineStr">
        <is>
          <t>Föryngringsavverkning</t>
        </is>
      </c>
      <c r="D753" s="1" t="n">
        <v>45596</v>
      </c>
      <c r="E753" s="1" t="n">
        <v>46221</v>
      </c>
      <c r="F753" t="inlineStr">
        <is>
          <t>DALARNAS LÄN</t>
        </is>
      </c>
      <c r="G753" t="inlineStr">
        <is>
          <t>LEKSAND</t>
        </is>
      </c>
      <c r="I753" t="n">
        <v>1</v>
      </c>
      <c r="J753" t="n">
        <v>0</v>
      </c>
      <c r="K753" t="n">
        <v>0</v>
      </c>
      <c r="L753" t="n">
        <v>0</v>
      </c>
      <c r="M753" t="n">
        <v>0</v>
      </c>
      <c r="N753" t="n">
        <v>0</v>
      </c>
      <c r="O753" t="n">
        <v>0</v>
      </c>
      <c r="P753" t="n">
        <v>0</v>
      </c>
      <c r="Q753" t="n">
        <v>0</v>
      </c>
      <c r="R753" t="n">
        <v>0</v>
      </c>
      <c r="S753" t="n">
        <v>0</v>
      </c>
      <c r="T753" t="n">
        <v>0</v>
      </c>
      <c r="U753" s="2" t="inlineStr"/>
    </row>
    <row r="754" ht="15" customHeight="1">
      <c r="A754" t="inlineStr">
        <is>
          <t>A 7450-2023</t>
        </is>
      </c>
      <c r="B754" t="inlineStr">
        <is>
          <t>avverkningsanmälan</t>
        </is>
      </c>
      <c r="C754" t="inlineStr">
        <is>
          <t>Avverkning för annat ändamål</t>
        </is>
      </c>
      <c r="D754" s="1" t="n">
        <v>44971</v>
      </c>
      <c r="E754" s="1" t="n">
        <v>46221</v>
      </c>
      <c r="F754" t="inlineStr">
        <is>
          <t>DALARNAS LÄN</t>
        </is>
      </c>
      <c r="G754" t="inlineStr">
        <is>
          <t>LEKSAND</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24188-2025</t>
        </is>
      </c>
      <c r="B755" t="inlineStr">
        <is>
          <t>avverkningsanmälan</t>
        </is>
      </c>
      <c r="C755" t="inlineStr">
        <is>
          <t>Föryngringsavverkning</t>
        </is>
      </c>
      <c r="D755" s="1" t="n">
        <v>45796</v>
      </c>
      <c r="E755" s="1" t="n">
        <v>46221</v>
      </c>
      <c r="F755" t="inlineStr">
        <is>
          <t>DALARNAS LÄN</t>
        </is>
      </c>
      <c r="G755" t="inlineStr">
        <is>
          <t>LEKSAND</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56211-2023</t>
        </is>
      </c>
      <c r="B756" t="inlineStr">
        <is>
          <t>avverkningsanmälan</t>
        </is>
      </c>
      <c r="C756" t="inlineStr">
        <is>
          <t>Avverkning för annat ändamål</t>
        </is>
      </c>
      <c r="D756" s="1" t="n">
        <v>45240</v>
      </c>
      <c r="E756" s="1" t="n">
        <v>46221</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s="2" t="inlineStr"/>
    </row>
    <row r="757" ht="15" customHeight="1">
      <c r="A757" t="inlineStr">
        <is>
          <t>A 40868-2024</t>
        </is>
      </c>
      <c r="B757" t="inlineStr">
        <is>
          <t>avverkningsanmälan</t>
        </is>
      </c>
      <c r="C757" t="inlineStr">
        <is>
          <t>Föryngringsavverkning</t>
        </is>
      </c>
      <c r="D757" s="1" t="n">
        <v>45558</v>
      </c>
      <c r="E757" s="1" t="n">
        <v>46221</v>
      </c>
      <c r="F757" t="inlineStr">
        <is>
          <t>DALARNAS LÄN</t>
        </is>
      </c>
      <c r="G757" t="inlineStr">
        <is>
          <t>LEKSAND</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31255-2023</t>
        </is>
      </c>
      <c r="B758" t="inlineStr">
        <is>
          <t>avverkningsanmälan</t>
        </is>
      </c>
      <c r="C758" t="inlineStr">
        <is>
          <t>Föryngringsavverkning</t>
        </is>
      </c>
      <c r="D758" s="1" t="n">
        <v>45114</v>
      </c>
      <c r="E758" s="1" t="n">
        <v>46221</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S 282-2022</t>
        </is>
      </c>
      <c r="B759" t="inlineStr">
        <is>
          <t>samrådsanmälan</t>
        </is>
      </c>
      <c r="C759" t="inlineStr">
        <is>
          <t>Åtgärd i nyckelbiotop</t>
        </is>
      </c>
      <c r="D759" s="1" t="n">
        <v>44578</v>
      </c>
      <c r="E759" s="1" t="n">
        <v>46221</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s="2" t="inlineStr"/>
    </row>
    <row r="760" ht="15" customHeight="1">
      <c r="A760" t="inlineStr">
        <is>
          <t>S 1738-2022</t>
        </is>
      </c>
      <c r="B760" t="inlineStr">
        <is>
          <t>samrådsanmälan</t>
        </is>
      </c>
      <c r="C760" t="inlineStr">
        <is>
          <t>Åtgärd i nyckelbiotop</t>
        </is>
      </c>
      <c r="D760" s="1" t="n">
        <v>44652</v>
      </c>
      <c r="E760" s="1" t="n">
        <v>46221</v>
      </c>
      <c r="F760" t="inlineStr">
        <is>
          <t>DALARNAS LÄN</t>
        </is>
      </c>
      <c r="G760" t="inlineStr">
        <is>
          <t>LEKSAND</t>
        </is>
      </c>
      <c r="I760" t="n">
        <v>2.3</v>
      </c>
      <c r="J760" t="n">
        <v>0</v>
      </c>
      <c r="K760" t="n">
        <v>0</v>
      </c>
      <c r="L760" t="n">
        <v>0</v>
      </c>
      <c r="M760" t="n">
        <v>0</v>
      </c>
      <c r="N760" t="n">
        <v>0</v>
      </c>
      <c r="O760" t="n">
        <v>0</v>
      </c>
      <c r="P760" t="n">
        <v>0</v>
      </c>
      <c r="Q760" t="n">
        <v>0</v>
      </c>
      <c r="R760" t="n">
        <v>0</v>
      </c>
      <c r="S760" t="n">
        <v>0</v>
      </c>
      <c r="T760" t="n">
        <v>0</v>
      </c>
      <c r="U760" s="2" t="inlineStr"/>
    </row>
    <row r="761" ht="15" customHeight="1">
      <c r="A761" t="inlineStr">
        <is>
          <t>S 1781-2023</t>
        </is>
      </c>
      <c r="B761" t="inlineStr">
        <is>
          <t>samrådsanmälan</t>
        </is>
      </c>
      <c r="C761" t="inlineStr">
        <is>
          <t>Annan skogsbruksåtgärd</t>
        </is>
      </c>
      <c r="D761" s="1" t="n">
        <v>45074</v>
      </c>
      <c r="E761" s="1" t="n">
        <v>46221</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s="2" t="inlineStr"/>
    </row>
    <row r="762" ht="15" customHeight="1">
      <c r="A762" t="inlineStr">
        <is>
          <t>S 4245-2023</t>
        </is>
      </c>
      <c r="B762" t="inlineStr">
        <is>
          <t>samrådsanmälan</t>
        </is>
      </c>
      <c r="C762" t="inlineStr">
        <is>
          <t>Annan skogsbruksåtgärd</t>
        </is>
      </c>
      <c r="D762" s="1" t="n">
        <v>45257</v>
      </c>
      <c r="E762" s="1" t="n">
        <v>46221</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S 2153-2023</t>
        </is>
      </c>
      <c r="B763" t="inlineStr">
        <is>
          <t>samrådsanmälan</t>
        </is>
      </c>
      <c r="C763" t="inlineStr">
        <is>
          <t>Annan skogsbruksåtgärd</t>
        </is>
      </c>
      <c r="D763" s="1" t="n">
        <v>45097</v>
      </c>
      <c r="E763" s="1" t="n">
        <v>46221</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S 583-2024</t>
        </is>
      </c>
      <c r="B764" t="inlineStr">
        <is>
          <t>samrådsanmälan</t>
        </is>
      </c>
      <c r="C764" t="inlineStr">
        <is>
          <t>Skogsgödsling</t>
        </is>
      </c>
      <c r="D764" s="1" t="n">
        <v>45351</v>
      </c>
      <c r="E764" s="1" t="n">
        <v>46221</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s="2" t="inlineStr"/>
    </row>
    <row r="765" ht="15" customHeight="1">
      <c r="A765" t="inlineStr">
        <is>
          <t>S 4908-2022</t>
        </is>
      </c>
      <c r="B765" t="inlineStr">
        <is>
          <t>samrådsanmälan</t>
        </is>
      </c>
      <c r="C765" t="inlineStr">
        <is>
          <t>Annan skogsbruksåtgärd</t>
        </is>
      </c>
      <c r="D765" s="1" t="n">
        <v>44809</v>
      </c>
      <c r="E765" s="1" t="n">
        <v>46221</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S 2154-2023</t>
        </is>
      </c>
      <c r="B766" t="inlineStr">
        <is>
          <t>samrådsanmälan</t>
        </is>
      </c>
      <c r="C766" t="inlineStr">
        <is>
          <t>Annan skogsbruksåtgärd</t>
        </is>
      </c>
      <c r="D766" s="1" t="n">
        <v>45097</v>
      </c>
      <c r="E766" s="1" t="n">
        <v>46221</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S 2539-2023</t>
        </is>
      </c>
      <c r="B767" t="inlineStr">
        <is>
          <t>samrådsanmälan</t>
        </is>
      </c>
      <c r="C767" t="inlineStr">
        <is>
          <t>Annan skogsbruksåtgärd</t>
        </is>
      </c>
      <c r="D767" s="1" t="n">
        <v>45133</v>
      </c>
      <c r="E767" s="1" t="n">
        <v>46221</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s="2" t="inlineStr"/>
    </row>
    <row r="768" ht="15" customHeight="1">
      <c r="A768" t="inlineStr">
        <is>
          <t>S 1982-2024</t>
        </is>
      </c>
      <c r="B768" t="inlineStr">
        <is>
          <t>samrådsanmälan</t>
        </is>
      </c>
      <c r="C768" t="inlineStr">
        <is>
          <t>Annan skogsbruksåtgärd</t>
        </is>
      </c>
      <c r="D768" s="1" t="n">
        <v>45446</v>
      </c>
      <c r="E768" s="1" t="n">
        <v>46221</v>
      </c>
      <c r="F768" t="inlineStr">
        <is>
          <t>DALARNAS LÄN</t>
        </is>
      </c>
      <c r="G768" t="inlineStr">
        <is>
          <t>LEKSAND</t>
        </is>
      </c>
      <c r="H768" t="inlineStr">
        <is>
          <t>Bergvik skog väst AB</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S 461-2025</t>
        </is>
      </c>
      <c r="B769" t="inlineStr">
        <is>
          <t>samrådsanmälan</t>
        </is>
      </c>
      <c r="C769" t="inlineStr">
        <is>
          <t>Skogsgödsling</t>
        </is>
      </c>
      <c r="D769" s="1" t="n">
        <v>45701</v>
      </c>
      <c r="E769" s="1" t="n">
        <v>46221</v>
      </c>
      <c r="F769" t="inlineStr">
        <is>
          <t>DALARNAS LÄN</t>
        </is>
      </c>
      <c r="G769" t="inlineStr">
        <is>
          <t>LEKSAND</t>
        </is>
      </c>
      <c r="H769" t="inlineStr">
        <is>
          <t>Bergvik skog väst AB</t>
        </is>
      </c>
      <c r="I769" t="n">
        <v>121.7</v>
      </c>
      <c r="J769" t="n">
        <v>0</v>
      </c>
      <c r="K769" t="n">
        <v>0</v>
      </c>
      <c r="L769" t="n">
        <v>0</v>
      </c>
      <c r="M769" t="n">
        <v>0</v>
      </c>
      <c r="N769" t="n">
        <v>0</v>
      </c>
      <c r="O769" t="n">
        <v>0</v>
      </c>
      <c r="P769" t="n">
        <v>0</v>
      </c>
      <c r="Q769" t="n">
        <v>0</v>
      </c>
      <c r="R769" t="n">
        <v>0</v>
      </c>
      <c r="S769" t="n">
        <v>0</v>
      </c>
      <c r="T769" t="n">
        <v>0</v>
      </c>
      <c r="U769" s="2" t="inlineStr"/>
    </row>
    <row r="770" ht="15" customHeight="1">
      <c r="A770" t="inlineStr">
        <is>
          <t>S 462-2025</t>
        </is>
      </c>
      <c r="B770" t="inlineStr">
        <is>
          <t>samrådsanmälan</t>
        </is>
      </c>
      <c r="C770" t="inlineStr">
        <is>
          <t>Skogsgödsling</t>
        </is>
      </c>
      <c r="D770" s="1" t="n">
        <v>45701</v>
      </c>
      <c r="E770" s="1" t="n">
        <v>46221</v>
      </c>
      <c r="F770" t="inlineStr">
        <is>
          <t>DALARNAS LÄN</t>
        </is>
      </c>
      <c r="G770" t="inlineStr">
        <is>
          <t>LEKSAND</t>
        </is>
      </c>
      <c r="H770" t="inlineStr">
        <is>
          <t>Bergvik skog väst AB</t>
        </is>
      </c>
      <c r="I770" t="n">
        <v>96.09999999999999</v>
      </c>
      <c r="J770" t="n">
        <v>0</v>
      </c>
      <c r="K770" t="n">
        <v>0</v>
      </c>
      <c r="L770" t="n">
        <v>0</v>
      </c>
      <c r="M770" t="n">
        <v>0</v>
      </c>
      <c r="N770" t="n">
        <v>0</v>
      </c>
      <c r="O770" t="n">
        <v>0</v>
      </c>
      <c r="P770" t="n">
        <v>0</v>
      </c>
      <c r="Q770" t="n">
        <v>0</v>
      </c>
      <c r="R770" t="n">
        <v>0</v>
      </c>
      <c r="S770" t="n">
        <v>0</v>
      </c>
      <c r="T770" t="n">
        <v>0</v>
      </c>
      <c r="U770" s="2" t="inlineStr"/>
    </row>
    <row r="771" ht="15" customHeight="1">
      <c r="A771" t="inlineStr">
        <is>
          <t>S 543-2025</t>
        </is>
      </c>
      <c r="B771" t="inlineStr">
        <is>
          <t>samrådsanmälan</t>
        </is>
      </c>
      <c r="C771" t="inlineStr">
        <is>
          <t>Skogsgödsling</t>
        </is>
      </c>
      <c r="D771" s="1" t="n">
        <v>45708</v>
      </c>
      <c r="E771" s="1" t="n">
        <v>46221</v>
      </c>
      <c r="F771" t="inlineStr">
        <is>
          <t>DALARNAS LÄN</t>
        </is>
      </c>
      <c r="G771" t="inlineStr">
        <is>
          <t>LEKSAND</t>
        </is>
      </c>
      <c r="H771" t="inlineStr">
        <is>
          <t>Bergvik skog väst AB</t>
        </is>
      </c>
      <c r="I771" t="n">
        <v>44.9</v>
      </c>
      <c r="J771" t="n">
        <v>0</v>
      </c>
      <c r="K771" t="n">
        <v>0</v>
      </c>
      <c r="L771" t="n">
        <v>0</v>
      </c>
      <c r="M771" t="n">
        <v>0</v>
      </c>
      <c r="N771" t="n">
        <v>0</v>
      </c>
      <c r="O771" t="n">
        <v>0</v>
      </c>
      <c r="P771" t="n">
        <v>0</v>
      </c>
      <c r="Q771" t="n">
        <v>0</v>
      </c>
      <c r="R771" t="n">
        <v>0</v>
      </c>
      <c r="S771" t="n">
        <v>0</v>
      </c>
      <c r="T771" t="n">
        <v>0</v>
      </c>
      <c r="U771" s="2" t="inlineStr"/>
    </row>
    <row r="772" ht="15" customHeight="1">
      <c r="A772" t="inlineStr">
        <is>
          <t>S 767-2025</t>
        </is>
      </c>
      <c r="B772" t="inlineStr">
        <is>
          <t>samrådsanmälan</t>
        </is>
      </c>
      <c r="C772" t="inlineStr">
        <is>
          <t>Skogsgödsling</t>
        </is>
      </c>
      <c r="D772" s="1" t="n">
        <v>45727</v>
      </c>
      <c r="E772" s="1" t="n">
        <v>46221</v>
      </c>
      <c r="F772" t="inlineStr">
        <is>
          <t>DALARNAS LÄN</t>
        </is>
      </c>
      <c r="G772" t="inlineStr">
        <is>
          <t>LEKSAND</t>
        </is>
      </c>
      <c r="H772" t="inlineStr">
        <is>
          <t>Bergvik skog väst AB</t>
        </is>
      </c>
      <c r="I772" t="n">
        <v>313</v>
      </c>
      <c r="J772" t="n">
        <v>0</v>
      </c>
      <c r="K772" t="n">
        <v>0</v>
      </c>
      <c r="L772" t="n">
        <v>0</v>
      </c>
      <c r="M772" t="n">
        <v>0</v>
      </c>
      <c r="N772" t="n">
        <v>0</v>
      </c>
      <c r="O772" t="n">
        <v>0</v>
      </c>
      <c r="P772" t="n">
        <v>0</v>
      </c>
      <c r="Q772" t="n">
        <v>0</v>
      </c>
      <c r="R772" t="n">
        <v>0</v>
      </c>
      <c r="S772" t="n">
        <v>0</v>
      </c>
      <c r="T772" t="n">
        <v>0</v>
      </c>
      <c r="U772" s="2" t="inlineStr"/>
    </row>
    <row r="773" ht="15" customHeight="1">
      <c r="A773" t="inlineStr">
        <is>
          <t>S 1609-2025</t>
        </is>
      </c>
      <c r="B773" t="inlineStr">
        <is>
          <t>samrådsanmälan</t>
        </is>
      </c>
      <c r="C773" t="inlineStr">
        <is>
          <t>Annan skogsbruksåtgärd</t>
        </is>
      </c>
      <c r="D773" s="1" t="n">
        <v>45799</v>
      </c>
      <c r="E773" s="1" t="n">
        <v>46221</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s="2" t="inlineStr"/>
    </row>
    <row r="774" ht="15" customHeight="1">
      <c r="A774" t="inlineStr">
        <is>
          <t>S 1821-2025</t>
        </is>
      </c>
      <c r="B774" t="inlineStr">
        <is>
          <t>samrådsanmälan</t>
        </is>
      </c>
      <c r="C774" t="inlineStr">
        <is>
          <t>Annan skogsbruksåtgärd</t>
        </is>
      </c>
      <c r="D774" s="1" t="n">
        <v>45819</v>
      </c>
      <c r="E774" s="1" t="n">
        <v>46221</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s="2" t="inlineStr"/>
    </row>
    <row r="775" ht="15" customHeight="1">
      <c r="A775" t="inlineStr">
        <is>
          <t>S 1872-2025</t>
        </is>
      </c>
      <c r="B775" t="inlineStr">
        <is>
          <t>samrådsanmälan</t>
        </is>
      </c>
      <c r="C775" t="inlineStr">
        <is>
          <t>Annan skogsbruksåtgärd</t>
        </is>
      </c>
      <c r="D775" s="1" t="n">
        <v>45824</v>
      </c>
      <c r="E775" s="1" t="n">
        <v>46221</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s="2" t="inlineStr"/>
    </row>
    <row r="776" ht="15" customHeight="1">
      <c r="A776" t="inlineStr">
        <is>
          <t>S 2030-2025</t>
        </is>
      </c>
      <c r="B776" t="inlineStr">
        <is>
          <t>samrådsanmälan</t>
        </is>
      </c>
      <c r="C776" t="inlineStr">
        <is>
          <t>Annan skogsbruksåtgärd</t>
        </is>
      </c>
      <c r="D776" s="1" t="n">
        <v>45835</v>
      </c>
      <c r="E776" s="1" t="n">
        <v>46221</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s="2" t="inlineStr"/>
    </row>
    <row r="777" ht="15" customHeight="1">
      <c r="A777" t="inlineStr">
        <is>
          <t>S 2498-2025</t>
        </is>
      </c>
      <c r="B777" t="inlineStr">
        <is>
          <t>samrådsanmälan</t>
        </is>
      </c>
      <c r="C777" t="inlineStr">
        <is>
          <t>Annan skogsbruksåtgärd</t>
        </is>
      </c>
      <c r="D777" s="1" t="n">
        <v>45904</v>
      </c>
      <c r="E777" s="1" t="n">
        <v>46221</v>
      </c>
      <c r="F777" t="inlineStr">
        <is>
          <t>DALARNAS LÄN</t>
        </is>
      </c>
      <c r="G777" t="inlineStr">
        <is>
          <t>LEKSAND</t>
        </is>
      </c>
      <c r="I777" t="n">
        <v>8.699999999999999</v>
      </c>
      <c r="J777" t="n">
        <v>0</v>
      </c>
      <c r="K777" t="n">
        <v>0</v>
      </c>
      <c r="L777" t="n">
        <v>0</v>
      </c>
      <c r="M777" t="n">
        <v>0</v>
      </c>
      <c r="N777" t="n">
        <v>0</v>
      </c>
      <c r="O777" t="n">
        <v>0</v>
      </c>
      <c r="P777" t="n">
        <v>0</v>
      </c>
      <c r="Q777" t="n">
        <v>0</v>
      </c>
      <c r="R777" t="n">
        <v>0</v>
      </c>
      <c r="S777" t="n">
        <v>0</v>
      </c>
      <c r="T777" t="n">
        <v>0</v>
      </c>
      <c r="U777" s="2" t="inlineStr"/>
    </row>
    <row r="778" ht="15" customHeight="1">
      <c r="A778" t="inlineStr">
        <is>
          <t>S 2854-2025</t>
        </is>
      </c>
      <c r="B778" t="inlineStr">
        <is>
          <t>samrådsanmälan</t>
        </is>
      </c>
      <c r="C778" t="inlineStr">
        <is>
          <t>Annan skogsbruksåtgärd</t>
        </is>
      </c>
      <c r="D778" s="1" t="n">
        <v>45943</v>
      </c>
      <c r="E778" s="1" t="n">
        <v>46221</v>
      </c>
      <c r="F778" t="inlineStr">
        <is>
          <t>DALARNAS LÄN</t>
        </is>
      </c>
      <c r="G778" t="inlineStr">
        <is>
          <t>LEKSAND</t>
        </is>
      </c>
      <c r="I778" t="n">
        <v>7.2</v>
      </c>
      <c r="J778" t="n">
        <v>0</v>
      </c>
      <c r="K778" t="n">
        <v>0</v>
      </c>
      <c r="L778" t="n">
        <v>0</v>
      </c>
      <c r="M778" t="n">
        <v>0</v>
      </c>
      <c r="N778" t="n">
        <v>0</v>
      </c>
      <c r="O778" t="n">
        <v>0</v>
      </c>
      <c r="P778" t="n">
        <v>0</v>
      </c>
      <c r="Q778" t="n">
        <v>0</v>
      </c>
      <c r="R778" t="n">
        <v>0</v>
      </c>
      <c r="S778" t="n">
        <v>0</v>
      </c>
      <c r="T778" t="n">
        <v>0</v>
      </c>
      <c r="U778" s="2" t="inlineStr"/>
    </row>
    <row r="779" ht="15" customHeight="1">
      <c r="A779" t="inlineStr">
        <is>
          <t>S 3069-2025</t>
        </is>
      </c>
      <c r="B779" t="inlineStr">
        <is>
          <t>samrådsanmälan</t>
        </is>
      </c>
      <c r="C779" t="inlineStr">
        <is>
          <t>Annan skogsbruksåtgärd</t>
        </is>
      </c>
      <c r="D779" s="1" t="n">
        <v>45964</v>
      </c>
      <c r="E779" s="1" t="n">
        <v>46221</v>
      </c>
      <c r="F779" t="inlineStr">
        <is>
          <t>DALARNAS LÄN</t>
        </is>
      </c>
      <c r="G779" t="inlineStr">
        <is>
          <t>LEKSAND</t>
        </is>
      </c>
      <c r="H779" t="inlineStr">
        <is>
          <t>Bergvik skog väst AB</t>
        </is>
      </c>
      <c r="I779" t="n">
        <v>74.3</v>
      </c>
      <c r="J779" t="n">
        <v>0</v>
      </c>
      <c r="K779" t="n">
        <v>0</v>
      </c>
      <c r="L779" t="n">
        <v>0</v>
      </c>
      <c r="M779" t="n">
        <v>0</v>
      </c>
      <c r="N779" t="n">
        <v>0</v>
      </c>
      <c r="O779" t="n">
        <v>0</v>
      </c>
      <c r="P779" t="n">
        <v>0</v>
      </c>
      <c r="Q779" t="n">
        <v>0</v>
      </c>
      <c r="R779" t="n">
        <v>0</v>
      </c>
      <c r="S779" t="n">
        <v>0</v>
      </c>
      <c r="T779" t="n">
        <v>0</v>
      </c>
      <c r="U779" s="2" t="inlineStr"/>
    </row>
    <row r="780" ht="15" customHeight="1">
      <c r="A780" t="inlineStr">
        <is>
          <t>S 112-2026</t>
        </is>
      </c>
      <c r="B780" t="inlineStr">
        <is>
          <t>samrådsanmälan</t>
        </is>
      </c>
      <c r="C780" t="inlineStr">
        <is>
          <t>Skogsgödsling</t>
        </is>
      </c>
      <c r="D780" s="1" t="n">
        <v>46038</v>
      </c>
      <c r="E780" s="1" t="n">
        <v>46221</v>
      </c>
      <c r="F780" t="inlineStr">
        <is>
          <t>DALARNAS LÄN</t>
        </is>
      </c>
      <c r="G780" t="inlineStr">
        <is>
          <t>LEKSAND</t>
        </is>
      </c>
      <c r="H780" t="inlineStr">
        <is>
          <t>Bergvik skog väst AB</t>
        </is>
      </c>
      <c r="I780" t="n">
        <v>218.2</v>
      </c>
      <c r="J780" t="n">
        <v>0</v>
      </c>
      <c r="K780" t="n">
        <v>0</v>
      </c>
      <c r="L780" t="n">
        <v>0</v>
      </c>
      <c r="M780" t="n">
        <v>0</v>
      </c>
      <c r="N780" t="n">
        <v>0</v>
      </c>
      <c r="O780" t="n">
        <v>0</v>
      </c>
      <c r="P780" t="n">
        <v>0</v>
      </c>
      <c r="Q780" t="n">
        <v>0</v>
      </c>
      <c r="R780" t="n">
        <v>0</v>
      </c>
      <c r="S780" t="n">
        <v>0</v>
      </c>
      <c r="T780" t="n">
        <v>0</v>
      </c>
      <c r="U780" s="2" t="inlineStr"/>
    </row>
    <row r="781" ht="15" customHeight="1">
      <c r="A781" t="inlineStr">
        <is>
          <t>S 150-2026</t>
        </is>
      </c>
      <c r="B781" t="inlineStr">
        <is>
          <t>samrådsanmälan</t>
        </is>
      </c>
      <c r="C781" t="inlineStr">
        <is>
          <t>Annan skogsbruksåtgärd</t>
        </is>
      </c>
      <c r="D781" s="1" t="n">
        <v>46043</v>
      </c>
      <c r="E781" s="1" t="n">
        <v>46221</v>
      </c>
      <c r="F781" t="inlineStr">
        <is>
          <t>DALARNAS LÄN</t>
        </is>
      </c>
      <c r="G781" t="inlineStr">
        <is>
          <t>LEKSAND</t>
        </is>
      </c>
      <c r="I781" t="n">
        <v>0.1</v>
      </c>
      <c r="J781" t="n">
        <v>0</v>
      </c>
      <c r="K781" t="n">
        <v>0</v>
      </c>
      <c r="L781" t="n">
        <v>0</v>
      </c>
      <c r="M781" t="n">
        <v>0</v>
      </c>
      <c r="N781" t="n">
        <v>0</v>
      </c>
      <c r="O781" t="n">
        <v>0</v>
      </c>
      <c r="P781" t="n">
        <v>0</v>
      </c>
      <c r="Q781" t="n">
        <v>0</v>
      </c>
      <c r="R781" t="n">
        <v>0</v>
      </c>
      <c r="S781" t="n">
        <v>0</v>
      </c>
      <c r="T781" t="n">
        <v>0</v>
      </c>
      <c r="U781" s="2" t="inlineStr"/>
    </row>
    <row r="782" ht="15" customHeight="1">
      <c r="A782" t="inlineStr">
        <is>
          <t>S 266-2026</t>
        </is>
      </c>
      <c r="B782" t="inlineStr">
        <is>
          <t>samrådsanmälan</t>
        </is>
      </c>
      <c r="C782" t="inlineStr">
        <is>
          <t>Annan skogsbruksåtgärd</t>
        </is>
      </c>
      <c r="D782" s="1" t="n">
        <v>46052</v>
      </c>
      <c r="E782" s="1" t="n">
        <v>46221</v>
      </c>
      <c r="F782" t="inlineStr">
        <is>
          <t>DALARNAS LÄN</t>
        </is>
      </c>
      <c r="G782" t="inlineStr">
        <is>
          <t>LEKSAND</t>
        </is>
      </c>
      <c r="H782" t="inlineStr">
        <is>
          <t>Bergvik skog väst AB</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S 1664-2022</t>
        </is>
      </c>
      <c r="B783" t="inlineStr">
        <is>
          <t>samrådsanmälan</t>
        </is>
      </c>
      <c r="C783" t="inlineStr">
        <is>
          <t>Askåterföring</t>
        </is>
      </c>
      <c r="D783" s="1" t="n">
        <v>44649</v>
      </c>
      <c r="E783" s="1" t="n">
        <v>46221</v>
      </c>
      <c r="F783" t="inlineStr">
        <is>
          <t>DALARNAS LÄN</t>
        </is>
      </c>
      <c r="G783" t="inlineStr">
        <is>
          <t>LEKSAND</t>
        </is>
      </c>
      <c r="I783" t="n">
        <v>12.2</v>
      </c>
      <c r="J783" t="n">
        <v>0</v>
      </c>
      <c r="K783" t="n">
        <v>0</v>
      </c>
      <c r="L783" t="n">
        <v>0</v>
      </c>
      <c r="M783" t="n">
        <v>0</v>
      </c>
      <c r="N783" t="n">
        <v>0</v>
      </c>
      <c r="O783" t="n">
        <v>0</v>
      </c>
      <c r="P783" t="n">
        <v>0</v>
      </c>
      <c r="Q783" t="n">
        <v>0</v>
      </c>
      <c r="R783" t="n">
        <v>0</v>
      </c>
      <c r="S783" t="n">
        <v>0</v>
      </c>
      <c r="T783" t="n">
        <v>0</v>
      </c>
      <c r="U783" s="2" t="inlineStr"/>
    </row>
    <row r="784" ht="15" customHeight="1">
      <c r="A784" t="inlineStr">
        <is>
          <t>S 389-2026</t>
        </is>
      </c>
      <c r="B784" t="inlineStr">
        <is>
          <t>samrådsanmälan</t>
        </is>
      </c>
      <c r="C784" t="inlineStr">
        <is>
          <t>Annan skogsbruksåtgärd</t>
        </is>
      </c>
      <c r="D784" s="1" t="n">
        <v>46066</v>
      </c>
      <c r="E784" s="1" t="n">
        <v>46221</v>
      </c>
      <c r="F784" t="inlineStr">
        <is>
          <t>DALARNAS LÄN</t>
        </is>
      </c>
      <c r="G784" t="inlineStr">
        <is>
          <t>LEKSAND</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S 491-2026</t>
        </is>
      </c>
      <c r="B785" t="inlineStr">
        <is>
          <t>samrådsanmälan</t>
        </is>
      </c>
      <c r="C785" t="inlineStr">
        <is>
          <t>Annan skogsbruksåtgärd</t>
        </is>
      </c>
      <c r="D785" s="1" t="n">
        <v>46076</v>
      </c>
      <c r="E785" s="1" t="n">
        <v>46221</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s="2" t="inlineStr"/>
    </row>
    <row r="786" ht="15" customHeight="1">
      <c r="A786" t="inlineStr">
        <is>
          <t>S 1119-2026</t>
        </is>
      </c>
      <c r="B786" t="inlineStr">
        <is>
          <t>samrådsanmälan</t>
        </is>
      </c>
      <c r="C786" t="inlineStr">
        <is>
          <t>Annan skogsbruksåtgärd</t>
        </is>
      </c>
      <c r="D786" s="1" t="n">
        <v>46133</v>
      </c>
      <c r="E786" s="1" t="n">
        <v>46221</v>
      </c>
      <c r="F786" t="inlineStr">
        <is>
          <t>DALARNAS LÄN</t>
        </is>
      </c>
      <c r="G786" t="inlineStr">
        <is>
          <t>LEKSAND</t>
        </is>
      </c>
      <c r="H786" t="inlineStr">
        <is>
          <t>Bergvik skog väst AB</t>
        </is>
      </c>
      <c r="I786" t="n">
        <v>1.4</v>
      </c>
      <c r="J786" t="n">
        <v>0</v>
      </c>
      <c r="K786" t="n">
        <v>0</v>
      </c>
      <c r="L786" t="n">
        <v>0</v>
      </c>
      <c r="M786" t="n">
        <v>0</v>
      </c>
      <c r="N786" t="n">
        <v>0</v>
      </c>
      <c r="O786" t="n">
        <v>0</v>
      </c>
      <c r="P786" t="n">
        <v>0</v>
      </c>
      <c r="Q786" t="n">
        <v>0</v>
      </c>
      <c r="R786" t="n">
        <v>0</v>
      </c>
      <c r="S786" t="n">
        <v>0</v>
      </c>
      <c r="T786" t="n">
        <v>0</v>
      </c>
      <c r="U786" s="2" t="inlineStr"/>
    </row>
    <row r="787">
      <c r="A787" t="inlineStr">
        <is>
          <t>S 1139-2026</t>
        </is>
      </c>
      <c r="B787" t="inlineStr">
        <is>
          <t>samrådsanmälan</t>
        </is>
      </c>
      <c r="C787" t="inlineStr">
        <is>
          <t>Annan skogsbruksåtgärd</t>
        </is>
      </c>
      <c r="D787" s="1" t="n">
        <v>46134</v>
      </c>
      <c r="E787" s="1" t="n">
        <v>46221</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2026-07-18T01:20:06Z</dcterms:created>
  <dcterms:modified xmlns:dcterms="http://purl.org/dc/terms/" xmlns:xsi="http://www.w3.org/2001/XMLSchema-instance" xsi:type="dcterms:W3CDTF">2026-07-18T01:20:07Z</dcterms:modified>
</cp:coreProperties>
</file>