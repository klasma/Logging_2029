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46201</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46201</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46201</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46201</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46201</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46201</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46201</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46201</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46201</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46201</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46201</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46201</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46201</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4553-2026</t>
        </is>
      </c>
      <c r="B15" s="1" t="n">
        <v>46047</v>
      </c>
      <c r="C15" s="1" t="n">
        <v>46201</v>
      </c>
      <c r="D15" t="inlineStr">
        <is>
          <t>DALARNAS LÄN</t>
        </is>
      </c>
      <c r="E15" t="inlineStr">
        <is>
          <t>LEKSAND</t>
        </is>
      </c>
      <c r="G15" t="n">
        <v>22.9</v>
      </c>
      <c r="H15" t="n">
        <v>0</v>
      </c>
      <c r="I15" t="n">
        <v>1</v>
      </c>
      <c r="J15" t="n">
        <v>4</v>
      </c>
      <c r="K15" t="n">
        <v>2</v>
      </c>
      <c r="L15" t="n">
        <v>0</v>
      </c>
      <c r="M15" t="n">
        <v>0</v>
      </c>
      <c r="N15" t="n">
        <v>0</v>
      </c>
      <c r="O15" t="n">
        <v>6</v>
      </c>
      <c r="P15" t="n">
        <v>2</v>
      </c>
      <c r="Q15" t="n">
        <v>7</v>
      </c>
      <c r="R15" s="2" t="inlineStr">
        <is>
          <t>Garnlav
Gränsticka
Rosenticka
Rynkskinn
Ullticka
Violmussling
Vedticka</t>
        </is>
      </c>
      <c r="S15">
        <f>HYPERLINK("https://klasma.github.io/Logging_2029/artfynd/A 4553-2026 artfynd.xlsx", "A 4553-2026")</f>
        <v/>
      </c>
      <c r="T15">
        <f>HYPERLINK("https://klasma.github.io/Logging_2029/kartor/A 4553-2026 karta.png", "A 4553-2026")</f>
        <v/>
      </c>
      <c r="V15">
        <f>HYPERLINK("https://klasma.github.io/Logging_2029/klagomål/A 4553-2026 FSC-klagomål.docx", "A 4553-2026")</f>
        <v/>
      </c>
      <c r="W15">
        <f>HYPERLINK("https://klasma.github.io/Logging_2029/klagomålsmail/A 4553-2026 FSC-klagomål mail.docx", "A 4553-2026")</f>
        <v/>
      </c>
      <c r="X15">
        <f>HYPERLINK("https://klasma.github.io/Logging_2029/tillsyn/A 4553-2026 tillsynsbegäran.docx", "A 4553-2026")</f>
        <v/>
      </c>
      <c r="Y15">
        <f>HYPERLINK("https://klasma.github.io/Logging_2029/tillsynsmail/A 4553-2026 tillsynsbegäran mail.docx", "A 4553-2026")</f>
        <v/>
      </c>
    </row>
    <row r="16" ht="15" customHeight="1">
      <c r="A16" t="inlineStr">
        <is>
          <t>A 25774-2026</t>
        </is>
      </c>
      <c r="B16" s="1" t="n">
        <v>46178</v>
      </c>
      <c r="C16" s="1" t="n">
        <v>46201</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30176-2024</t>
        </is>
      </c>
      <c r="B17" s="1" t="n">
        <v>45489</v>
      </c>
      <c r="C17" s="1" t="n">
        <v>46201</v>
      </c>
      <c r="D17" t="inlineStr">
        <is>
          <t>DALARNAS LÄN</t>
        </is>
      </c>
      <c r="E17" t="inlineStr">
        <is>
          <t>LEKSAND</t>
        </is>
      </c>
      <c r="G17" t="n">
        <v>15.1</v>
      </c>
      <c r="H17" t="n">
        <v>0</v>
      </c>
      <c r="I17" t="n">
        <v>3</v>
      </c>
      <c r="J17" t="n">
        <v>3</v>
      </c>
      <c r="K17" t="n">
        <v>0</v>
      </c>
      <c r="L17" t="n">
        <v>0</v>
      </c>
      <c r="M17" t="n">
        <v>0</v>
      </c>
      <c r="N17" t="n">
        <v>0</v>
      </c>
      <c r="O17" t="n">
        <v>3</v>
      </c>
      <c r="P17" t="n">
        <v>0</v>
      </c>
      <c r="Q17" t="n">
        <v>6</v>
      </c>
      <c r="R17" s="2" t="inlineStr">
        <is>
          <t>Dropptaggsvamp
Kolflarnlav
Vedskivlav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5574-2024</t>
        </is>
      </c>
      <c r="B18" s="1" t="n">
        <v>45334</v>
      </c>
      <c r="C18" s="1" t="n">
        <v>46201</v>
      </c>
      <c r="D18" t="inlineStr">
        <is>
          <t>DALARNAS LÄN</t>
        </is>
      </c>
      <c r="E18" t="inlineStr">
        <is>
          <t>LEKSAND</t>
        </is>
      </c>
      <c r="G18" t="n">
        <v>0.4</v>
      </c>
      <c r="H18" t="n">
        <v>0</v>
      </c>
      <c r="I18" t="n">
        <v>3</v>
      </c>
      <c r="J18" t="n">
        <v>2</v>
      </c>
      <c r="K18" t="n">
        <v>1</v>
      </c>
      <c r="L18" t="n">
        <v>0</v>
      </c>
      <c r="M18" t="n">
        <v>0</v>
      </c>
      <c r="N18" t="n">
        <v>0</v>
      </c>
      <c r="O18" t="n">
        <v>3</v>
      </c>
      <c r="P18" t="n">
        <v>1</v>
      </c>
      <c r="Q18" t="n">
        <v>6</v>
      </c>
      <c r="R18" s="2" t="inlineStr">
        <is>
          <t>Slåttergubbe
Lilavaxing
Scharlakansvaxing
Blodvaxing
Broskvaxing
Papegojvaxing</t>
        </is>
      </c>
      <c r="S18">
        <f>HYPERLINK("https://klasma.github.io/Logging_2029/artfynd/A 5574-2024 artfynd.xlsx", "A 5574-2024")</f>
        <v/>
      </c>
      <c r="T18">
        <f>HYPERLINK("https://klasma.github.io/Logging_2029/kartor/A 5574-2024 karta.png", "A 5574-2024")</f>
        <v/>
      </c>
      <c r="V18">
        <f>HYPERLINK("https://klasma.github.io/Logging_2029/klagomål/A 5574-2024 FSC-klagomål.docx", "A 5574-2024")</f>
        <v/>
      </c>
      <c r="W18">
        <f>HYPERLINK("https://klasma.github.io/Logging_2029/klagomålsmail/A 5574-2024 FSC-klagomål mail.docx", "A 5574-2024")</f>
        <v/>
      </c>
      <c r="X18">
        <f>HYPERLINK("https://klasma.github.io/Logging_2029/tillsyn/A 5574-2024 tillsynsbegäran.docx", "A 5574-2024")</f>
        <v/>
      </c>
      <c r="Y18">
        <f>HYPERLINK("https://klasma.github.io/Logging_2029/tillsynsmail/A 5574-2024 tillsynsbegäran mail.docx", "A 5574-2024")</f>
        <v/>
      </c>
    </row>
    <row r="19" ht="15" customHeight="1">
      <c r="A19" t="inlineStr">
        <is>
          <t>A 40636-2025</t>
        </is>
      </c>
      <c r="B19" s="1" t="n">
        <v>45896</v>
      </c>
      <c r="C19" s="1" t="n">
        <v>46201</v>
      </c>
      <c r="D19" t="inlineStr">
        <is>
          <t>DALARNAS LÄN</t>
        </is>
      </c>
      <c r="E19" t="inlineStr">
        <is>
          <t>LEKSAND</t>
        </is>
      </c>
      <c r="F19" t="inlineStr">
        <is>
          <t>Bergvik skog väst AB</t>
        </is>
      </c>
      <c r="G19" t="n">
        <v>3.2</v>
      </c>
      <c r="H19" t="n">
        <v>2</v>
      </c>
      <c r="I19" t="n">
        <v>0</v>
      </c>
      <c r="J19" t="n">
        <v>4</v>
      </c>
      <c r="K19" t="n">
        <v>2</v>
      </c>
      <c r="L19" t="n">
        <v>0</v>
      </c>
      <c r="M19" t="n">
        <v>0</v>
      </c>
      <c r="N19" t="n">
        <v>0</v>
      </c>
      <c r="O19" t="n">
        <v>6</v>
      </c>
      <c r="P19" t="n">
        <v>2</v>
      </c>
      <c r="Q19" t="n">
        <v>6</v>
      </c>
      <c r="R19" s="2" t="inlineStr">
        <is>
          <t>Garnlav
Knärot
Dofttaggsvamp
Rynkskinn
Tretåig hackspett
Ullticka</t>
        </is>
      </c>
      <c r="S19">
        <f>HYPERLINK("https://klasma.github.io/Logging_2029/artfynd/A 40636-2025 artfynd.xlsx", "A 40636-2025")</f>
        <v/>
      </c>
      <c r="T19">
        <f>HYPERLINK("https://klasma.github.io/Logging_2029/kartor/A 40636-2025 karta.png", "A 40636-2025")</f>
        <v/>
      </c>
      <c r="U19">
        <f>HYPERLINK("https://klasma.github.io/Logging_2029/knärot/A 40636-2025 karta knärot.png", "A 40636-2025")</f>
        <v/>
      </c>
      <c r="V19">
        <f>HYPERLINK("https://klasma.github.io/Logging_2029/klagomål/A 40636-2025 FSC-klagomål.docx", "A 40636-2025")</f>
        <v/>
      </c>
      <c r="W19">
        <f>HYPERLINK("https://klasma.github.io/Logging_2029/klagomålsmail/A 40636-2025 FSC-klagomål mail.docx", "A 40636-2025")</f>
        <v/>
      </c>
      <c r="X19">
        <f>HYPERLINK("https://klasma.github.io/Logging_2029/tillsyn/A 40636-2025 tillsynsbegäran.docx", "A 40636-2025")</f>
        <v/>
      </c>
      <c r="Y19">
        <f>HYPERLINK("https://klasma.github.io/Logging_2029/tillsynsmail/A 40636-2025 tillsynsbegäran mail.docx", "A 40636-2025")</f>
        <v/>
      </c>
      <c r="Z19">
        <f>HYPERLINK("https://klasma.github.io/Logging_2029/fåglar/A 40636-2025 prioriterade fågelarter.docx", "A 40636-2025")</f>
        <v/>
      </c>
    </row>
    <row r="20" ht="15" customHeight="1">
      <c r="A20" t="inlineStr">
        <is>
          <t>A 9501-2025</t>
        </is>
      </c>
      <c r="B20" s="1" t="n">
        <v>45715</v>
      </c>
      <c r="C20" s="1" t="n">
        <v>46201</v>
      </c>
      <c r="D20" t="inlineStr">
        <is>
          <t>DALARNAS LÄN</t>
        </is>
      </c>
      <c r="E20" t="inlineStr">
        <is>
          <t>LEKSAND</t>
        </is>
      </c>
      <c r="G20" t="n">
        <v>1.4</v>
      </c>
      <c r="H20" t="n">
        <v>5</v>
      </c>
      <c r="I20" t="n">
        <v>1</v>
      </c>
      <c r="J20" t="n">
        <v>0</v>
      </c>
      <c r="K20" t="n">
        <v>1</v>
      </c>
      <c r="L20" t="n">
        <v>0</v>
      </c>
      <c r="M20" t="n">
        <v>0</v>
      </c>
      <c r="N20" t="n">
        <v>0</v>
      </c>
      <c r="O20" t="n">
        <v>1</v>
      </c>
      <c r="P20" t="n">
        <v>1</v>
      </c>
      <c r="Q20" t="n">
        <v>6</v>
      </c>
      <c r="R20" s="2" t="inlineStr">
        <is>
          <t>Knärot
Bronshjon
Järpe
Spillkråka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8714-2026</t>
        </is>
      </c>
      <c r="B21" s="1" t="n">
        <v>46066</v>
      </c>
      <c r="C21" s="1" t="n">
        <v>46201</v>
      </c>
      <c r="D21" t="inlineStr">
        <is>
          <t>DALARNAS LÄN</t>
        </is>
      </c>
      <c r="E21" t="inlineStr">
        <is>
          <t>LEKSAND</t>
        </is>
      </c>
      <c r="G21" t="n">
        <v>2.5</v>
      </c>
      <c r="H21" t="n">
        <v>0</v>
      </c>
      <c r="I21" t="n">
        <v>1</v>
      </c>
      <c r="J21" t="n">
        <v>4</v>
      </c>
      <c r="K21" t="n">
        <v>1</v>
      </c>
      <c r="L21" t="n">
        <v>0</v>
      </c>
      <c r="M21" t="n">
        <v>0</v>
      </c>
      <c r="N21" t="n">
        <v>0</v>
      </c>
      <c r="O21" t="n">
        <v>5</v>
      </c>
      <c r="P21" t="n">
        <v>1</v>
      </c>
      <c r="Q21" t="n">
        <v>6</v>
      </c>
      <c r="R21" s="2" t="inlineStr">
        <is>
          <t>Garnlav
Kolflarnlav
Lunglav
Mörk kolflarnlav
Vedtrappmossa
Thomsons trägnagare</t>
        </is>
      </c>
      <c r="S21">
        <f>HYPERLINK("https://klasma.github.io/Logging_2029/artfynd/A 8714-2026 artfynd.xlsx", "A 8714-2026")</f>
        <v/>
      </c>
      <c r="T21">
        <f>HYPERLINK("https://klasma.github.io/Logging_2029/kartor/A 8714-2026 karta.png", "A 8714-2026")</f>
        <v/>
      </c>
      <c r="V21">
        <f>HYPERLINK("https://klasma.github.io/Logging_2029/klagomål/A 8714-2026 FSC-klagomål.docx", "A 8714-2026")</f>
        <v/>
      </c>
      <c r="W21">
        <f>HYPERLINK("https://klasma.github.io/Logging_2029/klagomålsmail/A 8714-2026 FSC-klagomål mail.docx", "A 8714-2026")</f>
        <v/>
      </c>
      <c r="X21">
        <f>HYPERLINK("https://klasma.github.io/Logging_2029/tillsyn/A 8714-2026 tillsynsbegäran.docx", "A 8714-2026")</f>
        <v/>
      </c>
      <c r="Y21">
        <f>HYPERLINK("https://klasma.github.io/Logging_2029/tillsynsmail/A 8714-2026 tillsynsbegäran mail.docx", "A 8714-2026")</f>
        <v/>
      </c>
    </row>
    <row r="22" ht="15" customHeight="1">
      <c r="A22" t="inlineStr">
        <is>
          <t>A 59840-2024</t>
        </is>
      </c>
      <c r="B22" s="1" t="n">
        <v>45638</v>
      </c>
      <c r="C22" s="1" t="n">
        <v>46201</v>
      </c>
      <c r="D22" t="inlineStr">
        <is>
          <t>DALARNAS LÄN</t>
        </is>
      </c>
      <c r="E22" t="inlineStr">
        <is>
          <t>LEKSAND</t>
        </is>
      </c>
      <c r="G22" t="n">
        <v>0.6</v>
      </c>
      <c r="H22" t="n">
        <v>1</v>
      </c>
      <c r="I22" t="n">
        <v>1</v>
      </c>
      <c r="J22" t="n">
        <v>3</v>
      </c>
      <c r="K22" t="n">
        <v>0</v>
      </c>
      <c r="L22" t="n">
        <v>0</v>
      </c>
      <c r="M22" t="n">
        <v>0</v>
      </c>
      <c r="N22" t="n">
        <v>0</v>
      </c>
      <c r="O22" t="n">
        <v>3</v>
      </c>
      <c r="P22" t="n">
        <v>0</v>
      </c>
      <c r="Q22" t="n">
        <v>5</v>
      </c>
      <c r="R22" s="2" t="inlineStr">
        <is>
          <t>Rosenticka
Rynkskinn
Slåtterfibbla
Svart trolldruva
Blåsippa</t>
        </is>
      </c>
      <c r="S22">
        <f>HYPERLINK("https://klasma.github.io/Logging_2029/artfynd/A 59840-2024 artfynd.xlsx", "A 59840-2024")</f>
        <v/>
      </c>
      <c r="T22">
        <f>HYPERLINK("https://klasma.github.io/Logging_2029/kartor/A 59840-2024 karta.png", "A 59840-2024")</f>
        <v/>
      </c>
      <c r="V22">
        <f>HYPERLINK("https://klasma.github.io/Logging_2029/klagomål/A 59840-2024 FSC-klagomål.docx", "A 59840-2024")</f>
        <v/>
      </c>
      <c r="W22">
        <f>HYPERLINK("https://klasma.github.io/Logging_2029/klagomålsmail/A 59840-2024 FSC-klagomål mail.docx", "A 59840-2024")</f>
        <v/>
      </c>
      <c r="X22">
        <f>HYPERLINK("https://klasma.github.io/Logging_2029/tillsyn/A 59840-2024 tillsynsbegäran.docx", "A 59840-2024")</f>
        <v/>
      </c>
      <c r="Y22">
        <f>HYPERLINK("https://klasma.github.io/Logging_2029/tillsynsmail/A 59840-2024 tillsynsbegäran mail.docx", "A 59840-2024")</f>
        <v/>
      </c>
    </row>
    <row r="23" ht="15" customHeight="1">
      <c r="A23" t="inlineStr">
        <is>
          <t>A 55519-2021</t>
        </is>
      </c>
      <c r="B23" s="1" t="n">
        <v>44475</v>
      </c>
      <c r="C23" s="1" t="n">
        <v>46201</v>
      </c>
      <c r="D23" t="inlineStr">
        <is>
          <t>DALARNAS LÄN</t>
        </is>
      </c>
      <c r="E23" t="inlineStr">
        <is>
          <t>LEKSAND</t>
        </is>
      </c>
      <c r="G23" t="n">
        <v>1.8</v>
      </c>
      <c r="H23" t="n">
        <v>5</v>
      </c>
      <c r="I23" t="n">
        <v>2</v>
      </c>
      <c r="J23" t="n">
        <v>0</v>
      </c>
      <c r="K23" t="n">
        <v>0</v>
      </c>
      <c r="L23" t="n">
        <v>0</v>
      </c>
      <c r="M23" t="n">
        <v>0</v>
      </c>
      <c r="N23" t="n">
        <v>0</v>
      </c>
      <c r="O23" t="n">
        <v>0</v>
      </c>
      <c r="P23" t="n">
        <v>0</v>
      </c>
      <c r="Q23" t="n">
        <v>5</v>
      </c>
      <c r="R23" s="2" t="inlineStr">
        <is>
          <t>Korallrot
Spindelblomster
Mattlummer
Fläcknycklar
Revlummer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366-2026</t>
        </is>
      </c>
      <c r="B24" s="1" t="n">
        <v>46027</v>
      </c>
      <c r="C24" s="1" t="n">
        <v>46201</v>
      </c>
      <c r="D24" t="inlineStr">
        <is>
          <t>DALARNAS LÄN</t>
        </is>
      </c>
      <c r="E24" t="inlineStr">
        <is>
          <t>LEKSAND</t>
        </is>
      </c>
      <c r="G24" t="n">
        <v>21.7</v>
      </c>
      <c r="H24" t="n">
        <v>0</v>
      </c>
      <c r="I24" t="n">
        <v>1</v>
      </c>
      <c r="J24" t="n">
        <v>3</v>
      </c>
      <c r="K24" t="n">
        <v>1</v>
      </c>
      <c r="L24" t="n">
        <v>0</v>
      </c>
      <c r="M24" t="n">
        <v>0</v>
      </c>
      <c r="N24" t="n">
        <v>0</v>
      </c>
      <c r="O24" t="n">
        <v>4</v>
      </c>
      <c r="P24" t="n">
        <v>1</v>
      </c>
      <c r="Q24" t="n">
        <v>5</v>
      </c>
      <c r="R24" s="2" t="inlineStr">
        <is>
          <t>Garnlav
Rosenticka
Ullticka
Violettgrå tagellav
Vedticka</t>
        </is>
      </c>
      <c r="S24">
        <f>HYPERLINK("https://klasma.github.io/Logging_2029/artfynd/A 366-2026 artfynd.xlsx", "A 366-2026")</f>
        <v/>
      </c>
      <c r="T24">
        <f>HYPERLINK("https://klasma.github.io/Logging_2029/kartor/A 366-2026 karta.png", "A 366-2026")</f>
        <v/>
      </c>
      <c r="V24">
        <f>HYPERLINK("https://klasma.github.io/Logging_2029/klagomål/A 366-2026 FSC-klagomål.docx", "A 366-2026")</f>
        <v/>
      </c>
      <c r="W24">
        <f>HYPERLINK("https://klasma.github.io/Logging_2029/klagomålsmail/A 366-2026 FSC-klagomål mail.docx", "A 366-2026")</f>
        <v/>
      </c>
      <c r="X24">
        <f>HYPERLINK("https://klasma.github.io/Logging_2029/tillsyn/A 366-2026 tillsynsbegäran.docx", "A 366-2026")</f>
        <v/>
      </c>
      <c r="Y24">
        <f>HYPERLINK("https://klasma.github.io/Logging_2029/tillsynsmail/A 366-2026 tillsynsbegäran mail.docx", "A 366-2026")</f>
        <v/>
      </c>
    </row>
    <row r="25" ht="15" customHeight="1">
      <c r="A25" t="inlineStr">
        <is>
          <t>A 31957-2025</t>
        </is>
      </c>
      <c r="B25" s="1" t="n">
        <v>45835</v>
      </c>
      <c r="C25" s="1" t="n">
        <v>46201</v>
      </c>
      <c r="D25" t="inlineStr">
        <is>
          <t>DALARNAS LÄN</t>
        </is>
      </c>
      <c r="E25" t="inlineStr">
        <is>
          <t>LEKSAND</t>
        </is>
      </c>
      <c r="G25" t="n">
        <v>5.2</v>
      </c>
      <c r="H25" t="n">
        <v>2</v>
      </c>
      <c r="I25" t="n">
        <v>0</v>
      </c>
      <c r="J25" t="n">
        <v>3</v>
      </c>
      <c r="K25" t="n">
        <v>1</v>
      </c>
      <c r="L25" t="n">
        <v>0</v>
      </c>
      <c r="M25" t="n">
        <v>0</v>
      </c>
      <c r="N25" t="n">
        <v>0</v>
      </c>
      <c r="O25" t="n">
        <v>4</v>
      </c>
      <c r="P25" t="n">
        <v>1</v>
      </c>
      <c r="Q25" t="n">
        <v>5</v>
      </c>
      <c r="R25" s="2" t="inlineStr">
        <is>
          <t>Knärot
Dvärgbägarlav
Mörk kolflarnlav
Vedskivlav
Tjäder</t>
        </is>
      </c>
      <c r="S25">
        <f>HYPERLINK("https://klasma.github.io/Logging_2029/artfynd/A 31957-2025 artfynd.xlsx", "A 31957-2025")</f>
        <v/>
      </c>
      <c r="T25">
        <f>HYPERLINK("https://klasma.github.io/Logging_2029/kartor/A 31957-2025 karta.png", "A 31957-2025")</f>
        <v/>
      </c>
      <c r="U25">
        <f>HYPERLINK("https://klasma.github.io/Logging_2029/knärot/A 31957-2025 karta knärot.png", "A 31957-2025")</f>
        <v/>
      </c>
      <c r="V25">
        <f>HYPERLINK("https://klasma.github.io/Logging_2029/klagomål/A 31957-2025 FSC-klagomål.docx", "A 31957-2025")</f>
        <v/>
      </c>
      <c r="W25">
        <f>HYPERLINK("https://klasma.github.io/Logging_2029/klagomålsmail/A 31957-2025 FSC-klagomål mail.docx", "A 31957-2025")</f>
        <v/>
      </c>
      <c r="X25">
        <f>HYPERLINK("https://klasma.github.io/Logging_2029/tillsyn/A 31957-2025 tillsynsbegäran.docx", "A 31957-2025")</f>
        <v/>
      </c>
      <c r="Y25">
        <f>HYPERLINK("https://klasma.github.io/Logging_2029/tillsynsmail/A 31957-2025 tillsynsbegäran mail.docx", "A 31957-2025")</f>
        <v/>
      </c>
      <c r="Z25">
        <f>HYPERLINK("https://klasma.github.io/Logging_2029/fåglar/A 31957-2025 prioriterade fågelarter.docx", "A 31957-2025")</f>
        <v/>
      </c>
    </row>
    <row r="26" ht="15" customHeight="1">
      <c r="A26" t="inlineStr">
        <is>
          <t>A 47601-2025</t>
        </is>
      </c>
      <c r="B26" s="1" t="n">
        <v>45931</v>
      </c>
      <c r="C26" s="1" t="n">
        <v>46201</v>
      </c>
      <c r="D26" t="inlineStr">
        <is>
          <t>DALARNAS LÄN</t>
        </is>
      </c>
      <c r="E26" t="inlineStr">
        <is>
          <t>LEKSAND</t>
        </is>
      </c>
      <c r="G26" t="n">
        <v>1.9</v>
      </c>
      <c r="H26" t="n">
        <v>3</v>
      </c>
      <c r="I26" t="n">
        <v>1</v>
      </c>
      <c r="J26" t="n">
        <v>2</v>
      </c>
      <c r="K26" t="n">
        <v>0</v>
      </c>
      <c r="L26" t="n">
        <v>0</v>
      </c>
      <c r="M26" t="n">
        <v>0</v>
      </c>
      <c r="N26" t="n">
        <v>0</v>
      </c>
      <c r="O26" t="n">
        <v>2</v>
      </c>
      <c r="P26" t="n">
        <v>0</v>
      </c>
      <c r="Q26" t="n">
        <v>4</v>
      </c>
      <c r="R26" s="2" t="inlineStr">
        <is>
          <t>Brunlångöra
Nordfladdermus
Vågbandad barkbock
Mattlummer</t>
        </is>
      </c>
      <c r="S26">
        <f>HYPERLINK("https://klasma.github.io/Logging_2029/artfynd/A 47601-2025 artfynd.xlsx", "A 47601-2025")</f>
        <v/>
      </c>
      <c r="T26">
        <f>HYPERLINK("https://klasma.github.io/Logging_2029/kartor/A 47601-2025 karta.png", "A 47601-2025")</f>
        <v/>
      </c>
      <c r="V26">
        <f>HYPERLINK("https://klasma.github.io/Logging_2029/klagomål/A 47601-2025 FSC-klagomål.docx", "A 47601-2025")</f>
        <v/>
      </c>
      <c r="W26">
        <f>HYPERLINK("https://klasma.github.io/Logging_2029/klagomålsmail/A 47601-2025 FSC-klagomål mail.docx", "A 47601-2025")</f>
        <v/>
      </c>
      <c r="X26">
        <f>HYPERLINK("https://klasma.github.io/Logging_2029/tillsyn/A 47601-2025 tillsynsbegäran.docx", "A 47601-2025")</f>
        <v/>
      </c>
      <c r="Y26">
        <f>HYPERLINK("https://klasma.github.io/Logging_2029/tillsynsmail/A 47601-2025 tillsynsbegäran mail.docx", "A 47601-2025")</f>
        <v/>
      </c>
    </row>
    <row r="27" ht="15" customHeight="1">
      <c r="A27" t="inlineStr">
        <is>
          <t>A 51505-2022</t>
        </is>
      </c>
      <c r="B27" s="1" t="n">
        <v>44869</v>
      </c>
      <c r="C27" s="1" t="n">
        <v>46201</v>
      </c>
      <c r="D27" t="inlineStr">
        <is>
          <t>DALARNAS LÄN</t>
        </is>
      </c>
      <c r="E27" t="inlineStr">
        <is>
          <t>LEKSAND</t>
        </is>
      </c>
      <c r="F27" t="inlineStr">
        <is>
          <t>Bergvik skog väst AB</t>
        </is>
      </c>
      <c r="G27" t="n">
        <v>1.3</v>
      </c>
      <c r="H27" t="n">
        <v>0</v>
      </c>
      <c r="I27" t="n">
        <v>1</v>
      </c>
      <c r="J27" t="n">
        <v>1</v>
      </c>
      <c r="K27" t="n">
        <v>1</v>
      </c>
      <c r="L27" t="n">
        <v>0</v>
      </c>
      <c r="M27" t="n">
        <v>0</v>
      </c>
      <c r="N27" t="n">
        <v>0</v>
      </c>
      <c r="O27" t="n">
        <v>2</v>
      </c>
      <c r="P27" t="n">
        <v>1</v>
      </c>
      <c r="Q27" t="n">
        <v>3</v>
      </c>
      <c r="R27" s="2" t="inlineStr">
        <is>
          <t>Garnlav
Motaggsvamp
Bronshjon</t>
        </is>
      </c>
      <c r="S27">
        <f>HYPERLINK("https://klasma.github.io/Logging_2029/artfynd/A 51505-2022 artfynd.xlsx", "A 51505-2022")</f>
        <v/>
      </c>
      <c r="T27">
        <f>HYPERLINK("https://klasma.github.io/Logging_2029/kartor/A 51505-2022 karta.png", "A 51505-2022")</f>
        <v/>
      </c>
      <c r="V27">
        <f>HYPERLINK("https://klasma.github.io/Logging_2029/klagomål/A 51505-2022 FSC-klagomål.docx", "A 51505-2022")</f>
        <v/>
      </c>
      <c r="W27">
        <f>HYPERLINK("https://klasma.github.io/Logging_2029/klagomålsmail/A 51505-2022 FSC-klagomål mail.docx", "A 51505-2022")</f>
        <v/>
      </c>
      <c r="X27">
        <f>HYPERLINK("https://klasma.github.io/Logging_2029/tillsyn/A 51505-2022 tillsynsbegäran.docx", "A 51505-2022")</f>
        <v/>
      </c>
      <c r="Y27">
        <f>HYPERLINK("https://klasma.github.io/Logging_2029/tillsynsmail/A 51505-2022 tillsynsbegäran mail.docx", "A 51505-2022")</f>
        <v/>
      </c>
    </row>
    <row r="28" ht="15" customHeight="1">
      <c r="A28" t="inlineStr">
        <is>
          <t>A 56153-2021</t>
        </is>
      </c>
      <c r="B28" s="1" t="n">
        <v>44477</v>
      </c>
      <c r="C28" s="1" t="n">
        <v>46201</v>
      </c>
      <c r="D28" t="inlineStr">
        <is>
          <t>DALARNAS LÄN</t>
        </is>
      </c>
      <c r="E28" t="inlineStr">
        <is>
          <t>LEKSAND</t>
        </is>
      </c>
      <c r="G28" t="n">
        <v>1.2</v>
      </c>
      <c r="H28" t="n">
        <v>0</v>
      </c>
      <c r="I28" t="n">
        <v>1</v>
      </c>
      <c r="J28" t="n">
        <v>1</v>
      </c>
      <c r="K28" t="n">
        <v>1</v>
      </c>
      <c r="L28" t="n">
        <v>0</v>
      </c>
      <c r="M28" t="n">
        <v>0</v>
      </c>
      <c r="N28" t="n">
        <v>0</v>
      </c>
      <c r="O28" t="n">
        <v>2</v>
      </c>
      <c r="P28" t="n">
        <v>1</v>
      </c>
      <c r="Q28" t="n">
        <v>3</v>
      </c>
      <c r="R28" s="2" t="inlineStr">
        <is>
          <t>Garnlav
Dropptaggsvamp
Mindre märgborre</t>
        </is>
      </c>
      <c r="S28">
        <f>HYPERLINK("https://klasma.github.io/Logging_2029/artfynd/A 56153-2021 artfynd.xlsx", "A 56153-2021")</f>
        <v/>
      </c>
      <c r="T28">
        <f>HYPERLINK("https://klasma.github.io/Logging_2029/kartor/A 56153-2021 karta.png", "A 56153-2021")</f>
        <v/>
      </c>
      <c r="V28">
        <f>HYPERLINK("https://klasma.github.io/Logging_2029/klagomål/A 56153-2021 FSC-klagomål.docx", "A 56153-2021")</f>
        <v/>
      </c>
      <c r="W28">
        <f>HYPERLINK("https://klasma.github.io/Logging_2029/klagomålsmail/A 56153-2021 FSC-klagomål mail.docx", "A 56153-2021")</f>
        <v/>
      </c>
      <c r="X28">
        <f>HYPERLINK("https://klasma.github.io/Logging_2029/tillsyn/A 56153-2021 tillsynsbegäran.docx", "A 56153-2021")</f>
        <v/>
      </c>
      <c r="Y28">
        <f>HYPERLINK("https://klasma.github.io/Logging_2029/tillsynsmail/A 56153-2021 tillsynsbegäran mail.docx", "A 56153-2021")</f>
        <v/>
      </c>
    </row>
    <row r="29" ht="15" customHeight="1">
      <c r="A29" t="inlineStr">
        <is>
          <t>A 59111-2024</t>
        </is>
      </c>
      <c r="B29" s="1" t="n">
        <v>45637</v>
      </c>
      <c r="C29" s="1" t="n">
        <v>46201</v>
      </c>
      <c r="D29" t="inlineStr">
        <is>
          <t>DALARNAS LÄN</t>
        </is>
      </c>
      <c r="E29" t="inlineStr">
        <is>
          <t>LEKSAND</t>
        </is>
      </c>
      <c r="G29" t="n">
        <v>8.800000000000001</v>
      </c>
      <c r="H29" t="n">
        <v>0</v>
      </c>
      <c r="I29" t="n">
        <v>0</v>
      </c>
      <c r="J29" t="n">
        <v>2</v>
      </c>
      <c r="K29" t="n">
        <v>1</v>
      </c>
      <c r="L29" t="n">
        <v>0</v>
      </c>
      <c r="M29" t="n">
        <v>0</v>
      </c>
      <c r="N29" t="n">
        <v>0</v>
      </c>
      <c r="O29" t="n">
        <v>3</v>
      </c>
      <c r="P29" t="n">
        <v>1</v>
      </c>
      <c r="Q29" t="n">
        <v>3</v>
      </c>
      <c r="R29" s="2" t="inlineStr">
        <is>
          <t>Garnlav
Rosenticka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41528-2025</t>
        </is>
      </c>
      <c r="B30" s="1" t="n">
        <v>45901</v>
      </c>
      <c r="C30" s="1" t="n">
        <v>46201</v>
      </c>
      <c r="D30" t="inlineStr">
        <is>
          <t>DALARNAS LÄN</t>
        </is>
      </c>
      <c r="E30" t="inlineStr">
        <is>
          <t>LEKSAND</t>
        </is>
      </c>
      <c r="F30" t="inlineStr">
        <is>
          <t>Bergvik skog väst AB</t>
        </is>
      </c>
      <c r="G30" t="n">
        <v>2.7</v>
      </c>
      <c r="H30" t="n">
        <v>1</v>
      </c>
      <c r="I30" t="n">
        <v>1</v>
      </c>
      <c r="J30" t="n">
        <v>1</v>
      </c>
      <c r="K30" t="n">
        <v>1</v>
      </c>
      <c r="L30" t="n">
        <v>0</v>
      </c>
      <c r="M30" t="n">
        <v>0</v>
      </c>
      <c r="N30" t="n">
        <v>0</v>
      </c>
      <c r="O30" t="n">
        <v>2</v>
      </c>
      <c r="P30" t="n">
        <v>1</v>
      </c>
      <c r="Q30" t="n">
        <v>3</v>
      </c>
      <c r="R30" s="2" t="inlineStr">
        <is>
          <t>Garnlav
Tretåig hackspett
Mindre märgborre</t>
        </is>
      </c>
      <c r="S30">
        <f>HYPERLINK("https://klasma.github.io/Logging_2029/artfynd/A 41528-2025 artfynd.xlsx", "A 41528-2025")</f>
        <v/>
      </c>
      <c r="T30">
        <f>HYPERLINK("https://klasma.github.io/Logging_2029/kartor/A 41528-2025 karta.png", "A 41528-2025")</f>
        <v/>
      </c>
      <c r="V30">
        <f>HYPERLINK("https://klasma.github.io/Logging_2029/klagomål/A 41528-2025 FSC-klagomål.docx", "A 41528-2025")</f>
        <v/>
      </c>
      <c r="W30">
        <f>HYPERLINK("https://klasma.github.io/Logging_2029/klagomålsmail/A 41528-2025 FSC-klagomål mail.docx", "A 41528-2025")</f>
        <v/>
      </c>
      <c r="X30">
        <f>HYPERLINK("https://klasma.github.io/Logging_2029/tillsyn/A 41528-2025 tillsynsbegäran.docx", "A 41528-2025")</f>
        <v/>
      </c>
      <c r="Y30">
        <f>HYPERLINK("https://klasma.github.io/Logging_2029/tillsynsmail/A 41528-2025 tillsynsbegäran mail.docx", "A 41528-2025")</f>
        <v/>
      </c>
      <c r="Z30">
        <f>HYPERLINK("https://klasma.github.io/Logging_2029/fåglar/A 41528-2025 prioriterade fågelarter.docx", "A 41528-2025")</f>
        <v/>
      </c>
    </row>
    <row r="31" ht="15" customHeight="1">
      <c r="A31" t="inlineStr">
        <is>
          <t>A 13612-2026</t>
        </is>
      </c>
      <c r="B31" s="1" t="n">
        <v>46097</v>
      </c>
      <c r="C31" s="1" t="n">
        <v>46201</v>
      </c>
      <c r="D31" t="inlineStr">
        <is>
          <t>DALARNAS LÄN</t>
        </is>
      </c>
      <c r="E31" t="inlineStr">
        <is>
          <t>LEKSAND</t>
        </is>
      </c>
      <c r="G31" t="n">
        <v>3.9</v>
      </c>
      <c r="H31" t="n">
        <v>1</v>
      </c>
      <c r="I31" t="n">
        <v>1</v>
      </c>
      <c r="J31" t="n">
        <v>1</v>
      </c>
      <c r="K31" t="n">
        <v>1</v>
      </c>
      <c r="L31" t="n">
        <v>0</v>
      </c>
      <c r="M31" t="n">
        <v>0</v>
      </c>
      <c r="N31" t="n">
        <v>0</v>
      </c>
      <c r="O31" t="n">
        <v>2</v>
      </c>
      <c r="P31" t="n">
        <v>1</v>
      </c>
      <c r="Q31" t="n">
        <v>3</v>
      </c>
      <c r="R31" s="2" t="inlineStr">
        <is>
          <t>Knärot
Vedtrappmossa
Bronshjon</t>
        </is>
      </c>
      <c r="S31">
        <f>HYPERLINK("https://klasma.github.io/Logging_2029/artfynd/A 13612-2026 artfynd.xlsx", "A 13612-2026")</f>
        <v/>
      </c>
      <c r="T31">
        <f>HYPERLINK("https://klasma.github.io/Logging_2029/kartor/A 13612-2026 karta.png", "A 13612-2026")</f>
        <v/>
      </c>
      <c r="U31">
        <f>HYPERLINK("https://klasma.github.io/Logging_2029/knärot/A 13612-2026 karta knärot.png", "A 13612-2026")</f>
        <v/>
      </c>
      <c r="V31">
        <f>HYPERLINK("https://klasma.github.io/Logging_2029/klagomål/A 13612-2026 FSC-klagomål.docx", "A 13612-2026")</f>
        <v/>
      </c>
      <c r="W31">
        <f>HYPERLINK("https://klasma.github.io/Logging_2029/klagomålsmail/A 13612-2026 FSC-klagomål mail.docx", "A 13612-2026")</f>
        <v/>
      </c>
      <c r="X31">
        <f>HYPERLINK("https://klasma.github.io/Logging_2029/tillsyn/A 13612-2026 tillsynsbegäran.docx", "A 13612-2026")</f>
        <v/>
      </c>
      <c r="Y31">
        <f>HYPERLINK("https://klasma.github.io/Logging_2029/tillsynsmail/A 13612-2026 tillsynsbegäran mail.docx", "A 13612-2026")</f>
        <v/>
      </c>
    </row>
    <row r="32" ht="15" customHeight="1">
      <c r="A32" t="inlineStr">
        <is>
          <t>A 41718-2021</t>
        </is>
      </c>
      <c r="B32" s="1" t="n">
        <v>44425</v>
      </c>
      <c r="C32" s="1" t="n">
        <v>46201</v>
      </c>
      <c r="D32" t="inlineStr">
        <is>
          <t>DALARNAS LÄN</t>
        </is>
      </c>
      <c r="E32" t="inlineStr">
        <is>
          <t>LEKSAND</t>
        </is>
      </c>
      <c r="F32" t="inlineStr">
        <is>
          <t>Bergvik skog väst AB</t>
        </is>
      </c>
      <c r="G32" t="n">
        <v>5.7</v>
      </c>
      <c r="H32" t="n">
        <v>1</v>
      </c>
      <c r="I32" t="n">
        <v>0</v>
      </c>
      <c r="J32" t="n">
        <v>0</v>
      </c>
      <c r="K32" t="n">
        <v>1</v>
      </c>
      <c r="L32" t="n">
        <v>0</v>
      </c>
      <c r="M32" t="n">
        <v>0</v>
      </c>
      <c r="N32" t="n">
        <v>0</v>
      </c>
      <c r="O32" t="n">
        <v>1</v>
      </c>
      <c r="P32" t="n">
        <v>1</v>
      </c>
      <c r="Q32" t="n">
        <v>2</v>
      </c>
      <c r="R32" s="2" t="inlineStr">
        <is>
          <t>Garnlav
Tjäder</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c r="Z32">
        <f>HYPERLINK("https://klasma.github.io/Logging_2029/fåglar/A 41718-2021 prioriterade fågelarter.docx", "A 41718-2021")</f>
        <v/>
      </c>
    </row>
    <row r="33" ht="15" customHeight="1">
      <c r="A33" t="inlineStr">
        <is>
          <t>A 58495-2023</t>
        </is>
      </c>
      <c r="B33" s="1" t="n">
        <v>45251</v>
      </c>
      <c r="C33" s="1" t="n">
        <v>46201</v>
      </c>
      <c r="D33" t="inlineStr">
        <is>
          <t>DALARNAS LÄN</t>
        </is>
      </c>
      <c r="E33" t="inlineStr">
        <is>
          <t>LEKSAND</t>
        </is>
      </c>
      <c r="G33" t="n">
        <v>1.7</v>
      </c>
      <c r="H33" t="n">
        <v>0</v>
      </c>
      <c r="I33" t="n">
        <v>2</v>
      </c>
      <c r="J33" t="n">
        <v>0</v>
      </c>
      <c r="K33" t="n">
        <v>0</v>
      </c>
      <c r="L33" t="n">
        <v>0</v>
      </c>
      <c r="M33" t="n">
        <v>0</v>
      </c>
      <c r="N33" t="n">
        <v>0</v>
      </c>
      <c r="O33" t="n">
        <v>0</v>
      </c>
      <c r="P33" t="n">
        <v>0</v>
      </c>
      <c r="Q33" t="n">
        <v>2</v>
      </c>
      <c r="R33" s="2" t="inlineStr">
        <is>
          <t>Brun nållav
Sotlav</t>
        </is>
      </c>
      <c r="S33">
        <f>HYPERLINK("https://klasma.github.io/Logging_2029/artfynd/A 58495-2023 artfynd.xlsx", "A 58495-2023")</f>
        <v/>
      </c>
      <c r="T33">
        <f>HYPERLINK("https://klasma.github.io/Logging_2029/kartor/A 58495-2023 karta.png", "A 58495-2023")</f>
        <v/>
      </c>
      <c r="V33">
        <f>HYPERLINK("https://klasma.github.io/Logging_2029/klagomål/A 58495-2023 FSC-klagomål.docx", "A 58495-2023")</f>
        <v/>
      </c>
      <c r="W33">
        <f>HYPERLINK("https://klasma.github.io/Logging_2029/klagomålsmail/A 58495-2023 FSC-klagomål mail.docx", "A 58495-2023")</f>
        <v/>
      </c>
      <c r="X33">
        <f>HYPERLINK("https://klasma.github.io/Logging_2029/tillsyn/A 58495-2023 tillsynsbegäran.docx", "A 58495-2023")</f>
        <v/>
      </c>
      <c r="Y33">
        <f>HYPERLINK("https://klasma.github.io/Logging_2029/tillsynsmail/A 58495-2023 tillsynsbegäran mail.docx", "A 58495-2023")</f>
        <v/>
      </c>
    </row>
    <row r="34" ht="15" customHeight="1">
      <c r="A34" t="inlineStr">
        <is>
          <t>A 63514-2023</t>
        </is>
      </c>
      <c r="B34" s="1" t="n">
        <v>45274</v>
      </c>
      <c r="C34" s="1" t="n">
        <v>46201</v>
      </c>
      <c r="D34" t="inlineStr">
        <is>
          <t>DALARNAS LÄN</t>
        </is>
      </c>
      <c r="E34" t="inlineStr">
        <is>
          <t>LEKSAND</t>
        </is>
      </c>
      <c r="G34" t="n">
        <v>1</v>
      </c>
      <c r="H34" t="n">
        <v>2</v>
      </c>
      <c r="I34" t="n">
        <v>0</v>
      </c>
      <c r="J34" t="n">
        <v>1</v>
      </c>
      <c r="K34" t="n">
        <v>0</v>
      </c>
      <c r="L34" t="n">
        <v>0</v>
      </c>
      <c r="M34" t="n">
        <v>0</v>
      </c>
      <c r="N34" t="n">
        <v>0</v>
      </c>
      <c r="O34" t="n">
        <v>1</v>
      </c>
      <c r="P34" t="n">
        <v>0</v>
      </c>
      <c r="Q34" t="n">
        <v>2</v>
      </c>
      <c r="R34" s="2" t="inlineStr">
        <is>
          <t>Grönsångare
Trana</t>
        </is>
      </c>
      <c r="S34">
        <f>HYPERLINK("https://klasma.github.io/Logging_2029/artfynd/A 63514-2023 artfynd.xlsx", "A 63514-2023")</f>
        <v/>
      </c>
      <c r="T34">
        <f>HYPERLINK("https://klasma.github.io/Logging_2029/kartor/A 63514-2023 karta.png", "A 63514-2023")</f>
        <v/>
      </c>
      <c r="V34">
        <f>HYPERLINK("https://klasma.github.io/Logging_2029/klagomål/A 63514-2023 FSC-klagomål.docx", "A 63514-2023")</f>
        <v/>
      </c>
      <c r="W34">
        <f>HYPERLINK("https://klasma.github.io/Logging_2029/klagomålsmail/A 63514-2023 FSC-klagomål mail.docx", "A 63514-2023")</f>
        <v/>
      </c>
      <c r="X34">
        <f>HYPERLINK("https://klasma.github.io/Logging_2029/tillsyn/A 63514-2023 tillsynsbegäran.docx", "A 63514-2023")</f>
        <v/>
      </c>
      <c r="Y34">
        <f>HYPERLINK("https://klasma.github.io/Logging_2029/tillsynsmail/A 63514-2023 tillsynsbegäran mail.docx", "A 63514-2023")</f>
        <v/>
      </c>
      <c r="Z34">
        <f>HYPERLINK("https://klasma.github.io/Logging_2029/fåglar/A 63514-2023 prioriterade fågelarter.docx", "A 63514-2023")</f>
        <v/>
      </c>
    </row>
    <row r="35" ht="15" customHeight="1">
      <c r="A35" t="inlineStr">
        <is>
          <t>A 59205-2023</t>
        </is>
      </c>
      <c r="B35" s="1" t="n">
        <v>45251</v>
      </c>
      <c r="C35" s="1" t="n">
        <v>46201</v>
      </c>
      <c r="D35" t="inlineStr">
        <is>
          <t>DALARNAS LÄN</t>
        </is>
      </c>
      <c r="E35" t="inlineStr">
        <is>
          <t>LEKSAND</t>
        </is>
      </c>
      <c r="G35" t="n">
        <v>1.9</v>
      </c>
      <c r="H35" t="n">
        <v>2</v>
      </c>
      <c r="I35" t="n">
        <v>0</v>
      </c>
      <c r="J35" t="n">
        <v>0</v>
      </c>
      <c r="K35" t="n">
        <v>1</v>
      </c>
      <c r="L35" t="n">
        <v>0</v>
      </c>
      <c r="M35" t="n">
        <v>0</v>
      </c>
      <c r="N35" t="n">
        <v>0</v>
      </c>
      <c r="O35" t="n">
        <v>1</v>
      </c>
      <c r="P35" t="n">
        <v>1</v>
      </c>
      <c r="Q35" t="n">
        <v>2</v>
      </c>
      <c r="R35" s="2" t="inlineStr">
        <is>
          <t>Knärot
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59826-2023</t>
        </is>
      </c>
      <c r="B36" s="1" t="n">
        <v>45254</v>
      </c>
      <c r="C36" s="1" t="n">
        <v>46201</v>
      </c>
      <c r="D36" t="inlineStr">
        <is>
          <t>DALARNAS LÄN</t>
        </is>
      </c>
      <c r="E36" t="inlineStr">
        <is>
          <t>LEKSAND</t>
        </is>
      </c>
      <c r="G36" t="n">
        <v>1.1</v>
      </c>
      <c r="H36" t="n">
        <v>0</v>
      </c>
      <c r="I36" t="n">
        <v>1</v>
      </c>
      <c r="J36" t="n">
        <v>1</v>
      </c>
      <c r="K36" t="n">
        <v>0</v>
      </c>
      <c r="L36" t="n">
        <v>0</v>
      </c>
      <c r="M36" t="n">
        <v>0</v>
      </c>
      <c r="N36" t="n">
        <v>0</v>
      </c>
      <c r="O36" t="n">
        <v>1</v>
      </c>
      <c r="P36" t="n">
        <v>0</v>
      </c>
      <c r="Q36" t="n">
        <v>2</v>
      </c>
      <c r="R36" s="2" t="inlineStr">
        <is>
          <t>Stiftgelélav
Skinnlav</t>
        </is>
      </c>
      <c r="S36">
        <f>HYPERLINK("https://klasma.github.io/Logging_2029/artfynd/A 59826-2023 artfynd.xlsx", "A 59826-2023")</f>
        <v/>
      </c>
      <c r="T36">
        <f>HYPERLINK("https://klasma.github.io/Logging_2029/kartor/A 59826-2023 karta.png", "A 59826-2023")</f>
        <v/>
      </c>
      <c r="V36">
        <f>HYPERLINK("https://klasma.github.io/Logging_2029/klagomål/A 59826-2023 FSC-klagomål.docx", "A 59826-2023")</f>
        <v/>
      </c>
      <c r="W36">
        <f>HYPERLINK("https://klasma.github.io/Logging_2029/klagomålsmail/A 59826-2023 FSC-klagomål mail.docx", "A 59826-2023")</f>
        <v/>
      </c>
      <c r="X36">
        <f>HYPERLINK("https://klasma.github.io/Logging_2029/tillsyn/A 59826-2023 tillsynsbegäran.docx", "A 59826-2023")</f>
        <v/>
      </c>
      <c r="Y36">
        <f>HYPERLINK("https://klasma.github.io/Logging_2029/tillsynsmail/A 59826-2023 tillsynsbegäran mail.docx", "A 59826-2023")</f>
        <v/>
      </c>
    </row>
    <row r="37" ht="15" customHeight="1">
      <c r="A37" t="inlineStr">
        <is>
          <t>A 16333-2023</t>
        </is>
      </c>
      <c r="B37" s="1" t="n">
        <v>45028</v>
      </c>
      <c r="C37" s="1" t="n">
        <v>46201</v>
      </c>
      <c r="D37" t="inlineStr">
        <is>
          <t>DALARNAS LÄN</t>
        </is>
      </c>
      <c r="E37" t="inlineStr">
        <is>
          <t>LEKSAND</t>
        </is>
      </c>
      <c r="G37" t="n">
        <v>1.5</v>
      </c>
      <c r="H37" t="n">
        <v>1</v>
      </c>
      <c r="I37" t="n">
        <v>1</v>
      </c>
      <c r="J37" t="n">
        <v>0</v>
      </c>
      <c r="K37" t="n">
        <v>0</v>
      </c>
      <c r="L37" t="n">
        <v>0</v>
      </c>
      <c r="M37" t="n">
        <v>0</v>
      </c>
      <c r="N37" t="n">
        <v>0</v>
      </c>
      <c r="O37" t="n">
        <v>0</v>
      </c>
      <c r="P37" t="n">
        <v>0</v>
      </c>
      <c r="Q37" t="n">
        <v>2</v>
      </c>
      <c r="R37" s="2" t="inlineStr">
        <is>
          <t>Läderskål
Nattviol</t>
        </is>
      </c>
      <c r="S37">
        <f>HYPERLINK("https://klasma.github.io/Logging_2029/artfynd/A 16333-2023 artfynd.xlsx", "A 16333-2023")</f>
        <v/>
      </c>
      <c r="T37">
        <f>HYPERLINK("https://klasma.github.io/Logging_2029/kartor/A 16333-2023 karta.png", "A 16333-2023")</f>
        <v/>
      </c>
      <c r="V37">
        <f>HYPERLINK("https://klasma.github.io/Logging_2029/klagomål/A 16333-2023 FSC-klagomål.docx", "A 16333-2023")</f>
        <v/>
      </c>
      <c r="W37">
        <f>HYPERLINK("https://klasma.github.io/Logging_2029/klagomålsmail/A 16333-2023 FSC-klagomål mail.docx", "A 16333-2023")</f>
        <v/>
      </c>
      <c r="X37">
        <f>HYPERLINK("https://klasma.github.io/Logging_2029/tillsyn/A 16333-2023 tillsynsbegäran.docx", "A 16333-2023")</f>
        <v/>
      </c>
      <c r="Y37">
        <f>HYPERLINK("https://klasma.github.io/Logging_2029/tillsynsmail/A 16333-2023 tillsynsbegäran mail.docx", "A 16333-2023")</f>
        <v/>
      </c>
    </row>
    <row r="38" ht="15" customHeight="1">
      <c r="A38" t="inlineStr">
        <is>
          <t>A 6778-2022</t>
        </is>
      </c>
      <c r="B38" s="1" t="n">
        <v>44602</v>
      </c>
      <c r="C38" s="1" t="n">
        <v>46201</v>
      </c>
      <c r="D38" t="inlineStr">
        <is>
          <t>DALARNAS LÄN</t>
        </is>
      </c>
      <c r="E38" t="inlineStr">
        <is>
          <t>LEKSAND</t>
        </is>
      </c>
      <c r="F38" t="inlineStr">
        <is>
          <t>Kyrkan</t>
        </is>
      </c>
      <c r="G38" t="n">
        <v>2</v>
      </c>
      <c r="H38" t="n">
        <v>2</v>
      </c>
      <c r="I38" t="n">
        <v>0</v>
      </c>
      <c r="J38" t="n">
        <v>1</v>
      </c>
      <c r="K38" t="n">
        <v>0</v>
      </c>
      <c r="L38" t="n">
        <v>0</v>
      </c>
      <c r="M38" t="n">
        <v>0</v>
      </c>
      <c r="N38" t="n">
        <v>0</v>
      </c>
      <c r="O38" t="n">
        <v>1</v>
      </c>
      <c r="P38" t="n">
        <v>0</v>
      </c>
      <c r="Q38" t="n">
        <v>2</v>
      </c>
      <c r="R38" s="2" t="inlineStr">
        <is>
          <t>Talltita
Orre</t>
        </is>
      </c>
      <c r="S38">
        <f>HYPERLINK("https://klasma.github.io/Logging_2029/artfynd/A 6778-2022 artfynd.xlsx", "A 6778-2022")</f>
        <v/>
      </c>
      <c r="T38">
        <f>HYPERLINK("https://klasma.github.io/Logging_2029/kartor/A 6778-2022 karta.png", "A 6778-2022")</f>
        <v/>
      </c>
      <c r="V38">
        <f>HYPERLINK("https://klasma.github.io/Logging_2029/klagomål/A 6778-2022 FSC-klagomål.docx", "A 6778-2022")</f>
        <v/>
      </c>
      <c r="W38">
        <f>HYPERLINK("https://klasma.github.io/Logging_2029/klagomålsmail/A 6778-2022 FSC-klagomål mail.docx", "A 6778-2022")</f>
        <v/>
      </c>
      <c r="X38">
        <f>HYPERLINK("https://klasma.github.io/Logging_2029/tillsyn/A 6778-2022 tillsynsbegäran.docx", "A 6778-2022")</f>
        <v/>
      </c>
      <c r="Y38">
        <f>HYPERLINK("https://klasma.github.io/Logging_2029/tillsynsmail/A 6778-2022 tillsynsbegäran mail.docx", "A 6778-2022")</f>
        <v/>
      </c>
      <c r="Z38">
        <f>HYPERLINK("https://klasma.github.io/Logging_2029/fåglar/A 6778-2022 prioriterade fågelarter.docx", "A 6778-2022")</f>
        <v/>
      </c>
    </row>
    <row r="39" ht="15" customHeight="1">
      <c r="A39" t="inlineStr">
        <is>
          <t>A 9408-2024</t>
        </is>
      </c>
      <c r="B39" s="1" t="n">
        <v>45358</v>
      </c>
      <c r="C39" s="1" t="n">
        <v>46201</v>
      </c>
      <c r="D39" t="inlineStr">
        <is>
          <t>DALARNAS LÄN</t>
        </is>
      </c>
      <c r="E39" t="inlineStr">
        <is>
          <t>LEKSAND</t>
        </is>
      </c>
      <c r="G39" t="n">
        <v>3</v>
      </c>
      <c r="H39" t="n">
        <v>0</v>
      </c>
      <c r="I39" t="n">
        <v>0</v>
      </c>
      <c r="J39" t="n">
        <v>2</v>
      </c>
      <c r="K39" t="n">
        <v>0</v>
      </c>
      <c r="L39" t="n">
        <v>0</v>
      </c>
      <c r="M39" t="n">
        <v>0</v>
      </c>
      <c r="N39" t="n">
        <v>0</v>
      </c>
      <c r="O39" t="n">
        <v>2</v>
      </c>
      <c r="P39" t="n">
        <v>0</v>
      </c>
      <c r="Q39" t="n">
        <v>2</v>
      </c>
      <c r="R39" s="2" t="inlineStr">
        <is>
          <t>Kolflarnlav
Talltaggsvamp</t>
        </is>
      </c>
      <c r="S39">
        <f>HYPERLINK("https://klasma.github.io/Logging_2029/artfynd/A 9408-2024 artfynd.xlsx", "A 9408-2024")</f>
        <v/>
      </c>
      <c r="T39">
        <f>HYPERLINK("https://klasma.github.io/Logging_2029/kartor/A 9408-2024 karta.png", "A 9408-2024")</f>
        <v/>
      </c>
      <c r="V39">
        <f>HYPERLINK("https://klasma.github.io/Logging_2029/klagomål/A 9408-2024 FSC-klagomål.docx", "A 9408-2024")</f>
        <v/>
      </c>
      <c r="W39">
        <f>HYPERLINK("https://klasma.github.io/Logging_2029/klagomålsmail/A 9408-2024 FSC-klagomål mail.docx", "A 9408-2024")</f>
        <v/>
      </c>
      <c r="X39">
        <f>HYPERLINK("https://klasma.github.io/Logging_2029/tillsyn/A 9408-2024 tillsynsbegäran.docx", "A 9408-2024")</f>
        <v/>
      </c>
      <c r="Y39">
        <f>HYPERLINK("https://klasma.github.io/Logging_2029/tillsynsmail/A 9408-2024 tillsynsbegäran mail.docx", "A 9408-2024")</f>
        <v/>
      </c>
    </row>
    <row r="40" ht="15" customHeight="1">
      <c r="A40" t="inlineStr">
        <is>
          <t>A 27183-2025</t>
        </is>
      </c>
      <c r="B40" s="1" t="n">
        <v>45812</v>
      </c>
      <c r="C40" s="1" t="n">
        <v>46201</v>
      </c>
      <c r="D40" t="inlineStr">
        <is>
          <t>DALARNAS LÄN</t>
        </is>
      </c>
      <c r="E40" t="inlineStr">
        <is>
          <t>LEKSAND</t>
        </is>
      </c>
      <c r="G40" t="n">
        <v>1</v>
      </c>
      <c r="H40" t="n">
        <v>2</v>
      </c>
      <c r="I40" t="n">
        <v>0</v>
      </c>
      <c r="J40" t="n">
        <v>0</v>
      </c>
      <c r="K40" t="n">
        <v>2</v>
      </c>
      <c r="L40" t="n">
        <v>0</v>
      </c>
      <c r="M40" t="n">
        <v>0</v>
      </c>
      <c r="N40" t="n">
        <v>0</v>
      </c>
      <c r="O40" t="n">
        <v>2</v>
      </c>
      <c r="P40" t="n">
        <v>2</v>
      </c>
      <c r="Q40" t="n">
        <v>2</v>
      </c>
      <c r="R40" s="2" t="inlineStr">
        <is>
          <t>Brun gräsfjäril
Väddnätfjäril</t>
        </is>
      </c>
      <c r="S40">
        <f>HYPERLINK("https://klasma.github.io/Logging_2029/artfynd/A 27183-2025 artfynd.xlsx", "A 27183-2025")</f>
        <v/>
      </c>
      <c r="T40">
        <f>HYPERLINK("https://klasma.github.io/Logging_2029/kartor/A 27183-2025 karta.png", "A 27183-2025")</f>
        <v/>
      </c>
      <c r="V40">
        <f>HYPERLINK("https://klasma.github.io/Logging_2029/klagomål/A 27183-2025 FSC-klagomål.docx", "A 27183-2025")</f>
        <v/>
      </c>
      <c r="W40">
        <f>HYPERLINK("https://klasma.github.io/Logging_2029/klagomålsmail/A 27183-2025 FSC-klagomål mail.docx", "A 27183-2025")</f>
        <v/>
      </c>
      <c r="X40">
        <f>HYPERLINK("https://klasma.github.io/Logging_2029/tillsyn/A 27183-2025 tillsynsbegäran.docx", "A 27183-2025")</f>
        <v/>
      </c>
      <c r="Y40">
        <f>HYPERLINK("https://klasma.github.io/Logging_2029/tillsynsmail/A 27183-2025 tillsynsbegäran mail.docx", "A 27183-2025")</f>
        <v/>
      </c>
    </row>
    <row r="41" ht="15" customHeight="1">
      <c r="A41" t="inlineStr">
        <is>
          <t>A 62161-2024</t>
        </is>
      </c>
      <c r="B41" s="1" t="n">
        <v>45656</v>
      </c>
      <c r="C41" s="1" t="n">
        <v>46201</v>
      </c>
      <c r="D41" t="inlineStr">
        <is>
          <t>DALARNAS LÄN</t>
        </is>
      </c>
      <c r="E41" t="inlineStr">
        <is>
          <t>LEKSAND</t>
        </is>
      </c>
      <c r="G41" t="n">
        <v>2</v>
      </c>
      <c r="H41" t="n">
        <v>1</v>
      </c>
      <c r="I41" t="n">
        <v>2</v>
      </c>
      <c r="J41" t="n">
        <v>0</v>
      </c>
      <c r="K41" t="n">
        <v>0</v>
      </c>
      <c r="L41" t="n">
        <v>0</v>
      </c>
      <c r="M41" t="n">
        <v>0</v>
      </c>
      <c r="N41" t="n">
        <v>0</v>
      </c>
      <c r="O41" t="n">
        <v>0</v>
      </c>
      <c r="P41" t="n">
        <v>0</v>
      </c>
      <c r="Q41" t="n">
        <v>2</v>
      </c>
      <c r="R41" s="2" t="inlineStr">
        <is>
          <t>Kambräken
Korallrot</t>
        </is>
      </c>
      <c r="S41">
        <f>HYPERLINK("https://klasma.github.io/Logging_2029/artfynd/A 62161-2024 artfynd.xlsx", "A 62161-2024")</f>
        <v/>
      </c>
      <c r="T41">
        <f>HYPERLINK("https://klasma.github.io/Logging_2029/kartor/A 62161-2024 karta.png", "A 62161-2024")</f>
        <v/>
      </c>
      <c r="V41">
        <f>HYPERLINK("https://klasma.github.io/Logging_2029/klagomål/A 62161-2024 FSC-klagomål.docx", "A 62161-2024")</f>
        <v/>
      </c>
      <c r="W41">
        <f>HYPERLINK("https://klasma.github.io/Logging_2029/klagomålsmail/A 62161-2024 FSC-klagomål mail.docx", "A 62161-2024")</f>
        <v/>
      </c>
      <c r="X41">
        <f>HYPERLINK("https://klasma.github.io/Logging_2029/tillsyn/A 62161-2024 tillsynsbegäran.docx", "A 62161-2024")</f>
        <v/>
      </c>
      <c r="Y41">
        <f>HYPERLINK("https://klasma.github.io/Logging_2029/tillsynsmail/A 62161-2024 tillsynsbegäran mail.docx", "A 62161-2024")</f>
        <v/>
      </c>
    </row>
    <row r="42" ht="15" customHeight="1">
      <c r="A42" t="inlineStr">
        <is>
          <t>A 34996-2025</t>
        </is>
      </c>
      <c r="B42" s="1" t="n">
        <v>45849</v>
      </c>
      <c r="C42" s="1" t="n">
        <v>46201</v>
      </c>
      <c r="D42" t="inlineStr">
        <is>
          <t>DALARNAS LÄN</t>
        </is>
      </c>
      <c r="E42" t="inlineStr">
        <is>
          <t>LEKSAND</t>
        </is>
      </c>
      <c r="G42" t="n">
        <v>1.1</v>
      </c>
      <c r="H42" t="n">
        <v>0</v>
      </c>
      <c r="I42" t="n">
        <v>0</v>
      </c>
      <c r="J42" t="n">
        <v>1</v>
      </c>
      <c r="K42" t="n">
        <v>1</v>
      </c>
      <c r="L42" t="n">
        <v>0</v>
      </c>
      <c r="M42" t="n">
        <v>0</v>
      </c>
      <c r="N42" t="n">
        <v>0</v>
      </c>
      <c r="O42" t="n">
        <v>2</v>
      </c>
      <c r="P42" t="n">
        <v>1</v>
      </c>
      <c r="Q42" t="n">
        <v>2</v>
      </c>
      <c r="R42" s="2" t="inlineStr">
        <is>
          <t>Garnlav
Dvärgbägarlav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41873-2022</t>
        </is>
      </c>
      <c r="B43" s="1" t="n">
        <v>44829</v>
      </c>
      <c r="C43" s="1" t="n">
        <v>46201</v>
      </c>
      <c r="D43" t="inlineStr">
        <is>
          <t>DALARNAS LÄN</t>
        </is>
      </c>
      <c r="E43" t="inlineStr">
        <is>
          <t>LEKSAND</t>
        </is>
      </c>
      <c r="G43" t="n">
        <v>2.1</v>
      </c>
      <c r="H43" t="n">
        <v>1</v>
      </c>
      <c r="I43" t="n">
        <v>1</v>
      </c>
      <c r="J43" t="n">
        <v>0</v>
      </c>
      <c r="K43" t="n">
        <v>0</v>
      </c>
      <c r="L43" t="n">
        <v>0</v>
      </c>
      <c r="M43" t="n">
        <v>0</v>
      </c>
      <c r="N43" t="n">
        <v>0</v>
      </c>
      <c r="O43" t="n">
        <v>0</v>
      </c>
      <c r="P43" t="n">
        <v>0</v>
      </c>
      <c r="Q43" t="n">
        <v>2</v>
      </c>
      <c r="R43" s="2" t="inlineStr">
        <is>
          <t>Underviol
Spillkråka</t>
        </is>
      </c>
      <c r="S43">
        <f>HYPERLINK("https://klasma.github.io/Logging_2029/artfynd/A 41873-2022 artfynd.xlsx", "A 41873-2022")</f>
        <v/>
      </c>
      <c r="T43">
        <f>HYPERLINK("https://klasma.github.io/Logging_2029/kartor/A 41873-2022 karta.png", "A 41873-2022")</f>
        <v/>
      </c>
      <c r="V43">
        <f>HYPERLINK("https://klasma.github.io/Logging_2029/klagomål/A 41873-2022 FSC-klagomål.docx", "A 41873-2022")</f>
        <v/>
      </c>
      <c r="W43">
        <f>HYPERLINK("https://klasma.github.io/Logging_2029/klagomålsmail/A 41873-2022 FSC-klagomål mail.docx", "A 41873-2022")</f>
        <v/>
      </c>
      <c r="X43">
        <f>HYPERLINK("https://klasma.github.io/Logging_2029/tillsyn/A 41873-2022 tillsynsbegäran.docx", "A 41873-2022")</f>
        <v/>
      </c>
      <c r="Y43">
        <f>HYPERLINK("https://klasma.github.io/Logging_2029/tillsynsmail/A 41873-2022 tillsynsbegäran mail.docx", "A 41873-2022")</f>
        <v/>
      </c>
      <c r="Z43">
        <f>HYPERLINK("https://klasma.github.io/Logging_2029/fåglar/A 41873-2022 prioriterade fågelarter.docx", "A 41873-2022")</f>
        <v/>
      </c>
    </row>
    <row r="44" ht="15" customHeight="1">
      <c r="A44" t="inlineStr">
        <is>
          <t>A 39546-2025</t>
        </is>
      </c>
      <c r="B44" s="1" t="n">
        <v>45890</v>
      </c>
      <c r="C44" s="1" t="n">
        <v>46201</v>
      </c>
      <c r="D44" t="inlineStr">
        <is>
          <t>DALARNAS LÄN</t>
        </is>
      </c>
      <c r="E44" t="inlineStr">
        <is>
          <t>LEKSAND</t>
        </is>
      </c>
      <c r="G44" t="n">
        <v>4.6</v>
      </c>
      <c r="H44" t="n">
        <v>0</v>
      </c>
      <c r="I44" t="n">
        <v>1</v>
      </c>
      <c r="J44" t="n">
        <v>0</v>
      </c>
      <c r="K44" t="n">
        <v>1</v>
      </c>
      <c r="L44" t="n">
        <v>0</v>
      </c>
      <c r="M44" t="n">
        <v>0</v>
      </c>
      <c r="N44" t="n">
        <v>0</v>
      </c>
      <c r="O44" t="n">
        <v>1</v>
      </c>
      <c r="P44" t="n">
        <v>1</v>
      </c>
      <c r="Q44" t="n">
        <v>2</v>
      </c>
      <c r="R44" s="2" t="inlineStr">
        <is>
          <t>Aspgelélav
Stuplav</t>
        </is>
      </c>
      <c r="S44">
        <f>HYPERLINK("https://klasma.github.io/Logging_2029/artfynd/A 39546-2025 artfynd.xlsx", "A 39546-2025")</f>
        <v/>
      </c>
      <c r="T44">
        <f>HYPERLINK("https://klasma.github.io/Logging_2029/kartor/A 39546-2025 karta.png", "A 39546-2025")</f>
        <v/>
      </c>
      <c r="V44">
        <f>HYPERLINK("https://klasma.github.io/Logging_2029/klagomål/A 39546-2025 FSC-klagomål.docx", "A 39546-2025")</f>
        <v/>
      </c>
      <c r="W44">
        <f>HYPERLINK("https://klasma.github.io/Logging_2029/klagomålsmail/A 39546-2025 FSC-klagomål mail.docx", "A 39546-2025")</f>
        <v/>
      </c>
      <c r="X44">
        <f>HYPERLINK("https://klasma.github.io/Logging_2029/tillsyn/A 39546-2025 tillsynsbegäran.docx", "A 39546-2025")</f>
        <v/>
      </c>
      <c r="Y44">
        <f>HYPERLINK("https://klasma.github.io/Logging_2029/tillsynsmail/A 39546-2025 tillsynsbegäran mail.docx", "A 39546-2025")</f>
        <v/>
      </c>
    </row>
    <row r="45" ht="15" customHeight="1">
      <c r="A45" t="inlineStr">
        <is>
          <t>A 368-2026</t>
        </is>
      </c>
      <c r="B45" s="1" t="n">
        <v>46027</v>
      </c>
      <c r="C45" s="1" t="n">
        <v>46201</v>
      </c>
      <c r="D45" t="inlineStr">
        <is>
          <t>DALARNAS LÄN</t>
        </is>
      </c>
      <c r="E45" t="inlineStr">
        <is>
          <t>LEKSAND</t>
        </is>
      </c>
      <c r="G45" t="n">
        <v>3.2</v>
      </c>
      <c r="H45" t="n">
        <v>0</v>
      </c>
      <c r="I45" t="n">
        <v>0</v>
      </c>
      <c r="J45" t="n">
        <v>2</v>
      </c>
      <c r="K45" t="n">
        <v>0</v>
      </c>
      <c r="L45" t="n">
        <v>0</v>
      </c>
      <c r="M45" t="n">
        <v>0</v>
      </c>
      <c r="N45" t="n">
        <v>0</v>
      </c>
      <c r="O45" t="n">
        <v>2</v>
      </c>
      <c r="P45" t="n">
        <v>0</v>
      </c>
      <c r="Q45" t="n">
        <v>2</v>
      </c>
      <c r="R45" s="2" t="inlineStr">
        <is>
          <t>Rosenticka
Rynkskinn</t>
        </is>
      </c>
      <c r="S45">
        <f>HYPERLINK("https://klasma.github.io/Logging_2029/artfynd/A 368-2026 artfynd.xlsx", "A 368-2026")</f>
        <v/>
      </c>
      <c r="T45">
        <f>HYPERLINK("https://klasma.github.io/Logging_2029/kartor/A 368-2026 karta.png", "A 368-2026")</f>
        <v/>
      </c>
      <c r="V45">
        <f>HYPERLINK("https://klasma.github.io/Logging_2029/klagomål/A 368-2026 FSC-klagomål.docx", "A 368-2026")</f>
        <v/>
      </c>
      <c r="W45">
        <f>HYPERLINK("https://klasma.github.io/Logging_2029/klagomålsmail/A 368-2026 FSC-klagomål mail.docx", "A 368-2026")</f>
        <v/>
      </c>
      <c r="X45">
        <f>HYPERLINK("https://klasma.github.io/Logging_2029/tillsyn/A 368-2026 tillsynsbegäran.docx", "A 368-2026")</f>
        <v/>
      </c>
      <c r="Y45">
        <f>HYPERLINK("https://klasma.github.io/Logging_2029/tillsynsmail/A 368-2026 tillsynsbegäran mail.docx", "A 368-2026")</f>
        <v/>
      </c>
    </row>
    <row r="46" ht="15" customHeight="1">
      <c r="A46" t="inlineStr">
        <is>
          <t>A 70451-2021</t>
        </is>
      </c>
      <c r="B46" s="1" t="n">
        <v>44536</v>
      </c>
      <c r="C46" s="1" t="n">
        <v>46201</v>
      </c>
      <c r="D46" t="inlineStr">
        <is>
          <t>DALARNAS LÄN</t>
        </is>
      </c>
      <c r="E46" t="inlineStr">
        <is>
          <t>LEKSAND</t>
        </is>
      </c>
      <c r="G46" t="n">
        <v>3.7</v>
      </c>
      <c r="H46" t="n">
        <v>0</v>
      </c>
      <c r="I46" t="n">
        <v>0</v>
      </c>
      <c r="J46" t="n">
        <v>1</v>
      </c>
      <c r="K46" t="n">
        <v>0</v>
      </c>
      <c r="L46" t="n">
        <v>0</v>
      </c>
      <c r="M46" t="n">
        <v>0</v>
      </c>
      <c r="N46" t="n">
        <v>0</v>
      </c>
      <c r="O46" t="n">
        <v>1</v>
      </c>
      <c r="P46" t="n">
        <v>0</v>
      </c>
      <c r="Q46" t="n">
        <v>1</v>
      </c>
      <c r="R46" s="2" t="inlineStr">
        <is>
          <t>Gullpudra</t>
        </is>
      </c>
      <c r="S46">
        <f>HYPERLINK("https://klasma.github.io/Logging_2029/artfynd/A 70451-2021 artfynd.xlsx", "A 70451-2021")</f>
        <v/>
      </c>
      <c r="T46">
        <f>HYPERLINK("https://klasma.github.io/Logging_2029/kartor/A 70451-2021 karta.png", "A 70451-2021")</f>
        <v/>
      </c>
      <c r="V46">
        <f>HYPERLINK("https://klasma.github.io/Logging_2029/klagomål/A 70451-2021 FSC-klagomål.docx", "A 70451-2021")</f>
        <v/>
      </c>
      <c r="W46">
        <f>HYPERLINK("https://klasma.github.io/Logging_2029/klagomålsmail/A 70451-2021 FSC-klagomål mail.docx", "A 70451-2021")</f>
        <v/>
      </c>
      <c r="X46">
        <f>HYPERLINK("https://klasma.github.io/Logging_2029/tillsyn/A 70451-2021 tillsynsbegäran.docx", "A 70451-2021")</f>
        <v/>
      </c>
      <c r="Y46">
        <f>HYPERLINK("https://klasma.github.io/Logging_2029/tillsynsmail/A 70451-2021 tillsynsbegäran mail.docx", "A 70451-2021")</f>
        <v/>
      </c>
    </row>
    <row r="47" ht="15" customHeight="1">
      <c r="A47" t="inlineStr">
        <is>
          <t>A 51502-2022</t>
        </is>
      </c>
      <c r="B47" s="1" t="n">
        <v>44869</v>
      </c>
      <c r="C47" s="1" t="n">
        <v>46201</v>
      </c>
      <c r="D47" t="inlineStr">
        <is>
          <t>DALARNAS LÄN</t>
        </is>
      </c>
      <c r="E47" t="inlineStr">
        <is>
          <t>LEKSAND</t>
        </is>
      </c>
      <c r="F47" t="inlineStr">
        <is>
          <t>Bergvik skog väst AB</t>
        </is>
      </c>
      <c r="G47" t="n">
        <v>2.4</v>
      </c>
      <c r="H47" t="n">
        <v>0</v>
      </c>
      <c r="I47" t="n">
        <v>0</v>
      </c>
      <c r="J47" t="n">
        <v>0</v>
      </c>
      <c r="K47" t="n">
        <v>1</v>
      </c>
      <c r="L47" t="n">
        <v>0</v>
      </c>
      <c r="M47" t="n">
        <v>0</v>
      </c>
      <c r="N47" t="n">
        <v>0</v>
      </c>
      <c r="O47" t="n">
        <v>1</v>
      </c>
      <c r="P47" t="n">
        <v>1</v>
      </c>
      <c r="Q47" t="n">
        <v>1</v>
      </c>
      <c r="R47" s="2" t="inlineStr">
        <is>
          <t>Garnlav</t>
        </is>
      </c>
      <c r="S47">
        <f>HYPERLINK("https://klasma.github.io/Logging_2029/artfynd/A 51502-2022 artfynd.xlsx", "A 51502-2022")</f>
        <v/>
      </c>
      <c r="T47">
        <f>HYPERLINK("https://klasma.github.io/Logging_2029/kartor/A 51502-2022 karta.png", "A 51502-2022")</f>
        <v/>
      </c>
      <c r="V47">
        <f>HYPERLINK("https://klasma.github.io/Logging_2029/klagomål/A 51502-2022 FSC-klagomål.docx", "A 51502-2022")</f>
        <v/>
      </c>
      <c r="W47">
        <f>HYPERLINK("https://klasma.github.io/Logging_2029/klagomålsmail/A 51502-2022 FSC-klagomål mail.docx", "A 51502-2022")</f>
        <v/>
      </c>
      <c r="X47">
        <f>HYPERLINK("https://klasma.github.io/Logging_2029/tillsyn/A 51502-2022 tillsynsbegäran.docx", "A 51502-2022")</f>
        <v/>
      </c>
      <c r="Y47">
        <f>HYPERLINK("https://klasma.github.io/Logging_2029/tillsynsmail/A 51502-2022 tillsynsbegäran mail.docx", "A 51502-2022")</f>
        <v/>
      </c>
    </row>
    <row r="48" ht="15" customHeight="1">
      <c r="A48" t="inlineStr">
        <is>
          <t>A 26289-2022</t>
        </is>
      </c>
      <c r="B48" s="1" t="n">
        <v>44735</v>
      </c>
      <c r="C48" s="1" t="n">
        <v>46201</v>
      </c>
      <c r="D48" t="inlineStr">
        <is>
          <t>DALARNAS LÄN</t>
        </is>
      </c>
      <c r="E48" t="inlineStr">
        <is>
          <t>LEKSAND</t>
        </is>
      </c>
      <c r="G48" t="n">
        <v>1</v>
      </c>
      <c r="H48" t="n">
        <v>1</v>
      </c>
      <c r="I48" t="n">
        <v>1</v>
      </c>
      <c r="J48" t="n">
        <v>0</v>
      </c>
      <c r="K48" t="n">
        <v>0</v>
      </c>
      <c r="L48" t="n">
        <v>0</v>
      </c>
      <c r="M48" t="n">
        <v>0</v>
      </c>
      <c r="N48" t="n">
        <v>0</v>
      </c>
      <c r="O48" t="n">
        <v>0</v>
      </c>
      <c r="P48" t="n">
        <v>0</v>
      </c>
      <c r="Q48" t="n">
        <v>1</v>
      </c>
      <c r="R48" s="2" t="inlineStr">
        <is>
          <t>Skogsknipprot</t>
        </is>
      </c>
      <c r="S48">
        <f>HYPERLINK("https://klasma.github.io/Logging_2029/artfynd/A 26289-2022 artfynd.xlsx", "A 26289-2022")</f>
        <v/>
      </c>
      <c r="T48">
        <f>HYPERLINK("https://klasma.github.io/Logging_2029/kartor/A 26289-2022 karta.png", "A 26289-2022")</f>
        <v/>
      </c>
      <c r="V48">
        <f>HYPERLINK("https://klasma.github.io/Logging_2029/klagomål/A 26289-2022 FSC-klagomål.docx", "A 26289-2022")</f>
        <v/>
      </c>
      <c r="W48">
        <f>HYPERLINK("https://klasma.github.io/Logging_2029/klagomålsmail/A 26289-2022 FSC-klagomål mail.docx", "A 26289-2022")</f>
        <v/>
      </c>
      <c r="X48">
        <f>HYPERLINK("https://klasma.github.io/Logging_2029/tillsyn/A 26289-2022 tillsynsbegäran.docx", "A 26289-2022")</f>
        <v/>
      </c>
      <c r="Y48">
        <f>HYPERLINK("https://klasma.github.io/Logging_2029/tillsynsmail/A 26289-2022 tillsynsbegäran mail.docx", "A 26289-2022")</f>
        <v/>
      </c>
    </row>
    <row r="49" ht="15" customHeight="1">
      <c r="A49" t="inlineStr">
        <is>
          <t>A 30449-2022</t>
        </is>
      </c>
      <c r="B49" s="1" t="n">
        <v>44761</v>
      </c>
      <c r="C49" s="1" t="n">
        <v>46201</v>
      </c>
      <c r="D49" t="inlineStr">
        <is>
          <t>DALARNAS LÄN</t>
        </is>
      </c>
      <c r="E49" t="inlineStr">
        <is>
          <t>LEKSAND</t>
        </is>
      </c>
      <c r="G49" t="n">
        <v>5.7</v>
      </c>
      <c r="H49" t="n">
        <v>1</v>
      </c>
      <c r="I49" t="n">
        <v>0</v>
      </c>
      <c r="J49" t="n">
        <v>0</v>
      </c>
      <c r="K49" t="n">
        <v>0</v>
      </c>
      <c r="L49" t="n">
        <v>0</v>
      </c>
      <c r="M49" t="n">
        <v>0</v>
      </c>
      <c r="N49" t="n">
        <v>0</v>
      </c>
      <c r="O49" t="n">
        <v>0</v>
      </c>
      <c r="P49" t="n">
        <v>0</v>
      </c>
      <c r="Q49" t="n">
        <v>1</v>
      </c>
      <c r="R49" s="2" t="inlineStr">
        <is>
          <t>Orre</t>
        </is>
      </c>
      <c r="S49">
        <f>HYPERLINK("https://klasma.github.io/Logging_2029/artfynd/A 30449-2022 artfynd.xlsx", "A 30449-2022")</f>
        <v/>
      </c>
      <c r="T49">
        <f>HYPERLINK("https://klasma.github.io/Logging_2029/kartor/A 30449-2022 karta.png", "A 30449-2022")</f>
        <v/>
      </c>
      <c r="V49">
        <f>HYPERLINK("https://klasma.github.io/Logging_2029/klagomål/A 30449-2022 FSC-klagomål.docx", "A 30449-2022")</f>
        <v/>
      </c>
      <c r="W49">
        <f>HYPERLINK("https://klasma.github.io/Logging_2029/klagomålsmail/A 30449-2022 FSC-klagomål mail.docx", "A 30449-2022")</f>
        <v/>
      </c>
      <c r="X49">
        <f>HYPERLINK("https://klasma.github.io/Logging_2029/tillsyn/A 30449-2022 tillsynsbegäran.docx", "A 30449-2022")</f>
        <v/>
      </c>
      <c r="Y49">
        <f>HYPERLINK("https://klasma.github.io/Logging_2029/tillsynsmail/A 30449-2022 tillsynsbegäran mail.docx", "A 30449-2022")</f>
        <v/>
      </c>
      <c r="Z49">
        <f>HYPERLINK("https://klasma.github.io/Logging_2029/fåglar/A 30449-2022 prioriterade fågelarter.docx", "A 30449-2022")</f>
        <v/>
      </c>
    </row>
    <row r="50" ht="15" customHeight="1">
      <c r="A50" t="inlineStr">
        <is>
          <t>A 30175-2023</t>
        </is>
      </c>
      <c r="B50" s="1" t="n">
        <v>45110</v>
      </c>
      <c r="C50" s="1" t="n">
        <v>46201</v>
      </c>
      <c r="D50" t="inlineStr">
        <is>
          <t>DALARNAS LÄN</t>
        </is>
      </c>
      <c r="E50" t="inlineStr">
        <is>
          <t>LEKSAND</t>
        </is>
      </c>
      <c r="G50" t="n">
        <v>0.5</v>
      </c>
      <c r="H50" t="n">
        <v>1</v>
      </c>
      <c r="I50" t="n">
        <v>1</v>
      </c>
      <c r="J50" t="n">
        <v>0</v>
      </c>
      <c r="K50" t="n">
        <v>0</v>
      </c>
      <c r="L50" t="n">
        <v>0</v>
      </c>
      <c r="M50" t="n">
        <v>0</v>
      </c>
      <c r="N50" t="n">
        <v>0</v>
      </c>
      <c r="O50" t="n">
        <v>0</v>
      </c>
      <c r="P50" t="n">
        <v>0</v>
      </c>
      <c r="Q50" t="n">
        <v>1</v>
      </c>
      <c r="R50" s="2" t="inlineStr">
        <is>
          <t>Guckusko</t>
        </is>
      </c>
      <c r="S50">
        <f>HYPERLINK("https://klasma.github.io/Logging_2029/artfynd/A 30175-2023 artfynd.xlsx", "A 30175-2023")</f>
        <v/>
      </c>
      <c r="T50">
        <f>HYPERLINK("https://klasma.github.io/Logging_2029/kartor/A 30175-2023 karta.png", "A 30175-2023")</f>
        <v/>
      </c>
      <c r="V50">
        <f>HYPERLINK("https://klasma.github.io/Logging_2029/klagomål/A 30175-2023 FSC-klagomål.docx", "A 30175-2023")</f>
        <v/>
      </c>
      <c r="W50">
        <f>HYPERLINK("https://klasma.github.io/Logging_2029/klagomålsmail/A 30175-2023 FSC-klagomål mail.docx", "A 30175-2023")</f>
        <v/>
      </c>
      <c r="X50">
        <f>HYPERLINK("https://klasma.github.io/Logging_2029/tillsyn/A 30175-2023 tillsynsbegäran.docx", "A 30175-2023")</f>
        <v/>
      </c>
      <c r="Y50">
        <f>HYPERLINK("https://klasma.github.io/Logging_2029/tillsynsmail/A 30175-2023 tillsynsbegäran mail.docx", "A 30175-2023")</f>
        <v/>
      </c>
    </row>
    <row r="51" ht="15" customHeight="1">
      <c r="A51" t="inlineStr">
        <is>
          <t>A 59751-2024</t>
        </is>
      </c>
      <c r="B51" s="1" t="n">
        <v>45638</v>
      </c>
      <c r="C51" s="1" t="n">
        <v>46201</v>
      </c>
      <c r="D51" t="inlineStr">
        <is>
          <t>DALARNAS LÄN</t>
        </is>
      </c>
      <c r="E51" t="inlineStr">
        <is>
          <t>LEKSAND</t>
        </is>
      </c>
      <c r="G51" t="n">
        <v>5.2</v>
      </c>
      <c r="H51" t="n">
        <v>1</v>
      </c>
      <c r="I51" t="n">
        <v>0</v>
      </c>
      <c r="J51" t="n">
        <v>0</v>
      </c>
      <c r="K51" t="n">
        <v>0</v>
      </c>
      <c r="L51" t="n">
        <v>0</v>
      </c>
      <c r="M51" t="n">
        <v>0</v>
      </c>
      <c r="N51" t="n">
        <v>0</v>
      </c>
      <c r="O51" t="n">
        <v>0</v>
      </c>
      <c r="P51" t="n">
        <v>0</v>
      </c>
      <c r="Q51" t="n">
        <v>1</v>
      </c>
      <c r="R51" s="2" t="inlineStr">
        <is>
          <t>Spillkråka</t>
        </is>
      </c>
      <c r="S51">
        <f>HYPERLINK("https://klasma.github.io/Logging_2029/artfynd/A 59751-2024 artfynd.xlsx", "A 59751-2024")</f>
        <v/>
      </c>
      <c r="T51">
        <f>HYPERLINK("https://klasma.github.io/Logging_2029/kartor/A 59751-2024 karta.png", "A 59751-2024")</f>
        <v/>
      </c>
      <c r="V51">
        <f>HYPERLINK("https://klasma.github.io/Logging_2029/klagomål/A 59751-2024 FSC-klagomål.docx", "A 59751-2024")</f>
        <v/>
      </c>
      <c r="W51">
        <f>HYPERLINK("https://klasma.github.io/Logging_2029/klagomålsmail/A 59751-2024 FSC-klagomål mail.docx", "A 59751-2024")</f>
        <v/>
      </c>
      <c r="X51">
        <f>HYPERLINK("https://klasma.github.io/Logging_2029/tillsyn/A 59751-2024 tillsynsbegäran.docx", "A 59751-2024")</f>
        <v/>
      </c>
      <c r="Y51">
        <f>HYPERLINK("https://klasma.github.io/Logging_2029/tillsynsmail/A 59751-2024 tillsynsbegäran mail.docx", "A 59751-2024")</f>
        <v/>
      </c>
      <c r="Z51">
        <f>HYPERLINK("https://klasma.github.io/Logging_2029/fåglar/A 59751-2024 prioriterade fågelarter.docx", "A 59751-2024")</f>
        <v/>
      </c>
    </row>
    <row r="52" ht="15" customHeight="1">
      <c r="A52" t="inlineStr">
        <is>
          <t>A 33318-2023</t>
        </is>
      </c>
      <c r="B52" s="1" t="n">
        <v>45127</v>
      </c>
      <c r="C52" s="1" t="n">
        <v>46201</v>
      </c>
      <c r="D52" t="inlineStr">
        <is>
          <t>DALARNAS LÄN</t>
        </is>
      </c>
      <c r="E52" t="inlineStr">
        <is>
          <t>LEKSAND</t>
        </is>
      </c>
      <c r="G52" t="n">
        <v>5.5</v>
      </c>
      <c r="H52" t="n">
        <v>1</v>
      </c>
      <c r="I52" t="n">
        <v>0</v>
      </c>
      <c r="J52" t="n">
        <v>1</v>
      </c>
      <c r="K52" t="n">
        <v>0</v>
      </c>
      <c r="L52" t="n">
        <v>0</v>
      </c>
      <c r="M52" t="n">
        <v>0</v>
      </c>
      <c r="N52" t="n">
        <v>0</v>
      </c>
      <c r="O52" t="n">
        <v>1</v>
      </c>
      <c r="P52" t="n">
        <v>0</v>
      </c>
      <c r="Q52" t="n">
        <v>1</v>
      </c>
      <c r="R52" s="2" t="inlineStr">
        <is>
          <t>Sparvuggla</t>
        </is>
      </c>
      <c r="S52">
        <f>HYPERLINK("https://klasma.github.io/Logging_2029/artfynd/A 33318-2023 artfynd.xlsx", "A 33318-2023")</f>
        <v/>
      </c>
      <c r="T52">
        <f>HYPERLINK("https://klasma.github.io/Logging_2029/kartor/A 33318-2023 karta.png", "A 33318-2023")</f>
        <v/>
      </c>
      <c r="V52">
        <f>HYPERLINK("https://klasma.github.io/Logging_2029/klagomål/A 33318-2023 FSC-klagomål.docx", "A 33318-2023")</f>
        <v/>
      </c>
      <c r="W52">
        <f>HYPERLINK("https://klasma.github.io/Logging_2029/klagomålsmail/A 33318-2023 FSC-klagomål mail.docx", "A 33318-2023")</f>
        <v/>
      </c>
      <c r="X52">
        <f>HYPERLINK("https://klasma.github.io/Logging_2029/tillsyn/A 33318-2023 tillsynsbegäran.docx", "A 33318-2023")</f>
        <v/>
      </c>
      <c r="Y52">
        <f>HYPERLINK("https://klasma.github.io/Logging_2029/tillsynsmail/A 33318-2023 tillsynsbegäran mail.docx", "A 33318-2023")</f>
        <v/>
      </c>
      <c r="Z52">
        <f>HYPERLINK("https://klasma.github.io/Logging_2029/fåglar/A 33318-2023 prioriterade fågelarter.docx", "A 33318-2023")</f>
        <v/>
      </c>
    </row>
    <row r="53" ht="15" customHeight="1">
      <c r="A53" t="inlineStr">
        <is>
          <t>A 55633-2024</t>
        </is>
      </c>
      <c r="B53" s="1" t="n">
        <v>45621</v>
      </c>
      <c r="C53" s="1" t="n">
        <v>46201</v>
      </c>
      <c r="D53" t="inlineStr">
        <is>
          <t>DALARNAS LÄN</t>
        </is>
      </c>
      <c r="E53" t="inlineStr">
        <is>
          <t>LEKSAND</t>
        </is>
      </c>
      <c r="G53" t="n">
        <v>7.8</v>
      </c>
      <c r="H53" t="n">
        <v>0</v>
      </c>
      <c r="I53" t="n">
        <v>0</v>
      </c>
      <c r="J53" t="n">
        <v>1</v>
      </c>
      <c r="K53" t="n">
        <v>0</v>
      </c>
      <c r="L53" t="n">
        <v>0</v>
      </c>
      <c r="M53" t="n">
        <v>0</v>
      </c>
      <c r="N53" t="n">
        <v>0</v>
      </c>
      <c r="O53" t="n">
        <v>1</v>
      </c>
      <c r="P53" t="n">
        <v>0</v>
      </c>
      <c r="Q53" t="n">
        <v>1</v>
      </c>
      <c r="R53" s="2" t="inlineStr">
        <is>
          <t>Ullticka</t>
        </is>
      </c>
      <c r="S53">
        <f>HYPERLINK("https://klasma.github.io/Logging_2029/artfynd/A 55633-2024 artfynd.xlsx", "A 55633-2024")</f>
        <v/>
      </c>
      <c r="T53">
        <f>HYPERLINK("https://klasma.github.io/Logging_2029/kartor/A 55633-2024 karta.png", "A 55633-2024")</f>
        <v/>
      </c>
      <c r="V53">
        <f>HYPERLINK("https://klasma.github.io/Logging_2029/klagomål/A 55633-2024 FSC-klagomål.docx", "A 55633-2024")</f>
        <v/>
      </c>
      <c r="W53">
        <f>HYPERLINK("https://klasma.github.io/Logging_2029/klagomålsmail/A 55633-2024 FSC-klagomål mail.docx", "A 55633-2024")</f>
        <v/>
      </c>
      <c r="X53">
        <f>HYPERLINK("https://klasma.github.io/Logging_2029/tillsyn/A 55633-2024 tillsynsbegäran.docx", "A 55633-2024")</f>
        <v/>
      </c>
      <c r="Y53">
        <f>HYPERLINK("https://klasma.github.io/Logging_2029/tillsynsmail/A 55633-2024 tillsynsbegäran mail.docx", "A 55633-2024")</f>
        <v/>
      </c>
    </row>
    <row r="54" ht="15" customHeight="1">
      <c r="A54" t="inlineStr">
        <is>
          <t>A 4257-2022</t>
        </is>
      </c>
      <c r="B54" s="1" t="n">
        <v>44588</v>
      </c>
      <c r="C54" s="1" t="n">
        <v>46201</v>
      </c>
      <c r="D54" t="inlineStr">
        <is>
          <t>DALARNAS LÄN</t>
        </is>
      </c>
      <c r="E54" t="inlineStr">
        <is>
          <t>LEKSAND</t>
        </is>
      </c>
      <c r="G54" t="n">
        <v>6.8</v>
      </c>
      <c r="H54" t="n">
        <v>1</v>
      </c>
      <c r="I54" t="n">
        <v>1</v>
      </c>
      <c r="J54" t="n">
        <v>0</v>
      </c>
      <c r="K54" t="n">
        <v>0</v>
      </c>
      <c r="L54" t="n">
        <v>0</v>
      </c>
      <c r="M54" t="n">
        <v>0</v>
      </c>
      <c r="N54" t="n">
        <v>0</v>
      </c>
      <c r="O54" t="n">
        <v>0</v>
      </c>
      <c r="P54" t="n">
        <v>0</v>
      </c>
      <c r="Q54" t="n">
        <v>1</v>
      </c>
      <c r="R54" s="2" t="inlineStr">
        <is>
          <t>Skogsknipprot</t>
        </is>
      </c>
      <c r="S54">
        <f>HYPERLINK("https://klasma.github.io/Logging_2029/artfynd/A 4257-2022 artfynd.xlsx", "A 4257-2022")</f>
        <v/>
      </c>
      <c r="T54">
        <f>HYPERLINK("https://klasma.github.io/Logging_2029/kartor/A 4257-2022 karta.png", "A 4257-2022")</f>
        <v/>
      </c>
      <c r="V54">
        <f>HYPERLINK("https://klasma.github.io/Logging_2029/klagomål/A 4257-2022 FSC-klagomål.docx", "A 4257-2022")</f>
        <v/>
      </c>
      <c r="W54">
        <f>HYPERLINK("https://klasma.github.io/Logging_2029/klagomålsmail/A 4257-2022 FSC-klagomål mail.docx", "A 4257-2022")</f>
        <v/>
      </c>
      <c r="X54">
        <f>HYPERLINK("https://klasma.github.io/Logging_2029/tillsyn/A 4257-2022 tillsynsbegäran.docx", "A 4257-2022")</f>
        <v/>
      </c>
      <c r="Y54">
        <f>HYPERLINK("https://klasma.github.io/Logging_2029/tillsynsmail/A 4257-2022 tillsynsbegäran mail.docx", "A 4257-2022")</f>
        <v/>
      </c>
    </row>
    <row r="55" ht="15" customHeight="1">
      <c r="A55" t="inlineStr">
        <is>
          <t>A 32635-2021</t>
        </is>
      </c>
      <c r="B55" s="1" t="n">
        <v>44374</v>
      </c>
      <c r="C55" s="1" t="n">
        <v>46201</v>
      </c>
      <c r="D55" t="inlineStr">
        <is>
          <t>DALARNAS LÄN</t>
        </is>
      </c>
      <c r="E55" t="inlineStr">
        <is>
          <t>LEKSAND</t>
        </is>
      </c>
      <c r="G55" t="n">
        <v>1.2</v>
      </c>
      <c r="H55" t="n">
        <v>1</v>
      </c>
      <c r="I55" t="n">
        <v>0</v>
      </c>
      <c r="J55" t="n">
        <v>0</v>
      </c>
      <c r="K55" t="n">
        <v>1</v>
      </c>
      <c r="L55" t="n">
        <v>0</v>
      </c>
      <c r="M55" t="n">
        <v>0</v>
      </c>
      <c r="N55" t="n">
        <v>0</v>
      </c>
      <c r="O55" t="n">
        <v>1</v>
      </c>
      <c r="P55" t="n">
        <v>1</v>
      </c>
      <c r="Q55" t="n">
        <v>1</v>
      </c>
      <c r="R55" s="2" t="inlineStr">
        <is>
          <t>Brun gräsfjäril</t>
        </is>
      </c>
      <c r="S55">
        <f>HYPERLINK("https://klasma.github.io/Logging_2029/artfynd/A 32635-2021 artfynd.xlsx", "A 32635-2021")</f>
        <v/>
      </c>
      <c r="T55">
        <f>HYPERLINK("https://klasma.github.io/Logging_2029/kartor/A 32635-2021 karta.png", "A 32635-2021")</f>
        <v/>
      </c>
      <c r="V55">
        <f>HYPERLINK("https://klasma.github.io/Logging_2029/klagomål/A 32635-2021 FSC-klagomål.docx", "A 32635-2021")</f>
        <v/>
      </c>
      <c r="W55">
        <f>HYPERLINK("https://klasma.github.io/Logging_2029/klagomålsmail/A 32635-2021 FSC-klagomål mail.docx", "A 32635-2021")</f>
        <v/>
      </c>
      <c r="X55">
        <f>HYPERLINK("https://klasma.github.io/Logging_2029/tillsyn/A 32635-2021 tillsynsbegäran.docx", "A 32635-2021")</f>
        <v/>
      </c>
      <c r="Y55">
        <f>HYPERLINK("https://klasma.github.io/Logging_2029/tillsynsmail/A 32635-2021 tillsynsbegäran mail.docx", "A 32635-2021")</f>
        <v/>
      </c>
    </row>
    <row r="56" ht="15" customHeight="1">
      <c r="A56" t="inlineStr">
        <is>
          <t>A 11218-2023</t>
        </is>
      </c>
      <c r="B56" s="1" t="n">
        <v>44992</v>
      </c>
      <c r="C56" s="1" t="n">
        <v>46201</v>
      </c>
      <c r="D56" t="inlineStr">
        <is>
          <t>DALARNAS LÄN</t>
        </is>
      </c>
      <c r="E56" t="inlineStr">
        <is>
          <t>LEKSAND</t>
        </is>
      </c>
      <c r="G56" t="n">
        <v>2.6</v>
      </c>
      <c r="H56" t="n">
        <v>1</v>
      </c>
      <c r="I56" t="n">
        <v>0</v>
      </c>
      <c r="J56" t="n">
        <v>0</v>
      </c>
      <c r="K56" t="n">
        <v>1</v>
      </c>
      <c r="L56" t="n">
        <v>0</v>
      </c>
      <c r="M56" t="n">
        <v>0</v>
      </c>
      <c r="N56" t="n">
        <v>0</v>
      </c>
      <c r="O56" t="n">
        <v>1</v>
      </c>
      <c r="P56" t="n">
        <v>1</v>
      </c>
      <c r="Q56" t="n">
        <v>1</v>
      </c>
      <c r="R56" s="2" t="inlineStr">
        <is>
          <t>Knärot</t>
        </is>
      </c>
      <c r="S56">
        <f>HYPERLINK("https://klasma.github.io/Logging_2029/artfynd/A 11218-2023 artfynd.xlsx", "A 11218-2023")</f>
        <v/>
      </c>
      <c r="T56">
        <f>HYPERLINK("https://klasma.github.io/Logging_2029/kartor/A 11218-2023 karta.png", "A 11218-2023")</f>
        <v/>
      </c>
      <c r="U56">
        <f>HYPERLINK("https://klasma.github.io/Logging_2029/knärot/A 11218-2023 karta knärot.png", "A 11218-2023")</f>
        <v/>
      </c>
      <c r="V56">
        <f>HYPERLINK("https://klasma.github.io/Logging_2029/klagomål/A 11218-2023 FSC-klagomål.docx", "A 11218-2023")</f>
        <v/>
      </c>
      <c r="W56">
        <f>HYPERLINK("https://klasma.github.io/Logging_2029/klagomålsmail/A 11218-2023 FSC-klagomål mail.docx", "A 11218-2023")</f>
        <v/>
      </c>
      <c r="X56">
        <f>HYPERLINK("https://klasma.github.io/Logging_2029/tillsyn/A 11218-2023 tillsynsbegäran.docx", "A 11218-2023")</f>
        <v/>
      </c>
      <c r="Y56">
        <f>HYPERLINK("https://klasma.github.io/Logging_2029/tillsynsmail/A 11218-2023 tillsynsbegäran mail.docx", "A 11218-2023")</f>
        <v/>
      </c>
    </row>
    <row r="57" ht="15" customHeight="1">
      <c r="A57" t="inlineStr">
        <is>
          <t>A 4974-2025</t>
        </is>
      </c>
      <c r="B57" s="1" t="n">
        <v>45690</v>
      </c>
      <c r="C57" s="1" t="n">
        <v>46201</v>
      </c>
      <c r="D57" t="inlineStr">
        <is>
          <t>DALARNAS LÄN</t>
        </is>
      </c>
      <c r="E57" t="inlineStr">
        <is>
          <t>LEKSAND</t>
        </is>
      </c>
      <c r="G57" t="n">
        <v>0.9</v>
      </c>
      <c r="H57" t="n">
        <v>1</v>
      </c>
      <c r="I57" t="n">
        <v>0</v>
      </c>
      <c r="J57" t="n">
        <v>0</v>
      </c>
      <c r="K57" t="n">
        <v>0</v>
      </c>
      <c r="L57" t="n">
        <v>0</v>
      </c>
      <c r="M57" t="n">
        <v>0</v>
      </c>
      <c r="N57" t="n">
        <v>0</v>
      </c>
      <c r="O57" t="n">
        <v>0</v>
      </c>
      <c r="P57" t="n">
        <v>0</v>
      </c>
      <c r="Q57" t="n">
        <v>1</v>
      </c>
      <c r="R57" s="2" t="inlineStr">
        <is>
          <t>Spillkråka</t>
        </is>
      </c>
      <c r="S57">
        <f>HYPERLINK("https://klasma.github.io/Logging_2029/artfynd/A 4974-2025 artfynd.xlsx", "A 4974-2025")</f>
        <v/>
      </c>
      <c r="T57">
        <f>HYPERLINK("https://klasma.github.io/Logging_2029/kartor/A 4974-2025 karta.png", "A 4974-2025")</f>
        <v/>
      </c>
      <c r="V57">
        <f>HYPERLINK("https://klasma.github.io/Logging_2029/klagomål/A 4974-2025 FSC-klagomål.docx", "A 4974-2025")</f>
        <v/>
      </c>
      <c r="W57">
        <f>HYPERLINK("https://klasma.github.io/Logging_2029/klagomålsmail/A 4974-2025 FSC-klagomål mail.docx", "A 4974-2025")</f>
        <v/>
      </c>
      <c r="X57">
        <f>HYPERLINK("https://klasma.github.io/Logging_2029/tillsyn/A 4974-2025 tillsynsbegäran.docx", "A 4974-2025")</f>
        <v/>
      </c>
      <c r="Y57">
        <f>HYPERLINK("https://klasma.github.io/Logging_2029/tillsynsmail/A 4974-2025 tillsynsbegäran mail.docx", "A 4974-2025")</f>
        <v/>
      </c>
      <c r="Z57">
        <f>HYPERLINK("https://klasma.github.io/Logging_2029/fåglar/A 4974-2025 prioriterade fågelarter.docx", "A 4974-2025")</f>
        <v/>
      </c>
    </row>
    <row r="58" ht="15" customHeight="1">
      <c r="A58" t="inlineStr">
        <is>
          <t>A 26287-2023</t>
        </is>
      </c>
      <c r="B58" s="1" t="n">
        <v>45091</v>
      </c>
      <c r="C58" s="1" t="n">
        <v>46201</v>
      </c>
      <c r="D58" t="inlineStr">
        <is>
          <t>DALARNAS LÄN</t>
        </is>
      </c>
      <c r="E58" t="inlineStr">
        <is>
          <t>LEKSAND</t>
        </is>
      </c>
      <c r="G58" t="n">
        <v>2.4</v>
      </c>
      <c r="H58" t="n">
        <v>0</v>
      </c>
      <c r="I58" t="n">
        <v>1</v>
      </c>
      <c r="J58" t="n">
        <v>0</v>
      </c>
      <c r="K58" t="n">
        <v>0</v>
      </c>
      <c r="L58" t="n">
        <v>0</v>
      </c>
      <c r="M58" t="n">
        <v>0</v>
      </c>
      <c r="N58" t="n">
        <v>0</v>
      </c>
      <c r="O58" t="n">
        <v>0</v>
      </c>
      <c r="P58" t="n">
        <v>0</v>
      </c>
      <c r="Q58" t="n">
        <v>1</v>
      </c>
      <c r="R58" s="2" t="inlineStr">
        <is>
          <t>Mindre märgborre</t>
        </is>
      </c>
      <c r="S58">
        <f>HYPERLINK("https://klasma.github.io/Logging_2029/artfynd/A 26287-2023 artfynd.xlsx", "A 26287-2023")</f>
        <v/>
      </c>
      <c r="T58">
        <f>HYPERLINK("https://klasma.github.io/Logging_2029/kartor/A 26287-2023 karta.png", "A 26287-2023")</f>
        <v/>
      </c>
      <c r="V58">
        <f>HYPERLINK("https://klasma.github.io/Logging_2029/klagomål/A 26287-2023 FSC-klagomål.docx", "A 26287-2023")</f>
        <v/>
      </c>
      <c r="W58">
        <f>HYPERLINK("https://klasma.github.io/Logging_2029/klagomålsmail/A 26287-2023 FSC-klagomål mail.docx", "A 26287-2023")</f>
        <v/>
      </c>
      <c r="X58">
        <f>HYPERLINK("https://klasma.github.io/Logging_2029/tillsyn/A 26287-2023 tillsynsbegäran.docx", "A 26287-2023")</f>
        <v/>
      </c>
      <c r="Y58">
        <f>HYPERLINK("https://klasma.github.io/Logging_2029/tillsynsmail/A 26287-2023 tillsynsbegäran mail.docx", "A 26287-2023")</f>
        <v/>
      </c>
    </row>
    <row r="59" ht="15" customHeight="1">
      <c r="A59" t="inlineStr">
        <is>
          <t>A 5582-2024</t>
        </is>
      </c>
      <c r="B59" s="1" t="n">
        <v>45334</v>
      </c>
      <c r="C59" s="1" t="n">
        <v>46201</v>
      </c>
      <c r="D59" t="inlineStr">
        <is>
          <t>DALARNAS LÄN</t>
        </is>
      </c>
      <c r="E59" t="inlineStr">
        <is>
          <t>LEKSAND</t>
        </is>
      </c>
      <c r="G59" t="n">
        <v>0.5</v>
      </c>
      <c r="H59" t="n">
        <v>0</v>
      </c>
      <c r="I59" t="n">
        <v>0</v>
      </c>
      <c r="J59" t="n">
        <v>1</v>
      </c>
      <c r="K59" t="n">
        <v>0</v>
      </c>
      <c r="L59" t="n">
        <v>0</v>
      </c>
      <c r="M59" t="n">
        <v>0</v>
      </c>
      <c r="N59" t="n">
        <v>0</v>
      </c>
      <c r="O59" t="n">
        <v>1</v>
      </c>
      <c r="P59" t="n">
        <v>0</v>
      </c>
      <c r="Q59" t="n">
        <v>1</v>
      </c>
      <c r="R59" s="2" t="inlineStr">
        <is>
          <t>Scharlakansvaxing</t>
        </is>
      </c>
      <c r="S59">
        <f>HYPERLINK("https://klasma.github.io/Logging_2029/artfynd/A 5582-2024 artfynd.xlsx", "A 5582-2024")</f>
        <v/>
      </c>
      <c r="T59">
        <f>HYPERLINK("https://klasma.github.io/Logging_2029/kartor/A 5582-2024 karta.png", "A 5582-2024")</f>
        <v/>
      </c>
      <c r="V59">
        <f>HYPERLINK("https://klasma.github.io/Logging_2029/klagomål/A 5582-2024 FSC-klagomål.docx", "A 5582-2024")</f>
        <v/>
      </c>
      <c r="W59">
        <f>HYPERLINK("https://klasma.github.io/Logging_2029/klagomålsmail/A 5582-2024 FSC-klagomål mail.docx", "A 5582-2024")</f>
        <v/>
      </c>
      <c r="X59">
        <f>HYPERLINK("https://klasma.github.io/Logging_2029/tillsyn/A 5582-2024 tillsynsbegäran.docx", "A 5582-2024")</f>
        <v/>
      </c>
      <c r="Y59">
        <f>HYPERLINK("https://klasma.github.io/Logging_2029/tillsynsmail/A 5582-2024 tillsynsbegäran mail.docx", "A 5582-2024")</f>
        <v/>
      </c>
    </row>
    <row r="60" ht="15" customHeight="1">
      <c r="A60" t="inlineStr">
        <is>
          <t>A 7928-2023</t>
        </is>
      </c>
      <c r="B60" s="1" t="n">
        <v>44973</v>
      </c>
      <c r="C60" s="1" t="n">
        <v>46201</v>
      </c>
      <c r="D60" t="inlineStr">
        <is>
          <t>DALARNAS LÄN</t>
        </is>
      </c>
      <c r="E60" t="inlineStr">
        <is>
          <t>LEKSAND</t>
        </is>
      </c>
      <c r="G60" t="n">
        <v>1.9</v>
      </c>
      <c r="H60" t="n">
        <v>0</v>
      </c>
      <c r="I60" t="n">
        <v>0</v>
      </c>
      <c r="J60" t="n">
        <v>1</v>
      </c>
      <c r="K60" t="n">
        <v>0</v>
      </c>
      <c r="L60" t="n">
        <v>0</v>
      </c>
      <c r="M60" t="n">
        <v>0</v>
      </c>
      <c r="N60" t="n">
        <v>0</v>
      </c>
      <c r="O60" t="n">
        <v>1</v>
      </c>
      <c r="P60" t="n">
        <v>0</v>
      </c>
      <c r="Q60" t="n">
        <v>1</v>
      </c>
      <c r="R60" s="2" t="inlineStr">
        <is>
          <t>Grantaggsvamp</t>
        </is>
      </c>
      <c r="S60">
        <f>HYPERLINK("https://klasma.github.io/Logging_2029/artfynd/A 7928-2023 artfynd.xlsx", "A 7928-2023")</f>
        <v/>
      </c>
      <c r="T60">
        <f>HYPERLINK("https://klasma.github.io/Logging_2029/kartor/A 7928-2023 karta.png", "A 7928-2023")</f>
        <v/>
      </c>
      <c r="V60">
        <f>HYPERLINK("https://klasma.github.io/Logging_2029/klagomål/A 7928-2023 FSC-klagomål.docx", "A 7928-2023")</f>
        <v/>
      </c>
      <c r="W60">
        <f>HYPERLINK("https://klasma.github.io/Logging_2029/klagomålsmail/A 7928-2023 FSC-klagomål mail.docx", "A 7928-2023")</f>
        <v/>
      </c>
      <c r="X60">
        <f>HYPERLINK("https://klasma.github.io/Logging_2029/tillsyn/A 7928-2023 tillsynsbegäran.docx", "A 7928-2023")</f>
        <v/>
      </c>
      <c r="Y60">
        <f>HYPERLINK("https://klasma.github.io/Logging_2029/tillsynsmail/A 7928-2023 tillsynsbegäran mail.docx", "A 7928-2023")</f>
        <v/>
      </c>
    </row>
    <row r="61" ht="15" customHeight="1">
      <c r="A61" t="inlineStr">
        <is>
          <t>A 15120-2023</t>
        </is>
      </c>
      <c r="B61" s="1" t="n">
        <v>45016</v>
      </c>
      <c r="C61" s="1" t="n">
        <v>46201</v>
      </c>
      <c r="D61" t="inlineStr">
        <is>
          <t>DALARNAS LÄN</t>
        </is>
      </c>
      <c r="E61" t="inlineStr">
        <is>
          <t>LEKSAND</t>
        </is>
      </c>
      <c r="G61" t="n">
        <v>2.7</v>
      </c>
      <c r="H61" t="n">
        <v>1</v>
      </c>
      <c r="I61" t="n">
        <v>0</v>
      </c>
      <c r="J61" t="n">
        <v>0</v>
      </c>
      <c r="K61" t="n">
        <v>0</v>
      </c>
      <c r="L61" t="n">
        <v>0</v>
      </c>
      <c r="M61" t="n">
        <v>0</v>
      </c>
      <c r="N61" t="n">
        <v>0</v>
      </c>
      <c r="O61" t="n">
        <v>0</v>
      </c>
      <c r="P61" t="n">
        <v>0</v>
      </c>
      <c r="Q61" t="n">
        <v>1</v>
      </c>
      <c r="R61" s="2" t="inlineStr">
        <is>
          <t>Kungsfågel</t>
        </is>
      </c>
      <c r="S61">
        <f>HYPERLINK("https://klasma.github.io/Logging_2029/artfynd/A 15120-2023 artfynd.xlsx", "A 15120-2023")</f>
        <v/>
      </c>
      <c r="T61">
        <f>HYPERLINK("https://klasma.github.io/Logging_2029/kartor/A 15120-2023 karta.png", "A 15120-2023")</f>
        <v/>
      </c>
      <c r="V61">
        <f>HYPERLINK("https://klasma.github.io/Logging_2029/klagomål/A 15120-2023 FSC-klagomål.docx", "A 15120-2023")</f>
        <v/>
      </c>
      <c r="W61">
        <f>HYPERLINK("https://klasma.github.io/Logging_2029/klagomålsmail/A 15120-2023 FSC-klagomål mail.docx", "A 15120-2023")</f>
        <v/>
      </c>
      <c r="X61">
        <f>HYPERLINK("https://klasma.github.io/Logging_2029/tillsyn/A 15120-2023 tillsynsbegäran.docx", "A 15120-2023")</f>
        <v/>
      </c>
      <c r="Y61">
        <f>HYPERLINK("https://klasma.github.io/Logging_2029/tillsynsmail/A 15120-2023 tillsynsbegäran mail.docx", "A 15120-2023")</f>
        <v/>
      </c>
    </row>
    <row r="62" ht="15" customHeight="1">
      <c r="A62" t="inlineStr">
        <is>
          <t>A 20946-2023</t>
        </is>
      </c>
      <c r="B62" s="1" t="n">
        <v>45061</v>
      </c>
      <c r="C62" s="1" t="n">
        <v>46201</v>
      </c>
      <c r="D62" t="inlineStr">
        <is>
          <t>DALARNAS LÄN</t>
        </is>
      </c>
      <c r="E62" t="inlineStr">
        <is>
          <t>LEKSAND</t>
        </is>
      </c>
      <c r="G62" t="n">
        <v>2.7</v>
      </c>
      <c r="H62" t="n">
        <v>1</v>
      </c>
      <c r="I62" t="n">
        <v>0</v>
      </c>
      <c r="J62" t="n">
        <v>0</v>
      </c>
      <c r="K62" t="n">
        <v>1</v>
      </c>
      <c r="L62" t="n">
        <v>0</v>
      </c>
      <c r="M62" t="n">
        <v>0</v>
      </c>
      <c r="N62" t="n">
        <v>0</v>
      </c>
      <c r="O62" t="n">
        <v>1</v>
      </c>
      <c r="P62" t="n">
        <v>1</v>
      </c>
      <c r="Q62" t="n">
        <v>1</v>
      </c>
      <c r="R62" s="2" t="inlineStr">
        <is>
          <t>Väddnätfjäril</t>
        </is>
      </c>
      <c r="S62">
        <f>HYPERLINK("https://klasma.github.io/Logging_2029/artfynd/A 20946-2023 artfynd.xlsx", "A 20946-2023")</f>
        <v/>
      </c>
      <c r="T62">
        <f>HYPERLINK("https://klasma.github.io/Logging_2029/kartor/A 20946-2023 karta.png", "A 20946-2023")</f>
        <v/>
      </c>
      <c r="V62">
        <f>HYPERLINK("https://klasma.github.io/Logging_2029/klagomål/A 20946-2023 FSC-klagomål.docx", "A 20946-2023")</f>
        <v/>
      </c>
      <c r="W62">
        <f>HYPERLINK("https://klasma.github.io/Logging_2029/klagomålsmail/A 20946-2023 FSC-klagomål mail.docx", "A 20946-2023")</f>
        <v/>
      </c>
      <c r="X62">
        <f>HYPERLINK("https://klasma.github.io/Logging_2029/tillsyn/A 20946-2023 tillsynsbegäran.docx", "A 20946-2023")</f>
        <v/>
      </c>
      <c r="Y62">
        <f>HYPERLINK("https://klasma.github.io/Logging_2029/tillsynsmail/A 20946-2023 tillsynsbegäran mail.docx", "A 20946-2023")</f>
        <v/>
      </c>
    </row>
    <row r="63" ht="15" customHeight="1">
      <c r="A63" t="inlineStr">
        <is>
          <t>A 18107-2025</t>
        </is>
      </c>
      <c r="B63" s="1" t="n">
        <v>45761</v>
      </c>
      <c r="C63" s="1" t="n">
        <v>46201</v>
      </c>
      <c r="D63" t="inlineStr">
        <is>
          <t>DALARNAS LÄN</t>
        </is>
      </c>
      <c r="E63" t="inlineStr">
        <is>
          <t>LEKSAND</t>
        </is>
      </c>
      <c r="G63" t="n">
        <v>1.2</v>
      </c>
      <c r="H63" t="n">
        <v>0</v>
      </c>
      <c r="I63" t="n">
        <v>0</v>
      </c>
      <c r="J63" t="n">
        <v>1</v>
      </c>
      <c r="K63" t="n">
        <v>0</v>
      </c>
      <c r="L63" t="n">
        <v>0</v>
      </c>
      <c r="M63" t="n">
        <v>0</v>
      </c>
      <c r="N63" t="n">
        <v>0</v>
      </c>
      <c r="O63" t="n">
        <v>1</v>
      </c>
      <c r="P63" t="n">
        <v>0</v>
      </c>
      <c r="Q63" t="n">
        <v>1</v>
      </c>
      <c r="R63" s="2" t="inlineStr">
        <is>
          <t>Gullpudra</t>
        </is>
      </c>
      <c r="S63">
        <f>HYPERLINK("https://klasma.github.io/Logging_2029/artfynd/A 18107-2025 artfynd.xlsx", "A 18107-2025")</f>
        <v/>
      </c>
      <c r="T63">
        <f>HYPERLINK("https://klasma.github.io/Logging_2029/kartor/A 18107-2025 karta.png", "A 18107-2025")</f>
        <v/>
      </c>
      <c r="V63">
        <f>HYPERLINK("https://klasma.github.io/Logging_2029/klagomål/A 18107-2025 FSC-klagomål.docx", "A 18107-2025")</f>
        <v/>
      </c>
      <c r="W63">
        <f>HYPERLINK("https://klasma.github.io/Logging_2029/klagomålsmail/A 18107-2025 FSC-klagomål mail.docx", "A 18107-2025")</f>
        <v/>
      </c>
      <c r="X63">
        <f>HYPERLINK("https://klasma.github.io/Logging_2029/tillsyn/A 18107-2025 tillsynsbegäran.docx", "A 18107-2025")</f>
        <v/>
      </c>
      <c r="Y63">
        <f>HYPERLINK("https://klasma.github.io/Logging_2029/tillsynsmail/A 18107-2025 tillsynsbegäran mail.docx", "A 18107-2025")</f>
        <v/>
      </c>
    </row>
    <row r="64" ht="15" customHeight="1">
      <c r="A64" t="inlineStr">
        <is>
          <t>A 53633-2024</t>
        </is>
      </c>
      <c r="B64" s="1" t="n">
        <v>45614</v>
      </c>
      <c r="C64" s="1" t="n">
        <v>46201</v>
      </c>
      <c r="D64" t="inlineStr">
        <is>
          <t>DALARNAS LÄN</t>
        </is>
      </c>
      <c r="E64" t="inlineStr">
        <is>
          <t>LEKSAND</t>
        </is>
      </c>
      <c r="G64" t="n">
        <v>1.6</v>
      </c>
      <c r="H64" t="n">
        <v>1</v>
      </c>
      <c r="I64" t="n">
        <v>0</v>
      </c>
      <c r="J64" t="n">
        <v>1</v>
      </c>
      <c r="K64" t="n">
        <v>0</v>
      </c>
      <c r="L64" t="n">
        <v>0</v>
      </c>
      <c r="M64" t="n">
        <v>0</v>
      </c>
      <c r="N64" t="n">
        <v>0</v>
      </c>
      <c r="O64" t="n">
        <v>1</v>
      </c>
      <c r="P64" t="n">
        <v>0</v>
      </c>
      <c r="Q64" t="n">
        <v>1</v>
      </c>
      <c r="R64" s="2" t="inlineStr">
        <is>
          <t>Tretåig hackspett</t>
        </is>
      </c>
      <c r="S64">
        <f>HYPERLINK("https://klasma.github.io/Logging_2029/artfynd/A 53633-2024 artfynd.xlsx", "A 53633-2024")</f>
        <v/>
      </c>
      <c r="T64">
        <f>HYPERLINK("https://klasma.github.io/Logging_2029/kartor/A 53633-2024 karta.png", "A 53633-2024")</f>
        <v/>
      </c>
      <c r="V64">
        <f>HYPERLINK("https://klasma.github.io/Logging_2029/klagomål/A 53633-2024 FSC-klagomål.docx", "A 53633-2024")</f>
        <v/>
      </c>
      <c r="W64">
        <f>HYPERLINK("https://klasma.github.io/Logging_2029/klagomålsmail/A 53633-2024 FSC-klagomål mail.docx", "A 53633-2024")</f>
        <v/>
      </c>
      <c r="X64">
        <f>HYPERLINK("https://klasma.github.io/Logging_2029/tillsyn/A 53633-2024 tillsynsbegäran.docx", "A 53633-2024")</f>
        <v/>
      </c>
      <c r="Y64">
        <f>HYPERLINK("https://klasma.github.io/Logging_2029/tillsynsmail/A 53633-2024 tillsynsbegäran mail.docx", "A 53633-2024")</f>
        <v/>
      </c>
      <c r="Z64">
        <f>HYPERLINK("https://klasma.github.io/Logging_2029/fåglar/A 53633-2024 prioriterade fågelarter.docx", "A 53633-2024")</f>
        <v/>
      </c>
    </row>
    <row r="65" ht="15" customHeight="1">
      <c r="A65" t="inlineStr">
        <is>
          <t>A 13401-2023</t>
        </is>
      </c>
      <c r="B65" s="1" t="n">
        <v>45005</v>
      </c>
      <c r="C65" s="1" t="n">
        <v>46201</v>
      </c>
      <c r="D65" t="inlineStr">
        <is>
          <t>DALARNAS LÄN</t>
        </is>
      </c>
      <c r="E65" t="inlineStr">
        <is>
          <t>LEKSAND</t>
        </is>
      </c>
      <c r="G65" t="n">
        <v>0.7</v>
      </c>
      <c r="H65" t="n">
        <v>1</v>
      </c>
      <c r="I65" t="n">
        <v>0</v>
      </c>
      <c r="J65" t="n">
        <v>0</v>
      </c>
      <c r="K65" t="n">
        <v>0</v>
      </c>
      <c r="L65" t="n">
        <v>0</v>
      </c>
      <c r="M65" t="n">
        <v>0</v>
      </c>
      <c r="N65" t="n">
        <v>0</v>
      </c>
      <c r="O65" t="n">
        <v>0</v>
      </c>
      <c r="P65" t="n">
        <v>0</v>
      </c>
      <c r="Q65" t="n">
        <v>1</v>
      </c>
      <c r="R65" s="2" t="inlineStr">
        <is>
          <t>Orre</t>
        </is>
      </c>
      <c r="S65">
        <f>HYPERLINK("https://klasma.github.io/Logging_2029/artfynd/A 13401-2023 artfynd.xlsx", "A 13401-2023")</f>
        <v/>
      </c>
      <c r="T65">
        <f>HYPERLINK("https://klasma.github.io/Logging_2029/kartor/A 13401-2023 karta.png", "A 13401-2023")</f>
        <v/>
      </c>
      <c r="V65">
        <f>HYPERLINK("https://klasma.github.io/Logging_2029/klagomål/A 13401-2023 FSC-klagomål.docx", "A 13401-2023")</f>
        <v/>
      </c>
      <c r="W65">
        <f>HYPERLINK("https://klasma.github.io/Logging_2029/klagomålsmail/A 13401-2023 FSC-klagomål mail.docx", "A 13401-2023")</f>
        <v/>
      </c>
      <c r="X65">
        <f>HYPERLINK("https://klasma.github.io/Logging_2029/tillsyn/A 13401-2023 tillsynsbegäran.docx", "A 13401-2023")</f>
        <v/>
      </c>
      <c r="Y65">
        <f>HYPERLINK("https://klasma.github.io/Logging_2029/tillsynsmail/A 13401-2023 tillsynsbegäran mail.docx", "A 13401-2023")</f>
        <v/>
      </c>
      <c r="Z65">
        <f>HYPERLINK("https://klasma.github.io/Logging_2029/fåglar/A 13401-2023 prioriterade fågelarter.docx", "A 13401-2023")</f>
        <v/>
      </c>
    </row>
    <row r="66" ht="15" customHeight="1">
      <c r="A66" t="inlineStr">
        <is>
          <t>A 31951-2025</t>
        </is>
      </c>
      <c r="B66" s="1" t="n">
        <v>45835</v>
      </c>
      <c r="C66" s="1" t="n">
        <v>46201</v>
      </c>
      <c r="D66" t="inlineStr">
        <is>
          <t>DALARNAS LÄN</t>
        </is>
      </c>
      <c r="E66" t="inlineStr">
        <is>
          <t>LEKSAND</t>
        </is>
      </c>
      <c r="G66" t="n">
        <v>6.6</v>
      </c>
      <c r="H66" t="n">
        <v>1</v>
      </c>
      <c r="I66" t="n">
        <v>0</v>
      </c>
      <c r="J66" t="n">
        <v>0</v>
      </c>
      <c r="K66" t="n">
        <v>0</v>
      </c>
      <c r="L66" t="n">
        <v>0</v>
      </c>
      <c r="M66" t="n">
        <v>0</v>
      </c>
      <c r="N66" t="n">
        <v>0</v>
      </c>
      <c r="O66" t="n">
        <v>0</v>
      </c>
      <c r="P66" t="n">
        <v>0</v>
      </c>
      <c r="Q66" t="n">
        <v>1</v>
      </c>
      <c r="R66" s="2" t="inlineStr">
        <is>
          <t>Tjäder</t>
        </is>
      </c>
      <c r="S66">
        <f>HYPERLINK("https://klasma.github.io/Logging_2029/artfynd/A 31951-2025 artfynd.xlsx", "A 31951-2025")</f>
        <v/>
      </c>
      <c r="T66">
        <f>HYPERLINK("https://klasma.github.io/Logging_2029/kartor/A 31951-2025 karta.png", "A 31951-2025")</f>
        <v/>
      </c>
      <c r="V66">
        <f>HYPERLINK("https://klasma.github.io/Logging_2029/klagomål/A 31951-2025 FSC-klagomål.docx", "A 31951-2025")</f>
        <v/>
      </c>
      <c r="W66">
        <f>HYPERLINK("https://klasma.github.io/Logging_2029/klagomålsmail/A 31951-2025 FSC-klagomål mail.docx", "A 31951-2025")</f>
        <v/>
      </c>
      <c r="X66">
        <f>HYPERLINK("https://klasma.github.io/Logging_2029/tillsyn/A 31951-2025 tillsynsbegäran.docx", "A 31951-2025")</f>
        <v/>
      </c>
      <c r="Y66">
        <f>HYPERLINK("https://klasma.github.io/Logging_2029/tillsynsmail/A 31951-2025 tillsynsbegäran mail.docx", "A 31951-2025")</f>
        <v/>
      </c>
      <c r="Z66">
        <f>HYPERLINK("https://klasma.github.io/Logging_2029/fåglar/A 31951-2025 prioriterade fågelarter.docx", "A 31951-2025")</f>
        <v/>
      </c>
    </row>
    <row r="67" ht="15" customHeight="1">
      <c r="A67" t="inlineStr">
        <is>
          <t>A 16815-2025</t>
        </is>
      </c>
      <c r="B67" s="1" t="n">
        <v>45754</v>
      </c>
      <c r="C67" s="1" t="n">
        <v>46201</v>
      </c>
      <c r="D67" t="inlineStr">
        <is>
          <t>DALARNAS LÄN</t>
        </is>
      </c>
      <c r="E67" t="inlineStr">
        <is>
          <t>LEKSAND</t>
        </is>
      </c>
      <c r="G67" t="n">
        <v>2.8</v>
      </c>
      <c r="H67" t="n">
        <v>0</v>
      </c>
      <c r="I67" t="n">
        <v>1</v>
      </c>
      <c r="J67" t="n">
        <v>0</v>
      </c>
      <c r="K67" t="n">
        <v>0</v>
      </c>
      <c r="L67" t="n">
        <v>0</v>
      </c>
      <c r="M67" t="n">
        <v>0</v>
      </c>
      <c r="N67" t="n">
        <v>0</v>
      </c>
      <c r="O67" t="n">
        <v>0</v>
      </c>
      <c r="P67" t="n">
        <v>0</v>
      </c>
      <c r="Q67" t="n">
        <v>1</v>
      </c>
      <c r="R67" s="2" t="inlineStr">
        <is>
          <t>Svavelriska</t>
        </is>
      </c>
      <c r="S67">
        <f>HYPERLINK("https://klasma.github.io/Logging_2029/artfynd/A 16815-2025 artfynd.xlsx", "A 16815-2025")</f>
        <v/>
      </c>
      <c r="T67">
        <f>HYPERLINK("https://klasma.github.io/Logging_2029/kartor/A 16815-2025 karta.png", "A 16815-2025")</f>
        <v/>
      </c>
      <c r="V67">
        <f>HYPERLINK("https://klasma.github.io/Logging_2029/klagomål/A 16815-2025 FSC-klagomål.docx", "A 16815-2025")</f>
        <v/>
      </c>
      <c r="W67">
        <f>HYPERLINK("https://klasma.github.io/Logging_2029/klagomålsmail/A 16815-2025 FSC-klagomål mail.docx", "A 16815-2025")</f>
        <v/>
      </c>
      <c r="X67">
        <f>HYPERLINK("https://klasma.github.io/Logging_2029/tillsyn/A 16815-2025 tillsynsbegäran.docx", "A 16815-2025")</f>
        <v/>
      </c>
      <c r="Y67">
        <f>HYPERLINK("https://klasma.github.io/Logging_2029/tillsynsmail/A 16815-2025 tillsynsbegäran mail.docx", "A 16815-2025")</f>
        <v/>
      </c>
    </row>
    <row r="68" ht="15" customHeight="1">
      <c r="A68" t="inlineStr">
        <is>
          <t>A 164-2023</t>
        </is>
      </c>
      <c r="B68" s="1" t="n">
        <v>44918</v>
      </c>
      <c r="C68" s="1" t="n">
        <v>46201</v>
      </c>
      <c r="D68" t="inlineStr">
        <is>
          <t>DALARNAS LÄN</t>
        </is>
      </c>
      <c r="E68" t="inlineStr">
        <is>
          <t>LEKSAND</t>
        </is>
      </c>
      <c r="G68" t="n">
        <v>0.7</v>
      </c>
      <c r="H68" t="n">
        <v>0</v>
      </c>
      <c r="I68" t="n">
        <v>0</v>
      </c>
      <c r="J68" t="n">
        <v>1</v>
      </c>
      <c r="K68" t="n">
        <v>0</v>
      </c>
      <c r="L68" t="n">
        <v>0</v>
      </c>
      <c r="M68" t="n">
        <v>0</v>
      </c>
      <c r="N68" t="n">
        <v>0</v>
      </c>
      <c r="O68" t="n">
        <v>1</v>
      </c>
      <c r="P68" t="n">
        <v>0</v>
      </c>
      <c r="Q68" t="n">
        <v>1</v>
      </c>
      <c r="R68" s="2" t="inlineStr">
        <is>
          <t>Skogshare</t>
        </is>
      </c>
      <c r="S68">
        <f>HYPERLINK("https://klasma.github.io/Logging_2029/artfynd/A 164-2023 artfynd.xlsx", "A 164-2023")</f>
        <v/>
      </c>
      <c r="T68">
        <f>HYPERLINK("https://klasma.github.io/Logging_2029/kartor/A 164-2023 karta.png", "A 164-2023")</f>
        <v/>
      </c>
      <c r="V68">
        <f>HYPERLINK("https://klasma.github.io/Logging_2029/klagomål/A 164-2023 FSC-klagomål.docx", "A 164-2023")</f>
        <v/>
      </c>
      <c r="W68">
        <f>HYPERLINK("https://klasma.github.io/Logging_2029/klagomålsmail/A 164-2023 FSC-klagomål mail.docx", "A 164-2023")</f>
        <v/>
      </c>
      <c r="X68">
        <f>HYPERLINK("https://klasma.github.io/Logging_2029/tillsyn/A 164-2023 tillsynsbegäran.docx", "A 164-2023")</f>
        <v/>
      </c>
      <c r="Y68">
        <f>HYPERLINK("https://klasma.github.io/Logging_2029/tillsynsmail/A 164-2023 tillsynsbegäran mail.docx", "A 164-2023")</f>
        <v/>
      </c>
    </row>
    <row r="69" ht="15" customHeight="1">
      <c r="A69" t="inlineStr">
        <is>
          <t>A 31124-2024</t>
        </is>
      </c>
      <c r="B69" s="1" t="n">
        <v>45502</v>
      </c>
      <c r="C69" s="1" t="n">
        <v>46201</v>
      </c>
      <c r="D69" t="inlineStr">
        <is>
          <t>DALARNAS LÄN</t>
        </is>
      </c>
      <c r="E69" t="inlineStr">
        <is>
          <t>LEKSAND</t>
        </is>
      </c>
      <c r="G69" t="n">
        <v>1.9</v>
      </c>
      <c r="H69" t="n">
        <v>1</v>
      </c>
      <c r="I69" t="n">
        <v>0</v>
      </c>
      <c r="J69" t="n">
        <v>0</v>
      </c>
      <c r="K69" t="n">
        <v>1</v>
      </c>
      <c r="L69" t="n">
        <v>0</v>
      </c>
      <c r="M69" t="n">
        <v>0</v>
      </c>
      <c r="N69" t="n">
        <v>0</v>
      </c>
      <c r="O69" t="n">
        <v>1</v>
      </c>
      <c r="P69" t="n">
        <v>1</v>
      </c>
      <c r="Q69" t="n">
        <v>1</v>
      </c>
      <c r="R69" s="2" t="inlineStr">
        <is>
          <t>Väddnätfjäril</t>
        </is>
      </c>
      <c r="S69">
        <f>HYPERLINK("https://klasma.github.io/Logging_2029/artfynd/A 31124-2024 artfynd.xlsx", "A 31124-2024")</f>
        <v/>
      </c>
      <c r="T69">
        <f>HYPERLINK("https://klasma.github.io/Logging_2029/kartor/A 31124-2024 karta.png", "A 31124-2024")</f>
        <v/>
      </c>
      <c r="V69">
        <f>HYPERLINK("https://klasma.github.io/Logging_2029/klagomål/A 31124-2024 FSC-klagomål.docx", "A 31124-2024")</f>
        <v/>
      </c>
      <c r="W69">
        <f>HYPERLINK("https://klasma.github.io/Logging_2029/klagomålsmail/A 31124-2024 FSC-klagomål mail.docx", "A 31124-2024")</f>
        <v/>
      </c>
      <c r="X69">
        <f>HYPERLINK("https://klasma.github.io/Logging_2029/tillsyn/A 31124-2024 tillsynsbegäran.docx", "A 31124-2024")</f>
        <v/>
      </c>
      <c r="Y69">
        <f>HYPERLINK("https://klasma.github.io/Logging_2029/tillsynsmail/A 31124-2024 tillsynsbegäran mail.docx", "A 31124-2024")</f>
        <v/>
      </c>
    </row>
    <row r="70" ht="15" customHeight="1">
      <c r="A70" t="inlineStr">
        <is>
          <t>A 32726-2025</t>
        </is>
      </c>
      <c r="B70" s="1" t="n">
        <v>45839</v>
      </c>
      <c r="C70" s="1" t="n">
        <v>46201</v>
      </c>
      <c r="D70" t="inlineStr">
        <is>
          <t>DALARNAS LÄN</t>
        </is>
      </c>
      <c r="E70" t="inlineStr">
        <is>
          <t>LEKSAND</t>
        </is>
      </c>
      <c r="F70" t="inlineStr">
        <is>
          <t>Bergvik skog väst AB</t>
        </is>
      </c>
      <c r="G70" t="n">
        <v>2.5</v>
      </c>
      <c r="H70" t="n">
        <v>1</v>
      </c>
      <c r="I70" t="n">
        <v>0</v>
      </c>
      <c r="J70" t="n">
        <v>0</v>
      </c>
      <c r="K70" t="n">
        <v>0</v>
      </c>
      <c r="L70" t="n">
        <v>0</v>
      </c>
      <c r="M70" t="n">
        <v>0</v>
      </c>
      <c r="N70" t="n">
        <v>0</v>
      </c>
      <c r="O70" t="n">
        <v>0</v>
      </c>
      <c r="P70" t="n">
        <v>0</v>
      </c>
      <c r="Q70" t="n">
        <v>1</v>
      </c>
      <c r="R70" s="2" t="inlineStr">
        <is>
          <t>Fläcknycklar</t>
        </is>
      </c>
      <c r="S70">
        <f>HYPERLINK("https://klasma.github.io/Logging_2029/artfynd/A 32726-2025 artfynd.xlsx", "A 32726-2025")</f>
        <v/>
      </c>
      <c r="T70">
        <f>HYPERLINK("https://klasma.github.io/Logging_2029/kartor/A 32726-2025 karta.png", "A 32726-2025")</f>
        <v/>
      </c>
      <c r="V70">
        <f>HYPERLINK("https://klasma.github.io/Logging_2029/klagomål/A 32726-2025 FSC-klagomål.docx", "A 32726-2025")</f>
        <v/>
      </c>
      <c r="W70">
        <f>HYPERLINK("https://klasma.github.io/Logging_2029/klagomålsmail/A 32726-2025 FSC-klagomål mail.docx", "A 32726-2025")</f>
        <v/>
      </c>
      <c r="X70">
        <f>HYPERLINK("https://klasma.github.io/Logging_2029/tillsyn/A 32726-2025 tillsynsbegäran.docx", "A 32726-2025")</f>
        <v/>
      </c>
      <c r="Y70">
        <f>HYPERLINK("https://klasma.github.io/Logging_2029/tillsynsmail/A 32726-2025 tillsynsbegäran mail.docx", "A 32726-2025")</f>
        <v/>
      </c>
    </row>
    <row r="71" ht="15" customHeight="1">
      <c r="A71" t="inlineStr">
        <is>
          <t>A 60042-2023</t>
        </is>
      </c>
      <c r="B71" s="1" t="n">
        <v>45256</v>
      </c>
      <c r="C71" s="1" t="n">
        <v>46201</v>
      </c>
      <c r="D71" t="inlineStr">
        <is>
          <t>DALARNAS LÄN</t>
        </is>
      </c>
      <c r="E71" t="inlineStr">
        <is>
          <t>LEKSAND</t>
        </is>
      </c>
      <c r="G71" t="n">
        <v>2</v>
      </c>
      <c r="H71" t="n">
        <v>1</v>
      </c>
      <c r="I71" t="n">
        <v>0</v>
      </c>
      <c r="J71" t="n">
        <v>0</v>
      </c>
      <c r="K71" t="n">
        <v>1</v>
      </c>
      <c r="L71" t="n">
        <v>0</v>
      </c>
      <c r="M71" t="n">
        <v>0</v>
      </c>
      <c r="N71" t="n">
        <v>0</v>
      </c>
      <c r="O71" t="n">
        <v>1</v>
      </c>
      <c r="P71" t="n">
        <v>1</v>
      </c>
      <c r="Q71" t="n">
        <v>1</v>
      </c>
      <c r="R71" s="2" t="inlineStr">
        <is>
          <t>Brun gräsfjäril</t>
        </is>
      </c>
      <c r="S71">
        <f>HYPERLINK("https://klasma.github.io/Logging_2029/artfynd/A 60042-2023 artfynd.xlsx", "A 60042-2023")</f>
        <v/>
      </c>
      <c r="T71">
        <f>HYPERLINK("https://klasma.github.io/Logging_2029/kartor/A 60042-2023 karta.png", "A 60042-2023")</f>
        <v/>
      </c>
      <c r="V71">
        <f>HYPERLINK("https://klasma.github.io/Logging_2029/klagomål/A 60042-2023 FSC-klagomål.docx", "A 60042-2023")</f>
        <v/>
      </c>
      <c r="W71">
        <f>HYPERLINK("https://klasma.github.io/Logging_2029/klagomålsmail/A 60042-2023 FSC-klagomål mail.docx", "A 60042-2023")</f>
        <v/>
      </c>
      <c r="X71">
        <f>HYPERLINK("https://klasma.github.io/Logging_2029/tillsyn/A 60042-2023 tillsynsbegäran.docx", "A 60042-2023")</f>
        <v/>
      </c>
      <c r="Y71">
        <f>HYPERLINK("https://klasma.github.io/Logging_2029/tillsynsmail/A 60042-2023 tillsynsbegäran mail.docx", "A 60042-2023")</f>
        <v/>
      </c>
    </row>
    <row r="72" ht="15" customHeight="1">
      <c r="A72" t="inlineStr">
        <is>
          <t>A 53438-2025</t>
        </is>
      </c>
      <c r="B72" s="1" t="n">
        <v>45959</v>
      </c>
      <c r="C72" s="1" t="n">
        <v>46201</v>
      </c>
      <c r="D72" t="inlineStr">
        <is>
          <t>DALARNAS LÄN</t>
        </is>
      </c>
      <c r="E72" t="inlineStr">
        <is>
          <t>LEKSAND</t>
        </is>
      </c>
      <c r="G72" t="n">
        <v>1.2</v>
      </c>
      <c r="H72" t="n">
        <v>1</v>
      </c>
      <c r="I72" t="n">
        <v>0</v>
      </c>
      <c r="J72" t="n">
        <v>0</v>
      </c>
      <c r="K72" t="n">
        <v>0</v>
      </c>
      <c r="L72" t="n">
        <v>0</v>
      </c>
      <c r="M72" t="n">
        <v>0</v>
      </c>
      <c r="N72" t="n">
        <v>0</v>
      </c>
      <c r="O72" t="n">
        <v>0</v>
      </c>
      <c r="P72" t="n">
        <v>0</v>
      </c>
      <c r="Q72" t="n">
        <v>1</v>
      </c>
      <c r="R72" s="2" t="inlineStr">
        <is>
          <t>Tjäder</t>
        </is>
      </c>
      <c r="S72">
        <f>HYPERLINK("https://klasma.github.io/Logging_2029/artfynd/A 53438-2025 artfynd.xlsx", "A 53438-2025")</f>
        <v/>
      </c>
      <c r="T72">
        <f>HYPERLINK("https://klasma.github.io/Logging_2029/kartor/A 53438-2025 karta.png", "A 53438-2025")</f>
        <v/>
      </c>
      <c r="V72">
        <f>HYPERLINK("https://klasma.github.io/Logging_2029/klagomål/A 53438-2025 FSC-klagomål.docx", "A 53438-2025")</f>
        <v/>
      </c>
      <c r="W72">
        <f>HYPERLINK("https://klasma.github.io/Logging_2029/klagomålsmail/A 53438-2025 FSC-klagomål mail.docx", "A 53438-2025")</f>
        <v/>
      </c>
      <c r="X72">
        <f>HYPERLINK("https://klasma.github.io/Logging_2029/tillsyn/A 53438-2025 tillsynsbegäran.docx", "A 53438-2025")</f>
        <v/>
      </c>
      <c r="Y72">
        <f>HYPERLINK("https://klasma.github.io/Logging_2029/tillsynsmail/A 53438-2025 tillsynsbegäran mail.docx", "A 53438-2025")</f>
        <v/>
      </c>
      <c r="Z72">
        <f>HYPERLINK("https://klasma.github.io/Logging_2029/fåglar/A 53438-2025 prioriterade fågelarter.docx", "A 53438-2025")</f>
        <v/>
      </c>
    </row>
    <row r="73" ht="15" customHeight="1">
      <c r="A73" t="inlineStr">
        <is>
          <t>A 53619-2025</t>
        </is>
      </c>
      <c r="B73" s="1" t="n">
        <v>45960</v>
      </c>
      <c r="C73" s="1" t="n">
        <v>46201</v>
      </c>
      <c r="D73" t="inlineStr">
        <is>
          <t>DALARNAS LÄN</t>
        </is>
      </c>
      <c r="E73" t="inlineStr">
        <is>
          <t>LEKSAND</t>
        </is>
      </c>
      <c r="F73" t="inlineStr">
        <is>
          <t>Bergvik skog väst AB</t>
        </is>
      </c>
      <c r="G73" t="n">
        <v>1.8</v>
      </c>
      <c r="H73" t="n">
        <v>1</v>
      </c>
      <c r="I73" t="n">
        <v>0</v>
      </c>
      <c r="J73" t="n">
        <v>0</v>
      </c>
      <c r="K73" t="n">
        <v>0</v>
      </c>
      <c r="L73" t="n">
        <v>0</v>
      </c>
      <c r="M73" t="n">
        <v>0</v>
      </c>
      <c r="N73" t="n">
        <v>0</v>
      </c>
      <c r="O73" t="n">
        <v>0</v>
      </c>
      <c r="P73" t="n">
        <v>0</v>
      </c>
      <c r="Q73" t="n">
        <v>1</v>
      </c>
      <c r="R73" s="2" t="inlineStr">
        <is>
          <t>Utter</t>
        </is>
      </c>
      <c r="S73">
        <f>HYPERLINK("https://klasma.github.io/Logging_2029/artfynd/A 53619-2025 artfynd.xlsx", "A 53619-2025")</f>
        <v/>
      </c>
      <c r="T73">
        <f>HYPERLINK("https://klasma.github.io/Logging_2029/kartor/A 53619-2025 karta.png", "A 53619-2025")</f>
        <v/>
      </c>
      <c r="V73">
        <f>HYPERLINK("https://klasma.github.io/Logging_2029/klagomål/A 53619-2025 FSC-klagomål.docx", "A 53619-2025")</f>
        <v/>
      </c>
      <c r="W73">
        <f>HYPERLINK("https://klasma.github.io/Logging_2029/klagomålsmail/A 53619-2025 FSC-klagomål mail.docx", "A 53619-2025")</f>
        <v/>
      </c>
      <c r="X73">
        <f>HYPERLINK("https://klasma.github.io/Logging_2029/tillsyn/A 53619-2025 tillsynsbegäran.docx", "A 53619-2025")</f>
        <v/>
      </c>
      <c r="Y73">
        <f>HYPERLINK("https://klasma.github.io/Logging_2029/tillsynsmail/A 53619-2025 tillsynsbegäran mail.docx", "A 53619-2025")</f>
        <v/>
      </c>
    </row>
    <row r="74" ht="15" customHeight="1">
      <c r="A74" t="inlineStr">
        <is>
          <t>A 23855-2025</t>
        </is>
      </c>
      <c r="B74" s="1" t="n">
        <v>45793</v>
      </c>
      <c r="C74" s="1" t="n">
        <v>46201</v>
      </c>
      <c r="D74" t="inlineStr">
        <is>
          <t>DALARNAS LÄN</t>
        </is>
      </c>
      <c r="E74" t="inlineStr">
        <is>
          <t>LEKSAND</t>
        </is>
      </c>
      <c r="G74" t="n">
        <v>0.6</v>
      </c>
      <c r="H74" t="n">
        <v>1</v>
      </c>
      <c r="I74" t="n">
        <v>0</v>
      </c>
      <c r="J74" t="n">
        <v>0</v>
      </c>
      <c r="K74" t="n">
        <v>0</v>
      </c>
      <c r="L74" t="n">
        <v>0</v>
      </c>
      <c r="M74" t="n">
        <v>0</v>
      </c>
      <c r="N74" t="n">
        <v>0</v>
      </c>
      <c r="O74" t="n">
        <v>0</v>
      </c>
      <c r="P74" t="n">
        <v>0</v>
      </c>
      <c r="Q74" t="n">
        <v>1</v>
      </c>
      <c r="R74" s="2" t="inlineStr">
        <is>
          <t>Blåsippa</t>
        </is>
      </c>
      <c r="S74">
        <f>HYPERLINK("https://klasma.github.io/Logging_2029/artfynd/A 23855-2025 artfynd.xlsx", "A 23855-2025")</f>
        <v/>
      </c>
      <c r="T74">
        <f>HYPERLINK("https://klasma.github.io/Logging_2029/kartor/A 23855-2025 karta.png", "A 23855-2025")</f>
        <v/>
      </c>
      <c r="V74">
        <f>HYPERLINK("https://klasma.github.io/Logging_2029/klagomål/A 23855-2025 FSC-klagomål.docx", "A 23855-2025")</f>
        <v/>
      </c>
      <c r="W74">
        <f>HYPERLINK("https://klasma.github.io/Logging_2029/klagomålsmail/A 23855-2025 FSC-klagomål mail.docx", "A 23855-2025")</f>
        <v/>
      </c>
      <c r="X74">
        <f>HYPERLINK("https://klasma.github.io/Logging_2029/tillsyn/A 23855-2025 tillsynsbegäran.docx", "A 23855-2025")</f>
        <v/>
      </c>
      <c r="Y74">
        <f>HYPERLINK("https://klasma.github.io/Logging_2029/tillsynsmail/A 23855-2025 tillsynsbegäran mail.docx", "A 23855-2025")</f>
        <v/>
      </c>
    </row>
    <row r="75" ht="15" customHeight="1">
      <c r="A75" t="inlineStr">
        <is>
          <t>A 57869-2025</t>
        </is>
      </c>
      <c r="B75" s="1" t="n">
        <v>45981</v>
      </c>
      <c r="C75" s="1" t="n">
        <v>46201</v>
      </c>
      <c r="D75" t="inlineStr">
        <is>
          <t>DALARNAS LÄN</t>
        </is>
      </c>
      <c r="E75" t="inlineStr">
        <is>
          <t>LEKSAND</t>
        </is>
      </c>
      <c r="G75" t="n">
        <v>0.6</v>
      </c>
      <c r="H75" t="n">
        <v>1</v>
      </c>
      <c r="I75" t="n">
        <v>0</v>
      </c>
      <c r="J75" t="n">
        <v>0</v>
      </c>
      <c r="K75" t="n">
        <v>0</v>
      </c>
      <c r="L75" t="n">
        <v>0</v>
      </c>
      <c r="M75" t="n">
        <v>0</v>
      </c>
      <c r="N75" t="n">
        <v>0</v>
      </c>
      <c r="O75" t="n">
        <v>0</v>
      </c>
      <c r="P75" t="n">
        <v>0</v>
      </c>
      <c r="Q75" t="n">
        <v>1</v>
      </c>
      <c r="R75" s="2" t="inlineStr">
        <is>
          <t>Utter</t>
        </is>
      </c>
      <c r="S75">
        <f>HYPERLINK("https://klasma.github.io/Logging_2029/artfynd/A 57869-2025 artfynd.xlsx", "A 57869-2025")</f>
        <v/>
      </c>
      <c r="T75">
        <f>HYPERLINK("https://klasma.github.io/Logging_2029/kartor/A 57869-2025 karta.png", "A 57869-2025")</f>
        <v/>
      </c>
      <c r="V75">
        <f>HYPERLINK("https://klasma.github.io/Logging_2029/klagomål/A 57869-2025 FSC-klagomål.docx", "A 57869-2025")</f>
        <v/>
      </c>
      <c r="W75">
        <f>HYPERLINK("https://klasma.github.io/Logging_2029/klagomålsmail/A 57869-2025 FSC-klagomål mail.docx", "A 57869-2025")</f>
        <v/>
      </c>
      <c r="X75">
        <f>HYPERLINK("https://klasma.github.io/Logging_2029/tillsyn/A 57869-2025 tillsynsbegäran.docx", "A 57869-2025")</f>
        <v/>
      </c>
      <c r="Y75">
        <f>HYPERLINK("https://klasma.github.io/Logging_2029/tillsynsmail/A 57869-2025 tillsynsbegäran mail.docx", "A 57869-2025")</f>
        <v/>
      </c>
    </row>
    <row r="76" ht="15" customHeight="1">
      <c r="A76" t="inlineStr">
        <is>
          <t>A 53122-2023</t>
        </is>
      </c>
      <c r="B76" s="1" t="n">
        <v>45228</v>
      </c>
      <c r="C76" s="1" t="n">
        <v>46201</v>
      </c>
      <c r="D76" t="inlineStr">
        <is>
          <t>DALARNAS LÄN</t>
        </is>
      </c>
      <c r="E76" t="inlineStr">
        <is>
          <t>LEKSAND</t>
        </is>
      </c>
      <c r="G76" t="n">
        <v>1.9</v>
      </c>
      <c r="H76" t="n">
        <v>1</v>
      </c>
      <c r="I76" t="n">
        <v>0</v>
      </c>
      <c r="J76" t="n">
        <v>0</v>
      </c>
      <c r="K76" t="n">
        <v>0</v>
      </c>
      <c r="L76" t="n">
        <v>0</v>
      </c>
      <c r="M76" t="n">
        <v>0</v>
      </c>
      <c r="N76" t="n">
        <v>0</v>
      </c>
      <c r="O76" t="n">
        <v>0</v>
      </c>
      <c r="P76" t="n">
        <v>0</v>
      </c>
      <c r="Q76" t="n">
        <v>1</v>
      </c>
      <c r="R76" s="2" t="inlineStr">
        <is>
          <t>Trana</t>
        </is>
      </c>
      <c r="S76">
        <f>HYPERLINK("https://klasma.github.io/Logging_2029/artfynd/A 53122-2023 artfynd.xlsx", "A 53122-2023")</f>
        <v/>
      </c>
      <c r="T76">
        <f>HYPERLINK("https://klasma.github.io/Logging_2029/kartor/A 53122-2023 karta.png", "A 53122-2023")</f>
        <v/>
      </c>
      <c r="V76">
        <f>HYPERLINK("https://klasma.github.io/Logging_2029/klagomål/A 53122-2023 FSC-klagomål.docx", "A 53122-2023")</f>
        <v/>
      </c>
      <c r="W76">
        <f>HYPERLINK("https://klasma.github.io/Logging_2029/klagomålsmail/A 53122-2023 FSC-klagomål mail.docx", "A 53122-2023")</f>
        <v/>
      </c>
      <c r="X76">
        <f>HYPERLINK("https://klasma.github.io/Logging_2029/tillsyn/A 53122-2023 tillsynsbegäran.docx", "A 53122-2023")</f>
        <v/>
      </c>
      <c r="Y76">
        <f>HYPERLINK("https://klasma.github.io/Logging_2029/tillsynsmail/A 53122-2023 tillsynsbegäran mail.docx", "A 53122-2023")</f>
        <v/>
      </c>
      <c r="Z76">
        <f>HYPERLINK("https://klasma.github.io/Logging_2029/fåglar/A 53122-2023 prioriterade fågelarter.docx", "A 53122-2023")</f>
        <v/>
      </c>
    </row>
    <row r="77" ht="15" customHeight="1">
      <c r="A77" t="inlineStr">
        <is>
          <t>A 59271-2025</t>
        </is>
      </c>
      <c r="B77" s="1" t="n">
        <v>45988</v>
      </c>
      <c r="C77" s="1" t="n">
        <v>46201</v>
      </c>
      <c r="D77" t="inlineStr">
        <is>
          <t>DALARNAS LÄN</t>
        </is>
      </c>
      <c r="E77" t="inlineStr">
        <is>
          <t>LEKSAND</t>
        </is>
      </c>
      <c r="G77" t="n">
        <v>2.2</v>
      </c>
      <c r="H77" t="n">
        <v>0</v>
      </c>
      <c r="I77" t="n">
        <v>1</v>
      </c>
      <c r="J77" t="n">
        <v>0</v>
      </c>
      <c r="K77" t="n">
        <v>0</v>
      </c>
      <c r="L77" t="n">
        <v>0</v>
      </c>
      <c r="M77" t="n">
        <v>0</v>
      </c>
      <c r="N77" t="n">
        <v>0</v>
      </c>
      <c r="O77" t="n">
        <v>0</v>
      </c>
      <c r="P77" t="n">
        <v>0</v>
      </c>
      <c r="Q77" t="n">
        <v>1</v>
      </c>
      <c r="R77" s="2" t="inlineStr">
        <is>
          <t>Brun nållav</t>
        </is>
      </c>
      <c r="S77">
        <f>HYPERLINK("https://klasma.github.io/Logging_2029/artfynd/A 59271-2025 artfynd.xlsx", "A 59271-2025")</f>
        <v/>
      </c>
      <c r="T77">
        <f>HYPERLINK("https://klasma.github.io/Logging_2029/kartor/A 59271-2025 karta.png", "A 59271-2025")</f>
        <v/>
      </c>
      <c r="V77">
        <f>HYPERLINK("https://klasma.github.io/Logging_2029/klagomål/A 59271-2025 FSC-klagomål.docx", "A 59271-2025")</f>
        <v/>
      </c>
      <c r="W77">
        <f>HYPERLINK("https://klasma.github.io/Logging_2029/klagomålsmail/A 59271-2025 FSC-klagomål mail.docx", "A 59271-2025")</f>
        <v/>
      </c>
      <c r="X77">
        <f>HYPERLINK("https://klasma.github.io/Logging_2029/tillsyn/A 59271-2025 tillsynsbegäran.docx", "A 59271-2025")</f>
        <v/>
      </c>
      <c r="Y77">
        <f>HYPERLINK("https://klasma.github.io/Logging_2029/tillsynsmail/A 59271-2025 tillsynsbegäran mail.docx", "A 59271-2025")</f>
        <v/>
      </c>
    </row>
    <row r="78" ht="15" customHeight="1">
      <c r="A78" t="inlineStr">
        <is>
          <t>A 3144-2026</t>
        </is>
      </c>
      <c r="B78" s="1" t="n">
        <v>46041</v>
      </c>
      <c r="C78" s="1" t="n">
        <v>46201</v>
      </c>
      <c r="D78" t="inlineStr">
        <is>
          <t>DALARNAS LÄN</t>
        </is>
      </c>
      <c r="E78" t="inlineStr">
        <is>
          <t>LEKSAND</t>
        </is>
      </c>
      <c r="G78" t="n">
        <v>4.8</v>
      </c>
      <c r="H78" t="n">
        <v>0</v>
      </c>
      <c r="I78" t="n">
        <v>0</v>
      </c>
      <c r="J78" t="n">
        <v>1</v>
      </c>
      <c r="K78" t="n">
        <v>0</v>
      </c>
      <c r="L78" t="n">
        <v>0</v>
      </c>
      <c r="M78" t="n">
        <v>0</v>
      </c>
      <c r="N78" t="n">
        <v>0</v>
      </c>
      <c r="O78" t="n">
        <v>1</v>
      </c>
      <c r="P78" t="n">
        <v>0</v>
      </c>
      <c r="Q78" t="n">
        <v>1</v>
      </c>
      <c r="R78" s="2" t="inlineStr">
        <is>
          <t>Slåtterfibbla</t>
        </is>
      </c>
      <c r="S78">
        <f>HYPERLINK("https://klasma.github.io/Logging_2029/artfynd/A 3144-2026 artfynd.xlsx", "A 3144-2026")</f>
        <v/>
      </c>
      <c r="T78">
        <f>HYPERLINK("https://klasma.github.io/Logging_2029/kartor/A 3144-2026 karta.png", "A 3144-2026")</f>
        <v/>
      </c>
      <c r="V78">
        <f>HYPERLINK("https://klasma.github.io/Logging_2029/klagomål/A 3144-2026 FSC-klagomål.docx", "A 3144-2026")</f>
        <v/>
      </c>
      <c r="W78">
        <f>HYPERLINK("https://klasma.github.io/Logging_2029/klagomålsmail/A 3144-2026 FSC-klagomål mail.docx", "A 3144-2026")</f>
        <v/>
      </c>
      <c r="X78">
        <f>HYPERLINK("https://klasma.github.io/Logging_2029/tillsyn/A 3144-2026 tillsynsbegäran.docx", "A 3144-2026")</f>
        <v/>
      </c>
      <c r="Y78">
        <f>HYPERLINK("https://klasma.github.io/Logging_2029/tillsynsmail/A 3144-2026 tillsynsbegäran mail.docx", "A 3144-2026")</f>
        <v/>
      </c>
    </row>
    <row r="79" ht="15" customHeight="1">
      <c r="A79" t="inlineStr">
        <is>
          <t>A 8969-2026</t>
        </is>
      </c>
      <c r="B79" s="1" t="n">
        <v>46069</v>
      </c>
      <c r="C79" s="1" t="n">
        <v>46201</v>
      </c>
      <c r="D79" t="inlineStr">
        <is>
          <t>DALARNAS LÄN</t>
        </is>
      </c>
      <c r="E79" t="inlineStr">
        <is>
          <t>LEKSAND</t>
        </is>
      </c>
      <c r="G79" t="n">
        <v>1.9</v>
      </c>
      <c r="H79" t="n">
        <v>0</v>
      </c>
      <c r="I79" t="n">
        <v>0</v>
      </c>
      <c r="J79" t="n">
        <v>1</v>
      </c>
      <c r="K79" t="n">
        <v>0</v>
      </c>
      <c r="L79" t="n">
        <v>0</v>
      </c>
      <c r="M79" t="n">
        <v>0</v>
      </c>
      <c r="N79" t="n">
        <v>0</v>
      </c>
      <c r="O79" t="n">
        <v>1</v>
      </c>
      <c r="P79" t="n">
        <v>0</v>
      </c>
      <c r="Q79" t="n">
        <v>1</v>
      </c>
      <c r="R79" s="2" t="inlineStr">
        <is>
          <t>Gullklöver</t>
        </is>
      </c>
      <c r="S79">
        <f>HYPERLINK("https://klasma.github.io/Logging_2029/artfynd/A 8969-2026 artfynd.xlsx", "A 8969-2026")</f>
        <v/>
      </c>
      <c r="T79">
        <f>HYPERLINK("https://klasma.github.io/Logging_2029/kartor/A 8969-2026 karta.png", "A 8969-2026")</f>
        <v/>
      </c>
      <c r="V79">
        <f>HYPERLINK("https://klasma.github.io/Logging_2029/klagomål/A 8969-2026 FSC-klagomål.docx", "A 8969-2026")</f>
        <v/>
      </c>
      <c r="W79">
        <f>HYPERLINK("https://klasma.github.io/Logging_2029/klagomålsmail/A 8969-2026 FSC-klagomål mail.docx", "A 8969-2026")</f>
        <v/>
      </c>
      <c r="X79">
        <f>HYPERLINK("https://klasma.github.io/Logging_2029/tillsyn/A 8969-2026 tillsynsbegäran.docx", "A 8969-2026")</f>
        <v/>
      </c>
      <c r="Y79">
        <f>HYPERLINK("https://klasma.github.io/Logging_2029/tillsynsmail/A 8969-2026 tillsynsbegäran mail.docx", "A 8969-2026")</f>
        <v/>
      </c>
    </row>
    <row r="80" ht="15" customHeight="1">
      <c r="A80" t="inlineStr">
        <is>
          <t>A 17461-2026</t>
        </is>
      </c>
      <c r="B80" s="1" t="n">
        <v>46120</v>
      </c>
      <c r="C80" s="1" t="n">
        <v>46201</v>
      </c>
      <c r="D80" t="inlineStr">
        <is>
          <t>DALARNAS LÄN</t>
        </is>
      </c>
      <c r="E80" t="inlineStr">
        <is>
          <t>LEKSAND</t>
        </is>
      </c>
      <c r="G80" t="n">
        <v>1.3</v>
      </c>
      <c r="H80" t="n">
        <v>1</v>
      </c>
      <c r="I80" t="n">
        <v>0</v>
      </c>
      <c r="J80" t="n">
        <v>0</v>
      </c>
      <c r="K80" t="n">
        <v>1</v>
      </c>
      <c r="L80" t="n">
        <v>0</v>
      </c>
      <c r="M80" t="n">
        <v>0</v>
      </c>
      <c r="N80" t="n">
        <v>0</v>
      </c>
      <c r="O80" t="n">
        <v>1</v>
      </c>
      <c r="P80" t="n">
        <v>1</v>
      </c>
      <c r="Q80" t="n">
        <v>1</v>
      </c>
      <c r="R80" s="2" t="inlineStr">
        <is>
          <t>Brun gräsfjäril</t>
        </is>
      </c>
      <c r="S80">
        <f>HYPERLINK("https://klasma.github.io/Logging_2029/artfynd/A 17461-2026 artfynd.xlsx", "A 17461-2026")</f>
        <v/>
      </c>
      <c r="T80">
        <f>HYPERLINK("https://klasma.github.io/Logging_2029/kartor/A 17461-2026 karta.png", "A 17461-2026")</f>
        <v/>
      </c>
      <c r="V80">
        <f>HYPERLINK("https://klasma.github.io/Logging_2029/klagomål/A 17461-2026 FSC-klagomål.docx", "A 17461-2026")</f>
        <v/>
      </c>
      <c r="W80">
        <f>HYPERLINK("https://klasma.github.io/Logging_2029/klagomålsmail/A 17461-2026 FSC-klagomål mail.docx", "A 17461-2026")</f>
        <v/>
      </c>
      <c r="X80">
        <f>HYPERLINK("https://klasma.github.io/Logging_2029/tillsyn/A 17461-2026 tillsynsbegäran.docx", "A 17461-2026")</f>
        <v/>
      </c>
      <c r="Y80">
        <f>HYPERLINK("https://klasma.github.io/Logging_2029/tillsynsmail/A 17461-2026 tillsynsbegäran mail.docx", "A 17461-2026")</f>
        <v/>
      </c>
    </row>
    <row r="81" ht="15" customHeight="1">
      <c r="A81" t="inlineStr">
        <is>
          <t>A 60113-2022</t>
        </is>
      </c>
      <c r="B81" s="1" t="n">
        <v>44909</v>
      </c>
      <c r="C81" s="1" t="n">
        <v>46201</v>
      </c>
      <c r="D81" t="inlineStr">
        <is>
          <t>DALARNAS LÄN</t>
        </is>
      </c>
      <c r="E81" t="inlineStr">
        <is>
          <t>LEKSAND</t>
        </is>
      </c>
      <c r="G81" t="n">
        <v>3.7</v>
      </c>
      <c r="H81" t="n">
        <v>1</v>
      </c>
      <c r="I81" t="n">
        <v>0</v>
      </c>
      <c r="J81" t="n">
        <v>0</v>
      </c>
      <c r="K81" t="n">
        <v>0</v>
      </c>
      <c r="L81" t="n">
        <v>0</v>
      </c>
      <c r="M81" t="n">
        <v>0</v>
      </c>
      <c r="N81" t="n">
        <v>0</v>
      </c>
      <c r="O81" t="n">
        <v>0</v>
      </c>
      <c r="P81" t="n">
        <v>0</v>
      </c>
      <c r="Q81" t="n">
        <v>1</v>
      </c>
      <c r="R81" s="2" t="inlineStr">
        <is>
          <t>Slaguggla</t>
        </is>
      </c>
      <c r="S81">
        <f>HYPERLINK("https://klasma.github.io/Logging_2029/artfynd/A 60113-2022 artfynd.xlsx", "A 60113-2022")</f>
        <v/>
      </c>
      <c r="T81">
        <f>HYPERLINK("https://klasma.github.io/Logging_2029/kartor/A 60113-2022 karta.png", "A 60113-2022")</f>
        <v/>
      </c>
      <c r="V81">
        <f>HYPERLINK("https://klasma.github.io/Logging_2029/klagomål/A 60113-2022 FSC-klagomål.docx", "A 60113-2022")</f>
        <v/>
      </c>
      <c r="W81">
        <f>HYPERLINK("https://klasma.github.io/Logging_2029/klagomålsmail/A 60113-2022 FSC-klagomål mail.docx", "A 60113-2022")</f>
        <v/>
      </c>
      <c r="X81">
        <f>HYPERLINK("https://klasma.github.io/Logging_2029/tillsyn/A 60113-2022 tillsynsbegäran.docx", "A 60113-2022")</f>
        <v/>
      </c>
      <c r="Y81">
        <f>HYPERLINK("https://klasma.github.io/Logging_2029/tillsynsmail/A 60113-2022 tillsynsbegäran mail.docx", "A 60113-2022")</f>
        <v/>
      </c>
      <c r="Z81">
        <f>HYPERLINK("https://klasma.github.io/Logging_2029/fåglar/A 60113-2022 prioriterade fågelarter.docx", "A 60113-2022")</f>
        <v/>
      </c>
    </row>
    <row r="82" ht="15" customHeight="1">
      <c r="A82" t="inlineStr">
        <is>
          <t>A 164-2024</t>
        </is>
      </c>
      <c r="B82" s="1" t="n">
        <v>45294</v>
      </c>
      <c r="C82" s="1" t="n">
        <v>46201</v>
      </c>
      <c r="D82" t="inlineStr">
        <is>
          <t>DALARNAS LÄN</t>
        </is>
      </c>
      <c r="E82" t="inlineStr">
        <is>
          <t>LEKSAND</t>
        </is>
      </c>
      <c r="G82" t="n">
        <v>3.7</v>
      </c>
      <c r="H82" t="n">
        <v>1</v>
      </c>
      <c r="I82" t="n">
        <v>0</v>
      </c>
      <c r="J82" t="n">
        <v>0</v>
      </c>
      <c r="K82" t="n">
        <v>0</v>
      </c>
      <c r="L82" t="n">
        <v>0</v>
      </c>
      <c r="M82" t="n">
        <v>0</v>
      </c>
      <c r="N82" t="n">
        <v>0</v>
      </c>
      <c r="O82" t="n">
        <v>0</v>
      </c>
      <c r="P82" t="n">
        <v>0</v>
      </c>
      <c r="Q82" t="n">
        <v>1</v>
      </c>
      <c r="R82" s="2" t="inlineStr">
        <is>
          <t>Järpe</t>
        </is>
      </c>
      <c r="S82">
        <f>HYPERLINK("https://klasma.github.io/Logging_2029/artfynd/A 164-2024 artfynd.xlsx", "A 164-2024")</f>
        <v/>
      </c>
      <c r="T82">
        <f>HYPERLINK("https://klasma.github.io/Logging_2029/kartor/A 164-2024 karta.png", "A 164-2024")</f>
        <v/>
      </c>
      <c r="V82">
        <f>HYPERLINK("https://klasma.github.io/Logging_2029/klagomål/A 164-2024 FSC-klagomål.docx", "A 164-2024")</f>
        <v/>
      </c>
      <c r="W82">
        <f>HYPERLINK("https://klasma.github.io/Logging_2029/klagomålsmail/A 164-2024 FSC-klagomål mail.docx", "A 164-2024")</f>
        <v/>
      </c>
      <c r="X82">
        <f>HYPERLINK("https://klasma.github.io/Logging_2029/tillsyn/A 164-2024 tillsynsbegäran.docx", "A 164-2024")</f>
        <v/>
      </c>
      <c r="Y82">
        <f>HYPERLINK("https://klasma.github.io/Logging_2029/tillsynsmail/A 164-2024 tillsynsbegäran mail.docx", "A 164-2024")</f>
        <v/>
      </c>
      <c r="Z82">
        <f>HYPERLINK("https://klasma.github.io/Logging_2029/fåglar/A 164-2024 prioriterade fågelarter.docx", "A 164-2024")</f>
        <v/>
      </c>
    </row>
    <row r="83" ht="15" customHeight="1">
      <c r="A83" t="inlineStr">
        <is>
          <t>A 16743-2026</t>
        </is>
      </c>
      <c r="B83" s="1" t="n">
        <v>46113</v>
      </c>
      <c r="C83" s="1" t="n">
        <v>46201</v>
      </c>
      <c r="D83" t="inlineStr">
        <is>
          <t>DALARNAS LÄN</t>
        </is>
      </c>
      <c r="E83" t="inlineStr">
        <is>
          <t>LEKSAND</t>
        </is>
      </c>
      <c r="F83" t="inlineStr">
        <is>
          <t>Bergvik skog väst AB</t>
        </is>
      </c>
      <c r="G83" t="n">
        <v>32</v>
      </c>
      <c r="H83" t="n">
        <v>1</v>
      </c>
      <c r="I83" t="n">
        <v>0</v>
      </c>
      <c r="J83" t="n">
        <v>0</v>
      </c>
      <c r="K83" t="n">
        <v>0</v>
      </c>
      <c r="L83" t="n">
        <v>0</v>
      </c>
      <c r="M83" t="n">
        <v>0</v>
      </c>
      <c r="N83" t="n">
        <v>0</v>
      </c>
      <c r="O83" t="n">
        <v>0</v>
      </c>
      <c r="P83" t="n">
        <v>0</v>
      </c>
      <c r="Q83" t="n">
        <v>1</v>
      </c>
      <c r="R83" s="2" t="inlineStr">
        <is>
          <t>Järpe</t>
        </is>
      </c>
      <c r="S83">
        <f>HYPERLINK("https://klasma.github.io/Logging_2029/artfynd/A 16743-2026 artfynd.xlsx", "A 16743-2026")</f>
        <v/>
      </c>
      <c r="T83">
        <f>HYPERLINK("https://klasma.github.io/Logging_2029/kartor/A 16743-2026 karta.png", "A 16743-2026")</f>
        <v/>
      </c>
      <c r="V83">
        <f>HYPERLINK("https://klasma.github.io/Logging_2029/klagomål/A 16743-2026 FSC-klagomål.docx", "A 16743-2026")</f>
        <v/>
      </c>
      <c r="W83">
        <f>HYPERLINK("https://klasma.github.io/Logging_2029/klagomålsmail/A 16743-2026 FSC-klagomål mail.docx", "A 16743-2026")</f>
        <v/>
      </c>
      <c r="X83">
        <f>HYPERLINK("https://klasma.github.io/Logging_2029/tillsyn/A 16743-2026 tillsynsbegäran.docx", "A 16743-2026")</f>
        <v/>
      </c>
      <c r="Y83">
        <f>HYPERLINK("https://klasma.github.io/Logging_2029/tillsynsmail/A 16743-2026 tillsynsbegäran mail.docx", "A 16743-2026")</f>
        <v/>
      </c>
      <c r="Z83">
        <f>HYPERLINK("https://klasma.github.io/Logging_2029/fåglar/A 16743-2026 prioriterade fågelarter.docx", "A 16743-2026")</f>
        <v/>
      </c>
    </row>
    <row r="84" ht="15" customHeight="1">
      <c r="A84" t="inlineStr">
        <is>
          <t>A 36438-2021</t>
        </is>
      </c>
      <c r="B84" s="1" t="n">
        <v>44390</v>
      </c>
      <c r="C84" s="1" t="n">
        <v>46201</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42952-2021</t>
        </is>
      </c>
      <c r="B85" s="1" t="n">
        <v>44431</v>
      </c>
      <c r="C85" s="1" t="n">
        <v>46201</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32476-2022</t>
        </is>
      </c>
      <c r="B86" s="1" t="n">
        <v>44782</v>
      </c>
      <c r="C86" s="1" t="n">
        <v>46201</v>
      </c>
      <c r="D86" t="inlineStr">
        <is>
          <t>DALARNAS LÄN</t>
        </is>
      </c>
      <c r="E86" t="inlineStr">
        <is>
          <t>LEKSAND</t>
        </is>
      </c>
      <c r="G86" t="n">
        <v>5.6</v>
      </c>
      <c r="H86" t="n">
        <v>0</v>
      </c>
      <c r="I86" t="n">
        <v>0</v>
      </c>
      <c r="J86" t="n">
        <v>0</v>
      </c>
      <c r="K86" t="n">
        <v>0</v>
      </c>
      <c r="L86" t="n">
        <v>0</v>
      </c>
      <c r="M86" t="n">
        <v>0</v>
      </c>
      <c r="N86" t="n">
        <v>0</v>
      </c>
      <c r="O86" t="n">
        <v>0</v>
      </c>
      <c r="P86" t="n">
        <v>0</v>
      </c>
      <c r="Q86" t="n">
        <v>0</v>
      </c>
      <c r="R86" s="2" t="inlineStr"/>
    </row>
    <row r="87" ht="15" customHeight="1">
      <c r="A87" t="inlineStr">
        <is>
          <t>A 43300-2022</t>
        </is>
      </c>
      <c r="B87" s="1" t="n">
        <v>44834</v>
      </c>
      <c r="C87" s="1" t="n">
        <v>46201</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59422-2021</t>
        </is>
      </c>
      <c r="B88" s="1" t="n">
        <v>44491</v>
      </c>
      <c r="C88" s="1" t="n">
        <v>46201</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35801-2022</t>
        </is>
      </c>
      <c r="B89" s="1" t="n">
        <v>44802</v>
      </c>
      <c r="C89" s="1" t="n">
        <v>46201</v>
      </c>
      <c r="D89" t="inlineStr">
        <is>
          <t>DALARNAS LÄN</t>
        </is>
      </c>
      <c r="E89" t="inlineStr">
        <is>
          <t>LEKSAND</t>
        </is>
      </c>
      <c r="F89" t="inlineStr">
        <is>
          <t>Bergvik skog väst AB</t>
        </is>
      </c>
      <c r="G89" t="n">
        <v>6.4</v>
      </c>
      <c r="H89" t="n">
        <v>0</v>
      </c>
      <c r="I89" t="n">
        <v>0</v>
      </c>
      <c r="J89" t="n">
        <v>0</v>
      </c>
      <c r="K89" t="n">
        <v>0</v>
      </c>
      <c r="L89" t="n">
        <v>0</v>
      </c>
      <c r="M89" t="n">
        <v>0</v>
      </c>
      <c r="N89" t="n">
        <v>0</v>
      </c>
      <c r="O89" t="n">
        <v>0</v>
      </c>
      <c r="P89" t="n">
        <v>0</v>
      </c>
      <c r="Q89" t="n">
        <v>0</v>
      </c>
      <c r="R89" s="2" t="inlineStr"/>
    </row>
    <row r="90" ht="15" customHeight="1">
      <c r="A90" t="inlineStr">
        <is>
          <t>A 16375-2022</t>
        </is>
      </c>
      <c r="B90" s="1" t="n">
        <v>44671</v>
      </c>
      <c r="C90" s="1" t="n">
        <v>46201</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51842-2022</t>
        </is>
      </c>
      <c r="B91" s="1" t="n">
        <v>44872</v>
      </c>
      <c r="C91" s="1" t="n">
        <v>46201</v>
      </c>
      <c r="D91" t="inlineStr">
        <is>
          <t>DALARNAS LÄN</t>
        </is>
      </c>
      <c r="E91" t="inlineStr">
        <is>
          <t>LEKSAND</t>
        </is>
      </c>
      <c r="F91" t="inlineStr">
        <is>
          <t>Bergvik skog väst AB</t>
        </is>
      </c>
      <c r="G91" t="n">
        <v>4</v>
      </c>
      <c r="H91" t="n">
        <v>0</v>
      </c>
      <c r="I91" t="n">
        <v>0</v>
      </c>
      <c r="J91" t="n">
        <v>0</v>
      </c>
      <c r="K91" t="n">
        <v>0</v>
      </c>
      <c r="L91" t="n">
        <v>0</v>
      </c>
      <c r="M91" t="n">
        <v>0</v>
      </c>
      <c r="N91" t="n">
        <v>0</v>
      </c>
      <c r="O91" t="n">
        <v>0</v>
      </c>
      <c r="P91" t="n">
        <v>0</v>
      </c>
      <c r="Q91" t="n">
        <v>0</v>
      </c>
      <c r="R91" s="2" t="inlineStr"/>
    </row>
    <row r="92" ht="15" customHeight="1">
      <c r="A92" t="inlineStr">
        <is>
          <t>A 64718-2021</t>
        </is>
      </c>
      <c r="B92" s="1" t="n">
        <v>44512</v>
      </c>
      <c r="C92" s="1" t="n">
        <v>46201</v>
      </c>
      <c r="D92" t="inlineStr">
        <is>
          <t>DALARNAS LÄN</t>
        </is>
      </c>
      <c r="E92" t="inlineStr">
        <is>
          <t>LEKSAND</t>
        </is>
      </c>
      <c r="G92" t="n">
        <v>1</v>
      </c>
      <c r="H92" t="n">
        <v>0</v>
      </c>
      <c r="I92" t="n">
        <v>0</v>
      </c>
      <c r="J92" t="n">
        <v>0</v>
      </c>
      <c r="K92" t="n">
        <v>0</v>
      </c>
      <c r="L92" t="n">
        <v>0</v>
      </c>
      <c r="M92" t="n">
        <v>0</v>
      </c>
      <c r="N92" t="n">
        <v>0</v>
      </c>
      <c r="O92" t="n">
        <v>0</v>
      </c>
      <c r="P92" t="n">
        <v>0</v>
      </c>
      <c r="Q92" t="n">
        <v>0</v>
      </c>
      <c r="R92" s="2" t="inlineStr"/>
    </row>
    <row r="93" ht="15" customHeight="1">
      <c r="A93" t="inlineStr">
        <is>
          <t>A 37283-2021</t>
        </is>
      </c>
      <c r="B93" s="1" t="n">
        <v>44397</v>
      </c>
      <c r="C93" s="1" t="n">
        <v>46201</v>
      </c>
      <c r="D93" t="inlineStr">
        <is>
          <t>DALARNAS LÄN</t>
        </is>
      </c>
      <c r="E93" t="inlineStr">
        <is>
          <t>LEKSAND</t>
        </is>
      </c>
      <c r="G93" t="n">
        <v>2.9</v>
      </c>
      <c r="H93" t="n">
        <v>0</v>
      </c>
      <c r="I93" t="n">
        <v>0</v>
      </c>
      <c r="J93" t="n">
        <v>0</v>
      </c>
      <c r="K93" t="n">
        <v>0</v>
      </c>
      <c r="L93" t="n">
        <v>0</v>
      </c>
      <c r="M93" t="n">
        <v>0</v>
      </c>
      <c r="N93" t="n">
        <v>0</v>
      </c>
      <c r="O93" t="n">
        <v>0</v>
      </c>
      <c r="P93" t="n">
        <v>0</v>
      </c>
      <c r="Q93" t="n">
        <v>0</v>
      </c>
      <c r="R93" s="2" t="inlineStr"/>
    </row>
    <row r="94" ht="15" customHeight="1">
      <c r="A94" t="inlineStr">
        <is>
          <t>A 51498-2022</t>
        </is>
      </c>
      <c r="B94" s="1" t="n">
        <v>44869</v>
      </c>
      <c r="C94" s="1" t="n">
        <v>46201</v>
      </c>
      <c r="D94" t="inlineStr">
        <is>
          <t>DALARNAS LÄN</t>
        </is>
      </c>
      <c r="E94" t="inlineStr">
        <is>
          <t>LEKSAND</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46201</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46201</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791-2022</t>
        </is>
      </c>
      <c r="B97" s="1" t="n">
        <v>44570</v>
      </c>
      <c r="C97" s="1" t="n">
        <v>46201</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63831-2021</t>
        </is>
      </c>
      <c r="B98" s="1" t="n">
        <v>44509</v>
      </c>
      <c r="C98" s="1" t="n">
        <v>46201</v>
      </c>
      <c r="D98" t="inlineStr">
        <is>
          <t>DALARNAS LÄN</t>
        </is>
      </c>
      <c r="E98" t="inlineStr">
        <is>
          <t>LEKSAND</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19480-2022</t>
        </is>
      </c>
      <c r="B99" s="1" t="n">
        <v>44693</v>
      </c>
      <c r="C99" s="1" t="n">
        <v>46201</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37073-2021</t>
        </is>
      </c>
      <c r="B100" s="1" t="n">
        <v>44394</v>
      </c>
      <c r="C100" s="1" t="n">
        <v>46201</v>
      </c>
      <c r="D100" t="inlineStr">
        <is>
          <t>DALARNAS LÄN</t>
        </is>
      </c>
      <c r="E100" t="inlineStr">
        <is>
          <t>LEKSAND</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37531-2021</t>
        </is>
      </c>
      <c r="B101" s="1" t="n">
        <v>44399</v>
      </c>
      <c r="C101" s="1" t="n">
        <v>46201</v>
      </c>
      <c r="D101" t="inlineStr">
        <is>
          <t>DALARNAS LÄN</t>
        </is>
      </c>
      <c r="E101" t="inlineStr">
        <is>
          <t>LEKSAND</t>
        </is>
      </c>
      <c r="G101" t="n">
        <v>1.5</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46201</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46201</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53293-2022</t>
        </is>
      </c>
      <c r="B104" s="1" t="n">
        <v>44877</v>
      </c>
      <c r="C104" s="1" t="n">
        <v>46201</v>
      </c>
      <c r="D104" t="inlineStr">
        <is>
          <t>DALARNAS LÄN</t>
        </is>
      </c>
      <c r="E104" t="inlineStr">
        <is>
          <t>LEKSAND</t>
        </is>
      </c>
      <c r="G104" t="n">
        <v>0.4</v>
      </c>
      <c r="H104" t="n">
        <v>0</v>
      </c>
      <c r="I104" t="n">
        <v>0</v>
      </c>
      <c r="J104" t="n">
        <v>0</v>
      </c>
      <c r="K104" t="n">
        <v>0</v>
      </c>
      <c r="L104" t="n">
        <v>0</v>
      </c>
      <c r="M104" t="n">
        <v>0</v>
      </c>
      <c r="N104" t="n">
        <v>0</v>
      </c>
      <c r="O104" t="n">
        <v>0</v>
      </c>
      <c r="P104" t="n">
        <v>0</v>
      </c>
      <c r="Q104" t="n">
        <v>0</v>
      </c>
      <c r="R104" s="2" t="inlineStr"/>
    </row>
    <row r="105" ht="15" customHeight="1">
      <c r="A105" t="inlineStr">
        <is>
          <t>A 68573-2021</t>
        </is>
      </c>
      <c r="B105" s="1" t="n">
        <v>44529</v>
      </c>
      <c r="C105" s="1" t="n">
        <v>46201</v>
      </c>
      <c r="D105" t="inlineStr">
        <is>
          <t>DALARNAS LÄN</t>
        </is>
      </c>
      <c r="E105" t="inlineStr">
        <is>
          <t>LEKSAND</t>
        </is>
      </c>
      <c r="G105" t="n">
        <v>1.6</v>
      </c>
      <c r="H105" t="n">
        <v>0</v>
      </c>
      <c r="I105" t="n">
        <v>0</v>
      </c>
      <c r="J105" t="n">
        <v>0</v>
      </c>
      <c r="K105" t="n">
        <v>0</v>
      </c>
      <c r="L105" t="n">
        <v>0</v>
      </c>
      <c r="M105" t="n">
        <v>0</v>
      </c>
      <c r="N105" t="n">
        <v>0</v>
      </c>
      <c r="O105" t="n">
        <v>0</v>
      </c>
      <c r="P105" t="n">
        <v>0</v>
      </c>
      <c r="Q105" t="n">
        <v>0</v>
      </c>
      <c r="R105" s="2" t="inlineStr"/>
    </row>
    <row r="106" ht="15" customHeight="1">
      <c r="A106" t="inlineStr">
        <is>
          <t>A 16353-2022</t>
        </is>
      </c>
      <c r="B106" s="1" t="n">
        <v>44670</v>
      </c>
      <c r="C106" s="1" t="n">
        <v>46201</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36956-2021</t>
        </is>
      </c>
      <c r="B107" s="1" t="n">
        <v>44393</v>
      </c>
      <c r="C107" s="1" t="n">
        <v>46201</v>
      </c>
      <c r="D107" t="inlineStr">
        <is>
          <t>DALARNAS LÄN</t>
        </is>
      </c>
      <c r="E107" t="inlineStr">
        <is>
          <t>LEKSAND</t>
        </is>
      </c>
      <c r="G107" t="n">
        <v>4.1</v>
      </c>
      <c r="H107" t="n">
        <v>0</v>
      </c>
      <c r="I107" t="n">
        <v>0</v>
      </c>
      <c r="J107" t="n">
        <v>0</v>
      </c>
      <c r="K107" t="n">
        <v>0</v>
      </c>
      <c r="L107" t="n">
        <v>0</v>
      </c>
      <c r="M107" t="n">
        <v>0</v>
      </c>
      <c r="N107" t="n">
        <v>0</v>
      </c>
      <c r="O107" t="n">
        <v>0</v>
      </c>
      <c r="P107" t="n">
        <v>0</v>
      </c>
      <c r="Q107" t="n">
        <v>0</v>
      </c>
      <c r="R107" s="2" t="inlineStr"/>
    </row>
    <row r="108" ht="15" customHeight="1">
      <c r="A108" t="inlineStr">
        <is>
          <t>A 58569-2021</t>
        </is>
      </c>
      <c r="B108" s="1" t="n">
        <v>44488</v>
      </c>
      <c r="C108" s="1" t="n">
        <v>46201</v>
      </c>
      <c r="D108" t="inlineStr">
        <is>
          <t>DALARNAS LÄN</t>
        </is>
      </c>
      <c r="E108" t="inlineStr">
        <is>
          <t>LEKSAND</t>
        </is>
      </c>
      <c r="G108" t="n">
        <v>1.7</v>
      </c>
      <c r="H108" t="n">
        <v>0</v>
      </c>
      <c r="I108" t="n">
        <v>0</v>
      </c>
      <c r="J108" t="n">
        <v>0</v>
      </c>
      <c r="K108" t="n">
        <v>0</v>
      </c>
      <c r="L108" t="n">
        <v>0</v>
      </c>
      <c r="M108" t="n">
        <v>0</v>
      </c>
      <c r="N108" t="n">
        <v>0</v>
      </c>
      <c r="O108" t="n">
        <v>0</v>
      </c>
      <c r="P108" t="n">
        <v>0</v>
      </c>
      <c r="Q108" t="n">
        <v>0</v>
      </c>
      <c r="R108" s="2" t="inlineStr"/>
    </row>
    <row r="109" ht="15" customHeight="1">
      <c r="A109" t="inlineStr">
        <is>
          <t>A 46672-2022</t>
        </is>
      </c>
      <c r="B109" s="1" t="n">
        <v>44851</v>
      </c>
      <c r="C109" s="1" t="n">
        <v>46201</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40584-2021</t>
        </is>
      </c>
      <c r="B110" s="1" t="n">
        <v>44420</v>
      </c>
      <c r="C110" s="1" t="n">
        <v>46201</v>
      </c>
      <c r="D110" t="inlineStr">
        <is>
          <t>DALARNAS LÄN</t>
        </is>
      </c>
      <c r="E110" t="inlineStr">
        <is>
          <t>LEKSAND</t>
        </is>
      </c>
      <c r="G110" t="n">
        <v>6</v>
      </c>
      <c r="H110" t="n">
        <v>0</v>
      </c>
      <c r="I110" t="n">
        <v>0</v>
      </c>
      <c r="J110" t="n">
        <v>0</v>
      </c>
      <c r="K110" t="n">
        <v>0</v>
      </c>
      <c r="L110" t="n">
        <v>0</v>
      </c>
      <c r="M110" t="n">
        <v>0</v>
      </c>
      <c r="N110" t="n">
        <v>0</v>
      </c>
      <c r="O110" t="n">
        <v>0</v>
      </c>
      <c r="P110" t="n">
        <v>0</v>
      </c>
      <c r="Q110" t="n">
        <v>0</v>
      </c>
      <c r="R110" s="2" t="inlineStr"/>
    </row>
    <row r="111" ht="15" customHeight="1">
      <c r="A111" t="inlineStr">
        <is>
          <t>A 71311-2021</t>
        </is>
      </c>
      <c r="B111" s="1" t="n">
        <v>44539</v>
      </c>
      <c r="C111" s="1" t="n">
        <v>46201</v>
      </c>
      <c r="D111" t="inlineStr">
        <is>
          <t>DALARNAS LÄN</t>
        </is>
      </c>
      <c r="E111" t="inlineStr">
        <is>
          <t>LEKSAND</t>
        </is>
      </c>
      <c r="G111" t="n">
        <v>1.5</v>
      </c>
      <c r="H111" t="n">
        <v>0</v>
      </c>
      <c r="I111" t="n">
        <v>0</v>
      </c>
      <c r="J111" t="n">
        <v>0</v>
      </c>
      <c r="K111" t="n">
        <v>0</v>
      </c>
      <c r="L111" t="n">
        <v>0</v>
      </c>
      <c r="M111" t="n">
        <v>0</v>
      </c>
      <c r="N111" t="n">
        <v>0</v>
      </c>
      <c r="O111" t="n">
        <v>0</v>
      </c>
      <c r="P111" t="n">
        <v>0</v>
      </c>
      <c r="Q111" t="n">
        <v>0</v>
      </c>
      <c r="R111" s="2" t="inlineStr"/>
    </row>
    <row r="112" ht="15" customHeight="1">
      <c r="A112" t="inlineStr">
        <is>
          <t>A 70296-2021</t>
        </is>
      </c>
      <c r="B112" s="1" t="n">
        <v>44536</v>
      </c>
      <c r="C112" s="1" t="n">
        <v>46201</v>
      </c>
      <c r="D112" t="inlineStr">
        <is>
          <t>DALARNAS LÄN</t>
        </is>
      </c>
      <c r="E112" t="inlineStr">
        <is>
          <t>LEKSAND</t>
        </is>
      </c>
      <c r="G112" t="n">
        <v>2.7</v>
      </c>
      <c r="H112" t="n">
        <v>0</v>
      </c>
      <c r="I112" t="n">
        <v>0</v>
      </c>
      <c r="J112" t="n">
        <v>0</v>
      </c>
      <c r="K112" t="n">
        <v>0</v>
      </c>
      <c r="L112" t="n">
        <v>0</v>
      </c>
      <c r="M112" t="n">
        <v>0</v>
      </c>
      <c r="N112" t="n">
        <v>0</v>
      </c>
      <c r="O112" t="n">
        <v>0</v>
      </c>
      <c r="P112" t="n">
        <v>0</v>
      </c>
      <c r="Q112" t="n">
        <v>0</v>
      </c>
      <c r="R112" s="2" t="inlineStr"/>
    </row>
    <row r="113" ht="15" customHeight="1">
      <c r="A113" t="inlineStr">
        <is>
          <t>A 50219-2022</t>
        </is>
      </c>
      <c r="B113" s="1" t="n">
        <v>44865</v>
      </c>
      <c r="C113" s="1" t="n">
        <v>46201</v>
      </c>
      <c r="D113" t="inlineStr">
        <is>
          <t>DALARNAS LÄN</t>
        </is>
      </c>
      <c r="E113" t="inlineStr">
        <is>
          <t>LEKSAND</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43410-2021</t>
        </is>
      </c>
      <c r="B114" s="1" t="n">
        <v>44432</v>
      </c>
      <c r="C114" s="1" t="n">
        <v>46201</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v>
      </c>
      <c r="C115" s="1" t="n">
        <v>46201</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72155-2021</t>
        </is>
      </c>
      <c r="B116" s="1" t="n">
        <v>44543</v>
      </c>
      <c r="C116" s="1" t="n">
        <v>46201</v>
      </c>
      <c r="D116" t="inlineStr">
        <is>
          <t>DALARNAS LÄN</t>
        </is>
      </c>
      <c r="E116" t="inlineStr">
        <is>
          <t>LEKSAND</t>
        </is>
      </c>
      <c r="G116" t="n">
        <v>2.5</v>
      </c>
      <c r="H116" t="n">
        <v>0</v>
      </c>
      <c r="I116" t="n">
        <v>0</v>
      </c>
      <c r="J116" t="n">
        <v>0</v>
      </c>
      <c r="K116" t="n">
        <v>0</v>
      </c>
      <c r="L116" t="n">
        <v>0</v>
      </c>
      <c r="M116" t="n">
        <v>0</v>
      </c>
      <c r="N116" t="n">
        <v>0</v>
      </c>
      <c r="O116" t="n">
        <v>0</v>
      </c>
      <c r="P116" t="n">
        <v>0</v>
      </c>
      <c r="Q116" t="n">
        <v>0</v>
      </c>
      <c r="R116" s="2" t="inlineStr"/>
    </row>
    <row r="117" ht="15" customHeight="1">
      <c r="A117" t="inlineStr">
        <is>
          <t>A 18870-2022</t>
        </is>
      </c>
      <c r="B117" s="1" t="n">
        <v>44690</v>
      </c>
      <c r="C117" s="1" t="n">
        <v>46201</v>
      </c>
      <c r="D117" t="inlineStr">
        <is>
          <t>DALARNAS LÄN</t>
        </is>
      </c>
      <c r="E117" t="inlineStr">
        <is>
          <t>LEKSAND</t>
        </is>
      </c>
      <c r="F117" t="inlineStr">
        <is>
          <t>Övriga Aktiebolag</t>
        </is>
      </c>
      <c r="G117" t="n">
        <v>3.1</v>
      </c>
      <c r="H117" t="n">
        <v>0</v>
      </c>
      <c r="I117" t="n">
        <v>0</v>
      </c>
      <c r="J117" t="n">
        <v>0</v>
      </c>
      <c r="K117" t="n">
        <v>0</v>
      </c>
      <c r="L117" t="n">
        <v>0</v>
      </c>
      <c r="M117" t="n">
        <v>0</v>
      </c>
      <c r="N117" t="n">
        <v>0</v>
      </c>
      <c r="O117" t="n">
        <v>0</v>
      </c>
      <c r="P117" t="n">
        <v>0</v>
      </c>
      <c r="Q117" t="n">
        <v>0</v>
      </c>
      <c r="R117" s="2" t="inlineStr"/>
    </row>
    <row r="118" ht="15" customHeight="1">
      <c r="A118" t="inlineStr">
        <is>
          <t>A 18140-2022</t>
        </is>
      </c>
      <c r="B118" s="1" t="n">
        <v>44684</v>
      </c>
      <c r="C118" s="1" t="n">
        <v>46201</v>
      </c>
      <c r="D118" t="inlineStr">
        <is>
          <t>DALARNAS LÄN</t>
        </is>
      </c>
      <c r="E118" t="inlineStr">
        <is>
          <t>LEKSAND</t>
        </is>
      </c>
      <c r="F118" t="inlineStr">
        <is>
          <t>Övriga Aktiebolag</t>
        </is>
      </c>
      <c r="G118" t="n">
        <v>0.7</v>
      </c>
      <c r="H118" t="n">
        <v>0</v>
      </c>
      <c r="I118" t="n">
        <v>0</v>
      </c>
      <c r="J118" t="n">
        <v>0</v>
      </c>
      <c r="K118" t="n">
        <v>0</v>
      </c>
      <c r="L118" t="n">
        <v>0</v>
      </c>
      <c r="M118" t="n">
        <v>0</v>
      </c>
      <c r="N118" t="n">
        <v>0</v>
      </c>
      <c r="O118" t="n">
        <v>0</v>
      </c>
      <c r="P118" t="n">
        <v>0</v>
      </c>
      <c r="Q118" t="n">
        <v>0</v>
      </c>
      <c r="R118" s="2" t="inlineStr"/>
    </row>
    <row r="119" ht="15" customHeight="1">
      <c r="A119" t="inlineStr">
        <is>
          <t>A 38619-2021</t>
        </is>
      </c>
      <c r="B119" s="1" t="n">
        <v>44409</v>
      </c>
      <c r="C119" s="1" t="n">
        <v>46201</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49581-2022</t>
        </is>
      </c>
      <c r="B120" s="1" t="n">
        <v>44862</v>
      </c>
      <c r="C120" s="1" t="n">
        <v>46201</v>
      </c>
      <c r="D120" t="inlineStr">
        <is>
          <t>DALARNAS LÄN</t>
        </is>
      </c>
      <c r="E120" t="inlineStr">
        <is>
          <t>LEKSAND</t>
        </is>
      </c>
      <c r="G120" t="n">
        <v>1.8</v>
      </c>
      <c r="H120" t="n">
        <v>0</v>
      </c>
      <c r="I120" t="n">
        <v>0</v>
      </c>
      <c r="J120" t="n">
        <v>0</v>
      </c>
      <c r="K120" t="n">
        <v>0</v>
      </c>
      <c r="L120" t="n">
        <v>0</v>
      </c>
      <c r="M120" t="n">
        <v>0</v>
      </c>
      <c r="N120" t="n">
        <v>0</v>
      </c>
      <c r="O120" t="n">
        <v>0</v>
      </c>
      <c r="P120" t="n">
        <v>0</v>
      </c>
      <c r="Q120" t="n">
        <v>0</v>
      </c>
      <c r="R120" s="2" t="inlineStr"/>
    </row>
    <row r="121" ht="15" customHeight="1">
      <c r="A121" t="inlineStr">
        <is>
          <t>A 35080-2022</t>
        </is>
      </c>
      <c r="B121" s="1" t="n">
        <v>44797</v>
      </c>
      <c r="C121" s="1" t="n">
        <v>46201</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70098-2021</t>
        </is>
      </c>
      <c r="B122" s="1" t="n">
        <v>44533</v>
      </c>
      <c r="C122" s="1" t="n">
        <v>46201</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10367-2023</t>
        </is>
      </c>
      <c r="B123" s="1" t="n">
        <v>44987</v>
      </c>
      <c r="C123" s="1" t="n">
        <v>46201</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23137-2022</t>
        </is>
      </c>
      <c r="B124" s="1" t="n">
        <v>44719</v>
      </c>
      <c r="C124" s="1" t="n">
        <v>46201</v>
      </c>
      <c r="D124" t="inlineStr">
        <is>
          <t>DALARNAS LÄN</t>
        </is>
      </c>
      <c r="E124" t="inlineStr">
        <is>
          <t>LEKSAND</t>
        </is>
      </c>
      <c r="G124" t="n">
        <v>3</v>
      </c>
      <c r="H124" t="n">
        <v>0</v>
      </c>
      <c r="I124" t="n">
        <v>0</v>
      </c>
      <c r="J124" t="n">
        <v>0</v>
      </c>
      <c r="K124" t="n">
        <v>0</v>
      </c>
      <c r="L124" t="n">
        <v>0</v>
      </c>
      <c r="M124" t="n">
        <v>0</v>
      </c>
      <c r="N124" t="n">
        <v>0</v>
      </c>
      <c r="O124" t="n">
        <v>0</v>
      </c>
      <c r="P124" t="n">
        <v>0</v>
      </c>
      <c r="Q124" t="n">
        <v>0</v>
      </c>
      <c r="R124" s="2" t="inlineStr"/>
    </row>
    <row r="125" ht="15" customHeight="1">
      <c r="A125" t="inlineStr">
        <is>
          <t>A 31871-2022</t>
        </is>
      </c>
      <c r="B125" s="1" t="n">
        <v>44777</v>
      </c>
      <c r="C125" s="1" t="n">
        <v>46201</v>
      </c>
      <c r="D125" t="inlineStr">
        <is>
          <t>DALARNAS LÄN</t>
        </is>
      </c>
      <c r="E125" t="inlineStr">
        <is>
          <t>LEKSAND</t>
        </is>
      </c>
      <c r="G125" t="n">
        <v>4.1</v>
      </c>
      <c r="H125" t="n">
        <v>0</v>
      </c>
      <c r="I125" t="n">
        <v>0</v>
      </c>
      <c r="J125" t="n">
        <v>0</v>
      </c>
      <c r="K125" t="n">
        <v>0</v>
      </c>
      <c r="L125" t="n">
        <v>0</v>
      </c>
      <c r="M125" t="n">
        <v>0</v>
      </c>
      <c r="N125" t="n">
        <v>0</v>
      </c>
      <c r="O125" t="n">
        <v>0</v>
      </c>
      <c r="P125" t="n">
        <v>0</v>
      </c>
      <c r="Q125" t="n">
        <v>0</v>
      </c>
      <c r="R125" s="2" t="inlineStr"/>
    </row>
    <row r="126" ht="15" customHeight="1">
      <c r="A126" t="inlineStr">
        <is>
          <t>A 14140-2022</t>
        </is>
      </c>
      <c r="B126" s="1" t="n">
        <v>44651</v>
      </c>
      <c r="C126" s="1" t="n">
        <v>46201</v>
      </c>
      <c r="D126" t="inlineStr">
        <is>
          <t>DALARNAS LÄN</t>
        </is>
      </c>
      <c r="E126" t="inlineStr">
        <is>
          <t>LEKSAND</t>
        </is>
      </c>
      <c r="G126" t="n">
        <v>0.9</v>
      </c>
      <c r="H126" t="n">
        <v>0</v>
      </c>
      <c r="I126" t="n">
        <v>0</v>
      </c>
      <c r="J126" t="n">
        <v>0</v>
      </c>
      <c r="K126" t="n">
        <v>0</v>
      </c>
      <c r="L126" t="n">
        <v>0</v>
      </c>
      <c r="M126" t="n">
        <v>0</v>
      </c>
      <c r="N126" t="n">
        <v>0</v>
      </c>
      <c r="O126" t="n">
        <v>0</v>
      </c>
      <c r="P126" t="n">
        <v>0</v>
      </c>
      <c r="Q126" t="n">
        <v>0</v>
      </c>
      <c r="R126" s="2" t="inlineStr"/>
    </row>
    <row r="127" ht="15" customHeight="1">
      <c r="A127" t="inlineStr">
        <is>
          <t>A 46141-2022</t>
        </is>
      </c>
      <c r="B127" s="1" t="n">
        <v>44846</v>
      </c>
      <c r="C127" s="1" t="n">
        <v>46201</v>
      </c>
      <c r="D127" t="inlineStr">
        <is>
          <t>DALARNAS LÄN</t>
        </is>
      </c>
      <c r="E127" t="inlineStr">
        <is>
          <t>LEKSAND</t>
        </is>
      </c>
      <c r="G127" t="n">
        <v>2.8</v>
      </c>
      <c r="H127" t="n">
        <v>0</v>
      </c>
      <c r="I127" t="n">
        <v>0</v>
      </c>
      <c r="J127" t="n">
        <v>0</v>
      </c>
      <c r="K127" t="n">
        <v>0</v>
      </c>
      <c r="L127" t="n">
        <v>0</v>
      </c>
      <c r="M127" t="n">
        <v>0</v>
      </c>
      <c r="N127" t="n">
        <v>0</v>
      </c>
      <c r="O127" t="n">
        <v>0</v>
      </c>
      <c r="P127" t="n">
        <v>0</v>
      </c>
      <c r="Q127" t="n">
        <v>0</v>
      </c>
      <c r="R127" s="2" t="inlineStr"/>
    </row>
    <row r="128" ht="15" customHeight="1">
      <c r="A128" t="inlineStr">
        <is>
          <t>A 14616-2024</t>
        </is>
      </c>
      <c r="B128" s="1" t="n">
        <v>45397</v>
      </c>
      <c r="C128" s="1" t="n">
        <v>46201</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41840-2024</t>
        </is>
      </c>
      <c r="B129" s="1" t="n">
        <v>45561</v>
      </c>
      <c r="C129" s="1" t="n">
        <v>46201</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45155-2021</t>
        </is>
      </c>
      <c r="B130" s="1" t="n">
        <v>44439</v>
      </c>
      <c r="C130" s="1" t="n">
        <v>46201</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28592-2023</t>
        </is>
      </c>
      <c r="B131" s="1" t="n">
        <v>45103</v>
      </c>
      <c r="C131" s="1" t="n">
        <v>46201</v>
      </c>
      <c r="D131" t="inlineStr">
        <is>
          <t>DALARNAS LÄN</t>
        </is>
      </c>
      <c r="E131" t="inlineStr">
        <is>
          <t>LEKSAND</t>
        </is>
      </c>
      <c r="G131" t="n">
        <v>0.5</v>
      </c>
      <c r="H131" t="n">
        <v>0</v>
      </c>
      <c r="I131" t="n">
        <v>0</v>
      </c>
      <c r="J131" t="n">
        <v>0</v>
      </c>
      <c r="K131" t="n">
        <v>0</v>
      </c>
      <c r="L131" t="n">
        <v>0</v>
      </c>
      <c r="M131" t="n">
        <v>0</v>
      </c>
      <c r="N131" t="n">
        <v>0</v>
      </c>
      <c r="O131" t="n">
        <v>0</v>
      </c>
      <c r="P131" t="n">
        <v>0</v>
      </c>
      <c r="Q131" t="n">
        <v>0</v>
      </c>
      <c r="R131" s="2" t="inlineStr"/>
    </row>
    <row r="132" ht="15" customHeight="1">
      <c r="A132" t="inlineStr">
        <is>
          <t>A 46665-2023</t>
        </is>
      </c>
      <c r="B132" s="1" t="n">
        <v>45198</v>
      </c>
      <c r="C132" s="1" t="n">
        <v>46201</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56943-2024</t>
        </is>
      </c>
      <c r="B133" s="1" t="n">
        <v>45625</v>
      </c>
      <c r="C133" s="1" t="n">
        <v>46201</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18484-2024</t>
        </is>
      </c>
      <c r="B134" s="1" t="n">
        <v>45425</v>
      </c>
      <c r="C134" s="1" t="n">
        <v>46201</v>
      </c>
      <c r="D134" t="inlineStr">
        <is>
          <t>DALARNAS LÄN</t>
        </is>
      </c>
      <c r="E134" t="inlineStr">
        <is>
          <t>LEKSAND</t>
        </is>
      </c>
      <c r="G134" t="n">
        <v>2</v>
      </c>
      <c r="H134" t="n">
        <v>0</v>
      </c>
      <c r="I134" t="n">
        <v>0</v>
      </c>
      <c r="J134" t="n">
        <v>0</v>
      </c>
      <c r="K134" t="n">
        <v>0</v>
      </c>
      <c r="L134" t="n">
        <v>0</v>
      </c>
      <c r="M134" t="n">
        <v>0</v>
      </c>
      <c r="N134" t="n">
        <v>0</v>
      </c>
      <c r="O134" t="n">
        <v>0</v>
      </c>
      <c r="P134" t="n">
        <v>0</v>
      </c>
      <c r="Q134" t="n">
        <v>0</v>
      </c>
      <c r="R134" s="2" t="inlineStr"/>
    </row>
    <row r="135" ht="15" customHeight="1">
      <c r="A135" t="inlineStr">
        <is>
          <t>A 11418-2023</t>
        </is>
      </c>
      <c r="B135" s="1" t="n">
        <v>44993</v>
      </c>
      <c r="C135" s="1" t="n">
        <v>46201</v>
      </c>
      <c r="D135" t="inlineStr">
        <is>
          <t>DALARNAS LÄN</t>
        </is>
      </c>
      <c r="E135" t="inlineStr">
        <is>
          <t>LEKSAND</t>
        </is>
      </c>
      <c r="G135" t="n">
        <v>2.7</v>
      </c>
      <c r="H135" t="n">
        <v>0</v>
      </c>
      <c r="I135" t="n">
        <v>0</v>
      </c>
      <c r="J135" t="n">
        <v>0</v>
      </c>
      <c r="K135" t="n">
        <v>0</v>
      </c>
      <c r="L135" t="n">
        <v>0</v>
      </c>
      <c r="M135" t="n">
        <v>0</v>
      </c>
      <c r="N135" t="n">
        <v>0</v>
      </c>
      <c r="O135" t="n">
        <v>0</v>
      </c>
      <c r="P135" t="n">
        <v>0</v>
      </c>
      <c r="Q135" t="n">
        <v>0</v>
      </c>
      <c r="R135" s="2" t="inlineStr"/>
    </row>
    <row r="136" ht="15" customHeight="1">
      <c r="A136" t="inlineStr">
        <is>
          <t>A 60715-2022</t>
        </is>
      </c>
      <c r="B136" s="1" t="n">
        <v>44912</v>
      </c>
      <c r="C136" s="1" t="n">
        <v>46201</v>
      </c>
      <c r="D136" t="inlineStr">
        <is>
          <t>DALARNAS LÄN</t>
        </is>
      </c>
      <c r="E136" t="inlineStr">
        <is>
          <t>LEKSAND</t>
        </is>
      </c>
      <c r="G136" t="n">
        <v>1</v>
      </c>
      <c r="H136" t="n">
        <v>0</v>
      </c>
      <c r="I136" t="n">
        <v>0</v>
      </c>
      <c r="J136" t="n">
        <v>0</v>
      </c>
      <c r="K136" t="n">
        <v>0</v>
      </c>
      <c r="L136" t="n">
        <v>0</v>
      </c>
      <c r="M136" t="n">
        <v>0</v>
      </c>
      <c r="N136" t="n">
        <v>0</v>
      </c>
      <c r="O136" t="n">
        <v>0</v>
      </c>
      <c r="P136" t="n">
        <v>0</v>
      </c>
      <c r="Q136" t="n">
        <v>0</v>
      </c>
      <c r="R136" s="2" t="inlineStr"/>
    </row>
    <row r="137" ht="15" customHeight="1">
      <c r="A137" t="inlineStr">
        <is>
          <t>A 33180-2024</t>
        </is>
      </c>
      <c r="B137" s="1" t="n">
        <v>45518</v>
      </c>
      <c r="C137" s="1" t="n">
        <v>46201</v>
      </c>
      <c r="D137" t="inlineStr">
        <is>
          <t>DALARNAS LÄN</t>
        </is>
      </c>
      <c r="E137" t="inlineStr">
        <is>
          <t>LEKSAND</t>
        </is>
      </c>
      <c r="G137" t="n">
        <v>7.6</v>
      </c>
      <c r="H137" t="n">
        <v>0</v>
      </c>
      <c r="I137" t="n">
        <v>0</v>
      </c>
      <c r="J137" t="n">
        <v>0</v>
      </c>
      <c r="K137" t="n">
        <v>0</v>
      </c>
      <c r="L137" t="n">
        <v>0</v>
      </c>
      <c r="M137" t="n">
        <v>0</v>
      </c>
      <c r="N137" t="n">
        <v>0</v>
      </c>
      <c r="O137" t="n">
        <v>0</v>
      </c>
      <c r="P137" t="n">
        <v>0</v>
      </c>
      <c r="Q137" t="n">
        <v>0</v>
      </c>
      <c r="R137" s="2" t="inlineStr"/>
    </row>
    <row r="138" ht="15" customHeight="1">
      <c r="A138" t="inlineStr">
        <is>
          <t>A 70099-2021</t>
        </is>
      </c>
      <c r="B138" s="1" t="n">
        <v>44533</v>
      </c>
      <c r="C138" s="1" t="n">
        <v>46201</v>
      </c>
      <c r="D138" t="inlineStr">
        <is>
          <t>DALARNAS LÄN</t>
        </is>
      </c>
      <c r="E138" t="inlineStr">
        <is>
          <t>LEKSAND</t>
        </is>
      </c>
      <c r="G138" t="n">
        <v>2.8</v>
      </c>
      <c r="H138" t="n">
        <v>0</v>
      </c>
      <c r="I138" t="n">
        <v>0</v>
      </c>
      <c r="J138" t="n">
        <v>0</v>
      </c>
      <c r="K138" t="n">
        <v>0</v>
      </c>
      <c r="L138" t="n">
        <v>0</v>
      </c>
      <c r="M138" t="n">
        <v>0</v>
      </c>
      <c r="N138" t="n">
        <v>0</v>
      </c>
      <c r="O138" t="n">
        <v>0</v>
      </c>
      <c r="P138" t="n">
        <v>0</v>
      </c>
      <c r="Q138" t="n">
        <v>0</v>
      </c>
      <c r="R138" s="2" t="inlineStr"/>
    </row>
    <row r="139" ht="15" customHeight="1">
      <c r="A139" t="inlineStr">
        <is>
          <t>A 27791-2023</t>
        </is>
      </c>
      <c r="B139" s="1" t="n">
        <v>45098</v>
      </c>
      <c r="C139" s="1" t="n">
        <v>46201</v>
      </c>
      <c r="D139" t="inlineStr">
        <is>
          <t>DALARNAS LÄN</t>
        </is>
      </c>
      <c r="E139" t="inlineStr">
        <is>
          <t>LEKSAND</t>
        </is>
      </c>
      <c r="G139" t="n">
        <v>1</v>
      </c>
      <c r="H139" t="n">
        <v>0</v>
      </c>
      <c r="I139" t="n">
        <v>0</v>
      </c>
      <c r="J139" t="n">
        <v>0</v>
      </c>
      <c r="K139" t="n">
        <v>0</v>
      </c>
      <c r="L139" t="n">
        <v>0</v>
      </c>
      <c r="M139" t="n">
        <v>0</v>
      </c>
      <c r="N139" t="n">
        <v>0</v>
      </c>
      <c r="O139" t="n">
        <v>0</v>
      </c>
      <c r="P139" t="n">
        <v>0</v>
      </c>
      <c r="Q139" t="n">
        <v>0</v>
      </c>
      <c r="R139" s="2" t="inlineStr"/>
    </row>
    <row r="140" ht="15" customHeight="1">
      <c r="A140" t="inlineStr">
        <is>
          <t>A 52801-2023</t>
        </is>
      </c>
      <c r="B140" s="1" t="n">
        <v>45219</v>
      </c>
      <c r="C140" s="1" t="n">
        <v>46201</v>
      </c>
      <c r="D140" t="inlineStr">
        <is>
          <t>DALARNAS LÄN</t>
        </is>
      </c>
      <c r="E140" t="inlineStr">
        <is>
          <t>LEKSAND</t>
        </is>
      </c>
      <c r="G140" t="n">
        <v>4.9</v>
      </c>
      <c r="H140" t="n">
        <v>0</v>
      </c>
      <c r="I140" t="n">
        <v>0</v>
      </c>
      <c r="J140" t="n">
        <v>0</v>
      </c>
      <c r="K140" t="n">
        <v>0</v>
      </c>
      <c r="L140" t="n">
        <v>0</v>
      </c>
      <c r="M140" t="n">
        <v>0</v>
      </c>
      <c r="N140" t="n">
        <v>0</v>
      </c>
      <c r="O140" t="n">
        <v>0</v>
      </c>
      <c r="P140" t="n">
        <v>0</v>
      </c>
      <c r="Q140" t="n">
        <v>0</v>
      </c>
      <c r="R140" s="2" t="inlineStr"/>
    </row>
    <row r="141" ht="15" customHeight="1">
      <c r="A141" t="inlineStr">
        <is>
          <t>A 1519-2024</t>
        </is>
      </c>
      <c r="B141" s="1" t="n">
        <v>45306</v>
      </c>
      <c r="C141" s="1" t="n">
        <v>46201</v>
      </c>
      <c r="D141" t="inlineStr">
        <is>
          <t>DALARNAS LÄN</t>
        </is>
      </c>
      <c r="E141" t="inlineStr">
        <is>
          <t>LEKSAND</t>
        </is>
      </c>
      <c r="G141" t="n">
        <v>3.3</v>
      </c>
      <c r="H141" t="n">
        <v>0</v>
      </c>
      <c r="I141" t="n">
        <v>0</v>
      </c>
      <c r="J141" t="n">
        <v>0</v>
      </c>
      <c r="K141" t="n">
        <v>0</v>
      </c>
      <c r="L141" t="n">
        <v>0</v>
      </c>
      <c r="M141" t="n">
        <v>0</v>
      </c>
      <c r="N141" t="n">
        <v>0</v>
      </c>
      <c r="O141" t="n">
        <v>0</v>
      </c>
      <c r="P141" t="n">
        <v>0</v>
      </c>
      <c r="Q141" t="n">
        <v>0</v>
      </c>
      <c r="R141" s="2" t="inlineStr"/>
    </row>
    <row r="142" ht="15" customHeight="1">
      <c r="A142" t="inlineStr">
        <is>
          <t>A 9781-2024</t>
        </is>
      </c>
      <c r="B142" s="1" t="n">
        <v>45362</v>
      </c>
      <c r="C142" s="1" t="n">
        <v>46201</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71817-2021</t>
        </is>
      </c>
      <c r="B143" s="1" t="n">
        <v>44543</v>
      </c>
      <c r="C143" s="1" t="n">
        <v>46201</v>
      </c>
      <c r="D143" t="inlineStr">
        <is>
          <t>DALARNAS LÄN</t>
        </is>
      </c>
      <c r="E143" t="inlineStr">
        <is>
          <t>LEKSAND</t>
        </is>
      </c>
      <c r="F143" t="inlineStr">
        <is>
          <t>Bergvik skog väst AB</t>
        </is>
      </c>
      <c r="G143" t="n">
        <v>3</v>
      </c>
      <c r="H143" t="n">
        <v>0</v>
      </c>
      <c r="I143" t="n">
        <v>0</v>
      </c>
      <c r="J143" t="n">
        <v>0</v>
      </c>
      <c r="K143" t="n">
        <v>0</v>
      </c>
      <c r="L143" t="n">
        <v>0</v>
      </c>
      <c r="M143" t="n">
        <v>0</v>
      </c>
      <c r="N143" t="n">
        <v>0</v>
      </c>
      <c r="O143" t="n">
        <v>0</v>
      </c>
      <c r="P143" t="n">
        <v>0</v>
      </c>
      <c r="Q143" t="n">
        <v>0</v>
      </c>
      <c r="R143" s="2" t="inlineStr"/>
    </row>
    <row r="144" ht="15" customHeight="1">
      <c r="A144" t="inlineStr">
        <is>
          <t>A 59103-2024</t>
        </is>
      </c>
      <c r="B144" s="1" t="n">
        <v>45637</v>
      </c>
      <c r="C144" s="1" t="n">
        <v>46201</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15619-2025</t>
        </is>
      </c>
      <c r="B145" s="1" t="n">
        <v>45747</v>
      </c>
      <c r="C145" s="1" t="n">
        <v>46201</v>
      </c>
      <c r="D145" t="inlineStr">
        <is>
          <t>DALARNAS LÄN</t>
        </is>
      </c>
      <c r="E145" t="inlineStr">
        <is>
          <t>LEKSAND</t>
        </is>
      </c>
      <c r="G145" t="n">
        <v>1</v>
      </c>
      <c r="H145" t="n">
        <v>0</v>
      </c>
      <c r="I145" t="n">
        <v>0</v>
      </c>
      <c r="J145" t="n">
        <v>0</v>
      </c>
      <c r="K145" t="n">
        <v>0</v>
      </c>
      <c r="L145" t="n">
        <v>0</v>
      </c>
      <c r="M145" t="n">
        <v>0</v>
      </c>
      <c r="N145" t="n">
        <v>0</v>
      </c>
      <c r="O145" t="n">
        <v>0</v>
      </c>
      <c r="P145" t="n">
        <v>0</v>
      </c>
      <c r="Q145" t="n">
        <v>0</v>
      </c>
      <c r="R145" s="2" t="inlineStr"/>
    </row>
    <row r="146" ht="15" customHeight="1">
      <c r="A146" t="inlineStr">
        <is>
          <t>A 11617-2024</t>
        </is>
      </c>
      <c r="B146" s="1" t="n">
        <v>45373</v>
      </c>
      <c r="C146" s="1" t="n">
        <v>46201</v>
      </c>
      <c r="D146" t="inlineStr">
        <is>
          <t>DALARNAS LÄN</t>
        </is>
      </c>
      <c r="E146" t="inlineStr">
        <is>
          <t>LEKSAND</t>
        </is>
      </c>
      <c r="G146" t="n">
        <v>1.9</v>
      </c>
      <c r="H146" t="n">
        <v>0</v>
      </c>
      <c r="I146" t="n">
        <v>0</v>
      </c>
      <c r="J146" t="n">
        <v>0</v>
      </c>
      <c r="K146" t="n">
        <v>0</v>
      </c>
      <c r="L146" t="n">
        <v>0</v>
      </c>
      <c r="M146" t="n">
        <v>0</v>
      </c>
      <c r="N146" t="n">
        <v>0</v>
      </c>
      <c r="O146" t="n">
        <v>0</v>
      </c>
      <c r="P146" t="n">
        <v>0</v>
      </c>
      <c r="Q146" t="n">
        <v>0</v>
      </c>
      <c r="R146" s="2" t="inlineStr"/>
    </row>
    <row r="147" ht="15" customHeight="1">
      <c r="A147" t="inlineStr">
        <is>
          <t>A 2694-2025</t>
        </is>
      </c>
      <c r="B147" s="1" t="n">
        <v>45677</v>
      </c>
      <c r="C147" s="1" t="n">
        <v>46201</v>
      </c>
      <c r="D147" t="inlineStr">
        <is>
          <t>DALARNAS LÄN</t>
        </is>
      </c>
      <c r="E147" t="inlineStr">
        <is>
          <t>LEKSAND</t>
        </is>
      </c>
      <c r="G147" t="n">
        <v>1</v>
      </c>
      <c r="H147" t="n">
        <v>0</v>
      </c>
      <c r="I147" t="n">
        <v>0</v>
      </c>
      <c r="J147" t="n">
        <v>0</v>
      </c>
      <c r="K147" t="n">
        <v>0</v>
      </c>
      <c r="L147" t="n">
        <v>0</v>
      </c>
      <c r="M147" t="n">
        <v>0</v>
      </c>
      <c r="N147" t="n">
        <v>0</v>
      </c>
      <c r="O147" t="n">
        <v>0</v>
      </c>
      <c r="P147" t="n">
        <v>0</v>
      </c>
      <c r="Q147" t="n">
        <v>0</v>
      </c>
      <c r="R147" s="2" t="inlineStr"/>
    </row>
    <row r="148" ht="15" customHeight="1">
      <c r="A148" t="inlineStr">
        <is>
          <t>A 28892-2022</t>
        </is>
      </c>
      <c r="B148" s="1" t="n">
        <v>44749</v>
      </c>
      <c r="C148" s="1" t="n">
        <v>46201</v>
      </c>
      <c r="D148" t="inlineStr">
        <is>
          <t>DALARNAS LÄN</t>
        </is>
      </c>
      <c r="E148" t="inlineStr">
        <is>
          <t>LEKSAND</t>
        </is>
      </c>
      <c r="F148" t="inlineStr">
        <is>
          <t>Bergvik skog väst AB</t>
        </is>
      </c>
      <c r="G148" t="n">
        <v>9.1</v>
      </c>
      <c r="H148" t="n">
        <v>0</v>
      </c>
      <c r="I148" t="n">
        <v>0</v>
      </c>
      <c r="J148" t="n">
        <v>0</v>
      </c>
      <c r="K148" t="n">
        <v>0</v>
      </c>
      <c r="L148" t="n">
        <v>0</v>
      </c>
      <c r="M148" t="n">
        <v>0</v>
      </c>
      <c r="N148" t="n">
        <v>0</v>
      </c>
      <c r="O148" t="n">
        <v>0</v>
      </c>
      <c r="P148" t="n">
        <v>0</v>
      </c>
      <c r="Q148" t="n">
        <v>0</v>
      </c>
      <c r="R148" s="2" t="inlineStr"/>
    </row>
    <row r="149" ht="15" customHeight="1">
      <c r="A149" t="inlineStr">
        <is>
          <t>A 21954-2023</t>
        </is>
      </c>
      <c r="B149" s="1" t="n">
        <v>45068</v>
      </c>
      <c r="C149" s="1" t="n">
        <v>46201</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38117-2023</t>
        </is>
      </c>
      <c r="B150" s="1" t="n">
        <v>45161</v>
      </c>
      <c r="C150" s="1" t="n">
        <v>46201</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59763-2023</t>
        </is>
      </c>
      <c r="B151" s="1" t="n">
        <v>45257</v>
      </c>
      <c r="C151" s="1" t="n">
        <v>46201</v>
      </c>
      <c r="D151" t="inlineStr">
        <is>
          <t>DALARNAS LÄN</t>
        </is>
      </c>
      <c r="E151" t="inlineStr">
        <is>
          <t>LEKSAND</t>
        </is>
      </c>
      <c r="G151" t="n">
        <v>1.6</v>
      </c>
      <c r="H151" t="n">
        <v>0</v>
      </c>
      <c r="I151" t="n">
        <v>0</v>
      </c>
      <c r="J151" t="n">
        <v>0</v>
      </c>
      <c r="K151" t="n">
        <v>0</v>
      </c>
      <c r="L151" t="n">
        <v>0</v>
      </c>
      <c r="M151" t="n">
        <v>0</v>
      </c>
      <c r="N151" t="n">
        <v>0</v>
      </c>
      <c r="O151" t="n">
        <v>0</v>
      </c>
      <c r="P151" t="n">
        <v>0</v>
      </c>
      <c r="Q151" t="n">
        <v>0</v>
      </c>
      <c r="R151" s="2" t="inlineStr"/>
    </row>
    <row r="152" ht="15" customHeight="1">
      <c r="A152" t="inlineStr">
        <is>
          <t>A 33674-2023</t>
        </is>
      </c>
      <c r="B152" s="1" t="n">
        <v>45132</v>
      </c>
      <c r="C152" s="1" t="n">
        <v>46201</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62306-2023</t>
        </is>
      </c>
      <c r="B153" s="1" t="n">
        <v>45266</v>
      </c>
      <c r="C153" s="1" t="n">
        <v>46201</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31971-2024</t>
        </is>
      </c>
      <c r="B154" s="1" t="n">
        <v>45510</v>
      </c>
      <c r="C154" s="1" t="n">
        <v>46201</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22388-2024</t>
        </is>
      </c>
      <c r="B155" s="1" t="n">
        <v>45446</v>
      </c>
      <c r="C155" s="1" t="n">
        <v>46201</v>
      </c>
      <c r="D155" t="inlineStr">
        <is>
          <t>DALARNAS LÄN</t>
        </is>
      </c>
      <c r="E155" t="inlineStr">
        <is>
          <t>LEKSAND</t>
        </is>
      </c>
      <c r="F155" t="inlineStr">
        <is>
          <t>Bergvik skog väst AB</t>
        </is>
      </c>
      <c r="G155" t="n">
        <v>5.3</v>
      </c>
      <c r="H155" t="n">
        <v>0</v>
      </c>
      <c r="I155" t="n">
        <v>0</v>
      </c>
      <c r="J155" t="n">
        <v>0</v>
      </c>
      <c r="K155" t="n">
        <v>0</v>
      </c>
      <c r="L155" t="n">
        <v>0</v>
      </c>
      <c r="M155" t="n">
        <v>0</v>
      </c>
      <c r="N155" t="n">
        <v>0</v>
      </c>
      <c r="O155" t="n">
        <v>0</v>
      </c>
      <c r="P155" t="n">
        <v>0</v>
      </c>
      <c r="Q155" t="n">
        <v>0</v>
      </c>
      <c r="R155" s="2" t="inlineStr"/>
    </row>
    <row r="156" ht="15" customHeight="1">
      <c r="A156" t="inlineStr">
        <is>
          <t>A 48644-2023</t>
        </is>
      </c>
      <c r="B156" s="1" t="n">
        <v>45208</v>
      </c>
      <c r="C156" s="1" t="n">
        <v>46201</v>
      </c>
      <c r="D156" t="inlineStr">
        <is>
          <t>DALARNAS LÄN</t>
        </is>
      </c>
      <c r="E156" t="inlineStr">
        <is>
          <t>LEKSAND</t>
        </is>
      </c>
      <c r="F156" t="inlineStr">
        <is>
          <t>Bergvik skog väst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12857-2023</t>
        </is>
      </c>
      <c r="B157" s="1" t="n">
        <v>45001</v>
      </c>
      <c r="C157" s="1" t="n">
        <v>46201</v>
      </c>
      <c r="D157" t="inlineStr">
        <is>
          <t>DALARNAS LÄN</t>
        </is>
      </c>
      <c r="E157" t="inlineStr">
        <is>
          <t>LEKSAND</t>
        </is>
      </c>
      <c r="G157" t="n">
        <v>0.2</v>
      </c>
      <c r="H157" t="n">
        <v>0</v>
      </c>
      <c r="I157" t="n">
        <v>0</v>
      </c>
      <c r="J157" t="n">
        <v>0</v>
      </c>
      <c r="K157" t="n">
        <v>0</v>
      </c>
      <c r="L157" t="n">
        <v>0</v>
      </c>
      <c r="M157" t="n">
        <v>0</v>
      </c>
      <c r="N157" t="n">
        <v>0</v>
      </c>
      <c r="O157" t="n">
        <v>0</v>
      </c>
      <c r="P157" t="n">
        <v>0</v>
      </c>
      <c r="Q157" t="n">
        <v>0</v>
      </c>
      <c r="R157" s="2" t="inlineStr"/>
    </row>
    <row r="158" ht="15" customHeight="1">
      <c r="A158" t="inlineStr">
        <is>
          <t>A 32072-2024</t>
        </is>
      </c>
      <c r="B158" s="1" t="n">
        <v>45510</v>
      </c>
      <c r="C158" s="1" t="n">
        <v>46201</v>
      </c>
      <c r="D158" t="inlineStr">
        <is>
          <t>DALARNAS LÄN</t>
        </is>
      </c>
      <c r="E158" t="inlineStr">
        <is>
          <t>LEKSAND</t>
        </is>
      </c>
      <c r="G158" t="n">
        <v>1.4</v>
      </c>
      <c r="H158" t="n">
        <v>0</v>
      </c>
      <c r="I158" t="n">
        <v>0</v>
      </c>
      <c r="J158" t="n">
        <v>0</v>
      </c>
      <c r="K158" t="n">
        <v>0</v>
      </c>
      <c r="L158" t="n">
        <v>0</v>
      </c>
      <c r="M158" t="n">
        <v>0</v>
      </c>
      <c r="N158" t="n">
        <v>0</v>
      </c>
      <c r="O158" t="n">
        <v>0</v>
      </c>
      <c r="P158" t="n">
        <v>0</v>
      </c>
      <c r="Q158" t="n">
        <v>0</v>
      </c>
      <c r="R158" s="2" t="inlineStr"/>
    </row>
    <row r="159" ht="15" customHeight="1">
      <c r="A159" t="inlineStr">
        <is>
          <t>A 56299-2024</t>
        </is>
      </c>
      <c r="B159" s="1" t="n">
        <v>45624</v>
      </c>
      <c r="C159" s="1" t="n">
        <v>46201</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325-2023</t>
        </is>
      </c>
      <c r="B160" s="1" t="n">
        <v>44929</v>
      </c>
      <c r="C160" s="1" t="n">
        <v>46201</v>
      </c>
      <c r="D160" t="inlineStr">
        <is>
          <t>DALARNAS LÄN</t>
        </is>
      </c>
      <c r="E160" t="inlineStr">
        <is>
          <t>LEKSAND</t>
        </is>
      </c>
      <c r="F160" t="inlineStr">
        <is>
          <t>Övriga Aktiebolag</t>
        </is>
      </c>
      <c r="G160" t="n">
        <v>7.1</v>
      </c>
      <c r="H160" t="n">
        <v>0</v>
      </c>
      <c r="I160" t="n">
        <v>0</v>
      </c>
      <c r="J160" t="n">
        <v>0</v>
      </c>
      <c r="K160" t="n">
        <v>0</v>
      </c>
      <c r="L160" t="n">
        <v>0</v>
      </c>
      <c r="M160" t="n">
        <v>0</v>
      </c>
      <c r="N160" t="n">
        <v>0</v>
      </c>
      <c r="O160" t="n">
        <v>0</v>
      </c>
      <c r="P160" t="n">
        <v>0</v>
      </c>
      <c r="Q160" t="n">
        <v>0</v>
      </c>
      <c r="R160" s="2" t="inlineStr"/>
    </row>
    <row r="161" ht="15" customHeight="1">
      <c r="A161" t="inlineStr">
        <is>
          <t>A 28128-2022</t>
        </is>
      </c>
      <c r="B161" s="1" t="n">
        <v>44746</v>
      </c>
      <c r="C161" s="1" t="n">
        <v>46201</v>
      </c>
      <c r="D161" t="inlineStr">
        <is>
          <t>DALARNAS LÄN</t>
        </is>
      </c>
      <c r="E161" t="inlineStr">
        <is>
          <t>LEKSAND</t>
        </is>
      </c>
      <c r="G161" t="n">
        <v>3.5</v>
      </c>
      <c r="H161" t="n">
        <v>0</v>
      </c>
      <c r="I161" t="n">
        <v>0</v>
      </c>
      <c r="J161" t="n">
        <v>0</v>
      </c>
      <c r="K161" t="n">
        <v>0</v>
      </c>
      <c r="L161" t="n">
        <v>0</v>
      </c>
      <c r="M161" t="n">
        <v>0</v>
      </c>
      <c r="N161" t="n">
        <v>0</v>
      </c>
      <c r="O161" t="n">
        <v>0</v>
      </c>
      <c r="P161" t="n">
        <v>0</v>
      </c>
      <c r="Q161" t="n">
        <v>0</v>
      </c>
      <c r="R161" s="2" t="inlineStr"/>
    </row>
    <row r="162" ht="15" customHeight="1">
      <c r="A162" t="inlineStr">
        <is>
          <t>A 61787-2022</t>
        </is>
      </c>
      <c r="B162" s="1" t="n">
        <v>44917</v>
      </c>
      <c r="C162" s="1" t="n">
        <v>46201</v>
      </c>
      <c r="D162" t="inlineStr">
        <is>
          <t>DALARNAS LÄN</t>
        </is>
      </c>
      <c r="E162" t="inlineStr">
        <is>
          <t>LEKSAND</t>
        </is>
      </c>
      <c r="G162" t="n">
        <v>1</v>
      </c>
      <c r="H162" t="n">
        <v>0</v>
      </c>
      <c r="I162" t="n">
        <v>0</v>
      </c>
      <c r="J162" t="n">
        <v>0</v>
      </c>
      <c r="K162" t="n">
        <v>0</v>
      </c>
      <c r="L162" t="n">
        <v>0</v>
      </c>
      <c r="M162" t="n">
        <v>0</v>
      </c>
      <c r="N162" t="n">
        <v>0</v>
      </c>
      <c r="O162" t="n">
        <v>0</v>
      </c>
      <c r="P162" t="n">
        <v>0</v>
      </c>
      <c r="Q162" t="n">
        <v>0</v>
      </c>
      <c r="R162" s="2" t="inlineStr"/>
    </row>
    <row r="163" ht="15" customHeight="1">
      <c r="A163" t="inlineStr">
        <is>
          <t>A 18481-2024</t>
        </is>
      </c>
      <c r="B163" s="1" t="n">
        <v>45425</v>
      </c>
      <c r="C163" s="1" t="n">
        <v>46201</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8046-2024</t>
        </is>
      </c>
      <c r="B164" s="1" t="n">
        <v>45351</v>
      </c>
      <c r="C164" s="1" t="n">
        <v>46201</v>
      </c>
      <c r="D164" t="inlineStr">
        <is>
          <t>DALARNAS LÄN</t>
        </is>
      </c>
      <c r="E164" t="inlineStr">
        <is>
          <t>LEKSAND</t>
        </is>
      </c>
      <c r="G164" t="n">
        <v>2.9</v>
      </c>
      <c r="H164" t="n">
        <v>0</v>
      </c>
      <c r="I164" t="n">
        <v>0</v>
      </c>
      <c r="J164" t="n">
        <v>0</v>
      </c>
      <c r="K164" t="n">
        <v>0</v>
      </c>
      <c r="L164" t="n">
        <v>0</v>
      </c>
      <c r="M164" t="n">
        <v>0</v>
      </c>
      <c r="N164" t="n">
        <v>0</v>
      </c>
      <c r="O164" t="n">
        <v>0</v>
      </c>
      <c r="P164" t="n">
        <v>0</v>
      </c>
      <c r="Q164" t="n">
        <v>0</v>
      </c>
      <c r="R164" s="2" t="inlineStr"/>
    </row>
    <row r="165" ht="15" customHeight="1">
      <c r="A165" t="inlineStr">
        <is>
          <t>A 7827-2024</t>
        </is>
      </c>
      <c r="B165" s="1" t="n">
        <v>45349</v>
      </c>
      <c r="C165" s="1" t="n">
        <v>46201</v>
      </c>
      <c r="D165" t="inlineStr">
        <is>
          <t>DALARNAS LÄN</t>
        </is>
      </c>
      <c r="E165" t="inlineStr">
        <is>
          <t>LEKSAND</t>
        </is>
      </c>
      <c r="G165" t="n">
        <v>2.2</v>
      </c>
      <c r="H165" t="n">
        <v>0</v>
      </c>
      <c r="I165" t="n">
        <v>0</v>
      </c>
      <c r="J165" t="n">
        <v>0</v>
      </c>
      <c r="K165" t="n">
        <v>0</v>
      </c>
      <c r="L165" t="n">
        <v>0</v>
      </c>
      <c r="M165" t="n">
        <v>0</v>
      </c>
      <c r="N165" t="n">
        <v>0</v>
      </c>
      <c r="O165" t="n">
        <v>0</v>
      </c>
      <c r="P165" t="n">
        <v>0</v>
      </c>
      <c r="Q165" t="n">
        <v>0</v>
      </c>
      <c r="R165" s="2" t="inlineStr"/>
    </row>
    <row r="166" ht="15" customHeight="1">
      <c r="A166" t="inlineStr">
        <is>
          <t>A 33317-2023</t>
        </is>
      </c>
      <c r="B166" s="1" t="n">
        <v>45127</v>
      </c>
      <c r="C166" s="1" t="n">
        <v>46201</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43735-2022</t>
        </is>
      </c>
      <c r="B167" s="1" t="n">
        <v>44837</v>
      </c>
      <c r="C167" s="1" t="n">
        <v>46201</v>
      </c>
      <c r="D167" t="inlineStr">
        <is>
          <t>DALARNAS LÄN</t>
        </is>
      </c>
      <c r="E167" t="inlineStr">
        <is>
          <t>LEKSAND</t>
        </is>
      </c>
      <c r="G167" t="n">
        <v>2.9</v>
      </c>
      <c r="H167" t="n">
        <v>0</v>
      </c>
      <c r="I167" t="n">
        <v>0</v>
      </c>
      <c r="J167" t="n">
        <v>0</v>
      </c>
      <c r="K167" t="n">
        <v>0</v>
      </c>
      <c r="L167" t="n">
        <v>0</v>
      </c>
      <c r="M167" t="n">
        <v>0</v>
      </c>
      <c r="N167" t="n">
        <v>0</v>
      </c>
      <c r="O167" t="n">
        <v>0</v>
      </c>
      <c r="P167" t="n">
        <v>0</v>
      </c>
      <c r="Q167" t="n">
        <v>0</v>
      </c>
      <c r="R167" s="2" t="inlineStr"/>
    </row>
    <row r="168" ht="15" customHeight="1">
      <c r="A168" t="inlineStr">
        <is>
          <t>A 61055-2023</t>
        </is>
      </c>
      <c r="B168" s="1" t="n">
        <v>45261</v>
      </c>
      <c r="C168" s="1" t="n">
        <v>46201</v>
      </c>
      <c r="D168" t="inlineStr">
        <is>
          <t>DALARNAS LÄN</t>
        </is>
      </c>
      <c r="E168" t="inlineStr">
        <is>
          <t>LEKSAND</t>
        </is>
      </c>
      <c r="G168" t="n">
        <v>0.3</v>
      </c>
      <c r="H168" t="n">
        <v>0</v>
      </c>
      <c r="I168" t="n">
        <v>0</v>
      </c>
      <c r="J168" t="n">
        <v>0</v>
      </c>
      <c r="K168" t="n">
        <v>0</v>
      </c>
      <c r="L168" t="n">
        <v>0</v>
      </c>
      <c r="M168" t="n">
        <v>0</v>
      </c>
      <c r="N168" t="n">
        <v>0</v>
      </c>
      <c r="O168" t="n">
        <v>0</v>
      </c>
      <c r="P168" t="n">
        <v>0</v>
      </c>
      <c r="Q168" t="n">
        <v>0</v>
      </c>
      <c r="R168" s="2" t="inlineStr"/>
    </row>
    <row r="169" ht="15" customHeight="1">
      <c r="A169" t="inlineStr">
        <is>
          <t>A 34038-2024</t>
        </is>
      </c>
      <c r="B169" s="1" t="n">
        <v>45523</v>
      </c>
      <c r="C169" s="1" t="n">
        <v>46201</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20936-2023</t>
        </is>
      </c>
      <c r="B170" s="1" t="n">
        <v>45061</v>
      </c>
      <c r="C170" s="1" t="n">
        <v>46201</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44469-2024</t>
        </is>
      </c>
      <c r="B171" s="1" t="n">
        <v>45574</v>
      </c>
      <c r="C171" s="1" t="n">
        <v>46201</v>
      </c>
      <c r="D171" t="inlineStr">
        <is>
          <t>DALARNAS LÄN</t>
        </is>
      </c>
      <c r="E171" t="inlineStr">
        <is>
          <t>LEKSAND</t>
        </is>
      </c>
      <c r="G171" t="n">
        <v>2</v>
      </c>
      <c r="H171" t="n">
        <v>0</v>
      </c>
      <c r="I171" t="n">
        <v>0</v>
      </c>
      <c r="J171" t="n">
        <v>0</v>
      </c>
      <c r="K171" t="n">
        <v>0</v>
      </c>
      <c r="L171" t="n">
        <v>0</v>
      </c>
      <c r="M171" t="n">
        <v>0</v>
      </c>
      <c r="N171" t="n">
        <v>0</v>
      </c>
      <c r="O171" t="n">
        <v>0</v>
      </c>
      <c r="P171" t="n">
        <v>0</v>
      </c>
      <c r="Q171" t="n">
        <v>0</v>
      </c>
      <c r="R171" s="2" t="inlineStr"/>
    </row>
    <row r="172" ht="15" customHeight="1">
      <c r="A172" t="inlineStr">
        <is>
          <t>A 23896-2024</t>
        </is>
      </c>
      <c r="B172" s="1" t="n">
        <v>45455</v>
      </c>
      <c r="C172" s="1" t="n">
        <v>46201</v>
      </c>
      <c r="D172" t="inlineStr">
        <is>
          <t>DALARNAS LÄN</t>
        </is>
      </c>
      <c r="E172" t="inlineStr">
        <is>
          <t>LEKSAND</t>
        </is>
      </c>
      <c r="F172" t="inlineStr">
        <is>
          <t>Övriga Aktiebolag</t>
        </is>
      </c>
      <c r="G172" t="n">
        <v>0.9</v>
      </c>
      <c r="H172" t="n">
        <v>0</v>
      </c>
      <c r="I172" t="n">
        <v>0</v>
      </c>
      <c r="J172" t="n">
        <v>0</v>
      </c>
      <c r="K172" t="n">
        <v>0</v>
      </c>
      <c r="L172" t="n">
        <v>0</v>
      </c>
      <c r="M172" t="n">
        <v>0</v>
      </c>
      <c r="N172" t="n">
        <v>0</v>
      </c>
      <c r="O172" t="n">
        <v>0</v>
      </c>
      <c r="P172" t="n">
        <v>0</v>
      </c>
      <c r="Q172" t="n">
        <v>0</v>
      </c>
      <c r="R172" s="2" t="inlineStr"/>
    </row>
    <row r="173" ht="15" customHeight="1">
      <c r="A173" t="inlineStr">
        <is>
          <t>A 61269-2022</t>
        </is>
      </c>
      <c r="B173" s="1" t="n">
        <v>44909</v>
      </c>
      <c r="C173" s="1" t="n">
        <v>46201</v>
      </c>
      <c r="D173" t="inlineStr">
        <is>
          <t>DALARNAS LÄN</t>
        </is>
      </c>
      <c r="E173" t="inlineStr">
        <is>
          <t>LEKSAND</t>
        </is>
      </c>
      <c r="G173" t="n">
        <v>4.2</v>
      </c>
      <c r="H173" t="n">
        <v>0</v>
      </c>
      <c r="I173" t="n">
        <v>0</v>
      </c>
      <c r="J173" t="n">
        <v>0</v>
      </c>
      <c r="K173" t="n">
        <v>0</v>
      </c>
      <c r="L173" t="n">
        <v>0</v>
      </c>
      <c r="M173" t="n">
        <v>0</v>
      </c>
      <c r="N173" t="n">
        <v>0</v>
      </c>
      <c r="O173" t="n">
        <v>0</v>
      </c>
      <c r="P173" t="n">
        <v>0</v>
      </c>
      <c r="Q173" t="n">
        <v>0</v>
      </c>
      <c r="R173" s="2" t="inlineStr"/>
    </row>
    <row r="174" ht="15" customHeight="1">
      <c r="A174" t="inlineStr">
        <is>
          <t>A 64933-2023</t>
        </is>
      </c>
      <c r="B174" s="1" t="n">
        <v>45282</v>
      </c>
      <c r="C174" s="1" t="n">
        <v>46201</v>
      </c>
      <c r="D174" t="inlineStr">
        <is>
          <t>DALARNAS LÄN</t>
        </is>
      </c>
      <c r="E174" t="inlineStr">
        <is>
          <t>LEKSAND</t>
        </is>
      </c>
      <c r="G174" t="n">
        <v>2.3</v>
      </c>
      <c r="H174" t="n">
        <v>0</v>
      </c>
      <c r="I174" t="n">
        <v>0</v>
      </c>
      <c r="J174" t="n">
        <v>0</v>
      </c>
      <c r="K174" t="n">
        <v>0</v>
      </c>
      <c r="L174" t="n">
        <v>0</v>
      </c>
      <c r="M174" t="n">
        <v>0</v>
      </c>
      <c r="N174" t="n">
        <v>0</v>
      </c>
      <c r="O174" t="n">
        <v>0</v>
      </c>
      <c r="P174" t="n">
        <v>0</v>
      </c>
      <c r="Q174" t="n">
        <v>0</v>
      </c>
      <c r="R174" s="2" t="inlineStr"/>
    </row>
    <row r="175" ht="15" customHeight="1">
      <c r="A175" t="inlineStr">
        <is>
          <t>A 14865-2025</t>
        </is>
      </c>
      <c r="B175" s="1" t="n">
        <v>45743</v>
      </c>
      <c r="C175" s="1" t="n">
        <v>46201</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28032-2024</t>
        </is>
      </c>
      <c r="B176" s="1" t="n">
        <v>45476</v>
      </c>
      <c r="C176" s="1" t="n">
        <v>46201</v>
      </c>
      <c r="D176" t="inlineStr">
        <is>
          <t>DALARNAS LÄN</t>
        </is>
      </c>
      <c r="E176" t="inlineStr">
        <is>
          <t>LEKSAND</t>
        </is>
      </c>
      <c r="G176" t="n">
        <v>2</v>
      </c>
      <c r="H176" t="n">
        <v>0</v>
      </c>
      <c r="I176" t="n">
        <v>0</v>
      </c>
      <c r="J176" t="n">
        <v>0</v>
      </c>
      <c r="K176" t="n">
        <v>0</v>
      </c>
      <c r="L176" t="n">
        <v>0</v>
      </c>
      <c r="M176" t="n">
        <v>0</v>
      </c>
      <c r="N176" t="n">
        <v>0</v>
      </c>
      <c r="O176" t="n">
        <v>0</v>
      </c>
      <c r="P176" t="n">
        <v>0</v>
      </c>
      <c r="Q176" t="n">
        <v>0</v>
      </c>
      <c r="R176" s="2" t="inlineStr"/>
    </row>
    <row r="177" ht="15" customHeight="1">
      <c r="A177" t="inlineStr">
        <is>
          <t>A 53464-2024</t>
        </is>
      </c>
      <c r="B177" s="1" t="n">
        <v>45611</v>
      </c>
      <c r="C177" s="1" t="n">
        <v>46201</v>
      </c>
      <c r="D177" t="inlineStr">
        <is>
          <t>DALARNAS LÄN</t>
        </is>
      </c>
      <c r="E177" t="inlineStr">
        <is>
          <t>LEKSAND</t>
        </is>
      </c>
      <c r="G177" t="n">
        <v>1.7</v>
      </c>
      <c r="H177" t="n">
        <v>0</v>
      </c>
      <c r="I177" t="n">
        <v>0</v>
      </c>
      <c r="J177" t="n">
        <v>0</v>
      </c>
      <c r="K177" t="n">
        <v>0</v>
      </c>
      <c r="L177" t="n">
        <v>0</v>
      </c>
      <c r="M177" t="n">
        <v>0</v>
      </c>
      <c r="N177" t="n">
        <v>0</v>
      </c>
      <c r="O177" t="n">
        <v>0</v>
      </c>
      <c r="P177" t="n">
        <v>0</v>
      </c>
      <c r="Q177" t="n">
        <v>0</v>
      </c>
      <c r="R177" s="2" t="inlineStr"/>
    </row>
    <row r="178" ht="15" customHeight="1">
      <c r="A178" t="inlineStr">
        <is>
          <t>A 18837-2023</t>
        </is>
      </c>
      <c r="B178" s="1" t="n">
        <v>45044</v>
      </c>
      <c r="C178" s="1" t="n">
        <v>46201</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61288-2022</t>
        </is>
      </c>
      <c r="B179" s="1" t="n">
        <v>44915</v>
      </c>
      <c r="C179" s="1" t="n">
        <v>46201</v>
      </c>
      <c r="D179" t="inlineStr">
        <is>
          <t>DALARNAS LÄN</t>
        </is>
      </c>
      <c r="E179" t="inlineStr">
        <is>
          <t>LEKSAND</t>
        </is>
      </c>
      <c r="G179" t="n">
        <v>1.7</v>
      </c>
      <c r="H179" t="n">
        <v>0</v>
      </c>
      <c r="I179" t="n">
        <v>0</v>
      </c>
      <c r="J179" t="n">
        <v>0</v>
      </c>
      <c r="K179" t="n">
        <v>0</v>
      </c>
      <c r="L179" t="n">
        <v>0</v>
      </c>
      <c r="M179" t="n">
        <v>0</v>
      </c>
      <c r="N179" t="n">
        <v>0</v>
      </c>
      <c r="O179" t="n">
        <v>0</v>
      </c>
      <c r="P179" t="n">
        <v>0</v>
      </c>
      <c r="Q179" t="n">
        <v>0</v>
      </c>
      <c r="R179" s="2" t="inlineStr"/>
    </row>
    <row r="180" ht="15" customHeight="1">
      <c r="A180" t="inlineStr">
        <is>
          <t>A 1215-2024</t>
        </is>
      </c>
      <c r="B180" s="1" t="n">
        <v>45302</v>
      </c>
      <c r="C180" s="1" t="n">
        <v>46201</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61502-2023</t>
        </is>
      </c>
      <c r="B181" s="1" t="n">
        <v>45264</v>
      </c>
      <c r="C181" s="1" t="n">
        <v>46201</v>
      </c>
      <c r="D181" t="inlineStr">
        <is>
          <t>DALARNAS LÄN</t>
        </is>
      </c>
      <c r="E181" t="inlineStr">
        <is>
          <t>LEKSAND</t>
        </is>
      </c>
      <c r="G181" t="n">
        <v>5.2</v>
      </c>
      <c r="H181" t="n">
        <v>0</v>
      </c>
      <c r="I181" t="n">
        <v>0</v>
      </c>
      <c r="J181" t="n">
        <v>0</v>
      </c>
      <c r="K181" t="n">
        <v>0</v>
      </c>
      <c r="L181" t="n">
        <v>0</v>
      </c>
      <c r="M181" t="n">
        <v>0</v>
      </c>
      <c r="N181" t="n">
        <v>0</v>
      </c>
      <c r="O181" t="n">
        <v>0</v>
      </c>
      <c r="P181" t="n">
        <v>0</v>
      </c>
      <c r="Q181" t="n">
        <v>0</v>
      </c>
      <c r="R181" s="2" t="inlineStr"/>
    </row>
    <row r="182" ht="15" customHeight="1">
      <c r="A182" t="inlineStr">
        <is>
          <t>A 46628-2024</t>
        </is>
      </c>
      <c r="B182" s="1" t="n">
        <v>45583</v>
      </c>
      <c r="C182" s="1" t="n">
        <v>46201</v>
      </c>
      <c r="D182" t="inlineStr">
        <is>
          <t>DALARNAS LÄN</t>
        </is>
      </c>
      <c r="E182" t="inlineStr">
        <is>
          <t>LEKSAND</t>
        </is>
      </c>
      <c r="G182" t="n">
        <v>0.2</v>
      </c>
      <c r="H182" t="n">
        <v>0</v>
      </c>
      <c r="I182" t="n">
        <v>0</v>
      </c>
      <c r="J182" t="n">
        <v>0</v>
      </c>
      <c r="K182" t="n">
        <v>0</v>
      </c>
      <c r="L182" t="n">
        <v>0</v>
      </c>
      <c r="M182" t="n">
        <v>0</v>
      </c>
      <c r="N182" t="n">
        <v>0</v>
      </c>
      <c r="O182" t="n">
        <v>0</v>
      </c>
      <c r="P182" t="n">
        <v>0</v>
      </c>
      <c r="Q182" t="n">
        <v>0</v>
      </c>
      <c r="R182" s="2" t="inlineStr"/>
    </row>
    <row r="183" ht="15" customHeight="1">
      <c r="A183" t="inlineStr">
        <is>
          <t>A 60040-2023</t>
        </is>
      </c>
      <c r="B183" s="1" t="n">
        <v>45256</v>
      </c>
      <c r="C183" s="1" t="n">
        <v>46201</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43231-2024</t>
        </is>
      </c>
      <c r="B184" s="1" t="n">
        <v>45567</v>
      </c>
      <c r="C184" s="1" t="n">
        <v>46201</v>
      </c>
      <c r="D184" t="inlineStr">
        <is>
          <t>DALARNAS LÄN</t>
        </is>
      </c>
      <c r="E184" t="inlineStr">
        <is>
          <t>LEKSAND</t>
        </is>
      </c>
      <c r="G184" t="n">
        <v>1.9</v>
      </c>
      <c r="H184" t="n">
        <v>0</v>
      </c>
      <c r="I184" t="n">
        <v>0</v>
      </c>
      <c r="J184" t="n">
        <v>0</v>
      </c>
      <c r="K184" t="n">
        <v>0</v>
      </c>
      <c r="L184" t="n">
        <v>0</v>
      </c>
      <c r="M184" t="n">
        <v>0</v>
      </c>
      <c r="N184" t="n">
        <v>0</v>
      </c>
      <c r="O184" t="n">
        <v>0</v>
      </c>
      <c r="P184" t="n">
        <v>0</v>
      </c>
      <c r="Q184" t="n">
        <v>0</v>
      </c>
      <c r="R184" s="2" t="inlineStr"/>
    </row>
    <row r="185" ht="15" customHeight="1">
      <c r="A185" t="inlineStr">
        <is>
          <t>A 17533-2023</t>
        </is>
      </c>
      <c r="B185" s="1" t="n">
        <v>45036</v>
      </c>
      <c r="C185" s="1" t="n">
        <v>46201</v>
      </c>
      <c r="D185" t="inlineStr">
        <is>
          <t>DALARNAS LÄN</t>
        </is>
      </c>
      <c r="E185" t="inlineStr">
        <is>
          <t>LEKSAND</t>
        </is>
      </c>
      <c r="G185" t="n">
        <v>3</v>
      </c>
      <c r="H185" t="n">
        <v>0</v>
      </c>
      <c r="I185" t="n">
        <v>0</v>
      </c>
      <c r="J185" t="n">
        <v>0</v>
      </c>
      <c r="K185" t="n">
        <v>0</v>
      </c>
      <c r="L185" t="n">
        <v>0</v>
      </c>
      <c r="M185" t="n">
        <v>0</v>
      </c>
      <c r="N185" t="n">
        <v>0</v>
      </c>
      <c r="O185" t="n">
        <v>0</v>
      </c>
      <c r="P185" t="n">
        <v>0</v>
      </c>
      <c r="Q185" t="n">
        <v>0</v>
      </c>
      <c r="R185" s="2" t="inlineStr"/>
    </row>
    <row r="186" ht="15" customHeight="1">
      <c r="A186" t="inlineStr">
        <is>
          <t>A 54914-2024</t>
        </is>
      </c>
      <c r="B186" s="1" t="n">
        <v>45618</v>
      </c>
      <c r="C186" s="1" t="n">
        <v>46201</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52059-2024</t>
        </is>
      </c>
      <c r="B187" s="1" t="n">
        <v>45608</v>
      </c>
      <c r="C187" s="1" t="n">
        <v>46201</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34585-2024</t>
        </is>
      </c>
      <c r="B188" s="1" t="n">
        <v>45526</v>
      </c>
      <c r="C188" s="1" t="n">
        <v>46201</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21839-2022</t>
        </is>
      </c>
      <c r="B189" s="1" t="n">
        <v>44711</v>
      </c>
      <c r="C189" s="1" t="n">
        <v>46201</v>
      </c>
      <c r="D189" t="inlineStr">
        <is>
          <t>DALARNAS LÄN</t>
        </is>
      </c>
      <c r="E189" t="inlineStr">
        <is>
          <t>LEKSAND</t>
        </is>
      </c>
      <c r="F189" t="inlineStr">
        <is>
          <t>Bergvik skog väst AB</t>
        </is>
      </c>
      <c r="G189" t="n">
        <v>3</v>
      </c>
      <c r="H189" t="n">
        <v>0</v>
      </c>
      <c r="I189" t="n">
        <v>0</v>
      </c>
      <c r="J189" t="n">
        <v>0</v>
      </c>
      <c r="K189" t="n">
        <v>0</v>
      </c>
      <c r="L189" t="n">
        <v>0</v>
      </c>
      <c r="M189" t="n">
        <v>0</v>
      </c>
      <c r="N189" t="n">
        <v>0</v>
      </c>
      <c r="O189" t="n">
        <v>0</v>
      </c>
      <c r="P189" t="n">
        <v>0</v>
      </c>
      <c r="Q189" t="n">
        <v>0</v>
      </c>
      <c r="R189" s="2" t="inlineStr"/>
    </row>
    <row r="190" ht="15" customHeight="1">
      <c r="A190" t="inlineStr">
        <is>
          <t>A 58244-2024</t>
        </is>
      </c>
      <c r="B190" s="1" t="n">
        <v>45631</v>
      </c>
      <c r="C190" s="1" t="n">
        <v>46201</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8743-2023</t>
        </is>
      </c>
      <c r="B191" s="1" t="n">
        <v>44978</v>
      </c>
      <c r="C191" s="1" t="n">
        <v>46201</v>
      </c>
      <c r="D191" t="inlineStr">
        <is>
          <t>DALARNAS LÄN</t>
        </is>
      </c>
      <c r="E191" t="inlineStr">
        <is>
          <t>LEKSAND</t>
        </is>
      </c>
      <c r="G191" t="n">
        <v>3</v>
      </c>
      <c r="H191" t="n">
        <v>0</v>
      </c>
      <c r="I191" t="n">
        <v>0</v>
      </c>
      <c r="J191" t="n">
        <v>0</v>
      </c>
      <c r="K191" t="n">
        <v>0</v>
      </c>
      <c r="L191" t="n">
        <v>0</v>
      </c>
      <c r="M191" t="n">
        <v>0</v>
      </c>
      <c r="N191" t="n">
        <v>0</v>
      </c>
      <c r="O191" t="n">
        <v>0</v>
      </c>
      <c r="P191" t="n">
        <v>0</v>
      </c>
      <c r="Q191" t="n">
        <v>0</v>
      </c>
      <c r="R191" s="2" t="inlineStr"/>
    </row>
    <row r="192" ht="15" customHeight="1">
      <c r="A192" t="inlineStr">
        <is>
          <t>A 15020-2023</t>
        </is>
      </c>
      <c r="B192" s="1" t="n">
        <v>45015</v>
      </c>
      <c r="C192" s="1" t="n">
        <v>46201</v>
      </c>
      <c r="D192" t="inlineStr">
        <is>
          <t>DALARNAS LÄN</t>
        </is>
      </c>
      <c r="E192" t="inlineStr">
        <is>
          <t>LEKSAND</t>
        </is>
      </c>
      <c r="G192" t="n">
        <v>2.6</v>
      </c>
      <c r="H192" t="n">
        <v>0</v>
      </c>
      <c r="I192" t="n">
        <v>0</v>
      </c>
      <c r="J192" t="n">
        <v>0</v>
      </c>
      <c r="K192" t="n">
        <v>0</v>
      </c>
      <c r="L192" t="n">
        <v>0</v>
      </c>
      <c r="M192" t="n">
        <v>0</v>
      </c>
      <c r="N192" t="n">
        <v>0</v>
      </c>
      <c r="O192" t="n">
        <v>0</v>
      </c>
      <c r="P192" t="n">
        <v>0</v>
      </c>
      <c r="Q192" t="n">
        <v>0</v>
      </c>
      <c r="R192" s="2" t="inlineStr"/>
    </row>
    <row r="193" ht="15" customHeight="1">
      <c r="A193" t="inlineStr">
        <is>
          <t>A 61546-2021</t>
        </is>
      </c>
      <c r="B193" s="1" t="n">
        <v>44501</v>
      </c>
      <c r="C193" s="1" t="n">
        <v>46201</v>
      </c>
      <c r="D193" t="inlineStr">
        <is>
          <t>DALARNAS LÄN</t>
        </is>
      </c>
      <c r="E193" t="inlineStr">
        <is>
          <t>LEKSAND</t>
        </is>
      </c>
      <c r="G193" t="n">
        <v>3</v>
      </c>
      <c r="H193" t="n">
        <v>0</v>
      </c>
      <c r="I193" t="n">
        <v>0</v>
      </c>
      <c r="J193" t="n">
        <v>0</v>
      </c>
      <c r="K193" t="n">
        <v>0</v>
      </c>
      <c r="L193" t="n">
        <v>0</v>
      </c>
      <c r="M193" t="n">
        <v>0</v>
      </c>
      <c r="N193" t="n">
        <v>0</v>
      </c>
      <c r="O193" t="n">
        <v>0</v>
      </c>
      <c r="P193" t="n">
        <v>0</v>
      </c>
      <c r="Q193" t="n">
        <v>0</v>
      </c>
      <c r="R193" s="2" t="inlineStr"/>
    </row>
    <row r="194" ht="15" customHeight="1">
      <c r="A194" t="inlineStr">
        <is>
          <t>A 41046-2024</t>
        </is>
      </c>
      <c r="B194" s="1" t="n">
        <v>45559</v>
      </c>
      <c r="C194" s="1" t="n">
        <v>46201</v>
      </c>
      <c r="D194" t="inlineStr">
        <is>
          <t>DALARNAS LÄN</t>
        </is>
      </c>
      <c r="E194" t="inlineStr">
        <is>
          <t>LEKSAND</t>
        </is>
      </c>
      <c r="G194" t="n">
        <v>1.9</v>
      </c>
      <c r="H194" t="n">
        <v>0</v>
      </c>
      <c r="I194" t="n">
        <v>0</v>
      </c>
      <c r="J194" t="n">
        <v>0</v>
      </c>
      <c r="K194" t="n">
        <v>0</v>
      </c>
      <c r="L194" t="n">
        <v>0</v>
      </c>
      <c r="M194" t="n">
        <v>0</v>
      </c>
      <c r="N194" t="n">
        <v>0</v>
      </c>
      <c r="O194" t="n">
        <v>0</v>
      </c>
      <c r="P194" t="n">
        <v>0</v>
      </c>
      <c r="Q194" t="n">
        <v>0</v>
      </c>
      <c r="R194" s="2" t="inlineStr"/>
    </row>
    <row r="195" ht="15" customHeight="1">
      <c r="A195" t="inlineStr">
        <is>
          <t>A 10743-2024</t>
        </is>
      </c>
      <c r="B195" s="1" t="n">
        <v>45369</v>
      </c>
      <c r="C195" s="1" t="n">
        <v>46201</v>
      </c>
      <c r="D195" t="inlineStr">
        <is>
          <t>DALARNAS LÄN</t>
        </is>
      </c>
      <c r="E195" t="inlineStr">
        <is>
          <t>LEKSAND</t>
        </is>
      </c>
      <c r="G195" t="n">
        <v>2.7</v>
      </c>
      <c r="H195" t="n">
        <v>0</v>
      </c>
      <c r="I195" t="n">
        <v>0</v>
      </c>
      <c r="J195" t="n">
        <v>0</v>
      </c>
      <c r="K195" t="n">
        <v>0</v>
      </c>
      <c r="L195" t="n">
        <v>0</v>
      </c>
      <c r="M195" t="n">
        <v>0</v>
      </c>
      <c r="N195" t="n">
        <v>0</v>
      </c>
      <c r="O195" t="n">
        <v>0</v>
      </c>
      <c r="P195" t="n">
        <v>0</v>
      </c>
      <c r="Q195" t="n">
        <v>0</v>
      </c>
      <c r="R195" s="2" t="inlineStr"/>
    </row>
    <row r="196" ht="15" customHeight="1">
      <c r="A196" t="inlineStr">
        <is>
          <t>A 10771-2024</t>
        </is>
      </c>
      <c r="B196" s="1" t="n">
        <v>45369</v>
      </c>
      <c r="C196" s="1" t="n">
        <v>46201</v>
      </c>
      <c r="D196" t="inlineStr">
        <is>
          <t>DALARNAS LÄN</t>
        </is>
      </c>
      <c r="E196" t="inlineStr">
        <is>
          <t>LEKSAND</t>
        </is>
      </c>
      <c r="G196" t="n">
        <v>0.4</v>
      </c>
      <c r="H196" t="n">
        <v>0</v>
      </c>
      <c r="I196" t="n">
        <v>0</v>
      </c>
      <c r="J196" t="n">
        <v>0</v>
      </c>
      <c r="K196" t="n">
        <v>0</v>
      </c>
      <c r="L196" t="n">
        <v>0</v>
      </c>
      <c r="M196" t="n">
        <v>0</v>
      </c>
      <c r="N196" t="n">
        <v>0</v>
      </c>
      <c r="O196" t="n">
        <v>0</v>
      </c>
      <c r="P196" t="n">
        <v>0</v>
      </c>
      <c r="Q196" t="n">
        <v>0</v>
      </c>
      <c r="R196" s="2" t="inlineStr"/>
    </row>
    <row r="197" ht="15" customHeight="1">
      <c r="A197" t="inlineStr">
        <is>
          <t>A 17759-2023</t>
        </is>
      </c>
      <c r="B197" s="1" t="n">
        <v>45037</v>
      </c>
      <c r="C197" s="1" t="n">
        <v>46201</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16005-2025</t>
        </is>
      </c>
      <c r="B198" s="1" t="n">
        <v>45749</v>
      </c>
      <c r="C198" s="1" t="n">
        <v>46201</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5738-2023</t>
        </is>
      </c>
      <c r="B199" s="1" t="n">
        <v>44962</v>
      </c>
      <c r="C199" s="1" t="n">
        <v>46201</v>
      </c>
      <c r="D199" t="inlineStr">
        <is>
          <t>DALARNAS LÄN</t>
        </is>
      </c>
      <c r="E199" t="inlineStr">
        <is>
          <t>LEKSAND</t>
        </is>
      </c>
      <c r="G199" t="n">
        <v>0.2</v>
      </c>
      <c r="H199" t="n">
        <v>0</v>
      </c>
      <c r="I199" t="n">
        <v>0</v>
      </c>
      <c r="J199" t="n">
        <v>0</v>
      </c>
      <c r="K199" t="n">
        <v>0</v>
      </c>
      <c r="L199" t="n">
        <v>0</v>
      </c>
      <c r="M199" t="n">
        <v>0</v>
      </c>
      <c r="N199" t="n">
        <v>0</v>
      </c>
      <c r="O199" t="n">
        <v>0</v>
      </c>
      <c r="P199" t="n">
        <v>0</v>
      </c>
      <c r="Q199" t="n">
        <v>0</v>
      </c>
      <c r="R199" s="2" t="inlineStr"/>
    </row>
    <row r="200" ht="15" customHeight="1">
      <c r="A200" t="inlineStr">
        <is>
          <t>A 8940-2023</t>
        </is>
      </c>
      <c r="B200" s="1" t="n">
        <v>44974</v>
      </c>
      <c r="C200" s="1" t="n">
        <v>46201</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72575-2021</t>
        </is>
      </c>
      <c r="B201" s="1" t="n">
        <v>44546</v>
      </c>
      <c r="C201" s="1" t="n">
        <v>46201</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72581-2021</t>
        </is>
      </c>
      <c r="B202" s="1" t="n">
        <v>44546</v>
      </c>
      <c r="C202" s="1" t="n">
        <v>46201</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33143-2024</t>
        </is>
      </c>
      <c r="B203" s="1" t="n">
        <v>45518</v>
      </c>
      <c r="C203" s="1" t="n">
        <v>46201</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11128-2023</t>
        </is>
      </c>
      <c r="B204" s="1" t="n">
        <v>44992</v>
      </c>
      <c r="C204" s="1" t="n">
        <v>46201</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16051-2023</t>
        </is>
      </c>
      <c r="B205" s="1" t="n">
        <v>45027</v>
      </c>
      <c r="C205" s="1" t="n">
        <v>46201</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38001-2023</t>
        </is>
      </c>
      <c r="B206" s="1" t="n">
        <v>45160</v>
      </c>
      <c r="C206" s="1" t="n">
        <v>46201</v>
      </c>
      <c r="D206" t="inlineStr">
        <is>
          <t>DALARNAS LÄN</t>
        </is>
      </c>
      <c r="E206" t="inlineStr">
        <is>
          <t>LEKSAND</t>
        </is>
      </c>
      <c r="G206" t="n">
        <v>3.6</v>
      </c>
      <c r="H206" t="n">
        <v>0</v>
      </c>
      <c r="I206" t="n">
        <v>0</v>
      </c>
      <c r="J206" t="n">
        <v>0</v>
      </c>
      <c r="K206" t="n">
        <v>0</v>
      </c>
      <c r="L206" t="n">
        <v>0</v>
      </c>
      <c r="M206" t="n">
        <v>0</v>
      </c>
      <c r="N206" t="n">
        <v>0</v>
      </c>
      <c r="O206" t="n">
        <v>0</v>
      </c>
      <c r="P206" t="n">
        <v>0</v>
      </c>
      <c r="Q206" t="n">
        <v>0</v>
      </c>
      <c r="R206" s="2" t="inlineStr"/>
    </row>
    <row r="207" ht="15" customHeight="1">
      <c r="A207" t="inlineStr">
        <is>
          <t>A 47673-2023</t>
        </is>
      </c>
      <c r="B207" s="1" t="n">
        <v>45203</v>
      </c>
      <c r="C207" s="1" t="n">
        <v>46201</v>
      </c>
      <c r="D207" t="inlineStr">
        <is>
          <t>DALARNAS LÄN</t>
        </is>
      </c>
      <c r="E207" t="inlineStr">
        <is>
          <t>LEKSAND</t>
        </is>
      </c>
      <c r="G207" t="n">
        <v>2</v>
      </c>
      <c r="H207" t="n">
        <v>0</v>
      </c>
      <c r="I207" t="n">
        <v>0</v>
      </c>
      <c r="J207" t="n">
        <v>0</v>
      </c>
      <c r="K207" t="n">
        <v>0</v>
      </c>
      <c r="L207" t="n">
        <v>0</v>
      </c>
      <c r="M207" t="n">
        <v>0</v>
      </c>
      <c r="N207" t="n">
        <v>0</v>
      </c>
      <c r="O207" t="n">
        <v>0</v>
      </c>
      <c r="P207" t="n">
        <v>0</v>
      </c>
      <c r="Q207" t="n">
        <v>0</v>
      </c>
      <c r="R207" s="2" t="inlineStr"/>
    </row>
    <row r="208" ht="15" customHeight="1">
      <c r="A208" t="inlineStr">
        <is>
          <t>A 46446-2023</t>
        </is>
      </c>
      <c r="B208" s="1" t="n">
        <v>45197</v>
      </c>
      <c r="C208" s="1" t="n">
        <v>46201</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19820-2024</t>
        </is>
      </c>
      <c r="B209" s="1" t="n">
        <v>45433</v>
      </c>
      <c r="C209" s="1" t="n">
        <v>46201</v>
      </c>
      <c r="D209" t="inlineStr">
        <is>
          <t>DALARNAS LÄN</t>
        </is>
      </c>
      <c r="E209" t="inlineStr">
        <is>
          <t>LEKSAND</t>
        </is>
      </c>
      <c r="G209" t="n">
        <v>0.7</v>
      </c>
      <c r="H209" t="n">
        <v>0</v>
      </c>
      <c r="I209" t="n">
        <v>0</v>
      </c>
      <c r="J209" t="n">
        <v>0</v>
      </c>
      <c r="K209" t="n">
        <v>0</v>
      </c>
      <c r="L209" t="n">
        <v>0</v>
      </c>
      <c r="M209" t="n">
        <v>0</v>
      </c>
      <c r="N209" t="n">
        <v>0</v>
      </c>
      <c r="O209" t="n">
        <v>0</v>
      </c>
      <c r="P209" t="n">
        <v>0</v>
      </c>
      <c r="Q209" t="n">
        <v>0</v>
      </c>
      <c r="R209" s="2" t="inlineStr"/>
    </row>
    <row r="210" ht="15" customHeight="1">
      <c r="A210" t="inlineStr">
        <is>
          <t>A 19823-2024</t>
        </is>
      </c>
      <c r="B210" s="1" t="n">
        <v>45433</v>
      </c>
      <c r="C210" s="1" t="n">
        <v>46201</v>
      </c>
      <c r="D210" t="inlineStr">
        <is>
          <t>DALARNAS LÄN</t>
        </is>
      </c>
      <c r="E210" t="inlineStr">
        <is>
          <t>LEKSAND</t>
        </is>
      </c>
      <c r="G210" t="n">
        <v>0.3</v>
      </c>
      <c r="H210" t="n">
        <v>0</v>
      </c>
      <c r="I210" t="n">
        <v>0</v>
      </c>
      <c r="J210" t="n">
        <v>0</v>
      </c>
      <c r="K210" t="n">
        <v>0</v>
      </c>
      <c r="L210" t="n">
        <v>0</v>
      </c>
      <c r="M210" t="n">
        <v>0</v>
      </c>
      <c r="N210" t="n">
        <v>0</v>
      </c>
      <c r="O210" t="n">
        <v>0</v>
      </c>
      <c r="P210" t="n">
        <v>0</v>
      </c>
      <c r="Q210" t="n">
        <v>0</v>
      </c>
      <c r="R210" s="2" t="inlineStr"/>
    </row>
    <row r="211" ht="15" customHeight="1">
      <c r="A211" t="inlineStr">
        <is>
          <t>A 52100-2024</t>
        </is>
      </c>
      <c r="B211" s="1" t="n">
        <v>45608</v>
      </c>
      <c r="C211" s="1" t="n">
        <v>46201</v>
      </c>
      <c r="D211" t="inlineStr">
        <is>
          <t>DALARNAS LÄN</t>
        </is>
      </c>
      <c r="E211" t="inlineStr">
        <is>
          <t>LEKSAND</t>
        </is>
      </c>
      <c r="G211" t="n">
        <v>1.9</v>
      </c>
      <c r="H211" t="n">
        <v>0</v>
      </c>
      <c r="I211" t="n">
        <v>0</v>
      </c>
      <c r="J211" t="n">
        <v>0</v>
      </c>
      <c r="K211" t="n">
        <v>0</v>
      </c>
      <c r="L211" t="n">
        <v>0</v>
      </c>
      <c r="M211" t="n">
        <v>0</v>
      </c>
      <c r="N211" t="n">
        <v>0</v>
      </c>
      <c r="O211" t="n">
        <v>0</v>
      </c>
      <c r="P211" t="n">
        <v>0</v>
      </c>
      <c r="Q211" t="n">
        <v>0</v>
      </c>
      <c r="R211" s="2" t="inlineStr"/>
    </row>
    <row r="212" ht="15" customHeight="1">
      <c r="A212" t="inlineStr">
        <is>
          <t>A 7653-2025</t>
        </is>
      </c>
      <c r="B212" s="1" t="n">
        <v>45705</v>
      </c>
      <c r="C212" s="1" t="n">
        <v>46201</v>
      </c>
      <c r="D212" t="inlineStr">
        <is>
          <t>DALARNAS LÄN</t>
        </is>
      </c>
      <c r="E212" t="inlineStr">
        <is>
          <t>LEKSAND</t>
        </is>
      </c>
      <c r="G212" t="n">
        <v>0.8</v>
      </c>
      <c r="H212" t="n">
        <v>0</v>
      </c>
      <c r="I212" t="n">
        <v>0</v>
      </c>
      <c r="J212" t="n">
        <v>0</v>
      </c>
      <c r="K212" t="n">
        <v>0</v>
      </c>
      <c r="L212" t="n">
        <v>0</v>
      </c>
      <c r="M212" t="n">
        <v>0</v>
      </c>
      <c r="N212" t="n">
        <v>0</v>
      </c>
      <c r="O212" t="n">
        <v>0</v>
      </c>
      <c r="P212" t="n">
        <v>0</v>
      </c>
      <c r="Q212" t="n">
        <v>0</v>
      </c>
      <c r="R212" s="2" t="inlineStr"/>
    </row>
    <row r="213" ht="15" customHeight="1">
      <c r="A213" t="inlineStr">
        <is>
          <t>A 6039-2023</t>
        </is>
      </c>
      <c r="B213" s="1" t="n">
        <v>44959</v>
      </c>
      <c r="C213" s="1" t="n">
        <v>46201</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6758-2024</t>
        </is>
      </c>
      <c r="B214" s="1" t="n">
        <v>45342</v>
      </c>
      <c r="C214" s="1" t="n">
        <v>46201</v>
      </c>
      <c r="D214" t="inlineStr">
        <is>
          <t>DALARNAS LÄN</t>
        </is>
      </c>
      <c r="E214" t="inlineStr">
        <is>
          <t>LEKSAND</t>
        </is>
      </c>
      <c r="F214" t="inlineStr">
        <is>
          <t>Bergvik skog väst AB</t>
        </is>
      </c>
      <c r="G214" t="n">
        <v>6.2</v>
      </c>
      <c r="H214" t="n">
        <v>0</v>
      </c>
      <c r="I214" t="n">
        <v>0</v>
      </c>
      <c r="J214" t="n">
        <v>0</v>
      </c>
      <c r="K214" t="n">
        <v>0</v>
      </c>
      <c r="L214" t="n">
        <v>0</v>
      </c>
      <c r="M214" t="n">
        <v>0</v>
      </c>
      <c r="N214" t="n">
        <v>0</v>
      </c>
      <c r="O214" t="n">
        <v>0</v>
      </c>
      <c r="P214" t="n">
        <v>0</v>
      </c>
      <c r="Q214" t="n">
        <v>0</v>
      </c>
      <c r="R214" s="2" t="inlineStr"/>
    </row>
    <row r="215" ht="15" customHeight="1">
      <c r="A215" t="inlineStr">
        <is>
          <t>A 53981-2024</t>
        </is>
      </c>
      <c r="B215" s="1" t="n">
        <v>45615</v>
      </c>
      <c r="C215" s="1" t="n">
        <v>46201</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402-2024</t>
        </is>
      </c>
      <c r="B216" s="1" t="n">
        <v>45296</v>
      </c>
      <c r="C216" s="1" t="n">
        <v>46201</v>
      </c>
      <c r="D216" t="inlineStr">
        <is>
          <t>DALARNAS LÄN</t>
        </is>
      </c>
      <c r="E216" t="inlineStr">
        <is>
          <t>LEKSAND</t>
        </is>
      </c>
      <c r="G216" t="n">
        <v>1.5</v>
      </c>
      <c r="H216" t="n">
        <v>0</v>
      </c>
      <c r="I216" t="n">
        <v>0</v>
      </c>
      <c r="J216" t="n">
        <v>0</v>
      </c>
      <c r="K216" t="n">
        <v>0</v>
      </c>
      <c r="L216" t="n">
        <v>0</v>
      </c>
      <c r="M216" t="n">
        <v>0</v>
      </c>
      <c r="N216" t="n">
        <v>0</v>
      </c>
      <c r="O216" t="n">
        <v>0</v>
      </c>
      <c r="P216" t="n">
        <v>0</v>
      </c>
      <c r="Q216" t="n">
        <v>0</v>
      </c>
      <c r="R216" s="2" t="inlineStr"/>
    </row>
    <row r="217" ht="15" customHeight="1">
      <c r="A217" t="inlineStr">
        <is>
          <t>A 45040-2021</t>
        </is>
      </c>
      <c r="B217" s="1" t="n">
        <v>44438</v>
      </c>
      <c r="C217" s="1" t="n">
        <v>46201</v>
      </c>
      <c r="D217" t="inlineStr">
        <is>
          <t>DALARNAS LÄN</t>
        </is>
      </c>
      <c r="E217" t="inlineStr">
        <is>
          <t>LEKSAND</t>
        </is>
      </c>
      <c r="G217" t="n">
        <v>2.7</v>
      </c>
      <c r="H217" t="n">
        <v>0</v>
      </c>
      <c r="I217" t="n">
        <v>0</v>
      </c>
      <c r="J217" t="n">
        <v>0</v>
      </c>
      <c r="K217" t="n">
        <v>0</v>
      </c>
      <c r="L217" t="n">
        <v>0</v>
      </c>
      <c r="M217" t="n">
        <v>0</v>
      </c>
      <c r="N217" t="n">
        <v>0</v>
      </c>
      <c r="O217" t="n">
        <v>0</v>
      </c>
      <c r="P217" t="n">
        <v>0</v>
      </c>
      <c r="Q217" t="n">
        <v>0</v>
      </c>
      <c r="R217" s="2" t="inlineStr"/>
    </row>
    <row r="218" ht="15" customHeight="1">
      <c r="A218" t="inlineStr">
        <is>
          <t>A 28921-2023</t>
        </is>
      </c>
      <c r="B218" s="1" t="n">
        <v>45104</v>
      </c>
      <c r="C218" s="1" t="n">
        <v>46201</v>
      </c>
      <c r="D218" t="inlineStr">
        <is>
          <t>DALARNAS LÄN</t>
        </is>
      </c>
      <c r="E218" t="inlineStr">
        <is>
          <t>LEKSAND</t>
        </is>
      </c>
      <c r="G218" t="n">
        <v>4.4</v>
      </c>
      <c r="H218" t="n">
        <v>0</v>
      </c>
      <c r="I218" t="n">
        <v>0</v>
      </c>
      <c r="J218" t="n">
        <v>0</v>
      </c>
      <c r="K218" t="n">
        <v>0</v>
      </c>
      <c r="L218" t="n">
        <v>0</v>
      </c>
      <c r="M218" t="n">
        <v>0</v>
      </c>
      <c r="N218" t="n">
        <v>0</v>
      </c>
      <c r="O218" t="n">
        <v>0</v>
      </c>
      <c r="P218" t="n">
        <v>0</v>
      </c>
      <c r="Q218" t="n">
        <v>0</v>
      </c>
      <c r="R218" s="2" t="inlineStr"/>
    </row>
    <row r="219" ht="15" customHeight="1">
      <c r="A219" t="inlineStr">
        <is>
          <t>A 30998-2023</t>
        </is>
      </c>
      <c r="B219" s="1" t="n">
        <v>45113</v>
      </c>
      <c r="C219" s="1" t="n">
        <v>46201</v>
      </c>
      <c r="D219" t="inlineStr">
        <is>
          <t>DALARNAS LÄN</t>
        </is>
      </c>
      <c r="E219" t="inlineStr">
        <is>
          <t>LEKSAND</t>
        </is>
      </c>
      <c r="G219" t="n">
        <v>0.5</v>
      </c>
      <c r="H219" t="n">
        <v>0</v>
      </c>
      <c r="I219" t="n">
        <v>0</v>
      </c>
      <c r="J219" t="n">
        <v>0</v>
      </c>
      <c r="K219" t="n">
        <v>0</v>
      </c>
      <c r="L219" t="n">
        <v>0</v>
      </c>
      <c r="M219" t="n">
        <v>0</v>
      </c>
      <c r="N219" t="n">
        <v>0</v>
      </c>
      <c r="O219" t="n">
        <v>0</v>
      </c>
      <c r="P219" t="n">
        <v>0</v>
      </c>
      <c r="Q219" t="n">
        <v>0</v>
      </c>
      <c r="R219" s="2" t="inlineStr"/>
    </row>
    <row r="220" ht="15" customHeight="1">
      <c r="A220" t="inlineStr">
        <is>
          <t>A 14504-2025</t>
        </is>
      </c>
      <c r="B220" s="1" t="n">
        <v>45741</v>
      </c>
      <c r="C220" s="1" t="n">
        <v>46201</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31254-2023</t>
        </is>
      </c>
      <c r="B221" s="1" t="n">
        <v>45114</v>
      </c>
      <c r="C221" s="1" t="n">
        <v>46201</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40755-2024</t>
        </is>
      </c>
      <c r="B222" s="1" t="n">
        <v>45558</v>
      </c>
      <c r="C222" s="1" t="n">
        <v>46201</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23283-2024</t>
        </is>
      </c>
      <c r="B223" s="1" t="n">
        <v>45453</v>
      </c>
      <c r="C223" s="1" t="n">
        <v>46201</v>
      </c>
      <c r="D223" t="inlineStr">
        <is>
          <t>DALARNAS LÄN</t>
        </is>
      </c>
      <c r="E223" t="inlineStr">
        <is>
          <t>LEKSAND</t>
        </is>
      </c>
      <c r="G223" t="n">
        <v>0.9</v>
      </c>
      <c r="H223" t="n">
        <v>0</v>
      </c>
      <c r="I223" t="n">
        <v>0</v>
      </c>
      <c r="J223" t="n">
        <v>0</v>
      </c>
      <c r="K223" t="n">
        <v>0</v>
      </c>
      <c r="L223" t="n">
        <v>0</v>
      </c>
      <c r="M223" t="n">
        <v>0</v>
      </c>
      <c r="N223" t="n">
        <v>0</v>
      </c>
      <c r="O223" t="n">
        <v>0</v>
      </c>
      <c r="P223" t="n">
        <v>0</v>
      </c>
      <c r="Q223" t="n">
        <v>0</v>
      </c>
      <c r="R223" s="2" t="inlineStr"/>
    </row>
    <row r="224" ht="15" customHeight="1">
      <c r="A224" t="inlineStr">
        <is>
          <t>A 39807-2024</t>
        </is>
      </c>
      <c r="B224" s="1" t="n">
        <v>45553</v>
      </c>
      <c r="C224" s="1" t="n">
        <v>46201</v>
      </c>
      <c r="D224" t="inlineStr">
        <is>
          <t>DALARNAS LÄN</t>
        </is>
      </c>
      <c r="E224" t="inlineStr">
        <is>
          <t>LEKSAND</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16611-2024</t>
        </is>
      </c>
      <c r="B225" s="1" t="n">
        <v>45408</v>
      </c>
      <c r="C225" s="1" t="n">
        <v>46201</v>
      </c>
      <c r="D225" t="inlineStr">
        <is>
          <t>DALARNAS LÄN</t>
        </is>
      </c>
      <c r="E225" t="inlineStr">
        <is>
          <t>LEKSAND</t>
        </is>
      </c>
      <c r="G225" t="n">
        <v>5.9</v>
      </c>
      <c r="H225" t="n">
        <v>0</v>
      </c>
      <c r="I225" t="n">
        <v>0</v>
      </c>
      <c r="J225" t="n">
        <v>0</v>
      </c>
      <c r="K225" t="n">
        <v>0</v>
      </c>
      <c r="L225" t="n">
        <v>0</v>
      </c>
      <c r="M225" t="n">
        <v>0</v>
      </c>
      <c r="N225" t="n">
        <v>0</v>
      </c>
      <c r="O225" t="n">
        <v>0</v>
      </c>
      <c r="P225" t="n">
        <v>0</v>
      </c>
      <c r="Q225" t="n">
        <v>0</v>
      </c>
      <c r="R225" s="2" t="inlineStr"/>
    </row>
    <row r="226" ht="15" customHeight="1">
      <c r="A226" t="inlineStr">
        <is>
          <t>A 59199-2024</t>
        </is>
      </c>
      <c r="B226" s="1" t="n">
        <v>45637</v>
      </c>
      <c r="C226" s="1" t="n">
        <v>46201</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61680-2024</t>
        </is>
      </c>
      <c r="B227" s="1" t="n">
        <v>45647</v>
      </c>
      <c r="C227" s="1" t="n">
        <v>46201</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62295-2023</t>
        </is>
      </c>
      <c r="B228" s="1" t="n">
        <v>45267</v>
      </c>
      <c r="C228" s="1" t="n">
        <v>46201</v>
      </c>
      <c r="D228" t="inlineStr">
        <is>
          <t>DALARNAS LÄN</t>
        </is>
      </c>
      <c r="E228" t="inlineStr">
        <is>
          <t>LEKSAND</t>
        </is>
      </c>
      <c r="G228" t="n">
        <v>2.5</v>
      </c>
      <c r="H228" t="n">
        <v>0</v>
      </c>
      <c r="I228" t="n">
        <v>0</v>
      </c>
      <c r="J228" t="n">
        <v>0</v>
      </c>
      <c r="K228" t="n">
        <v>0</v>
      </c>
      <c r="L228" t="n">
        <v>0</v>
      </c>
      <c r="M228" t="n">
        <v>0</v>
      </c>
      <c r="N228" t="n">
        <v>0</v>
      </c>
      <c r="O228" t="n">
        <v>0</v>
      </c>
      <c r="P228" t="n">
        <v>0</v>
      </c>
      <c r="Q228" t="n">
        <v>0</v>
      </c>
      <c r="R228" s="2" t="inlineStr"/>
    </row>
    <row r="229" ht="15" customHeight="1">
      <c r="A229" t="inlineStr">
        <is>
          <t>A 45768-2023</t>
        </is>
      </c>
      <c r="B229" s="1" t="n">
        <v>45195</v>
      </c>
      <c r="C229" s="1" t="n">
        <v>46201</v>
      </c>
      <c r="D229" t="inlineStr">
        <is>
          <t>DALARNAS LÄN</t>
        </is>
      </c>
      <c r="E229" t="inlineStr">
        <is>
          <t>LEKSAND</t>
        </is>
      </c>
      <c r="G229" t="n">
        <v>0.4</v>
      </c>
      <c r="H229" t="n">
        <v>0</v>
      </c>
      <c r="I229" t="n">
        <v>0</v>
      </c>
      <c r="J229" t="n">
        <v>0</v>
      </c>
      <c r="K229" t="n">
        <v>0</v>
      </c>
      <c r="L229" t="n">
        <v>0</v>
      </c>
      <c r="M229" t="n">
        <v>0</v>
      </c>
      <c r="N229" t="n">
        <v>0</v>
      </c>
      <c r="O229" t="n">
        <v>0</v>
      </c>
      <c r="P229" t="n">
        <v>0</v>
      </c>
      <c r="Q229" t="n">
        <v>0</v>
      </c>
      <c r="R229" s="2" t="inlineStr"/>
    </row>
    <row r="230" ht="15" customHeight="1">
      <c r="A230" t="inlineStr">
        <is>
          <t>A 36932-2023</t>
        </is>
      </c>
      <c r="B230" s="1" t="n">
        <v>45154</v>
      </c>
      <c r="C230" s="1" t="n">
        <v>46201</v>
      </c>
      <c r="D230" t="inlineStr">
        <is>
          <t>DALARNAS LÄN</t>
        </is>
      </c>
      <c r="E230" t="inlineStr">
        <is>
          <t>LEKSAND</t>
        </is>
      </c>
      <c r="G230" t="n">
        <v>1.3</v>
      </c>
      <c r="H230" t="n">
        <v>0</v>
      </c>
      <c r="I230" t="n">
        <v>0</v>
      </c>
      <c r="J230" t="n">
        <v>0</v>
      </c>
      <c r="K230" t="n">
        <v>0</v>
      </c>
      <c r="L230" t="n">
        <v>0</v>
      </c>
      <c r="M230" t="n">
        <v>0</v>
      </c>
      <c r="N230" t="n">
        <v>0</v>
      </c>
      <c r="O230" t="n">
        <v>0</v>
      </c>
      <c r="P230" t="n">
        <v>0</v>
      </c>
      <c r="Q230" t="n">
        <v>0</v>
      </c>
      <c r="R230" s="2" t="inlineStr"/>
    </row>
    <row r="231" ht="15" customHeight="1">
      <c r="A231" t="inlineStr">
        <is>
          <t>A 2579-2022</t>
        </is>
      </c>
      <c r="B231" s="1" t="n">
        <v>44580</v>
      </c>
      <c r="C231" s="1" t="n">
        <v>46201</v>
      </c>
      <c r="D231" t="inlineStr">
        <is>
          <t>DALARNAS LÄN</t>
        </is>
      </c>
      <c r="E231" t="inlineStr">
        <is>
          <t>LEKSAND</t>
        </is>
      </c>
      <c r="G231" t="n">
        <v>0.3</v>
      </c>
      <c r="H231" t="n">
        <v>0</v>
      </c>
      <c r="I231" t="n">
        <v>0</v>
      </c>
      <c r="J231" t="n">
        <v>0</v>
      </c>
      <c r="K231" t="n">
        <v>0</v>
      </c>
      <c r="L231" t="n">
        <v>0</v>
      </c>
      <c r="M231" t="n">
        <v>0</v>
      </c>
      <c r="N231" t="n">
        <v>0</v>
      </c>
      <c r="O231" t="n">
        <v>0</v>
      </c>
      <c r="P231" t="n">
        <v>0</v>
      </c>
      <c r="Q231" t="n">
        <v>0</v>
      </c>
      <c r="R231" s="2" t="inlineStr"/>
    </row>
    <row r="232" ht="15" customHeight="1">
      <c r="A232" t="inlineStr">
        <is>
          <t>A 15173-2025</t>
        </is>
      </c>
      <c r="B232" s="1" t="n">
        <v>45744</v>
      </c>
      <c r="C232" s="1" t="n">
        <v>46201</v>
      </c>
      <c r="D232" t="inlineStr">
        <is>
          <t>DALARNAS LÄN</t>
        </is>
      </c>
      <c r="E232" t="inlineStr">
        <is>
          <t>LEKSAND</t>
        </is>
      </c>
      <c r="G232" t="n">
        <v>0.3</v>
      </c>
      <c r="H232" t="n">
        <v>0</v>
      </c>
      <c r="I232" t="n">
        <v>0</v>
      </c>
      <c r="J232" t="n">
        <v>0</v>
      </c>
      <c r="K232" t="n">
        <v>0</v>
      </c>
      <c r="L232" t="n">
        <v>0</v>
      </c>
      <c r="M232" t="n">
        <v>0</v>
      </c>
      <c r="N232" t="n">
        <v>0</v>
      </c>
      <c r="O232" t="n">
        <v>0</v>
      </c>
      <c r="P232" t="n">
        <v>0</v>
      </c>
      <c r="Q232" t="n">
        <v>0</v>
      </c>
      <c r="R232" s="2" t="inlineStr"/>
    </row>
    <row r="233" ht="15" customHeight="1">
      <c r="A233" t="inlineStr">
        <is>
          <t>A 57013-2023</t>
        </is>
      </c>
      <c r="B233" s="1" t="n">
        <v>45244</v>
      </c>
      <c r="C233" s="1" t="n">
        <v>46201</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23615-2024</t>
        </is>
      </c>
      <c r="B234" s="1" t="n">
        <v>45454</v>
      </c>
      <c r="C234" s="1" t="n">
        <v>46201</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25038-2023</t>
        </is>
      </c>
      <c r="B235" s="1" t="n">
        <v>45085</v>
      </c>
      <c r="C235" s="1" t="n">
        <v>46201</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61054-2023</t>
        </is>
      </c>
      <c r="B236" s="1" t="n">
        <v>45261</v>
      </c>
      <c r="C236" s="1" t="n">
        <v>46201</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61056-2023</t>
        </is>
      </c>
      <c r="B237" s="1" t="n">
        <v>45261</v>
      </c>
      <c r="C237" s="1" t="n">
        <v>46201</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22349-2024</t>
        </is>
      </c>
      <c r="B238" s="1" t="n">
        <v>45446</v>
      </c>
      <c r="C238" s="1" t="n">
        <v>46201</v>
      </c>
      <c r="D238" t="inlineStr">
        <is>
          <t>DALARNAS LÄN</t>
        </is>
      </c>
      <c r="E238" t="inlineStr">
        <is>
          <t>LEKSAND</t>
        </is>
      </c>
      <c r="G238" t="n">
        <v>0.6</v>
      </c>
      <c r="H238" t="n">
        <v>0</v>
      </c>
      <c r="I238" t="n">
        <v>0</v>
      </c>
      <c r="J238" t="n">
        <v>0</v>
      </c>
      <c r="K238" t="n">
        <v>0</v>
      </c>
      <c r="L238" t="n">
        <v>0</v>
      </c>
      <c r="M238" t="n">
        <v>0</v>
      </c>
      <c r="N238" t="n">
        <v>0</v>
      </c>
      <c r="O238" t="n">
        <v>0</v>
      </c>
      <c r="P238" t="n">
        <v>0</v>
      </c>
      <c r="Q238" t="n">
        <v>0</v>
      </c>
      <c r="R238" s="2" t="inlineStr"/>
    </row>
    <row r="239" ht="15" customHeight="1">
      <c r="A239" t="inlineStr">
        <is>
          <t>A 64516-2023</t>
        </is>
      </c>
      <c r="B239" s="1" t="n">
        <v>45280</v>
      </c>
      <c r="C239" s="1" t="n">
        <v>46201</v>
      </c>
      <c r="D239" t="inlineStr">
        <is>
          <t>DALARNAS LÄN</t>
        </is>
      </c>
      <c r="E239" t="inlineStr">
        <is>
          <t>LEKSAND</t>
        </is>
      </c>
      <c r="G239" t="n">
        <v>4.4</v>
      </c>
      <c r="H239" t="n">
        <v>0</v>
      </c>
      <c r="I239" t="n">
        <v>0</v>
      </c>
      <c r="J239" t="n">
        <v>0</v>
      </c>
      <c r="K239" t="n">
        <v>0</v>
      </c>
      <c r="L239" t="n">
        <v>0</v>
      </c>
      <c r="M239" t="n">
        <v>0</v>
      </c>
      <c r="N239" t="n">
        <v>0</v>
      </c>
      <c r="O239" t="n">
        <v>0</v>
      </c>
      <c r="P239" t="n">
        <v>0</v>
      </c>
      <c r="Q239" t="n">
        <v>0</v>
      </c>
      <c r="R239" s="2" t="inlineStr"/>
    </row>
    <row r="240" ht="15" customHeight="1">
      <c r="A240" t="inlineStr">
        <is>
          <t>A 45788-2021</t>
        </is>
      </c>
      <c r="B240" s="1" t="n">
        <v>44441</v>
      </c>
      <c r="C240" s="1" t="n">
        <v>46201</v>
      </c>
      <c r="D240" t="inlineStr">
        <is>
          <t>DALARNAS LÄN</t>
        </is>
      </c>
      <c r="E240" t="inlineStr">
        <is>
          <t>LEKSAND</t>
        </is>
      </c>
      <c r="G240" t="n">
        <v>3</v>
      </c>
      <c r="H240" t="n">
        <v>0</v>
      </c>
      <c r="I240" t="n">
        <v>0</v>
      </c>
      <c r="J240" t="n">
        <v>0</v>
      </c>
      <c r="K240" t="n">
        <v>0</v>
      </c>
      <c r="L240" t="n">
        <v>0</v>
      </c>
      <c r="M240" t="n">
        <v>0</v>
      </c>
      <c r="N240" t="n">
        <v>0</v>
      </c>
      <c r="O240" t="n">
        <v>0</v>
      </c>
      <c r="P240" t="n">
        <v>0</v>
      </c>
      <c r="Q240" t="n">
        <v>0</v>
      </c>
      <c r="R240" s="2" t="inlineStr"/>
    </row>
    <row r="241" ht="15" customHeight="1">
      <c r="A241" t="inlineStr">
        <is>
          <t>A 52977-2022</t>
        </is>
      </c>
      <c r="B241" s="1" t="n">
        <v>44875</v>
      </c>
      <c r="C241" s="1" t="n">
        <v>46201</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53717-2023</t>
        </is>
      </c>
      <c r="B242" s="1" t="n">
        <v>45230</v>
      </c>
      <c r="C242" s="1" t="n">
        <v>46201</v>
      </c>
      <c r="D242" t="inlineStr">
        <is>
          <t>DALARNAS LÄN</t>
        </is>
      </c>
      <c r="E242" t="inlineStr">
        <is>
          <t>LEKSAND</t>
        </is>
      </c>
      <c r="G242" t="n">
        <v>2.4</v>
      </c>
      <c r="H242" t="n">
        <v>0</v>
      </c>
      <c r="I242" t="n">
        <v>0</v>
      </c>
      <c r="J242" t="n">
        <v>0</v>
      </c>
      <c r="K242" t="n">
        <v>0</v>
      </c>
      <c r="L242" t="n">
        <v>0</v>
      </c>
      <c r="M242" t="n">
        <v>0</v>
      </c>
      <c r="N242" t="n">
        <v>0</v>
      </c>
      <c r="O242" t="n">
        <v>0</v>
      </c>
      <c r="P242" t="n">
        <v>0</v>
      </c>
      <c r="Q242" t="n">
        <v>0</v>
      </c>
      <c r="R242" s="2" t="inlineStr"/>
    </row>
    <row r="243" ht="15" customHeight="1">
      <c r="A243" t="inlineStr">
        <is>
          <t>A 11277-2025</t>
        </is>
      </c>
      <c r="B243" s="1" t="n">
        <v>45726</v>
      </c>
      <c r="C243" s="1" t="n">
        <v>46201</v>
      </c>
      <c r="D243" t="inlineStr">
        <is>
          <t>DALARNAS LÄN</t>
        </is>
      </c>
      <c r="E243" t="inlineStr">
        <is>
          <t>LEKSAND</t>
        </is>
      </c>
      <c r="G243" t="n">
        <v>2</v>
      </c>
      <c r="H243" t="n">
        <v>0</v>
      </c>
      <c r="I243" t="n">
        <v>0</v>
      </c>
      <c r="J243" t="n">
        <v>0</v>
      </c>
      <c r="K243" t="n">
        <v>0</v>
      </c>
      <c r="L243" t="n">
        <v>0</v>
      </c>
      <c r="M243" t="n">
        <v>0</v>
      </c>
      <c r="N243" t="n">
        <v>0</v>
      </c>
      <c r="O243" t="n">
        <v>0</v>
      </c>
      <c r="P243" t="n">
        <v>0</v>
      </c>
      <c r="Q243" t="n">
        <v>0</v>
      </c>
      <c r="R243" s="2" t="inlineStr"/>
    </row>
    <row r="244" ht="15" customHeight="1">
      <c r="A244" t="inlineStr">
        <is>
          <t>A 5570-2024</t>
        </is>
      </c>
      <c r="B244" s="1" t="n">
        <v>45334</v>
      </c>
      <c r="C244" s="1" t="n">
        <v>46201</v>
      </c>
      <c r="D244" t="inlineStr">
        <is>
          <t>DALARNAS LÄN</t>
        </is>
      </c>
      <c r="E244" t="inlineStr">
        <is>
          <t>LEKSAND</t>
        </is>
      </c>
      <c r="G244" t="n">
        <v>0.3</v>
      </c>
      <c r="H244" t="n">
        <v>0</v>
      </c>
      <c r="I244" t="n">
        <v>0</v>
      </c>
      <c r="J244" t="n">
        <v>0</v>
      </c>
      <c r="K244" t="n">
        <v>0</v>
      </c>
      <c r="L244" t="n">
        <v>0</v>
      </c>
      <c r="M244" t="n">
        <v>0</v>
      </c>
      <c r="N244" t="n">
        <v>0</v>
      </c>
      <c r="O244" t="n">
        <v>0</v>
      </c>
      <c r="P244" t="n">
        <v>0</v>
      </c>
      <c r="Q244" t="n">
        <v>0</v>
      </c>
      <c r="R244" s="2" t="inlineStr"/>
    </row>
    <row r="245" ht="15" customHeight="1">
      <c r="A245" t="inlineStr">
        <is>
          <t>A 11403-2023</t>
        </is>
      </c>
      <c r="B245" s="1" t="n">
        <v>44993</v>
      </c>
      <c r="C245" s="1" t="n">
        <v>46201</v>
      </c>
      <c r="D245" t="inlineStr">
        <is>
          <t>DALARNAS LÄN</t>
        </is>
      </c>
      <c r="E245" t="inlineStr">
        <is>
          <t>LEKSAND</t>
        </is>
      </c>
      <c r="G245" t="n">
        <v>0.1</v>
      </c>
      <c r="H245" t="n">
        <v>0</v>
      </c>
      <c r="I245" t="n">
        <v>0</v>
      </c>
      <c r="J245" t="n">
        <v>0</v>
      </c>
      <c r="K245" t="n">
        <v>0</v>
      </c>
      <c r="L245" t="n">
        <v>0</v>
      </c>
      <c r="M245" t="n">
        <v>0</v>
      </c>
      <c r="N245" t="n">
        <v>0</v>
      </c>
      <c r="O245" t="n">
        <v>0</v>
      </c>
      <c r="P245" t="n">
        <v>0</v>
      </c>
      <c r="Q245" t="n">
        <v>0</v>
      </c>
      <c r="R245" s="2" t="inlineStr"/>
    </row>
    <row r="246" ht="15" customHeight="1">
      <c r="A246" t="inlineStr">
        <is>
          <t>A 11004-2023</t>
        </is>
      </c>
      <c r="B246" s="1" t="n">
        <v>44986</v>
      </c>
      <c r="C246" s="1" t="n">
        <v>46201</v>
      </c>
      <c r="D246" t="inlineStr">
        <is>
          <t>DALARNAS LÄN</t>
        </is>
      </c>
      <c r="E246" t="inlineStr">
        <is>
          <t>LEKSAND</t>
        </is>
      </c>
      <c r="G246" t="n">
        <v>1.3</v>
      </c>
      <c r="H246" t="n">
        <v>0</v>
      </c>
      <c r="I246" t="n">
        <v>0</v>
      </c>
      <c r="J246" t="n">
        <v>0</v>
      </c>
      <c r="K246" t="n">
        <v>0</v>
      </c>
      <c r="L246" t="n">
        <v>0</v>
      </c>
      <c r="M246" t="n">
        <v>0</v>
      </c>
      <c r="N246" t="n">
        <v>0</v>
      </c>
      <c r="O246" t="n">
        <v>0</v>
      </c>
      <c r="P246" t="n">
        <v>0</v>
      </c>
      <c r="Q246" t="n">
        <v>0</v>
      </c>
      <c r="R246" s="2" t="inlineStr"/>
    </row>
    <row r="247" ht="15" customHeight="1">
      <c r="A247" t="inlineStr">
        <is>
          <t>A 32688-2024</t>
        </is>
      </c>
      <c r="B247" s="1" t="n">
        <v>45515</v>
      </c>
      <c r="C247" s="1" t="n">
        <v>46201</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43419-2024</t>
        </is>
      </c>
      <c r="B248" s="1" t="n">
        <v>45568</v>
      </c>
      <c r="C248" s="1" t="n">
        <v>46201</v>
      </c>
      <c r="D248" t="inlineStr">
        <is>
          <t>DALARNAS LÄN</t>
        </is>
      </c>
      <c r="E248" t="inlineStr">
        <is>
          <t>LEKSAND</t>
        </is>
      </c>
      <c r="G248" t="n">
        <v>0.4</v>
      </c>
      <c r="H248" t="n">
        <v>0</v>
      </c>
      <c r="I248" t="n">
        <v>0</v>
      </c>
      <c r="J248" t="n">
        <v>0</v>
      </c>
      <c r="K248" t="n">
        <v>0</v>
      </c>
      <c r="L248" t="n">
        <v>0</v>
      </c>
      <c r="M248" t="n">
        <v>0</v>
      </c>
      <c r="N248" t="n">
        <v>0</v>
      </c>
      <c r="O248" t="n">
        <v>0</v>
      </c>
      <c r="P248" t="n">
        <v>0</v>
      </c>
      <c r="Q248" t="n">
        <v>0</v>
      </c>
      <c r="R248" s="2" t="inlineStr"/>
    </row>
    <row r="249" ht="15" customHeight="1">
      <c r="A249" t="inlineStr">
        <is>
          <t>A 47854-2023</t>
        </is>
      </c>
      <c r="B249" s="1" t="n">
        <v>45198</v>
      </c>
      <c r="C249" s="1" t="n">
        <v>46201</v>
      </c>
      <c r="D249" t="inlineStr">
        <is>
          <t>DALARNAS LÄN</t>
        </is>
      </c>
      <c r="E249" t="inlineStr">
        <is>
          <t>LEKSAND</t>
        </is>
      </c>
      <c r="G249" t="n">
        <v>1</v>
      </c>
      <c r="H249" t="n">
        <v>0</v>
      </c>
      <c r="I249" t="n">
        <v>0</v>
      </c>
      <c r="J249" t="n">
        <v>0</v>
      </c>
      <c r="K249" t="n">
        <v>0</v>
      </c>
      <c r="L249" t="n">
        <v>0</v>
      </c>
      <c r="M249" t="n">
        <v>0</v>
      </c>
      <c r="N249" t="n">
        <v>0</v>
      </c>
      <c r="O249" t="n">
        <v>0</v>
      </c>
      <c r="P249" t="n">
        <v>0</v>
      </c>
      <c r="Q249" t="n">
        <v>0</v>
      </c>
      <c r="R249" s="2" t="inlineStr"/>
    </row>
    <row r="250" ht="15" customHeight="1">
      <c r="A250" t="inlineStr">
        <is>
          <t>A 29157-2022</t>
        </is>
      </c>
      <c r="B250" s="1" t="n">
        <v>44750</v>
      </c>
      <c r="C250" s="1" t="n">
        <v>46201</v>
      </c>
      <c r="D250" t="inlineStr">
        <is>
          <t>DALARNAS LÄN</t>
        </is>
      </c>
      <c r="E250" t="inlineStr">
        <is>
          <t>LEKSAND</t>
        </is>
      </c>
      <c r="F250" t="inlineStr">
        <is>
          <t>Bergvik skog väst AB</t>
        </is>
      </c>
      <c r="G250" t="n">
        <v>2.7</v>
      </c>
      <c r="H250" t="n">
        <v>0</v>
      </c>
      <c r="I250" t="n">
        <v>0</v>
      </c>
      <c r="J250" t="n">
        <v>0</v>
      </c>
      <c r="K250" t="n">
        <v>0</v>
      </c>
      <c r="L250" t="n">
        <v>0</v>
      </c>
      <c r="M250" t="n">
        <v>0</v>
      </c>
      <c r="N250" t="n">
        <v>0</v>
      </c>
      <c r="O250" t="n">
        <v>0</v>
      </c>
      <c r="P250" t="n">
        <v>0</v>
      </c>
      <c r="Q250" t="n">
        <v>0</v>
      </c>
      <c r="R250" s="2" t="inlineStr"/>
    </row>
    <row r="251" ht="15" customHeight="1">
      <c r="A251" t="inlineStr">
        <is>
          <t>A 11080-2023</t>
        </is>
      </c>
      <c r="B251" s="1" t="n">
        <v>44992</v>
      </c>
      <c r="C251" s="1" t="n">
        <v>46201</v>
      </c>
      <c r="D251" t="inlineStr">
        <is>
          <t>DALARNAS LÄN</t>
        </is>
      </c>
      <c r="E251" t="inlineStr">
        <is>
          <t>LEKSAND</t>
        </is>
      </c>
      <c r="G251" t="n">
        <v>6.9</v>
      </c>
      <c r="H251" t="n">
        <v>0</v>
      </c>
      <c r="I251" t="n">
        <v>0</v>
      </c>
      <c r="J251" t="n">
        <v>0</v>
      </c>
      <c r="K251" t="n">
        <v>0</v>
      </c>
      <c r="L251" t="n">
        <v>0</v>
      </c>
      <c r="M251" t="n">
        <v>0</v>
      </c>
      <c r="N251" t="n">
        <v>0</v>
      </c>
      <c r="O251" t="n">
        <v>0</v>
      </c>
      <c r="P251" t="n">
        <v>0</v>
      </c>
      <c r="Q251" t="n">
        <v>0</v>
      </c>
      <c r="R251" s="2" t="inlineStr"/>
    </row>
    <row r="252" ht="15" customHeight="1">
      <c r="A252" t="inlineStr">
        <is>
          <t>A 3737-2023</t>
        </is>
      </c>
      <c r="B252" s="1" t="n">
        <v>44951</v>
      </c>
      <c r="C252" s="1" t="n">
        <v>46201</v>
      </c>
      <c r="D252" t="inlineStr">
        <is>
          <t>DALARNAS LÄN</t>
        </is>
      </c>
      <c r="E252" t="inlineStr">
        <is>
          <t>LEKSAND</t>
        </is>
      </c>
      <c r="G252" t="n">
        <v>3.1</v>
      </c>
      <c r="H252" t="n">
        <v>0</v>
      </c>
      <c r="I252" t="n">
        <v>0</v>
      </c>
      <c r="J252" t="n">
        <v>0</v>
      </c>
      <c r="K252" t="n">
        <v>0</v>
      </c>
      <c r="L252" t="n">
        <v>0</v>
      </c>
      <c r="M252" t="n">
        <v>0</v>
      </c>
      <c r="N252" t="n">
        <v>0</v>
      </c>
      <c r="O252" t="n">
        <v>0</v>
      </c>
      <c r="P252" t="n">
        <v>0</v>
      </c>
      <c r="Q252" t="n">
        <v>0</v>
      </c>
      <c r="R252" s="2" t="inlineStr"/>
    </row>
    <row r="253" ht="15" customHeight="1">
      <c r="A253" t="inlineStr">
        <is>
          <t>A 43237-2024</t>
        </is>
      </c>
      <c r="B253" s="1" t="n">
        <v>45567</v>
      </c>
      <c r="C253" s="1" t="n">
        <v>46201</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28633-2023</t>
        </is>
      </c>
      <c r="B254" s="1" t="n">
        <v>45103</v>
      </c>
      <c r="C254" s="1" t="n">
        <v>46201</v>
      </c>
      <c r="D254" t="inlineStr">
        <is>
          <t>DALARNAS LÄN</t>
        </is>
      </c>
      <c r="E254" t="inlineStr">
        <is>
          <t>LEKSAND</t>
        </is>
      </c>
      <c r="F254" t="inlineStr">
        <is>
          <t>Bergvik skog väst AB</t>
        </is>
      </c>
      <c r="G254" t="n">
        <v>0.5</v>
      </c>
      <c r="H254" t="n">
        <v>0</v>
      </c>
      <c r="I254" t="n">
        <v>0</v>
      </c>
      <c r="J254" t="n">
        <v>0</v>
      </c>
      <c r="K254" t="n">
        <v>0</v>
      </c>
      <c r="L254" t="n">
        <v>0</v>
      </c>
      <c r="M254" t="n">
        <v>0</v>
      </c>
      <c r="N254" t="n">
        <v>0</v>
      </c>
      <c r="O254" t="n">
        <v>0</v>
      </c>
      <c r="P254" t="n">
        <v>0</v>
      </c>
      <c r="Q254" t="n">
        <v>0</v>
      </c>
      <c r="R254" s="2" t="inlineStr"/>
    </row>
    <row r="255" ht="15" customHeight="1">
      <c r="A255" t="inlineStr">
        <is>
          <t>A 320-2023</t>
        </is>
      </c>
      <c r="B255" s="1" t="n">
        <v>44929</v>
      </c>
      <c r="C255" s="1" t="n">
        <v>46201</v>
      </c>
      <c r="D255" t="inlineStr">
        <is>
          <t>DALARNAS LÄN</t>
        </is>
      </c>
      <c r="E255" t="inlineStr">
        <is>
          <t>LEKSAND</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7894-2025</t>
        </is>
      </c>
      <c r="B256" s="1" t="n">
        <v>45707</v>
      </c>
      <c r="C256" s="1" t="n">
        <v>46201</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9459-2023</t>
        </is>
      </c>
      <c r="B257" s="1" t="n">
        <v>44977</v>
      </c>
      <c r="C257" s="1" t="n">
        <v>46201</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30198-2024</t>
        </is>
      </c>
      <c r="B258" s="1" t="n">
        <v>45490</v>
      </c>
      <c r="C258" s="1" t="n">
        <v>46201</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59718-2023</t>
        </is>
      </c>
      <c r="B259" s="1" t="n">
        <v>45257</v>
      </c>
      <c r="C259" s="1" t="n">
        <v>46201</v>
      </c>
      <c r="D259" t="inlineStr">
        <is>
          <t>DALARNAS LÄN</t>
        </is>
      </c>
      <c r="E259" t="inlineStr">
        <is>
          <t>LEKSAND</t>
        </is>
      </c>
      <c r="G259" t="n">
        <v>2.2</v>
      </c>
      <c r="H259" t="n">
        <v>0</v>
      </c>
      <c r="I259" t="n">
        <v>0</v>
      </c>
      <c r="J259" t="n">
        <v>0</v>
      </c>
      <c r="K259" t="n">
        <v>0</v>
      </c>
      <c r="L259" t="n">
        <v>0</v>
      </c>
      <c r="M259" t="n">
        <v>0</v>
      </c>
      <c r="N259" t="n">
        <v>0</v>
      </c>
      <c r="O259" t="n">
        <v>0</v>
      </c>
      <c r="P259" t="n">
        <v>0</v>
      </c>
      <c r="Q259" t="n">
        <v>0</v>
      </c>
      <c r="R259" s="2" t="inlineStr"/>
    </row>
    <row r="260" ht="15" customHeight="1">
      <c r="A260" t="inlineStr">
        <is>
          <t>A 7395-2025</t>
        </is>
      </c>
      <c r="B260" s="1" t="n">
        <v>45705</v>
      </c>
      <c r="C260" s="1" t="n">
        <v>46201</v>
      </c>
      <c r="D260" t="inlineStr">
        <is>
          <t>DALARNAS LÄN</t>
        </is>
      </c>
      <c r="E260" t="inlineStr">
        <is>
          <t>LEKSAND</t>
        </is>
      </c>
      <c r="G260" t="n">
        <v>1.8</v>
      </c>
      <c r="H260" t="n">
        <v>0</v>
      </c>
      <c r="I260" t="n">
        <v>0</v>
      </c>
      <c r="J260" t="n">
        <v>0</v>
      </c>
      <c r="K260" t="n">
        <v>0</v>
      </c>
      <c r="L260" t="n">
        <v>0</v>
      </c>
      <c r="M260" t="n">
        <v>0</v>
      </c>
      <c r="N260" t="n">
        <v>0</v>
      </c>
      <c r="O260" t="n">
        <v>0</v>
      </c>
      <c r="P260" t="n">
        <v>0</v>
      </c>
      <c r="Q260" t="n">
        <v>0</v>
      </c>
      <c r="R260" s="2" t="inlineStr"/>
    </row>
    <row r="261" ht="15" customHeight="1">
      <c r="A261" t="inlineStr">
        <is>
          <t>A 40181-2023</t>
        </is>
      </c>
      <c r="B261" s="1" t="n">
        <v>45169</v>
      </c>
      <c r="C261" s="1" t="n">
        <v>46201</v>
      </c>
      <c r="D261" t="inlineStr">
        <is>
          <t>DALARNAS LÄN</t>
        </is>
      </c>
      <c r="E261" t="inlineStr">
        <is>
          <t>LEKSAND</t>
        </is>
      </c>
      <c r="G261" t="n">
        <v>2.8</v>
      </c>
      <c r="H261" t="n">
        <v>0</v>
      </c>
      <c r="I261" t="n">
        <v>0</v>
      </c>
      <c r="J261" t="n">
        <v>0</v>
      </c>
      <c r="K261" t="n">
        <v>0</v>
      </c>
      <c r="L261" t="n">
        <v>0</v>
      </c>
      <c r="M261" t="n">
        <v>0</v>
      </c>
      <c r="N261" t="n">
        <v>0</v>
      </c>
      <c r="O261" t="n">
        <v>0</v>
      </c>
      <c r="P261" t="n">
        <v>0</v>
      </c>
      <c r="Q261" t="n">
        <v>0</v>
      </c>
      <c r="R261" s="2" t="inlineStr"/>
    </row>
    <row r="262" ht="15" customHeight="1">
      <c r="A262" t="inlineStr">
        <is>
          <t>A 28965-2023</t>
        </is>
      </c>
      <c r="B262" s="1" t="n">
        <v>45104</v>
      </c>
      <c r="C262" s="1" t="n">
        <v>46201</v>
      </c>
      <c r="D262" t="inlineStr">
        <is>
          <t>DALARNAS LÄN</t>
        </is>
      </c>
      <c r="E262" t="inlineStr">
        <is>
          <t>LEKSAND</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11859-2024</t>
        </is>
      </c>
      <c r="B263" s="1" t="n">
        <v>45376</v>
      </c>
      <c r="C263" s="1" t="n">
        <v>46201</v>
      </c>
      <c r="D263" t="inlineStr">
        <is>
          <t>DALARNAS LÄN</t>
        </is>
      </c>
      <c r="E263" t="inlineStr">
        <is>
          <t>LEKSAND</t>
        </is>
      </c>
      <c r="G263" t="n">
        <v>2.1</v>
      </c>
      <c r="H263" t="n">
        <v>0</v>
      </c>
      <c r="I263" t="n">
        <v>0</v>
      </c>
      <c r="J263" t="n">
        <v>0</v>
      </c>
      <c r="K263" t="n">
        <v>0</v>
      </c>
      <c r="L263" t="n">
        <v>0</v>
      </c>
      <c r="M263" t="n">
        <v>0</v>
      </c>
      <c r="N263" t="n">
        <v>0</v>
      </c>
      <c r="O263" t="n">
        <v>0</v>
      </c>
      <c r="P263" t="n">
        <v>0</v>
      </c>
      <c r="Q263" t="n">
        <v>0</v>
      </c>
      <c r="R263" s="2" t="inlineStr"/>
    </row>
    <row r="264" ht="15" customHeight="1">
      <c r="A264" t="inlineStr">
        <is>
          <t>A 16293-2025</t>
        </is>
      </c>
      <c r="B264" s="1" t="n">
        <v>45751</v>
      </c>
      <c r="C264" s="1" t="n">
        <v>46201</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63544-2023</t>
        </is>
      </c>
      <c r="B265" s="1" t="n">
        <v>45275</v>
      </c>
      <c r="C265" s="1" t="n">
        <v>46201</v>
      </c>
      <c r="D265" t="inlineStr">
        <is>
          <t>DALARNAS LÄN</t>
        </is>
      </c>
      <c r="E265" t="inlineStr">
        <is>
          <t>LEKSAND</t>
        </is>
      </c>
      <c r="G265" t="n">
        <v>0.3</v>
      </c>
      <c r="H265" t="n">
        <v>0</v>
      </c>
      <c r="I265" t="n">
        <v>0</v>
      </c>
      <c r="J265" t="n">
        <v>0</v>
      </c>
      <c r="K265" t="n">
        <v>0</v>
      </c>
      <c r="L265" t="n">
        <v>0</v>
      </c>
      <c r="M265" t="n">
        <v>0</v>
      </c>
      <c r="N265" t="n">
        <v>0</v>
      </c>
      <c r="O265" t="n">
        <v>0</v>
      </c>
      <c r="P265" t="n">
        <v>0</v>
      </c>
      <c r="Q265" t="n">
        <v>0</v>
      </c>
      <c r="R265" s="2" t="inlineStr"/>
    </row>
    <row r="266" ht="15" customHeight="1">
      <c r="A266" t="inlineStr">
        <is>
          <t>A 51320-2023</t>
        </is>
      </c>
      <c r="B266" s="1" t="n">
        <v>45219</v>
      </c>
      <c r="C266" s="1" t="n">
        <v>46201</v>
      </c>
      <c r="D266" t="inlineStr">
        <is>
          <t>DALARNAS LÄN</t>
        </is>
      </c>
      <c r="E266" t="inlineStr">
        <is>
          <t>LEKSAND</t>
        </is>
      </c>
      <c r="G266" t="n">
        <v>2.1</v>
      </c>
      <c r="H266" t="n">
        <v>0</v>
      </c>
      <c r="I266" t="n">
        <v>0</v>
      </c>
      <c r="J266" t="n">
        <v>0</v>
      </c>
      <c r="K266" t="n">
        <v>0</v>
      </c>
      <c r="L266" t="n">
        <v>0</v>
      </c>
      <c r="M266" t="n">
        <v>0</v>
      </c>
      <c r="N266" t="n">
        <v>0</v>
      </c>
      <c r="O266" t="n">
        <v>0</v>
      </c>
      <c r="P266" t="n">
        <v>0</v>
      </c>
      <c r="Q266" t="n">
        <v>0</v>
      </c>
      <c r="R266" s="2" t="inlineStr"/>
    </row>
    <row r="267" ht="15" customHeight="1">
      <c r="A267" t="inlineStr">
        <is>
          <t>A 58877-2023</t>
        </is>
      </c>
      <c r="B267" s="1" t="n">
        <v>45252</v>
      </c>
      <c r="C267" s="1" t="n">
        <v>46201</v>
      </c>
      <c r="D267" t="inlineStr">
        <is>
          <t>DALARNAS LÄN</t>
        </is>
      </c>
      <c r="E267" t="inlineStr">
        <is>
          <t>LEKSAND</t>
        </is>
      </c>
      <c r="G267" t="n">
        <v>1.9</v>
      </c>
      <c r="H267" t="n">
        <v>0</v>
      </c>
      <c r="I267" t="n">
        <v>0</v>
      </c>
      <c r="J267" t="n">
        <v>0</v>
      </c>
      <c r="K267" t="n">
        <v>0</v>
      </c>
      <c r="L267" t="n">
        <v>0</v>
      </c>
      <c r="M267" t="n">
        <v>0</v>
      </c>
      <c r="N267" t="n">
        <v>0</v>
      </c>
      <c r="O267" t="n">
        <v>0</v>
      </c>
      <c r="P267" t="n">
        <v>0</v>
      </c>
      <c r="Q267" t="n">
        <v>0</v>
      </c>
      <c r="R267" s="2" t="inlineStr"/>
    </row>
    <row r="268" ht="15" customHeight="1">
      <c r="A268" t="inlineStr">
        <is>
          <t>A 28630-2023</t>
        </is>
      </c>
      <c r="B268" s="1" t="n">
        <v>45103</v>
      </c>
      <c r="C268" s="1" t="n">
        <v>46201</v>
      </c>
      <c r="D268" t="inlineStr">
        <is>
          <t>DALARNAS LÄN</t>
        </is>
      </c>
      <c r="E268" t="inlineStr">
        <is>
          <t>LEKSAND</t>
        </is>
      </c>
      <c r="F268" t="inlineStr">
        <is>
          <t>Bergvik skog väst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30860-2024</t>
        </is>
      </c>
      <c r="B269" s="1" t="n">
        <v>45497</v>
      </c>
      <c r="C269" s="1" t="n">
        <v>46201</v>
      </c>
      <c r="D269" t="inlineStr">
        <is>
          <t>DALARNAS LÄN</t>
        </is>
      </c>
      <c r="E269" t="inlineStr">
        <is>
          <t>LEKSAND</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6846-2023</t>
        </is>
      </c>
      <c r="B270" s="1" t="n">
        <v>44967</v>
      </c>
      <c r="C270" s="1" t="n">
        <v>46201</v>
      </c>
      <c r="D270" t="inlineStr">
        <is>
          <t>DALARNAS LÄN</t>
        </is>
      </c>
      <c r="E270" t="inlineStr">
        <is>
          <t>LEKSAND</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51377-2023</t>
        </is>
      </c>
      <c r="B271" s="1" t="n">
        <v>45219</v>
      </c>
      <c r="C271" s="1" t="n">
        <v>46201</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11678-2023</t>
        </is>
      </c>
      <c r="B272" s="1" t="n">
        <v>44994</v>
      </c>
      <c r="C272" s="1" t="n">
        <v>46201</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1775-2022</t>
        </is>
      </c>
      <c r="B273" s="1" t="n">
        <v>44574</v>
      </c>
      <c r="C273" s="1" t="n">
        <v>46201</v>
      </c>
      <c r="D273" t="inlineStr">
        <is>
          <t>DALARNAS LÄN</t>
        </is>
      </c>
      <c r="E273" t="inlineStr">
        <is>
          <t>LEKSAND</t>
        </is>
      </c>
      <c r="G273" t="n">
        <v>2</v>
      </c>
      <c r="H273" t="n">
        <v>0</v>
      </c>
      <c r="I273" t="n">
        <v>0</v>
      </c>
      <c r="J273" t="n">
        <v>0</v>
      </c>
      <c r="K273" t="n">
        <v>0</v>
      </c>
      <c r="L273" t="n">
        <v>0</v>
      </c>
      <c r="M273" t="n">
        <v>0</v>
      </c>
      <c r="N273" t="n">
        <v>0</v>
      </c>
      <c r="O273" t="n">
        <v>0</v>
      </c>
      <c r="P273" t="n">
        <v>0</v>
      </c>
      <c r="Q273" t="n">
        <v>0</v>
      </c>
      <c r="R273" s="2" t="inlineStr"/>
    </row>
    <row r="274" ht="15" customHeight="1">
      <c r="A274" t="inlineStr">
        <is>
          <t>A 56753-2023</t>
        </is>
      </c>
      <c r="B274" s="1" t="n">
        <v>45244</v>
      </c>
      <c r="C274" s="1" t="n">
        <v>46201</v>
      </c>
      <c r="D274" t="inlineStr">
        <is>
          <t>DALARNAS LÄN</t>
        </is>
      </c>
      <c r="E274" t="inlineStr">
        <is>
          <t>LEKSAND</t>
        </is>
      </c>
      <c r="G274" t="n">
        <v>0.5</v>
      </c>
      <c r="H274" t="n">
        <v>0</v>
      </c>
      <c r="I274" t="n">
        <v>0</v>
      </c>
      <c r="J274" t="n">
        <v>0</v>
      </c>
      <c r="K274" t="n">
        <v>0</v>
      </c>
      <c r="L274" t="n">
        <v>0</v>
      </c>
      <c r="M274" t="n">
        <v>0</v>
      </c>
      <c r="N274" t="n">
        <v>0</v>
      </c>
      <c r="O274" t="n">
        <v>0</v>
      </c>
      <c r="P274" t="n">
        <v>0</v>
      </c>
      <c r="Q274" t="n">
        <v>0</v>
      </c>
      <c r="R274" s="2" t="inlineStr"/>
    </row>
    <row r="275" ht="15" customHeight="1">
      <c r="A275" t="inlineStr">
        <is>
          <t>A 61252-2023</t>
        </is>
      </c>
      <c r="B275" s="1" t="n">
        <v>45261</v>
      </c>
      <c r="C275" s="1" t="n">
        <v>46201</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52572-2024</t>
        </is>
      </c>
      <c r="B276" s="1" t="n">
        <v>45609</v>
      </c>
      <c r="C276" s="1" t="n">
        <v>46201</v>
      </c>
      <c r="D276" t="inlineStr">
        <is>
          <t>DALARNAS LÄN</t>
        </is>
      </c>
      <c r="E276" t="inlineStr">
        <is>
          <t>LEKSAND</t>
        </is>
      </c>
      <c r="G276" t="n">
        <v>0.7</v>
      </c>
      <c r="H276" t="n">
        <v>0</v>
      </c>
      <c r="I276" t="n">
        <v>0</v>
      </c>
      <c r="J276" t="n">
        <v>0</v>
      </c>
      <c r="K276" t="n">
        <v>0</v>
      </c>
      <c r="L276" t="n">
        <v>0</v>
      </c>
      <c r="M276" t="n">
        <v>0</v>
      </c>
      <c r="N276" t="n">
        <v>0</v>
      </c>
      <c r="O276" t="n">
        <v>0</v>
      </c>
      <c r="P276" t="n">
        <v>0</v>
      </c>
      <c r="Q276" t="n">
        <v>0</v>
      </c>
      <c r="R276" s="2" t="inlineStr"/>
    </row>
    <row r="277" ht="15" customHeight="1">
      <c r="A277" t="inlineStr">
        <is>
          <t>A 8755-2023</t>
        </is>
      </c>
      <c r="B277" s="1" t="n">
        <v>44978</v>
      </c>
      <c r="C277" s="1" t="n">
        <v>46201</v>
      </c>
      <c r="D277" t="inlineStr">
        <is>
          <t>DALARNAS LÄN</t>
        </is>
      </c>
      <c r="E277" t="inlineStr">
        <is>
          <t>LEKSAND</t>
        </is>
      </c>
      <c r="G277" t="n">
        <v>2.3</v>
      </c>
      <c r="H277" t="n">
        <v>0</v>
      </c>
      <c r="I277" t="n">
        <v>0</v>
      </c>
      <c r="J277" t="n">
        <v>0</v>
      </c>
      <c r="K277" t="n">
        <v>0</v>
      </c>
      <c r="L277" t="n">
        <v>0</v>
      </c>
      <c r="M277" t="n">
        <v>0</v>
      </c>
      <c r="N277" t="n">
        <v>0</v>
      </c>
      <c r="O277" t="n">
        <v>0</v>
      </c>
      <c r="P277" t="n">
        <v>0</v>
      </c>
      <c r="Q277" t="n">
        <v>0</v>
      </c>
      <c r="R277" s="2" t="inlineStr"/>
    </row>
    <row r="278" ht="15" customHeight="1">
      <c r="A278" t="inlineStr">
        <is>
          <t>A 41853-2023</t>
        </is>
      </c>
      <c r="B278" s="1" t="n">
        <v>45176</v>
      </c>
      <c r="C278" s="1" t="n">
        <v>46201</v>
      </c>
      <c r="D278" t="inlineStr">
        <is>
          <t>DALARNAS LÄN</t>
        </is>
      </c>
      <c r="E278" t="inlineStr">
        <is>
          <t>LEKSAND</t>
        </is>
      </c>
      <c r="G278" t="n">
        <v>1</v>
      </c>
      <c r="H278" t="n">
        <v>0</v>
      </c>
      <c r="I278" t="n">
        <v>0</v>
      </c>
      <c r="J278" t="n">
        <v>0</v>
      </c>
      <c r="K278" t="n">
        <v>0</v>
      </c>
      <c r="L278" t="n">
        <v>0</v>
      </c>
      <c r="M278" t="n">
        <v>0</v>
      </c>
      <c r="N278" t="n">
        <v>0</v>
      </c>
      <c r="O278" t="n">
        <v>0</v>
      </c>
      <c r="P278" t="n">
        <v>0</v>
      </c>
      <c r="Q278" t="n">
        <v>0</v>
      </c>
      <c r="R278" s="2" t="inlineStr"/>
    </row>
    <row r="279" ht="15" customHeight="1">
      <c r="A279" t="inlineStr">
        <is>
          <t>A 27520-2023</t>
        </is>
      </c>
      <c r="B279" s="1" t="n">
        <v>45097</v>
      </c>
      <c r="C279" s="1" t="n">
        <v>46201</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46505-2023</t>
        </is>
      </c>
      <c r="B280" s="1" t="n">
        <v>45197</v>
      </c>
      <c r="C280" s="1" t="n">
        <v>46201</v>
      </c>
      <c r="D280" t="inlineStr">
        <is>
          <t>DALARNAS LÄN</t>
        </is>
      </c>
      <c r="E280" t="inlineStr">
        <is>
          <t>LEKSAND</t>
        </is>
      </c>
      <c r="G280" t="n">
        <v>2.3</v>
      </c>
      <c r="H280" t="n">
        <v>0</v>
      </c>
      <c r="I280" t="n">
        <v>0</v>
      </c>
      <c r="J280" t="n">
        <v>0</v>
      </c>
      <c r="K280" t="n">
        <v>0</v>
      </c>
      <c r="L280" t="n">
        <v>0</v>
      </c>
      <c r="M280" t="n">
        <v>0</v>
      </c>
      <c r="N280" t="n">
        <v>0</v>
      </c>
      <c r="O280" t="n">
        <v>0</v>
      </c>
      <c r="P280" t="n">
        <v>0</v>
      </c>
      <c r="Q280" t="n">
        <v>0</v>
      </c>
      <c r="R280" s="2" t="inlineStr"/>
    </row>
    <row r="281" ht="15" customHeight="1">
      <c r="A281" t="inlineStr">
        <is>
          <t>A 49405-2024</t>
        </is>
      </c>
      <c r="B281" s="1" t="n">
        <v>45595</v>
      </c>
      <c r="C281" s="1" t="n">
        <v>46201</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58619-2022</t>
        </is>
      </c>
      <c r="B282" s="1" t="n">
        <v>44902</v>
      </c>
      <c r="C282" s="1" t="n">
        <v>46201</v>
      </c>
      <c r="D282" t="inlineStr">
        <is>
          <t>DALARNAS LÄN</t>
        </is>
      </c>
      <c r="E282" t="inlineStr">
        <is>
          <t>LEKSAND</t>
        </is>
      </c>
      <c r="G282" t="n">
        <v>0.9</v>
      </c>
      <c r="H282" t="n">
        <v>0</v>
      </c>
      <c r="I282" t="n">
        <v>0</v>
      </c>
      <c r="J282" t="n">
        <v>0</v>
      </c>
      <c r="K282" t="n">
        <v>0</v>
      </c>
      <c r="L282" t="n">
        <v>0</v>
      </c>
      <c r="M282" t="n">
        <v>0</v>
      </c>
      <c r="N282" t="n">
        <v>0</v>
      </c>
      <c r="O282" t="n">
        <v>0</v>
      </c>
      <c r="P282" t="n">
        <v>0</v>
      </c>
      <c r="Q282" t="n">
        <v>0</v>
      </c>
      <c r="R282" s="2" t="inlineStr"/>
    </row>
    <row r="283" ht="15" customHeight="1">
      <c r="A283" t="inlineStr">
        <is>
          <t>A 17078-2023</t>
        </is>
      </c>
      <c r="B283" s="1" t="n">
        <v>45034</v>
      </c>
      <c r="C283" s="1" t="n">
        <v>46201</v>
      </c>
      <c r="D283" t="inlineStr">
        <is>
          <t>DALARNAS LÄN</t>
        </is>
      </c>
      <c r="E283" t="inlineStr">
        <is>
          <t>LEKSAND</t>
        </is>
      </c>
      <c r="G283" t="n">
        <v>0.5</v>
      </c>
      <c r="H283" t="n">
        <v>0</v>
      </c>
      <c r="I283" t="n">
        <v>0</v>
      </c>
      <c r="J283" t="n">
        <v>0</v>
      </c>
      <c r="K283" t="n">
        <v>0</v>
      </c>
      <c r="L283" t="n">
        <v>0</v>
      </c>
      <c r="M283" t="n">
        <v>0</v>
      </c>
      <c r="N283" t="n">
        <v>0</v>
      </c>
      <c r="O283" t="n">
        <v>0</v>
      </c>
      <c r="P283" t="n">
        <v>0</v>
      </c>
      <c r="Q283" t="n">
        <v>0</v>
      </c>
      <c r="R283" s="2" t="inlineStr"/>
    </row>
    <row r="284" ht="15" customHeight="1">
      <c r="A284" t="inlineStr">
        <is>
          <t>A 8045-2024</t>
        </is>
      </c>
      <c r="B284" s="1" t="n">
        <v>45351</v>
      </c>
      <c r="C284" s="1" t="n">
        <v>46201</v>
      </c>
      <c r="D284" t="inlineStr">
        <is>
          <t>DALARNAS LÄN</t>
        </is>
      </c>
      <c r="E284" t="inlineStr">
        <is>
          <t>LEKSAND</t>
        </is>
      </c>
      <c r="G284" t="n">
        <v>6.7</v>
      </c>
      <c r="H284" t="n">
        <v>0</v>
      </c>
      <c r="I284" t="n">
        <v>0</v>
      </c>
      <c r="J284" t="n">
        <v>0</v>
      </c>
      <c r="K284" t="n">
        <v>0</v>
      </c>
      <c r="L284" t="n">
        <v>0</v>
      </c>
      <c r="M284" t="n">
        <v>0</v>
      </c>
      <c r="N284" t="n">
        <v>0</v>
      </c>
      <c r="O284" t="n">
        <v>0</v>
      </c>
      <c r="P284" t="n">
        <v>0</v>
      </c>
      <c r="Q284" t="n">
        <v>0</v>
      </c>
      <c r="R284" s="2" t="inlineStr"/>
    </row>
    <row r="285" ht="15" customHeight="1">
      <c r="A285" t="inlineStr">
        <is>
          <t>A 33001-2023</t>
        </is>
      </c>
      <c r="B285" s="1" t="n">
        <v>45125</v>
      </c>
      <c r="C285" s="1" t="n">
        <v>46201</v>
      </c>
      <c r="D285" t="inlineStr">
        <is>
          <t>DALARNAS LÄN</t>
        </is>
      </c>
      <c r="E285" t="inlineStr">
        <is>
          <t>LEKSAND</t>
        </is>
      </c>
      <c r="F285" t="inlineStr">
        <is>
          <t>Bergvik skog väst AB</t>
        </is>
      </c>
      <c r="G285" t="n">
        <v>3</v>
      </c>
      <c r="H285" t="n">
        <v>0</v>
      </c>
      <c r="I285" t="n">
        <v>0</v>
      </c>
      <c r="J285" t="n">
        <v>0</v>
      </c>
      <c r="K285" t="n">
        <v>0</v>
      </c>
      <c r="L285" t="n">
        <v>0</v>
      </c>
      <c r="M285" t="n">
        <v>0</v>
      </c>
      <c r="N285" t="n">
        <v>0</v>
      </c>
      <c r="O285" t="n">
        <v>0</v>
      </c>
      <c r="P285" t="n">
        <v>0</v>
      </c>
      <c r="Q285" t="n">
        <v>0</v>
      </c>
      <c r="R285" s="2" t="inlineStr"/>
    </row>
    <row r="286" ht="15" customHeight="1">
      <c r="A286" t="inlineStr">
        <is>
          <t>A 1946-2024</t>
        </is>
      </c>
      <c r="B286" s="1" t="n">
        <v>45308</v>
      </c>
      <c r="C286" s="1" t="n">
        <v>46201</v>
      </c>
      <c r="D286" t="inlineStr">
        <is>
          <t>DALARNAS LÄN</t>
        </is>
      </c>
      <c r="E286" t="inlineStr">
        <is>
          <t>LEKSAND</t>
        </is>
      </c>
      <c r="G286" t="n">
        <v>2.3</v>
      </c>
      <c r="H286" t="n">
        <v>0</v>
      </c>
      <c r="I286" t="n">
        <v>0</v>
      </c>
      <c r="J286" t="n">
        <v>0</v>
      </c>
      <c r="K286" t="n">
        <v>0</v>
      </c>
      <c r="L286" t="n">
        <v>0</v>
      </c>
      <c r="M286" t="n">
        <v>0</v>
      </c>
      <c r="N286" t="n">
        <v>0</v>
      </c>
      <c r="O286" t="n">
        <v>0</v>
      </c>
      <c r="P286" t="n">
        <v>0</v>
      </c>
      <c r="Q286" t="n">
        <v>0</v>
      </c>
      <c r="R286" s="2" t="inlineStr"/>
    </row>
    <row r="287" ht="15" customHeight="1">
      <c r="A287" t="inlineStr">
        <is>
          <t>A 60024-2023</t>
        </is>
      </c>
      <c r="B287" s="1" t="n">
        <v>45258</v>
      </c>
      <c r="C287" s="1" t="n">
        <v>46201</v>
      </c>
      <c r="D287" t="inlineStr">
        <is>
          <t>DALARNAS LÄN</t>
        </is>
      </c>
      <c r="E287" t="inlineStr">
        <is>
          <t>LEKSAND</t>
        </is>
      </c>
      <c r="G287" t="n">
        <v>4.2</v>
      </c>
      <c r="H287" t="n">
        <v>0</v>
      </c>
      <c r="I287" t="n">
        <v>0</v>
      </c>
      <c r="J287" t="n">
        <v>0</v>
      </c>
      <c r="K287" t="n">
        <v>0</v>
      </c>
      <c r="L287" t="n">
        <v>0</v>
      </c>
      <c r="M287" t="n">
        <v>0</v>
      </c>
      <c r="N287" t="n">
        <v>0</v>
      </c>
      <c r="O287" t="n">
        <v>0</v>
      </c>
      <c r="P287" t="n">
        <v>0</v>
      </c>
      <c r="Q287" t="n">
        <v>0</v>
      </c>
      <c r="R287" s="2" t="inlineStr"/>
    </row>
    <row r="288" ht="15" customHeight="1">
      <c r="A288" t="inlineStr">
        <is>
          <t>A 19330-2025</t>
        </is>
      </c>
      <c r="B288" s="1" t="n">
        <v>45769</v>
      </c>
      <c r="C288" s="1" t="n">
        <v>46201</v>
      </c>
      <c r="D288" t="inlineStr">
        <is>
          <t>DALARNAS LÄN</t>
        </is>
      </c>
      <c r="E288" t="inlineStr">
        <is>
          <t>LEKSAND</t>
        </is>
      </c>
      <c r="G288" t="n">
        <v>1.6</v>
      </c>
      <c r="H288" t="n">
        <v>0</v>
      </c>
      <c r="I288" t="n">
        <v>0</v>
      </c>
      <c r="J288" t="n">
        <v>0</v>
      </c>
      <c r="K288" t="n">
        <v>0</v>
      </c>
      <c r="L288" t="n">
        <v>0</v>
      </c>
      <c r="M288" t="n">
        <v>0</v>
      </c>
      <c r="N288" t="n">
        <v>0</v>
      </c>
      <c r="O288" t="n">
        <v>0</v>
      </c>
      <c r="P288" t="n">
        <v>0</v>
      </c>
      <c r="Q288" t="n">
        <v>0</v>
      </c>
      <c r="R288" s="2" t="inlineStr"/>
    </row>
    <row r="289" ht="15" customHeight="1">
      <c r="A289" t="inlineStr">
        <is>
          <t>A 45943-2022</t>
        </is>
      </c>
      <c r="B289" s="1" t="n">
        <v>44846</v>
      </c>
      <c r="C289" s="1" t="n">
        <v>46201</v>
      </c>
      <c r="D289" t="inlineStr">
        <is>
          <t>DALARNAS LÄN</t>
        </is>
      </c>
      <c r="E289" t="inlineStr">
        <is>
          <t>LEKSAND</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28913-2024</t>
        </is>
      </c>
      <c r="B290" s="1" t="n">
        <v>45480</v>
      </c>
      <c r="C290" s="1" t="n">
        <v>46201</v>
      </c>
      <c r="D290" t="inlineStr">
        <is>
          <t>DALARNAS LÄN</t>
        </is>
      </c>
      <c r="E290" t="inlineStr">
        <is>
          <t>LEKSAND</t>
        </is>
      </c>
      <c r="G290" t="n">
        <v>1.5</v>
      </c>
      <c r="H290" t="n">
        <v>0</v>
      </c>
      <c r="I290" t="n">
        <v>0</v>
      </c>
      <c r="J290" t="n">
        <v>0</v>
      </c>
      <c r="K290" t="n">
        <v>0</v>
      </c>
      <c r="L290" t="n">
        <v>0</v>
      </c>
      <c r="M290" t="n">
        <v>0</v>
      </c>
      <c r="N290" t="n">
        <v>0</v>
      </c>
      <c r="O290" t="n">
        <v>0</v>
      </c>
      <c r="P290" t="n">
        <v>0</v>
      </c>
      <c r="Q290" t="n">
        <v>0</v>
      </c>
      <c r="R290" s="2" t="inlineStr"/>
    </row>
    <row r="291" ht="15" customHeight="1">
      <c r="A291" t="inlineStr">
        <is>
          <t>A 14617-2024</t>
        </is>
      </c>
      <c r="B291" s="1" t="n">
        <v>45397</v>
      </c>
      <c r="C291" s="1" t="n">
        <v>46201</v>
      </c>
      <c r="D291" t="inlineStr">
        <is>
          <t>DALARNAS LÄN</t>
        </is>
      </c>
      <c r="E291" t="inlineStr">
        <is>
          <t>LEKSAND</t>
        </is>
      </c>
      <c r="G291" t="n">
        <v>0.2</v>
      </c>
      <c r="H291" t="n">
        <v>0</v>
      </c>
      <c r="I291" t="n">
        <v>0</v>
      </c>
      <c r="J291" t="n">
        <v>0</v>
      </c>
      <c r="K291" t="n">
        <v>0</v>
      </c>
      <c r="L291" t="n">
        <v>0</v>
      </c>
      <c r="M291" t="n">
        <v>0</v>
      </c>
      <c r="N291" t="n">
        <v>0</v>
      </c>
      <c r="O291" t="n">
        <v>0</v>
      </c>
      <c r="P291" t="n">
        <v>0</v>
      </c>
      <c r="Q291" t="n">
        <v>0</v>
      </c>
      <c r="R291" s="2" t="inlineStr"/>
    </row>
    <row r="292" ht="15" customHeight="1">
      <c r="A292" t="inlineStr">
        <is>
          <t>A 11015-2022</t>
        </is>
      </c>
      <c r="B292" s="1" t="n">
        <v>44628</v>
      </c>
      <c r="C292" s="1" t="n">
        <v>46201</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60692-2023</t>
        </is>
      </c>
      <c r="B293" s="1" t="n">
        <v>45260</v>
      </c>
      <c r="C293" s="1" t="n">
        <v>46201</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7467-2023</t>
        </is>
      </c>
      <c r="B294" s="1" t="n">
        <v>44966</v>
      </c>
      <c r="C294" s="1" t="n">
        <v>46201</v>
      </c>
      <c r="D294" t="inlineStr">
        <is>
          <t>DALARNAS LÄN</t>
        </is>
      </c>
      <c r="E294" t="inlineStr">
        <is>
          <t>LEKSAND</t>
        </is>
      </c>
      <c r="G294" t="n">
        <v>2.4</v>
      </c>
      <c r="H294" t="n">
        <v>0</v>
      </c>
      <c r="I294" t="n">
        <v>0</v>
      </c>
      <c r="J294" t="n">
        <v>0</v>
      </c>
      <c r="K294" t="n">
        <v>0</v>
      </c>
      <c r="L294" t="n">
        <v>0</v>
      </c>
      <c r="M294" t="n">
        <v>0</v>
      </c>
      <c r="N294" t="n">
        <v>0</v>
      </c>
      <c r="O294" t="n">
        <v>0</v>
      </c>
      <c r="P294" t="n">
        <v>0</v>
      </c>
      <c r="Q294" t="n">
        <v>0</v>
      </c>
      <c r="R294" s="2" t="inlineStr"/>
    </row>
    <row r="295" ht="15" customHeight="1">
      <c r="A295" t="inlineStr">
        <is>
          <t>A 40752-2024</t>
        </is>
      </c>
      <c r="B295" s="1" t="n">
        <v>45558</v>
      </c>
      <c r="C295" s="1" t="n">
        <v>46201</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44491-2023</t>
        </is>
      </c>
      <c r="B296" s="1" t="n">
        <v>45183</v>
      </c>
      <c r="C296" s="1" t="n">
        <v>46201</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15882-2023</t>
        </is>
      </c>
      <c r="B297" s="1" t="n">
        <v>45022</v>
      </c>
      <c r="C297" s="1" t="n">
        <v>46201</v>
      </c>
      <c r="D297" t="inlineStr">
        <is>
          <t>DALARNAS LÄN</t>
        </is>
      </c>
      <c r="E297" t="inlineStr">
        <is>
          <t>LEKSAND</t>
        </is>
      </c>
      <c r="G297" t="n">
        <v>0.1</v>
      </c>
      <c r="H297" t="n">
        <v>0</v>
      </c>
      <c r="I297" t="n">
        <v>0</v>
      </c>
      <c r="J297" t="n">
        <v>0</v>
      </c>
      <c r="K297" t="n">
        <v>0</v>
      </c>
      <c r="L297" t="n">
        <v>0</v>
      </c>
      <c r="M297" t="n">
        <v>0</v>
      </c>
      <c r="N297" t="n">
        <v>0</v>
      </c>
      <c r="O297" t="n">
        <v>0</v>
      </c>
      <c r="P297" t="n">
        <v>0</v>
      </c>
      <c r="Q297" t="n">
        <v>0</v>
      </c>
      <c r="R297" s="2" t="inlineStr"/>
    </row>
    <row r="298" ht="15" customHeight="1">
      <c r="A298" t="inlineStr">
        <is>
          <t>A 61614-2023</t>
        </is>
      </c>
      <c r="B298" s="1" t="n">
        <v>45261</v>
      </c>
      <c r="C298" s="1" t="n">
        <v>46201</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19550-2023</t>
        </is>
      </c>
      <c r="B299" s="1" t="n">
        <v>45049</v>
      </c>
      <c r="C299" s="1" t="n">
        <v>46201</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5583-2024</t>
        </is>
      </c>
      <c r="B300" s="1" t="n">
        <v>45334</v>
      </c>
      <c r="C300" s="1" t="n">
        <v>46201</v>
      </c>
      <c r="D300" t="inlineStr">
        <is>
          <t>DALARNAS LÄN</t>
        </is>
      </c>
      <c r="E300" t="inlineStr">
        <is>
          <t>LEKSAND</t>
        </is>
      </c>
      <c r="F300" t="inlineStr">
        <is>
          <t>Kyrkan</t>
        </is>
      </c>
      <c r="G300" t="n">
        <v>0.4</v>
      </c>
      <c r="H300" t="n">
        <v>0</v>
      </c>
      <c r="I300" t="n">
        <v>0</v>
      </c>
      <c r="J300" t="n">
        <v>0</v>
      </c>
      <c r="K300" t="n">
        <v>0</v>
      </c>
      <c r="L300" t="n">
        <v>0</v>
      </c>
      <c r="M300" t="n">
        <v>0</v>
      </c>
      <c r="N300" t="n">
        <v>0</v>
      </c>
      <c r="O300" t="n">
        <v>0</v>
      </c>
      <c r="P300" t="n">
        <v>0</v>
      </c>
      <c r="Q300" t="n">
        <v>0</v>
      </c>
      <c r="R300" s="2" t="inlineStr"/>
    </row>
    <row r="301" ht="15" customHeight="1">
      <c r="A301" t="inlineStr">
        <is>
          <t>A 51480-2022</t>
        </is>
      </c>
      <c r="B301" s="1" t="n">
        <v>44869</v>
      </c>
      <c r="C301" s="1" t="n">
        <v>46201</v>
      </c>
      <c r="D301" t="inlineStr">
        <is>
          <t>DALARNAS LÄN</t>
        </is>
      </c>
      <c r="E301" t="inlineStr">
        <is>
          <t>LEKSAND</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43693-2022</t>
        </is>
      </c>
      <c r="B302" s="1" t="n">
        <v>44837</v>
      </c>
      <c r="C302" s="1" t="n">
        <v>46201</v>
      </c>
      <c r="D302" t="inlineStr">
        <is>
          <t>DALARNAS LÄN</t>
        </is>
      </c>
      <c r="E302" t="inlineStr">
        <is>
          <t>LEKSAND</t>
        </is>
      </c>
      <c r="G302" t="n">
        <v>2.7</v>
      </c>
      <c r="H302" t="n">
        <v>0</v>
      </c>
      <c r="I302" t="n">
        <v>0</v>
      </c>
      <c r="J302" t="n">
        <v>0</v>
      </c>
      <c r="K302" t="n">
        <v>0</v>
      </c>
      <c r="L302" t="n">
        <v>0</v>
      </c>
      <c r="M302" t="n">
        <v>0</v>
      </c>
      <c r="N302" t="n">
        <v>0</v>
      </c>
      <c r="O302" t="n">
        <v>0</v>
      </c>
      <c r="P302" t="n">
        <v>0</v>
      </c>
      <c r="Q302" t="n">
        <v>0</v>
      </c>
      <c r="R302" s="2" t="inlineStr"/>
    </row>
    <row r="303" ht="15" customHeight="1">
      <c r="A303" t="inlineStr">
        <is>
          <t>A 51857-2022</t>
        </is>
      </c>
      <c r="B303" s="1" t="n">
        <v>44867</v>
      </c>
      <c r="C303" s="1" t="n">
        <v>46201</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3352-2024</t>
        </is>
      </c>
      <c r="B304" s="1" t="n">
        <v>45317</v>
      </c>
      <c r="C304" s="1" t="n">
        <v>46201</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1267-2025</t>
        </is>
      </c>
      <c r="B305" s="1" t="n">
        <v>45667</v>
      </c>
      <c r="C305" s="1" t="n">
        <v>46201</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13165-2023</t>
        </is>
      </c>
      <c r="B306" s="1" t="n">
        <v>45002</v>
      </c>
      <c r="C306" s="1" t="n">
        <v>46201</v>
      </c>
      <c r="D306" t="inlineStr">
        <is>
          <t>DALARNAS LÄN</t>
        </is>
      </c>
      <c r="E306" t="inlineStr">
        <is>
          <t>LEKSAND</t>
        </is>
      </c>
      <c r="G306" t="n">
        <v>2.4</v>
      </c>
      <c r="H306" t="n">
        <v>0</v>
      </c>
      <c r="I306" t="n">
        <v>0</v>
      </c>
      <c r="J306" t="n">
        <v>0</v>
      </c>
      <c r="K306" t="n">
        <v>0</v>
      </c>
      <c r="L306" t="n">
        <v>0</v>
      </c>
      <c r="M306" t="n">
        <v>0</v>
      </c>
      <c r="N306" t="n">
        <v>0</v>
      </c>
      <c r="O306" t="n">
        <v>0</v>
      </c>
      <c r="P306" t="n">
        <v>0</v>
      </c>
      <c r="Q306" t="n">
        <v>0</v>
      </c>
      <c r="R306" s="2" t="inlineStr"/>
    </row>
    <row r="307" ht="15" customHeight="1">
      <c r="A307" t="inlineStr">
        <is>
          <t>A 39620-2024</t>
        </is>
      </c>
      <c r="B307" s="1" t="n">
        <v>45552</v>
      </c>
      <c r="C307" s="1" t="n">
        <v>46201</v>
      </c>
      <c r="D307" t="inlineStr">
        <is>
          <t>DALARNAS LÄN</t>
        </is>
      </c>
      <c r="E307" t="inlineStr">
        <is>
          <t>LEKSAND</t>
        </is>
      </c>
      <c r="G307" t="n">
        <v>2.3</v>
      </c>
      <c r="H307" t="n">
        <v>0</v>
      </c>
      <c r="I307" t="n">
        <v>0</v>
      </c>
      <c r="J307" t="n">
        <v>0</v>
      </c>
      <c r="K307" t="n">
        <v>0</v>
      </c>
      <c r="L307" t="n">
        <v>0</v>
      </c>
      <c r="M307" t="n">
        <v>0</v>
      </c>
      <c r="N307" t="n">
        <v>0</v>
      </c>
      <c r="O307" t="n">
        <v>0</v>
      </c>
      <c r="P307" t="n">
        <v>0</v>
      </c>
      <c r="Q307" t="n">
        <v>0</v>
      </c>
      <c r="R307" s="2" t="inlineStr"/>
    </row>
    <row r="308" ht="15" customHeight="1">
      <c r="A308" t="inlineStr">
        <is>
          <t>A 30204-2024</t>
        </is>
      </c>
      <c r="B308" s="1" t="n">
        <v>45490</v>
      </c>
      <c r="C308" s="1" t="n">
        <v>46201</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6050-2023</t>
        </is>
      </c>
      <c r="B309" s="1" t="n">
        <v>44959</v>
      </c>
      <c r="C309" s="1" t="n">
        <v>46201</v>
      </c>
      <c r="D309" t="inlineStr">
        <is>
          <t>DALARNAS LÄN</t>
        </is>
      </c>
      <c r="E309" t="inlineStr">
        <is>
          <t>LEKSAND</t>
        </is>
      </c>
      <c r="G309" t="n">
        <v>6.2</v>
      </c>
      <c r="H309" t="n">
        <v>0</v>
      </c>
      <c r="I309" t="n">
        <v>0</v>
      </c>
      <c r="J309" t="n">
        <v>0</v>
      </c>
      <c r="K309" t="n">
        <v>0</v>
      </c>
      <c r="L309" t="n">
        <v>0</v>
      </c>
      <c r="M309" t="n">
        <v>0</v>
      </c>
      <c r="N309" t="n">
        <v>0</v>
      </c>
      <c r="O309" t="n">
        <v>0</v>
      </c>
      <c r="P309" t="n">
        <v>0</v>
      </c>
      <c r="Q309" t="n">
        <v>0</v>
      </c>
      <c r="R309" s="2" t="inlineStr"/>
    </row>
    <row r="310" ht="15" customHeight="1">
      <c r="A310" t="inlineStr">
        <is>
          <t>A 17730-2024</t>
        </is>
      </c>
      <c r="B310" s="1" t="n">
        <v>45418</v>
      </c>
      <c r="C310" s="1" t="n">
        <v>46201</v>
      </c>
      <c r="D310" t="inlineStr">
        <is>
          <t>DALARNAS LÄN</t>
        </is>
      </c>
      <c r="E310" t="inlineStr">
        <is>
          <t>LEKSAND</t>
        </is>
      </c>
      <c r="G310" t="n">
        <v>2.4</v>
      </c>
      <c r="H310" t="n">
        <v>0</v>
      </c>
      <c r="I310" t="n">
        <v>0</v>
      </c>
      <c r="J310" t="n">
        <v>0</v>
      </c>
      <c r="K310" t="n">
        <v>0</v>
      </c>
      <c r="L310" t="n">
        <v>0</v>
      </c>
      <c r="M310" t="n">
        <v>0</v>
      </c>
      <c r="N310" t="n">
        <v>0</v>
      </c>
      <c r="O310" t="n">
        <v>0</v>
      </c>
      <c r="P310" t="n">
        <v>0</v>
      </c>
      <c r="Q310" t="n">
        <v>0</v>
      </c>
      <c r="R310" s="2" t="inlineStr"/>
    </row>
    <row r="311" ht="15" customHeight="1">
      <c r="A311" t="inlineStr">
        <is>
          <t>A 30169-2023</t>
        </is>
      </c>
      <c r="B311" s="1" t="n">
        <v>45110</v>
      </c>
      <c r="C311" s="1" t="n">
        <v>46201</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7759-2025</t>
        </is>
      </c>
      <c r="B312" s="1" t="n">
        <v>45706</v>
      </c>
      <c r="C312" s="1" t="n">
        <v>46201</v>
      </c>
      <c r="D312" t="inlineStr">
        <is>
          <t>DALARNAS LÄN</t>
        </is>
      </c>
      <c r="E312" t="inlineStr">
        <is>
          <t>LEKSAND</t>
        </is>
      </c>
      <c r="G312" t="n">
        <v>3.3</v>
      </c>
      <c r="H312" t="n">
        <v>0</v>
      </c>
      <c r="I312" t="n">
        <v>0</v>
      </c>
      <c r="J312" t="n">
        <v>0</v>
      </c>
      <c r="K312" t="n">
        <v>0</v>
      </c>
      <c r="L312" t="n">
        <v>0</v>
      </c>
      <c r="M312" t="n">
        <v>0</v>
      </c>
      <c r="N312" t="n">
        <v>0</v>
      </c>
      <c r="O312" t="n">
        <v>0</v>
      </c>
      <c r="P312" t="n">
        <v>0</v>
      </c>
      <c r="Q312" t="n">
        <v>0</v>
      </c>
      <c r="R312" s="2" t="inlineStr"/>
    </row>
    <row r="313" ht="15" customHeight="1">
      <c r="A313" t="inlineStr">
        <is>
          <t>A 13063-2023</t>
        </is>
      </c>
      <c r="B313" s="1" t="n">
        <v>45001</v>
      </c>
      <c r="C313" s="1" t="n">
        <v>46201</v>
      </c>
      <c r="D313" t="inlineStr">
        <is>
          <t>DALARNAS LÄN</t>
        </is>
      </c>
      <c r="E313" t="inlineStr">
        <is>
          <t>LEKSAND</t>
        </is>
      </c>
      <c r="G313" t="n">
        <v>1</v>
      </c>
      <c r="H313" t="n">
        <v>0</v>
      </c>
      <c r="I313" t="n">
        <v>0</v>
      </c>
      <c r="J313" t="n">
        <v>0</v>
      </c>
      <c r="K313" t="n">
        <v>0</v>
      </c>
      <c r="L313" t="n">
        <v>0</v>
      </c>
      <c r="M313" t="n">
        <v>0</v>
      </c>
      <c r="N313" t="n">
        <v>0</v>
      </c>
      <c r="O313" t="n">
        <v>0</v>
      </c>
      <c r="P313" t="n">
        <v>0</v>
      </c>
      <c r="Q313" t="n">
        <v>0</v>
      </c>
      <c r="R313" s="2" t="inlineStr"/>
    </row>
    <row r="314" ht="15" customHeight="1">
      <c r="A314" t="inlineStr">
        <is>
          <t>A 14943-2023</t>
        </is>
      </c>
      <c r="B314" s="1" t="n">
        <v>45015</v>
      </c>
      <c r="C314" s="1" t="n">
        <v>46201</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12356-2023</t>
        </is>
      </c>
      <c r="B315" s="1" t="n">
        <v>44998</v>
      </c>
      <c r="C315" s="1" t="n">
        <v>46201</v>
      </c>
      <c r="D315" t="inlineStr">
        <is>
          <t>DALARNAS LÄN</t>
        </is>
      </c>
      <c r="E315" t="inlineStr">
        <is>
          <t>LEKSAND</t>
        </is>
      </c>
      <c r="G315" t="n">
        <v>1.6</v>
      </c>
      <c r="H315" t="n">
        <v>0</v>
      </c>
      <c r="I315" t="n">
        <v>0</v>
      </c>
      <c r="J315" t="n">
        <v>0</v>
      </c>
      <c r="K315" t="n">
        <v>0</v>
      </c>
      <c r="L315" t="n">
        <v>0</v>
      </c>
      <c r="M315" t="n">
        <v>0</v>
      </c>
      <c r="N315" t="n">
        <v>0</v>
      </c>
      <c r="O315" t="n">
        <v>0</v>
      </c>
      <c r="P315" t="n">
        <v>0</v>
      </c>
      <c r="Q315" t="n">
        <v>0</v>
      </c>
      <c r="R315" s="2" t="inlineStr"/>
    </row>
    <row r="316" ht="15" customHeight="1">
      <c r="A316" t="inlineStr">
        <is>
          <t>A 12363-2023</t>
        </is>
      </c>
      <c r="B316" s="1" t="n">
        <v>44998</v>
      </c>
      <c r="C316" s="1" t="n">
        <v>46201</v>
      </c>
      <c r="D316" t="inlineStr">
        <is>
          <t>DALARNAS LÄN</t>
        </is>
      </c>
      <c r="E316" t="inlineStr">
        <is>
          <t>LEKSAND</t>
        </is>
      </c>
      <c r="G316" t="n">
        <v>10</v>
      </c>
      <c r="H316" t="n">
        <v>0</v>
      </c>
      <c r="I316" t="n">
        <v>0</v>
      </c>
      <c r="J316" t="n">
        <v>0</v>
      </c>
      <c r="K316" t="n">
        <v>0</v>
      </c>
      <c r="L316" t="n">
        <v>0</v>
      </c>
      <c r="M316" t="n">
        <v>0</v>
      </c>
      <c r="N316" t="n">
        <v>0</v>
      </c>
      <c r="O316" t="n">
        <v>0</v>
      </c>
      <c r="P316" t="n">
        <v>0</v>
      </c>
      <c r="Q316" t="n">
        <v>0</v>
      </c>
      <c r="R316" s="2" t="inlineStr"/>
    </row>
    <row r="317" ht="15" customHeight="1">
      <c r="A317" t="inlineStr">
        <is>
          <t>A 54289-2023</t>
        </is>
      </c>
      <c r="B317" s="1" t="n">
        <v>45232</v>
      </c>
      <c r="C317" s="1" t="n">
        <v>46201</v>
      </c>
      <c r="D317" t="inlineStr">
        <is>
          <t>DALARNAS LÄN</t>
        </is>
      </c>
      <c r="E317" t="inlineStr">
        <is>
          <t>LEKSAND</t>
        </is>
      </c>
      <c r="G317" t="n">
        <v>2</v>
      </c>
      <c r="H317" t="n">
        <v>0</v>
      </c>
      <c r="I317" t="n">
        <v>0</v>
      </c>
      <c r="J317" t="n">
        <v>0</v>
      </c>
      <c r="K317" t="n">
        <v>0</v>
      </c>
      <c r="L317" t="n">
        <v>0</v>
      </c>
      <c r="M317" t="n">
        <v>0</v>
      </c>
      <c r="N317" t="n">
        <v>0</v>
      </c>
      <c r="O317" t="n">
        <v>0</v>
      </c>
      <c r="P317" t="n">
        <v>0</v>
      </c>
      <c r="Q317" t="n">
        <v>0</v>
      </c>
      <c r="R317" s="2" t="inlineStr"/>
    </row>
    <row r="318" ht="15" customHeight="1">
      <c r="A318" t="inlineStr">
        <is>
          <t>A 55015-2024</t>
        </is>
      </c>
      <c r="B318" s="1" t="n">
        <v>45621</v>
      </c>
      <c r="C318" s="1" t="n">
        <v>46201</v>
      </c>
      <c r="D318" t="inlineStr">
        <is>
          <t>DALARNAS LÄN</t>
        </is>
      </c>
      <c r="E318" t="inlineStr">
        <is>
          <t>LEKSAND</t>
        </is>
      </c>
      <c r="G318" t="n">
        <v>0.6</v>
      </c>
      <c r="H318" t="n">
        <v>0</v>
      </c>
      <c r="I318" t="n">
        <v>0</v>
      </c>
      <c r="J318" t="n">
        <v>0</v>
      </c>
      <c r="K318" t="n">
        <v>0</v>
      </c>
      <c r="L318" t="n">
        <v>0</v>
      </c>
      <c r="M318" t="n">
        <v>0</v>
      </c>
      <c r="N318" t="n">
        <v>0</v>
      </c>
      <c r="O318" t="n">
        <v>0</v>
      </c>
      <c r="P318" t="n">
        <v>0</v>
      </c>
      <c r="Q318" t="n">
        <v>0</v>
      </c>
      <c r="R318" s="2" t="inlineStr"/>
    </row>
    <row r="319" ht="15" customHeight="1">
      <c r="A319" t="inlineStr">
        <is>
          <t>A 28674-2024</t>
        </is>
      </c>
      <c r="B319" s="1" t="n">
        <v>45478</v>
      </c>
      <c r="C319" s="1" t="n">
        <v>46201</v>
      </c>
      <c r="D319" t="inlineStr">
        <is>
          <t>DALARNAS LÄN</t>
        </is>
      </c>
      <c r="E319" t="inlineStr">
        <is>
          <t>LEKSAND</t>
        </is>
      </c>
      <c r="G319" t="n">
        <v>4.9</v>
      </c>
      <c r="H319" t="n">
        <v>0</v>
      </c>
      <c r="I319" t="n">
        <v>0</v>
      </c>
      <c r="J319" t="n">
        <v>0</v>
      </c>
      <c r="K319" t="n">
        <v>0</v>
      </c>
      <c r="L319" t="n">
        <v>0</v>
      </c>
      <c r="M319" t="n">
        <v>0</v>
      </c>
      <c r="N319" t="n">
        <v>0</v>
      </c>
      <c r="O319" t="n">
        <v>0</v>
      </c>
      <c r="P319" t="n">
        <v>0</v>
      </c>
      <c r="Q319" t="n">
        <v>0</v>
      </c>
      <c r="R319" s="2" t="inlineStr"/>
    </row>
    <row r="320" ht="15" customHeight="1">
      <c r="A320" t="inlineStr">
        <is>
          <t>A 56283-2024</t>
        </is>
      </c>
      <c r="B320" s="1" t="n">
        <v>45624</v>
      </c>
      <c r="C320" s="1" t="n">
        <v>46201</v>
      </c>
      <c r="D320" t="inlineStr">
        <is>
          <t>DALARNAS LÄN</t>
        </is>
      </c>
      <c r="E320" t="inlineStr">
        <is>
          <t>LEKSAND</t>
        </is>
      </c>
      <c r="G320" t="n">
        <v>1.3</v>
      </c>
      <c r="H320" t="n">
        <v>0</v>
      </c>
      <c r="I320" t="n">
        <v>0</v>
      </c>
      <c r="J320" t="n">
        <v>0</v>
      </c>
      <c r="K320" t="n">
        <v>0</v>
      </c>
      <c r="L320" t="n">
        <v>0</v>
      </c>
      <c r="M320" t="n">
        <v>0</v>
      </c>
      <c r="N320" t="n">
        <v>0</v>
      </c>
      <c r="O320" t="n">
        <v>0</v>
      </c>
      <c r="P320" t="n">
        <v>0</v>
      </c>
      <c r="Q320" t="n">
        <v>0</v>
      </c>
      <c r="R320" s="2" t="inlineStr"/>
    </row>
    <row r="321" ht="15" customHeight="1">
      <c r="A321" t="inlineStr">
        <is>
          <t>A 11869-2024</t>
        </is>
      </c>
      <c r="B321" s="1" t="n">
        <v>45376</v>
      </c>
      <c r="C321" s="1" t="n">
        <v>46201</v>
      </c>
      <c r="D321" t="inlineStr">
        <is>
          <t>DALARNAS LÄN</t>
        </is>
      </c>
      <c r="E321" t="inlineStr">
        <is>
          <t>LEKSAND</t>
        </is>
      </c>
      <c r="G321" t="n">
        <v>0.5</v>
      </c>
      <c r="H321" t="n">
        <v>0</v>
      </c>
      <c r="I321" t="n">
        <v>0</v>
      </c>
      <c r="J321" t="n">
        <v>0</v>
      </c>
      <c r="K321" t="n">
        <v>0</v>
      </c>
      <c r="L321" t="n">
        <v>0</v>
      </c>
      <c r="M321" t="n">
        <v>0</v>
      </c>
      <c r="N321" t="n">
        <v>0</v>
      </c>
      <c r="O321" t="n">
        <v>0</v>
      </c>
      <c r="P321" t="n">
        <v>0</v>
      </c>
      <c r="Q321" t="n">
        <v>0</v>
      </c>
      <c r="R321" s="2" t="inlineStr"/>
    </row>
    <row r="322" ht="15" customHeight="1">
      <c r="A322" t="inlineStr">
        <is>
          <t>A 16137-2023</t>
        </is>
      </c>
      <c r="B322" s="1" t="n">
        <v>45027</v>
      </c>
      <c r="C322" s="1" t="n">
        <v>46201</v>
      </c>
      <c r="D322" t="inlineStr">
        <is>
          <t>DALARNAS LÄN</t>
        </is>
      </c>
      <c r="E322" t="inlineStr">
        <is>
          <t>LEKSAND</t>
        </is>
      </c>
      <c r="G322" t="n">
        <v>1.6</v>
      </c>
      <c r="H322" t="n">
        <v>0</v>
      </c>
      <c r="I322" t="n">
        <v>0</v>
      </c>
      <c r="J322" t="n">
        <v>0</v>
      </c>
      <c r="K322" t="n">
        <v>0</v>
      </c>
      <c r="L322" t="n">
        <v>0</v>
      </c>
      <c r="M322" t="n">
        <v>0</v>
      </c>
      <c r="N322" t="n">
        <v>0</v>
      </c>
      <c r="O322" t="n">
        <v>0</v>
      </c>
      <c r="P322" t="n">
        <v>0</v>
      </c>
      <c r="Q322" t="n">
        <v>0</v>
      </c>
      <c r="R322" s="2" t="inlineStr"/>
    </row>
    <row r="323" ht="15" customHeight="1">
      <c r="A323" t="inlineStr">
        <is>
          <t>A 53799-2023</t>
        </is>
      </c>
      <c r="B323" s="1" t="n">
        <v>45231</v>
      </c>
      <c r="C323" s="1" t="n">
        <v>46201</v>
      </c>
      <c r="D323" t="inlineStr">
        <is>
          <t>DALARNAS LÄN</t>
        </is>
      </c>
      <c r="E323" t="inlineStr">
        <is>
          <t>LEKSAND</t>
        </is>
      </c>
      <c r="F323" t="inlineStr">
        <is>
          <t>Bergvik skog väst AB</t>
        </is>
      </c>
      <c r="G323" t="n">
        <v>0.9</v>
      </c>
      <c r="H323" t="n">
        <v>0</v>
      </c>
      <c r="I323" t="n">
        <v>0</v>
      </c>
      <c r="J323" t="n">
        <v>0</v>
      </c>
      <c r="K323" t="n">
        <v>0</v>
      </c>
      <c r="L323" t="n">
        <v>0</v>
      </c>
      <c r="M323" t="n">
        <v>0</v>
      </c>
      <c r="N323" t="n">
        <v>0</v>
      </c>
      <c r="O323" t="n">
        <v>0</v>
      </c>
      <c r="P323" t="n">
        <v>0</v>
      </c>
      <c r="Q323" t="n">
        <v>0</v>
      </c>
      <c r="R323" s="2" t="inlineStr"/>
    </row>
    <row r="324" ht="15" customHeight="1">
      <c r="A324" t="inlineStr">
        <is>
          <t>A 9105-2024</t>
        </is>
      </c>
      <c r="B324" s="1" t="n">
        <v>45357</v>
      </c>
      <c r="C324" s="1" t="n">
        <v>46201</v>
      </c>
      <c r="D324" t="inlineStr">
        <is>
          <t>DALARNAS LÄN</t>
        </is>
      </c>
      <c r="E324" t="inlineStr">
        <is>
          <t>LEKSAND</t>
        </is>
      </c>
      <c r="G324" t="n">
        <v>1.2</v>
      </c>
      <c r="H324" t="n">
        <v>0</v>
      </c>
      <c r="I324" t="n">
        <v>0</v>
      </c>
      <c r="J324" t="n">
        <v>0</v>
      </c>
      <c r="K324" t="n">
        <v>0</v>
      </c>
      <c r="L324" t="n">
        <v>0</v>
      </c>
      <c r="M324" t="n">
        <v>0</v>
      </c>
      <c r="N324" t="n">
        <v>0</v>
      </c>
      <c r="O324" t="n">
        <v>0</v>
      </c>
      <c r="P324" t="n">
        <v>0</v>
      </c>
      <c r="Q324" t="n">
        <v>0</v>
      </c>
      <c r="R324" s="2" t="inlineStr"/>
    </row>
    <row r="325" ht="15" customHeight="1">
      <c r="A325" t="inlineStr">
        <is>
          <t>A 54682-2023</t>
        </is>
      </c>
      <c r="B325" s="1" t="n">
        <v>45235</v>
      </c>
      <c r="C325" s="1" t="n">
        <v>46201</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19590-2023</t>
        </is>
      </c>
      <c r="B326" s="1" t="n">
        <v>45049</v>
      </c>
      <c r="C326" s="1" t="n">
        <v>46201</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30000-2023</t>
        </is>
      </c>
      <c r="B327" s="1" t="n">
        <v>45109</v>
      </c>
      <c r="C327" s="1" t="n">
        <v>46201</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5847-2025</t>
        </is>
      </c>
      <c r="B328" s="1" t="n">
        <v>45695</v>
      </c>
      <c r="C328" s="1" t="n">
        <v>46201</v>
      </c>
      <c r="D328" t="inlineStr">
        <is>
          <t>DALARNAS LÄN</t>
        </is>
      </c>
      <c r="E328" t="inlineStr">
        <is>
          <t>LEKSAND</t>
        </is>
      </c>
      <c r="G328" t="n">
        <v>2.6</v>
      </c>
      <c r="H328" t="n">
        <v>0</v>
      </c>
      <c r="I328" t="n">
        <v>0</v>
      </c>
      <c r="J328" t="n">
        <v>0</v>
      </c>
      <c r="K328" t="n">
        <v>0</v>
      </c>
      <c r="L328" t="n">
        <v>0</v>
      </c>
      <c r="M328" t="n">
        <v>0</v>
      </c>
      <c r="N328" t="n">
        <v>0</v>
      </c>
      <c r="O328" t="n">
        <v>0</v>
      </c>
      <c r="P328" t="n">
        <v>0</v>
      </c>
      <c r="Q328" t="n">
        <v>0</v>
      </c>
      <c r="R328" s="2" t="inlineStr"/>
    </row>
    <row r="329" ht="15" customHeight="1">
      <c r="A329" t="inlineStr">
        <is>
          <t>A 61933-2023</t>
        </is>
      </c>
      <c r="B329" s="1" t="n">
        <v>45266</v>
      </c>
      <c r="C329" s="1" t="n">
        <v>46201</v>
      </c>
      <c r="D329" t="inlineStr">
        <is>
          <t>DALARNAS LÄN</t>
        </is>
      </c>
      <c r="E329" t="inlineStr">
        <is>
          <t>LEKSAND</t>
        </is>
      </c>
      <c r="G329" t="n">
        <v>0.2</v>
      </c>
      <c r="H329" t="n">
        <v>0</v>
      </c>
      <c r="I329" t="n">
        <v>0</v>
      </c>
      <c r="J329" t="n">
        <v>0</v>
      </c>
      <c r="K329" t="n">
        <v>0</v>
      </c>
      <c r="L329" t="n">
        <v>0</v>
      </c>
      <c r="M329" t="n">
        <v>0</v>
      </c>
      <c r="N329" t="n">
        <v>0</v>
      </c>
      <c r="O329" t="n">
        <v>0</v>
      </c>
      <c r="P329" t="n">
        <v>0</v>
      </c>
      <c r="Q329" t="n">
        <v>0</v>
      </c>
      <c r="R329" s="2" t="inlineStr"/>
    </row>
    <row r="330" ht="15" customHeight="1">
      <c r="A330" t="inlineStr">
        <is>
          <t>A 11092-2023</t>
        </is>
      </c>
      <c r="B330" s="1" t="n">
        <v>44992</v>
      </c>
      <c r="C330" s="1" t="n">
        <v>46201</v>
      </c>
      <c r="D330" t="inlineStr">
        <is>
          <t>DALARNAS LÄN</t>
        </is>
      </c>
      <c r="E330" t="inlineStr">
        <is>
          <t>LEKSAND</t>
        </is>
      </c>
      <c r="G330" t="n">
        <v>0.5</v>
      </c>
      <c r="H330" t="n">
        <v>0</v>
      </c>
      <c r="I330" t="n">
        <v>0</v>
      </c>
      <c r="J330" t="n">
        <v>0</v>
      </c>
      <c r="K330" t="n">
        <v>0</v>
      </c>
      <c r="L330" t="n">
        <v>0</v>
      </c>
      <c r="M330" t="n">
        <v>0</v>
      </c>
      <c r="N330" t="n">
        <v>0</v>
      </c>
      <c r="O330" t="n">
        <v>0</v>
      </c>
      <c r="P330" t="n">
        <v>0</v>
      </c>
      <c r="Q330" t="n">
        <v>0</v>
      </c>
      <c r="R330" s="2" t="inlineStr"/>
    </row>
    <row r="331" ht="15" customHeight="1">
      <c r="A331" t="inlineStr">
        <is>
          <t>A 28578-2023</t>
        </is>
      </c>
      <c r="B331" s="1" t="n">
        <v>45103</v>
      </c>
      <c r="C331" s="1" t="n">
        <v>46201</v>
      </c>
      <c r="D331" t="inlineStr">
        <is>
          <t>DALARNAS LÄN</t>
        </is>
      </c>
      <c r="E331" t="inlineStr">
        <is>
          <t>LEKSAND</t>
        </is>
      </c>
      <c r="G331" t="n">
        <v>4.4</v>
      </c>
      <c r="H331" t="n">
        <v>0</v>
      </c>
      <c r="I331" t="n">
        <v>0</v>
      </c>
      <c r="J331" t="n">
        <v>0</v>
      </c>
      <c r="K331" t="n">
        <v>0</v>
      </c>
      <c r="L331" t="n">
        <v>0</v>
      </c>
      <c r="M331" t="n">
        <v>0</v>
      </c>
      <c r="N331" t="n">
        <v>0</v>
      </c>
      <c r="O331" t="n">
        <v>0</v>
      </c>
      <c r="P331" t="n">
        <v>0</v>
      </c>
      <c r="Q331" t="n">
        <v>0</v>
      </c>
      <c r="R331" s="2" t="inlineStr"/>
    </row>
    <row r="332" ht="15" customHeight="1">
      <c r="A332" t="inlineStr">
        <is>
          <t>A 60878-2023</t>
        </is>
      </c>
      <c r="B332" s="1" t="n">
        <v>45259</v>
      </c>
      <c r="C332" s="1" t="n">
        <v>46201</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19371-2024</t>
        </is>
      </c>
      <c r="B333" s="1" t="n">
        <v>45429</v>
      </c>
      <c r="C333" s="1" t="n">
        <v>46201</v>
      </c>
      <c r="D333" t="inlineStr">
        <is>
          <t>DALARNAS LÄN</t>
        </is>
      </c>
      <c r="E333" t="inlineStr">
        <is>
          <t>LEKSAND</t>
        </is>
      </c>
      <c r="G333" t="n">
        <v>0.6</v>
      </c>
      <c r="H333" t="n">
        <v>0</v>
      </c>
      <c r="I333" t="n">
        <v>0</v>
      </c>
      <c r="J333" t="n">
        <v>0</v>
      </c>
      <c r="K333" t="n">
        <v>0</v>
      </c>
      <c r="L333" t="n">
        <v>0</v>
      </c>
      <c r="M333" t="n">
        <v>0</v>
      </c>
      <c r="N333" t="n">
        <v>0</v>
      </c>
      <c r="O333" t="n">
        <v>0</v>
      </c>
      <c r="P333" t="n">
        <v>0</v>
      </c>
      <c r="Q333" t="n">
        <v>0</v>
      </c>
      <c r="R333" s="2" t="inlineStr"/>
    </row>
    <row r="334" ht="15" customHeight="1">
      <c r="A334" t="inlineStr">
        <is>
          <t>A 54911-2024</t>
        </is>
      </c>
      <c r="B334" s="1" t="n">
        <v>45618</v>
      </c>
      <c r="C334" s="1" t="n">
        <v>46201</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36262-2023</t>
        </is>
      </c>
      <c r="B335" s="1" t="n">
        <v>45151</v>
      </c>
      <c r="C335" s="1" t="n">
        <v>46201</v>
      </c>
      <c r="D335" t="inlineStr">
        <is>
          <t>DALARNAS LÄN</t>
        </is>
      </c>
      <c r="E335" t="inlineStr">
        <is>
          <t>LEKSAND</t>
        </is>
      </c>
      <c r="G335" t="n">
        <v>1.2</v>
      </c>
      <c r="H335" t="n">
        <v>0</v>
      </c>
      <c r="I335" t="n">
        <v>0</v>
      </c>
      <c r="J335" t="n">
        <v>0</v>
      </c>
      <c r="K335" t="n">
        <v>0</v>
      </c>
      <c r="L335" t="n">
        <v>0</v>
      </c>
      <c r="M335" t="n">
        <v>0</v>
      </c>
      <c r="N335" t="n">
        <v>0</v>
      </c>
      <c r="O335" t="n">
        <v>0</v>
      </c>
      <c r="P335" t="n">
        <v>0</v>
      </c>
      <c r="Q335" t="n">
        <v>0</v>
      </c>
      <c r="R335" s="2" t="inlineStr"/>
    </row>
    <row r="336" ht="15" customHeight="1">
      <c r="A336" t="inlineStr">
        <is>
          <t>A 40193-2024</t>
        </is>
      </c>
      <c r="B336" s="1" t="n">
        <v>45554</v>
      </c>
      <c r="C336" s="1" t="n">
        <v>46201</v>
      </c>
      <c r="D336" t="inlineStr">
        <is>
          <t>DALARNAS LÄN</t>
        </is>
      </c>
      <c r="E336" t="inlineStr">
        <is>
          <t>LEKSAND</t>
        </is>
      </c>
      <c r="F336" t="inlineStr">
        <is>
          <t>Övriga statliga verk och myndigheter</t>
        </is>
      </c>
      <c r="G336" t="n">
        <v>1</v>
      </c>
      <c r="H336" t="n">
        <v>0</v>
      </c>
      <c r="I336" t="n">
        <v>0</v>
      </c>
      <c r="J336" t="n">
        <v>0</v>
      </c>
      <c r="K336" t="n">
        <v>0</v>
      </c>
      <c r="L336" t="n">
        <v>0</v>
      </c>
      <c r="M336" t="n">
        <v>0</v>
      </c>
      <c r="N336" t="n">
        <v>0</v>
      </c>
      <c r="O336" t="n">
        <v>0</v>
      </c>
      <c r="P336" t="n">
        <v>0</v>
      </c>
      <c r="Q336" t="n">
        <v>0</v>
      </c>
      <c r="R336" s="2" t="inlineStr"/>
    </row>
    <row r="337" ht="15" customHeight="1">
      <c r="A337" t="inlineStr">
        <is>
          <t>A 39558-2023</t>
        </is>
      </c>
      <c r="B337" s="1" t="n">
        <v>45167</v>
      </c>
      <c r="C337" s="1" t="n">
        <v>46201</v>
      </c>
      <c r="D337" t="inlineStr">
        <is>
          <t>DALARNAS LÄN</t>
        </is>
      </c>
      <c r="E337" t="inlineStr">
        <is>
          <t>LEKSAND</t>
        </is>
      </c>
      <c r="G337" t="n">
        <v>39.9</v>
      </c>
      <c r="H337" t="n">
        <v>0</v>
      </c>
      <c r="I337" t="n">
        <v>0</v>
      </c>
      <c r="J337" t="n">
        <v>0</v>
      </c>
      <c r="K337" t="n">
        <v>0</v>
      </c>
      <c r="L337" t="n">
        <v>0</v>
      </c>
      <c r="M337" t="n">
        <v>0</v>
      </c>
      <c r="N337" t="n">
        <v>0</v>
      </c>
      <c r="O337" t="n">
        <v>0</v>
      </c>
      <c r="P337" t="n">
        <v>0</v>
      </c>
      <c r="Q337" t="n">
        <v>0</v>
      </c>
      <c r="R337" s="2" t="inlineStr"/>
    </row>
    <row r="338" ht="15" customHeight="1">
      <c r="A338" t="inlineStr">
        <is>
          <t>A 61225-2023</t>
        </is>
      </c>
      <c r="B338" s="1" t="n">
        <v>45264</v>
      </c>
      <c r="C338" s="1" t="n">
        <v>46201</v>
      </c>
      <c r="D338" t="inlineStr">
        <is>
          <t>DALARNAS LÄN</t>
        </is>
      </c>
      <c r="E338" t="inlineStr">
        <is>
          <t>LEKSAND</t>
        </is>
      </c>
      <c r="G338" t="n">
        <v>7</v>
      </c>
      <c r="H338" t="n">
        <v>0</v>
      </c>
      <c r="I338" t="n">
        <v>0</v>
      </c>
      <c r="J338" t="n">
        <v>0</v>
      </c>
      <c r="K338" t="n">
        <v>0</v>
      </c>
      <c r="L338" t="n">
        <v>0</v>
      </c>
      <c r="M338" t="n">
        <v>0</v>
      </c>
      <c r="N338" t="n">
        <v>0</v>
      </c>
      <c r="O338" t="n">
        <v>0</v>
      </c>
      <c r="P338" t="n">
        <v>0</v>
      </c>
      <c r="Q338" t="n">
        <v>0</v>
      </c>
      <c r="R338" s="2" t="inlineStr"/>
    </row>
    <row r="339" ht="15" customHeight="1">
      <c r="A339" t="inlineStr">
        <is>
          <t>A 9138-2023</t>
        </is>
      </c>
      <c r="B339" s="1" t="n">
        <v>44974</v>
      </c>
      <c r="C339" s="1" t="n">
        <v>46201</v>
      </c>
      <c r="D339" t="inlineStr">
        <is>
          <t>DALARNAS LÄN</t>
        </is>
      </c>
      <c r="E339" t="inlineStr">
        <is>
          <t>LEKSAND</t>
        </is>
      </c>
      <c r="G339" t="n">
        <v>4.6</v>
      </c>
      <c r="H339" t="n">
        <v>0</v>
      </c>
      <c r="I339" t="n">
        <v>0</v>
      </c>
      <c r="J339" t="n">
        <v>0</v>
      </c>
      <c r="K339" t="n">
        <v>0</v>
      </c>
      <c r="L339" t="n">
        <v>0</v>
      </c>
      <c r="M339" t="n">
        <v>0</v>
      </c>
      <c r="N339" t="n">
        <v>0</v>
      </c>
      <c r="O339" t="n">
        <v>0</v>
      </c>
      <c r="P339" t="n">
        <v>0</v>
      </c>
      <c r="Q339" t="n">
        <v>0</v>
      </c>
      <c r="R339" s="2" t="inlineStr"/>
    </row>
    <row r="340" ht="15" customHeight="1">
      <c r="A340" t="inlineStr">
        <is>
          <t>A 9141-2023</t>
        </is>
      </c>
      <c r="B340" s="1" t="n">
        <v>44974</v>
      </c>
      <c r="C340" s="1" t="n">
        <v>46201</v>
      </c>
      <c r="D340" t="inlineStr">
        <is>
          <t>DALARNAS LÄN</t>
        </is>
      </c>
      <c r="E340" t="inlineStr">
        <is>
          <t>LEKSAND</t>
        </is>
      </c>
      <c r="G340" t="n">
        <v>1.9</v>
      </c>
      <c r="H340" t="n">
        <v>0</v>
      </c>
      <c r="I340" t="n">
        <v>0</v>
      </c>
      <c r="J340" t="n">
        <v>0</v>
      </c>
      <c r="K340" t="n">
        <v>0</v>
      </c>
      <c r="L340" t="n">
        <v>0</v>
      </c>
      <c r="M340" t="n">
        <v>0</v>
      </c>
      <c r="N340" t="n">
        <v>0</v>
      </c>
      <c r="O340" t="n">
        <v>0</v>
      </c>
      <c r="P340" t="n">
        <v>0</v>
      </c>
      <c r="Q340" t="n">
        <v>0</v>
      </c>
      <c r="R340" s="2" t="inlineStr"/>
    </row>
    <row r="341" ht="15" customHeight="1">
      <c r="A341" t="inlineStr">
        <is>
          <t>A 2630-2025</t>
        </is>
      </c>
      <c r="B341" s="1" t="n">
        <v>45675</v>
      </c>
      <c r="C341" s="1" t="n">
        <v>46201</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49395-2024</t>
        </is>
      </c>
      <c r="B342" s="1" t="n">
        <v>45595</v>
      </c>
      <c r="C342" s="1" t="n">
        <v>46201</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11678-2025</t>
        </is>
      </c>
      <c r="B343" s="1" t="n">
        <v>45726</v>
      </c>
      <c r="C343" s="1" t="n">
        <v>46201</v>
      </c>
      <c r="D343" t="inlineStr">
        <is>
          <t>DALARNAS LÄN</t>
        </is>
      </c>
      <c r="E343" t="inlineStr">
        <is>
          <t>LEKSAND</t>
        </is>
      </c>
      <c r="G343" t="n">
        <v>9.4</v>
      </c>
      <c r="H343" t="n">
        <v>0</v>
      </c>
      <c r="I343" t="n">
        <v>0</v>
      </c>
      <c r="J343" t="n">
        <v>0</v>
      </c>
      <c r="K343" t="n">
        <v>0</v>
      </c>
      <c r="L343" t="n">
        <v>0</v>
      </c>
      <c r="M343" t="n">
        <v>0</v>
      </c>
      <c r="N343" t="n">
        <v>0</v>
      </c>
      <c r="O343" t="n">
        <v>0</v>
      </c>
      <c r="P343" t="n">
        <v>0</v>
      </c>
      <c r="Q343" t="n">
        <v>0</v>
      </c>
      <c r="R343" s="2" t="inlineStr"/>
    </row>
    <row r="344" ht="15" customHeight="1">
      <c r="A344" t="inlineStr">
        <is>
          <t>A 30196-2023</t>
        </is>
      </c>
      <c r="B344" s="1" t="n">
        <v>45110</v>
      </c>
      <c r="C344" s="1" t="n">
        <v>46201</v>
      </c>
      <c r="D344" t="inlineStr">
        <is>
          <t>DALARNAS LÄN</t>
        </is>
      </c>
      <c r="E344" t="inlineStr">
        <is>
          <t>LEKSAND</t>
        </is>
      </c>
      <c r="G344" t="n">
        <v>1.2</v>
      </c>
      <c r="H344" t="n">
        <v>0</v>
      </c>
      <c r="I344" t="n">
        <v>0</v>
      </c>
      <c r="J344" t="n">
        <v>0</v>
      </c>
      <c r="K344" t="n">
        <v>0</v>
      </c>
      <c r="L344" t="n">
        <v>0</v>
      </c>
      <c r="M344" t="n">
        <v>0</v>
      </c>
      <c r="N344" t="n">
        <v>0</v>
      </c>
      <c r="O344" t="n">
        <v>0</v>
      </c>
      <c r="P344" t="n">
        <v>0</v>
      </c>
      <c r="Q344" t="n">
        <v>0</v>
      </c>
      <c r="R344" s="2" t="inlineStr"/>
    </row>
    <row r="345" ht="15" customHeight="1">
      <c r="A345" t="inlineStr">
        <is>
          <t>A 10833-2023</t>
        </is>
      </c>
      <c r="B345" s="1" t="n">
        <v>44990</v>
      </c>
      <c r="C345" s="1" t="n">
        <v>46201</v>
      </c>
      <c r="D345" t="inlineStr">
        <is>
          <t>DALARNAS LÄN</t>
        </is>
      </c>
      <c r="E345" t="inlineStr">
        <is>
          <t>LEKSAND</t>
        </is>
      </c>
      <c r="G345" t="n">
        <v>1.7</v>
      </c>
      <c r="H345" t="n">
        <v>0</v>
      </c>
      <c r="I345" t="n">
        <v>0</v>
      </c>
      <c r="J345" t="n">
        <v>0</v>
      </c>
      <c r="K345" t="n">
        <v>0</v>
      </c>
      <c r="L345" t="n">
        <v>0</v>
      </c>
      <c r="M345" t="n">
        <v>0</v>
      </c>
      <c r="N345" t="n">
        <v>0</v>
      </c>
      <c r="O345" t="n">
        <v>0</v>
      </c>
      <c r="P345" t="n">
        <v>0</v>
      </c>
      <c r="Q345" t="n">
        <v>0</v>
      </c>
      <c r="R345" s="2" t="inlineStr"/>
    </row>
    <row r="346" ht="15" customHeight="1">
      <c r="A346" t="inlineStr">
        <is>
          <t>A 25329-2022</t>
        </is>
      </c>
      <c r="B346" s="1" t="n">
        <v>44731</v>
      </c>
      <c r="C346" s="1" t="n">
        <v>46201</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47121-2021</t>
        </is>
      </c>
      <c r="B347" s="1" t="n">
        <v>44446</v>
      </c>
      <c r="C347" s="1" t="n">
        <v>46201</v>
      </c>
      <c r="D347" t="inlineStr">
        <is>
          <t>DALARNAS LÄN</t>
        </is>
      </c>
      <c r="E347" t="inlineStr">
        <is>
          <t>LEKSAND</t>
        </is>
      </c>
      <c r="G347" t="n">
        <v>3.5</v>
      </c>
      <c r="H347" t="n">
        <v>0</v>
      </c>
      <c r="I347" t="n">
        <v>0</v>
      </c>
      <c r="J347" t="n">
        <v>0</v>
      </c>
      <c r="K347" t="n">
        <v>0</v>
      </c>
      <c r="L347" t="n">
        <v>0</v>
      </c>
      <c r="M347" t="n">
        <v>0</v>
      </c>
      <c r="N347" t="n">
        <v>0</v>
      </c>
      <c r="O347" t="n">
        <v>0</v>
      </c>
      <c r="P347" t="n">
        <v>0</v>
      </c>
      <c r="Q347" t="n">
        <v>0</v>
      </c>
      <c r="R347" s="2" t="inlineStr"/>
    </row>
    <row r="348" ht="15" customHeight="1">
      <c r="A348" t="inlineStr">
        <is>
          <t>A 36444-2023</t>
        </is>
      </c>
      <c r="B348" s="1" t="n">
        <v>45152</v>
      </c>
      <c r="C348" s="1" t="n">
        <v>46201</v>
      </c>
      <c r="D348" t="inlineStr">
        <is>
          <t>DALARNAS LÄN</t>
        </is>
      </c>
      <c r="E348" t="inlineStr">
        <is>
          <t>LEKSAND</t>
        </is>
      </c>
      <c r="G348" t="n">
        <v>0.5</v>
      </c>
      <c r="H348" t="n">
        <v>0</v>
      </c>
      <c r="I348" t="n">
        <v>0</v>
      </c>
      <c r="J348" t="n">
        <v>0</v>
      </c>
      <c r="K348" t="n">
        <v>0</v>
      </c>
      <c r="L348" t="n">
        <v>0</v>
      </c>
      <c r="M348" t="n">
        <v>0</v>
      </c>
      <c r="N348" t="n">
        <v>0</v>
      </c>
      <c r="O348" t="n">
        <v>0</v>
      </c>
      <c r="P348" t="n">
        <v>0</v>
      </c>
      <c r="Q348" t="n">
        <v>0</v>
      </c>
      <c r="R348" s="2" t="inlineStr"/>
    </row>
    <row r="349" ht="15" customHeight="1">
      <c r="A349" t="inlineStr">
        <is>
          <t>A 21402-2023</t>
        </is>
      </c>
      <c r="B349" s="1" t="n">
        <v>45061</v>
      </c>
      <c r="C349" s="1" t="n">
        <v>46201</v>
      </c>
      <c r="D349" t="inlineStr">
        <is>
          <t>DALARNAS LÄN</t>
        </is>
      </c>
      <c r="E349" t="inlineStr">
        <is>
          <t>LEKSAND</t>
        </is>
      </c>
      <c r="G349" t="n">
        <v>0.7</v>
      </c>
      <c r="H349" t="n">
        <v>0</v>
      </c>
      <c r="I349" t="n">
        <v>0</v>
      </c>
      <c r="J349" t="n">
        <v>0</v>
      </c>
      <c r="K349" t="n">
        <v>0</v>
      </c>
      <c r="L349" t="n">
        <v>0</v>
      </c>
      <c r="M349" t="n">
        <v>0</v>
      </c>
      <c r="N349" t="n">
        <v>0</v>
      </c>
      <c r="O349" t="n">
        <v>0</v>
      </c>
      <c r="P349" t="n">
        <v>0</v>
      </c>
      <c r="Q349" t="n">
        <v>0</v>
      </c>
      <c r="R349" s="2" t="inlineStr"/>
    </row>
    <row r="350" ht="15" customHeight="1">
      <c r="A350" t="inlineStr">
        <is>
          <t>A 167-2023</t>
        </is>
      </c>
      <c r="B350" s="1" t="n">
        <v>44918</v>
      </c>
      <c r="C350" s="1" t="n">
        <v>46201</v>
      </c>
      <c r="D350" t="inlineStr">
        <is>
          <t>DALARNAS LÄN</t>
        </is>
      </c>
      <c r="E350" t="inlineStr">
        <is>
          <t>LEKSAND</t>
        </is>
      </c>
      <c r="G350" t="n">
        <v>0.5</v>
      </c>
      <c r="H350" t="n">
        <v>0</v>
      </c>
      <c r="I350" t="n">
        <v>0</v>
      </c>
      <c r="J350" t="n">
        <v>0</v>
      </c>
      <c r="K350" t="n">
        <v>0</v>
      </c>
      <c r="L350" t="n">
        <v>0</v>
      </c>
      <c r="M350" t="n">
        <v>0</v>
      </c>
      <c r="N350" t="n">
        <v>0</v>
      </c>
      <c r="O350" t="n">
        <v>0</v>
      </c>
      <c r="P350" t="n">
        <v>0</v>
      </c>
      <c r="Q350" t="n">
        <v>0</v>
      </c>
      <c r="R350" s="2" t="inlineStr"/>
    </row>
    <row r="351" ht="15" customHeight="1">
      <c r="A351" t="inlineStr">
        <is>
          <t>A 481-2024</t>
        </is>
      </c>
      <c r="B351" s="1" t="n">
        <v>45298</v>
      </c>
      <c r="C351" s="1" t="n">
        <v>46201</v>
      </c>
      <c r="D351" t="inlineStr">
        <is>
          <t>DALARNAS LÄN</t>
        </is>
      </c>
      <c r="E351" t="inlineStr">
        <is>
          <t>LEKSAND</t>
        </is>
      </c>
      <c r="G351" t="n">
        <v>7</v>
      </c>
      <c r="H351" t="n">
        <v>0</v>
      </c>
      <c r="I351" t="n">
        <v>0</v>
      </c>
      <c r="J351" t="n">
        <v>0</v>
      </c>
      <c r="K351" t="n">
        <v>0</v>
      </c>
      <c r="L351" t="n">
        <v>0</v>
      </c>
      <c r="M351" t="n">
        <v>0</v>
      </c>
      <c r="N351" t="n">
        <v>0</v>
      </c>
      <c r="O351" t="n">
        <v>0</v>
      </c>
      <c r="P351" t="n">
        <v>0</v>
      </c>
      <c r="Q351" t="n">
        <v>0</v>
      </c>
      <c r="R351" s="2" t="inlineStr"/>
    </row>
    <row r="352" ht="15" customHeight="1">
      <c r="A352" t="inlineStr">
        <is>
          <t>A 27262-2025</t>
        </is>
      </c>
      <c r="B352" s="1" t="n">
        <v>45812</v>
      </c>
      <c r="C352" s="1" t="n">
        <v>46201</v>
      </c>
      <c r="D352" t="inlineStr">
        <is>
          <t>DALARNAS LÄN</t>
        </is>
      </c>
      <c r="E352" t="inlineStr">
        <is>
          <t>LEKSAND</t>
        </is>
      </c>
      <c r="F352" t="inlineStr">
        <is>
          <t>Bergvik skog väst AB</t>
        </is>
      </c>
      <c r="G352" t="n">
        <v>7.7</v>
      </c>
      <c r="H352" t="n">
        <v>0</v>
      </c>
      <c r="I352" t="n">
        <v>0</v>
      </c>
      <c r="J352" t="n">
        <v>0</v>
      </c>
      <c r="K352" t="n">
        <v>0</v>
      </c>
      <c r="L352" t="n">
        <v>0</v>
      </c>
      <c r="M352" t="n">
        <v>0</v>
      </c>
      <c r="N352" t="n">
        <v>0</v>
      </c>
      <c r="O352" t="n">
        <v>0</v>
      </c>
      <c r="P352" t="n">
        <v>0</v>
      </c>
      <c r="Q352" t="n">
        <v>0</v>
      </c>
      <c r="R352" s="2" t="inlineStr"/>
    </row>
    <row r="353" ht="15" customHeight="1">
      <c r="A353" t="inlineStr">
        <is>
          <t>A 27680-2025</t>
        </is>
      </c>
      <c r="B353" s="1" t="n">
        <v>45813</v>
      </c>
      <c r="C353" s="1" t="n">
        <v>46201</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50278-2023</t>
        </is>
      </c>
      <c r="B354" s="1" t="n">
        <v>45216</v>
      </c>
      <c r="C354" s="1" t="n">
        <v>46201</v>
      </c>
      <c r="D354" t="inlineStr">
        <is>
          <t>DALARNAS LÄN</t>
        </is>
      </c>
      <c r="E354" t="inlineStr">
        <is>
          <t>LEKSAND</t>
        </is>
      </c>
      <c r="G354" t="n">
        <v>0.4</v>
      </c>
      <c r="H354" t="n">
        <v>0</v>
      </c>
      <c r="I354" t="n">
        <v>0</v>
      </c>
      <c r="J354" t="n">
        <v>0</v>
      </c>
      <c r="K354" t="n">
        <v>0</v>
      </c>
      <c r="L354" t="n">
        <v>0</v>
      </c>
      <c r="M354" t="n">
        <v>0</v>
      </c>
      <c r="N354" t="n">
        <v>0</v>
      </c>
      <c r="O354" t="n">
        <v>0</v>
      </c>
      <c r="P354" t="n">
        <v>0</v>
      </c>
      <c r="Q354" t="n">
        <v>0</v>
      </c>
      <c r="R354" s="2" t="inlineStr"/>
    </row>
    <row r="355" ht="15" customHeight="1">
      <c r="A355" t="inlineStr">
        <is>
          <t>A 31850-2024</t>
        </is>
      </c>
      <c r="B355" s="1" t="n">
        <v>45509</v>
      </c>
      <c r="C355" s="1" t="n">
        <v>46201</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27244-2023</t>
        </is>
      </c>
      <c r="B356" s="1" t="n">
        <v>45096</v>
      </c>
      <c r="C356" s="1" t="n">
        <v>46201</v>
      </c>
      <c r="D356" t="inlineStr">
        <is>
          <t>DALARNAS LÄN</t>
        </is>
      </c>
      <c r="E356" t="inlineStr">
        <is>
          <t>LEKSAND</t>
        </is>
      </c>
      <c r="G356" t="n">
        <v>5</v>
      </c>
      <c r="H356" t="n">
        <v>0</v>
      </c>
      <c r="I356" t="n">
        <v>0</v>
      </c>
      <c r="J356" t="n">
        <v>0</v>
      </c>
      <c r="K356" t="n">
        <v>0</v>
      </c>
      <c r="L356" t="n">
        <v>0</v>
      </c>
      <c r="M356" t="n">
        <v>0</v>
      </c>
      <c r="N356" t="n">
        <v>0</v>
      </c>
      <c r="O356" t="n">
        <v>0</v>
      </c>
      <c r="P356" t="n">
        <v>0</v>
      </c>
      <c r="Q356" t="n">
        <v>0</v>
      </c>
      <c r="R356" s="2" t="inlineStr"/>
    </row>
    <row r="357" ht="15" customHeight="1">
      <c r="A357" t="inlineStr">
        <is>
          <t>A 27984-2025</t>
        </is>
      </c>
      <c r="B357" s="1" t="n">
        <v>45817</v>
      </c>
      <c r="C357" s="1" t="n">
        <v>46201</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23323-2023</t>
        </is>
      </c>
      <c r="B358" s="1" t="n">
        <v>45076</v>
      </c>
      <c r="C358" s="1" t="n">
        <v>46201</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33566-2023</t>
        </is>
      </c>
      <c r="B359" s="1" t="n">
        <v>45131</v>
      </c>
      <c r="C359" s="1" t="n">
        <v>46201</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28499-2025</t>
        </is>
      </c>
      <c r="B360" s="1" t="n">
        <v>45818</v>
      </c>
      <c r="C360" s="1" t="n">
        <v>46201</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28483-2025</t>
        </is>
      </c>
      <c r="B361" s="1" t="n">
        <v>45818</v>
      </c>
      <c r="C361" s="1" t="n">
        <v>46201</v>
      </c>
      <c r="D361" t="inlineStr">
        <is>
          <t>DALARNAS LÄN</t>
        </is>
      </c>
      <c r="E361" t="inlineStr">
        <is>
          <t>LEKSAND</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12290-2024</t>
        </is>
      </c>
      <c r="B362" s="1" t="n">
        <v>45378</v>
      </c>
      <c r="C362" s="1" t="n">
        <v>46201</v>
      </c>
      <c r="D362" t="inlineStr">
        <is>
          <t>DALARNAS LÄN</t>
        </is>
      </c>
      <c r="E362" t="inlineStr">
        <is>
          <t>LEKSAND</t>
        </is>
      </c>
      <c r="G362" t="n">
        <v>2.5</v>
      </c>
      <c r="H362" t="n">
        <v>0</v>
      </c>
      <c r="I362" t="n">
        <v>0</v>
      </c>
      <c r="J362" t="n">
        <v>0</v>
      </c>
      <c r="K362" t="n">
        <v>0</v>
      </c>
      <c r="L362" t="n">
        <v>0</v>
      </c>
      <c r="M362" t="n">
        <v>0</v>
      </c>
      <c r="N362" t="n">
        <v>0</v>
      </c>
      <c r="O362" t="n">
        <v>0</v>
      </c>
      <c r="P362" t="n">
        <v>0</v>
      </c>
      <c r="Q362" t="n">
        <v>0</v>
      </c>
      <c r="R362" s="2" t="inlineStr"/>
    </row>
    <row r="363" ht="15" customHeight="1">
      <c r="A363" t="inlineStr">
        <is>
          <t>A 28505-2025</t>
        </is>
      </c>
      <c r="B363" s="1" t="n">
        <v>45818</v>
      </c>
      <c r="C363" s="1" t="n">
        <v>46201</v>
      </c>
      <c r="D363" t="inlineStr">
        <is>
          <t>DALARNAS LÄN</t>
        </is>
      </c>
      <c r="E363" t="inlineStr">
        <is>
          <t>LEKSAND</t>
        </is>
      </c>
      <c r="G363" t="n">
        <v>0.8</v>
      </c>
      <c r="H363" t="n">
        <v>0</v>
      </c>
      <c r="I363" t="n">
        <v>0</v>
      </c>
      <c r="J363" t="n">
        <v>0</v>
      </c>
      <c r="K363" t="n">
        <v>0</v>
      </c>
      <c r="L363" t="n">
        <v>0</v>
      </c>
      <c r="M363" t="n">
        <v>0</v>
      </c>
      <c r="N363" t="n">
        <v>0</v>
      </c>
      <c r="O363" t="n">
        <v>0</v>
      </c>
      <c r="P363" t="n">
        <v>0</v>
      </c>
      <c r="Q363" t="n">
        <v>0</v>
      </c>
      <c r="R363" s="2" t="inlineStr"/>
    </row>
    <row r="364" ht="15" customHeight="1">
      <c r="A364" t="inlineStr">
        <is>
          <t>A 30611-2023</t>
        </is>
      </c>
      <c r="B364" s="1" t="n">
        <v>45112</v>
      </c>
      <c r="C364" s="1" t="n">
        <v>46201</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33072-2021</t>
        </is>
      </c>
      <c r="B365" s="1" t="n">
        <v>44375</v>
      </c>
      <c r="C365" s="1" t="n">
        <v>46201</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412-2024</t>
        </is>
      </c>
      <c r="B366" s="1" t="n">
        <v>45296</v>
      </c>
      <c r="C366" s="1" t="n">
        <v>46201</v>
      </c>
      <c r="D366" t="inlineStr">
        <is>
          <t>DALARNAS LÄN</t>
        </is>
      </c>
      <c r="E366" t="inlineStr">
        <is>
          <t>LEKSAND</t>
        </is>
      </c>
      <c r="G366" t="n">
        <v>1.9</v>
      </c>
      <c r="H366" t="n">
        <v>0</v>
      </c>
      <c r="I366" t="n">
        <v>0</v>
      </c>
      <c r="J366" t="n">
        <v>0</v>
      </c>
      <c r="K366" t="n">
        <v>0</v>
      </c>
      <c r="L366" t="n">
        <v>0</v>
      </c>
      <c r="M366" t="n">
        <v>0</v>
      </c>
      <c r="N366" t="n">
        <v>0</v>
      </c>
      <c r="O366" t="n">
        <v>0</v>
      </c>
      <c r="P366" t="n">
        <v>0</v>
      </c>
      <c r="Q366" t="n">
        <v>0</v>
      </c>
      <c r="R366" s="2" t="inlineStr"/>
    </row>
    <row r="367" ht="15" customHeight="1">
      <c r="A367" t="inlineStr">
        <is>
          <t>A 28770-2025</t>
        </is>
      </c>
      <c r="B367" s="1" t="n">
        <v>45820</v>
      </c>
      <c r="C367" s="1" t="n">
        <v>46201</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56330-2022</t>
        </is>
      </c>
      <c r="B368" s="1" t="n">
        <v>44890</v>
      </c>
      <c r="C368" s="1" t="n">
        <v>46201</v>
      </c>
      <c r="D368" t="inlineStr">
        <is>
          <t>DALARNAS LÄN</t>
        </is>
      </c>
      <c r="E368" t="inlineStr">
        <is>
          <t>LEKSAND</t>
        </is>
      </c>
      <c r="G368" t="n">
        <v>4.9</v>
      </c>
      <c r="H368" t="n">
        <v>0</v>
      </c>
      <c r="I368" t="n">
        <v>0</v>
      </c>
      <c r="J368" t="n">
        <v>0</v>
      </c>
      <c r="K368" t="n">
        <v>0</v>
      </c>
      <c r="L368" t="n">
        <v>0</v>
      </c>
      <c r="M368" t="n">
        <v>0</v>
      </c>
      <c r="N368" t="n">
        <v>0</v>
      </c>
      <c r="O368" t="n">
        <v>0</v>
      </c>
      <c r="P368" t="n">
        <v>0</v>
      </c>
      <c r="Q368" t="n">
        <v>0</v>
      </c>
      <c r="R368" s="2" t="inlineStr"/>
    </row>
    <row r="369" ht="15" customHeight="1">
      <c r="A369" t="inlineStr">
        <is>
          <t>A 29553-2025</t>
        </is>
      </c>
      <c r="B369" s="1" t="n">
        <v>45825</v>
      </c>
      <c r="C369" s="1" t="n">
        <v>46201</v>
      </c>
      <c r="D369" t="inlineStr">
        <is>
          <t>DALARNAS LÄN</t>
        </is>
      </c>
      <c r="E369" t="inlineStr">
        <is>
          <t>LEKSAND</t>
        </is>
      </c>
      <c r="G369" t="n">
        <v>1.8</v>
      </c>
      <c r="H369" t="n">
        <v>0</v>
      </c>
      <c r="I369" t="n">
        <v>0</v>
      </c>
      <c r="J369" t="n">
        <v>0</v>
      </c>
      <c r="K369" t="n">
        <v>0</v>
      </c>
      <c r="L369" t="n">
        <v>0</v>
      </c>
      <c r="M369" t="n">
        <v>0</v>
      </c>
      <c r="N369" t="n">
        <v>0</v>
      </c>
      <c r="O369" t="n">
        <v>0</v>
      </c>
      <c r="P369" t="n">
        <v>0</v>
      </c>
      <c r="Q369" t="n">
        <v>0</v>
      </c>
      <c r="R369" s="2" t="inlineStr"/>
    </row>
    <row r="370" ht="15" customHeight="1">
      <c r="A370" t="inlineStr">
        <is>
          <t>A 17606-2024</t>
        </is>
      </c>
      <c r="B370" s="1" t="n">
        <v>45415</v>
      </c>
      <c r="C370" s="1" t="n">
        <v>46201</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39819-2024</t>
        </is>
      </c>
      <c r="B371" s="1" t="n">
        <v>45553</v>
      </c>
      <c r="C371" s="1" t="n">
        <v>46201</v>
      </c>
      <c r="D371" t="inlineStr">
        <is>
          <t>DALARNAS LÄN</t>
        </is>
      </c>
      <c r="E371" t="inlineStr">
        <is>
          <t>LEKSAND</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29005-2025</t>
        </is>
      </c>
      <c r="B372" s="1" t="n">
        <v>45821</v>
      </c>
      <c r="C372" s="1" t="n">
        <v>46201</v>
      </c>
      <c r="D372" t="inlineStr">
        <is>
          <t>DALARNAS LÄN</t>
        </is>
      </c>
      <c r="E372" t="inlineStr">
        <is>
          <t>LEKSAND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30254-2025</t>
        </is>
      </c>
      <c r="B373" s="1" t="n">
        <v>45827</v>
      </c>
      <c r="C373" s="1" t="n">
        <v>46201</v>
      </c>
      <c r="D373" t="inlineStr">
        <is>
          <t>DALARNAS LÄN</t>
        </is>
      </c>
      <c r="E373" t="inlineStr">
        <is>
          <t>LEKSAND</t>
        </is>
      </c>
      <c r="G373" t="n">
        <v>3.5</v>
      </c>
      <c r="H373" t="n">
        <v>0</v>
      </c>
      <c r="I373" t="n">
        <v>0</v>
      </c>
      <c r="J373" t="n">
        <v>0</v>
      </c>
      <c r="K373" t="n">
        <v>0</v>
      </c>
      <c r="L373" t="n">
        <v>0</v>
      </c>
      <c r="M373" t="n">
        <v>0</v>
      </c>
      <c r="N373" t="n">
        <v>0</v>
      </c>
      <c r="O373" t="n">
        <v>0</v>
      </c>
      <c r="P373" t="n">
        <v>0</v>
      </c>
      <c r="Q373" t="n">
        <v>0</v>
      </c>
      <c r="R373" s="2" t="inlineStr"/>
    </row>
    <row r="374" ht="15" customHeight="1">
      <c r="A374" t="inlineStr">
        <is>
          <t>A 59673-2023</t>
        </is>
      </c>
      <c r="B374" s="1" t="n">
        <v>45255</v>
      </c>
      <c r="C374" s="1" t="n">
        <v>46201</v>
      </c>
      <c r="D374" t="inlineStr">
        <is>
          <t>DALARNAS LÄN</t>
        </is>
      </c>
      <c r="E374" t="inlineStr">
        <is>
          <t>LEKSAND</t>
        </is>
      </c>
      <c r="G374" t="n">
        <v>12.2</v>
      </c>
      <c r="H374" t="n">
        <v>0</v>
      </c>
      <c r="I374" t="n">
        <v>0</v>
      </c>
      <c r="J374" t="n">
        <v>0</v>
      </c>
      <c r="K374" t="n">
        <v>0</v>
      </c>
      <c r="L374" t="n">
        <v>0</v>
      </c>
      <c r="M374" t="n">
        <v>0</v>
      </c>
      <c r="N374" t="n">
        <v>0</v>
      </c>
      <c r="O374" t="n">
        <v>0</v>
      </c>
      <c r="P374" t="n">
        <v>0</v>
      </c>
      <c r="Q374" t="n">
        <v>0</v>
      </c>
      <c r="R374" s="2" t="inlineStr"/>
    </row>
    <row r="375" ht="15" customHeight="1">
      <c r="A375" t="inlineStr">
        <is>
          <t>A 17726-2024</t>
        </is>
      </c>
      <c r="B375" s="1" t="n">
        <v>45418</v>
      </c>
      <c r="C375" s="1" t="n">
        <v>46201</v>
      </c>
      <c r="D375" t="inlineStr">
        <is>
          <t>DALARNAS LÄN</t>
        </is>
      </c>
      <c r="E375" t="inlineStr">
        <is>
          <t>LEKSAND</t>
        </is>
      </c>
      <c r="G375" t="n">
        <v>5.2</v>
      </c>
      <c r="H375" t="n">
        <v>0</v>
      </c>
      <c r="I375" t="n">
        <v>0</v>
      </c>
      <c r="J375" t="n">
        <v>0</v>
      </c>
      <c r="K375" t="n">
        <v>0</v>
      </c>
      <c r="L375" t="n">
        <v>0</v>
      </c>
      <c r="M375" t="n">
        <v>0</v>
      </c>
      <c r="N375" t="n">
        <v>0</v>
      </c>
      <c r="O375" t="n">
        <v>0</v>
      </c>
      <c r="P375" t="n">
        <v>0</v>
      </c>
      <c r="Q375" t="n">
        <v>0</v>
      </c>
      <c r="R375" s="2" t="inlineStr"/>
    </row>
    <row r="376" ht="15" customHeight="1">
      <c r="A376" t="inlineStr">
        <is>
          <t>A 32-2024</t>
        </is>
      </c>
      <c r="B376" s="1" t="n">
        <v>45293</v>
      </c>
      <c r="C376" s="1" t="n">
        <v>46201</v>
      </c>
      <c r="D376" t="inlineStr">
        <is>
          <t>DALARNAS LÄN</t>
        </is>
      </c>
      <c r="E376" t="inlineStr">
        <is>
          <t>LEKSAND</t>
        </is>
      </c>
      <c r="G376" t="n">
        <v>0.6</v>
      </c>
      <c r="H376" t="n">
        <v>0</v>
      </c>
      <c r="I376" t="n">
        <v>0</v>
      </c>
      <c r="J376" t="n">
        <v>0</v>
      </c>
      <c r="K376" t="n">
        <v>0</v>
      </c>
      <c r="L376" t="n">
        <v>0</v>
      </c>
      <c r="M376" t="n">
        <v>0</v>
      </c>
      <c r="N376" t="n">
        <v>0</v>
      </c>
      <c r="O376" t="n">
        <v>0</v>
      </c>
      <c r="P376" t="n">
        <v>0</v>
      </c>
      <c r="Q376" t="n">
        <v>0</v>
      </c>
      <c r="R376" s="2" t="inlineStr"/>
    </row>
    <row r="377" ht="15" customHeight="1">
      <c r="A377" t="inlineStr">
        <is>
          <t>A 1719-2024</t>
        </is>
      </c>
      <c r="B377" s="1" t="n">
        <v>45307</v>
      </c>
      <c r="C377" s="1" t="n">
        <v>46201</v>
      </c>
      <c r="D377" t="inlineStr">
        <is>
          <t>DALARNAS LÄN</t>
        </is>
      </c>
      <c r="E377" t="inlineStr">
        <is>
          <t>LEKSAND</t>
        </is>
      </c>
      <c r="G377" t="n">
        <v>2.8</v>
      </c>
      <c r="H377" t="n">
        <v>0</v>
      </c>
      <c r="I377" t="n">
        <v>0</v>
      </c>
      <c r="J377" t="n">
        <v>0</v>
      </c>
      <c r="K377" t="n">
        <v>0</v>
      </c>
      <c r="L377" t="n">
        <v>0</v>
      </c>
      <c r="M377" t="n">
        <v>0</v>
      </c>
      <c r="N377" t="n">
        <v>0</v>
      </c>
      <c r="O377" t="n">
        <v>0</v>
      </c>
      <c r="P377" t="n">
        <v>0</v>
      </c>
      <c r="Q377" t="n">
        <v>0</v>
      </c>
      <c r="R377" s="2" t="inlineStr"/>
    </row>
    <row r="378" ht="15" customHeight="1">
      <c r="A378" t="inlineStr">
        <is>
          <t>A 10299-2024</t>
        </is>
      </c>
      <c r="B378" s="1" t="n">
        <v>45365</v>
      </c>
      <c r="C378" s="1" t="n">
        <v>46201</v>
      </c>
      <c r="D378" t="inlineStr">
        <is>
          <t>DALARNAS LÄN</t>
        </is>
      </c>
      <c r="E378" t="inlineStr">
        <is>
          <t>LEKSAND</t>
        </is>
      </c>
      <c r="G378" t="n">
        <v>3.6</v>
      </c>
      <c r="H378" t="n">
        <v>0</v>
      </c>
      <c r="I378" t="n">
        <v>0</v>
      </c>
      <c r="J378" t="n">
        <v>0</v>
      </c>
      <c r="K378" t="n">
        <v>0</v>
      </c>
      <c r="L378" t="n">
        <v>0</v>
      </c>
      <c r="M378" t="n">
        <v>0</v>
      </c>
      <c r="N378" t="n">
        <v>0</v>
      </c>
      <c r="O378" t="n">
        <v>0</v>
      </c>
      <c r="P378" t="n">
        <v>0</v>
      </c>
      <c r="Q378" t="n">
        <v>0</v>
      </c>
      <c r="R378" s="2" t="inlineStr"/>
    </row>
    <row r="379" ht="15" customHeight="1">
      <c r="A379" t="inlineStr">
        <is>
          <t>A 36450-2023</t>
        </is>
      </c>
      <c r="B379" s="1" t="n">
        <v>45152</v>
      </c>
      <c r="C379" s="1" t="n">
        <v>46201</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33463-2023</t>
        </is>
      </c>
      <c r="B380" s="1" t="n">
        <v>45131</v>
      </c>
      <c r="C380" s="1" t="n">
        <v>46201</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19559-2023</t>
        </is>
      </c>
      <c r="B381" s="1" t="n">
        <v>45050</v>
      </c>
      <c r="C381" s="1" t="n">
        <v>46201</v>
      </c>
      <c r="D381" t="inlineStr">
        <is>
          <t>DALARNAS LÄN</t>
        </is>
      </c>
      <c r="E381" t="inlineStr">
        <is>
          <t>LEKSAND</t>
        </is>
      </c>
      <c r="G381" t="n">
        <v>0.1</v>
      </c>
      <c r="H381" t="n">
        <v>0</v>
      </c>
      <c r="I381" t="n">
        <v>0</v>
      </c>
      <c r="J381" t="n">
        <v>0</v>
      </c>
      <c r="K381" t="n">
        <v>0</v>
      </c>
      <c r="L381" t="n">
        <v>0</v>
      </c>
      <c r="M381" t="n">
        <v>0</v>
      </c>
      <c r="N381" t="n">
        <v>0</v>
      </c>
      <c r="O381" t="n">
        <v>0</v>
      </c>
      <c r="P381" t="n">
        <v>0</v>
      </c>
      <c r="Q381" t="n">
        <v>0</v>
      </c>
      <c r="R381" s="2" t="inlineStr"/>
    </row>
    <row r="382" ht="15" customHeight="1">
      <c r="A382" t="inlineStr">
        <is>
          <t>A 48721-2023</t>
        </is>
      </c>
      <c r="B382" s="1" t="n">
        <v>45203</v>
      </c>
      <c r="C382" s="1" t="n">
        <v>46201</v>
      </c>
      <c r="D382" t="inlineStr">
        <is>
          <t>DALARNAS LÄN</t>
        </is>
      </c>
      <c r="E382" t="inlineStr">
        <is>
          <t>LEKSAND</t>
        </is>
      </c>
      <c r="G382" t="n">
        <v>2.9</v>
      </c>
      <c r="H382" t="n">
        <v>0</v>
      </c>
      <c r="I382" t="n">
        <v>0</v>
      </c>
      <c r="J382" t="n">
        <v>0</v>
      </c>
      <c r="K382" t="n">
        <v>0</v>
      </c>
      <c r="L382" t="n">
        <v>0</v>
      </c>
      <c r="M382" t="n">
        <v>0</v>
      </c>
      <c r="N382" t="n">
        <v>0</v>
      </c>
      <c r="O382" t="n">
        <v>0</v>
      </c>
      <c r="P382" t="n">
        <v>0</v>
      </c>
      <c r="Q382" t="n">
        <v>0</v>
      </c>
      <c r="R382" s="2" t="inlineStr"/>
    </row>
    <row r="383" ht="15" customHeight="1">
      <c r="A383" t="inlineStr">
        <is>
          <t>A 43142-2024</t>
        </is>
      </c>
      <c r="B383" s="1" t="n">
        <v>45567</v>
      </c>
      <c r="C383" s="1" t="n">
        <v>46201</v>
      </c>
      <c r="D383" t="inlineStr">
        <is>
          <t>DALARNAS LÄN</t>
        </is>
      </c>
      <c r="E383" t="inlineStr">
        <is>
          <t>LEKSAND</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12992-2022</t>
        </is>
      </c>
      <c r="B384" s="1" t="n">
        <v>44643</v>
      </c>
      <c r="C384" s="1" t="n">
        <v>46201</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16135-2023</t>
        </is>
      </c>
      <c r="B385" s="1" t="n">
        <v>45027</v>
      </c>
      <c r="C385" s="1" t="n">
        <v>46201</v>
      </c>
      <c r="D385" t="inlineStr">
        <is>
          <t>DALARNAS LÄN</t>
        </is>
      </c>
      <c r="E385" t="inlineStr">
        <is>
          <t>LEKSAND</t>
        </is>
      </c>
      <c r="G385" t="n">
        <v>4.9</v>
      </c>
      <c r="H385" t="n">
        <v>0</v>
      </c>
      <c r="I385" t="n">
        <v>0</v>
      </c>
      <c r="J385" t="n">
        <v>0</v>
      </c>
      <c r="K385" t="n">
        <v>0</v>
      </c>
      <c r="L385" t="n">
        <v>0</v>
      </c>
      <c r="M385" t="n">
        <v>0</v>
      </c>
      <c r="N385" t="n">
        <v>0</v>
      </c>
      <c r="O385" t="n">
        <v>0</v>
      </c>
      <c r="P385" t="n">
        <v>0</v>
      </c>
      <c r="Q385" t="n">
        <v>0</v>
      </c>
      <c r="R385" s="2" t="inlineStr"/>
    </row>
    <row r="386" ht="15" customHeight="1">
      <c r="A386" t="inlineStr">
        <is>
          <t>A 30920-2025</t>
        </is>
      </c>
      <c r="B386" s="1" t="n">
        <v>45832</v>
      </c>
      <c r="C386" s="1" t="n">
        <v>46201</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59859-2023</t>
        </is>
      </c>
      <c r="B387" s="1" t="n">
        <v>45257</v>
      </c>
      <c r="C387" s="1" t="n">
        <v>46201</v>
      </c>
      <c r="D387" t="inlineStr">
        <is>
          <t>DALARNAS LÄN</t>
        </is>
      </c>
      <c r="E387" t="inlineStr">
        <is>
          <t>LEKSAND</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30917-2025</t>
        </is>
      </c>
      <c r="B388" s="1" t="n">
        <v>45832</v>
      </c>
      <c r="C388" s="1" t="n">
        <v>46201</v>
      </c>
      <c r="D388" t="inlineStr">
        <is>
          <t>DALARNAS LÄN</t>
        </is>
      </c>
      <c r="E388" t="inlineStr">
        <is>
          <t>LEKSAND</t>
        </is>
      </c>
      <c r="G388" t="n">
        <v>1.2</v>
      </c>
      <c r="H388" t="n">
        <v>0</v>
      </c>
      <c r="I388" t="n">
        <v>0</v>
      </c>
      <c r="J388" t="n">
        <v>0</v>
      </c>
      <c r="K388" t="n">
        <v>0</v>
      </c>
      <c r="L388" t="n">
        <v>0</v>
      </c>
      <c r="M388" t="n">
        <v>0</v>
      </c>
      <c r="N388" t="n">
        <v>0</v>
      </c>
      <c r="O388" t="n">
        <v>0</v>
      </c>
      <c r="P388" t="n">
        <v>0</v>
      </c>
      <c r="Q388" t="n">
        <v>0</v>
      </c>
      <c r="R388" s="2" t="inlineStr"/>
    </row>
    <row r="389" ht="15" customHeight="1">
      <c r="A389" t="inlineStr">
        <is>
          <t>A 39136-2023</t>
        </is>
      </c>
      <c r="B389" s="1" t="n">
        <v>45165</v>
      </c>
      <c r="C389" s="1" t="n">
        <v>46201</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31446-2025</t>
        </is>
      </c>
      <c r="B390" s="1" t="n">
        <v>45833</v>
      </c>
      <c r="C390" s="1" t="n">
        <v>46201</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30911-2025</t>
        </is>
      </c>
      <c r="B391" s="1" t="n">
        <v>45832</v>
      </c>
      <c r="C391" s="1" t="n">
        <v>46201</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53193-2024</t>
        </is>
      </c>
      <c r="B392" s="1" t="n">
        <v>45610</v>
      </c>
      <c r="C392" s="1" t="n">
        <v>46201</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14615-2024</t>
        </is>
      </c>
      <c r="B393" s="1" t="n">
        <v>45397</v>
      </c>
      <c r="C393" s="1" t="n">
        <v>46201</v>
      </c>
      <c r="D393" t="inlineStr">
        <is>
          <t>DALARNAS LÄN</t>
        </is>
      </c>
      <c r="E393" t="inlineStr">
        <is>
          <t>LEKSAND</t>
        </is>
      </c>
      <c r="G393" t="n">
        <v>0.4</v>
      </c>
      <c r="H393" t="n">
        <v>0</v>
      </c>
      <c r="I393" t="n">
        <v>0</v>
      </c>
      <c r="J393" t="n">
        <v>0</v>
      </c>
      <c r="K393" t="n">
        <v>0</v>
      </c>
      <c r="L393" t="n">
        <v>0</v>
      </c>
      <c r="M393" t="n">
        <v>0</v>
      </c>
      <c r="N393" t="n">
        <v>0</v>
      </c>
      <c r="O393" t="n">
        <v>0</v>
      </c>
      <c r="P393" t="n">
        <v>0</v>
      </c>
      <c r="Q393" t="n">
        <v>0</v>
      </c>
      <c r="R393" s="2" t="inlineStr"/>
    </row>
    <row r="394" ht="15" customHeight="1">
      <c r="A394" t="inlineStr">
        <is>
          <t>A 23663-2024</t>
        </is>
      </c>
      <c r="B394" s="1" t="n">
        <v>45454</v>
      </c>
      <c r="C394" s="1" t="n">
        <v>46201</v>
      </c>
      <c r="D394" t="inlineStr">
        <is>
          <t>DALARNAS LÄN</t>
        </is>
      </c>
      <c r="E394" t="inlineStr">
        <is>
          <t>LEKSAND</t>
        </is>
      </c>
      <c r="G394" t="n">
        <v>2.5</v>
      </c>
      <c r="H394" t="n">
        <v>0</v>
      </c>
      <c r="I394" t="n">
        <v>0</v>
      </c>
      <c r="J394" t="n">
        <v>0</v>
      </c>
      <c r="K394" t="n">
        <v>0</v>
      </c>
      <c r="L394" t="n">
        <v>0</v>
      </c>
      <c r="M394" t="n">
        <v>0</v>
      </c>
      <c r="N394" t="n">
        <v>0</v>
      </c>
      <c r="O394" t="n">
        <v>0</v>
      </c>
      <c r="P394" t="n">
        <v>0</v>
      </c>
      <c r="Q394" t="n">
        <v>0</v>
      </c>
      <c r="R394" s="2" t="inlineStr"/>
    </row>
    <row r="395" ht="15" customHeight="1">
      <c r="A395" t="inlineStr">
        <is>
          <t>A 8211-2023</t>
        </is>
      </c>
      <c r="B395" s="1" t="n">
        <v>44974</v>
      </c>
      <c r="C395" s="1" t="n">
        <v>46201</v>
      </c>
      <c r="D395" t="inlineStr">
        <is>
          <t>DALARNAS LÄN</t>
        </is>
      </c>
      <c r="E395" t="inlineStr">
        <is>
          <t>LEKSAND</t>
        </is>
      </c>
      <c r="G395" t="n">
        <v>5.2</v>
      </c>
      <c r="H395" t="n">
        <v>0</v>
      </c>
      <c r="I395" t="n">
        <v>0</v>
      </c>
      <c r="J395" t="n">
        <v>0</v>
      </c>
      <c r="K395" t="n">
        <v>0</v>
      </c>
      <c r="L395" t="n">
        <v>0</v>
      </c>
      <c r="M395" t="n">
        <v>0</v>
      </c>
      <c r="N395" t="n">
        <v>0</v>
      </c>
      <c r="O395" t="n">
        <v>0</v>
      </c>
      <c r="P395" t="n">
        <v>0</v>
      </c>
      <c r="Q395" t="n">
        <v>0</v>
      </c>
      <c r="R395" s="2" t="inlineStr"/>
    </row>
    <row r="396" ht="15" customHeight="1">
      <c r="A396" t="inlineStr">
        <is>
          <t>A 53817-2023</t>
        </is>
      </c>
      <c r="B396" s="1" t="n">
        <v>45231</v>
      </c>
      <c r="C396" s="1" t="n">
        <v>46201</v>
      </c>
      <c r="D396" t="inlineStr">
        <is>
          <t>DALARNAS LÄN</t>
        </is>
      </c>
      <c r="E396" t="inlineStr">
        <is>
          <t>LEKSAND</t>
        </is>
      </c>
      <c r="G396" t="n">
        <v>1.2</v>
      </c>
      <c r="H396" t="n">
        <v>0</v>
      </c>
      <c r="I396" t="n">
        <v>0</v>
      </c>
      <c r="J396" t="n">
        <v>0</v>
      </c>
      <c r="K396" t="n">
        <v>0</v>
      </c>
      <c r="L396" t="n">
        <v>0</v>
      </c>
      <c r="M396" t="n">
        <v>0</v>
      </c>
      <c r="N396" t="n">
        <v>0</v>
      </c>
      <c r="O396" t="n">
        <v>0</v>
      </c>
      <c r="P396" t="n">
        <v>0</v>
      </c>
      <c r="Q396" t="n">
        <v>0</v>
      </c>
      <c r="R396" s="2" t="inlineStr"/>
    </row>
    <row r="397" ht="15" customHeight="1">
      <c r="A397" t="inlineStr">
        <is>
          <t>A 32301-2025</t>
        </is>
      </c>
      <c r="B397" s="1" t="n">
        <v>45835</v>
      </c>
      <c r="C397" s="1" t="n">
        <v>46201</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32855-2025</t>
        </is>
      </c>
      <c r="B398" s="1" t="n">
        <v>45839</v>
      </c>
      <c r="C398" s="1" t="n">
        <v>46201</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62993-2023</t>
        </is>
      </c>
      <c r="B399" s="1" t="n">
        <v>45272</v>
      </c>
      <c r="C399" s="1" t="n">
        <v>46201</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40230-2023</t>
        </is>
      </c>
      <c r="B400" s="1" t="n">
        <v>45169</v>
      </c>
      <c r="C400" s="1" t="n">
        <v>46201</v>
      </c>
      <c r="D400" t="inlineStr">
        <is>
          <t>DALARNAS LÄN</t>
        </is>
      </c>
      <c r="E400" t="inlineStr">
        <is>
          <t>LEKSAND</t>
        </is>
      </c>
      <c r="G400" t="n">
        <v>0.5</v>
      </c>
      <c r="H400" t="n">
        <v>0</v>
      </c>
      <c r="I400" t="n">
        <v>0</v>
      </c>
      <c r="J400" t="n">
        <v>0</v>
      </c>
      <c r="K400" t="n">
        <v>0</v>
      </c>
      <c r="L400" t="n">
        <v>0</v>
      </c>
      <c r="M400" t="n">
        <v>0</v>
      </c>
      <c r="N400" t="n">
        <v>0</v>
      </c>
      <c r="O400" t="n">
        <v>0</v>
      </c>
      <c r="P400" t="n">
        <v>0</v>
      </c>
      <c r="Q400" t="n">
        <v>0</v>
      </c>
      <c r="R400" s="2" t="inlineStr"/>
    </row>
    <row r="401" ht="15" customHeight="1">
      <c r="A401" t="inlineStr">
        <is>
          <t>A 32593-2025</t>
        </is>
      </c>
      <c r="B401" s="1" t="n">
        <v>45838</v>
      </c>
      <c r="C401" s="1" t="n">
        <v>46201</v>
      </c>
      <c r="D401" t="inlineStr">
        <is>
          <t>DALARNAS LÄN</t>
        </is>
      </c>
      <c r="E401" t="inlineStr">
        <is>
          <t>LEKSAND</t>
        </is>
      </c>
      <c r="F401" t="inlineStr">
        <is>
          <t>Bergvik skog väst AB</t>
        </is>
      </c>
      <c r="G401" t="n">
        <v>1</v>
      </c>
      <c r="H401" t="n">
        <v>0</v>
      </c>
      <c r="I401" t="n">
        <v>0</v>
      </c>
      <c r="J401" t="n">
        <v>0</v>
      </c>
      <c r="K401" t="n">
        <v>0</v>
      </c>
      <c r="L401" t="n">
        <v>0</v>
      </c>
      <c r="M401" t="n">
        <v>0</v>
      </c>
      <c r="N401" t="n">
        <v>0</v>
      </c>
      <c r="O401" t="n">
        <v>0</v>
      </c>
      <c r="P401" t="n">
        <v>0</v>
      </c>
      <c r="Q401" t="n">
        <v>0</v>
      </c>
      <c r="R401" s="2" t="inlineStr"/>
    </row>
    <row r="402" ht="15" customHeight="1">
      <c r="A402" t="inlineStr">
        <is>
          <t>A 11712-2025</t>
        </is>
      </c>
      <c r="B402" s="1" t="n">
        <v>45727</v>
      </c>
      <c r="C402" s="1" t="n">
        <v>46201</v>
      </c>
      <c r="D402" t="inlineStr">
        <is>
          <t>DALARNAS LÄN</t>
        </is>
      </c>
      <c r="E402" t="inlineStr">
        <is>
          <t>LEKSAND</t>
        </is>
      </c>
      <c r="G402" t="n">
        <v>6</v>
      </c>
      <c r="H402" t="n">
        <v>0</v>
      </c>
      <c r="I402" t="n">
        <v>0</v>
      </c>
      <c r="J402" t="n">
        <v>0</v>
      </c>
      <c r="K402" t="n">
        <v>0</v>
      </c>
      <c r="L402" t="n">
        <v>0</v>
      </c>
      <c r="M402" t="n">
        <v>0</v>
      </c>
      <c r="N402" t="n">
        <v>0</v>
      </c>
      <c r="O402" t="n">
        <v>0</v>
      </c>
      <c r="P402" t="n">
        <v>0</v>
      </c>
      <c r="Q402" t="n">
        <v>0</v>
      </c>
      <c r="R402" s="2" t="inlineStr"/>
    </row>
    <row r="403" ht="15" customHeight="1">
      <c r="A403" t="inlineStr">
        <is>
          <t>A 42230-2023</t>
        </is>
      </c>
      <c r="B403" s="1" t="n">
        <v>45180</v>
      </c>
      <c r="C403" s="1" t="n">
        <v>46201</v>
      </c>
      <c r="D403" t="inlineStr">
        <is>
          <t>DALARNAS LÄN</t>
        </is>
      </c>
      <c r="E403" t="inlineStr">
        <is>
          <t>LEKSAND</t>
        </is>
      </c>
      <c r="G403" t="n">
        <v>0.6</v>
      </c>
      <c r="H403" t="n">
        <v>0</v>
      </c>
      <c r="I403" t="n">
        <v>0</v>
      </c>
      <c r="J403" t="n">
        <v>0</v>
      </c>
      <c r="K403" t="n">
        <v>0</v>
      </c>
      <c r="L403" t="n">
        <v>0</v>
      </c>
      <c r="M403" t="n">
        <v>0</v>
      </c>
      <c r="N403" t="n">
        <v>0</v>
      </c>
      <c r="O403" t="n">
        <v>0</v>
      </c>
      <c r="P403" t="n">
        <v>0</v>
      </c>
      <c r="Q403" t="n">
        <v>0</v>
      </c>
      <c r="R403" s="2" t="inlineStr"/>
    </row>
    <row r="404" ht="15" customHeight="1">
      <c r="A404" t="inlineStr">
        <is>
          <t>A 17455-2022</t>
        </is>
      </c>
      <c r="B404" s="1" t="n">
        <v>44679</v>
      </c>
      <c r="C404" s="1" t="n">
        <v>46201</v>
      </c>
      <c r="D404" t="inlineStr">
        <is>
          <t>DALARNAS LÄN</t>
        </is>
      </c>
      <c r="E404" t="inlineStr">
        <is>
          <t>LEKSAND</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50447-2023</t>
        </is>
      </c>
      <c r="B405" s="1" t="n">
        <v>45216</v>
      </c>
      <c r="C405" s="1" t="n">
        <v>46201</v>
      </c>
      <c r="D405" t="inlineStr">
        <is>
          <t>DALARNAS LÄN</t>
        </is>
      </c>
      <c r="E405" t="inlineStr">
        <is>
          <t>LEKSAND</t>
        </is>
      </c>
      <c r="G405" t="n">
        <v>1.1</v>
      </c>
      <c r="H405" t="n">
        <v>0</v>
      </c>
      <c r="I405" t="n">
        <v>0</v>
      </c>
      <c r="J405" t="n">
        <v>0</v>
      </c>
      <c r="K405" t="n">
        <v>0</v>
      </c>
      <c r="L405" t="n">
        <v>0</v>
      </c>
      <c r="M405" t="n">
        <v>0</v>
      </c>
      <c r="N405" t="n">
        <v>0</v>
      </c>
      <c r="O405" t="n">
        <v>0</v>
      </c>
      <c r="P405" t="n">
        <v>0</v>
      </c>
      <c r="Q405" t="n">
        <v>0</v>
      </c>
      <c r="R405" s="2" t="inlineStr"/>
    </row>
    <row r="406" ht="15" customHeight="1">
      <c r="A406" t="inlineStr">
        <is>
          <t>A 46876-2023</t>
        </is>
      </c>
      <c r="B406" s="1" t="n">
        <v>45200</v>
      </c>
      <c r="C406" s="1" t="n">
        <v>46201</v>
      </c>
      <c r="D406" t="inlineStr">
        <is>
          <t>DALARNAS LÄN</t>
        </is>
      </c>
      <c r="E406" t="inlineStr">
        <is>
          <t>LEKSAND</t>
        </is>
      </c>
      <c r="G406" t="n">
        <v>2.4</v>
      </c>
      <c r="H406" t="n">
        <v>0</v>
      </c>
      <c r="I406" t="n">
        <v>0</v>
      </c>
      <c r="J406" t="n">
        <v>0</v>
      </c>
      <c r="K406" t="n">
        <v>0</v>
      </c>
      <c r="L406" t="n">
        <v>0</v>
      </c>
      <c r="M406" t="n">
        <v>0</v>
      </c>
      <c r="N406" t="n">
        <v>0</v>
      </c>
      <c r="O406" t="n">
        <v>0</v>
      </c>
      <c r="P406" t="n">
        <v>0</v>
      </c>
      <c r="Q406" t="n">
        <v>0</v>
      </c>
      <c r="R406" s="2" t="inlineStr"/>
    </row>
    <row r="407" ht="15" customHeight="1">
      <c r="A407" t="inlineStr">
        <is>
          <t>A 55643-2024</t>
        </is>
      </c>
      <c r="B407" s="1" t="n">
        <v>45621</v>
      </c>
      <c r="C407" s="1" t="n">
        <v>46201</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34537-2025</t>
        </is>
      </c>
      <c r="B408" s="1" t="n">
        <v>45847</v>
      </c>
      <c r="C408" s="1" t="n">
        <v>46201</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7417-2024</t>
        </is>
      </c>
      <c r="B409" s="1" t="n">
        <v>45345</v>
      </c>
      <c r="C409" s="1" t="n">
        <v>46201</v>
      </c>
      <c r="D409" t="inlineStr">
        <is>
          <t>DALARNAS LÄN</t>
        </is>
      </c>
      <c r="E409" t="inlineStr">
        <is>
          <t>LEKSAND</t>
        </is>
      </c>
      <c r="G409" t="n">
        <v>2.8</v>
      </c>
      <c r="H409" t="n">
        <v>0</v>
      </c>
      <c r="I409" t="n">
        <v>0</v>
      </c>
      <c r="J409" t="n">
        <v>0</v>
      </c>
      <c r="K409" t="n">
        <v>0</v>
      </c>
      <c r="L409" t="n">
        <v>0</v>
      </c>
      <c r="M409" t="n">
        <v>0</v>
      </c>
      <c r="N409" t="n">
        <v>0</v>
      </c>
      <c r="O409" t="n">
        <v>0</v>
      </c>
      <c r="P409" t="n">
        <v>0</v>
      </c>
      <c r="Q409" t="n">
        <v>0</v>
      </c>
      <c r="R409" s="2" t="inlineStr"/>
    </row>
    <row r="410" ht="15" customHeight="1">
      <c r="A410" t="inlineStr">
        <is>
          <t>A 22281-2024</t>
        </is>
      </c>
      <c r="B410" s="1" t="n">
        <v>45446</v>
      </c>
      <c r="C410" s="1" t="n">
        <v>46201</v>
      </c>
      <c r="D410" t="inlineStr">
        <is>
          <t>DALARNAS LÄN</t>
        </is>
      </c>
      <c r="E410" t="inlineStr">
        <is>
          <t>LEKSAND</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34965-2025</t>
        </is>
      </c>
      <c r="B411" s="1" t="n">
        <v>45849</v>
      </c>
      <c r="C411" s="1" t="n">
        <v>46201</v>
      </c>
      <c r="D411" t="inlineStr">
        <is>
          <t>DALARNAS LÄN</t>
        </is>
      </c>
      <c r="E411" t="inlineStr">
        <is>
          <t>LEKSAND</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41896-2024</t>
        </is>
      </c>
      <c r="B412" s="1" t="n">
        <v>45561</v>
      </c>
      <c r="C412" s="1" t="n">
        <v>46201</v>
      </c>
      <c r="D412" t="inlineStr">
        <is>
          <t>DALARNAS LÄN</t>
        </is>
      </c>
      <c r="E412" t="inlineStr">
        <is>
          <t>LEKSAND</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34966-2025</t>
        </is>
      </c>
      <c r="B413" s="1" t="n">
        <v>45849</v>
      </c>
      <c r="C413" s="1" t="n">
        <v>46201</v>
      </c>
      <c r="D413" t="inlineStr">
        <is>
          <t>DALARNAS LÄN</t>
        </is>
      </c>
      <c r="E413" t="inlineStr">
        <is>
          <t>LEKSAND</t>
        </is>
      </c>
      <c r="F413" t="inlineStr">
        <is>
          <t>Bergvik skog väst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56016-2024</t>
        </is>
      </c>
      <c r="B414" s="1" t="n">
        <v>45623</v>
      </c>
      <c r="C414" s="1" t="n">
        <v>46201</v>
      </c>
      <c r="D414" t="inlineStr">
        <is>
          <t>DALARNAS LÄN</t>
        </is>
      </c>
      <c r="E414" t="inlineStr">
        <is>
          <t>LEKSAND</t>
        </is>
      </c>
      <c r="G414" t="n">
        <v>6.1</v>
      </c>
      <c r="H414" t="n">
        <v>0</v>
      </c>
      <c r="I414" t="n">
        <v>0</v>
      </c>
      <c r="J414" t="n">
        <v>0</v>
      </c>
      <c r="K414" t="n">
        <v>0</v>
      </c>
      <c r="L414" t="n">
        <v>0</v>
      </c>
      <c r="M414" t="n">
        <v>0</v>
      </c>
      <c r="N414" t="n">
        <v>0</v>
      </c>
      <c r="O414" t="n">
        <v>0</v>
      </c>
      <c r="P414" t="n">
        <v>0</v>
      </c>
      <c r="Q414" t="n">
        <v>0</v>
      </c>
      <c r="R414" s="2" t="inlineStr"/>
    </row>
    <row r="415" ht="15" customHeight="1">
      <c r="A415" t="inlineStr">
        <is>
          <t>A 5873-2025</t>
        </is>
      </c>
      <c r="B415" s="1" t="n">
        <v>45695</v>
      </c>
      <c r="C415" s="1" t="n">
        <v>46201</v>
      </c>
      <c r="D415" t="inlineStr">
        <is>
          <t>DALARNAS LÄN</t>
        </is>
      </c>
      <c r="E415" t="inlineStr">
        <is>
          <t>LEKSAND</t>
        </is>
      </c>
      <c r="G415" t="n">
        <v>1.4</v>
      </c>
      <c r="H415" t="n">
        <v>0</v>
      </c>
      <c r="I415" t="n">
        <v>0</v>
      </c>
      <c r="J415" t="n">
        <v>0</v>
      </c>
      <c r="K415" t="n">
        <v>0</v>
      </c>
      <c r="L415" t="n">
        <v>0</v>
      </c>
      <c r="M415" t="n">
        <v>0</v>
      </c>
      <c r="N415" t="n">
        <v>0</v>
      </c>
      <c r="O415" t="n">
        <v>0</v>
      </c>
      <c r="P415" t="n">
        <v>0</v>
      </c>
      <c r="Q415" t="n">
        <v>0</v>
      </c>
      <c r="R415" s="2" t="inlineStr"/>
    </row>
    <row r="416" ht="15" customHeight="1">
      <c r="A416" t="inlineStr">
        <is>
          <t>A 30994-2023</t>
        </is>
      </c>
      <c r="B416" s="1" t="n">
        <v>45113</v>
      </c>
      <c r="C416" s="1" t="n">
        <v>46201</v>
      </c>
      <c r="D416" t="inlineStr">
        <is>
          <t>DALARNAS LÄN</t>
        </is>
      </c>
      <c r="E416" t="inlineStr">
        <is>
          <t>LEKSAND</t>
        </is>
      </c>
      <c r="G416" t="n">
        <v>1.1</v>
      </c>
      <c r="H416" t="n">
        <v>0</v>
      </c>
      <c r="I416" t="n">
        <v>0</v>
      </c>
      <c r="J416" t="n">
        <v>0</v>
      </c>
      <c r="K416" t="n">
        <v>0</v>
      </c>
      <c r="L416" t="n">
        <v>0</v>
      </c>
      <c r="M416" t="n">
        <v>0</v>
      </c>
      <c r="N416" t="n">
        <v>0</v>
      </c>
      <c r="O416" t="n">
        <v>0</v>
      </c>
      <c r="P416" t="n">
        <v>0</v>
      </c>
      <c r="Q416" t="n">
        <v>0</v>
      </c>
      <c r="R416" s="2" t="inlineStr"/>
    </row>
    <row r="417" ht="15" customHeight="1">
      <c r="A417" t="inlineStr">
        <is>
          <t>A 43470-2024</t>
        </is>
      </c>
      <c r="B417" s="1" t="n">
        <v>45568</v>
      </c>
      <c r="C417" s="1" t="n">
        <v>46201</v>
      </c>
      <c r="D417" t="inlineStr">
        <is>
          <t>DALARNAS LÄN</t>
        </is>
      </c>
      <c r="E417" t="inlineStr">
        <is>
          <t>LEKSAND</t>
        </is>
      </c>
      <c r="G417" t="n">
        <v>3.1</v>
      </c>
      <c r="H417" t="n">
        <v>0</v>
      </c>
      <c r="I417" t="n">
        <v>0</v>
      </c>
      <c r="J417" t="n">
        <v>0</v>
      </c>
      <c r="K417" t="n">
        <v>0</v>
      </c>
      <c r="L417" t="n">
        <v>0</v>
      </c>
      <c r="M417" t="n">
        <v>0</v>
      </c>
      <c r="N417" t="n">
        <v>0</v>
      </c>
      <c r="O417" t="n">
        <v>0</v>
      </c>
      <c r="P417" t="n">
        <v>0</v>
      </c>
      <c r="Q417" t="n">
        <v>0</v>
      </c>
      <c r="R417" s="2" t="inlineStr"/>
    </row>
    <row r="418" ht="15" customHeight="1">
      <c r="A418" t="inlineStr">
        <is>
          <t>A 11606-2025</t>
        </is>
      </c>
      <c r="B418" s="1" t="n">
        <v>45727</v>
      </c>
      <c r="C418" s="1" t="n">
        <v>46201</v>
      </c>
      <c r="D418" t="inlineStr">
        <is>
          <t>DALARNAS LÄN</t>
        </is>
      </c>
      <c r="E418" t="inlineStr">
        <is>
          <t>LEKSAND</t>
        </is>
      </c>
      <c r="G418" t="n">
        <v>2.3</v>
      </c>
      <c r="H418" t="n">
        <v>0</v>
      </c>
      <c r="I418" t="n">
        <v>0</v>
      </c>
      <c r="J418" t="n">
        <v>0</v>
      </c>
      <c r="K418" t="n">
        <v>0</v>
      </c>
      <c r="L418" t="n">
        <v>0</v>
      </c>
      <c r="M418" t="n">
        <v>0</v>
      </c>
      <c r="N418" t="n">
        <v>0</v>
      </c>
      <c r="O418" t="n">
        <v>0</v>
      </c>
      <c r="P418" t="n">
        <v>0</v>
      </c>
      <c r="Q418" t="n">
        <v>0</v>
      </c>
      <c r="R418" s="2" t="inlineStr"/>
    </row>
    <row r="419" ht="15" customHeight="1">
      <c r="A419" t="inlineStr">
        <is>
          <t>A 33306-2023</t>
        </is>
      </c>
      <c r="B419" s="1" t="n">
        <v>45127</v>
      </c>
      <c r="C419" s="1" t="n">
        <v>46201</v>
      </c>
      <c r="D419" t="inlineStr">
        <is>
          <t>DALARNAS LÄN</t>
        </is>
      </c>
      <c r="E419" t="inlineStr">
        <is>
          <t>LEKSAND</t>
        </is>
      </c>
      <c r="G419" t="n">
        <v>2.2</v>
      </c>
      <c r="H419" t="n">
        <v>0</v>
      </c>
      <c r="I419" t="n">
        <v>0</v>
      </c>
      <c r="J419" t="n">
        <v>0</v>
      </c>
      <c r="K419" t="n">
        <v>0</v>
      </c>
      <c r="L419" t="n">
        <v>0</v>
      </c>
      <c r="M419" t="n">
        <v>0</v>
      </c>
      <c r="N419" t="n">
        <v>0</v>
      </c>
      <c r="O419" t="n">
        <v>0</v>
      </c>
      <c r="P419" t="n">
        <v>0</v>
      </c>
      <c r="Q419" t="n">
        <v>0</v>
      </c>
      <c r="R419" s="2" t="inlineStr"/>
    </row>
    <row r="420" ht="15" customHeight="1">
      <c r="A420" t="inlineStr">
        <is>
          <t>A 33316-2023</t>
        </is>
      </c>
      <c r="B420" s="1" t="n">
        <v>45127</v>
      </c>
      <c r="C420" s="1" t="n">
        <v>46201</v>
      </c>
      <c r="D420" t="inlineStr">
        <is>
          <t>DALARNAS LÄN</t>
        </is>
      </c>
      <c r="E420" t="inlineStr">
        <is>
          <t>LEKSAND</t>
        </is>
      </c>
      <c r="G420" t="n">
        <v>8.9</v>
      </c>
      <c r="H420" t="n">
        <v>0</v>
      </c>
      <c r="I420" t="n">
        <v>0</v>
      </c>
      <c r="J420" t="n">
        <v>0</v>
      </c>
      <c r="K420" t="n">
        <v>0</v>
      </c>
      <c r="L420" t="n">
        <v>0</v>
      </c>
      <c r="M420" t="n">
        <v>0</v>
      </c>
      <c r="N420" t="n">
        <v>0</v>
      </c>
      <c r="O420" t="n">
        <v>0</v>
      </c>
      <c r="P420" t="n">
        <v>0</v>
      </c>
      <c r="Q420" t="n">
        <v>0</v>
      </c>
      <c r="R420" s="2" t="inlineStr"/>
    </row>
    <row r="421" ht="15" customHeight="1">
      <c r="A421" t="inlineStr">
        <is>
          <t>A 37832-2023</t>
        </is>
      </c>
      <c r="B421" s="1" t="n">
        <v>45160</v>
      </c>
      <c r="C421" s="1" t="n">
        <v>46201</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22683-2022</t>
        </is>
      </c>
      <c r="B422" s="1" t="n">
        <v>44714</v>
      </c>
      <c r="C422" s="1" t="n">
        <v>46201</v>
      </c>
      <c r="D422" t="inlineStr">
        <is>
          <t>DALARNAS LÄN</t>
        </is>
      </c>
      <c r="E422" t="inlineStr">
        <is>
          <t>LEKSAND</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22517-2024</t>
        </is>
      </c>
      <c r="B423" s="1" t="n">
        <v>45447</v>
      </c>
      <c r="C423" s="1" t="n">
        <v>46201</v>
      </c>
      <c r="D423" t="inlineStr">
        <is>
          <t>DALARNAS LÄN</t>
        </is>
      </c>
      <c r="E423" t="inlineStr">
        <is>
          <t>LEKSAND</t>
        </is>
      </c>
      <c r="G423" t="n">
        <v>0.4</v>
      </c>
      <c r="H423" t="n">
        <v>0</v>
      </c>
      <c r="I423" t="n">
        <v>0</v>
      </c>
      <c r="J423" t="n">
        <v>0</v>
      </c>
      <c r="K423" t="n">
        <v>0</v>
      </c>
      <c r="L423" t="n">
        <v>0</v>
      </c>
      <c r="M423" t="n">
        <v>0</v>
      </c>
      <c r="N423" t="n">
        <v>0</v>
      </c>
      <c r="O423" t="n">
        <v>0</v>
      </c>
      <c r="P423" t="n">
        <v>0</v>
      </c>
      <c r="Q423" t="n">
        <v>0</v>
      </c>
      <c r="R423" s="2" t="inlineStr"/>
    </row>
    <row r="424" ht="15" customHeight="1">
      <c r="A424" t="inlineStr">
        <is>
          <t>A 61953-2023</t>
        </is>
      </c>
      <c r="B424" s="1" t="n">
        <v>45266</v>
      </c>
      <c r="C424" s="1" t="n">
        <v>46201</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62133-2023</t>
        </is>
      </c>
      <c r="B425" s="1" t="n">
        <v>45267</v>
      </c>
      <c r="C425" s="1" t="n">
        <v>46201</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33310-2023</t>
        </is>
      </c>
      <c r="B426" s="1" t="n">
        <v>45127</v>
      </c>
      <c r="C426" s="1" t="n">
        <v>46201</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54844-2021</t>
        </is>
      </c>
      <c r="B427" s="1" t="n">
        <v>44474</v>
      </c>
      <c r="C427" s="1" t="n">
        <v>46201</v>
      </c>
      <c r="D427" t="inlineStr">
        <is>
          <t>DALARNAS LÄN</t>
        </is>
      </c>
      <c r="E427" t="inlineStr">
        <is>
          <t>LEKSAND</t>
        </is>
      </c>
      <c r="G427" t="n">
        <v>1.9</v>
      </c>
      <c r="H427" t="n">
        <v>0</v>
      </c>
      <c r="I427" t="n">
        <v>0</v>
      </c>
      <c r="J427" t="n">
        <v>0</v>
      </c>
      <c r="K427" t="n">
        <v>0</v>
      </c>
      <c r="L427" t="n">
        <v>0</v>
      </c>
      <c r="M427" t="n">
        <v>0</v>
      </c>
      <c r="N427" t="n">
        <v>0</v>
      </c>
      <c r="O427" t="n">
        <v>0</v>
      </c>
      <c r="P427" t="n">
        <v>0</v>
      </c>
      <c r="Q427" t="n">
        <v>0</v>
      </c>
      <c r="R427" s="2" t="inlineStr"/>
    </row>
    <row r="428" ht="15" customHeight="1">
      <c r="A428" t="inlineStr">
        <is>
          <t>A 471-2025</t>
        </is>
      </c>
      <c r="B428" s="1" t="n">
        <v>45664</v>
      </c>
      <c r="C428" s="1" t="n">
        <v>46201</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10967-2023</t>
        </is>
      </c>
      <c r="B429" s="1" t="n">
        <v>44991</v>
      </c>
      <c r="C429" s="1" t="n">
        <v>46201</v>
      </c>
      <c r="D429" t="inlineStr">
        <is>
          <t>DALARNAS LÄN</t>
        </is>
      </c>
      <c r="E429" t="inlineStr">
        <is>
          <t>LEKSAND</t>
        </is>
      </c>
      <c r="G429" t="n">
        <v>0.5</v>
      </c>
      <c r="H429" t="n">
        <v>0</v>
      </c>
      <c r="I429" t="n">
        <v>0</v>
      </c>
      <c r="J429" t="n">
        <v>0</v>
      </c>
      <c r="K429" t="n">
        <v>0</v>
      </c>
      <c r="L429" t="n">
        <v>0</v>
      </c>
      <c r="M429" t="n">
        <v>0</v>
      </c>
      <c r="N429" t="n">
        <v>0</v>
      </c>
      <c r="O429" t="n">
        <v>0</v>
      </c>
      <c r="P429" t="n">
        <v>0</v>
      </c>
      <c r="Q429" t="n">
        <v>0</v>
      </c>
      <c r="R429" s="2" t="inlineStr"/>
    </row>
    <row r="430" ht="15" customHeight="1">
      <c r="A430" t="inlineStr">
        <is>
          <t>A 10974-2023</t>
        </is>
      </c>
      <c r="B430" s="1" t="n">
        <v>44991</v>
      </c>
      <c r="C430" s="1" t="n">
        <v>46201</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36020-2025</t>
        </is>
      </c>
      <c r="B431" s="1" t="n">
        <v>45863</v>
      </c>
      <c r="C431" s="1" t="n">
        <v>46201</v>
      </c>
      <c r="D431" t="inlineStr">
        <is>
          <t>DALARNAS LÄN</t>
        </is>
      </c>
      <c r="E431" t="inlineStr">
        <is>
          <t>LEKSAND</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4121-2024</t>
        </is>
      </c>
      <c r="B432" s="1" t="n">
        <v>45323</v>
      </c>
      <c r="C432" s="1" t="n">
        <v>46201</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36021-2025</t>
        </is>
      </c>
      <c r="B433" s="1" t="n">
        <v>45863</v>
      </c>
      <c r="C433" s="1" t="n">
        <v>46201</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52293-2024</t>
        </is>
      </c>
      <c r="B434" s="1" t="n">
        <v>45608</v>
      </c>
      <c r="C434" s="1" t="n">
        <v>46201</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1182-2025</t>
        </is>
      </c>
      <c r="B435" s="1" t="n">
        <v>45667</v>
      </c>
      <c r="C435" s="1" t="n">
        <v>46201</v>
      </c>
      <c r="D435" t="inlineStr">
        <is>
          <t>DALARNAS LÄN</t>
        </is>
      </c>
      <c r="E435" t="inlineStr">
        <is>
          <t>LEKSAND</t>
        </is>
      </c>
      <c r="G435" t="n">
        <v>1.3</v>
      </c>
      <c r="H435" t="n">
        <v>0</v>
      </c>
      <c r="I435" t="n">
        <v>0</v>
      </c>
      <c r="J435" t="n">
        <v>0</v>
      </c>
      <c r="K435" t="n">
        <v>0</v>
      </c>
      <c r="L435" t="n">
        <v>0</v>
      </c>
      <c r="M435" t="n">
        <v>0</v>
      </c>
      <c r="N435" t="n">
        <v>0</v>
      </c>
      <c r="O435" t="n">
        <v>0</v>
      </c>
      <c r="P435" t="n">
        <v>0</v>
      </c>
      <c r="Q435" t="n">
        <v>0</v>
      </c>
      <c r="R435" s="2" t="inlineStr"/>
    </row>
    <row r="436" ht="15" customHeight="1">
      <c r="A436" t="inlineStr">
        <is>
          <t>A 47203-2023</t>
        </is>
      </c>
      <c r="B436" s="1" t="n">
        <v>45202</v>
      </c>
      <c r="C436" s="1" t="n">
        <v>46201</v>
      </c>
      <c r="D436" t="inlineStr">
        <is>
          <t>DALARNAS LÄN</t>
        </is>
      </c>
      <c r="E436" t="inlineStr">
        <is>
          <t>LEKSAND</t>
        </is>
      </c>
      <c r="G436" t="n">
        <v>2.1</v>
      </c>
      <c r="H436" t="n">
        <v>0</v>
      </c>
      <c r="I436" t="n">
        <v>0</v>
      </c>
      <c r="J436" t="n">
        <v>0</v>
      </c>
      <c r="K436" t="n">
        <v>0</v>
      </c>
      <c r="L436" t="n">
        <v>0</v>
      </c>
      <c r="M436" t="n">
        <v>0</v>
      </c>
      <c r="N436" t="n">
        <v>0</v>
      </c>
      <c r="O436" t="n">
        <v>0</v>
      </c>
      <c r="P436" t="n">
        <v>0</v>
      </c>
      <c r="Q436" t="n">
        <v>0</v>
      </c>
      <c r="R436" s="2" t="inlineStr"/>
    </row>
    <row r="437" ht="15" customHeight="1">
      <c r="A437" t="inlineStr">
        <is>
          <t>A 19295-2024</t>
        </is>
      </c>
      <c r="B437" s="1" t="n">
        <v>45428</v>
      </c>
      <c r="C437" s="1" t="n">
        <v>46201</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25921-2024</t>
        </is>
      </c>
      <c r="B438" s="1" t="n">
        <v>45467</v>
      </c>
      <c r="C438" s="1" t="n">
        <v>46201</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41306-2024</t>
        </is>
      </c>
      <c r="B439" s="1" t="n">
        <v>45559</v>
      </c>
      <c r="C439" s="1" t="n">
        <v>46201</v>
      </c>
      <c r="D439" t="inlineStr">
        <is>
          <t>DALARNAS LÄN</t>
        </is>
      </c>
      <c r="E439" t="inlineStr">
        <is>
          <t>LEKSAND</t>
        </is>
      </c>
      <c r="G439" t="n">
        <v>0.5</v>
      </c>
      <c r="H439" t="n">
        <v>0</v>
      </c>
      <c r="I439" t="n">
        <v>0</v>
      </c>
      <c r="J439" t="n">
        <v>0</v>
      </c>
      <c r="K439" t="n">
        <v>0</v>
      </c>
      <c r="L439" t="n">
        <v>0</v>
      </c>
      <c r="M439" t="n">
        <v>0</v>
      </c>
      <c r="N439" t="n">
        <v>0</v>
      </c>
      <c r="O439" t="n">
        <v>0</v>
      </c>
      <c r="P439" t="n">
        <v>0</v>
      </c>
      <c r="Q439" t="n">
        <v>0</v>
      </c>
      <c r="R439" s="2" t="inlineStr"/>
    </row>
    <row r="440" ht="15" customHeight="1">
      <c r="A440" t="inlineStr">
        <is>
          <t>A 38498-2025</t>
        </is>
      </c>
      <c r="B440" s="1" t="n">
        <v>45884</v>
      </c>
      <c r="C440" s="1" t="n">
        <v>46201</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17377-2025</t>
        </is>
      </c>
      <c r="B441" s="1" t="n">
        <v>45756</v>
      </c>
      <c r="C441" s="1" t="n">
        <v>46201</v>
      </c>
      <c r="D441" t="inlineStr">
        <is>
          <t>DALARNAS LÄN</t>
        </is>
      </c>
      <c r="E441" t="inlineStr">
        <is>
          <t>LEKSAND</t>
        </is>
      </c>
      <c r="G441" t="n">
        <v>0.9</v>
      </c>
      <c r="H441" t="n">
        <v>0</v>
      </c>
      <c r="I441" t="n">
        <v>0</v>
      </c>
      <c r="J441" t="n">
        <v>0</v>
      </c>
      <c r="K441" t="n">
        <v>0</v>
      </c>
      <c r="L441" t="n">
        <v>0</v>
      </c>
      <c r="M441" t="n">
        <v>0</v>
      </c>
      <c r="N441" t="n">
        <v>0</v>
      </c>
      <c r="O441" t="n">
        <v>0</v>
      </c>
      <c r="P441" t="n">
        <v>0</v>
      </c>
      <c r="Q441" t="n">
        <v>0</v>
      </c>
      <c r="R441" s="2" t="inlineStr"/>
    </row>
    <row r="442" ht="15" customHeight="1">
      <c r="A442" t="inlineStr">
        <is>
          <t>A 20683-2025</t>
        </is>
      </c>
      <c r="B442" s="1" t="n">
        <v>45776</v>
      </c>
      <c r="C442" s="1" t="n">
        <v>46201</v>
      </c>
      <c r="D442" t="inlineStr">
        <is>
          <t>DALARNAS LÄN</t>
        </is>
      </c>
      <c r="E442" t="inlineStr">
        <is>
          <t>LEKSAND</t>
        </is>
      </c>
      <c r="F442" t="inlineStr">
        <is>
          <t>Bergvik skog väst AB</t>
        </is>
      </c>
      <c r="G442" t="n">
        <v>4.1</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46201</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21230-2025</t>
        </is>
      </c>
      <c r="B444" s="1" t="n">
        <v>45779</v>
      </c>
      <c r="C444" s="1" t="n">
        <v>46201</v>
      </c>
      <c r="D444" t="inlineStr">
        <is>
          <t>DALARNAS LÄN</t>
        </is>
      </c>
      <c r="E444" t="inlineStr">
        <is>
          <t>LEKSAND</t>
        </is>
      </c>
      <c r="G444" t="n">
        <v>0.5</v>
      </c>
      <c r="H444" t="n">
        <v>0</v>
      </c>
      <c r="I444" t="n">
        <v>0</v>
      </c>
      <c r="J444" t="n">
        <v>0</v>
      </c>
      <c r="K444" t="n">
        <v>0</v>
      </c>
      <c r="L444" t="n">
        <v>0</v>
      </c>
      <c r="M444" t="n">
        <v>0</v>
      </c>
      <c r="N444" t="n">
        <v>0</v>
      </c>
      <c r="O444" t="n">
        <v>0</v>
      </c>
      <c r="P444" t="n">
        <v>0</v>
      </c>
      <c r="Q444" t="n">
        <v>0</v>
      </c>
      <c r="R444" s="2" t="inlineStr"/>
    </row>
    <row r="445" ht="15" customHeight="1">
      <c r="A445" t="inlineStr">
        <is>
          <t>A 37996-2025</t>
        </is>
      </c>
      <c r="B445" s="1" t="n">
        <v>45881</v>
      </c>
      <c r="C445" s="1" t="n">
        <v>46201</v>
      </c>
      <c r="D445" t="inlineStr">
        <is>
          <t>DALARNAS LÄN</t>
        </is>
      </c>
      <c r="E445" t="inlineStr">
        <is>
          <t>LEKSAND</t>
        </is>
      </c>
      <c r="G445" t="n">
        <v>4.2</v>
      </c>
      <c r="H445" t="n">
        <v>0</v>
      </c>
      <c r="I445" t="n">
        <v>0</v>
      </c>
      <c r="J445" t="n">
        <v>0</v>
      </c>
      <c r="K445" t="n">
        <v>0</v>
      </c>
      <c r="L445" t="n">
        <v>0</v>
      </c>
      <c r="M445" t="n">
        <v>0</v>
      </c>
      <c r="N445" t="n">
        <v>0</v>
      </c>
      <c r="O445" t="n">
        <v>0</v>
      </c>
      <c r="P445" t="n">
        <v>0</v>
      </c>
      <c r="Q445" t="n">
        <v>0</v>
      </c>
      <c r="R445" s="2" t="inlineStr"/>
    </row>
    <row r="446" ht="15" customHeight="1">
      <c r="A446" t="inlineStr">
        <is>
          <t>A 17233-2023</t>
        </is>
      </c>
      <c r="B446" s="1" t="n">
        <v>45035</v>
      </c>
      <c r="C446" s="1" t="n">
        <v>46201</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40627-2023</t>
        </is>
      </c>
      <c r="B447" s="1" t="n">
        <v>45170</v>
      </c>
      <c r="C447" s="1" t="n">
        <v>46201</v>
      </c>
      <c r="D447" t="inlineStr">
        <is>
          <t>DALARNAS LÄN</t>
        </is>
      </c>
      <c r="E447" t="inlineStr">
        <is>
          <t>LEKSAND</t>
        </is>
      </c>
      <c r="F447" t="inlineStr">
        <is>
          <t>Bergvik skog väst AB</t>
        </is>
      </c>
      <c r="G447" t="n">
        <v>3.3</v>
      </c>
      <c r="H447" t="n">
        <v>0</v>
      </c>
      <c r="I447" t="n">
        <v>0</v>
      </c>
      <c r="J447" t="n">
        <v>0</v>
      </c>
      <c r="K447" t="n">
        <v>0</v>
      </c>
      <c r="L447" t="n">
        <v>0</v>
      </c>
      <c r="M447" t="n">
        <v>0</v>
      </c>
      <c r="N447" t="n">
        <v>0</v>
      </c>
      <c r="O447" t="n">
        <v>0</v>
      </c>
      <c r="P447" t="n">
        <v>0</v>
      </c>
      <c r="Q447" t="n">
        <v>0</v>
      </c>
      <c r="R447" s="2" t="inlineStr"/>
    </row>
    <row r="448" ht="15" customHeight="1">
      <c r="A448" t="inlineStr">
        <is>
          <t>A 46931-2023</t>
        </is>
      </c>
      <c r="B448" s="1" t="n">
        <v>45201</v>
      </c>
      <c r="C448" s="1" t="n">
        <v>46201</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11872-2024</t>
        </is>
      </c>
      <c r="B449" s="1" t="n">
        <v>45376</v>
      </c>
      <c r="C449" s="1" t="n">
        <v>46201</v>
      </c>
      <c r="D449" t="inlineStr">
        <is>
          <t>DALARNAS LÄN</t>
        </is>
      </c>
      <c r="E449" t="inlineStr">
        <is>
          <t>LEKSAND</t>
        </is>
      </c>
      <c r="G449" t="n">
        <v>3.1</v>
      </c>
      <c r="H449" t="n">
        <v>0</v>
      </c>
      <c r="I449" t="n">
        <v>0</v>
      </c>
      <c r="J449" t="n">
        <v>0</v>
      </c>
      <c r="K449" t="n">
        <v>0</v>
      </c>
      <c r="L449" t="n">
        <v>0</v>
      </c>
      <c r="M449" t="n">
        <v>0</v>
      </c>
      <c r="N449" t="n">
        <v>0</v>
      </c>
      <c r="O449" t="n">
        <v>0</v>
      </c>
      <c r="P449" t="n">
        <v>0</v>
      </c>
      <c r="Q449" t="n">
        <v>0</v>
      </c>
      <c r="R449" s="2" t="inlineStr"/>
    </row>
    <row r="450" ht="15" customHeight="1">
      <c r="A450" t="inlineStr">
        <is>
          <t>A 38721-2025</t>
        </is>
      </c>
      <c r="B450" s="1" t="n">
        <v>45886</v>
      </c>
      <c r="C450" s="1" t="n">
        <v>46201</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11740-2025</t>
        </is>
      </c>
      <c r="B451" s="1" t="n">
        <v>45727</v>
      </c>
      <c r="C451" s="1" t="n">
        <v>46201</v>
      </c>
      <c r="D451" t="inlineStr">
        <is>
          <t>DALARNAS LÄN</t>
        </is>
      </c>
      <c r="E451" t="inlineStr">
        <is>
          <t>LEKSAND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19296-2024</t>
        </is>
      </c>
      <c r="B452" s="1" t="n">
        <v>45428</v>
      </c>
      <c r="C452" s="1" t="n">
        <v>46201</v>
      </c>
      <c r="D452" t="inlineStr">
        <is>
          <t>DALARNAS LÄN</t>
        </is>
      </c>
      <c r="E452" t="inlineStr">
        <is>
          <t>LEKSAND</t>
        </is>
      </c>
      <c r="G452" t="n">
        <v>2.4</v>
      </c>
      <c r="H452" t="n">
        <v>0</v>
      </c>
      <c r="I452" t="n">
        <v>0</v>
      </c>
      <c r="J452" t="n">
        <v>0</v>
      </c>
      <c r="K452" t="n">
        <v>0</v>
      </c>
      <c r="L452" t="n">
        <v>0</v>
      </c>
      <c r="M452" t="n">
        <v>0</v>
      </c>
      <c r="N452" t="n">
        <v>0</v>
      </c>
      <c r="O452" t="n">
        <v>0</v>
      </c>
      <c r="P452" t="n">
        <v>0</v>
      </c>
      <c r="Q452" t="n">
        <v>0</v>
      </c>
      <c r="R452" s="2" t="inlineStr"/>
    </row>
    <row r="453" ht="15" customHeight="1">
      <c r="A453" t="inlineStr">
        <is>
          <t>A 61554-2024</t>
        </is>
      </c>
      <c r="B453" s="1" t="n">
        <v>45646</v>
      </c>
      <c r="C453" s="1" t="n">
        <v>46201</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38090-2025</t>
        </is>
      </c>
      <c r="B454" s="1" t="n">
        <v>45882</v>
      </c>
      <c r="C454" s="1" t="n">
        <v>46201</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10373-2023</t>
        </is>
      </c>
      <c r="B455" s="1" t="n">
        <v>44987</v>
      </c>
      <c r="C455" s="1" t="n">
        <v>46201</v>
      </c>
      <c r="D455" t="inlineStr">
        <is>
          <t>DALARNAS LÄN</t>
        </is>
      </c>
      <c r="E455" t="inlineStr">
        <is>
          <t>LEKSAND</t>
        </is>
      </c>
      <c r="G455" t="n">
        <v>0.3</v>
      </c>
      <c r="H455" t="n">
        <v>0</v>
      </c>
      <c r="I455" t="n">
        <v>0</v>
      </c>
      <c r="J455" t="n">
        <v>0</v>
      </c>
      <c r="K455" t="n">
        <v>0</v>
      </c>
      <c r="L455" t="n">
        <v>0</v>
      </c>
      <c r="M455" t="n">
        <v>0</v>
      </c>
      <c r="N455" t="n">
        <v>0</v>
      </c>
      <c r="O455" t="n">
        <v>0</v>
      </c>
      <c r="P455" t="n">
        <v>0</v>
      </c>
      <c r="Q455" t="n">
        <v>0</v>
      </c>
      <c r="R455" s="2" t="inlineStr"/>
    </row>
    <row r="456" ht="15" customHeight="1">
      <c r="A456" t="inlineStr">
        <is>
          <t>A 62307-2023</t>
        </is>
      </c>
      <c r="B456" s="1" t="n">
        <v>45266</v>
      </c>
      <c r="C456" s="1" t="n">
        <v>46201</v>
      </c>
      <c r="D456" t="inlineStr">
        <is>
          <t>DALARNAS LÄN</t>
        </is>
      </c>
      <c r="E456" t="inlineStr">
        <is>
          <t>LEKSAND</t>
        </is>
      </c>
      <c r="G456" t="n">
        <v>3.9</v>
      </c>
      <c r="H456" t="n">
        <v>0</v>
      </c>
      <c r="I456" t="n">
        <v>0</v>
      </c>
      <c r="J456" t="n">
        <v>0</v>
      </c>
      <c r="K456" t="n">
        <v>0</v>
      </c>
      <c r="L456" t="n">
        <v>0</v>
      </c>
      <c r="M456" t="n">
        <v>0</v>
      </c>
      <c r="N456" t="n">
        <v>0</v>
      </c>
      <c r="O456" t="n">
        <v>0</v>
      </c>
      <c r="P456" t="n">
        <v>0</v>
      </c>
      <c r="Q456" t="n">
        <v>0</v>
      </c>
      <c r="R456" s="2" t="inlineStr"/>
    </row>
    <row r="457" ht="15" customHeight="1">
      <c r="A457" t="inlineStr">
        <is>
          <t>A 47976-2025</t>
        </is>
      </c>
      <c r="B457" s="1" t="n">
        <v>45932</v>
      </c>
      <c r="C457" s="1" t="n">
        <v>46201</v>
      </c>
      <c r="D457" t="inlineStr">
        <is>
          <t>DALARNAS LÄN</t>
        </is>
      </c>
      <c r="E457" t="inlineStr">
        <is>
          <t>LEKSAND</t>
        </is>
      </c>
      <c r="F457" t="inlineStr">
        <is>
          <t>Bergvik skog väst AB</t>
        </is>
      </c>
      <c r="G457" t="n">
        <v>0.3</v>
      </c>
      <c r="H457" t="n">
        <v>0</v>
      </c>
      <c r="I457" t="n">
        <v>0</v>
      </c>
      <c r="J457" t="n">
        <v>0</v>
      </c>
      <c r="K457" t="n">
        <v>0</v>
      </c>
      <c r="L457" t="n">
        <v>0</v>
      </c>
      <c r="M457" t="n">
        <v>0</v>
      </c>
      <c r="N457" t="n">
        <v>0</v>
      </c>
      <c r="O457" t="n">
        <v>0</v>
      </c>
      <c r="P457" t="n">
        <v>0</v>
      </c>
      <c r="Q457" t="n">
        <v>0</v>
      </c>
      <c r="R457" s="2" t="inlineStr"/>
    </row>
    <row r="458" ht="15" customHeight="1">
      <c r="A458" t="inlineStr">
        <is>
          <t>A 47977-2025</t>
        </is>
      </c>
      <c r="B458" s="1" t="n">
        <v>45932</v>
      </c>
      <c r="C458" s="1" t="n">
        <v>46201</v>
      </c>
      <c r="D458" t="inlineStr">
        <is>
          <t>DALARNAS LÄN</t>
        </is>
      </c>
      <c r="E458" t="inlineStr">
        <is>
          <t>LEKSAND</t>
        </is>
      </c>
      <c r="F458" t="inlineStr">
        <is>
          <t>Bergvik skog väst AB</t>
        </is>
      </c>
      <c r="G458" t="n">
        <v>0.2</v>
      </c>
      <c r="H458" t="n">
        <v>0</v>
      </c>
      <c r="I458" t="n">
        <v>0</v>
      </c>
      <c r="J458" t="n">
        <v>0</v>
      </c>
      <c r="K458" t="n">
        <v>0</v>
      </c>
      <c r="L458" t="n">
        <v>0</v>
      </c>
      <c r="M458" t="n">
        <v>0</v>
      </c>
      <c r="N458" t="n">
        <v>0</v>
      </c>
      <c r="O458" t="n">
        <v>0</v>
      </c>
      <c r="P458" t="n">
        <v>0</v>
      </c>
      <c r="Q458" t="n">
        <v>0</v>
      </c>
      <c r="R458" s="2" t="inlineStr"/>
    </row>
    <row r="459" ht="15" customHeight="1">
      <c r="A459" t="inlineStr">
        <is>
          <t>A 14967-2023</t>
        </is>
      </c>
      <c r="B459" s="1" t="n">
        <v>45015</v>
      </c>
      <c r="C459" s="1" t="n">
        <v>46201</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7861-2024</t>
        </is>
      </c>
      <c r="B460" s="1" t="n">
        <v>45350</v>
      </c>
      <c r="C460" s="1" t="n">
        <v>46201</v>
      </c>
      <c r="D460" t="inlineStr">
        <is>
          <t>DALARNAS LÄN</t>
        </is>
      </c>
      <c r="E460" t="inlineStr">
        <is>
          <t>LEKSAND</t>
        </is>
      </c>
      <c r="G460" t="n">
        <v>1.8</v>
      </c>
      <c r="H460" t="n">
        <v>0</v>
      </c>
      <c r="I460" t="n">
        <v>0</v>
      </c>
      <c r="J460" t="n">
        <v>0</v>
      </c>
      <c r="K460" t="n">
        <v>0</v>
      </c>
      <c r="L460" t="n">
        <v>0</v>
      </c>
      <c r="M460" t="n">
        <v>0</v>
      </c>
      <c r="N460" t="n">
        <v>0</v>
      </c>
      <c r="O460" t="n">
        <v>0</v>
      </c>
      <c r="P460" t="n">
        <v>0</v>
      </c>
      <c r="Q460" t="n">
        <v>0</v>
      </c>
      <c r="R460" s="2" t="inlineStr"/>
    </row>
    <row r="461" ht="15" customHeight="1">
      <c r="A461" t="inlineStr">
        <is>
          <t>A 2820-2024</t>
        </is>
      </c>
      <c r="B461" s="1" t="n">
        <v>45314</v>
      </c>
      <c r="C461" s="1" t="n">
        <v>46201</v>
      </c>
      <c r="D461" t="inlineStr">
        <is>
          <t>DALARNAS LÄN</t>
        </is>
      </c>
      <c r="E461" t="inlineStr">
        <is>
          <t>LEKSAND</t>
        </is>
      </c>
      <c r="G461" t="n">
        <v>1.7</v>
      </c>
      <c r="H461" t="n">
        <v>0</v>
      </c>
      <c r="I461" t="n">
        <v>0</v>
      </c>
      <c r="J461" t="n">
        <v>0</v>
      </c>
      <c r="K461" t="n">
        <v>0</v>
      </c>
      <c r="L461" t="n">
        <v>0</v>
      </c>
      <c r="M461" t="n">
        <v>0</v>
      </c>
      <c r="N461" t="n">
        <v>0</v>
      </c>
      <c r="O461" t="n">
        <v>0</v>
      </c>
      <c r="P461" t="n">
        <v>0</v>
      </c>
      <c r="Q461" t="n">
        <v>0</v>
      </c>
      <c r="R461" s="2" t="inlineStr"/>
    </row>
    <row r="462" ht="15" customHeight="1">
      <c r="A462" t="inlineStr">
        <is>
          <t>A 2822-2024</t>
        </is>
      </c>
      <c r="B462" s="1" t="n">
        <v>45314</v>
      </c>
      <c r="C462" s="1" t="n">
        <v>46201</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48421-2025</t>
        </is>
      </c>
      <c r="B463" s="1" t="n">
        <v>45934</v>
      </c>
      <c r="C463" s="1" t="n">
        <v>46201</v>
      </c>
      <c r="D463" t="inlineStr">
        <is>
          <t>DALARNAS LÄN</t>
        </is>
      </c>
      <c r="E463" t="inlineStr">
        <is>
          <t>LEKSAND</t>
        </is>
      </c>
      <c r="G463" t="n">
        <v>2.2</v>
      </c>
      <c r="H463" t="n">
        <v>0</v>
      </c>
      <c r="I463" t="n">
        <v>0</v>
      </c>
      <c r="J463" t="n">
        <v>0</v>
      </c>
      <c r="K463" t="n">
        <v>0</v>
      </c>
      <c r="L463" t="n">
        <v>0</v>
      </c>
      <c r="M463" t="n">
        <v>0</v>
      </c>
      <c r="N463" t="n">
        <v>0</v>
      </c>
      <c r="O463" t="n">
        <v>0</v>
      </c>
      <c r="P463" t="n">
        <v>0</v>
      </c>
      <c r="Q463" t="n">
        <v>0</v>
      </c>
      <c r="R463" s="2" t="inlineStr"/>
    </row>
    <row r="464" ht="15" customHeight="1">
      <c r="A464" t="inlineStr">
        <is>
          <t>A 57930-2024</t>
        </is>
      </c>
      <c r="B464" s="1" t="n">
        <v>45630</v>
      </c>
      <c r="C464" s="1" t="n">
        <v>46201</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57927-2024</t>
        </is>
      </c>
      <c r="B465" s="1" t="n">
        <v>45630</v>
      </c>
      <c r="C465" s="1" t="n">
        <v>46201</v>
      </c>
      <c r="D465" t="inlineStr">
        <is>
          <t>DALARNAS LÄN</t>
        </is>
      </c>
      <c r="E465" t="inlineStr">
        <is>
          <t>LEKSAND</t>
        </is>
      </c>
      <c r="G465" t="n">
        <v>0.2</v>
      </c>
      <c r="H465" t="n">
        <v>0</v>
      </c>
      <c r="I465" t="n">
        <v>0</v>
      </c>
      <c r="J465" t="n">
        <v>0</v>
      </c>
      <c r="K465" t="n">
        <v>0</v>
      </c>
      <c r="L465" t="n">
        <v>0</v>
      </c>
      <c r="M465" t="n">
        <v>0</v>
      </c>
      <c r="N465" t="n">
        <v>0</v>
      </c>
      <c r="O465" t="n">
        <v>0</v>
      </c>
      <c r="P465" t="n">
        <v>0</v>
      </c>
      <c r="Q465" t="n">
        <v>0</v>
      </c>
      <c r="R465" s="2" t="inlineStr"/>
    </row>
    <row r="466" ht="15" customHeight="1">
      <c r="A466" t="inlineStr">
        <is>
          <t>A 49505-2025</t>
        </is>
      </c>
      <c r="B466" s="1" t="n">
        <v>45939</v>
      </c>
      <c r="C466" s="1" t="n">
        <v>46201</v>
      </c>
      <c r="D466" t="inlineStr">
        <is>
          <t>DALARNAS LÄN</t>
        </is>
      </c>
      <c r="E466" t="inlineStr">
        <is>
          <t>LEKSAND</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48922-2025</t>
        </is>
      </c>
      <c r="B467" s="1" t="n">
        <v>45937</v>
      </c>
      <c r="C467" s="1" t="n">
        <v>46201</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49076-2025</t>
        </is>
      </c>
      <c r="B468" s="1" t="n">
        <v>45937</v>
      </c>
      <c r="C468" s="1" t="n">
        <v>46201</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37952-2024</t>
        </is>
      </c>
      <c r="B469" s="1" t="n">
        <v>45544</v>
      </c>
      <c r="C469" s="1" t="n">
        <v>46201</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39660-2025</t>
        </is>
      </c>
      <c r="B470" s="1" t="n">
        <v>45890</v>
      </c>
      <c r="C470" s="1" t="n">
        <v>46201</v>
      </c>
      <c r="D470" t="inlineStr">
        <is>
          <t>DALARNAS LÄN</t>
        </is>
      </c>
      <c r="E470" t="inlineStr">
        <is>
          <t>LEKSAND</t>
        </is>
      </c>
      <c r="F470" t="inlineStr">
        <is>
          <t>Bergvik skog väst AB</t>
        </is>
      </c>
      <c r="G470" t="n">
        <v>5.8</v>
      </c>
      <c r="H470" t="n">
        <v>0</v>
      </c>
      <c r="I470" t="n">
        <v>0</v>
      </c>
      <c r="J470" t="n">
        <v>0</v>
      </c>
      <c r="K470" t="n">
        <v>0</v>
      </c>
      <c r="L470" t="n">
        <v>0</v>
      </c>
      <c r="M470" t="n">
        <v>0</v>
      </c>
      <c r="N470" t="n">
        <v>0</v>
      </c>
      <c r="O470" t="n">
        <v>0</v>
      </c>
      <c r="P470" t="n">
        <v>0</v>
      </c>
      <c r="Q470" t="n">
        <v>0</v>
      </c>
      <c r="R470" s="2" t="inlineStr"/>
    </row>
    <row r="471" ht="15" customHeight="1">
      <c r="A471" t="inlineStr">
        <is>
          <t>A 39693-2025</t>
        </is>
      </c>
      <c r="B471" s="1" t="n">
        <v>45890</v>
      </c>
      <c r="C471" s="1" t="n">
        <v>46201</v>
      </c>
      <c r="D471" t="inlineStr">
        <is>
          <t>DALARNAS LÄN</t>
        </is>
      </c>
      <c r="E471" t="inlineStr">
        <is>
          <t>LEKSAND</t>
        </is>
      </c>
      <c r="G471" t="n">
        <v>3.1</v>
      </c>
      <c r="H471" t="n">
        <v>0</v>
      </c>
      <c r="I471" t="n">
        <v>0</v>
      </c>
      <c r="J471" t="n">
        <v>0</v>
      </c>
      <c r="K471" t="n">
        <v>0</v>
      </c>
      <c r="L471" t="n">
        <v>0</v>
      </c>
      <c r="M471" t="n">
        <v>0</v>
      </c>
      <c r="N471" t="n">
        <v>0</v>
      </c>
      <c r="O471" t="n">
        <v>0</v>
      </c>
      <c r="P471" t="n">
        <v>0</v>
      </c>
      <c r="Q471" t="n">
        <v>0</v>
      </c>
      <c r="R471" s="2" t="inlineStr"/>
    </row>
    <row r="472" ht="15" customHeight="1">
      <c r="A472" t="inlineStr">
        <is>
          <t>A 22536-2025</t>
        </is>
      </c>
      <c r="B472" s="1" t="n">
        <v>45787</v>
      </c>
      <c r="C472" s="1" t="n">
        <v>46201</v>
      </c>
      <c r="D472" t="inlineStr">
        <is>
          <t>DALARNAS LÄN</t>
        </is>
      </c>
      <c r="E472" t="inlineStr">
        <is>
          <t>LEKSAND</t>
        </is>
      </c>
      <c r="G472" t="n">
        <v>1.8</v>
      </c>
      <c r="H472" t="n">
        <v>0</v>
      </c>
      <c r="I472" t="n">
        <v>0</v>
      </c>
      <c r="J472" t="n">
        <v>0</v>
      </c>
      <c r="K472" t="n">
        <v>0</v>
      </c>
      <c r="L472" t="n">
        <v>0</v>
      </c>
      <c r="M472" t="n">
        <v>0</v>
      </c>
      <c r="N472" t="n">
        <v>0</v>
      </c>
      <c r="O472" t="n">
        <v>0</v>
      </c>
      <c r="P472" t="n">
        <v>0</v>
      </c>
      <c r="Q472" t="n">
        <v>0</v>
      </c>
      <c r="R472" s="2" t="inlineStr"/>
    </row>
    <row r="473" ht="15" customHeight="1">
      <c r="A473" t="inlineStr">
        <is>
          <t>A 39516-2025</t>
        </is>
      </c>
      <c r="B473" s="1" t="n">
        <v>45890</v>
      </c>
      <c r="C473" s="1" t="n">
        <v>46201</v>
      </c>
      <c r="D473" t="inlineStr">
        <is>
          <t>DALARNAS LÄN</t>
        </is>
      </c>
      <c r="E473" t="inlineStr">
        <is>
          <t>LEKSAND</t>
        </is>
      </c>
      <c r="G473" t="n">
        <v>3.6</v>
      </c>
      <c r="H473" t="n">
        <v>0</v>
      </c>
      <c r="I473" t="n">
        <v>0</v>
      </c>
      <c r="J473" t="n">
        <v>0</v>
      </c>
      <c r="K473" t="n">
        <v>0</v>
      </c>
      <c r="L473" t="n">
        <v>0</v>
      </c>
      <c r="M473" t="n">
        <v>0</v>
      </c>
      <c r="N473" t="n">
        <v>0</v>
      </c>
      <c r="O473" t="n">
        <v>0</v>
      </c>
      <c r="P473" t="n">
        <v>0</v>
      </c>
      <c r="Q473" t="n">
        <v>0</v>
      </c>
      <c r="R473" s="2" t="inlineStr"/>
    </row>
    <row r="474" ht="15" customHeight="1">
      <c r="A474" t="inlineStr">
        <is>
          <t>A 50332-2025</t>
        </is>
      </c>
      <c r="B474" s="1" t="n">
        <v>45944</v>
      </c>
      <c r="C474" s="1" t="n">
        <v>46201</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50704-2025</t>
        </is>
      </c>
      <c r="B475" s="1" t="n">
        <v>45946</v>
      </c>
      <c r="C475" s="1" t="n">
        <v>46201</v>
      </c>
      <c r="D475" t="inlineStr">
        <is>
          <t>DALARNAS LÄN</t>
        </is>
      </c>
      <c r="E475" t="inlineStr">
        <is>
          <t>LEKSAND</t>
        </is>
      </c>
      <c r="G475" t="n">
        <v>2.1</v>
      </c>
      <c r="H475" t="n">
        <v>0</v>
      </c>
      <c r="I475" t="n">
        <v>0</v>
      </c>
      <c r="J475" t="n">
        <v>0</v>
      </c>
      <c r="K475" t="n">
        <v>0</v>
      </c>
      <c r="L475" t="n">
        <v>0</v>
      </c>
      <c r="M475" t="n">
        <v>0</v>
      </c>
      <c r="N475" t="n">
        <v>0</v>
      </c>
      <c r="O475" t="n">
        <v>0</v>
      </c>
      <c r="P475" t="n">
        <v>0</v>
      </c>
      <c r="Q475" t="n">
        <v>0</v>
      </c>
      <c r="R475" s="2" t="inlineStr"/>
    </row>
    <row r="476" ht="15" customHeight="1">
      <c r="A476" t="inlineStr">
        <is>
          <t>A 46834-2023</t>
        </is>
      </c>
      <c r="B476" s="1" t="n">
        <v>45199</v>
      </c>
      <c r="C476" s="1" t="n">
        <v>46201</v>
      </c>
      <c r="D476" t="inlineStr">
        <is>
          <t>DALARNAS LÄN</t>
        </is>
      </c>
      <c r="E476" t="inlineStr">
        <is>
          <t>LEKSAND</t>
        </is>
      </c>
      <c r="G476" t="n">
        <v>16.3</v>
      </c>
      <c r="H476" t="n">
        <v>0</v>
      </c>
      <c r="I476" t="n">
        <v>0</v>
      </c>
      <c r="J476" t="n">
        <v>0</v>
      </c>
      <c r="K476" t="n">
        <v>0</v>
      </c>
      <c r="L476" t="n">
        <v>0</v>
      </c>
      <c r="M476" t="n">
        <v>0</v>
      </c>
      <c r="N476" t="n">
        <v>0</v>
      </c>
      <c r="O476" t="n">
        <v>0</v>
      </c>
      <c r="P476" t="n">
        <v>0</v>
      </c>
      <c r="Q476" t="n">
        <v>0</v>
      </c>
      <c r="R476" s="2" t="inlineStr"/>
    </row>
    <row r="477" ht="15" customHeight="1">
      <c r="A477" t="inlineStr">
        <is>
          <t>A 12851-2023</t>
        </is>
      </c>
      <c r="B477" s="1" t="n">
        <v>45001</v>
      </c>
      <c r="C477" s="1" t="n">
        <v>46201</v>
      </c>
      <c r="D477" t="inlineStr">
        <is>
          <t>DALARNAS LÄN</t>
        </is>
      </c>
      <c r="E477" t="inlineStr">
        <is>
          <t>LEKSAND</t>
        </is>
      </c>
      <c r="G477" t="n">
        <v>1.9</v>
      </c>
      <c r="H477" t="n">
        <v>0</v>
      </c>
      <c r="I477" t="n">
        <v>0</v>
      </c>
      <c r="J477" t="n">
        <v>0</v>
      </c>
      <c r="K477" t="n">
        <v>0</v>
      </c>
      <c r="L477" t="n">
        <v>0</v>
      </c>
      <c r="M477" t="n">
        <v>0</v>
      </c>
      <c r="N477" t="n">
        <v>0</v>
      </c>
      <c r="O477" t="n">
        <v>0</v>
      </c>
      <c r="P477" t="n">
        <v>0</v>
      </c>
      <c r="Q477" t="n">
        <v>0</v>
      </c>
      <c r="R477" s="2" t="inlineStr"/>
    </row>
    <row r="478" ht="15" customHeight="1">
      <c r="A478" t="inlineStr">
        <is>
          <t>A 41487-2025</t>
        </is>
      </c>
      <c r="B478" s="1" t="n">
        <v>45901</v>
      </c>
      <c r="C478" s="1" t="n">
        <v>46201</v>
      </c>
      <c r="D478" t="inlineStr">
        <is>
          <t>DALARNAS LÄN</t>
        </is>
      </c>
      <c r="E478" t="inlineStr">
        <is>
          <t>LEKSAND</t>
        </is>
      </c>
      <c r="F478" t="inlineStr">
        <is>
          <t>Bergvik skog väst AB</t>
        </is>
      </c>
      <c r="G478" t="n">
        <v>7.3</v>
      </c>
      <c r="H478" t="n">
        <v>0</v>
      </c>
      <c r="I478" t="n">
        <v>0</v>
      </c>
      <c r="J478" t="n">
        <v>0</v>
      </c>
      <c r="K478" t="n">
        <v>0</v>
      </c>
      <c r="L478" t="n">
        <v>0</v>
      </c>
      <c r="M478" t="n">
        <v>0</v>
      </c>
      <c r="N478" t="n">
        <v>0</v>
      </c>
      <c r="O478" t="n">
        <v>0</v>
      </c>
      <c r="P478" t="n">
        <v>0</v>
      </c>
      <c r="Q478" t="n">
        <v>0</v>
      </c>
      <c r="R478" s="2" t="inlineStr"/>
    </row>
    <row r="479" ht="15" customHeight="1">
      <c r="A479" t="inlineStr">
        <is>
          <t>A 41237-2025</t>
        </is>
      </c>
      <c r="B479" s="1" t="n">
        <v>45898</v>
      </c>
      <c r="C479" s="1" t="n">
        <v>46201</v>
      </c>
      <c r="D479" t="inlineStr">
        <is>
          <t>DALARNAS LÄN</t>
        </is>
      </c>
      <c r="E479" t="inlineStr">
        <is>
          <t>LEKSAND</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41248-2025</t>
        </is>
      </c>
      <c r="B480" s="1" t="n">
        <v>45898</v>
      </c>
      <c r="C480" s="1" t="n">
        <v>46201</v>
      </c>
      <c r="D480" t="inlineStr">
        <is>
          <t>DALARNAS LÄN</t>
        </is>
      </c>
      <c r="E480" t="inlineStr">
        <is>
          <t>LEKSAND</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34244-2024</t>
        </is>
      </c>
      <c r="B481" s="1" t="n">
        <v>45524</v>
      </c>
      <c r="C481" s="1" t="n">
        <v>46201</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41308-2025</t>
        </is>
      </c>
      <c r="B482" s="1" t="n">
        <v>45898</v>
      </c>
      <c r="C482" s="1" t="n">
        <v>46201</v>
      </c>
      <c r="D482" t="inlineStr">
        <is>
          <t>DALARNAS LÄN</t>
        </is>
      </c>
      <c r="E482" t="inlineStr">
        <is>
          <t>LEKSAND</t>
        </is>
      </c>
      <c r="F482" t="inlineStr">
        <is>
          <t>Bergvik skog väst AB</t>
        </is>
      </c>
      <c r="G482" t="n">
        <v>6.7</v>
      </c>
      <c r="H482" t="n">
        <v>0</v>
      </c>
      <c r="I482" t="n">
        <v>0</v>
      </c>
      <c r="J482" t="n">
        <v>0</v>
      </c>
      <c r="K482" t="n">
        <v>0</v>
      </c>
      <c r="L482" t="n">
        <v>0</v>
      </c>
      <c r="M482" t="n">
        <v>0</v>
      </c>
      <c r="N482" t="n">
        <v>0</v>
      </c>
      <c r="O482" t="n">
        <v>0</v>
      </c>
      <c r="P482" t="n">
        <v>0</v>
      </c>
      <c r="Q482" t="n">
        <v>0</v>
      </c>
      <c r="R482" s="2" t="inlineStr"/>
    </row>
    <row r="483" ht="15" customHeight="1">
      <c r="A483" t="inlineStr">
        <is>
          <t>A 51728-2025</t>
        </is>
      </c>
      <c r="B483" s="1" t="n">
        <v>45951</v>
      </c>
      <c r="C483" s="1" t="n">
        <v>46201</v>
      </c>
      <c r="D483" t="inlineStr">
        <is>
          <t>DALARNAS LÄN</t>
        </is>
      </c>
      <c r="E483" t="inlineStr">
        <is>
          <t>LEKSAND</t>
        </is>
      </c>
      <c r="F483" t="inlineStr">
        <is>
          <t>Bergvik skog väst AB</t>
        </is>
      </c>
      <c r="G483" t="n">
        <v>14.2</v>
      </c>
      <c r="H483" t="n">
        <v>0</v>
      </c>
      <c r="I483" t="n">
        <v>0</v>
      </c>
      <c r="J483" t="n">
        <v>0</v>
      </c>
      <c r="K483" t="n">
        <v>0</v>
      </c>
      <c r="L483" t="n">
        <v>0</v>
      </c>
      <c r="M483" t="n">
        <v>0</v>
      </c>
      <c r="N483" t="n">
        <v>0</v>
      </c>
      <c r="O483" t="n">
        <v>0</v>
      </c>
      <c r="P483" t="n">
        <v>0</v>
      </c>
      <c r="Q483" t="n">
        <v>0</v>
      </c>
      <c r="R483" s="2" t="inlineStr"/>
    </row>
    <row r="484" ht="15" customHeight="1">
      <c r="A484" t="inlineStr">
        <is>
          <t>A 51663-2025</t>
        </is>
      </c>
      <c r="B484" s="1" t="n">
        <v>45951</v>
      </c>
      <c r="C484" s="1" t="n">
        <v>46201</v>
      </c>
      <c r="D484" t="inlineStr">
        <is>
          <t>DALARNAS LÄN</t>
        </is>
      </c>
      <c r="E484" t="inlineStr">
        <is>
          <t>LEKSAND</t>
        </is>
      </c>
      <c r="F484" t="inlineStr">
        <is>
          <t>Bergvik skog väst AB</t>
        </is>
      </c>
      <c r="G484" t="n">
        <v>3.1</v>
      </c>
      <c r="H484" t="n">
        <v>0</v>
      </c>
      <c r="I484" t="n">
        <v>0</v>
      </c>
      <c r="J484" t="n">
        <v>0</v>
      </c>
      <c r="K484" t="n">
        <v>0</v>
      </c>
      <c r="L484" t="n">
        <v>0</v>
      </c>
      <c r="M484" t="n">
        <v>0</v>
      </c>
      <c r="N484" t="n">
        <v>0</v>
      </c>
      <c r="O484" t="n">
        <v>0</v>
      </c>
      <c r="P484" t="n">
        <v>0</v>
      </c>
      <c r="Q484" t="n">
        <v>0</v>
      </c>
      <c r="R484" s="2" t="inlineStr"/>
    </row>
    <row r="485" ht="15" customHeight="1">
      <c r="A485" t="inlineStr">
        <is>
          <t>A 42284-2025</t>
        </is>
      </c>
      <c r="B485" s="1" t="n">
        <v>45903</v>
      </c>
      <c r="C485" s="1" t="n">
        <v>46201</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51926-2025</t>
        </is>
      </c>
      <c r="B486" s="1" t="n">
        <v>45952</v>
      </c>
      <c r="C486" s="1" t="n">
        <v>46201</v>
      </c>
      <c r="D486" t="inlineStr">
        <is>
          <t>DALARNAS LÄN</t>
        </is>
      </c>
      <c r="E486" t="inlineStr">
        <is>
          <t>LEKSAND</t>
        </is>
      </c>
      <c r="G486" t="n">
        <v>2.3</v>
      </c>
      <c r="H486" t="n">
        <v>0</v>
      </c>
      <c r="I486" t="n">
        <v>0</v>
      </c>
      <c r="J486" t="n">
        <v>0</v>
      </c>
      <c r="K486" t="n">
        <v>0</v>
      </c>
      <c r="L486" t="n">
        <v>0</v>
      </c>
      <c r="M486" t="n">
        <v>0</v>
      </c>
      <c r="N486" t="n">
        <v>0</v>
      </c>
      <c r="O486" t="n">
        <v>0</v>
      </c>
      <c r="P486" t="n">
        <v>0</v>
      </c>
      <c r="Q486" t="n">
        <v>0</v>
      </c>
      <c r="R486" s="2" t="inlineStr"/>
    </row>
    <row r="487" ht="15" customHeight="1">
      <c r="A487" t="inlineStr">
        <is>
          <t>A 52671-2025</t>
        </is>
      </c>
      <c r="B487" s="1" t="n">
        <v>45955</v>
      </c>
      <c r="C487" s="1" t="n">
        <v>46201</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34482-2022</t>
        </is>
      </c>
      <c r="B488" s="1" t="n">
        <v>44792</v>
      </c>
      <c r="C488" s="1" t="n">
        <v>46201</v>
      </c>
      <c r="D488" t="inlineStr">
        <is>
          <t>DALARNAS LÄN</t>
        </is>
      </c>
      <c r="E488" t="inlineStr">
        <is>
          <t>LEKSAND</t>
        </is>
      </c>
      <c r="G488" t="n">
        <v>2.6</v>
      </c>
      <c r="H488" t="n">
        <v>0</v>
      </c>
      <c r="I488" t="n">
        <v>0</v>
      </c>
      <c r="J488" t="n">
        <v>0</v>
      </c>
      <c r="K488" t="n">
        <v>0</v>
      </c>
      <c r="L488" t="n">
        <v>0</v>
      </c>
      <c r="M488" t="n">
        <v>0</v>
      </c>
      <c r="N488" t="n">
        <v>0</v>
      </c>
      <c r="O488" t="n">
        <v>0</v>
      </c>
      <c r="P488" t="n">
        <v>0</v>
      </c>
      <c r="Q488" t="n">
        <v>0</v>
      </c>
      <c r="R488" s="2" t="inlineStr"/>
    </row>
    <row r="489" ht="15" customHeight="1">
      <c r="A489" t="inlineStr">
        <is>
          <t>A 5584-2024</t>
        </is>
      </c>
      <c r="B489" s="1" t="n">
        <v>45334</v>
      </c>
      <c r="C489" s="1" t="n">
        <v>46201</v>
      </c>
      <c r="D489" t="inlineStr">
        <is>
          <t>DALARNAS LÄN</t>
        </is>
      </c>
      <c r="E489" t="inlineStr">
        <is>
          <t>LEKSAND</t>
        </is>
      </c>
      <c r="F489" t="inlineStr">
        <is>
          <t>Kyrkan</t>
        </is>
      </c>
      <c r="G489" t="n">
        <v>0.4</v>
      </c>
      <c r="H489" t="n">
        <v>0</v>
      </c>
      <c r="I489" t="n">
        <v>0</v>
      </c>
      <c r="J489" t="n">
        <v>0</v>
      </c>
      <c r="K489" t="n">
        <v>0</v>
      </c>
      <c r="L489" t="n">
        <v>0</v>
      </c>
      <c r="M489" t="n">
        <v>0</v>
      </c>
      <c r="N489" t="n">
        <v>0</v>
      </c>
      <c r="O489" t="n">
        <v>0</v>
      </c>
      <c r="P489" t="n">
        <v>0</v>
      </c>
      <c r="Q489" t="n">
        <v>0</v>
      </c>
      <c r="R489" s="2" t="inlineStr"/>
    </row>
    <row r="490" ht="15" customHeight="1">
      <c r="A490" t="inlineStr">
        <is>
          <t>A 51860-2024</t>
        </is>
      </c>
      <c r="B490" s="1" t="n">
        <v>45607</v>
      </c>
      <c r="C490" s="1" t="n">
        <v>46201</v>
      </c>
      <c r="D490" t="inlineStr">
        <is>
          <t>DALARNAS LÄN</t>
        </is>
      </c>
      <c r="E490" t="inlineStr">
        <is>
          <t>LEKSAND</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22681-2022</t>
        </is>
      </c>
      <c r="B491" s="1" t="n">
        <v>44714</v>
      </c>
      <c r="C491" s="1" t="n">
        <v>46201</v>
      </c>
      <c r="D491" t="inlineStr">
        <is>
          <t>DALARNAS LÄN</t>
        </is>
      </c>
      <c r="E491" t="inlineStr">
        <is>
          <t>LEKSAND</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43629-2025</t>
        </is>
      </c>
      <c r="B492" s="1" t="n">
        <v>45911</v>
      </c>
      <c r="C492" s="1" t="n">
        <v>46201</v>
      </c>
      <c r="D492" t="inlineStr">
        <is>
          <t>DALARNAS LÄN</t>
        </is>
      </c>
      <c r="E492" t="inlineStr">
        <is>
          <t>LEKSAND</t>
        </is>
      </c>
      <c r="G492" t="n">
        <v>2.1</v>
      </c>
      <c r="H492" t="n">
        <v>0</v>
      </c>
      <c r="I492" t="n">
        <v>0</v>
      </c>
      <c r="J492" t="n">
        <v>0</v>
      </c>
      <c r="K492" t="n">
        <v>0</v>
      </c>
      <c r="L492" t="n">
        <v>0</v>
      </c>
      <c r="M492" t="n">
        <v>0</v>
      </c>
      <c r="N492" t="n">
        <v>0</v>
      </c>
      <c r="O492" t="n">
        <v>0</v>
      </c>
      <c r="P492" t="n">
        <v>0</v>
      </c>
      <c r="Q492" t="n">
        <v>0</v>
      </c>
      <c r="R492" s="2" t="inlineStr"/>
    </row>
    <row r="493" ht="15" customHeight="1">
      <c r="A493" t="inlineStr">
        <is>
          <t>A 53041-2025</t>
        </is>
      </c>
      <c r="B493" s="1" t="n">
        <v>45958</v>
      </c>
      <c r="C493" s="1" t="n">
        <v>46201</v>
      </c>
      <c r="D493" t="inlineStr">
        <is>
          <t>DALARNAS LÄN</t>
        </is>
      </c>
      <c r="E493" t="inlineStr">
        <is>
          <t>LEKSAND</t>
        </is>
      </c>
      <c r="G493" t="n">
        <v>1.7</v>
      </c>
      <c r="H493" t="n">
        <v>0</v>
      </c>
      <c r="I493" t="n">
        <v>0</v>
      </c>
      <c r="J493" t="n">
        <v>0</v>
      </c>
      <c r="K493" t="n">
        <v>0</v>
      </c>
      <c r="L493" t="n">
        <v>0</v>
      </c>
      <c r="M493" t="n">
        <v>0</v>
      </c>
      <c r="N493" t="n">
        <v>0</v>
      </c>
      <c r="O493" t="n">
        <v>0</v>
      </c>
      <c r="P493" t="n">
        <v>0</v>
      </c>
      <c r="Q493" t="n">
        <v>0</v>
      </c>
      <c r="R493" s="2" t="inlineStr"/>
    </row>
    <row r="494" ht="15" customHeight="1">
      <c r="A494" t="inlineStr">
        <is>
          <t>A 43628-2025</t>
        </is>
      </c>
      <c r="B494" s="1" t="n">
        <v>45911</v>
      </c>
      <c r="C494" s="1" t="n">
        <v>46201</v>
      </c>
      <c r="D494" t="inlineStr">
        <is>
          <t>DALARNAS LÄN</t>
        </is>
      </c>
      <c r="E494" t="inlineStr">
        <is>
          <t>LEKSAND</t>
        </is>
      </c>
      <c r="G494" t="n">
        <v>1.4</v>
      </c>
      <c r="H494" t="n">
        <v>0</v>
      </c>
      <c r="I494" t="n">
        <v>0</v>
      </c>
      <c r="J494" t="n">
        <v>0</v>
      </c>
      <c r="K494" t="n">
        <v>0</v>
      </c>
      <c r="L494" t="n">
        <v>0</v>
      </c>
      <c r="M494" t="n">
        <v>0</v>
      </c>
      <c r="N494" t="n">
        <v>0</v>
      </c>
      <c r="O494" t="n">
        <v>0</v>
      </c>
      <c r="P494" t="n">
        <v>0</v>
      </c>
      <c r="Q494" t="n">
        <v>0</v>
      </c>
      <c r="R494" s="2" t="inlineStr"/>
    </row>
    <row r="495" ht="15" customHeight="1">
      <c r="A495" t="inlineStr">
        <is>
          <t>A 43195-2025</t>
        </is>
      </c>
      <c r="B495" s="1" t="n">
        <v>45910</v>
      </c>
      <c r="C495" s="1" t="n">
        <v>46201</v>
      </c>
      <c r="D495" t="inlineStr">
        <is>
          <t>DALARNAS LÄN</t>
        </is>
      </c>
      <c r="E495" t="inlineStr">
        <is>
          <t>LEKSAND</t>
        </is>
      </c>
      <c r="G495" t="n">
        <v>2.5</v>
      </c>
      <c r="H495" t="n">
        <v>0</v>
      </c>
      <c r="I495" t="n">
        <v>0</v>
      </c>
      <c r="J495" t="n">
        <v>0</v>
      </c>
      <c r="K495" t="n">
        <v>0</v>
      </c>
      <c r="L495" t="n">
        <v>0</v>
      </c>
      <c r="M495" t="n">
        <v>0</v>
      </c>
      <c r="N495" t="n">
        <v>0</v>
      </c>
      <c r="O495" t="n">
        <v>0</v>
      </c>
      <c r="P495" t="n">
        <v>0</v>
      </c>
      <c r="Q495" t="n">
        <v>0</v>
      </c>
      <c r="R495" s="2" t="inlineStr"/>
    </row>
    <row r="496" ht="15" customHeight="1">
      <c r="A496" t="inlineStr">
        <is>
          <t>A 43630-2025</t>
        </is>
      </c>
      <c r="B496" s="1" t="n">
        <v>45911</v>
      </c>
      <c r="C496" s="1" t="n">
        <v>46201</v>
      </c>
      <c r="D496" t="inlineStr">
        <is>
          <t>DALARNAS LÄN</t>
        </is>
      </c>
      <c r="E496" t="inlineStr">
        <is>
          <t>LEKSAND</t>
        </is>
      </c>
      <c r="G496" t="n">
        <v>4.7</v>
      </c>
      <c r="H496" t="n">
        <v>0</v>
      </c>
      <c r="I496" t="n">
        <v>0</v>
      </c>
      <c r="J496" t="n">
        <v>0</v>
      </c>
      <c r="K496" t="n">
        <v>0</v>
      </c>
      <c r="L496" t="n">
        <v>0</v>
      </c>
      <c r="M496" t="n">
        <v>0</v>
      </c>
      <c r="N496" t="n">
        <v>0</v>
      </c>
      <c r="O496" t="n">
        <v>0</v>
      </c>
      <c r="P496" t="n">
        <v>0</v>
      </c>
      <c r="Q496" t="n">
        <v>0</v>
      </c>
      <c r="R496" s="2" t="inlineStr"/>
    </row>
    <row r="497" ht="15" customHeight="1">
      <c r="A497" t="inlineStr">
        <is>
          <t>A 22876-2025</t>
        </is>
      </c>
      <c r="B497" s="1" t="n">
        <v>45790</v>
      </c>
      <c r="C497" s="1" t="n">
        <v>46201</v>
      </c>
      <c r="D497" t="inlineStr">
        <is>
          <t>DALARNAS LÄN</t>
        </is>
      </c>
      <c r="E497" t="inlineStr">
        <is>
          <t>LEKSAND</t>
        </is>
      </c>
      <c r="G497" t="n">
        <v>5.9</v>
      </c>
      <c r="H497" t="n">
        <v>0</v>
      </c>
      <c r="I497" t="n">
        <v>0</v>
      </c>
      <c r="J497" t="n">
        <v>0</v>
      </c>
      <c r="K497" t="n">
        <v>0</v>
      </c>
      <c r="L497" t="n">
        <v>0</v>
      </c>
      <c r="M497" t="n">
        <v>0</v>
      </c>
      <c r="N497" t="n">
        <v>0</v>
      </c>
      <c r="O497" t="n">
        <v>0</v>
      </c>
      <c r="P497" t="n">
        <v>0</v>
      </c>
      <c r="Q497" t="n">
        <v>0</v>
      </c>
      <c r="R497" s="2" t="inlineStr"/>
    </row>
    <row r="498" ht="15" customHeight="1">
      <c r="A498" t="inlineStr">
        <is>
          <t>A 54015-2025</t>
        </is>
      </c>
      <c r="B498" s="1" t="n">
        <v>45961</v>
      </c>
      <c r="C498" s="1" t="n">
        <v>46201</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43830-2025</t>
        </is>
      </c>
      <c r="B499" s="1" t="n">
        <v>45912</v>
      </c>
      <c r="C499" s="1" t="n">
        <v>46201</v>
      </c>
      <c r="D499" t="inlineStr">
        <is>
          <t>DALARNAS LÄN</t>
        </is>
      </c>
      <c r="E499" t="inlineStr">
        <is>
          <t>LEKSAND</t>
        </is>
      </c>
      <c r="F499" t="inlineStr">
        <is>
          <t>Bergvik skog väst AB</t>
        </is>
      </c>
      <c r="G499" t="n">
        <v>3.1</v>
      </c>
      <c r="H499" t="n">
        <v>0</v>
      </c>
      <c r="I499" t="n">
        <v>0</v>
      </c>
      <c r="J499" t="n">
        <v>0</v>
      </c>
      <c r="K499" t="n">
        <v>0</v>
      </c>
      <c r="L499" t="n">
        <v>0</v>
      </c>
      <c r="M499" t="n">
        <v>0</v>
      </c>
      <c r="N499" t="n">
        <v>0</v>
      </c>
      <c r="O499" t="n">
        <v>0</v>
      </c>
      <c r="P499" t="n">
        <v>0</v>
      </c>
      <c r="Q499" t="n">
        <v>0</v>
      </c>
      <c r="R499" s="2" t="inlineStr"/>
    </row>
    <row r="500" ht="15" customHeight="1">
      <c r="A500" t="inlineStr">
        <is>
          <t>A 43781-2025</t>
        </is>
      </c>
      <c r="B500" s="1" t="n">
        <v>45912</v>
      </c>
      <c r="C500" s="1" t="n">
        <v>46201</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49499-2024</t>
        </is>
      </c>
      <c r="B501" s="1" t="n">
        <v>45596</v>
      </c>
      <c r="C501" s="1" t="n">
        <v>46201</v>
      </c>
      <c r="D501" t="inlineStr">
        <is>
          <t>DALARNAS LÄN</t>
        </is>
      </c>
      <c r="E501" t="inlineStr">
        <is>
          <t>LEKSAND</t>
        </is>
      </c>
      <c r="G501" t="n">
        <v>1</v>
      </c>
      <c r="H501" t="n">
        <v>0</v>
      </c>
      <c r="I501" t="n">
        <v>0</v>
      </c>
      <c r="J501" t="n">
        <v>0</v>
      </c>
      <c r="K501" t="n">
        <v>0</v>
      </c>
      <c r="L501" t="n">
        <v>0</v>
      </c>
      <c r="M501" t="n">
        <v>0</v>
      </c>
      <c r="N501" t="n">
        <v>0</v>
      </c>
      <c r="O501" t="n">
        <v>0</v>
      </c>
      <c r="P501" t="n">
        <v>0</v>
      </c>
      <c r="Q501" t="n">
        <v>0</v>
      </c>
      <c r="R501" s="2" t="inlineStr"/>
    </row>
    <row r="502" ht="15" customHeight="1">
      <c r="A502" t="inlineStr">
        <is>
          <t>A 44822-2024</t>
        </is>
      </c>
      <c r="B502" s="1" t="n">
        <v>45574</v>
      </c>
      <c r="C502" s="1" t="n">
        <v>46201</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23076-2025</t>
        </is>
      </c>
      <c r="B503" s="1" t="n">
        <v>45790</v>
      </c>
      <c r="C503" s="1" t="n">
        <v>46201</v>
      </c>
      <c r="D503" t="inlineStr">
        <is>
          <t>DALARNAS LÄN</t>
        </is>
      </c>
      <c r="E503" t="inlineStr">
        <is>
          <t>LEKSAND</t>
        </is>
      </c>
      <c r="G503" t="n">
        <v>0.9</v>
      </c>
      <c r="H503" t="n">
        <v>0</v>
      </c>
      <c r="I503" t="n">
        <v>0</v>
      </c>
      <c r="J503" t="n">
        <v>0</v>
      </c>
      <c r="K503" t="n">
        <v>0</v>
      </c>
      <c r="L503" t="n">
        <v>0</v>
      </c>
      <c r="M503" t="n">
        <v>0</v>
      </c>
      <c r="N503" t="n">
        <v>0</v>
      </c>
      <c r="O503" t="n">
        <v>0</v>
      </c>
      <c r="P503" t="n">
        <v>0</v>
      </c>
      <c r="Q503" t="n">
        <v>0</v>
      </c>
      <c r="R503" s="2" t="inlineStr"/>
    </row>
    <row r="504" ht="15" customHeight="1">
      <c r="A504" t="inlineStr">
        <is>
          <t>A 53838-2025</t>
        </is>
      </c>
      <c r="B504" s="1" t="n">
        <v>45961</v>
      </c>
      <c r="C504" s="1" t="n">
        <v>46201</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33198-2022</t>
        </is>
      </c>
      <c r="B505" s="1" t="n">
        <v>44785</v>
      </c>
      <c r="C505" s="1" t="n">
        <v>46201</v>
      </c>
      <c r="D505" t="inlineStr">
        <is>
          <t>DALARNAS LÄN</t>
        </is>
      </c>
      <c r="E505" t="inlineStr">
        <is>
          <t>LEKSAND</t>
        </is>
      </c>
      <c r="G505" t="n">
        <v>1.5</v>
      </c>
      <c r="H505" t="n">
        <v>0</v>
      </c>
      <c r="I505" t="n">
        <v>0</v>
      </c>
      <c r="J505" t="n">
        <v>0</v>
      </c>
      <c r="K505" t="n">
        <v>0</v>
      </c>
      <c r="L505" t="n">
        <v>0</v>
      </c>
      <c r="M505" t="n">
        <v>0</v>
      </c>
      <c r="N505" t="n">
        <v>0</v>
      </c>
      <c r="O505" t="n">
        <v>0</v>
      </c>
      <c r="P505" t="n">
        <v>0</v>
      </c>
      <c r="Q505" t="n">
        <v>0</v>
      </c>
      <c r="R505" s="2" t="inlineStr"/>
    </row>
    <row r="506" ht="15" customHeight="1">
      <c r="A506" t="inlineStr">
        <is>
          <t>A 44237-2025</t>
        </is>
      </c>
      <c r="B506" s="1" t="n">
        <v>45915</v>
      </c>
      <c r="C506" s="1" t="n">
        <v>46201</v>
      </c>
      <c r="D506" t="inlineStr">
        <is>
          <t>DALARNAS LÄN</t>
        </is>
      </c>
      <c r="E506" t="inlineStr">
        <is>
          <t>LEKSAND</t>
        </is>
      </c>
      <c r="G506" t="n">
        <v>1.2</v>
      </c>
      <c r="H506" t="n">
        <v>0</v>
      </c>
      <c r="I506" t="n">
        <v>0</v>
      </c>
      <c r="J506" t="n">
        <v>0</v>
      </c>
      <c r="K506" t="n">
        <v>0</v>
      </c>
      <c r="L506" t="n">
        <v>0</v>
      </c>
      <c r="M506" t="n">
        <v>0</v>
      </c>
      <c r="N506" t="n">
        <v>0</v>
      </c>
      <c r="O506" t="n">
        <v>0</v>
      </c>
      <c r="P506" t="n">
        <v>0</v>
      </c>
      <c r="Q506" t="n">
        <v>0</v>
      </c>
      <c r="R506" s="2" t="inlineStr"/>
    </row>
    <row r="507" ht="15" customHeight="1">
      <c r="A507" t="inlineStr">
        <is>
          <t>A 9938-2023</t>
        </is>
      </c>
      <c r="B507" s="1" t="n">
        <v>44985</v>
      </c>
      <c r="C507" s="1" t="n">
        <v>46201</v>
      </c>
      <c r="D507" t="inlineStr">
        <is>
          <t>DALARNAS LÄN</t>
        </is>
      </c>
      <c r="E507" t="inlineStr">
        <is>
          <t>LEKSAND</t>
        </is>
      </c>
      <c r="G507" t="n">
        <v>3.1</v>
      </c>
      <c r="H507" t="n">
        <v>0</v>
      </c>
      <c r="I507" t="n">
        <v>0</v>
      </c>
      <c r="J507" t="n">
        <v>0</v>
      </c>
      <c r="K507" t="n">
        <v>0</v>
      </c>
      <c r="L507" t="n">
        <v>0</v>
      </c>
      <c r="M507" t="n">
        <v>0</v>
      </c>
      <c r="N507" t="n">
        <v>0</v>
      </c>
      <c r="O507" t="n">
        <v>0</v>
      </c>
      <c r="P507" t="n">
        <v>0</v>
      </c>
      <c r="Q507" t="n">
        <v>0</v>
      </c>
      <c r="R507" s="2" t="inlineStr"/>
    </row>
    <row r="508" ht="15" customHeight="1">
      <c r="A508" t="inlineStr">
        <is>
          <t>A 43875-2025</t>
        </is>
      </c>
      <c r="B508" s="1" t="n">
        <v>45912</v>
      </c>
      <c r="C508" s="1" t="n">
        <v>46201</v>
      </c>
      <c r="D508" t="inlineStr">
        <is>
          <t>DALARNAS LÄN</t>
        </is>
      </c>
      <c r="E508" t="inlineStr">
        <is>
          <t>LEKSAND</t>
        </is>
      </c>
      <c r="G508" t="n">
        <v>1.7</v>
      </c>
      <c r="H508" t="n">
        <v>0</v>
      </c>
      <c r="I508" t="n">
        <v>0</v>
      </c>
      <c r="J508" t="n">
        <v>0</v>
      </c>
      <c r="K508" t="n">
        <v>0</v>
      </c>
      <c r="L508" t="n">
        <v>0</v>
      </c>
      <c r="M508" t="n">
        <v>0</v>
      </c>
      <c r="N508" t="n">
        <v>0</v>
      </c>
      <c r="O508" t="n">
        <v>0</v>
      </c>
      <c r="P508" t="n">
        <v>0</v>
      </c>
      <c r="Q508" t="n">
        <v>0</v>
      </c>
      <c r="R508" s="2" t="inlineStr"/>
    </row>
    <row r="509" ht="15" customHeight="1">
      <c r="A509" t="inlineStr">
        <is>
          <t>A 53804-2025</t>
        </is>
      </c>
      <c r="B509" s="1" t="n">
        <v>45960</v>
      </c>
      <c r="C509" s="1" t="n">
        <v>46201</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53836-2025</t>
        </is>
      </c>
      <c r="B510" s="1" t="n">
        <v>45961</v>
      </c>
      <c r="C510" s="1" t="n">
        <v>46201</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44519-2025</t>
        </is>
      </c>
      <c r="B511" s="1" t="n">
        <v>45916</v>
      </c>
      <c r="C511" s="1" t="n">
        <v>46201</v>
      </c>
      <c r="D511" t="inlineStr">
        <is>
          <t>DALARNAS LÄN</t>
        </is>
      </c>
      <c r="E511" t="inlineStr">
        <is>
          <t>LEKSAND</t>
        </is>
      </c>
      <c r="G511" t="n">
        <v>3.6</v>
      </c>
      <c r="H511" t="n">
        <v>0</v>
      </c>
      <c r="I511" t="n">
        <v>0</v>
      </c>
      <c r="J511" t="n">
        <v>0</v>
      </c>
      <c r="K511" t="n">
        <v>0</v>
      </c>
      <c r="L511" t="n">
        <v>0</v>
      </c>
      <c r="M511" t="n">
        <v>0</v>
      </c>
      <c r="N511" t="n">
        <v>0</v>
      </c>
      <c r="O511" t="n">
        <v>0</v>
      </c>
      <c r="P511" t="n">
        <v>0</v>
      </c>
      <c r="Q511" t="n">
        <v>0</v>
      </c>
      <c r="R511" s="2" t="inlineStr"/>
    </row>
    <row r="512" ht="15" customHeight="1">
      <c r="A512" t="inlineStr">
        <is>
          <t>A 31726-2024</t>
        </is>
      </c>
      <c r="B512" s="1" t="n">
        <v>45509</v>
      </c>
      <c r="C512" s="1" t="n">
        <v>46201</v>
      </c>
      <c r="D512" t="inlineStr">
        <is>
          <t>DALARNAS LÄN</t>
        </is>
      </c>
      <c r="E512" t="inlineStr">
        <is>
          <t>LEKSAND</t>
        </is>
      </c>
      <c r="G512" t="n">
        <v>1.1</v>
      </c>
      <c r="H512" t="n">
        <v>0</v>
      </c>
      <c r="I512" t="n">
        <v>0</v>
      </c>
      <c r="J512" t="n">
        <v>0</v>
      </c>
      <c r="K512" t="n">
        <v>0</v>
      </c>
      <c r="L512" t="n">
        <v>0</v>
      </c>
      <c r="M512" t="n">
        <v>0</v>
      </c>
      <c r="N512" t="n">
        <v>0</v>
      </c>
      <c r="O512" t="n">
        <v>0</v>
      </c>
      <c r="P512" t="n">
        <v>0</v>
      </c>
      <c r="Q512" t="n">
        <v>0</v>
      </c>
      <c r="R512" s="2" t="inlineStr"/>
    </row>
    <row r="513" ht="15" customHeight="1">
      <c r="A513" t="inlineStr">
        <is>
          <t>A 26957-2023</t>
        </is>
      </c>
      <c r="B513" s="1" t="n">
        <v>45093</v>
      </c>
      <c r="C513" s="1" t="n">
        <v>46201</v>
      </c>
      <c r="D513" t="inlineStr">
        <is>
          <t>DALARNAS LÄN</t>
        </is>
      </c>
      <c r="E513" t="inlineStr">
        <is>
          <t>LEKSAND</t>
        </is>
      </c>
      <c r="G513" t="n">
        <v>1.1</v>
      </c>
      <c r="H513" t="n">
        <v>0</v>
      </c>
      <c r="I513" t="n">
        <v>0</v>
      </c>
      <c r="J513" t="n">
        <v>0</v>
      </c>
      <c r="K513" t="n">
        <v>0</v>
      </c>
      <c r="L513" t="n">
        <v>0</v>
      </c>
      <c r="M513" t="n">
        <v>0</v>
      </c>
      <c r="N513" t="n">
        <v>0</v>
      </c>
      <c r="O513" t="n">
        <v>0</v>
      </c>
      <c r="P513" t="n">
        <v>0</v>
      </c>
      <c r="Q513" t="n">
        <v>0</v>
      </c>
      <c r="R513" s="2" t="inlineStr"/>
    </row>
    <row r="514" ht="15" customHeight="1">
      <c r="A514" t="inlineStr">
        <is>
          <t>A 39595-2023</t>
        </is>
      </c>
      <c r="B514" s="1" t="n">
        <v>45167</v>
      </c>
      <c r="C514" s="1" t="n">
        <v>46201</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44672-2025</t>
        </is>
      </c>
      <c r="B515" s="1" t="n">
        <v>45917</v>
      </c>
      <c r="C515" s="1" t="n">
        <v>46201</v>
      </c>
      <c r="D515" t="inlineStr">
        <is>
          <t>DALARNAS LÄN</t>
        </is>
      </c>
      <c r="E515" t="inlineStr">
        <is>
          <t>LEKSAND</t>
        </is>
      </c>
      <c r="G515" t="n">
        <v>0.5</v>
      </c>
      <c r="H515" t="n">
        <v>0</v>
      </c>
      <c r="I515" t="n">
        <v>0</v>
      </c>
      <c r="J515" t="n">
        <v>0</v>
      </c>
      <c r="K515" t="n">
        <v>0</v>
      </c>
      <c r="L515" t="n">
        <v>0</v>
      </c>
      <c r="M515" t="n">
        <v>0</v>
      </c>
      <c r="N515" t="n">
        <v>0</v>
      </c>
      <c r="O515" t="n">
        <v>0</v>
      </c>
      <c r="P515" t="n">
        <v>0</v>
      </c>
      <c r="Q515" t="n">
        <v>0</v>
      </c>
      <c r="R515" s="2" t="inlineStr"/>
    </row>
    <row r="516" ht="15" customHeight="1">
      <c r="A516" t="inlineStr">
        <is>
          <t>A 54440-2025</t>
        </is>
      </c>
      <c r="B516" s="1" t="n">
        <v>45965</v>
      </c>
      <c r="C516" s="1" t="n">
        <v>46201</v>
      </c>
      <c r="D516" t="inlineStr">
        <is>
          <t>DALARNAS LÄN</t>
        </is>
      </c>
      <c r="E516" t="inlineStr">
        <is>
          <t>LEKSAND</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54120-2025</t>
        </is>
      </c>
      <c r="B517" s="1" t="n">
        <v>45964</v>
      </c>
      <c r="C517" s="1" t="n">
        <v>46201</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54125-2025</t>
        </is>
      </c>
      <c r="B518" s="1" t="n">
        <v>45964</v>
      </c>
      <c r="C518" s="1" t="n">
        <v>46201</v>
      </c>
      <c r="D518" t="inlineStr">
        <is>
          <t>DALARNAS LÄN</t>
        </is>
      </c>
      <c r="E518" t="inlineStr">
        <is>
          <t>LEKSAND</t>
        </is>
      </c>
      <c r="G518" t="n">
        <v>0.6</v>
      </c>
      <c r="H518" t="n">
        <v>0</v>
      </c>
      <c r="I518" t="n">
        <v>0</v>
      </c>
      <c r="J518" t="n">
        <v>0</v>
      </c>
      <c r="K518" t="n">
        <v>0</v>
      </c>
      <c r="L518" t="n">
        <v>0</v>
      </c>
      <c r="M518" t="n">
        <v>0</v>
      </c>
      <c r="N518" t="n">
        <v>0</v>
      </c>
      <c r="O518" t="n">
        <v>0</v>
      </c>
      <c r="P518" t="n">
        <v>0</v>
      </c>
      <c r="Q518" t="n">
        <v>0</v>
      </c>
      <c r="R518" s="2" t="inlineStr"/>
    </row>
    <row r="519" ht="15" customHeight="1">
      <c r="A519" t="inlineStr">
        <is>
          <t>A 40642-2023</t>
        </is>
      </c>
      <c r="B519" s="1" t="n">
        <v>45169</v>
      </c>
      <c r="C519" s="1" t="n">
        <v>46201</v>
      </c>
      <c r="D519" t="inlineStr">
        <is>
          <t>DALARNAS LÄN</t>
        </is>
      </c>
      <c r="E519" t="inlineStr">
        <is>
          <t>LEKSAND</t>
        </is>
      </c>
      <c r="G519" t="n">
        <v>1.9</v>
      </c>
      <c r="H519" t="n">
        <v>0</v>
      </c>
      <c r="I519" t="n">
        <v>0</v>
      </c>
      <c r="J519" t="n">
        <v>0</v>
      </c>
      <c r="K519" t="n">
        <v>0</v>
      </c>
      <c r="L519" t="n">
        <v>0</v>
      </c>
      <c r="M519" t="n">
        <v>0</v>
      </c>
      <c r="N519" t="n">
        <v>0</v>
      </c>
      <c r="O519" t="n">
        <v>0</v>
      </c>
      <c r="P519" t="n">
        <v>0</v>
      </c>
      <c r="Q519" t="n">
        <v>0</v>
      </c>
      <c r="R519" s="2" t="inlineStr"/>
    </row>
    <row r="520" ht="15" customHeight="1">
      <c r="A520" t="inlineStr">
        <is>
          <t>A 54293-2025</t>
        </is>
      </c>
      <c r="B520" s="1" t="n">
        <v>45964</v>
      </c>
      <c r="C520" s="1" t="n">
        <v>46201</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54295-2025</t>
        </is>
      </c>
      <c r="B521" s="1" t="n">
        <v>45964</v>
      </c>
      <c r="C521" s="1" t="n">
        <v>46201</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54494-2025</t>
        </is>
      </c>
      <c r="B522" s="1" t="n">
        <v>45965</v>
      </c>
      <c r="C522" s="1" t="n">
        <v>46201</v>
      </c>
      <c r="D522" t="inlineStr">
        <is>
          <t>DALARNAS LÄN</t>
        </is>
      </c>
      <c r="E522" t="inlineStr">
        <is>
          <t>LEKSAND</t>
        </is>
      </c>
      <c r="G522" t="n">
        <v>1.3</v>
      </c>
      <c r="H522" t="n">
        <v>0</v>
      </c>
      <c r="I522" t="n">
        <v>0</v>
      </c>
      <c r="J522" t="n">
        <v>0</v>
      </c>
      <c r="K522" t="n">
        <v>0</v>
      </c>
      <c r="L522" t="n">
        <v>0</v>
      </c>
      <c r="M522" t="n">
        <v>0</v>
      </c>
      <c r="N522" t="n">
        <v>0</v>
      </c>
      <c r="O522" t="n">
        <v>0</v>
      </c>
      <c r="P522" t="n">
        <v>0</v>
      </c>
      <c r="Q522" t="n">
        <v>0</v>
      </c>
      <c r="R522" s="2" t="inlineStr"/>
    </row>
    <row r="523" ht="15" customHeight="1">
      <c r="A523" t="inlineStr">
        <is>
          <t>A 45101-2025</t>
        </is>
      </c>
      <c r="B523" s="1" t="n">
        <v>45919</v>
      </c>
      <c r="C523" s="1" t="n">
        <v>46201</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54752-2025</t>
        </is>
      </c>
      <c r="B524" s="1" t="n">
        <v>45966</v>
      </c>
      <c r="C524" s="1" t="n">
        <v>46201</v>
      </c>
      <c r="D524" t="inlineStr">
        <is>
          <t>DALARNAS LÄN</t>
        </is>
      </c>
      <c r="E524" t="inlineStr">
        <is>
          <t>LEKSAND</t>
        </is>
      </c>
      <c r="G524" t="n">
        <v>0.3</v>
      </c>
      <c r="H524" t="n">
        <v>0</v>
      </c>
      <c r="I524" t="n">
        <v>0</v>
      </c>
      <c r="J524" t="n">
        <v>0</v>
      </c>
      <c r="K524" t="n">
        <v>0</v>
      </c>
      <c r="L524" t="n">
        <v>0</v>
      </c>
      <c r="M524" t="n">
        <v>0</v>
      </c>
      <c r="N524" t="n">
        <v>0</v>
      </c>
      <c r="O524" t="n">
        <v>0</v>
      </c>
      <c r="P524" t="n">
        <v>0</v>
      </c>
      <c r="Q524" t="n">
        <v>0</v>
      </c>
      <c r="R524" s="2" t="inlineStr"/>
    </row>
    <row r="525" ht="15" customHeight="1">
      <c r="A525" t="inlineStr">
        <is>
          <t>A 54767-2025</t>
        </is>
      </c>
      <c r="B525" s="1" t="n">
        <v>45966</v>
      </c>
      <c r="C525" s="1" t="n">
        <v>46201</v>
      </c>
      <c r="D525" t="inlineStr">
        <is>
          <t>DALARNAS LÄN</t>
        </is>
      </c>
      <c r="E525" t="inlineStr">
        <is>
          <t>LEKSAND</t>
        </is>
      </c>
      <c r="G525" t="n">
        <v>2.4</v>
      </c>
      <c r="H525" t="n">
        <v>0</v>
      </c>
      <c r="I525" t="n">
        <v>0</v>
      </c>
      <c r="J525" t="n">
        <v>0</v>
      </c>
      <c r="K525" t="n">
        <v>0</v>
      </c>
      <c r="L525" t="n">
        <v>0</v>
      </c>
      <c r="M525" t="n">
        <v>0</v>
      </c>
      <c r="N525" t="n">
        <v>0</v>
      </c>
      <c r="O525" t="n">
        <v>0</v>
      </c>
      <c r="P525" t="n">
        <v>0</v>
      </c>
      <c r="Q525" t="n">
        <v>0</v>
      </c>
      <c r="R525" s="2" t="inlineStr"/>
    </row>
    <row r="526" ht="15" customHeight="1">
      <c r="A526" t="inlineStr">
        <is>
          <t>A 54785-2025</t>
        </is>
      </c>
      <c r="B526" s="1" t="n">
        <v>45966</v>
      </c>
      <c r="C526" s="1" t="n">
        <v>46201</v>
      </c>
      <c r="D526" t="inlineStr">
        <is>
          <t>DALARNAS LÄN</t>
        </is>
      </c>
      <c r="E526" t="inlineStr">
        <is>
          <t>LEKSAND</t>
        </is>
      </c>
      <c r="G526" t="n">
        <v>1.2</v>
      </c>
      <c r="H526" t="n">
        <v>0</v>
      </c>
      <c r="I526" t="n">
        <v>0</v>
      </c>
      <c r="J526" t="n">
        <v>0</v>
      </c>
      <c r="K526" t="n">
        <v>0</v>
      </c>
      <c r="L526" t="n">
        <v>0</v>
      </c>
      <c r="M526" t="n">
        <v>0</v>
      </c>
      <c r="N526" t="n">
        <v>0</v>
      </c>
      <c r="O526" t="n">
        <v>0</v>
      </c>
      <c r="P526" t="n">
        <v>0</v>
      </c>
      <c r="Q526" t="n">
        <v>0</v>
      </c>
      <c r="R526" s="2" t="inlineStr"/>
    </row>
    <row r="527" ht="15" customHeight="1">
      <c r="A527" t="inlineStr">
        <is>
          <t>A 54805-2025</t>
        </is>
      </c>
      <c r="B527" s="1" t="n">
        <v>45966</v>
      </c>
      <c r="C527" s="1" t="n">
        <v>46201</v>
      </c>
      <c r="D527" t="inlineStr">
        <is>
          <t>DALARNAS LÄN</t>
        </is>
      </c>
      <c r="E527" t="inlineStr">
        <is>
          <t>LEKSAND</t>
        </is>
      </c>
      <c r="G527" t="n">
        <v>1.8</v>
      </c>
      <c r="H527" t="n">
        <v>0</v>
      </c>
      <c r="I527" t="n">
        <v>0</v>
      </c>
      <c r="J527" t="n">
        <v>0</v>
      </c>
      <c r="K527" t="n">
        <v>0</v>
      </c>
      <c r="L527" t="n">
        <v>0</v>
      </c>
      <c r="M527" t="n">
        <v>0</v>
      </c>
      <c r="N527" t="n">
        <v>0</v>
      </c>
      <c r="O527" t="n">
        <v>0</v>
      </c>
      <c r="P527" t="n">
        <v>0</v>
      </c>
      <c r="Q527" t="n">
        <v>0</v>
      </c>
      <c r="R527" s="2" t="inlineStr"/>
    </row>
    <row r="528" ht="15" customHeight="1">
      <c r="A528" t="inlineStr">
        <is>
          <t>A 24188-2025</t>
        </is>
      </c>
      <c r="B528" s="1" t="n">
        <v>45796</v>
      </c>
      <c r="C528" s="1" t="n">
        <v>46201</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7450-2023</t>
        </is>
      </c>
      <c r="B529" s="1" t="n">
        <v>44971</v>
      </c>
      <c r="C529" s="1" t="n">
        <v>46201</v>
      </c>
      <c r="D529" t="inlineStr">
        <is>
          <t>DALARNAS LÄN</t>
        </is>
      </c>
      <c r="E529" t="inlineStr">
        <is>
          <t>LEKSAND</t>
        </is>
      </c>
      <c r="G529" t="n">
        <v>3</v>
      </c>
      <c r="H529" t="n">
        <v>0</v>
      </c>
      <c r="I529" t="n">
        <v>0</v>
      </c>
      <c r="J529" t="n">
        <v>0</v>
      </c>
      <c r="K529" t="n">
        <v>0</v>
      </c>
      <c r="L529" t="n">
        <v>0</v>
      </c>
      <c r="M529" t="n">
        <v>0</v>
      </c>
      <c r="N529" t="n">
        <v>0</v>
      </c>
      <c r="O529" t="n">
        <v>0</v>
      </c>
      <c r="P529" t="n">
        <v>0</v>
      </c>
      <c r="Q529" t="n">
        <v>0</v>
      </c>
      <c r="R529" s="2" t="inlineStr"/>
    </row>
    <row r="530" ht="15" customHeight="1">
      <c r="A530" t="inlineStr">
        <is>
          <t>A 54779-2025</t>
        </is>
      </c>
      <c r="B530" s="1" t="n">
        <v>45966</v>
      </c>
      <c r="C530" s="1" t="n">
        <v>46201</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54815-2025</t>
        </is>
      </c>
      <c r="B531" s="1" t="n">
        <v>45966</v>
      </c>
      <c r="C531" s="1" t="n">
        <v>46201</v>
      </c>
      <c r="D531" t="inlineStr">
        <is>
          <t>DALARNAS LÄN</t>
        </is>
      </c>
      <c r="E531" t="inlineStr">
        <is>
          <t>LEKSAND</t>
        </is>
      </c>
      <c r="G531" t="n">
        <v>0.6</v>
      </c>
      <c r="H531" t="n">
        <v>0</v>
      </c>
      <c r="I531" t="n">
        <v>0</v>
      </c>
      <c r="J531" t="n">
        <v>0</v>
      </c>
      <c r="K531" t="n">
        <v>0</v>
      </c>
      <c r="L531" t="n">
        <v>0</v>
      </c>
      <c r="M531" t="n">
        <v>0</v>
      </c>
      <c r="N531" t="n">
        <v>0</v>
      </c>
      <c r="O531" t="n">
        <v>0</v>
      </c>
      <c r="P531" t="n">
        <v>0</v>
      </c>
      <c r="Q531" t="n">
        <v>0</v>
      </c>
      <c r="R531" s="2" t="inlineStr"/>
    </row>
    <row r="532" ht="15" customHeight="1">
      <c r="A532" t="inlineStr">
        <is>
          <t>A 60095-2022</t>
        </is>
      </c>
      <c r="B532" s="1" t="n">
        <v>44909</v>
      </c>
      <c r="C532" s="1" t="n">
        <v>46201</v>
      </c>
      <c r="D532" t="inlineStr">
        <is>
          <t>DALARNAS LÄN</t>
        </is>
      </c>
      <c r="E532" t="inlineStr">
        <is>
          <t>LEKSAND</t>
        </is>
      </c>
      <c r="G532" t="n">
        <v>2.4</v>
      </c>
      <c r="H532" t="n">
        <v>0</v>
      </c>
      <c r="I532" t="n">
        <v>0</v>
      </c>
      <c r="J532" t="n">
        <v>0</v>
      </c>
      <c r="K532" t="n">
        <v>0</v>
      </c>
      <c r="L532" t="n">
        <v>0</v>
      </c>
      <c r="M532" t="n">
        <v>0</v>
      </c>
      <c r="N532" t="n">
        <v>0</v>
      </c>
      <c r="O532" t="n">
        <v>0</v>
      </c>
      <c r="P532" t="n">
        <v>0</v>
      </c>
      <c r="Q532" t="n">
        <v>0</v>
      </c>
      <c r="R532" s="2" t="inlineStr"/>
    </row>
    <row r="533" ht="15" customHeight="1">
      <c r="A533" t="inlineStr">
        <is>
          <t>A 30595-2023</t>
        </is>
      </c>
      <c r="B533" s="1" t="n">
        <v>45112</v>
      </c>
      <c r="C533" s="1" t="n">
        <v>46201</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45300-2025</t>
        </is>
      </c>
      <c r="B534" s="1" t="n">
        <v>45921</v>
      </c>
      <c r="C534" s="1" t="n">
        <v>46201</v>
      </c>
      <c r="D534" t="inlineStr">
        <is>
          <t>DALARNAS LÄN</t>
        </is>
      </c>
      <c r="E534" t="inlineStr">
        <is>
          <t>LEKSAND</t>
        </is>
      </c>
      <c r="G534" t="n">
        <v>2.3</v>
      </c>
      <c r="H534" t="n">
        <v>0</v>
      </c>
      <c r="I534" t="n">
        <v>0</v>
      </c>
      <c r="J534" t="n">
        <v>0</v>
      </c>
      <c r="K534" t="n">
        <v>0</v>
      </c>
      <c r="L534" t="n">
        <v>0</v>
      </c>
      <c r="M534" t="n">
        <v>0</v>
      </c>
      <c r="N534" t="n">
        <v>0</v>
      </c>
      <c r="O534" t="n">
        <v>0</v>
      </c>
      <c r="P534" t="n">
        <v>0</v>
      </c>
      <c r="Q534" t="n">
        <v>0</v>
      </c>
      <c r="R534" s="2" t="inlineStr"/>
    </row>
    <row r="535" ht="15" customHeight="1">
      <c r="A535" t="inlineStr">
        <is>
          <t>A 45318-2025</t>
        </is>
      </c>
      <c r="B535" s="1" t="n">
        <v>45921</v>
      </c>
      <c r="C535" s="1" t="n">
        <v>46201</v>
      </c>
      <c r="D535" t="inlineStr">
        <is>
          <t>DALARNAS LÄN</t>
        </is>
      </c>
      <c r="E535" t="inlineStr">
        <is>
          <t>LEKSAND</t>
        </is>
      </c>
      <c r="G535" t="n">
        <v>0.6</v>
      </c>
      <c r="H535" t="n">
        <v>0</v>
      </c>
      <c r="I535" t="n">
        <v>0</v>
      </c>
      <c r="J535" t="n">
        <v>0</v>
      </c>
      <c r="K535" t="n">
        <v>0</v>
      </c>
      <c r="L535" t="n">
        <v>0</v>
      </c>
      <c r="M535" t="n">
        <v>0</v>
      </c>
      <c r="N535" t="n">
        <v>0</v>
      </c>
      <c r="O535" t="n">
        <v>0</v>
      </c>
      <c r="P535" t="n">
        <v>0</v>
      </c>
      <c r="Q535" t="n">
        <v>0</v>
      </c>
      <c r="R535" s="2" t="inlineStr"/>
    </row>
    <row r="536" ht="15" customHeight="1">
      <c r="A536" t="inlineStr">
        <is>
          <t>A 55493-2025</t>
        </is>
      </c>
      <c r="B536" s="1" t="n">
        <v>45971</v>
      </c>
      <c r="C536" s="1" t="n">
        <v>46201</v>
      </c>
      <c r="D536" t="inlineStr">
        <is>
          <t>DALARNAS LÄN</t>
        </is>
      </c>
      <c r="E536" t="inlineStr">
        <is>
          <t>LEKSAND</t>
        </is>
      </c>
      <c r="G536" t="n">
        <v>0.9</v>
      </c>
      <c r="H536" t="n">
        <v>0</v>
      </c>
      <c r="I536" t="n">
        <v>0</v>
      </c>
      <c r="J536" t="n">
        <v>0</v>
      </c>
      <c r="K536" t="n">
        <v>0</v>
      </c>
      <c r="L536" t="n">
        <v>0</v>
      </c>
      <c r="M536" t="n">
        <v>0</v>
      </c>
      <c r="N536" t="n">
        <v>0</v>
      </c>
      <c r="O536" t="n">
        <v>0</v>
      </c>
      <c r="P536" t="n">
        <v>0</v>
      </c>
      <c r="Q536" t="n">
        <v>0</v>
      </c>
      <c r="R536" s="2" t="inlineStr"/>
    </row>
    <row r="537" ht="15" customHeight="1">
      <c r="A537" t="inlineStr">
        <is>
          <t>A 46176-2025</t>
        </is>
      </c>
      <c r="B537" s="1" t="n">
        <v>45924</v>
      </c>
      <c r="C537" s="1" t="n">
        <v>46201</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46405-2025</t>
        </is>
      </c>
      <c r="B538" s="1" t="n">
        <v>45925</v>
      </c>
      <c r="C538" s="1" t="n">
        <v>46201</v>
      </c>
      <c r="D538" t="inlineStr">
        <is>
          <t>DALARNAS LÄN</t>
        </is>
      </c>
      <c r="E538" t="inlineStr">
        <is>
          <t>LEKSAND</t>
        </is>
      </c>
      <c r="G538" t="n">
        <v>5.7</v>
      </c>
      <c r="H538" t="n">
        <v>0</v>
      </c>
      <c r="I538" t="n">
        <v>0</v>
      </c>
      <c r="J538" t="n">
        <v>0</v>
      </c>
      <c r="K538" t="n">
        <v>0</v>
      </c>
      <c r="L538" t="n">
        <v>0</v>
      </c>
      <c r="M538" t="n">
        <v>0</v>
      </c>
      <c r="N538" t="n">
        <v>0</v>
      </c>
      <c r="O538" t="n">
        <v>0</v>
      </c>
      <c r="P538" t="n">
        <v>0</v>
      </c>
      <c r="Q538" t="n">
        <v>0</v>
      </c>
      <c r="R538" s="2" t="inlineStr"/>
    </row>
    <row r="539" ht="15" customHeight="1">
      <c r="A539" t="inlineStr">
        <is>
          <t>A 46483-2025</t>
        </is>
      </c>
      <c r="B539" s="1" t="n">
        <v>45925</v>
      </c>
      <c r="C539" s="1" t="n">
        <v>46201</v>
      </c>
      <c r="D539" t="inlineStr">
        <is>
          <t>DALARNAS LÄN</t>
        </is>
      </c>
      <c r="E539" t="inlineStr">
        <is>
          <t>LEKSAND</t>
        </is>
      </c>
      <c r="G539" t="n">
        <v>3.6</v>
      </c>
      <c r="H539" t="n">
        <v>0</v>
      </c>
      <c r="I539" t="n">
        <v>0</v>
      </c>
      <c r="J539" t="n">
        <v>0</v>
      </c>
      <c r="K539" t="n">
        <v>0</v>
      </c>
      <c r="L539" t="n">
        <v>0</v>
      </c>
      <c r="M539" t="n">
        <v>0</v>
      </c>
      <c r="N539" t="n">
        <v>0</v>
      </c>
      <c r="O539" t="n">
        <v>0</v>
      </c>
      <c r="P539" t="n">
        <v>0</v>
      </c>
      <c r="Q539" t="n">
        <v>0</v>
      </c>
      <c r="R539" s="2" t="inlineStr"/>
    </row>
    <row r="540" ht="15" customHeight="1">
      <c r="A540" t="inlineStr">
        <is>
          <t>A 55784-2025</t>
        </is>
      </c>
      <c r="B540" s="1" t="n">
        <v>45972</v>
      </c>
      <c r="C540" s="1" t="n">
        <v>46201</v>
      </c>
      <c r="D540" t="inlineStr">
        <is>
          <t>DALARNAS LÄN</t>
        </is>
      </c>
      <c r="E540" t="inlineStr">
        <is>
          <t>LEKSAND</t>
        </is>
      </c>
      <c r="G540" t="n">
        <v>1.5</v>
      </c>
      <c r="H540" t="n">
        <v>0</v>
      </c>
      <c r="I540" t="n">
        <v>0</v>
      </c>
      <c r="J540" t="n">
        <v>0</v>
      </c>
      <c r="K540" t="n">
        <v>0</v>
      </c>
      <c r="L540" t="n">
        <v>0</v>
      </c>
      <c r="M540" t="n">
        <v>0</v>
      </c>
      <c r="N540" t="n">
        <v>0</v>
      </c>
      <c r="O540" t="n">
        <v>0</v>
      </c>
      <c r="P540" t="n">
        <v>0</v>
      </c>
      <c r="Q540" t="n">
        <v>0</v>
      </c>
      <c r="R540" s="2" t="inlineStr"/>
    </row>
    <row r="541" ht="15" customHeight="1">
      <c r="A541" t="inlineStr">
        <is>
          <t>A 46978-2025</t>
        </is>
      </c>
      <c r="B541" s="1" t="n">
        <v>45929</v>
      </c>
      <c r="C541" s="1" t="n">
        <v>46201</v>
      </c>
      <c r="D541" t="inlineStr">
        <is>
          <t>DALARNAS LÄN</t>
        </is>
      </c>
      <c r="E541" t="inlineStr">
        <is>
          <t>LEKSAND</t>
        </is>
      </c>
      <c r="G541" t="n">
        <v>2</v>
      </c>
      <c r="H541" t="n">
        <v>0</v>
      </c>
      <c r="I541" t="n">
        <v>0</v>
      </c>
      <c r="J541" t="n">
        <v>0</v>
      </c>
      <c r="K541" t="n">
        <v>0</v>
      </c>
      <c r="L541" t="n">
        <v>0</v>
      </c>
      <c r="M541" t="n">
        <v>0</v>
      </c>
      <c r="N541" t="n">
        <v>0</v>
      </c>
      <c r="O541" t="n">
        <v>0</v>
      </c>
      <c r="P541" t="n">
        <v>0</v>
      </c>
      <c r="Q541" t="n">
        <v>0</v>
      </c>
      <c r="R541" s="2" t="inlineStr"/>
    </row>
    <row r="542" ht="15" customHeight="1">
      <c r="A542" t="inlineStr">
        <is>
          <t>A 56623-2025</t>
        </is>
      </c>
      <c r="B542" s="1" t="n">
        <v>45975</v>
      </c>
      <c r="C542" s="1" t="n">
        <v>46201</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56161-2025</t>
        </is>
      </c>
      <c r="B543" s="1" t="n">
        <v>45974</v>
      </c>
      <c r="C543" s="1" t="n">
        <v>46201</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56331-2025</t>
        </is>
      </c>
      <c r="B544" s="1" t="n">
        <v>45974</v>
      </c>
      <c r="C544" s="1" t="n">
        <v>46201</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56211-2023</t>
        </is>
      </c>
      <c r="B545" s="1" t="n">
        <v>45240</v>
      </c>
      <c r="C545" s="1" t="n">
        <v>46201</v>
      </c>
      <c r="D545" t="inlineStr">
        <is>
          <t>DALARNAS LÄN</t>
        </is>
      </c>
      <c r="E545" t="inlineStr">
        <is>
          <t>LEKSAND</t>
        </is>
      </c>
      <c r="G545" t="n">
        <v>1.5</v>
      </c>
      <c r="H545" t="n">
        <v>0</v>
      </c>
      <c r="I545" t="n">
        <v>0</v>
      </c>
      <c r="J545" t="n">
        <v>0</v>
      </c>
      <c r="K545" t="n">
        <v>0</v>
      </c>
      <c r="L545" t="n">
        <v>0</v>
      </c>
      <c r="M545" t="n">
        <v>0</v>
      </c>
      <c r="N545" t="n">
        <v>0</v>
      </c>
      <c r="O545" t="n">
        <v>0</v>
      </c>
      <c r="P545" t="n">
        <v>0</v>
      </c>
      <c r="Q545" t="n">
        <v>0</v>
      </c>
      <c r="R545" s="2" t="inlineStr"/>
    </row>
    <row r="546" ht="15" customHeight="1">
      <c r="A546" t="inlineStr">
        <is>
          <t>A 56960-2025</t>
        </is>
      </c>
      <c r="B546" s="1" t="n">
        <v>45978</v>
      </c>
      <c r="C546" s="1" t="n">
        <v>46201</v>
      </c>
      <c r="D546" t="inlineStr">
        <is>
          <t>DALARNAS LÄN</t>
        </is>
      </c>
      <c r="E546" t="inlineStr">
        <is>
          <t>LEKSAND</t>
        </is>
      </c>
      <c r="G546" t="n">
        <v>3.1</v>
      </c>
      <c r="H546" t="n">
        <v>0</v>
      </c>
      <c r="I546" t="n">
        <v>0</v>
      </c>
      <c r="J546" t="n">
        <v>0</v>
      </c>
      <c r="K546" t="n">
        <v>0</v>
      </c>
      <c r="L546" t="n">
        <v>0</v>
      </c>
      <c r="M546" t="n">
        <v>0</v>
      </c>
      <c r="N546" t="n">
        <v>0</v>
      </c>
      <c r="O546" t="n">
        <v>0</v>
      </c>
      <c r="P546" t="n">
        <v>0</v>
      </c>
      <c r="Q546" t="n">
        <v>0</v>
      </c>
      <c r="R546" s="2" t="inlineStr"/>
    </row>
    <row r="547" ht="15" customHeight="1">
      <c r="A547" t="inlineStr">
        <is>
          <t>A 40868-2024</t>
        </is>
      </c>
      <c r="B547" s="1" t="n">
        <v>45558</v>
      </c>
      <c r="C547" s="1" t="n">
        <v>46201</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57688-2025</t>
        </is>
      </c>
      <c r="B548" s="1" t="n">
        <v>45981</v>
      </c>
      <c r="C548" s="1" t="n">
        <v>46201</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54677-2025</t>
        </is>
      </c>
      <c r="B549" s="1" t="n">
        <v>45966</v>
      </c>
      <c r="C549" s="1" t="n">
        <v>46201</v>
      </c>
      <c r="D549" t="inlineStr">
        <is>
          <t>DALARNAS LÄN</t>
        </is>
      </c>
      <c r="E549" t="inlineStr">
        <is>
          <t>LEKSAND</t>
        </is>
      </c>
      <c r="G549" t="n">
        <v>0.5</v>
      </c>
      <c r="H549" t="n">
        <v>0</v>
      </c>
      <c r="I549" t="n">
        <v>0</v>
      </c>
      <c r="J549" t="n">
        <v>0</v>
      </c>
      <c r="K549" t="n">
        <v>0</v>
      </c>
      <c r="L549" t="n">
        <v>0</v>
      </c>
      <c r="M549" t="n">
        <v>0</v>
      </c>
      <c r="N549" t="n">
        <v>0</v>
      </c>
      <c r="O549" t="n">
        <v>0</v>
      </c>
      <c r="P549" t="n">
        <v>0</v>
      </c>
      <c r="Q549" t="n">
        <v>0</v>
      </c>
      <c r="R549" s="2" t="inlineStr"/>
    </row>
    <row r="550" ht="15" customHeight="1">
      <c r="A550" t="inlineStr">
        <is>
          <t>A 58376-2025</t>
        </is>
      </c>
      <c r="B550" s="1" t="n">
        <v>45985</v>
      </c>
      <c r="C550" s="1" t="n">
        <v>46201</v>
      </c>
      <c r="D550" t="inlineStr">
        <is>
          <t>DALARNAS LÄN</t>
        </is>
      </c>
      <c r="E550" t="inlineStr">
        <is>
          <t>LEKSAND</t>
        </is>
      </c>
      <c r="G550" t="n">
        <v>5.7</v>
      </c>
      <c r="H550" t="n">
        <v>0</v>
      </c>
      <c r="I550" t="n">
        <v>0</v>
      </c>
      <c r="J550" t="n">
        <v>0</v>
      </c>
      <c r="K550" t="n">
        <v>0</v>
      </c>
      <c r="L550" t="n">
        <v>0</v>
      </c>
      <c r="M550" t="n">
        <v>0</v>
      </c>
      <c r="N550" t="n">
        <v>0</v>
      </c>
      <c r="O550" t="n">
        <v>0</v>
      </c>
      <c r="P550" t="n">
        <v>0</v>
      </c>
      <c r="Q550" t="n">
        <v>0</v>
      </c>
      <c r="R550" s="2" t="inlineStr"/>
    </row>
    <row r="551" ht="15" customHeight="1">
      <c r="A551" t="inlineStr">
        <is>
          <t>A 58519-2025</t>
        </is>
      </c>
      <c r="B551" s="1" t="n">
        <v>45985</v>
      </c>
      <c r="C551" s="1" t="n">
        <v>46201</v>
      </c>
      <c r="D551" t="inlineStr">
        <is>
          <t>DALARNAS LÄN</t>
        </is>
      </c>
      <c r="E551" t="inlineStr">
        <is>
          <t>LEKSAND</t>
        </is>
      </c>
      <c r="G551" t="n">
        <v>0.9</v>
      </c>
      <c r="H551" t="n">
        <v>0</v>
      </c>
      <c r="I551" t="n">
        <v>0</v>
      </c>
      <c r="J551" t="n">
        <v>0</v>
      </c>
      <c r="K551" t="n">
        <v>0</v>
      </c>
      <c r="L551" t="n">
        <v>0</v>
      </c>
      <c r="M551" t="n">
        <v>0</v>
      </c>
      <c r="N551" t="n">
        <v>0</v>
      </c>
      <c r="O551" t="n">
        <v>0</v>
      </c>
      <c r="P551" t="n">
        <v>0</v>
      </c>
      <c r="Q551" t="n">
        <v>0</v>
      </c>
      <c r="R551" s="2" t="inlineStr"/>
    </row>
    <row r="552" ht="15" customHeight="1">
      <c r="A552" t="inlineStr">
        <is>
          <t>A 58516-2025</t>
        </is>
      </c>
      <c r="B552" s="1" t="n">
        <v>45985</v>
      </c>
      <c r="C552" s="1" t="n">
        <v>46201</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row>
    <row r="553" ht="15" customHeight="1">
      <c r="A553" t="inlineStr">
        <is>
          <t>A 58449-2025</t>
        </is>
      </c>
      <c r="B553" s="1" t="n">
        <v>45985</v>
      </c>
      <c r="C553" s="1" t="n">
        <v>46201</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58114-2025</t>
        </is>
      </c>
      <c r="B554" s="1" t="n">
        <v>45982</v>
      </c>
      <c r="C554" s="1" t="n">
        <v>46201</v>
      </c>
      <c r="D554" t="inlineStr">
        <is>
          <t>DALARNAS LÄN</t>
        </is>
      </c>
      <c r="E554" t="inlineStr">
        <is>
          <t>LEKSAND</t>
        </is>
      </c>
      <c r="G554" t="n">
        <v>3</v>
      </c>
      <c r="H554" t="n">
        <v>0</v>
      </c>
      <c r="I554" t="n">
        <v>0</v>
      </c>
      <c r="J554" t="n">
        <v>0</v>
      </c>
      <c r="K554" t="n">
        <v>0</v>
      </c>
      <c r="L554" t="n">
        <v>0</v>
      </c>
      <c r="M554" t="n">
        <v>0</v>
      </c>
      <c r="N554" t="n">
        <v>0</v>
      </c>
      <c r="O554" t="n">
        <v>0</v>
      </c>
      <c r="P554" t="n">
        <v>0</v>
      </c>
      <c r="Q554" t="n">
        <v>0</v>
      </c>
      <c r="R554" s="2" t="inlineStr"/>
    </row>
    <row r="555" ht="15" customHeight="1">
      <c r="A555" t="inlineStr">
        <is>
          <t>A 58626-2025</t>
        </is>
      </c>
      <c r="B555" s="1" t="n">
        <v>45986</v>
      </c>
      <c r="C555" s="1" t="n">
        <v>46201</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58921-2025</t>
        </is>
      </c>
      <c r="B556" s="1" t="n">
        <v>45986</v>
      </c>
      <c r="C556" s="1" t="n">
        <v>46201</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59106-2025</t>
        </is>
      </c>
      <c r="B557" s="1" t="n">
        <v>45988</v>
      </c>
      <c r="C557" s="1" t="n">
        <v>46201</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41934-2025</t>
        </is>
      </c>
      <c r="B558" s="1" t="n">
        <v>45903</v>
      </c>
      <c r="C558" s="1" t="n">
        <v>46201</v>
      </c>
      <c r="D558" t="inlineStr">
        <is>
          <t>DALARNAS LÄN</t>
        </is>
      </c>
      <c r="E558" t="inlineStr">
        <is>
          <t>LEKSAND</t>
        </is>
      </c>
      <c r="F558" t="inlineStr">
        <is>
          <t>Bergvik skog väst AB</t>
        </is>
      </c>
      <c r="G558" t="n">
        <v>3</v>
      </c>
      <c r="H558" t="n">
        <v>0</v>
      </c>
      <c r="I558" t="n">
        <v>0</v>
      </c>
      <c r="J558" t="n">
        <v>0</v>
      </c>
      <c r="K558" t="n">
        <v>0</v>
      </c>
      <c r="L558" t="n">
        <v>0</v>
      </c>
      <c r="M558" t="n">
        <v>0</v>
      </c>
      <c r="N558" t="n">
        <v>0</v>
      </c>
      <c r="O558" t="n">
        <v>0</v>
      </c>
      <c r="P558" t="n">
        <v>0</v>
      </c>
      <c r="Q558" t="n">
        <v>0</v>
      </c>
      <c r="R558" s="2" t="inlineStr"/>
    </row>
    <row r="559" ht="15" customHeight="1">
      <c r="A559" t="inlineStr">
        <is>
          <t>A 59083-2025</t>
        </is>
      </c>
      <c r="B559" s="1" t="n">
        <v>45988</v>
      </c>
      <c r="C559" s="1" t="n">
        <v>46201</v>
      </c>
      <c r="D559" t="inlineStr">
        <is>
          <t>DALARNAS LÄN</t>
        </is>
      </c>
      <c r="E559" t="inlineStr">
        <is>
          <t>LEKSAND</t>
        </is>
      </c>
      <c r="F559" t="inlineStr">
        <is>
          <t>Bergvik skog väst AB</t>
        </is>
      </c>
      <c r="G559" t="n">
        <v>2.7</v>
      </c>
      <c r="H559" t="n">
        <v>0</v>
      </c>
      <c r="I559" t="n">
        <v>0</v>
      </c>
      <c r="J559" t="n">
        <v>0</v>
      </c>
      <c r="K559" t="n">
        <v>0</v>
      </c>
      <c r="L559" t="n">
        <v>0</v>
      </c>
      <c r="M559" t="n">
        <v>0</v>
      </c>
      <c r="N559" t="n">
        <v>0</v>
      </c>
      <c r="O559" t="n">
        <v>0</v>
      </c>
      <c r="P559" t="n">
        <v>0</v>
      </c>
      <c r="Q559" t="n">
        <v>0</v>
      </c>
      <c r="R559" s="2" t="inlineStr"/>
      <c r="U559">
        <f>HYPERLINK("https://klasma.github.io/Logging_2029/knärot/A 59083-2025 karta knärot.png", "A 59083-2025")</f>
        <v/>
      </c>
      <c r="V559">
        <f>HYPERLINK("https://klasma.github.io/Logging_2029/klagomål/A 59083-2025 FSC-klagomål.docx", "A 59083-2025")</f>
        <v/>
      </c>
      <c r="W559">
        <f>HYPERLINK("https://klasma.github.io/Logging_2029/klagomålsmail/A 59083-2025 FSC-klagomål mail.docx", "A 59083-2025")</f>
        <v/>
      </c>
      <c r="X559">
        <f>HYPERLINK("https://klasma.github.io/Logging_2029/tillsyn/A 59083-2025 tillsynsbegäran.docx", "A 59083-2025")</f>
        <v/>
      </c>
      <c r="Y559">
        <f>HYPERLINK("https://klasma.github.io/Logging_2029/tillsynsmail/A 59083-2025 tillsynsbegäran mail.docx", "A 59083-2025")</f>
        <v/>
      </c>
    </row>
    <row r="560" ht="15" customHeight="1">
      <c r="A560" t="inlineStr">
        <is>
          <t>A 60023-2025</t>
        </is>
      </c>
      <c r="B560" s="1" t="n">
        <v>45993</v>
      </c>
      <c r="C560" s="1" t="n">
        <v>46201</v>
      </c>
      <c r="D560" t="inlineStr">
        <is>
          <t>DALARNAS LÄN</t>
        </is>
      </c>
      <c r="E560" t="inlineStr">
        <is>
          <t>LEKSAND</t>
        </is>
      </c>
      <c r="G560" t="n">
        <v>6.5</v>
      </c>
      <c r="H560" t="n">
        <v>0</v>
      </c>
      <c r="I560" t="n">
        <v>0</v>
      </c>
      <c r="J560" t="n">
        <v>0</v>
      </c>
      <c r="K560" t="n">
        <v>0</v>
      </c>
      <c r="L560" t="n">
        <v>0</v>
      </c>
      <c r="M560" t="n">
        <v>0</v>
      </c>
      <c r="N560" t="n">
        <v>0</v>
      </c>
      <c r="O560" t="n">
        <v>0</v>
      </c>
      <c r="P560" t="n">
        <v>0</v>
      </c>
      <c r="Q560" t="n">
        <v>0</v>
      </c>
      <c r="R560" s="2" t="inlineStr"/>
    </row>
    <row r="561" ht="15" customHeight="1">
      <c r="A561" t="inlineStr">
        <is>
          <t>A 60067-2025</t>
        </is>
      </c>
      <c r="B561" s="1" t="n">
        <v>45993</v>
      </c>
      <c r="C561" s="1" t="n">
        <v>46201</v>
      </c>
      <c r="D561" t="inlineStr">
        <is>
          <t>DALARNAS LÄN</t>
        </is>
      </c>
      <c r="E561" t="inlineStr">
        <is>
          <t>LEKSAND</t>
        </is>
      </c>
      <c r="G561" t="n">
        <v>3.3</v>
      </c>
      <c r="H561" t="n">
        <v>0</v>
      </c>
      <c r="I561" t="n">
        <v>0</v>
      </c>
      <c r="J561" t="n">
        <v>0</v>
      </c>
      <c r="K561" t="n">
        <v>0</v>
      </c>
      <c r="L561" t="n">
        <v>0</v>
      </c>
      <c r="M561" t="n">
        <v>0</v>
      </c>
      <c r="N561" t="n">
        <v>0</v>
      </c>
      <c r="O561" t="n">
        <v>0</v>
      </c>
      <c r="P561" t="n">
        <v>0</v>
      </c>
      <c r="Q561" t="n">
        <v>0</v>
      </c>
      <c r="R561" s="2" t="inlineStr"/>
    </row>
    <row r="562" ht="15" customHeight="1">
      <c r="A562" t="inlineStr">
        <is>
          <t>A 60544-2025</t>
        </is>
      </c>
      <c r="B562" s="1" t="n">
        <v>45995</v>
      </c>
      <c r="C562" s="1" t="n">
        <v>46201</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31255-2023</t>
        </is>
      </c>
      <c r="B563" s="1" t="n">
        <v>45114</v>
      </c>
      <c r="C563" s="1" t="n">
        <v>46201</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60358-2025</t>
        </is>
      </c>
      <c r="B564" s="1" t="n">
        <v>45995</v>
      </c>
      <c r="C564" s="1" t="n">
        <v>46201</v>
      </c>
      <c r="D564" t="inlineStr">
        <is>
          <t>DALARNAS LÄN</t>
        </is>
      </c>
      <c r="E564" t="inlineStr">
        <is>
          <t>LEKSAND</t>
        </is>
      </c>
      <c r="G564" t="n">
        <v>2.9</v>
      </c>
      <c r="H564" t="n">
        <v>0</v>
      </c>
      <c r="I564" t="n">
        <v>0</v>
      </c>
      <c r="J564" t="n">
        <v>0</v>
      </c>
      <c r="K564" t="n">
        <v>0</v>
      </c>
      <c r="L564" t="n">
        <v>0</v>
      </c>
      <c r="M564" t="n">
        <v>0</v>
      </c>
      <c r="N564" t="n">
        <v>0</v>
      </c>
      <c r="O564" t="n">
        <v>0</v>
      </c>
      <c r="P564" t="n">
        <v>0</v>
      </c>
      <c r="Q564" t="n">
        <v>0</v>
      </c>
      <c r="R564" s="2" t="inlineStr"/>
    </row>
    <row r="565" ht="15" customHeight="1">
      <c r="A565" t="inlineStr">
        <is>
          <t>A 60614-2025</t>
        </is>
      </c>
      <c r="B565" s="1" t="n">
        <v>45996</v>
      </c>
      <c r="C565" s="1" t="n">
        <v>46201</v>
      </c>
      <c r="D565" t="inlineStr">
        <is>
          <t>DALARNAS LÄN</t>
        </is>
      </c>
      <c r="E565" t="inlineStr">
        <is>
          <t>LEKSAND</t>
        </is>
      </c>
      <c r="G565" t="n">
        <v>3.4</v>
      </c>
      <c r="H565" t="n">
        <v>0</v>
      </c>
      <c r="I565" t="n">
        <v>0</v>
      </c>
      <c r="J565" t="n">
        <v>0</v>
      </c>
      <c r="K565" t="n">
        <v>0</v>
      </c>
      <c r="L565" t="n">
        <v>0</v>
      </c>
      <c r="M565" t="n">
        <v>0</v>
      </c>
      <c r="N565" t="n">
        <v>0</v>
      </c>
      <c r="O565" t="n">
        <v>0</v>
      </c>
      <c r="P565" t="n">
        <v>0</v>
      </c>
      <c r="Q565" t="n">
        <v>0</v>
      </c>
      <c r="R565" s="2" t="inlineStr"/>
    </row>
    <row r="566" ht="15" customHeight="1">
      <c r="A566" t="inlineStr">
        <is>
          <t>A 61491-2025</t>
        </is>
      </c>
      <c r="B566" s="1" t="n">
        <v>46001</v>
      </c>
      <c r="C566" s="1" t="n">
        <v>46201</v>
      </c>
      <c r="D566" t="inlineStr">
        <is>
          <t>DALARNAS LÄN</t>
        </is>
      </c>
      <c r="E566" t="inlineStr">
        <is>
          <t>LEKSAND</t>
        </is>
      </c>
      <c r="G566" t="n">
        <v>1.8</v>
      </c>
      <c r="H566" t="n">
        <v>0</v>
      </c>
      <c r="I566" t="n">
        <v>0</v>
      </c>
      <c r="J566" t="n">
        <v>0</v>
      </c>
      <c r="K566" t="n">
        <v>0</v>
      </c>
      <c r="L566" t="n">
        <v>0</v>
      </c>
      <c r="M566" t="n">
        <v>0</v>
      </c>
      <c r="N566" t="n">
        <v>0</v>
      </c>
      <c r="O566" t="n">
        <v>0</v>
      </c>
      <c r="P566" t="n">
        <v>0</v>
      </c>
      <c r="Q566" t="n">
        <v>0</v>
      </c>
      <c r="R566" s="2" t="inlineStr"/>
    </row>
    <row r="567" ht="15" customHeight="1">
      <c r="A567" t="inlineStr">
        <is>
          <t>A 61684-2025</t>
        </is>
      </c>
      <c r="B567" s="1" t="n">
        <v>46002</v>
      </c>
      <c r="C567" s="1" t="n">
        <v>46201</v>
      </c>
      <c r="D567" t="inlineStr">
        <is>
          <t>DALARNAS LÄN</t>
        </is>
      </c>
      <c r="E567" t="inlineStr">
        <is>
          <t>LEKSAND</t>
        </is>
      </c>
      <c r="G567" t="n">
        <v>2.4</v>
      </c>
      <c r="H567" t="n">
        <v>0</v>
      </c>
      <c r="I567" t="n">
        <v>0</v>
      </c>
      <c r="J567" t="n">
        <v>0</v>
      </c>
      <c r="K567" t="n">
        <v>0</v>
      </c>
      <c r="L567" t="n">
        <v>0</v>
      </c>
      <c r="M567" t="n">
        <v>0</v>
      </c>
      <c r="N567" t="n">
        <v>0</v>
      </c>
      <c r="O567" t="n">
        <v>0</v>
      </c>
      <c r="P567" t="n">
        <v>0</v>
      </c>
      <c r="Q567" t="n">
        <v>0</v>
      </c>
      <c r="R567" s="2" t="inlineStr"/>
    </row>
    <row r="568" ht="15" customHeight="1">
      <c r="A568" t="inlineStr">
        <is>
          <t>A 62301-2025</t>
        </is>
      </c>
      <c r="B568" s="1" t="n">
        <v>46006</v>
      </c>
      <c r="C568" s="1" t="n">
        <v>46201</v>
      </c>
      <c r="D568" t="inlineStr">
        <is>
          <t>DALARNAS LÄN</t>
        </is>
      </c>
      <c r="E568" t="inlineStr">
        <is>
          <t>LEKSAND</t>
        </is>
      </c>
      <c r="G568" t="n">
        <v>2.4</v>
      </c>
      <c r="H568" t="n">
        <v>0</v>
      </c>
      <c r="I568" t="n">
        <v>0</v>
      </c>
      <c r="J568" t="n">
        <v>0</v>
      </c>
      <c r="K568" t="n">
        <v>0</v>
      </c>
      <c r="L568" t="n">
        <v>0</v>
      </c>
      <c r="M568" t="n">
        <v>0</v>
      </c>
      <c r="N568" t="n">
        <v>0</v>
      </c>
      <c r="O568" t="n">
        <v>0</v>
      </c>
      <c r="P568" t="n">
        <v>0</v>
      </c>
      <c r="Q568" t="n">
        <v>0</v>
      </c>
      <c r="R568" s="2" t="inlineStr"/>
    </row>
    <row r="569" ht="15" customHeight="1">
      <c r="A569" t="inlineStr">
        <is>
          <t>A 62306-2025</t>
        </is>
      </c>
      <c r="B569" s="1" t="n">
        <v>46006</v>
      </c>
      <c r="C569" s="1" t="n">
        <v>46201</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62337-2025</t>
        </is>
      </c>
      <c r="B570" s="1" t="n">
        <v>46006</v>
      </c>
      <c r="C570" s="1" t="n">
        <v>46201</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62322-2025</t>
        </is>
      </c>
      <c r="B571" s="1" t="n">
        <v>46006</v>
      </c>
      <c r="C571" s="1" t="n">
        <v>46201</v>
      </c>
      <c r="D571" t="inlineStr">
        <is>
          <t>DALARNAS LÄN</t>
        </is>
      </c>
      <c r="E571" t="inlineStr">
        <is>
          <t>LEKSAND</t>
        </is>
      </c>
      <c r="G571" t="n">
        <v>1.7</v>
      </c>
      <c r="H571" t="n">
        <v>0</v>
      </c>
      <c r="I571" t="n">
        <v>0</v>
      </c>
      <c r="J571" t="n">
        <v>0</v>
      </c>
      <c r="K571" t="n">
        <v>0</v>
      </c>
      <c r="L571" t="n">
        <v>0</v>
      </c>
      <c r="M571" t="n">
        <v>0</v>
      </c>
      <c r="N571" t="n">
        <v>0</v>
      </c>
      <c r="O571" t="n">
        <v>0</v>
      </c>
      <c r="P571" t="n">
        <v>0</v>
      </c>
      <c r="Q571" t="n">
        <v>0</v>
      </c>
      <c r="R571" s="2" t="inlineStr"/>
    </row>
    <row r="572" ht="15" customHeight="1">
      <c r="A572" t="inlineStr">
        <is>
          <t>A 62574-2025</t>
        </is>
      </c>
      <c r="B572" s="1" t="n">
        <v>46007</v>
      </c>
      <c r="C572" s="1" t="n">
        <v>46201</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62556-2025</t>
        </is>
      </c>
      <c r="B573" s="1" t="n">
        <v>46007</v>
      </c>
      <c r="C573" s="1" t="n">
        <v>46201</v>
      </c>
      <c r="D573" t="inlineStr">
        <is>
          <t>DALARNAS LÄN</t>
        </is>
      </c>
      <c r="E573" t="inlineStr">
        <is>
          <t>LEKSAND</t>
        </is>
      </c>
      <c r="G573" t="n">
        <v>0.7</v>
      </c>
      <c r="H573" t="n">
        <v>0</v>
      </c>
      <c r="I573" t="n">
        <v>0</v>
      </c>
      <c r="J573" t="n">
        <v>0</v>
      </c>
      <c r="K573" t="n">
        <v>0</v>
      </c>
      <c r="L573" t="n">
        <v>0</v>
      </c>
      <c r="M573" t="n">
        <v>0</v>
      </c>
      <c r="N573" t="n">
        <v>0</v>
      </c>
      <c r="O573" t="n">
        <v>0</v>
      </c>
      <c r="P573" t="n">
        <v>0</v>
      </c>
      <c r="Q573" t="n">
        <v>0</v>
      </c>
      <c r="R573" s="2" t="inlineStr"/>
    </row>
    <row r="574" ht="15" customHeight="1">
      <c r="A574" t="inlineStr">
        <is>
          <t>A 62560-2025</t>
        </is>
      </c>
      <c r="B574" s="1" t="n">
        <v>46007</v>
      </c>
      <c r="C574" s="1" t="n">
        <v>46201</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62557-2025</t>
        </is>
      </c>
      <c r="B575" s="1" t="n">
        <v>46007</v>
      </c>
      <c r="C575" s="1" t="n">
        <v>46201</v>
      </c>
      <c r="D575" t="inlineStr">
        <is>
          <t>DALARNAS LÄN</t>
        </is>
      </c>
      <c r="E575" t="inlineStr">
        <is>
          <t>LEKSAND</t>
        </is>
      </c>
      <c r="G575" t="n">
        <v>0.8</v>
      </c>
      <c r="H575" t="n">
        <v>0</v>
      </c>
      <c r="I575" t="n">
        <v>0</v>
      </c>
      <c r="J575" t="n">
        <v>0</v>
      </c>
      <c r="K575" t="n">
        <v>0</v>
      </c>
      <c r="L575" t="n">
        <v>0</v>
      </c>
      <c r="M575" t="n">
        <v>0</v>
      </c>
      <c r="N575" t="n">
        <v>0</v>
      </c>
      <c r="O575" t="n">
        <v>0</v>
      </c>
      <c r="P575" t="n">
        <v>0</v>
      </c>
      <c r="Q575" t="n">
        <v>0</v>
      </c>
      <c r="R575" s="2" t="inlineStr"/>
    </row>
    <row r="576" ht="15" customHeight="1">
      <c r="A576" t="inlineStr">
        <is>
          <t>A 63360-2025</t>
        </is>
      </c>
      <c r="B576" s="1" t="n">
        <v>46010</v>
      </c>
      <c r="C576" s="1" t="n">
        <v>46201</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63260-2025</t>
        </is>
      </c>
      <c r="B577" s="1" t="n">
        <v>46010</v>
      </c>
      <c r="C577" s="1" t="n">
        <v>46201</v>
      </c>
      <c r="D577" t="inlineStr">
        <is>
          <t>DALARNAS LÄN</t>
        </is>
      </c>
      <c r="E577" t="inlineStr">
        <is>
          <t>LEKSAND</t>
        </is>
      </c>
      <c r="G577" t="n">
        <v>11.7</v>
      </c>
      <c r="H577" t="n">
        <v>0</v>
      </c>
      <c r="I577" t="n">
        <v>0</v>
      </c>
      <c r="J577" t="n">
        <v>0</v>
      </c>
      <c r="K577" t="n">
        <v>0</v>
      </c>
      <c r="L577" t="n">
        <v>0</v>
      </c>
      <c r="M577" t="n">
        <v>0</v>
      </c>
      <c r="N577" t="n">
        <v>0</v>
      </c>
      <c r="O577" t="n">
        <v>0</v>
      </c>
      <c r="P577" t="n">
        <v>0</v>
      </c>
      <c r="Q577" t="n">
        <v>0</v>
      </c>
      <c r="R577" s="2" t="inlineStr"/>
    </row>
    <row r="578" ht="15" customHeight="1">
      <c r="A578" t="inlineStr">
        <is>
          <t>A 63592-2025</t>
        </is>
      </c>
      <c r="B578" s="1" t="n">
        <v>46013</v>
      </c>
      <c r="C578" s="1" t="n">
        <v>46201</v>
      </c>
      <c r="D578" t="inlineStr">
        <is>
          <t>DALARNAS LÄN</t>
        </is>
      </c>
      <c r="E578" t="inlineStr">
        <is>
          <t>LEKSAND</t>
        </is>
      </c>
      <c r="G578" t="n">
        <v>2.7</v>
      </c>
      <c r="H578" t="n">
        <v>0</v>
      </c>
      <c r="I578" t="n">
        <v>0</v>
      </c>
      <c r="J578" t="n">
        <v>0</v>
      </c>
      <c r="K578" t="n">
        <v>0</v>
      </c>
      <c r="L578" t="n">
        <v>0</v>
      </c>
      <c r="M578" t="n">
        <v>0</v>
      </c>
      <c r="N578" t="n">
        <v>0</v>
      </c>
      <c r="O578" t="n">
        <v>0</v>
      </c>
      <c r="P578" t="n">
        <v>0</v>
      </c>
      <c r="Q578" t="n">
        <v>0</v>
      </c>
      <c r="R578" s="2" t="inlineStr"/>
    </row>
    <row r="579" ht="15" customHeight="1">
      <c r="A579" t="inlineStr">
        <is>
          <t>A 63757-2025</t>
        </is>
      </c>
      <c r="B579" s="1" t="n">
        <v>46018</v>
      </c>
      <c r="C579" s="1" t="n">
        <v>46201</v>
      </c>
      <c r="D579" t="inlineStr">
        <is>
          <t>DALARNAS LÄN</t>
        </is>
      </c>
      <c r="E579" t="inlineStr">
        <is>
          <t>LEKSAND</t>
        </is>
      </c>
      <c r="G579" t="n">
        <v>4</v>
      </c>
      <c r="H579" t="n">
        <v>0</v>
      </c>
      <c r="I579" t="n">
        <v>0</v>
      </c>
      <c r="J579" t="n">
        <v>0</v>
      </c>
      <c r="K579" t="n">
        <v>0</v>
      </c>
      <c r="L579" t="n">
        <v>0</v>
      </c>
      <c r="M579" t="n">
        <v>0</v>
      </c>
      <c r="N579" t="n">
        <v>0</v>
      </c>
      <c r="O579" t="n">
        <v>0</v>
      </c>
      <c r="P579" t="n">
        <v>0</v>
      </c>
      <c r="Q579" t="n">
        <v>0</v>
      </c>
      <c r="R579" s="2" t="inlineStr"/>
    </row>
    <row r="580" ht="15" customHeight="1">
      <c r="A580" t="inlineStr">
        <is>
          <t>A 63906-2025</t>
        </is>
      </c>
      <c r="B580" s="1" t="n">
        <v>46020</v>
      </c>
      <c r="C580" s="1" t="n">
        <v>46201</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63967-2025</t>
        </is>
      </c>
      <c r="B581" s="1" t="n">
        <v>46021</v>
      </c>
      <c r="C581" s="1" t="n">
        <v>46201</v>
      </c>
      <c r="D581" t="inlineStr">
        <is>
          <t>DALARNAS LÄN</t>
        </is>
      </c>
      <c r="E581" t="inlineStr">
        <is>
          <t>LEKSAND</t>
        </is>
      </c>
      <c r="G581" t="n">
        <v>6.4</v>
      </c>
      <c r="H581" t="n">
        <v>0</v>
      </c>
      <c r="I581" t="n">
        <v>0</v>
      </c>
      <c r="J581" t="n">
        <v>0</v>
      </c>
      <c r="K581" t="n">
        <v>0</v>
      </c>
      <c r="L581" t="n">
        <v>0</v>
      </c>
      <c r="M581" t="n">
        <v>0</v>
      </c>
      <c r="N581" t="n">
        <v>0</v>
      </c>
      <c r="O581" t="n">
        <v>0</v>
      </c>
      <c r="P581" t="n">
        <v>0</v>
      </c>
      <c r="Q581" t="n">
        <v>0</v>
      </c>
      <c r="R581" s="2" t="inlineStr"/>
    </row>
    <row r="582" ht="15" customHeight="1">
      <c r="A582" t="inlineStr">
        <is>
          <t>A 63905-2025</t>
        </is>
      </c>
      <c r="B582" s="1" t="n">
        <v>46020</v>
      </c>
      <c r="C582" s="1" t="n">
        <v>46201</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64096-2025</t>
        </is>
      </c>
      <c r="B583" s="1" t="n">
        <v>46021</v>
      </c>
      <c r="C583" s="1" t="n">
        <v>46201</v>
      </c>
      <c r="D583" t="inlineStr">
        <is>
          <t>DALARNAS LÄN</t>
        </is>
      </c>
      <c r="E583" t="inlineStr">
        <is>
          <t>LEKSAND</t>
        </is>
      </c>
      <c r="G583" t="n">
        <v>4.5</v>
      </c>
      <c r="H583" t="n">
        <v>0</v>
      </c>
      <c r="I583" t="n">
        <v>0</v>
      </c>
      <c r="J583" t="n">
        <v>0</v>
      </c>
      <c r="K583" t="n">
        <v>0</v>
      </c>
      <c r="L583" t="n">
        <v>0</v>
      </c>
      <c r="M583" t="n">
        <v>0</v>
      </c>
      <c r="N583" t="n">
        <v>0</v>
      </c>
      <c r="O583" t="n">
        <v>0</v>
      </c>
      <c r="P583" t="n">
        <v>0</v>
      </c>
      <c r="Q583" t="n">
        <v>0</v>
      </c>
      <c r="R583" s="2" t="inlineStr"/>
    </row>
    <row r="584" ht="15" customHeight="1">
      <c r="A584" t="inlineStr">
        <is>
          <t>A 133-2026</t>
        </is>
      </c>
      <c r="B584" s="1" t="n">
        <v>46024</v>
      </c>
      <c r="C584" s="1" t="n">
        <v>46201</v>
      </c>
      <c r="D584" t="inlineStr">
        <is>
          <t>DALARNAS LÄN</t>
        </is>
      </c>
      <c r="E584" t="inlineStr">
        <is>
          <t>LEKSAND</t>
        </is>
      </c>
      <c r="G584" t="n">
        <v>1.9</v>
      </c>
      <c r="H584" t="n">
        <v>0</v>
      </c>
      <c r="I584" t="n">
        <v>0</v>
      </c>
      <c r="J584" t="n">
        <v>0</v>
      </c>
      <c r="K584" t="n">
        <v>0</v>
      </c>
      <c r="L584" t="n">
        <v>0</v>
      </c>
      <c r="M584" t="n">
        <v>0</v>
      </c>
      <c r="N584" t="n">
        <v>0</v>
      </c>
      <c r="O584" t="n">
        <v>0</v>
      </c>
      <c r="P584" t="n">
        <v>0</v>
      </c>
      <c r="Q584" t="n">
        <v>0</v>
      </c>
      <c r="R584" s="2" t="inlineStr"/>
    </row>
    <row r="585" ht="15" customHeight="1">
      <c r="A585" t="inlineStr">
        <is>
          <t>A 94-2026</t>
        </is>
      </c>
      <c r="B585" s="1" t="n">
        <v>46024</v>
      </c>
      <c r="C585" s="1" t="n">
        <v>46201</v>
      </c>
      <c r="D585" t="inlineStr">
        <is>
          <t>DALARNAS LÄN</t>
        </is>
      </c>
      <c r="E585" t="inlineStr">
        <is>
          <t>LEKSAND</t>
        </is>
      </c>
      <c r="G585" t="n">
        <v>2.6</v>
      </c>
      <c r="H585" t="n">
        <v>0</v>
      </c>
      <c r="I585" t="n">
        <v>0</v>
      </c>
      <c r="J585" t="n">
        <v>0</v>
      </c>
      <c r="K585" t="n">
        <v>0</v>
      </c>
      <c r="L585" t="n">
        <v>0</v>
      </c>
      <c r="M585" t="n">
        <v>0</v>
      </c>
      <c r="N585" t="n">
        <v>0</v>
      </c>
      <c r="O585" t="n">
        <v>0</v>
      </c>
      <c r="P585" t="n">
        <v>0</v>
      </c>
      <c r="Q585" t="n">
        <v>0</v>
      </c>
      <c r="R585" s="2" t="inlineStr"/>
    </row>
    <row r="586" ht="15" customHeight="1">
      <c r="A586" t="inlineStr">
        <is>
          <t>A 319-2026</t>
        </is>
      </c>
      <c r="B586" s="1" t="n">
        <v>46027</v>
      </c>
      <c r="C586" s="1" t="n">
        <v>46201</v>
      </c>
      <c r="D586" t="inlineStr">
        <is>
          <t>DALARNAS LÄN</t>
        </is>
      </c>
      <c r="E586" t="inlineStr">
        <is>
          <t>LEKSAND</t>
        </is>
      </c>
      <c r="G586" t="n">
        <v>12.9</v>
      </c>
      <c r="H586" t="n">
        <v>0</v>
      </c>
      <c r="I586" t="n">
        <v>0</v>
      </c>
      <c r="J586" t="n">
        <v>0</v>
      </c>
      <c r="K586" t="n">
        <v>0</v>
      </c>
      <c r="L586" t="n">
        <v>0</v>
      </c>
      <c r="M586" t="n">
        <v>0</v>
      </c>
      <c r="N586" t="n">
        <v>0</v>
      </c>
      <c r="O586" t="n">
        <v>0</v>
      </c>
      <c r="P586" t="n">
        <v>0</v>
      </c>
      <c r="Q586" t="n">
        <v>0</v>
      </c>
      <c r="R586" s="2" t="inlineStr"/>
    </row>
    <row r="587" ht="15" customHeight="1">
      <c r="A587" t="inlineStr">
        <is>
          <t>A 720-2026</t>
        </is>
      </c>
      <c r="B587" s="1" t="n">
        <v>46029</v>
      </c>
      <c r="C587" s="1" t="n">
        <v>46201</v>
      </c>
      <c r="D587" t="inlineStr">
        <is>
          <t>DALARNAS LÄN</t>
        </is>
      </c>
      <c r="E587" t="inlineStr">
        <is>
          <t>LEKSAND</t>
        </is>
      </c>
      <c r="G587" t="n">
        <v>6.7</v>
      </c>
      <c r="H587" t="n">
        <v>0</v>
      </c>
      <c r="I587" t="n">
        <v>0</v>
      </c>
      <c r="J587" t="n">
        <v>0</v>
      </c>
      <c r="K587" t="n">
        <v>0</v>
      </c>
      <c r="L587" t="n">
        <v>0</v>
      </c>
      <c r="M587" t="n">
        <v>0</v>
      </c>
      <c r="N587" t="n">
        <v>0</v>
      </c>
      <c r="O587" t="n">
        <v>0</v>
      </c>
      <c r="P587" t="n">
        <v>0</v>
      </c>
      <c r="Q587" t="n">
        <v>0</v>
      </c>
      <c r="R587" s="2" t="inlineStr"/>
    </row>
    <row r="588" ht="15" customHeight="1">
      <c r="A588" t="inlineStr">
        <is>
          <t>A 435-2026</t>
        </is>
      </c>
      <c r="B588" s="1" t="n">
        <v>46029</v>
      </c>
      <c r="C588" s="1" t="n">
        <v>46201</v>
      </c>
      <c r="D588" t="inlineStr">
        <is>
          <t>DALARNAS LÄN</t>
        </is>
      </c>
      <c r="E588" t="inlineStr">
        <is>
          <t>LEKSAND</t>
        </is>
      </c>
      <c r="G588" t="n">
        <v>3.5</v>
      </c>
      <c r="H588" t="n">
        <v>0</v>
      </c>
      <c r="I588" t="n">
        <v>0</v>
      </c>
      <c r="J588" t="n">
        <v>0</v>
      </c>
      <c r="K588" t="n">
        <v>0</v>
      </c>
      <c r="L588" t="n">
        <v>0</v>
      </c>
      <c r="M588" t="n">
        <v>0</v>
      </c>
      <c r="N588" t="n">
        <v>0</v>
      </c>
      <c r="O588" t="n">
        <v>0</v>
      </c>
      <c r="P588" t="n">
        <v>0</v>
      </c>
      <c r="Q588" t="n">
        <v>0</v>
      </c>
      <c r="R588" s="2" t="inlineStr"/>
    </row>
    <row r="589" ht="15" customHeight="1">
      <c r="A589" t="inlineStr">
        <is>
          <t>A 521-2026</t>
        </is>
      </c>
      <c r="B589" s="1" t="n">
        <v>46029</v>
      </c>
      <c r="C589" s="1" t="n">
        <v>46201</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519-2026</t>
        </is>
      </c>
      <c r="B590" s="1" t="n">
        <v>46029</v>
      </c>
      <c r="C590" s="1" t="n">
        <v>46201</v>
      </c>
      <c r="D590" t="inlineStr">
        <is>
          <t>DALARNAS LÄN</t>
        </is>
      </c>
      <c r="E590" t="inlineStr">
        <is>
          <t>LEKSAND</t>
        </is>
      </c>
      <c r="G590" t="n">
        <v>1.8</v>
      </c>
      <c r="H590" t="n">
        <v>0</v>
      </c>
      <c r="I590" t="n">
        <v>0</v>
      </c>
      <c r="J590" t="n">
        <v>0</v>
      </c>
      <c r="K590" t="n">
        <v>0</v>
      </c>
      <c r="L590" t="n">
        <v>0</v>
      </c>
      <c r="M590" t="n">
        <v>0</v>
      </c>
      <c r="N590" t="n">
        <v>0</v>
      </c>
      <c r="O590" t="n">
        <v>0</v>
      </c>
      <c r="P590" t="n">
        <v>0</v>
      </c>
      <c r="Q590" t="n">
        <v>0</v>
      </c>
      <c r="R590" s="2" t="inlineStr"/>
    </row>
    <row r="591" ht="15" customHeight="1">
      <c r="A591" t="inlineStr">
        <is>
          <t>A 1960-2026</t>
        </is>
      </c>
      <c r="B591" s="1" t="n">
        <v>46035</v>
      </c>
      <c r="C591" s="1" t="n">
        <v>46201</v>
      </c>
      <c r="D591" t="inlineStr">
        <is>
          <t>DALARNAS LÄN</t>
        </is>
      </c>
      <c r="E591" t="inlineStr">
        <is>
          <t>LEKSAND</t>
        </is>
      </c>
      <c r="G591" t="n">
        <v>4.3</v>
      </c>
      <c r="H591" t="n">
        <v>0</v>
      </c>
      <c r="I591" t="n">
        <v>0</v>
      </c>
      <c r="J591" t="n">
        <v>0</v>
      </c>
      <c r="K591" t="n">
        <v>0</v>
      </c>
      <c r="L591" t="n">
        <v>0</v>
      </c>
      <c r="M591" t="n">
        <v>0</v>
      </c>
      <c r="N591" t="n">
        <v>0</v>
      </c>
      <c r="O591" t="n">
        <v>0</v>
      </c>
      <c r="P591" t="n">
        <v>0</v>
      </c>
      <c r="Q591" t="n">
        <v>0</v>
      </c>
      <c r="R591" s="2" t="inlineStr"/>
    </row>
    <row r="592" ht="15" customHeight="1">
      <c r="A592" t="inlineStr">
        <is>
          <t>A 1899-2026</t>
        </is>
      </c>
      <c r="B592" s="1" t="n">
        <v>46035</v>
      </c>
      <c r="C592" s="1" t="n">
        <v>46201</v>
      </c>
      <c r="D592" t="inlineStr">
        <is>
          <t>DALARNAS LÄN</t>
        </is>
      </c>
      <c r="E592" t="inlineStr">
        <is>
          <t>LEKSAND</t>
        </is>
      </c>
      <c r="G592" t="n">
        <v>3.6</v>
      </c>
      <c r="H592" t="n">
        <v>0</v>
      </c>
      <c r="I592" t="n">
        <v>0</v>
      </c>
      <c r="J592" t="n">
        <v>0</v>
      </c>
      <c r="K592" t="n">
        <v>0</v>
      </c>
      <c r="L592" t="n">
        <v>0</v>
      </c>
      <c r="M592" t="n">
        <v>0</v>
      </c>
      <c r="N592" t="n">
        <v>0</v>
      </c>
      <c r="O592" t="n">
        <v>0</v>
      </c>
      <c r="P592" t="n">
        <v>0</v>
      </c>
      <c r="Q592" t="n">
        <v>0</v>
      </c>
      <c r="R592" s="2" t="inlineStr"/>
    </row>
    <row r="593" ht="15" customHeight="1">
      <c r="A593" t="inlineStr">
        <is>
          <t>A 367-2026</t>
        </is>
      </c>
      <c r="B593" s="1" t="n">
        <v>46027</v>
      </c>
      <c r="C593" s="1" t="n">
        <v>46201</v>
      </c>
      <c r="D593" t="inlineStr">
        <is>
          <t>DALARNAS LÄN</t>
        </is>
      </c>
      <c r="E593" t="inlineStr">
        <is>
          <t>LEKSAND</t>
        </is>
      </c>
      <c r="G593" t="n">
        <v>4.3</v>
      </c>
      <c r="H593" t="n">
        <v>0</v>
      </c>
      <c r="I593" t="n">
        <v>0</v>
      </c>
      <c r="J593" t="n">
        <v>0</v>
      </c>
      <c r="K593" t="n">
        <v>0</v>
      </c>
      <c r="L593" t="n">
        <v>0</v>
      </c>
      <c r="M593" t="n">
        <v>0</v>
      </c>
      <c r="N593" t="n">
        <v>0</v>
      </c>
      <c r="O593" t="n">
        <v>0</v>
      </c>
      <c r="P593" t="n">
        <v>0</v>
      </c>
      <c r="Q593" t="n">
        <v>0</v>
      </c>
      <c r="R593" s="2" t="inlineStr"/>
    </row>
    <row r="594" ht="15" customHeight="1">
      <c r="A594" t="inlineStr">
        <is>
          <t>A 1983-2026</t>
        </is>
      </c>
      <c r="B594" s="1" t="n">
        <v>46035</v>
      </c>
      <c r="C594" s="1" t="n">
        <v>46201</v>
      </c>
      <c r="D594" t="inlineStr">
        <is>
          <t>DALARNAS LÄN</t>
        </is>
      </c>
      <c r="E594" t="inlineStr">
        <is>
          <t>LEKSAND</t>
        </is>
      </c>
      <c r="G594" t="n">
        <v>2.3</v>
      </c>
      <c r="H594" t="n">
        <v>0</v>
      </c>
      <c r="I594" t="n">
        <v>0</v>
      </c>
      <c r="J594" t="n">
        <v>0</v>
      </c>
      <c r="K594" t="n">
        <v>0</v>
      </c>
      <c r="L594" t="n">
        <v>0</v>
      </c>
      <c r="M594" t="n">
        <v>0</v>
      </c>
      <c r="N594" t="n">
        <v>0</v>
      </c>
      <c r="O594" t="n">
        <v>0</v>
      </c>
      <c r="P594" t="n">
        <v>0</v>
      </c>
      <c r="Q594" t="n">
        <v>0</v>
      </c>
      <c r="R594" s="2" t="inlineStr"/>
    </row>
    <row r="595" ht="15" customHeight="1">
      <c r="A595" t="inlineStr">
        <is>
          <t>A 57231-2025</t>
        </is>
      </c>
      <c r="B595" s="1" t="n">
        <v>45979</v>
      </c>
      <c r="C595" s="1" t="n">
        <v>46201</v>
      </c>
      <c r="D595" t="inlineStr">
        <is>
          <t>DALARNAS LÄN</t>
        </is>
      </c>
      <c r="E595" t="inlineStr">
        <is>
          <t>LEKSAND</t>
        </is>
      </c>
      <c r="G595" t="n">
        <v>1.8</v>
      </c>
      <c r="H595" t="n">
        <v>0</v>
      </c>
      <c r="I595" t="n">
        <v>0</v>
      </c>
      <c r="J595" t="n">
        <v>0</v>
      </c>
      <c r="K595" t="n">
        <v>0</v>
      </c>
      <c r="L595" t="n">
        <v>0</v>
      </c>
      <c r="M595" t="n">
        <v>0</v>
      </c>
      <c r="N595" t="n">
        <v>0</v>
      </c>
      <c r="O595" t="n">
        <v>0</v>
      </c>
      <c r="P595" t="n">
        <v>0</v>
      </c>
      <c r="Q595" t="n">
        <v>0</v>
      </c>
      <c r="R595" s="2" t="inlineStr"/>
    </row>
    <row r="596" ht="15" customHeight="1">
      <c r="A596" t="inlineStr">
        <is>
          <t>A 57536-2025</t>
        </is>
      </c>
      <c r="B596" s="1" t="n">
        <v>45980</v>
      </c>
      <c r="C596" s="1" t="n">
        <v>46201</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3240-2026</t>
        </is>
      </c>
      <c r="B597" s="1" t="n">
        <v>46041</v>
      </c>
      <c r="C597" s="1" t="n">
        <v>46201</v>
      </c>
      <c r="D597" t="inlineStr">
        <is>
          <t>DALARNAS LÄN</t>
        </is>
      </c>
      <c r="E597" t="inlineStr">
        <is>
          <t>LEKSAND</t>
        </is>
      </c>
      <c r="G597" t="n">
        <v>6.1</v>
      </c>
      <c r="H597" t="n">
        <v>0</v>
      </c>
      <c r="I597" t="n">
        <v>0</v>
      </c>
      <c r="J597" t="n">
        <v>0</v>
      </c>
      <c r="K597" t="n">
        <v>0</v>
      </c>
      <c r="L597" t="n">
        <v>0</v>
      </c>
      <c r="M597" t="n">
        <v>0</v>
      </c>
      <c r="N597" t="n">
        <v>0</v>
      </c>
      <c r="O597" t="n">
        <v>0</v>
      </c>
      <c r="P597" t="n">
        <v>0</v>
      </c>
      <c r="Q597" t="n">
        <v>0</v>
      </c>
      <c r="R597" s="2" t="inlineStr"/>
    </row>
    <row r="598" ht="15" customHeight="1">
      <c r="A598" t="inlineStr">
        <is>
          <t>A 3244-2026</t>
        </is>
      </c>
      <c r="B598" s="1" t="n">
        <v>46041</v>
      </c>
      <c r="C598" s="1" t="n">
        <v>46201</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57223-2025</t>
        </is>
      </c>
      <c r="B599" s="1" t="n">
        <v>45979</v>
      </c>
      <c r="C599" s="1" t="n">
        <v>46201</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57962-2025</t>
        </is>
      </c>
      <c r="B600" s="1" t="n">
        <v>45982</v>
      </c>
      <c r="C600" s="1" t="n">
        <v>46201</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3834-2026</t>
        </is>
      </c>
      <c r="B601" s="1" t="n">
        <v>46043</v>
      </c>
      <c r="C601" s="1" t="n">
        <v>46201</v>
      </c>
      <c r="D601" t="inlineStr">
        <is>
          <t>DALARNAS LÄN</t>
        </is>
      </c>
      <c r="E601" t="inlineStr">
        <is>
          <t>LEKSAND</t>
        </is>
      </c>
      <c r="G601" t="n">
        <v>14.4</v>
      </c>
      <c r="H601" t="n">
        <v>0</v>
      </c>
      <c r="I601" t="n">
        <v>0</v>
      </c>
      <c r="J601" t="n">
        <v>0</v>
      </c>
      <c r="K601" t="n">
        <v>0</v>
      </c>
      <c r="L601" t="n">
        <v>0</v>
      </c>
      <c r="M601" t="n">
        <v>0</v>
      </c>
      <c r="N601" t="n">
        <v>0</v>
      </c>
      <c r="O601" t="n">
        <v>0</v>
      </c>
      <c r="P601" t="n">
        <v>0</v>
      </c>
      <c r="Q601" t="n">
        <v>0</v>
      </c>
      <c r="R601" s="2" t="inlineStr"/>
    </row>
    <row r="602" ht="15" customHeight="1">
      <c r="A602" t="inlineStr">
        <is>
          <t>A 3723-2026</t>
        </is>
      </c>
      <c r="B602" s="1" t="n">
        <v>46043</v>
      </c>
      <c r="C602" s="1" t="n">
        <v>46201</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3734-2026</t>
        </is>
      </c>
      <c r="B603" s="1" t="n">
        <v>46043</v>
      </c>
      <c r="C603" s="1" t="n">
        <v>46201</v>
      </c>
      <c r="D603" t="inlineStr">
        <is>
          <t>DALARNAS LÄN</t>
        </is>
      </c>
      <c r="E603" t="inlineStr">
        <is>
          <t>LEKSAND</t>
        </is>
      </c>
      <c r="G603" t="n">
        <v>7.2</v>
      </c>
      <c r="H603" t="n">
        <v>0</v>
      </c>
      <c r="I603" t="n">
        <v>0</v>
      </c>
      <c r="J603" t="n">
        <v>0</v>
      </c>
      <c r="K603" t="n">
        <v>0</v>
      </c>
      <c r="L603" t="n">
        <v>0</v>
      </c>
      <c r="M603" t="n">
        <v>0</v>
      </c>
      <c r="N603" t="n">
        <v>0</v>
      </c>
      <c r="O603" t="n">
        <v>0</v>
      </c>
      <c r="P603" t="n">
        <v>0</v>
      </c>
      <c r="Q603" t="n">
        <v>0</v>
      </c>
      <c r="R603" s="2" t="inlineStr"/>
    </row>
    <row r="604" ht="15" customHeight="1">
      <c r="A604" t="inlineStr">
        <is>
          <t>A 4338-2026</t>
        </is>
      </c>
      <c r="B604" s="1" t="n">
        <v>46045</v>
      </c>
      <c r="C604" s="1" t="n">
        <v>46201</v>
      </c>
      <c r="D604" t="inlineStr">
        <is>
          <t>DALARNAS LÄN</t>
        </is>
      </c>
      <c r="E604" t="inlineStr">
        <is>
          <t>LEKSAND</t>
        </is>
      </c>
      <c r="G604" t="n">
        <v>6.9</v>
      </c>
      <c r="H604" t="n">
        <v>0</v>
      </c>
      <c r="I604" t="n">
        <v>0</v>
      </c>
      <c r="J604" t="n">
        <v>0</v>
      </c>
      <c r="K604" t="n">
        <v>0</v>
      </c>
      <c r="L604" t="n">
        <v>0</v>
      </c>
      <c r="M604" t="n">
        <v>0</v>
      </c>
      <c r="N604" t="n">
        <v>0</v>
      </c>
      <c r="O604" t="n">
        <v>0</v>
      </c>
      <c r="P604" t="n">
        <v>0</v>
      </c>
      <c r="Q604" t="n">
        <v>0</v>
      </c>
      <c r="R604" s="2" t="inlineStr"/>
    </row>
    <row r="605" ht="15" customHeight="1">
      <c r="A605" t="inlineStr">
        <is>
          <t>A 3968-2026</t>
        </is>
      </c>
      <c r="B605" s="1" t="n">
        <v>46044</v>
      </c>
      <c r="C605" s="1" t="n">
        <v>46201</v>
      </c>
      <c r="D605" t="inlineStr">
        <is>
          <t>DALARNAS LÄN</t>
        </is>
      </c>
      <c r="E605" t="inlineStr">
        <is>
          <t>LEKSAND</t>
        </is>
      </c>
      <c r="G605" t="n">
        <v>2.3</v>
      </c>
      <c r="H605" t="n">
        <v>0</v>
      </c>
      <c r="I605" t="n">
        <v>0</v>
      </c>
      <c r="J605" t="n">
        <v>0</v>
      </c>
      <c r="K605" t="n">
        <v>0</v>
      </c>
      <c r="L605" t="n">
        <v>0</v>
      </c>
      <c r="M605" t="n">
        <v>0</v>
      </c>
      <c r="N605" t="n">
        <v>0</v>
      </c>
      <c r="O605" t="n">
        <v>0</v>
      </c>
      <c r="P605" t="n">
        <v>0</v>
      </c>
      <c r="Q605" t="n">
        <v>0</v>
      </c>
      <c r="R605" s="2" t="inlineStr"/>
    </row>
    <row r="606" ht="15" customHeight="1">
      <c r="A606" t="inlineStr">
        <is>
          <t>A 4476-2026</t>
        </is>
      </c>
      <c r="B606" s="1" t="n">
        <v>46045</v>
      </c>
      <c r="C606" s="1" t="n">
        <v>46201</v>
      </c>
      <c r="D606" t="inlineStr">
        <is>
          <t>DALARNAS LÄN</t>
        </is>
      </c>
      <c r="E606" t="inlineStr">
        <is>
          <t>LEKSAND</t>
        </is>
      </c>
      <c r="G606" t="n">
        <v>2.3</v>
      </c>
      <c r="H606" t="n">
        <v>0</v>
      </c>
      <c r="I606" t="n">
        <v>0</v>
      </c>
      <c r="J606" t="n">
        <v>0</v>
      </c>
      <c r="K606" t="n">
        <v>0</v>
      </c>
      <c r="L606" t="n">
        <v>0</v>
      </c>
      <c r="M606" t="n">
        <v>0</v>
      </c>
      <c r="N606" t="n">
        <v>0</v>
      </c>
      <c r="O606" t="n">
        <v>0</v>
      </c>
      <c r="P606" t="n">
        <v>0</v>
      </c>
      <c r="Q606" t="n">
        <v>0</v>
      </c>
      <c r="R606" s="2" t="inlineStr"/>
    </row>
    <row r="607" ht="15" customHeight="1">
      <c r="A607" t="inlineStr">
        <is>
          <t>A 3978-2026</t>
        </is>
      </c>
      <c r="B607" s="1" t="n">
        <v>46044</v>
      </c>
      <c r="C607" s="1" t="n">
        <v>46201</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5040-2026</t>
        </is>
      </c>
      <c r="B608" s="1" t="n">
        <v>46049</v>
      </c>
      <c r="C608" s="1" t="n">
        <v>46201</v>
      </c>
      <c r="D608" t="inlineStr">
        <is>
          <t>DALARNAS LÄN</t>
        </is>
      </c>
      <c r="E608" t="inlineStr">
        <is>
          <t>LEKSAND</t>
        </is>
      </c>
      <c r="G608" t="n">
        <v>1.7</v>
      </c>
      <c r="H608" t="n">
        <v>0</v>
      </c>
      <c r="I608" t="n">
        <v>0</v>
      </c>
      <c r="J608" t="n">
        <v>0</v>
      </c>
      <c r="K608" t="n">
        <v>0</v>
      </c>
      <c r="L608" t="n">
        <v>0</v>
      </c>
      <c r="M608" t="n">
        <v>0</v>
      </c>
      <c r="N608" t="n">
        <v>0</v>
      </c>
      <c r="O608" t="n">
        <v>0</v>
      </c>
      <c r="P608" t="n">
        <v>0</v>
      </c>
      <c r="Q608" t="n">
        <v>0</v>
      </c>
      <c r="R608" s="2" t="inlineStr"/>
    </row>
    <row r="609" ht="15" customHeight="1">
      <c r="A609" t="inlineStr">
        <is>
          <t>A 5022-2026</t>
        </is>
      </c>
      <c r="B609" s="1" t="n">
        <v>46049</v>
      </c>
      <c r="C609" s="1" t="n">
        <v>46201</v>
      </c>
      <c r="D609" t="inlineStr">
        <is>
          <t>DALARNAS LÄN</t>
        </is>
      </c>
      <c r="E609" t="inlineStr">
        <is>
          <t>LEKSAND</t>
        </is>
      </c>
      <c r="G609" t="n">
        <v>1.6</v>
      </c>
      <c r="H609" t="n">
        <v>0</v>
      </c>
      <c r="I609" t="n">
        <v>0</v>
      </c>
      <c r="J609" t="n">
        <v>0</v>
      </c>
      <c r="K609" t="n">
        <v>0</v>
      </c>
      <c r="L609" t="n">
        <v>0</v>
      </c>
      <c r="M609" t="n">
        <v>0</v>
      </c>
      <c r="N609" t="n">
        <v>0</v>
      </c>
      <c r="O609" t="n">
        <v>0</v>
      </c>
      <c r="P609" t="n">
        <v>0</v>
      </c>
      <c r="Q609" t="n">
        <v>0</v>
      </c>
      <c r="R609" s="2" t="inlineStr"/>
    </row>
    <row r="610" ht="15" customHeight="1">
      <c r="A610" t="inlineStr">
        <is>
          <t>A 5691-2026</t>
        </is>
      </c>
      <c r="B610" s="1" t="n">
        <v>46051</v>
      </c>
      <c r="C610" s="1" t="n">
        <v>46201</v>
      </c>
      <c r="D610" t="inlineStr">
        <is>
          <t>DALARNAS LÄN</t>
        </is>
      </c>
      <c r="E610" t="inlineStr">
        <is>
          <t>LEKSAND</t>
        </is>
      </c>
      <c r="G610" t="n">
        <v>2.9</v>
      </c>
      <c r="H610" t="n">
        <v>0</v>
      </c>
      <c r="I610" t="n">
        <v>0</v>
      </c>
      <c r="J610" t="n">
        <v>0</v>
      </c>
      <c r="K610" t="n">
        <v>0</v>
      </c>
      <c r="L610" t="n">
        <v>0</v>
      </c>
      <c r="M610" t="n">
        <v>0</v>
      </c>
      <c r="N610" t="n">
        <v>0</v>
      </c>
      <c r="O610" t="n">
        <v>0</v>
      </c>
      <c r="P610" t="n">
        <v>0</v>
      </c>
      <c r="Q610" t="n">
        <v>0</v>
      </c>
      <c r="R610" s="2" t="inlineStr"/>
    </row>
    <row r="611" ht="15" customHeight="1">
      <c r="A611" t="inlineStr">
        <is>
          <t>A 5541-2026</t>
        </is>
      </c>
      <c r="B611" s="1" t="n">
        <v>46050</v>
      </c>
      <c r="C611" s="1" t="n">
        <v>46201</v>
      </c>
      <c r="D611" t="inlineStr">
        <is>
          <t>DALARNAS LÄN</t>
        </is>
      </c>
      <c r="E611" t="inlineStr">
        <is>
          <t>LEKSAND</t>
        </is>
      </c>
      <c r="G611" t="n">
        <v>2</v>
      </c>
      <c r="H611" t="n">
        <v>0</v>
      </c>
      <c r="I611" t="n">
        <v>0</v>
      </c>
      <c r="J611" t="n">
        <v>0</v>
      </c>
      <c r="K611" t="n">
        <v>0</v>
      </c>
      <c r="L611" t="n">
        <v>0</v>
      </c>
      <c r="M611" t="n">
        <v>0</v>
      </c>
      <c r="N611" t="n">
        <v>0</v>
      </c>
      <c r="O611" t="n">
        <v>0</v>
      </c>
      <c r="P611" t="n">
        <v>0</v>
      </c>
      <c r="Q611" t="n">
        <v>0</v>
      </c>
      <c r="R611" s="2" t="inlineStr"/>
    </row>
    <row r="612" ht="15" customHeight="1">
      <c r="A612" t="inlineStr">
        <is>
          <t>A 593-2026</t>
        </is>
      </c>
      <c r="B612" s="1" t="n">
        <v>46029</v>
      </c>
      <c r="C612" s="1" t="n">
        <v>46201</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6245-2026</t>
        </is>
      </c>
      <c r="B613" s="1" t="n">
        <v>46055</v>
      </c>
      <c r="C613" s="1" t="n">
        <v>46201</v>
      </c>
      <c r="D613" t="inlineStr">
        <is>
          <t>DALARNAS LÄN</t>
        </is>
      </c>
      <c r="E613" t="inlineStr">
        <is>
          <t>LEKSAND</t>
        </is>
      </c>
      <c r="G613" t="n">
        <v>1.3</v>
      </c>
      <c r="H613" t="n">
        <v>0</v>
      </c>
      <c r="I613" t="n">
        <v>0</v>
      </c>
      <c r="J613" t="n">
        <v>0</v>
      </c>
      <c r="K613" t="n">
        <v>0</v>
      </c>
      <c r="L613" t="n">
        <v>0</v>
      </c>
      <c r="M613" t="n">
        <v>0</v>
      </c>
      <c r="N613" t="n">
        <v>0</v>
      </c>
      <c r="O613" t="n">
        <v>0</v>
      </c>
      <c r="P613" t="n">
        <v>0</v>
      </c>
      <c r="Q613" t="n">
        <v>0</v>
      </c>
      <c r="R613" s="2" t="inlineStr"/>
    </row>
    <row r="614" ht="15" customHeight="1">
      <c r="A614" t="inlineStr">
        <is>
          <t>A 5989-2026</t>
        </is>
      </c>
      <c r="B614" s="1" t="n">
        <v>46052</v>
      </c>
      <c r="C614" s="1" t="n">
        <v>46201</v>
      </c>
      <c r="D614" t="inlineStr">
        <is>
          <t>DALARNAS LÄN</t>
        </is>
      </c>
      <c r="E614" t="inlineStr">
        <is>
          <t>LEKSAND</t>
        </is>
      </c>
      <c r="G614" t="n">
        <v>2.3</v>
      </c>
      <c r="H614" t="n">
        <v>0</v>
      </c>
      <c r="I614" t="n">
        <v>0</v>
      </c>
      <c r="J614" t="n">
        <v>0</v>
      </c>
      <c r="K614" t="n">
        <v>0</v>
      </c>
      <c r="L614" t="n">
        <v>0</v>
      </c>
      <c r="M614" t="n">
        <v>0</v>
      </c>
      <c r="N614" t="n">
        <v>0</v>
      </c>
      <c r="O614" t="n">
        <v>0</v>
      </c>
      <c r="P614" t="n">
        <v>0</v>
      </c>
      <c r="Q614" t="n">
        <v>0</v>
      </c>
      <c r="R614" s="2" t="inlineStr"/>
    </row>
    <row r="615" ht="15" customHeight="1">
      <c r="A615" t="inlineStr">
        <is>
          <t>A 4460-2026</t>
        </is>
      </c>
      <c r="B615" s="1" t="n">
        <v>46045</v>
      </c>
      <c r="C615" s="1" t="n">
        <v>46201</v>
      </c>
      <c r="D615" t="inlineStr">
        <is>
          <t>DALARNAS LÄN</t>
        </is>
      </c>
      <c r="E615" t="inlineStr">
        <is>
          <t>LEKSAND</t>
        </is>
      </c>
      <c r="G615" t="n">
        <v>11.6</v>
      </c>
      <c r="H615" t="n">
        <v>0</v>
      </c>
      <c r="I615" t="n">
        <v>0</v>
      </c>
      <c r="J615" t="n">
        <v>0</v>
      </c>
      <c r="K615" t="n">
        <v>0</v>
      </c>
      <c r="L615" t="n">
        <v>0</v>
      </c>
      <c r="M615" t="n">
        <v>0</v>
      </c>
      <c r="N615" t="n">
        <v>0</v>
      </c>
      <c r="O615" t="n">
        <v>0</v>
      </c>
      <c r="P615" t="n">
        <v>0</v>
      </c>
      <c r="Q615" t="n">
        <v>0</v>
      </c>
      <c r="R615" s="2" t="inlineStr"/>
    </row>
    <row r="616" ht="15" customHeight="1">
      <c r="A616" t="inlineStr">
        <is>
          <t>A 6463-2026</t>
        </is>
      </c>
      <c r="B616" s="1" t="n">
        <v>46056</v>
      </c>
      <c r="C616" s="1" t="n">
        <v>46201</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33593-2024</t>
        </is>
      </c>
      <c r="B617" s="1" t="n">
        <v>45520</v>
      </c>
      <c r="C617" s="1" t="n">
        <v>46201</v>
      </c>
      <c r="D617" t="inlineStr">
        <is>
          <t>DALARNAS LÄN</t>
        </is>
      </c>
      <c r="E617" t="inlineStr">
        <is>
          <t>LEKSAND</t>
        </is>
      </c>
      <c r="G617" t="n">
        <v>0.3</v>
      </c>
      <c r="H617" t="n">
        <v>0</v>
      </c>
      <c r="I617" t="n">
        <v>0</v>
      </c>
      <c r="J617" t="n">
        <v>0</v>
      </c>
      <c r="K617" t="n">
        <v>0</v>
      </c>
      <c r="L617" t="n">
        <v>0</v>
      </c>
      <c r="M617" t="n">
        <v>0</v>
      </c>
      <c r="N617" t="n">
        <v>0</v>
      </c>
      <c r="O617" t="n">
        <v>0</v>
      </c>
      <c r="P617" t="n">
        <v>0</v>
      </c>
      <c r="Q617" t="n">
        <v>0</v>
      </c>
      <c r="R617" s="2" t="inlineStr"/>
    </row>
    <row r="618" ht="15" customHeight="1">
      <c r="A618" t="inlineStr">
        <is>
          <t>A 4280-2026</t>
        </is>
      </c>
      <c r="B618" s="1" t="n">
        <v>46044</v>
      </c>
      <c r="C618" s="1" t="n">
        <v>46201</v>
      </c>
      <c r="D618" t="inlineStr">
        <is>
          <t>DALARNAS LÄN</t>
        </is>
      </c>
      <c r="E618" t="inlineStr">
        <is>
          <t>LEKSAND</t>
        </is>
      </c>
      <c r="G618" t="n">
        <v>7.2</v>
      </c>
      <c r="H618" t="n">
        <v>0</v>
      </c>
      <c r="I618" t="n">
        <v>0</v>
      </c>
      <c r="J618" t="n">
        <v>0</v>
      </c>
      <c r="K618" t="n">
        <v>0</v>
      </c>
      <c r="L618" t="n">
        <v>0</v>
      </c>
      <c r="M618" t="n">
        <v>0</v>
      </c>
      <c r="N618" t="n">
        <v>0</v>
      </c>
      <c r="O618" t="n">
        <v>0</v>
      </c>
      <c r="P618" t="n">
        <v>0</v>
      </c>
      <c r="Q618" t="n">
        <v>0</v>
      </c>
      <c r="R618" s="2" t="inlineStr"/>
    </row>
    <row r="619" ht="15" customHeight="1">
      <c r="A619" t="inlineStr">
        <is>
          <t>A 36534-2024</t>
        </is>
      </c>
      <c r="B619" s="1" t="n">
        <v>45537</v>
      </c>
      <c r="C619" s="1" t="n">
        <v>46201</v>
      </c>
      <c r="D619" t="inlineStr">
        <is>
          <t>DALARNAS LÄN</t>
        </is>
      </c>
      <c r="E619" t="inlineStr">
        <is>
          <t>LEKSAND</t>
        </is>
      </c>
      <c r="G619" t="n">
        <v>4</v>
      </c>
      <c r="H619" t="n">
        <v>0</v>
      </c>
      <c r="I619" t="n">
        <v>0</v>
      </c>
      <c r="J619" t="n">
        <v>0</v>
      </c>
      <c r="K619" t="n">
        <v>0</v>
      </c>
      <c r="L619" t="n">
        <v>0</v>
      </c>
      <c r="M619" t="n">
        <v>0</v>
      </c>
      <c r="N619" t="n">
        <v>0</v>
      </c>
      <c r="O619" t="n">
        <v>0</v>
      </c>
      <c r="P619" t="n">
        <v>0</v>
      </c>
      <c r="Q619" t="n">
        <v>0</v>
      </c>
      <c r="R619" s="2" t="inlineStr"/>
    </row>
    <row r="620" ht="15" customHeight="1">
      <c r="A620" t="inlineStr">
        <is>
          <t>A 62525-2025</t>
        </is>
      </c>
      <c r="B620" s="1" t="n">
        <v>46007</v>
      </c>
      <c r="C620" s="1" t="n">
        <v>46201</v>
      </c>
      <c r="D620" t="inlineStr">
        <is>
          <t>DALARNAS LÄN</t>
        </is>
      </c>
      <c r="E620" t="inlineStr">
        <is>
          <t>LEKSAND</t>
        </is>
      </c>
      <c r="G620" t="n">
        <v>5.7</v>
      </c>
      <c r="H620" t="n">
        <v>0</v>
      </c>
      <c r="I620" t="n">
        <v>0</v>
      </c>
      <c r="J620" t="n">
        <v>0</v>
      </c>
      <c r="K620" t="n">
        <v>0</v>
      </c>
      <c r="L620" t="n">
        <v>0</v>
      </c>
      <c r="M620" t="n">
        <v>0</v>
      </c>
      <c r="N620" t="n">
        <v>0</v>
      </c>
      <c r="O620" t="n">
        <v>0</v>
      </c>
      <c r="P620" t="n">
        <v>0</v>
      </c>
      <c r="Q620" t="n">
        <v>0</v>
      </c>
      <c r="R620" s="2" t="inlineStr"/>
    </row>
    <row r="621" ht="15" customHeight="1">
      <c r="A621" t="inlineStr">
        <is>
          <t>A 35746-2025</t>
        </is>
      </c>
      <c r="B621" s="1" t="n">
        <v>45860</v>
      </c>
      <c r="C621" s="1" t="n">
        <v>46201</v>
      </c>
      <c r="D621" t="inlineStr">
        <is>
          <t>DALARNAS LÄN</t>
        </is>
      </c>
      <c r="E621" t="inlineStr">
        <is>
          <t>LEKSAND</t>
        </is>
      </c>
      <c r="G621" t="n">
        <v>1.9</v>
      </c>
      <c r="H621" t="n">
        <v>0</v>
      </c>
      <c r="I621" t="n">
        <v>0</v>
      </c>
      <c r="J621" t="n">
        <v>0</v>
      </c>
      <c r="K621" t="n">
        <v>0</v>
      </c>
      <c r="L621" t="n">
        <v>0</v>
      </c>
      <c r="M621" t="n">
        <v>0</v>
      </c>
      <c r="N621" t="n">
        <v>0</v>
      </c>
      <c r="O621" t="n">
        <v>0</v>
      </c>
      <c r="P621" t="n">
        <v>0</v>
      </c>
      <c r="Q621" t="n">
        <v>0</v>
      </c>
      <c r="R621" s="2" t="inlineStr"/>
    </row>
    <row r="622" ht="15" customHeight="1">
      <c r="A622" t="inlineStr">
        <is>
          <t>A 1968-2026</t>
        </is>
      </c>
      <c r="B622" s="1" t="n">
        <v>46035</v>
      </c>
      <c r="C622" s="1" t="n">
        <v>46201</v>
      </c>
      <c r="D622" t="inlineStr">
        <is>
          <t>DALARNAS LÄN</t>
        </is>
      </c>
      <c r="E622" t="inlineStr">
        <is>
          <t>LEKSAND</t>
        </is>
      </c>
      <c r="G622" t="n">
        <v>2.8</v>
      </c>
      <c r="H622" t="n">
        <v>0</v>
      </c>
      <c r="I622" t="n">
        <v>0</v>
      </c>
      <c r="J622" t="n">
        <v>0</v>
      </c>
      <c r="K622" t="n">
        <v>0</v>
      </c>
      <c r="L622" t="n">
        <v>0</v>
      </c>
      <c r="M622" t="n">
        <v>0</v>
      </c>
      <c r="N622" t="n">
        <v>0</v>
      </c>
      <c r="O622" t="n">
        <v>0</v>
      </c>
      <c r="P622" t="n">
        <v>0</v>
      </c>
      <c r="Q622" t="n">
        <v>0</v>
      </c>
      <c r="R622" s="2" t="inlineStr"/>
    </row>
    <row r="623" ht="15" customHeight="1">
      <c r="A623" t="inlineStr">
        <is>
          <t>A 8726-2026</t>
        </is>
      </c>
      <c r="B623" s="1" t="n">
        <v>46066</v>
      </c>
      <c r="C623" s="1" t="n">
        <v>46201</v>
      </c>
      <c r="D623" t="inlineStr">
        <is>
          <t>DALARNAS LÄN</t>
        </is>
      </c>
      <c r="E623" t="inlineStr">
        <is>
          <t>LEKSAND</t>
        </is>
      </c>
      <c r="G623" t="n">
        <v>0.7</v>
      </c>
      <c r="H623" t="n">
        <v>0</v>
      </c>
      <c r="I623" t="n">
        <v>0</v>
      </c>
      <c r="J623" t="n">
        <v>0</v>
      </c>
      <c r="K623" t="n">
        <v>0</v>
      </c>
      <c r="L623" t="n">
        <v>0</v>
      </c>
      <c r="M623" t="n">
        <v>0</v>
      </c>
      <c r="N623" t="n">
        <v>0</v>
      </c>
      <c r="O623" t="n">
        <v>0</v>
      </c>
      <c r="P623" t="n">
        <v>0</v>
      </c>
      <c r="Q623" t="n">
        <v>0</v>
      </c>
      <c r="R623" s="2" t="inlineStr"/>
    </row>
    <row r="624" ht="15" customHeight="1">
      <c r="A624" t="inlineStr">
        <is>
          <t>A 24373-2025</t>
        </is>
      </c>
      <c r="B624" s="1" t="n">
        <v>45797</v>
      </c>
      <c r="C624" s="1" t="n">
        <v>46201</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57267-2025</t>
        </is>
      </c>
      <c r="B625" s="1" t="n">
        <v>45979</v>
      </c>
      <c r="C625" s="1" t="n">
        <v>46201</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24369-2025</t>
        </is>
      </c>
      <c r="B626" s="1" t="n">
        <v>45797</v>
      </c>
      <c r="C626" s="1" t="n">
        <v>46201</v>
      </c>
      <c r="D626" t="inlineStr">
        <is>
          <t>DALARNAS LÄN</t>
        </is>
      </c>
      <c r="E626" t="inlineStr">
        <is>
          <t>LEKSAND</t>
        </is>
      </c>
      <c r="G626" t="n">
        <v>1.5</v>
      </c>
      <c r="H626" t="n">
        <v>0</v>
      </c>
      <c r="I626" t="n">
        <v>0</v>
      </c>
      <c r="J626" t="n">
        <v>0</v>
      </c>
      <c r="K626" t="n">
        <v>0</v>
      </c>
      <c r="L626" t="n">
        <v>0</v>
      </c>
      <c r="M626" t="n">
        <v>0</v>
      </c>
      <c r="N626" t="n">
        <v>0</v>
      </c>
      <c r="O626" t="n">
        <v>0</v>
      </c>
      <c r="P626" t="n">
        <v>0</v>
      </c>
      <c r="Q626" t="n">
        <v>0</v>
      </c>
      <c r="R626" s="2" t="inlineStr"/>
    </row>
    <row r="627" ht="15" customHeight="1">
      <c r="A627" t="inlineStr">
        <is>
          <t>A 9541-2026</t>
        </is>
      </c>
      <c r="B627" s="1" t="n">
        <v>46071</v>
      </c>
      <c r="C627" s="1" t="n">
        <v>46201</v>
      </c>
      <c r="D627" t="inlineStr">
        <is>
          <t>DALARNAS LÄN</t>
        </is>
      </c>
      <c r="E627" t="inlineStr">
        <is>
          <t>LEKSAND</t>
        </is>
      </c>
      <c r="G627" t="n">
        <v>10.8</v>
      </c>
      <c r="H627" t="n">
        <v>0</v>
      </c>
      <c r="I627" t="n">
        <v>0</v>
      </c>
      <c r="J627" t="n">
        <v>0</v>
      </c>
      <c r="K627" t="n">
        <v>0</v>
      </c>
      <c r="L627" t="n">
        <v>0</v>
      </c>
      <c r="M627" t="n">
        <v>0</v>
      </c>
      <c r="N627" t="n">
        <v>0</v>
      </c>
      <c r="O627" t="n">
        <v>0</v>
      </c>
      <c r="P627" t="n">
        <v>0</v>
      </c>
      <c r="Q627" t="n">
        <v>0</v>
      </c>
      <c r="R627" s="2" t="inlineStr"/>
    </row>
    <row r="628" ht="15" customHeight="1">
      <c r="A628" t="inlineStr">
        <is>
          <t>A 9163-2026</t>
        </is>
      </c>
      <c r="B628" s="1" t="n">
        <v>46070</v>
      </c>
      <c r="C628" s="1" t="n">
        <v>46201</v>
      </c>
      <c r="D628" t="inlineStr">
        <is>
          <t>DALARNAS LÄN</t>
        </is>
      </c>
      <c r="E628" t="inlineStr">
        <is>
          <t>LEKSAND</t>
        </is>
      </c>
      <c r="G628" t="n">
        <v>2.2</v>
      </c>
      <c r="H628" t="n">
        <v>0</v>
      </c>
      <c r="I628" t="n">
        <v>0</v>
      </c>
      <c r="J628" t="n">
        <v>0</v>
      </c>
      <c r="K628" t="n">
        <v>0</v>
      </c>
      <c r="L628" t="n">
        <v>0</v>
      </c>
      <c r="M628" t="n">
        <v>0</v>
      </c>
      <c r="N628" t="n">
        <v>0</v>
      </c>
      <c r="O628" t="n">
        <v>0</v>
      </c>
      <c r="P628" t="n">
        <v>0</v>
      </c>
      <c r="Q628" t="n">
        <v>0</v>
      </c>
      <c r="R628" s="2" t="inlineStr"/>
    </row>
    <row r="629" ht="15" customHeight="1">
      <c r="A629" t="inlineStr">
        <is>
          <t>A 9170-2026</t>
        </is>
      </c>
      <c r="B629" s="1" t="n">
        <v>46070</v>
      </c>
      <c r="C629" s="1" t="n">
        <v>46201</v>
      </c>
      <c r="D629" t="inlineStr">
        <is>
          <t>DALARNAS LÄN</t>
        </is>
      </c>
      <c r="E629" t="inlineStr">
        <is>
          <t>LEKSAND</t>
        </is>
      </c>
      <c r="G629" t="n">
        <v>2.9</v>
      </c>
      <c r="H629" t="n">
        <v>0</v>
      </c>
      <c r="I629" t="n">
        <v>0</v>
      </c>
      <c r="J629" t="n">
        <v>0</v>
      </c>
      <c r="K629" t="n">
        <v>0</v>
      </c>
      <c r="L629" t="n">
        <v>0</v>
      </c>
      <c r="M629" t="n">
        <v>0</v>
      </c>
      <c r="N629" t="n">
        <v>0</v>
      </c>
      <c r="O629" t="n">
        <v>0</v>
      </c>
      <c r="P629" t="n">
        <v>0</v>
      </c>
      <c r="Q629" t="n">
        <v>0</v>
      </c>
      <c r="R629" s="2" t="inlineStr"/>
    </row>
    <row r="630" ht="15" customHeight="1">
      <c r="A630" t="inlineStr">
        <is>
          <t>A 9360-2026</t>
        </is>
      </c>
      <c r="B630" s="1" t="n">
        <v>46070</v>
      </c>
      <c r="C630" s="1" t="n">
        <v>46201</v>
      </c>
      <c r="D630" t="inlineStr">
        <is>
          <t>DALARNAS LÄN</t>
        </is>
      </c>
      <c r="E630" t="inlineStr">
        <is>
          <t>LEKSAND</t>
        </is>
      </c>
      <c r="G630" t="n">
        <v>2.1</v>
      </c>
      <c r="H630" t="n">
        <v>0</v>
      </c>
      <c r="I630" t="n">
        <v>0</v>
      </c>
      <c r="J630" t="n">
        <v>0</v>
      </c>
      <c r="K630" t="n">
        <v>0</v>
      </c>
      <c r="L630" t="n">
        <v>0</v>
      </c>
      <c r="M630" t="n">
        <v>0</v>
      </c>
      <c r="N630" t="n">
        <v>0</v>
      </c>
      <c r="O630" t="n">
        <v>0</v>
      </c>
      <c r="P630" t="n">
        <v>0</v>
      </c>
      <c r="Q630" t="n">
        <v>0</v>
      </c>
      <c r="R630" s="2" t="inlineStr"/>
    </row>
    <row r="631" ht="15" customHeight="1">
      <c r="A631" t="inlineStr">
        <is>
          <t>A 9802-2026</t>
        </is>
      </c>
      <c r="B631" s="1" t="n">
        <v>46072</v>
      </c>
      <c r="C631" s="1" t="n">
        <v>46201</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9644-2026</t>
        </is>
      </c>
      <c r="B632" s="1" t="n">
        <v>46072</v>
      </c>
      <c r="C632" s="1" t="n">
        <v>46201</v>
      </c>
      <c r="D632" t="inlineStr">
        <is>
          <t>DALARNAS LÄN</t>
        </is>
      </c>
      <c r="E632" t="inlineStr">
        <is>
          <t>LEKSAND</t>
        </is>
      </c>
      <c r="G632" t="n">
        <v>3.5</v>
      </c>
      <c r="H632" t="n">
        <v>0</v>
      </c>
      <c r="I632" t="n">
        <v>0</v>
      </c>
      <c r="J632" t="n">
        <v>0</v>
      </c>
      <c r="K632" t="n">
        <v>0</v>
      </c>
      <c r="L632" t="n">
        <v>0</v>
      </c>
      <c r="M632" t="n">
        <v>0</v>
      </c>
      <c r="N632" t="n">
        <v>0</v>
      </c>
      <c r="O632" t="n">
        <v>0</v>
      </c>
      <c r="P632" t="n">
        <v>0</v>
      </c>
      <c r="Q632" t="n">
        <v>0</v>
      </c>
      <c r="R632" s="2" t="inlineStr"/>
    </row>
    <row r="633" ht="15" customHeight="1">
      <c r="A633" t="inlineStr">
        <is>
          <t>A 9851-2026</t>
        </is>
      </c>
      <c r="B633" s="1" t="n">
        <v>46072</v>
      </c>
      <c r="C633" s="1" t="n">
        <v>46201</v>
      </c>
      <c r="D633" t="inlineStr">
        <is>
          <t>DALARNAS LÄN</t>
        </is>
      </c>
      <c r="E633" t="inlineStr">
        <is>
          <t>LEKSAND</t>
        </is>
      </c>
      <c r="G633" t="n">
        <v>5.6</v>
      </c>
      <c r="H633" t="n">
        <v>0</v>
      </c>
      <c r="I633" t="n">
        <v>0</v>
      </c>
      <c r="J633" t="n">
        <v>0</v>
      </c>
      <c r="K633" t="n">
        <v>0</v>
      </c>
      <c r="L633" t="n">
        <v>0</v>
      </c>
      <c r="M633" t="n">
        <v>0</v>
      </c>
      <c r="N633" t="n">
        <v>0</v>
      </c>
      <c r="O633" t="n">
        <v>0</v>
      </c>
      <c r="P633" t="n">
        <v>0</v>
      </c>
      <c r="Q633" t="n">
        <v>0</v>
      </c>
      <c r="R633" s="2" t="inlineStr"/>
    </row>
    <row r="634" ht="15" customHeight="1">
      <c r="A634" t="inlineStr">
        <is>
          <t>A 12967-2026</t>
        </is>
      </c>
      <c r="B634" s="1" t="n">
        <v>46092</v>
      </c>
      <c r="C634" s="1" t="n">
        <v>46201</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13713-2026</t>
        </is>
      </c>
      <c r="B635" s="1" t="n">
        <v>46097</v>
      </c>
      <c r="C635" s="1" t="n">
        <v>46201</v>
      </c>
      <c r="D635" t="inlineStr">
        <is>
          <t>DALARNAS LÄN</t>
        </is>
      </c>
      <c r="E635" t="inlineStr">
        <is>
          <t>LEKSAND</t>
        </is>
      </c>
      <c r="G635" t="n">
        <v>7.8</v>
      </c>
      <c r="H635" t="n">
        <v>0</v>
      </c>
      <c r="I635" t="n">
        <v>0</v>
      </c>
      <c r="J635" t="n">
        <v>0</v>
      </c>
      <c r="K635" t="n">
        <v>0</v>
      </c>
      <c r="L635" t="n">
        <v>0</v>
      </c>
      <c r="M635" t="n">
        <v>0</v>
      </c>
      <c r="N635" t="n">
        <v>0</v>
      </c>
      <c r="O635" t="n">
        <v>0</v>
      </c>
      <c r="P635" t="n">
        <v>0</v>
      </c>
      <c r="Q635" t="n">
        <v>0</v>
      </c>
      <c r="R635" s="2" t="inlineStr"/>
    </row>
    <row r="636" ht="15" customHeight="1">
      <c r="A636" t="inlineStr">
        <is>
          <t>A 13705-2026</t>
        </is>
      </c>
      <c r="B636" s="1" t="n">
        <v>46097</v>
      </c>
      <c r="C636" s="1" t="n">
        <v>46201</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13650-2026</t>
        </is>
      </c>
      <c r="B637" s="1" t="n">
        <v>46097</v>
      </c>
      <c r="C637" s="1" t="n">
        <v>46201</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13697-2026</t>
        </is>
      </c>
      <c r="B638" s="1" t="n">
        <v>46097</v>
      </c>
      <c r="C638" s="1" t="n">
        <v>46201</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8061-2026</t>
        </is>
      </c>
      <c r="B639" s="1" t="n">
        <v>46063</v>
      </c>
      <c r="C639" s="1" t="n">
        <v>46201</v>
      </c>
      <c r="D639" t="inlineStr">
        <is>
          <t>DALARNAS LÄN</t>
        </is>
      </c>
      <c r="E639" t="inlineStr">
        <is>
          <t>LEKSAND</t>
        </is>
      </c>
      <c r="G639" t="n">
        <v>0.6</v>
      </c>
      <c r="H639" t="n">
        <v>0</v>
      </c>
      <c r="I639" t="n">
        <v>0</v>
      </c>
      <c r="J639" t="n">
        <v>0</v>
      </c>
      <c r="K639" t="n">
        <v>0</v>
      </c>
      <c r="L639" t="n">
        <v>0</v>
      </c>
      <c r="M639" t="n">
        <v>0</v>
      </c>
      <c r="N639" t="n">
        <v>0</v>
      </c>
      <c r="O639" t="n">
        <v>0</v>
      </c>
      <c r="P639" t="n">
        <v>0</v>
      </c>
      <c r="Q639" t="n">
        <v>0</v>
      </c>
      <c r="R639" s="2" t="inlineStr"/>
    </row>
    <row r="640" ht="15" customHeight="1">
      <c r="A640" t="inlineStr">
        <is>
          <t>A 14795-2026</t>
        </is>
      </c>
      <c r="B640" s="1" t="n">
        <v>46101</v>
      </c>
      <c r="C640" s="1" t="n">
        <v>46201</v>
      </c>
      <c r="D640" t="inlineStr">
        <is>
          <t>DALARNAS LÄN</t>
        </is>
      </c>
      <c r="E640" t="inlineStr">
        <is>
          <t>LEKSAND</t>
        </is>
      </c>
      <c r="G640" t="n">
        <v>1.6</v>
      </c>
      <c r="H640" t="n">
        <v>0</v>
      </c>
      <c r="I640" t="n">
        <v>0</v>
      </c>
      <c r="J640" t="n">
        <v>0</v>
      </c>
      <c r="K640" t="n">
        <v>0</v>
      </c>
      <c r="L640" t="n">
        <v>0</v>
      </c>
      <c r="M640" t="n">
        <v>0</v>
      </c>
      <c r="N640" t="n">
        <v>0</v>
      </c>
      <c r="O640" t="n">
        <v>0</v>
      </c>
      <c r="P640" t="n">
        <v>0</v>
      </c>
      <c r="Q640" t="n">
        <v>0</v>
      </c>
      <c r="R640" s="2" t="inlineStr"/>
    </row>
    <row r="641" ht="15" customHeight="1">
      <c r="A641" t="inlineStr">
        <is>
          <t>A 15583-2026</t>
        </is>
      </c>
      <c r="B641" s="1" t="n">
        <v>46106</v>
      </c>
      <c r="C641" s="1" t="n">
        <v>46201</v>
      </c>
      <c r="D641" t="inlineStr">
        <is>
          <t>DALARNAS LÄN</t>
        </is>
      </c>
      <c r="E641" t="inlineStr">
        <is>
          <t>LEKSAND</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15641-2026</t>
        </is>
      </c>
      <c r="B642" s="1" t="n">
        <v>46106</v>
      </c>
      <c r="C642" s="1" t="n">
        <v>46201</v>
      </c>
      <c r="D642" t="inlineStr">
        <is>
          <t>DALARNAS LÄN</t>
        </is>
      </c>
      <c r="E642" t="inlineStr">
        <is>
          <t>LEKSAND</t>
        </is>
      </c>
      <c r="G642" t="n">
        <v>11</v>
      </c>
      <c r="H642" t="n">
        <v>0</v>
      </c>
      <c r="I642" t="n">
        <v>0</v>
      </c>
      <c r="J642" t="n">
        <v>0</v>
      </c>
      <c r="K642" t="n">
        <v>0</v>
      </c>
      <c r="L642" t="n">
        <v>0</v>
      </c>
      <c r="M642" t="n">
        <v>0</v>
      </c>
      <c r="N642" t="n">
        <v>0</v>
      </c>
      <c r="O642" t="n">
        <v>0</v>
      </c>
      <c r="P642" t="n">
        <v>0</v>
      </c>
      <c r="Q642" t="n">
        <v>0</v>
      </c>
      <c r="R642" s="2" t="inlineStr"/>
    </row>
    <row r="643" ht="15" customHeight="1">
      <c r="A643" t="inlineStr">
        <is>
          <t>A 15561-2026</t>
        </is>
      </c>
      <c r="B643" s="1" t="n">
        <v>46106</v>
      </c>
      <c r="C643" s="1" t="n">
        <v>46201</v>
      </c>
      <c r="D643" t="inlineStr">
        <is>
          <t>DALARNAS LÄN</t>
        </is>
      </c>
      <c r="E643" t="inlineStr">
        <is>
          <t>LEKSAND</t>
        </is>
      </c>
      <c r="F643" t="inlineStr">
        <is>
          <t>Bergvik skog väst AB</t>
        </is>
      </c>
      <c r="G643" t="n">
        <v>11.3</v>
      </c>
      <c r="H643" t="n">
        <v>0</v>
      </c>
      <c r="I643" t="n">
        <v>0</v>
      </c>
      <c r="J643" t="n">
        <v>0</v>
      </c>
      <c r="K643" t="n">
        <v>0</v>
      </c>
      <c r="L643" t="n">
        <v>0</v>
      </c>
      <c r="M643" t="n">
        <v>0</v>
      </c>
      <c r="N643" t="n">
        <v>0</v>
      </c>
      <c r="O643" t="n">
        <v>0</v>
      </c>
      <c r="P643" t="n">
        <v>0</v>
      </c>
      <c r="Q643" t="n">
        <v>0</v>
      </c>
      <c r="R643" s="2" t="inlineStr"/>
    </row>
    <row r="644" ht="15" customHeight="1">
      <c r="A644" t="inlineStr">
        <is>
          <t>A 16613-2026</t>
        </is>
      </c>
      <c r="B644" s="1" t="n">
        <v>46112</v>
      </c>
      <c r="C644" s="1" t="n">
        <v>46201</v>
      </c>
      <c r="D644" t="inlineStr">
        <is>
          <t>DALARNAS LÄN</t>
        </is>
      </c>
      <c r="E644" t="inlineStr">
        <is>
          <t>LEKSAND</t>
        </is>
      </c>
      <c r="F644" t="inlineStr">
        <is>
          <t>Bergvik skog väst AB</t>
        </is>
      </c>
      <c r="G644" t="n">
        <v>12.7</v>
      </c>
      <c r="H644" t="n">
        <v>0</v>
      </c>
      <c r="I644" t="n">
        <v>0</v>
      </c>
      <c r="J644" t="n">
        <v>0</v>
      </c>
      <c r="K644" t="n">
        <v>0</v>
      </c>
      <c r="L644" t="n">
        <v>0</v>
      </c>
      <c r="M644" t="n">
        <v>0</v>
      </c>
      <c r="N644" t="n">
        <v>0</v>
      </c>
      <c r="O644" t="n">
        <v>0</v>
      </c>
      <c r="P644" t="n">
        <v>0</v>
      </c>
      <c r="Q644" t="n">
        <v>0</v>
      </c>
      <c r="R644" s="2" t="inlineStr"/>
    </row>
    <row r="645" ht="15" customHeight="1">
      <c r="A645" t="inlineStr">
        <is>
          <t>A 16234-2026</t>
        </is>
      </c>
      <c r="B645" s="1" t="n">
        <v>46111</v>
      </c>
      <c r="C645" s="1" t="n">
        <v>46201</v>
      </c>
      <c r="D645" t="inlineStr">
        <is>
          <t>DALARNAS LÄN</t>
        </is>
      </c>
      <c r="E645" t="inlineStr">
        <is>
          <t>LEKSAND</t>
        </is>
      </c>
      <c r="F645" t="inlineStr">
        <is>
          <t>Bergvik skog väst AB</t>
        </is>
      </c>
      <c r="G645" t="n">
        <v>0.6</v>
      </c>
      <c r="H645" t="n">
        <v>0</v>
      </c>
      <c r="I645" t="n">
        <v>0</v>
      </c>
      <c r="J645" t="n">
        <v>0</v>
      </c>
      <c r="K645" t="n">
        <v>0</v>
      </c>
      <c r="L645" t="n">
        <v>0</v>
      </c>
      <c r="M645" t="n">
        <v>0</v>
      </c>
      <c r="N645" t="n">
        <v>0</v>
      </c>
      <c r="O645" t="n">
        <v>0</v>
      </c>
      <c r="P645" t="n">
        <v>0</v>
      </c>
      <c r="Q645" t="n">
        <v>0</v>
      </c>
      <c r="R645" s="2" t="inlineStr"/>
    </row>
    <row r="646" ht="15" customHeight="1">
      <c r="A646" t="inlineStr">
        <is>
          <t>A 16188-2026</t>
        </is>
      </c>
      <c r="B646" s="1" t="n">
        <v>46111</v>
      </c>
      <c r="C646" s="1" t="n">
        <v>46201</v>
      </c>
      <c r="D646" t="inlineStr">
        <is>
          <t>DALARNAS LÄN</t>
        </is>
      </c>
      <c r="E646" t="inlineStr">
        <is>
          <t>LEKSAND</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16238-2026</t>
        </is>
      </c>
      <c r="B647" s="1" t="n">
        <v>46111</v>
      </c>
      <c r="C647" s="1" t="n">
        <v>46201</v>
      </c>
      <c r="D647" t="inlineStr">
        <is>
          <t>DALARNAS LÄN</t>
        </is>
      </c>
      <c r="E647" t="inlineStr">
        <is>
          <t>LEKSAND</t>
        </is>
      </c>
      <c r="F647" t="inlineStr">
        <is>
          <t>Bergvik skog väst AB</t>
        </is>
      </c>
      <c r="G647" t="n">
        <v>2.5</v>
      </c>
      <c r="H647" t="n">
        <v>0</v>
      </c>
      <c r="I647" t="n">
        <v>0</v>
      </c>
      <c r="J647" t="n">
        <v>0</v>
      </c>
      <c r="K647" t="n">
        <v>0</v>
      </c>
      <c r="L647" t="n">
        <v>0</v>
      </c>
      <c r="M647" t="n">
        <v>0</v>
      </c>
      <c r="N647" t="n">
        <v>0</v>
      </c>
      <c r="O647" t="n">
        <v>0</v>
      </c>
      <c r="P647" t="n">
        <v>0</v>
      </c>
      <c r="Q647" t="n">
        <v>0</v>
      </c>
      <c r="R647" s="2" t="inlineStr"/>
    </row>
    <row r="648" ht="15" customHeight="1">
      <c r="A648" t="inlineStr">
        <is>
          <t>A 16868-2026</t>
        </is>
      </c>
      <c r="B648" s="1" t="n">
        <v>46113</v>
      </c>
      <c r="C648" s="1" t="n">
        <v>46201</v>
      </c>
      <c r="D648" t="inlineStr">
        <is>
          <t>DALARNAS LÄN</t>
        </is>
      </c>
      <c r="E648" t="inlineStr">
        <is>
          <t>LEKSAND</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16861-2026</t>
        </is>
      </c>
      <c r="B649" s="1" t="n">
        <v>46113</v>
      </c>
      <c r="C649" s="1" t="n">
        <v>46201</v>
      </c>
      <c r="D649" t="inlineStr">
        <is>
          <t>DALARNAS LÄN</t>
        </is>
      </c>
      <c r="E649" t="inlineStr">
        <is>
          <t>LEKSAND</t>
        </is>
      </c>
      <c r="G649" t="n">
        <v>18.9</v>
      </c>
      <c r="H649" t="n">
        <v>0</v>
      </c>
      <c r="I649" t="n">
        <v>0</v>
      </c>
      <c r="J649" t="n">
        <v>0</v>
      </c>
      <c r="K649" t="n">
        <v>0</v>
      </c>
      <c r="L649" t="n">
        <v>0</v>
      </c>
      <c r="M649" t="n">
        <v>0</v>
      </c>
      <c r="N649" t="n">
        <v>0</v>
      </c>
      <c r="O649" t="n">
        <v>0</v>
      </c>
      <c r="P649" t="n">
        <v>0</v>
      </c>
      <c r="Q649" t="n">
        <v>0</v>
      </c>
      <c r="R649" s="2" t="inlineStr"/>
    </row>
    <row r="650" ht="15" customHeight="1">
      <c r="A650" t="inlineStr">
        <is>
          <t>A 17290-2026</t>
        </is>
      </c>
      <c r="B650" s="1" t="n">
        <v>46119</v>
      </c>
      <c r="C650" s="1" t="n">
        <v>46201</v>
      </c>
      <c r="D650" t="inlineStr">
        <is>
          <t>DALARNAS LÄN</t>
        </is>
      </c>
      <c r="E650" t="inlineStr">
        <is>
          <t>LEKSAND</t>
        </is>
      </c>
      <c r="G650" t="n">
        <v>2.2</v>
      </c>
      <c r="H650" t="n">
        <v>0</v>
      </c>
      <c r="I650" t="n">
        <v>0</v>
      </c>
      <c r="J650" t="n">
        <v>0</v>
      </c>
      <c r="K650" t="n">
        <v>0</v>
      </c>
      <c r="L650" t="n">
        <v>0</v>
      </c>
      <c r="M650" t="n">
        <v>0</v>
      </c>
      <c r="N650" t="n">
        <v>0</v>
      </c>
      <c r="O650" t="n">
        <v>0</v>
      </c>
      <c r="P650" t="n">
        <v>0</v>
      </c>
      <c r="Q650" t="n">
        <v>0</v>
      </c>
      <c r="R650" s="2" t="inlineStr"/>
    </row>
    <row r="651" ht="15" customHeight="1">
      <c r="A651" t="inlineStr">
        <is>
          <t>A 23368-2026</t>
        </is>
      </c>
      <c r="B651" s="1" t="n">
        <v>46162</v>
      </c>
      <c r="C651" s="1" t="n">
        <v>46201</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23024-2026</t>
        </is>
      </c>
      <c r="B652" s="1" t="n">
        <v>46161</v>
      </c>
      <c r="C652" s="1" t="n">
        <v>46201</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17590-2026</t>
        </is>
      </c>
      <c r="B653" s="1" t="n">
        <v>46121</v>
      </c>
      <c r="C653" s="1" t="n">
        <v>46201</v>
      </c>
      <c r="D653" t="inlineStr">
        <is>
          <t>DALARNAS LÄN</t>
        </is>
      </c>
      <c r="E653" t="inlineStr">
        <is>
          <t>LEKSAND</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17849-2026</t>
        </is>
      </c>
      <c r="B654" s="1" t="n">
        <v>46122</v>
      </c>
      <c r="C654" s="1" t="n">
        <v>46201</v>
      </c>
      <c r="D654" t="inlineStr">
        <is>
          <t>DALARNAS LÄN</t>
        </is>
      </c>
      <c r="E654" t="inlineStr">
        <is>
          <t>LEKSAND</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24121-2026</t>
        </is>
      </c>
      <c r="B655" s="1" t="n">
        <v>46168</v>
      </c>
      <c r="C655" s="1" t="n">
        <v>46201</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18342-2026</t>
        </is>
      </c>
      <c r="B656" s="1" t="n">
        <v>46126</v>
      </c>
      <c r="C656" s="1" t="n">
        <v>46201</v>
      </c>
      <c r="D656" t="inlineStr">
        <is>
          <t>DALARNAS LÄN</t>
        </is>
      </c>
      <c r="E656" t="inlineStr">
        <is>
          <t>LEKSAND</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24126-2026</t>
        </is>
      </c>
      <c r="B657" s="1" t="n">
        <v>46168</v>
      </c>
      <c r="C657" s="1" t="n">
        <v>46201</v>
      </c>
      <c r="D657" t="inlineStr">
        <is>
          <t>DALARNAS LÄN</t>
        </is>
      </c>
      <c r="E657" t="inlineStr">
        <is>
          <t>LEKSAND</t>
        </is>
      </c>
      <c r="G657" t="n">
        <v>2.1</v>
      </c>
      <c r="H657" t="n">
        <v>0</v>
      </c>
      <c r="I657" t="n">
        <v>0</v>
      </c>
      <c r="J657" t="n">
        <v>0</v>
      </c>
      <c r="K657" t="n">
        <v>0</v>
      </c>
      <c r="L657" t="n">
        <v>0</v>
      </c>
      <c r="M657" t="n">
        <v>0</v>
      </c>
      <c r="N657" t="n">
        <v>0</v>
      </c>
      <c r="O657" t="n">
        <v>0</v>
      </c>
      <c r="P657" t="n">
        <v>0</v>
      </c>
      <c r="Q657" t="n">
        <v>0</v>
      </c>
      <c r="R657" s="2" t="inlineStr"/>
    </row>
    <row r="658" ht="15" customHeight="1">
      <c r="A658" t="inlineStr">
        <is>
          <t>A 23837-2026</t>
        </is>
      </c>
      <c r="B658" s="1" t="n">
        <v>46167</v>
      </c>
      <c r="C658" s="1" t="n">
        <v>46201</v>
      </c>
      <c r="D658" t="inlineStr">
        <is>
          <t>DALARNAS LÄN</t>
        </is>
      </c>
      <c r="E658" t="inlineStr">
        <is>
          <t>LEKSAND</t>
        </is>
      </c>
      <c r="G658" t="n">
        <v>2.4</v>
      </c>
      <c r="H658" t="n">
        <v>0</v>
      </c>
      <c r="I658" t="n">
        <v>0</v>
      </c>
      <c r="J658" t="n">
        <v>0</v>
      </c>
      <c r="K658" t="n">
        <v>0</v>
      </c>
      <c r="L658" t="n">
        <v>0</v>
      </c>
      <c r="M658" t="n">
        <v>0</v>
      </c>
      <c r="N658" t="n">
        <v>0</v>
      </c>
      <c r="O658" t="n">
        <v>0</v>
      </c>
      <c r="P658" t="n">
        <v>0</v>
      </c>
      <c r="Q658" t="n">
        <v>0</v>
      </c>
      <c r="R658" s="2" t="inlineStr"/>
    </row>
    <row r="659" ht="15" customHeight="1">
      <c r="A659" t="inlineStr">
        <is>
          <t>A 23828-2026</t>
        </is>
      </c>
      <c r="B659" s="1" t="n">
        <v>46166</v>
      </c>
      <c r="C659" s="1" t="n">
        <v>46201</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24572-2026</t>
        </is>
      </c>
      <c r="B660" s="1" t="n">
        <v>46170</v>
      </c>
      <c r="C660" s="1" t="n">
        <v>46201</v>
      </c>
      <c r="D660" t="inlineStr">
        <is>
          <t>DALARNAS LÄN</t>
        </is>
      </c>
      <c r="E660" t="inlineStr">
        <is>
          <t>LEKSAND</t>
        </is>
      </c>
      <c r="G660" t="n">
        <v>3</v>
      </c>
      <c r="H660" t="n">
        <v>0</v>
      </c>
      <c r="I660" t="n">
        <v>0</v>
      </c>
      <c r="J660" t="n">
        <v>0</v>
      </c>
      <c r="K660" t="n">
        <v>0</v>
      </c>
      <c r="L660" t="n">
        <v>0</v>
      </c>
      <c r="M660" t="n">
        <v>0</v>
      </c>
      <c r="N660" t="n">
        <v>0</v>
      </c>
      <c r="O660" t="n">
        <v>0</v>
      </c>
      <c r="P660" t="n">
        <v>0</v>
      </c>
      <c r="Q660" t="n">
        <v>0</v>
      </c>
      <c r="R660" s="2" t="inlineStr"/>
    </row>
    <row r="661" ht="15" customHeight="1">
      <c r="A661" t="inlineStr">
        <is>
          <t>A 18414-2026</t>
        </is>
      </c>
      <c r="B661" s="1" t="n">
        <v>46126</v>
      </c>
      <c r="C661" s="1" t="n">
        <v>46201</v>
      </c>
      <c r="D661" t="inlineStr">
        <is>
          <t>DALARNAS LÄN</t>
        </is>
      </c>
      <c r="E661" t="inlineStr">
        <is>
          <t>LEKSAND</t>
        </is>
      </c>
      <c r="G661" t="n">
        <v>3.7</v>
      </c>
      <c r="H661" t="n">
        <v>0</v>
      </c>
      <c r="I661" t="n">
        <v>0</v>
      </c>
      <c r="J661" t="n">
        <v>0</v>
      </c>
      <c r="K661" t="n">
        <v>0</v>
      </c>
      <c r="L661" t="n">
        <v>0</v>
      </c>
      <c r="M661" t="n">
        <v>0</v>
      </c>
      <c r="N661" t="n">
        <v>0</v>
      </c>
      <c r="O661" t="n">
        <v>0</v>
      </c>
      <c r="P661" t="n">
        <v>0</v>
      </c>
      <c r="Q661" t="n">
        <v>0</v>
      </c>
      <c r="R661" s="2" t="inlineStr"/>
    </row>
    <row r="662" ht="15" customHeight="1">
      <c r="A662" t="inlineStr">
        <is>
          <t>A 18492-2026</t>
        </is>
      </c>
      <c r="B662" s="1" t="n">
        <v>46127</v>
      </c>
      <c r="C662" s="1" t="n">
        <v>46201</v>
      </c>
      <c r="D662" t="inlineStr">
        <is>
          <t>DALARNAS LÄN</t>
        </is>
      </c>
      <c r="E662" t="inlineStr">
        <is>
          <t>LEKSAND</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18510-2026</t>
        </is>
      </c>
      <c r="B663" s="1" t="n">
        <v>46127</v>
      </c>
      <c r="C663" s="1" t="n">
        <v>46201</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18766-2026</t>
        </is>
      </c>
      <c r="B664" s="1" t="n">
        <v>46128</v>
      </c>
      <c r="C664" s="1" t="n">
        <v>46201</v>
      </c>
      <c r="D664" t="inlineStr">
        <is>
          <t>DALARNAS LÄN</t>
        </is>
      </c>
      <c r="E664" t="inlineStr">
        <is>
          <t>LEKSAND</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24720-2026</t>
        </is>
      </c>
      <c r="B665" s="1" t="n">
        <v>46171</v>
      </c>
      <c r="C665" s="1" t="n">
        <v>46201</v>
      </c>
      <c r="D665" t="inlineStr">
        <is>
          <t>DALARNAS LÄN</t>
        </is>
      </c>
      <c r="E665" t="inlineStr">
        <is>
          <t>LEKSAND</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18579-2026</t>
        </is>
      </c>
      <c r="B666" s="1" t="n">
        <v>46127</v>
      </c>
      <c r="C666" s="1" t="n">
        <v>46201</v>
      </c>
      <c r="D666" t="inlineStr">
        <is>
          <t>DALARNAS LÄN</t>
        </is>
      </c>
      <c r="E666" t="inlineStr">
        <is>
          <t>LEKSAND</t>
        </is>
      </c>
      <c r="F666" t="inlineStr">
        <is>
          <t>Bergvik skog väst AB</t>
        </is>
      </c>
      <c r="G666" t="n">
        <v>16.8</v>
      </c>
      <c r="H666" t="n">
        <v>0</v>
      </c>
      <c r="I666" t="n">
        <v>0</v>
      </c>
      <c r="J666" t="n">
        <v>0</v>
      </c>
      <c r="K666" t="n">
        <v>0</v>
      </c>
      <c r="L666" t="n">
        <v>0</v>
      </c>
      <c r="M666" t="n">
        <v>0</v>
      </c>
      <c r="N666" t="n">
        <v>0</v>
      </c>
      <c r="O666" t="n">
        <v>0</v>
      </c>
      <c r="P666" t="n">
        <v>0</v>
      </c>
      <c r="Q666" t="n">
        <v>0</v>
      </c>
      <c r="R666" s="2" t="inlineStr"/>
    </row>
    <row r="667" ht="15" customHeight="1">
      <c r="A667" t="inlineStr">
        <is>
          <t>A 18482-2026</t>
        </is>
      </c>
      <c r="B667" s="1" t="n">
        <v>46127</v>
      </c>
      <c r="C667" s="1" t="n">
        <v>46201</v>
      </c>
      <c r="D667" t="inlineStr">
        <is>
          <t>DALARNAS LÄN</t>
        </is>
      </c>
      <c r="E667" t="inlineStr">
        <is>
          <t>LEKSAND</t>
        </is>
      </c>
      <c r="F667" t="inlineStr">
        <is>
          <t>Bergvik skog väst AB</t>
        </is>
      </c>
      <c r="G667" t="n">
        <v>1.2</v>
      </c>
      <c r="H667" t="n">
        <v>0</v>
      </c>
      <c r="I667" t="n">
        <v>0</v>
      </c>
      <c r="J667" t="n">
        <v>0</v>
      </c>
      <c r="K667" t="n">
        <v>0</v>
      </c>
      <c r="L667" t="n">
        <v>0</v>
      </c>
      <c r="M667" t="n">
        <v>0</v>
      </c>
      <c r="N667" t="n">
        <v>0</v>
      </c>
      <c r="O667" t="n">
        <v>0</v>
      </c>
      <c r="P667" t="n">
        <v>0</v>
      </c>
      <c r="Q667" t="n">
        <v>0</v>
      </c>
      <c r="R667" s="2" t="inlineStr"/>
    </row>
    <row r="668" ht="15" customHeight="1">
      <c r="A668" t="inlineStr">
        <is>
          <t>A 17106-2026</t>
        </is>
      </c>
      <c r="B668" s="1" t="n">
        <v>46114</v>
      </c>
      <c r="C668" s="1" t="n">
        <v>46201</v>
      </c>
      <c r="D668" t="inlineStr">
        <is>
          <t>DALARNAS LÄN</t>
        </is>
      </c>
      <c r="E668" t="inlineStr">
        <is>
          <t>LEKSAND</t>
        </is>
      </c>
      <c r="F668" t="inlineStr">
        <is>
          <t>Bergvik skog väst AB</t>
        </is>
      </c>
      <c r="G668" t="n">
        <v>2.9</v>
      </c>
      <c r="H668" t="n">
        <v>0</v>
      </c>
      <c r="I668" t="n">
        <v>0</v>
      </c>
      <c r="J668" t="n">
        <v>0</v>
      </c>
      <c r="K668" t="n">
        <v>0</v>
      </c>
      <c r="L668" t="n">
        <v>0</v>
      </c>
      <c r="M668" t="n">
        <v>0</v>
      </c>
      <c r="N668" t="n">
        <v>0</v>
      </c>
      <c r="O668" t="n">
        <v>0</v>
      </c>
      <c r="P668" t="n">
        <v>0</v>
      </c>
      <c r="Q668" t="n">
        <v>0</v>
      </c>
      <c r="R668" s="2" t="inlineStr"/>
    </row>
    <row r="669" ht="15" customHeight="1">
      <c r="A669" t="inlineStr">
        <is>
          <t>A 19190-2026</t>
        </is>
      </c>
      <c r="B669" s="1" t="n">
        <v>46132</v>
      </c>
      <c r="C669" s="1" t="n">
        <v>46201</v>
      </c>
      <c r="D669" t="inlineStr">
        <is>
          <t>DALARNAS LÄN</t>
        </is>
      </c>
      <c r="E669" t="inlineStr">
        <is>
          <t>LEKSAND</t>
        </is>
      </c>
      <c r="G669" t="n">
        <v>24.9</v>
      </c>
      <c r="H669" t="n">
        <v>0</v>
      </c>
      <c r="I669" t="n">
        <v>0</v>
      </c>
      <c r="J669" t="n">
        <v>0</v>
      </c>
      <c r="K669" t="n">
        <v>0</v>
      </c>
      <c r="L669" t="n">
        <v>0</v>
      </c>
      <c r="M669" t="n">
        <v>0</v>
      </c>
      <c r="N669" t="n">
        <v>0</v>
      </c>
      <c r="O669" t="n">
        <v>0</v>
      </c>
      <c r="P669" t="n">
        <v>0</v>
      </c>
      <c r="Q669" t="n">
        <v>0</v>
      </c>
      <c r="R669" s="2" t="inlineStr"/>
    </row>
    <row r="670" ht="15" customHeight="1">
      <c r="A670" t="inlineStr">
        <is>
          <t>A 24841-2026</t>
        </is>
      </c>
      <c r="B670" s="1" t="n">
        <v>46174</v>
      </c>
      <c r="C670" s="1" t="n">
        <v>46201</v>
      </c>
      <c r="D670" t="inlineStr">
        <is>
          <t>DALARNAS LÄN</t>
        </is>
      </c>
      <c r="E670" t="inlineStr">
        <is>
          <t>LEKSAND</t>
        </is>
      </c>
      <c r="G670" t="n">
        <v>1.6</v>
      </c>
      <c r="H670" t="n">
        <v>0</v>
      </c>
      <c r="I670" t="n">
        <v>0</v>
      </c>
      <c r="J670" t="n">
        <v>0</v>
      </c>
      <c r="K670" t="n">
        <v>0</v>
      </c>
      <c r="L670" t="n">
        <v>0</v>
      </c>
      <c r="M670" t="n">
        <v>0</v>
      </c>
      <c r="N670" t="n">
        <v>0</v>
      </c>
      <c r="O670" t="n">
        <v>0</v>
      </c>
      <c r="P670" t="n">
        <v>0</v>
      </c>
      <c r="Q670" t="n">
        <v>0</v>
      </c>
      <c r="R670" s="2" t="inlineStr"/>
    </row>
    <row r="671" ht="15" customHeight="1">
      <c r="A671" t="inlineStr">
        <is>
          <t>A 16982-2026</t>
        </is>
      </c>
      <c r="B671" s="1" t="n">
        <v>46114</v>
      </c>
      <c r="C671" s="1" t="n">
        <v>46201</v>
      </c>
      <c r="D671" t="inlineStr">
        <is>
          <t>DALARNAS LÄN</t>
        </is>
      </c>
      <c r="E671" t="inlineStr">
        <is>
          <t>LEKSAND</t>
        </is>
      </c>
      <c r="F671" t="inlineStr">
        <is>
          <t>Bergvik skog väst AB</t>
        </is>
      </c>
      <c r="G671" t="n">
        <v>0.8</v>
      </c>
      <c r="H671" t="n">
        <v>0</v>
      </c>
      <c r="I671" t="n">
        <v>0</v>
      </c>
      <c r="J671" t="n">
        <v>0</v>
      </c>
      <c r="K671" t="n">
        <v>0</v>
      </c>
      <c r="L671" t="n">
        <v>0</v>
      </c>
      <c r="M671" t="n">
        <v>0</v>
      </c>
      <c r="N671" t="n">
        <v>0</v>
      </c>
      <c r="O671" t="n">
        <v>0</v>
      </c>
      <c r="P671" t="n">
        <v>0</v>
      </c>
      <c r="Q671" t="n">
        <v>0</v>
      </c>
      <c r="R671" s="2" t="inlineStr"/>
    </row>
    <row r="672" ht="15" customHeight="1">
      <c r="A672" t="inlineStr">
        <is>
          <t>A 25300-2026</t>
        </is>
      </c>
      <c r="B672" s="1" t="n">
        <v>46176</v>
      </c>
      <c r="C672" s="1" t="n">
        <v>46201</v>
      </c>
      <c r="D672" t="inlineStr">
        <is>
          <t>DALARNAS LÄN</t>
        </is>
      </c>
      <c r="E672" t="inlineStr">
        <is>
          <t>LEKSAND</t>
        </is>
      </c>
      <c r="F672" t="inlineStr">
        <is>
          <t>Bergvik skog väst AB</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19818-2026</t>
        </is>
      </c>
      <c r="B673" s="1" t="n">
        <v>46135</v>
      </c>
      <c r="C673" s="1" t="n">
        <v>46201</v>
      </c>
      <c r="D673" t="inlineStr">
        <is>
          <t>DALARNAS LÄN</t>
        </is>
      </c>
      <c r="E673" t="inlineStr">
        <is>
          <t>LEKSAND</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19305-2026</t>
        </is>
      </c>
      <c r="B674" s="1" t="n">
        <v>46133</v>
      </c>
      <c r="C674" s="1" t="n">
        <v>46201</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2048-2026</t>
        </is>
      </c>
      <c r="B675" s="1" t="n">
        <v>46035</v>
      </c>
      <c r="C675" s="1" t="n">
        <v>46201</v>
      </c>
      <c r="D675" t="inlineStr">
        <is>
          <t>DALARNAS LÄN</t>
        </is>
      </c>
      <c r="E675" t="inlineStr">
        <is>
          <t>LEKSAND</t>
        </is>
      </c>
      <c r="G675" t="n">
        <v>2.7</v>
      </c>
      <c r="H675" t="n">
        <v>0</v>
      </c>
      <c r="I675" t="n">
        <v>0</v>
      </c>
      <c r="J675" t="n">
        <v>0</v>
      </c>
      <c r="K675" t="n">
        <v>0</v>
      </c>
      <c r="L675" t="n">
        <v>0</v>
      </c>
      <c r="M675" t="n">
        <v>0</v>
      </c>
      <c r="N675" t="n">
        <v>0</v>
      </c>
      <c r="O675" t="n">
        <v>0</v>
      </c>
      <c r="P675" t="n">
        <v>0</v>
      </c>
      <c r="Q675" t="n">
        <v>0</v>
      </c>
      <c r="R675" s="2" t="inlineStr"/>
    </row>
    <row r="676" ht="15" customHeight="1">
      <c r="A676" t="inlineStr">
        <is>
          <t>A 20303-2026</t>
        </is>
      </c>
      <c r="B676" s="1" t="n">
        <v>46139</v>
      </c>
      <c r="C676" s="1" t="n">
        <v>46201</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15632-2026</t>
        </is>
      </c>
      <c r="B677" s="1" t="n">
        <v>46106</v>
      </c>
      <c r="C677" s="1" t="n">
        <v>46201</v>
      </c>
      <c r="D677" t="inlineStr">
        <is>
          <t>DALARNAS LÄN</t>
        </is>
      </c>
      <c r="E677" t="inlineStr">
        <is>
          <t>LEKSAND</t>
        </is>
      </c>
      <c r="G677" t="n">
        <v>2.2</v>
      </c>
      <c r="H677" t="n">
        <v>0</v>
      </c>
      <c r="I677" t="n">
        <v>0</v>
      </c>
      <c r="J677" t="n">
        <v>0</v>
      </c>
      <c r="K677" t="n">
        <v>0</v>
      </c>
      <c r="L677" t="n">
        <v>0</v>
      </c>
      <c r="M677" t="n">
        <v>0</v>
      </c>
      <c r="N677" t="n">
        <v>0</v>
      </c>
      <c r="O677" t="n">
        <v>0</v>
      </c>
      <c r="P677" t="n">
        <v>0</v>
      </c>
      <c r="Q677" t="n">
        <v>0</v>
      </c>
      <c r="R677" s="2" t="inlineStr"/>
    </row>
    <row r="678" ht="15" customHeight="1">
      <c r="A678" t="inlineStr">
        <is>
          <t>A 25610-2025</t>
        </is>
      </c>
      <c r="B678" s="1" t="n">
        <v>45803</v>
      </c>
      <c r="C678" s="1" t="n">
        <v>46201</v>
      </c>
      <c r="D678" t="inlineStr">
        <is>
          <t>DALARNAS LÄN</t>
        </is>
      </c>
      <c r="E678" t="inlineStr">
        <is>
          <t>LEKSAND</t>
        </is>
      </c>
      <c r="G678" t="n">
        <v>5.2</v>
      </c>
      <c r="H678" t="n">
        <v>0</v>
      </c>
      <c r="I678" t="n">
        <v>0</v>
      </c>
      <c r="J678" t="n">
        <v>0</v>
      </c>
      <c r="K678" t="n">
        <v>0</v>
      </c>
      <c r="L678" t="n">
        <v>0</v>
      </c>
      <c r="M678" t="n">
        <v>0</v>
      </c>
      <c r="N678" t="n">
        <v>0</v>
      </c>
      <c r="O678" t="n">
        <v>0</v>
      </c>
      <c r="P678" t="n">
        <v>0</v>
      </c>
      <c r="Q678" t="n">
        <v>0</v>
      </c>
      <c r="R678" s="2" t="inlineStr"/>
    </row>
    <row r="679" ht="15" customHeight="1">
      <c r="A679" t="inlineStr">
        <is>
          <t>A 40165-2022</t>
        </is>
      </c>
      <c r="B679" s="1" t="n">
        <v>44820</v>
      </c>
      <c r="C679" s="1" t="n">
        <v>46201</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27445-2024</t>
        </is>
      </c>
      <c r="B680" s="1" t="n">
        <v>45474</v>
      </c>
      <c r="C680" s="1" t="n">
        <v>46201</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21457-2025</t>
        </is>
      </c>
      <c r="B681" s="1" t="n">
        <v>45782</v>
      </c>
      <c r="C681" s="1" t="n">
        <v>46201</v>
      </c>
      <c r="D681" t="inlineStr">
        <is>
          <t>DALARNAS LÄN</t>
        </is>
      </c>
      <c r="E681" t="inlineStr">
        <is>
          <t>LEKSAND</t>
        </is>
      </c>
      <c r="G681" t="n">
        <v>1</v>
      </c>
      <c r="H681" t="n">
        <v>0</v>
      </c>
      <c r="I681" t="n">
        <v>0</v>
      </c>
      <c r="J681" t="n">
        <v>0</v>
      </c>
      <c r="K681" t="n">
        <v>0</v>
      </c>
      <c r="L681" t="n">
        <v>0</v>
      </c>
      <c r="M681" t="n">
        <v>0</v>
      </c>
      <c r="N681" t="n">
        <v>0</v>
      </c>
      <c r="O681" t="n">
        <v>0</v>
      </c>
      <c r="P681" t="n">
        <v>0</v>
      </c>
      <c r="Q681" t="n">
        <v>0</v>
      </c>
      <c r="R681" s="2" t="inlineStr"/>
    </row>
    <row r="682" ht="15" customHeight="1">
      <c r="A682" t="inlineStr">
        <is>
          <t>A 26021-2026</t>
        </is>
      </c>
      <c r="B682" s="1" t="n">
        <v>46181</v>
      </c>
      <c r="C682" s="1" t="n">
        <v>46201</v>
      </c>
      <c r="D682" t="inlineStr">
        <is>
          <t>DALARNAS LÄN</t>
        </is>
      </c>
      <c r="E682" t="inlineStr">
        <is>
          <t>LEKSAND</t>
        </is>
      </c>
      <c r="F682" t="inlineStr">
        <is>
          <t>Bergvik skog väst AB</t>
        </is>
      </c>
      <c r="G682" t="n">
        <v>1.1</v>
      </c>
      <c r="H682" t="n">
        <v>0</v>
      </c>
      <c r="I682" t="n">
        <v>0</v>
      </c>
      <c r="J682" t="n">
        <v>0</v>
      </c>
      <c r="K682" t="n">
        <v>0</v>
      </c>
      <c r="L682" t="n">
        <v>0</v>
      </c>
      <c r="M682" t="n">
        <v>0</v>
      </c>
      <c r="N682" t="n">
        <v>0</v>
      </c>
      <c r="O682" t="n">
        <v>0</v>
      </c>
      <c r="P682" t="n">
        <v>0</v>
      </c>
      <c r="Q682" t="n">
        <v>0</v>
      </c>
      <c r="R682" s="2" t="inlineStr"/>
    </row>
    <row r="683" ht="15" customHeight="1">
      <c r="A683" t="inlineStr">
        <is>
          <t>A 1983-2025</t>
        </is>
      </c>
      <c r="B683" s="1" t="n">
        <v>45670</v>
      </c>
      <c r="C683" s="1" t="n">
        <v>46201</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31787-2025</t>
        </is>
      </c>
      <c r="B684" s="1" t="n">
        <v>45834</v>
      </c>
      <c r="C684" s="1" t="n">
        <v>46201</v>
      </c>
      <c r="D684" t="inlineStr">
        <is>
          <t>DALARNAS LÄN</t>
        </is>
      </c>
      <c r="E684" t="inlineStr">
        <is>
          <t>LEKSAND</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24003-2024</t>
        </is>
      </c>
      <c r="B685" s="1" t="n">
        <v>45456</v>
      </c>
      <c r="C685" s="1" t="n">
        <v>46201</v>
      </c>
      <c r="D685" t="inlineStr">
        <is>
          <t>DALARNAS LÄN</t>
        </is>
      </c>
      <c r="E685" t="inlineStr">
        <is>
          <t>LEKSAND</t>
        </is>
      </c>
      <c r="F685" t="inlineStr">
        <is>
          <t>Bergvik skog väst AB</t>
        </is>
      </c>
      <c r="G685" t="n">
        <v>3.2</v>
      </c>
      <c r="H685" t="n">
        <v>0</v>
      </c>
      <c r="I685" t="n">
        <v>0</v>
      </c>
      <c r="J685" t="n">
        <v>0</v>
      </c>
      <c r="K685" t="n">
        <v>0</v>
      </c>
      <c r="L685" t="n">
        <v>0</v>
      </c>
      <c r="M685" t="n">
        <v>0</v>
      </c>
      <c r="N685" t="n">
        <v>0</v>
      </c>
      <c r="O685" t="n">
        <v>0</v>
      </c>
      <c r="P685" t="n">
        <v>0</v>
      </c>
      <c r="Q685" t="n">
        <v>0</v>
      </c>
      <c r="R685" s="2" t="inlineStr"/>
    </row>
    <row r="686" ht="15" customHeight="1">
      <c r="A686" t="inlineStr">
        <is>
          <t>A 18611-2026</t>
        </is>
      </c>
      <c r="B686" s="1" t="n">
        <v>46127</v>
      </c>
      <c r="C686" s="1" t="n">
        <v>46201</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12582-2025</t>
        </is>
      </c>
      <c r="B687" s="1" t="n">
        <v>45732</v>
      </c>
      <c r="C687" s="1" t="n">
        <v>46201</v>
      </c>
      <c r="D687" t="inlineStr">
        <is>
          <t>DALARNAS LÄN</t>
        </is>
      </c>
      <c r="E687" t="inlineStr">
        <is>
          <t>LEKSAND</t>
        </is>
      </c>
      <c r="G687" t="n">
        <v>1.3</v>
      </c>
      <c r="H687" t="n">
        <v>0</v>
      </c>
      <c r="I687" t="n">
        <v>0</v>
      </c>
      <c r="J687" t="n">
        <v>0</v>
      </c>
      <c r="K687" t="n">
        <v>0</v>
      </c>
      <c r="L687" t="n">
        <v>0</v>
      </c>
      <c r="M687" t="n">
        <v>0</v>
      </c>
      <c r="N687" t="n">
        <v>0</v>
      </c>
      <c r="O687" t="n">
        <v>0</v>
      </c>
      <c r="P687" t="n">
        <v>0</v>
      </c>
      <c r="Q687" t="n">
        <v>0</v>
      </c>
      <c r="R687" s="2" t="inlineStr"/>
    </row>
    <row r="688" ht="15" customHeight="1">
      <c r="A688" t="inlineStr">
        <is>
          <t>A 31728-2024</t>
        </is>
      </c>
      <c r="B688" s="1" t="n">
        <v>45509</v>
      </c>
      <c r="C688" s="1" t="n">
        <v>46201</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40407-2024</t>
        </is>
      </c>
      <c r="B689" s="1" t="n">
        <v>45555</v>
      </c>
      <c r="C689" s="1" t="n">
        <v>46201</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12620-2025</t>
        </is>
      </c>
      <c r="B690" s="1" t="n">
        <v>45733</v>
      </c>
      <c r="C690" s="1" t="n">
        <v>46201</v>
      </c>
      <c r="D690" t="inlineStr">
        <is>
          <t>DALARNAS LÄN</t>
        </is>
      </c>
      <c r="E690" t="inlineStr">
        <is>
          <t>LEKSAND</t>
        </is>
      </c>
      <c r="F690" t="inlineStr">
        <is>
          <t>Bergvik skog väst AB</t>
        </is>
      </c>
      <c r="G690" t="n">
        <v>3.9</v>
      </c>
      <c r="H690" t="n">
        <v>0</v>
      </c>
      <c r="I690" t="n">
        <v>0</v>
      </c>
      <c r="J690" t="n">
        <v>0</v>
      </c>
      <c r="K690" t="n">
        <v>0</v>
      </c>
      <c r="L690" t="n">
        <v>0</v>
      </c>
      <c r="M690" t="n">
        <v>0</v>
      </c>
      <c r="N690" t="n">
        <v>0</v>
      </c>
      <c r="O690" t="n">
        <v>0</v>
      </c>
      <c r="P690" t="n">
        <v>0</v>
      </c>
      <c r="Q690" t="n">
        <v>0</v>
      </c>
      <c r="R690" s="2" t="inlineStr"/>
    </row>
    <row r="691" ht="15" customHeight="1">
      <c r="A691" t="inlineStr">
        <is>
          <t>A 35998-2025</t>
        </is>
      </c>
      <c r="B691" s="1" t="n">
        <v>45863</v>
      </c>
      <c r="C691" s="1" t="n">
        <v>46201</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40009-2024</t>
        </is>
      </c>
      <c r="B692" s="1" t="n">
        <v>45553</v>
      </c>
      <c r="C692" s="1" t="n">
        <v>46201</v>
      </c>
      <c r="D692" t="inlineStr">
        <is>
          <t>DALARNAS LÄN</t>
        </is>
      </c>
      <c r="E692" t="inlineStr">
        <is>
          <t>LEKSAND</t>
        </is>
      </c>
      <c r="F692" t="inlineStr">
        <is>
          <t>Bergvik skog väst AB</t>
        </is>
      </c>
      <c r="G692" t="n">
        <v>3</v>
      </c>
      <c r="H692" t="n">
        <v>0</v>
      </c>
      <c r="I692" t="n">
        <v>0</v>
      </c>
      <c r="J692" t="n">
        <v>0</v>
      </c>
      <c r="K692" t="n">
        <v>0</v>
      </c>
      <c r="L692" t="n">
        <v>0</v>
      </c>
      <c r="M692" t="n">
        <v>0</v>
      </c>
      <c r="N692" t="n">
        <v>0</v>
      </c>
      <c r="O692" t="n">
        <v>0</v>
      </c>
      <c r="P692" t="n">
        <v>0</v>
      </c>
      <c r="Q692" t="n">
        <v>0</v>
      </c>
      <c r="R692" s="2" t="inlineStr"/>
    </row>
    <row r="693" ht="15" customHeight="1">
      <c r="A693" t="inlineStr">
        <is>
          <t>A 56941-2024</t>
        </is>
      </c>
      <c r="B693" s="1" t="n">
        <v>45625</v>
      </c>
      <c r="C693" s="1" t="n">
        <v>46201</v>
      </c>
      <c r="D693" t="inlineStr">
        <is>
          <t>DALARNAS LÄN</t>
        </is>
      </c>
      <c r="E693" t="inlineStr">
        <is>
          <t>LEKSAND</t>
        </is>
      </c>
      <c r="G693" t="n">
        <v>1.8</v>
      </c>
      <c r="H693" t="n">
        <v>0</v>
      </c>
      <c r="I693" t="n">
        <v>0</v>
      </c>
      <c r="J693" t="n">
        <v>0</v>
      </c>
      <c r="K693" t="n">
        <v>0</v>
      </c>
      <c r="L693" t="n">
        <v>0</v>
      </c>
      <c r="M693" t="n">
        <v>0</v>
      </c>
      <c r="N693" t="n">
        <v>0</v>
      </c>
      <c r="O693" t="n">
        <v>0</v>
      </c>
      <c r="P693" t="n">
        <v>0</v>
      </c>
      <c r="Q693" t="n">
        <v>0</v>
      </c>
      <c r="R693" s="2" t="inlineStr"/>
    </row>
    <row r="694" ht="15" customHeight="1">
      <c r="A694" t="inlineStr">
        <is>
          <t>A 1950-2026</t>
        </is>
      </c>
      <c r="B694" s="1" t="n">
        <v>46035</v>
      </c>
      <c r="C694" s="1" t="n">
        <v>46201</v>
      </c>
      <c r="D694" t="inlineStr">
        <is>
          <t>DALARNAS LÄN</t>
        </is>
      </c>
      <c r="E694" t="inlineStr">
        <is>
          <t>LEKSAND</t>
        </is>
      </c>
      <c r="G694" t="n">
        <v>5.3</v>
      </c>
      <c r="H694" t="n">
        <v>0</v>
      </c>
      <c r="I694" t="n">
        <v>0</v>
      </c>
      <c r="J694" t="n">
        <v>0</v>
      </c>
      <c r="K694" t="n">
        <v>0</v>
      </c>
      <c r="L694" t="n">
        <v>0</v>
      </c>
      <c r="M694" t="n">
        <v>0</v>
      </c>
      <c r="N694" t="n">
        <v>0</v>
      </c>
      <c r="O694" t="n">
        <v>0</v>
      </c>
      <c r="P694" t="n">
        <v>0</v>
      </c>
      <c r="Q694" t="n">
        <v>0</v>
      </c>
      <c r="R694" s="2" t="inlineStr"/>
    </row>
    <row r="695" ht="15" customHeight="1">
      <c r="A695" t="inlineStr">
        <is>
          <t>A 55268-2024</t>
        </is>
      </c>
      <c r="B695" s="1" t="n">
        <v>45621</v>
      </c>
      <c r="C695" s="1" t="n">
        <v>46201</v>
      </c>
      <c r="D695" t="inlineStr">
        <is>
          <t>DALARNAS LÄN</t>
        </is>
      </c>
      <c r="E695" t="inlineStr">
        <is>
          <t>LEKSAND</t>
        </is>
      </c>
      <c r="G695" t="n">
        <v>4.2</v>
      </c>
      <c r="H695" t="n">
        <v>0</v>
      </c>
      <c r="I695" t="n">
        <v>0</v>
      </c>
      <c r="J695" t="n">
        <v>0</v>
      </c>
      <c r="K695" t="n">
        <v>0</v>
      </c>
      <c r="L695" t="n">
        <v>0</v>
      </c>
      <c r="M695" t="n">
        <v>0</v>
      </c>
      <c r="N695" t="n">
        <v>0</v>
      </c>
      <c r="O695" t="n">
        <v>0</v>
      </c>
      <c r="P695" t="n">
        <v>0</v>
      </c>
      <c r="Q695" t="n">
        <v>0</v>
      </c>
      <c r="R695" s="2" t="inlineStr"/>
    </row>
    <row r="696" ht="15" customHeight="1">
      <c r="A696" t="inlineStr">
        <is>
          <t>A 20164-2026</t>
        </is>
      </c>
      <c r="B696" s="1" t="n">
        <v>46139</v>
      </c>
      <c r="C696" s="1" t="n">
        <v>46201</v>
      </c>
      <c r="D696" t="inlineStr">
        <is>
          <t>DALARNAS LÄN</t>
        </is>
      </c>
      <c r="E696" t="inlineStr">
        <is>
          <t>LEKSAND</t>
        </is>
      </c>
      <c r="G696" t="n">
        <v>0.5</v>
      </c>
      <c r="H696" t="n">
        <v>0</v>
      </c>
      <c r="I696" t="n">
        <v>0</v>
      </c>
      <c r="J696" t="n">
        <v>0</v>
      </c>
      <c r="K696" t="n">
        <v>0</v>
      </c>
      <c r="L696" t="n">
        <v>0</v>
      </c>
      <c r="M696" t="n">
        <v>0</v>
      </c>
      <c r="N696" t="n">
        <v>0</v>
      </c>
      <c r="O696" t="n">
        <v>0</v>
      </c>
      <c r="P696" t="n">
        <v>0</v>
      </c>
      <c r="Q696" t="n">
        <v>0</v>
      </c>
      <c r="R696" s="2" t="inlineStr"/>
    </row>
    <row r="697" ht="15" customHeight="1">
      <c r="A697" t="inlineStr">
        <is>
          <t>A 57925-2024</t>
        </is>
      </c>
      <c r="B697" s="1" t="n">
        <v>45630</v>
      </c>
      <c r="C697" s="1" t="n">
        <v>46201</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1443-2024</t>
        </is>
      </c>
      <c r="B698" s="1" t="n">
        <v>45303</v>
      </c>
      <c r="C698" s="1" t="n">
        <v>46201</v>
      </c>
      <c r="D698" t="inlineStr">
        <is>
          <t>DALARNAS LÄN</t>
        </is>
      </c>
      <c r="E698" t="inlineStr">
        <is>
          <t>LEKSAND</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17099-2026</t>
        </is>
      </c>
      <c r="B699" s="1" t="n">
        <v>46114</v>
      </c>
      <c r="C699" s="1" t="n">
        <v>46201</v>
      </c>
      <c r="D699" t="inlineStr">
        <is>
          <t>DALARNAS LÄN</t>
        </is>
      </c>
      <c r="E699" t="inlineStr">
        <is>
          <t>LEKSAND</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26519-2026</t>
        </is>
      </c>
      <c r="B700" s="1" t="n">
        <v>46183</v>
      </c>
      <c r="C700" s="1" t="n">
        <v>46201</v>
      </c>
      <c r="D700" t="inlineStr">
        <is>
          <t>DALARNAS LÄN</t>
        </is>
      </c>
      <c r="E700" t="inlineStr">
        <is>
          <t>LEKSAND</t>
        </is>
      </c>
      <c r="F700" t="inlineStr">
        <is>
          <t>Bergvik skog väst AB</t>
        </is>
      </c>
      <c r="G700" t="n">
        <v>5</v>
      </c>
      <c r="H700" t="n">
        <v>0</v>
      </c>
      <c r="I700" t="n">
        <v>0</v>
      </c>
      <c r="J700" t="n">
        <v>0</v>
      </c>
      <c r="K700" t="n">
        <v>0</v>
      </c>
      <c r="L700" t="n">
        <v>0</v>
      </c>
      <c r="M700" t="n">
        <v>0</v>
      </c>
      <c r="N700" t="n">
        <v>0</v>
      </c>
      <c r="O700" t="n">
        <v>0</v>
      </c>
      <c r="P700" t="n">
        <v>0</v>
      </c>
      <c r="Q700" t="n">
        <v>0</v>
      </c>
      <c r="R700" s="2" t="inlineStr"/>
    </row>
    <row r="701" ht="15" customHeight="1">
      <c r="A701" t="inlineStr">
        <is>
          <t>A 16592-2023</t>
        </is>
      </c>
      <c r="B701" s="1" t="n">
        <v>45030</v>
      </c>
      <c r="C701" s="1" t="n">
        <v>46201</v>
      </c>
      <c r="D701" t="inlineStr">
        <is>
          <t>DALARNAS LÄN</t>
        </is>
      </c>
      <c r="E701" t="inlineStr">
        <is>
          <t>LEKSAND</t>
        </is>
      </c>
      <c r="G701" t="n">
        <v>11.5</v>
      </c>
      <c r="H701" t="n">
        <v>0</v>
      </c>
      <c r="I701" t="n">
        <v>0</v>
      </c>
      <c r="J701" t="n">
        <v>0</v>
      </c>
      <c r="K701" t="n">
        <v>0</v>
      </c>
      <c r="L701" t="n">
        <v>0</v>
      </c>
      <c r="M701" t="n">
        <v>0</v>
      </c>
      <c r="N701" t="n">
        <v>0</v>
      </c>
      <c r="O701" t="n">
        <v>0</v>
      </c>
      <c r="P701" t="n">
        <v>0</v>
      </c>
      <c r="Q701" t="n">
        <v>0</v>
      </c>
      <c r="R701" s="2" t="inlineStr"/>
    </row>
    <row r="702" ht="15" customHeight="1">
      <c r="A702" t="inlineStr">
        <is>
          <t>A 6028-2025</t>
        </is>
      </c>
      <c r="B702" s="1" t="n">
        <v>45695</v>
      </c>
      <c r="C702" s="1" t="n">
        <v>46201</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53243-2025</t>
        </is>
      </c>
      <c r="B703" s="1" t="n">
        <v>45958</v>
      </c>
      <c r="C703" s="1" t="n">
        <v>46201</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26187-2026</t>
        </is>
      </c>
      <c r="B704" s="1" t="n">
        <v>46182</v>
      </c>
      <c r="C704" s="1" t="n">
        <v>46201</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26348-2026</t>
        </is>
      </c>
      <c r="B705" s="1" t="n">
        <v>46182</v>
      </c>
      <c r="C705" s="1" t="n">
        <v>46201</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8211-2026</t>
        </is>
      </c>
      <c r="B706" s="1" t="n">
        <v>46064</v>
      </c>
      <c r="C706" s="1" t="n">
        <v>46201</v>
      </c>
      <c r="D706" t="inlineStr">
        <is>
          <t>DALARNAS LÄN</t>
        </is>
      </c>
      <c r="E706" t="inlineStr">
        <is>
          <t>LEKSAND</t>
        </is>
      </c>
      <c r="G706" t="n">
        <v>4.9</v>
      </c>
      <c r="H706" t="n">
        <v>0</v>
      </c>
      <c r="I706" t="n">
        <v>0</v>
      </c>
      <c r="J706" t="n">
        <v>0</v>
      </c>
      <c r="K706" t="n">
        <v>0</v>
      </c>
      <c r="L706" t="n">
        <v>0</v>
      </c>
      <c r="M706" t="n">
        <v>0</v>
      </c>
      <c r="N706" t="n">
        <v>0</v>
      </c>
      <c r="O706" t="n">
        <v>0</v>
      </c>
      <c r="P706" t="n">
        <v>0</v>
      </c>
      <c r="Q706" t="n">
        <v>0</v>
      </c>
      <c r="R706" s="2" t="inlineStr"/>
    </row>
    <row r="707" ht="15" customHeight="1">
      <c r="A707" t="inlineStr">
        <is>
          <t>A 43220-2024</t>
        </is>
      </c>
      <c r="B707" s="1" t="n">
        <v>45567</v>
      </c>
      <c r="C707" s="1" t="n">
        <v>46201</v>
      </c>
      <c r="D707" t="inlineStr">
        <is>
          <t>DALARNAS LÄN</t>
        </is>
      </c>
      <c r="E707" t="inlineStr">
        <is>
          <t>LEKSAND</t>
        </is>
      </c>
      <c r="G707" t="n">
        <v>0.9</v>
      </c>
      <c r="H707" t="n">
        <v>0</v>
      </c>
      <c r="I707" t="n">
        <v>0</v>
      </c>
      <c r="J707" t="n">
        <v>0</v>
      </c>
      <c r="K707" t="n">
        <v>0</v>
      </c>
      <c r="L707" t="n">
        <v>0</v>
      </c>
      <c r="M707" t="n">
        <v>0</v>
      </c>
      <c r="N707" t="n">
        <v>0</v>
      </c>
      <c r="O707" t="n">
        <v>0</v>
      </c>
      <c r="P707" t="n">
        <v>0</v>
      </c>
      <c r="Q707" t="n">
        <v>0</v>
      </c>
      <c r="R707" s="2" t="inlineStr"/>
    </row>
    <row r="708" ht="15" customHeight="1">
      <c r="A708" t="inlineStr">
        <is>
          <t>A 20541-2026</t>
        </is>
      </c>
      <c r="B708" s="1" t="n">
        <v>46140</v>
      </c>
      <c r="C708" s="1" t="n">
        <v>46201</v>
      </c>
      <c r="D708" t="inlineStr">
        <is>
          <t>DALARNAS LÄN</t>
        </is>
      </c>
      <c r="E708" t="inlineStr">
        <is>
          <t>LEKSAND</t>
        </is>
      </c>
      <c r="G708" t="n">
        <v>3</v>
      </c>
      <c r="H708" t="n">
        <v>0</v>
      </c>
      <c r="I708" t="n">
        <v>0</v>
      </c>
      <c r="J708" t="n">
        <v>0</v>
      </c>
      <c r="K708" t="n">
        <v>0</v>
      </c>
      <c r="L708" t="n">
        <v>0</v>
      </c>
      <c r="M708" t="n">
        <v>0</v>
      </c>
      <c r="N708" t="n">
        <v>0</v>
      </c>
      <c r="O708" t="n">
        <v>0</v>
      </c>
      <c r="P708" t="n">
        <v>0</v>
      </c>
      <c r="Q708" t="n">
        <v>0</v>
      </c>
      <c r="R708" s="2" t="inlineStr"/>
    </row>
    <row r="709" ht="15" customHeight="1">
      <c r="A709" t="inlineStr">
        <is>
          <t>A 25523-2026</t>
        </is>
      </c>
      <c r="B709" s="1" t="n">
        <v>46177</v>
      </c>
      <c r="C709" s="1" t="n">
        <v>46201</v>
      </c>
      <c r="D709" t="inlineStr">
        <is>
          <t>DALARNAS LÄN</t>
        </is>
      </c>
      <c r="E709" t="inlineStr">
        <is>
          <t>LEKSAND</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25581-2026</t>
        </is>
      </c>
      <c r="B710" s="1" t="n">
        <v>46177</v>
      </c>
      <c r="C710" s="1" t="n">
        <v>46201</v>
      </c>
      <c r="D710" t="inlineStr">
        <is>
          <t>DALARNAS LÄN</t>
        </is>
      </c>
      <c r="E710" t="inlineStr">
        <is>
          <t>LEKSAND</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1149-2026</t>
        </is>
      </c>
      <c r="B711" s="1" t="n">
        <v>46030</v>
      </c>
      <c r="C711" s="1" t="n">
        <v>46201</v>
      </c>
      <c r="D711" t="inlineStr">
        <is>
          <t>DALARNAS LÄN</t>
        </is>
      </c>
      <c r="E711" t="inlineStr">
        <is>
          <t>LEKSAND</t>
        </is>
      </c>
      <c r="G711" t="n">
        <v>11.7</v>
      </c>
      <c r="H711" t="n">
        <v>0</v>
      </c>
      <c r="I711" t="n">
        <v>0</v>
      </c>
      <c r="J711" t="n">
        <v>0</v>
      </c>
      <c r="K711" t="n">
        <v>0</v>
      </c>
      <c r="L711" t="n">
        <v>0</v>
      </c>
      <c r="M711" t="n">
        <v>0</v>
      </c>
      <c r="N711" t="n">
        <v>0</v>
      </c>
      <c r="O711" t="n">
        <v>0</v>
      </c>
      <c r="P711" t="n">
        <v>0</v>
      </c>
      <c r="Q711" t="n">
        <v>0</v>
      </c>
      <c r="R711" s="2" t="inlineStr"/>
    </row>
    <row r="712" ht="15" customHeight="1">
      <c r="A712" t="inlineStr">
        <is>
          <t>A 20663-2026</t>
        </is>
      </c>
      <c r="B712" s="1" t="n">
        <v>46141</v>
      </c>
      <c r="C712" s="1" t="n">
        <v>46201</v>
      </c>
      <c r="D712" t="inlineStr">
        <is>
          <t>DALARNAS LÄN</t>
        </is>
      </c>
      <c r="E712" t="inlineStr">
        <is>
          <t>LEKSAND</t>
        </is>
      </c>
      <c r="F712" t="inlineStr">
        <is>
          <t>Bergvik skog väst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16197-2024</t>
        </is>
      </c>
      <c r="B713" s="1" t="n">
        <v>45406</v>
      </c>
      <c r="C713" s="1" t="n">
        <v>46201</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2068-2026</t>
        </is>
      </c>
      <c r="B714" s="1" t="n">
        <v>46036</v>
      </c>
      <c r="C714" s="1" t="n">
        <v>46201</v>
      </c>
      <c r="D714" t="inlineStr">
        <is>
          <t>DALARNAS LÄN</t>
        </is>
      </c>
      <c r="E714" t="inlineStr">
        <is>
          <t>LEKSAND</t>
        </is>
      </c>
      <c r="F714" t="inlineStr">
        <is>
          <t>Övriga Aktiebolag</t>
        </is>
      </c>
      <c r="G714" t="n">
        <v>15.5</v>
      </c>
      <c r="H714" t="n">
        <v>0</v>
      </c>
      <c r="I714" t="n">
        <v>0</v>
      </c>
      <c r="J714" t="n">
        <v>0</v>
      </c>
      <c r="K714" t="n">
        <v>0</v>
      </c>
      <c r="L714" t="n">
        <v>0</v>
      </c>
      <c r="M714" t="n">
        <v>0</v>
      </c>
      <c r="N714" t="n">
        <v>0</v>
      </c>
      <c r="O714" t="n">
        <v>0</v>
      </c>
      <c r="P714" t="n">
        <v>0</v>
      </c>
      <c r="Q714" t="n">
        <v>0</v>
      </c>
      <c r="R714" s="2" t="inlineStr"/>
    </row>
    <row r="715" ht="15" customHeight="1">
      <c r="A715" t="inlineStr">
        <is>
          <t>A 26923-2026</t>
        </is>
      </c>
      <c r="B715" s="1" t="n">
        <v>46185</v>
      </c>
      <c r="C715" s="1" t="n">
        <v>46201</v>
      </c>
      <c r="D715" t="inlineStr">
        <is>
          <t>DALARNAS LÄN</t>
        </is>
      </c>
      <c r="E715" t="inlineStr">
        <is>
          <t>LEKSAND</t>
        </is>
      </c>
      <c r="F715" t="inlineStr">
        <is>
          <t>Bergvik skog väst AB</t>
        </is>
      </c>
      <c r="G715" t="n">
        <v>3.9</v>
      </c>
      <c r="H715" t="n">
        <v>0</v>
      </c>
      <c r="I715" t="n">
        <v>0</v>
      </c>
      <c r="J715" t="n">
        <v>0</v>
      </c>
      <c r="K715" t="n">
        <v>0</v>
      </c>
      <c r="L715" t="n">
        <v>0</v>
      </c>
      <c r="M715" t="n">
        <v>0</v>
      </c>
      <c r="N715" t="n">
        <v>0</v>
      </c>
      <c r="O715" t="n">
        <v>0</v>
      </c>
      <c r="P715" t="n">
        <v>0</v>
      </c>
      <c r="Q715" t="n">
        <v>0</v>
      </c>
      <c r="R715" s="2" t="inlineStr"/>
    </row>
    <row r="716" ht="15" customHeight="1">
      <c r="A716" t="inlineStr">
        <is>
          <t>A 27201-2026</t>
        </is>
      </c>
      <c r="B716" s="1" t="n">
        <v>46188</v>
      </c>
      <c r="C716" s="1" t="n">
        <v>46201</v>
      </c>
      <c r="D716" t="inlineStr">
        <is>
          <t>DALARNAS LÄN</t>
        </is>
      </c>
      <c r="E716" t="inlineStr">
        <is>
          <t>LEKSAND</t>
        </is>
      </c>
      <c r="G716" t="n">
        <v>3.7</v>
      </c>
      <c r="H716" t="n">
        <v>0</v>
      </c>
      <c r="I716" t="n">
        <v>0</v>
      </c>
      <c r="J716" t="n">
        <v>0</v>
      </c>
      <c r="K716" t="n">
        <v>0</v>
      </c>
      <c r="L716" t="n">
        <v>0</v>
      </c>
      <c r="M716" t="n">
        <v>0</v>
      </c>
      <c r="N716" t="n">
        <v>0</v>
      </c>
      <c r="O716" t="n">
        <v>0</v>
      </c>
      <c r="P716" t="n">
        <v>0</v>
      </c>
      <c r="Q716" t="n">
        <v>0</v>
      </c>
      <c r="R716" s="2" t="inlineStr"/>
    </row>
    <row r="717" ht="15" customHeight="1">
      <c r="A717" t="inlineStr">
        <is>
          <t>A 21177-2026</t>
        </is>
      </c>
      <c r="B717" s="1" t="n">
        <v>46146</v>
      </c>
      <c r="C717" s="1" t="n">
        <v>46201</v>
      </c>
      <c r="D717" t="inlineStr">
        <is>
          <t>DALARNAS LÄN</t>
        </is>
      </c>
      <c r="E717" t="inlineStr">
        <is>
          <t>LEKSAND</t>
        </is>
      </c>
      <c r="G717" t="n">
        <v>1.8</v>
      </c>
      <c r="H717" t="n">
        <v>0</v>
      </c>
      <c r="I717" t="n">
        <v>0</v>
      </c>
      <c r="J717" t="n">
        <v>0</v>
      </c>
      <c r="K717" t="n">
        <v>0</v>
      </c>
      <c r="L717" t="n">
        <v>0</v>
      </c>
      <c r="M717" t="n">
        <v>0</v>
      </c>
      <c r="N717" t="n">
        <v>0</v>
      </c>
      <c r="O717" t="n">
        <v>0</v>
      </c>
      <c r="P717" t="n">
        <v>0</v>
      </c>
      <c r="Q717" t="n">
        <v>0</v>
      </c>
      <c r="R717" s="2" t="inlineStr"/>
    </row>
    <row r="718" ht="15" customHeight="1">
      <c r="A718" t="inlineStr">
        <is>
          <t>A 21250-2026</t>
        </is>
      </c>
      <c r="B718" s="1" t="n">
        <v>46147</v>
      </c>
      <c r="C718" s="1" t="n">
        <v>46201</v>
      </c>
      <c r="D718" t="inlineStr">
        <is>
          <t>DALARNAS LÄN</t>
        </is>
      </c>
      <c r="E718" t="inlineStr">
        <is>
          <t>LEKSAND</t>
        </is>
      </c>
      <c r="G718" t="n">
        <v>0.6</v>
      </c>
      <c r="H718" t="n">
        <v>0</v>
      </c>
      <c r="I718" t="n">
        <v>0</v>
      </c>
      <c r="J718" t="n">
        <v>0</v>
      </c>
      <c r="K718" t="n">
        <v>0</v>
      </c>
      <c r="L718" t="n">
        <v>0</v>
      </c>
      <c r="M718" t="n">
        <v>0</v>
      </c>
      <c r="N718" t="n">
        <v>0</v>
      </c>
      <c r="O718" t="n">
        <v>0</v>
      </c>
      <c r="P718" t="n">
        <v>0</v>
      </c>
      <c r="Q718" t="n">
        <v>0</v>
      </c>
      <c r="R718" s="2" t="inlineStr"/>
    </row>
    <row r="719" ht="15" customHeight="1">
      <c r="A719" t="inlineStr">
        <is>
          <t>A 27848-2026</t>
        </is>
      </c>
      <c r="B719" s="1" t="n">
        <v>46191</v>
      </c>
      <c r="C719" s="1" t="n">
        <v>46201</v>
      </c>
      <c r="D719" t="inlineStr">
        <is>
          <t>DALARNAS LÄN</t>
        </is>
      </c>
      <c r="E719" t="inlineStr">
        <is>
          <t>LEKSAND</t>
        </is>
      </c>
      <c r="G719" t="n">
        <v>1.3</v>
      </c>
      <c r="H719" t="n">
        <v>0</v>
      </c>
      <c r="I719" t="n">
        <v>0</v>
      </c>
      <c r="J719" t="n">
        <v>0</v>
      </c>
      <c r="K719" t="n">
        <v>0</v>
      </c>
      <c r="L719" t="n">
        <v>0</v>
      </c>
      <c r="M719" t="n">
        <v>0</v>
      </c>
      <c r="N719" t="n">
        <v>0</v>
      </c>
      <c r="O719" t="n">
        <v>0</v>
      </c>
      <c r="P719" t="n">
        <v>0</v>
      </c>
      <c r="Q719" t="n">
        <v>0</v>
      </c>
      <c r="R719" s="2" t="inlineStr"/>
    </row>
    <row r="720" ht="15" customHeight="1">
      <c r="A720" t="inlineStr">
        <is>
          <t>A 21563-2026</t>
        </is>
      </c>
      <c r="B720" s="1" t="n">
        <v>46148</v>
      </c>
      <c r="C720" s="1" t="n">
        <v>46201</v>
      </c>
      <c r="D720" t="inlineStr">
        <is>
          <t>DALARNAS LÄN</t>
        </is>
      </c>
      <c r="E720" t="inlineStr">
        <is>
          <t>LEKSAND</t>
        </is>
      </c>
      <c r="F720" t="inlineStr">
        <is>
          <t>Bergvik skog väst AB</t>
        </is>
      </c>
      <c r="G720" t="n">
        <v>3.2</v>
      </c>
      <c r="H720" t="n">
        <v>0</v>
      </c>
      <c r="I720" t="n">
        <v>0</v>
      </c>
      <c r="J720" t="n">
        <v>0</v>
      </c>
      <c r="K720" t="n">
        <v>0</v>
      </c>
      <c r="L720" t="n">
        <v>0</v>
      </c>
      <c r="M720" t="n">
        <v>0</v>
      </c>
      <c r="N720" t="n">
        <v>0</v>
      </c>
      <c r="O720" t="n">
        <v>0</v>
      </c>
      <c r="P720" t="n">
        <v>0</v>
      </c>
      <c r="Q720" t="n">
        <v>0</v>
      </c>
      <c r="R720" s="2" t="inlineStr"/>
    </row>
    <row r="721" ht="15" customHeight="1">
      <c r="A721" t="inlineStr">
        <is>
          <t>A 27875-2026</t>
        </is>
      </c>
      <c r="B721" s="1" t="n">
        <v>46191</v>
      </c>
      <c r="C721" s="1" t="n">
        <v>46201</v>
      </c>
      <c r="D721" t="inlineStr">
        <is>
          <t>DALARNAS LÄN</t>
        </is>
      </c>
      <c r="E721" t="inlineStr">
        <is>
          <t>LEKSAND</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21751-2026</t>
        </is>
      </c>
      <c r="B722" s="1" t="n">
        <v>46149</v>
      </c>
      <c r="C722" s="1" t="n">
        <v>46201</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17357-2026</t>
        </is>
      </c>
      <c r="B723" s="1" t="n">
        <v>46119</v>
      </c>
      <c r="C723" s="1" t="n">
        <v>46201</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21627-2026</t>
        </is>
      </c>
      <c r="B724" s="1" t="n">
        <v>46149</v>
      </c>
      <c r="C724" s="1" t="n">
        <v>46201</v>
      </c>
      <c r="D724" t="inlineStr">
        <is>
          <t>DALARNAS LÄN</t>
        </is>
      </c>
      <c r="E724" t="inlineStr">
        <is>
          <t>LEKSAND</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21544-2026</t>
        </is>
      </c>
      <c r="B725" s="1" t="n">
        <v>46148</v>
      </c>
      <c r="C725" s="1" t="n">
        <v>46201</v>
      </c>
      <c r="D725" t="inlineStr">
        <is>
          <t>DALARNAS LÄN</t>
        </is>
      </c>
      <c r="E725" t="inlineStr">
        <is>
          <t>LEKSAND</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27691-2026</t>
        </is>
      </c>
      <c r="B726" s="1" t="n">
        <v>46190</v>
      </c>
      <c r="C726" s="1" t="n">
        <v>46201</v>
      </c>
      <c r="D726" t="inlineStr">
        <is>
          <t>DALARNAS LÄN</t>
        </is>
      </c>
      <c r="E726" t="inlineStr">
        <is>
          <t>LEKSAND</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27859-2026</t>
        </is>
      </c>
      <c r="B727" s="1" t="n">
        <v>46191</v>
      </c>
      <c r="C727" s="1" t="n">
        <v>46201</v>
      </c>
      <c r="D727" t="inlineStr">
        <is>
          <t>DALARNAS LÄN</t>
        </is>
      </c>
      <c r="E727" t="inlineStr">
        <is>
          <t>LEKSAND</t>
        </is>
      </c>
      <c r="G727" t="n">
        <v>2.3</v>
      </c>
      <c r="H727" t="n">
        <v>0</v>
      </c>
      <c r="I727" t="n">
        <v>0</v>
      </c>
      <c r="J727" t="n">
        <v>0</v>
      </c>
      <c r="K727" t="n">
        <v>0</v>
      </c>
      <c r="L727" t="n">
        <v>0</v>
      </c>
      <c r="M727" t="n">
        <v>0</v>
      </c>
      <c r="N727" t="n">
        <v>0</v>
      </c>
      <c r="O727" t="n">
        <v>0</v>
      </c>
      <c r="P727" t="n">
        <v>0</v>
      </c>
      <c r="Q727" t="n">
        <v>0</v>
      </c>
      <c r="R727" s="2" t="inlineStr"/>
    </row>
    <row r="728" ht="15" customHeight="1">
      <c r="A728" t="inlineStr">
        <is>
          <t>A 21754-2026</t>
        </is>
      </c>
      <c r="B728" s="1" t="n">
        <v>46149</v>
      </c>
      <c r="C728" s="1" t="n">
        <v>46201</v>
      </c>
      <c r="D728" t="inlineStr">
        <is>
          <t>DALARNAS LÄN</t>
        </is>
      </c>
      <c r="E728" t="inlineStr">
        <is>
          <t>LEKSAND</t>
        </is>
      </c>
      <c r="F728" t="inlineStr">
        <is>
          <t>Bergvik skog väst AB</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37508-2025</t>
        </is>
      </c>
      <c r="B729" s="1" t="n">
        <v>45877</v>
      </c>
      <c r="C729" s="1" t="n">
        <v>46201</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22202-2026</t>
        </is>
      </c>
      <c r="B730" s="1" t="n">
        <v>46153</v>
      </c>
      <c r="C730" s="1" t="n">
        <v>46201</v>
      </c>
      <c r="D730" t="inlineStr">
        <is>
          <t>DALARNAS LÄN</t>
        </is>
      </c>
      <c r="E730" t="inlineStr">
        <is>
          <t>LEKSAND</t>
        </is>
      </c>
      <c r="F730" t="inlineStr">
        <is>
          <t>Bergvik skog väst AB</t>
        </is>
      </c>
      <c r="G730" t="n">
        <v>7</v>
      </c>
      <c r="H730" t="n">
        <v>0</v>
      </c>
      <c r="I730" t="n">
        <v>0</v>
      </c>
      <c r="J730" t="n">
        <v>0</v>
      </c>
      <c r="K730" t="n">
        <v>0</v>
      </c>
      <c r="L730" t="n">
        <v>0</v>
      </c>
      <c r="M730" t="n">
        <v>0</v>
      </c>
      <c r="N730" t="n">
        <v>0</v>
      </c>
      <c r="O730" t="n">
        <v>0</v>
      </c>
      <c r="P730" t="n">
        <v>0</v>
      </c>
      <c r="Q730" t="n">
        <v>0</v>
      </c>
      <c r="R730" s="2" t="inlineStr"/>
    </row>
    <row r="731" ht="15" customHeight="1">
      <c r="A731" t="inlineStr">
        <is>
          <t>A 2853-2026</t>
        </is>
      </c>
      <c r="B731" s="1" t="n">
        <v>46038</v>
      </c>
      <c r="C731" s="1" t="n">
        <v>46201</v>
      </c>
      <c r="D731" t="inlineStr">
        <is>
          <t>DALARNAS LÄN</t>
        </is>
      </c>
      <c r="E731" t="inlineStr">
        <is>
          <t>LEKSAND</t>
        </is>
      </c>
      <c r="G731" t="n">
        <v>1.4</v>
      </c>
      <c r="H731" t="n">
        <v>0</v>
      </c>
      <c r="I731" t="n">
        <v>0</v>
      </c>
      <c r="J731" t="n">
        <v>0</v>
      </c>
      <c r="K731" t="n">
        <v>0</v>
      </c>
      <c r="L731" t="n">
        <v>0</v>
      </c>
      <c r="M731" t="n">
        <v>0</v>
      </c>
      <c r="N731" t="n">
        <v>0</v>
      </c>
      <c r="O731" t="n">
        <v>0</v>
      </c>
      <c r="P731" t="n">
        <v>0</v>
      </c>
      <c r="Q731" t="n">
        <v>0</v>
      </c>
      <c r="R731" s="2" t="inlineStr"/>
    </row>
    <row r="732" ht="15" customHeight="1">
      <c r="A732" t="inlineStr">
        <is>
          <t>A 32666-2023</t>
        </is>
      </c>
      <c r="B732" s="1" t="n">
        <v>45121</v>
      </c>
      <c r="C732" s="1" t="n">
        <v>46201</v>
      </c>
      <c r="D732" t="inlineStr">
        <is>
          <t>DALARNAS LÄN</t>
        </is>
      </c>
      <c r="E732" t="inlineStr">
        <is>
          <t>LEKSAND</t>
        </is>
      </c>
      <c r="G732" t="n">
        <v>9.9</v>
      </c>
      <c r="H732" t="n">
        <v>0</v>
      </c>
      <c r="I732" t="n">
        <v>0</v>
      </c>
      <c r="J732" t="n">
        <v>0</v>
      </c>
      <c r="K732" t="n">
        <v>0</v>
      </c>
      <c r="L732" t="n">
        <v>0</v>
      </c>
      <c r="M732" t="n">
        <v>0</v>
      </c>
      <c r="N732" t="n">
        <v>0</v>
      </c>
      <c r="O732" t="n">
        <v>0</v>
      </c>
      <c r="P732" t="n">
        <v>0</v>
      </c>
      <c r="Q732" t="n">
        <v>0</v>
      </c>
      <c r="R732" s="2" t="inlineStr"/>
    </row>
    <row r="733" ht="15" customHeight="1">
      <c r="A733" t="inlineStr">
        <is>
          <t>A 12988-2026</t>
        </is>
      </c>
      <c r="B733" s="1" t="n">
        <v>46092</v>
      </c>
      <c r="C733" s="1" t="n">
        <v>46201</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22105-2026</t>
        </is>
      </c>
      <c r="B734" s="1" t="n">
        <v>46153</v>
      </c>
      <c r="C734" s="1" t="n">
        <v>46201</v>
      </c>
      <c r="D734" t="inlineStr">
        <is>
          <t>DALARNAS LÄN</t>
        </is>
      </c>
      <c r="E734" t="inlineStr">
        <is>
          <t>LEKSAND</t>
        </is>
      </c>
      <c r="F734" t="inlineStr">
        <is>
          <t>Bergvik skog väst AB</t>
        </is>
      </c>
      <c r="G734" t="n">
        <v>1.9</v>
      </c>
      <c r="H734" t="n">
        <v>0</v>
      </c>
      <c r="I734" t="n">
        <v>0</v>
      </c>
      <c r="J734" t="n">
        <v>0</v>
      </c>
      <c r="K734" t="n">
        <v>0</v>
      </c>
      <c r="L734" t="n">
        <v>0</v>
      </c>
      <c r="M734" t="n">
        <v>0</v>
      </c>
      <c r="N734" t="n">
        <v>0</v>
      </c>
      <c r="O734" t="n">
        <v>0</v>
      </c>
      <c r="P734" t="n">
        <v>0</v>
      </c>
      <c r="Q734" t="n">
        <v>0</v>
      </c>
      <c r="R734" s="2" t="inlineStr"/>
    </row>
    <row r="735" ht="15" customHeight="1">
      <c r="A735" t="inlineStr">
        <is>
          <t>A 21856-2026</t>
        </is>
      </c>
      <c r="B735" s="1" t="n">
        <v>46150</v>
      </c>
      <c r="C735" s="1" t="n">
        <v>46201</v>
      </c>
      <c r="D735" t="inlineStr">
        <is>
          <t>DALARNAS LÄN</t>
        </is>
      </c>
      <c r="E735" t="inlineStr">
        <is>
          <t>LEKSAND</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22418-2026</t>
        </is>
      </c>
      <c r="B736" s="1" t="n">
        <v>46154</v>
      </c>
      <c r="C736" s="1" t="n">
        <v>46201</v>
      </c>
      <c r="D736" t="inlineStr">
        <is>
          <t>DALARNAS LÄN</t>
        </is>
      </c>
      <c r="E736" t="inlineStr">
        <is>
          <t>LEKSAND</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22539-2026</t>
        </is>
      </c>
      <c r="B737" s="1" t="n">
        <v>46155</v>
      </c>
      <c r="C737" s="1" t="n">
        <v>46201</v>
      </c>
      <c r="D737" t="inlineStr">
        <is>
          <t>DALARNAS LÄN</t>
        </is>
      </c>
      <c r="E737" t="inlineStr">
        <is>
          <t>LEKSAND</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32104-2025</t>
        </is>
      </c>
      <c r="B738" s="1" t="n">
        <v>45835</v>
      </c>
      <c r="C738" s="1" t="n">
        <v>46201</v>
      </c>
      <c r="D738" t="inlineStr">
        <is>
          <t>DALARNAS LÄN</t>
        </is>
      </c>
      <c r="E738" t="inlineStr">
        <is>
          <t>LEKSAND</t>
        </is>
      </c>
      <c r="G738" t="n">
        <v>3.1</v>
      </c>
      <c r="H738" t="n">
        <v>0</v>
      </c>
      <c r="I738" t="n">
        <v>0</v>
      </c>
      <c r="J738" t="n">
        <v>0</v>
      </c>
      <c r="K738" t="n">
        <v>0</v>
      </c>
      <c r="L738" t="n">
        <v>0</v>
      </c>
      <c r="M738" t="n">
        <v>0</v>
      </c>
      <c r="N738" t="n">
        <v>0</v>
      </c>
      <c r="O738" t="n">
        <v>0</v>
      </c>
      <c r="P738" t="n">
        <v>0</v>
      </c>
      <c r="Q738" t="n">
        <v>0</v>
      </c>
      <c r="R738" s="2" t="inlineStr"/>
    </row>
    <row r="739" ht="15" customHeight="1">
      <c r="A739" t="inlineStr">
        <is>
          <t>A 40517-2025</t>
        </is>
      </c>
      <c r="B739" s="1" t="n">
        <v>45896</v>
      </c>
      <c r="C739" s="1" t="n">
        <v>46201</v>
      </c>
      <c r="D739" t="inlineStr">
        <is>
          <t>DALARNAS LÄN</t>
        </is>
      </c>
      <c r="E739" t="inlineStr">
        <is>
          <t>LEKSAND</t>
        </is>
      </c>
      <c r="G739" t="n">
        <v>1.6</v>
      </c>
      <c r="H739" t="n">
        <v>0</v>
      </c>
      <c r="I739" t="n">
        <v>0</v>
      </c>
      <c r="J739" t="n">
        <v>0</v>
      </c>
      <c r="K739" t="n">
        <v>0</v>
      </c>
      <c r="L739" t="n">
        <v>0</v>
      </c>
      <c r="M739" t="n">
        <v>0</v>
      </c>
      <c r="N739" t="n">
        <v>0</v>
      </c>
      <c r="O739" t="n">
        <v>0</v>
      </c>
      <c r="P739" t="n">
        <v>0</v>
      </c>
      <c r="Q739" t="n">
        <v>0</v>
      </c>
      <c r="R739" s="2" t="inlineStr"/>
    </row>
    <row r="740" ht="15" customHeight="1">
      <c r="A740" t="inlineStr">
        <is>
          <t>A 22582-2026</t>
        </is>
      </c>
      <c r="B740" s="1" t="n">
        <v>46155</v>
      </c>
      <c r="C740" s="1" t="n">
        <v>46201</v>
      </c>
      <c r="D740" t="inlineStr">
        <is>
          <t>DALARNAS LÄN</t>
        </is>
      </c>
      <c r="E740" t="inlineStr">
        <is>
          <t>LEKSAND</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22659-2026</t>
        </is>
      </c>
      <c r="B741" s="1" t="n">
        <v>46155</v>
      </c>
      <c r="C741" s="1" t="n">
        <v>46201</v>
      </c>
      <c r="D741" t="inlineStr">
        <is>
          <t>DALARNAS LÄN</t>
        </is>
      </c>
      <c r="E741" t="inlineStr">
        <is>
          <t>LEKSAND</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28534-2026</t>
        </is>
      </c>
      <c r="B742" s="1" t="n">
        <v>46197</v>
      </c>
      <c r="C742" s="1" t="n">
        <v>46201</v>
      </c>
      <c r="D742" t="inlineStr">
        <is>
          <t>DALARNAS LÄN</t>
        </is>
      </c>
      <c r="E742" t="inlineStr">
        <is>
          <t>LEKSAND</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3728-2026</t>
        </is>
      </c>
      <c r="B743" s="1" t="n">
        <v>46043</v>
      </c>
      <c r="C743" s="1" t="n">
        <v>46201</v>
      </c>
      <c r="D743" t="inlineStr">
        <is>
          <t>DALARNAS LÄN</t>
        </is>
      </c>
      <c r="E743" t="inlineStr">
        <is>
          <t>LEKSAND</t>
        </is>
      </c>
      <c r="G743" t="n">
        <v>7</v>
      </c>
      <c r="H743" t="n">
        <v>0</v>
      </c>
      <c r="I743" t="n">
        <v>0</v>
      </c>
      <c r="J743" t="n">
        <v>0</v>
      </c>
      <c r="K743" t="n">
        <v>0</v>
      </c>
      <c r="L743" t="n">
        <v>0</v>
      </c>
      <c r="M743" t="n">
        <v>0</v>
      </c>
      <c r="N743" t="n">
        <v>0</v>
      </c>
      <c r="O743" t="n">
        <v>0</v>
      </c>
      <c r="P743" t="n">
        <v>0</v>
      </c>
      <c r="Q743" t="n">
        <v>0</v>
      </c>
      <c r="R743" s="2" t="inlineStr"/>
    </row>
    <row r="744" ht="15" customHeight="1">
      <c r="A744" t="inlineStr">
        <is>
          <t>A 22344-2026</t>
        </is>
      </c>
      <c r="B744" s="1" t="n">
        <v>46154</v>
      </c>
      <c r="C744" s="1" t="n">
        <v>46201</v>
      </c>
      <c r="D744" t="inlineStr">
        <is>
          <t>DALARNAS LÄN</t>
        </is>
      </c>
      <c r="E744" t="inlineStr">
        <is>
          <t>LEKSAND</t>
        </is>
      </c>
      <c r="F744" t="inlineStr">
        <is>
          <t>Bergvik skog väst AB</t>
        </is>
      </c>
      <c r="G744" t="n">
        <v>6.3</v>
      </c>
      <c r="H744" t="n">
        <v>0</v>
      </c>
      <c r="I744" t="n">
        <v>0</v>
      </c>
      <c r="J744" t="n">
        <v>0</v>
      </c>
      <c r="K744" t="n">
        <v>0</v>
      </c>
      <c r="L744" t="n">
        <v>0</v>
      </c>
      <c r="M744" t="n">
        <v>0</v>
      </c>
      <c r="N744" t="n">
        <v>0</v>
      </c>
      <c r="O744" t="n">
        <v>0</v>
      </c>
      <c r="P744" t="n">
        <v>0</v>
      </c>
      <c r="Q744" t="n">
        <v>0</v>
      </c>
      <c r="R744" s="2" t="inlineStr"/>
    </row>
    <row r="745" ht="15" customHeight="1">
      <c r="A745" t="inlineStr">
        <is>
          <t>A 28492-2026</t>
        </is>
      </c>
      <c r="B745" s="1" t="n">
        <v>46197</v>
      </c>
      <c r="C745" s="1" t="n">
        <v>46201</v>
      </c>
      <c r="D745" t="inlineStr">
        <is>
          <t>DALARNAS LÄN</t>
        </is>
      </c>
      <c r="E745" t="inlineStr">
        <is>
          <t>LEKSAND</t>
        </is>
      </c>
      <c r="F745" t="inlineStr">
        <is>
          <t>Bergvik skog väst AB</t>
        </is>
      </c>
      <c r="G745" t="n">
        <v>11.3</v>
      </c>
      <c r="H745" t="n">
        <v>0</v>
      </c>
      <c r="I745" t="n">
        <v>0</v>
      </c>
      <c r="J745" t="n">
        <v>0</v>
      </c>
      <c r="K745" t="n">
        <v>0</v>
      </c>
      <c r="L745" t="n">
        <v>0</v>
      </c>
      <c r="M745" t="n">
        <v>0</v>
      </c>
      <c r="N745" t="n">
        <v>0</v>
      </c>
      <c r="O745" t="n">
        <v>0</v>
      </c>
      <c r="P745" t="n">
        <v>0</v>
      </c>
      <c r="Q745" t="n">
        <v>0</v>
      </c>
      <c r="R745" s="2" t="inlineStr"/>
    </row>
    <row r="746" ht="15" customHeight="1">
      <c r="A746" t="inlineStr">
        <is>
          <t>A 28561-2026</t>
        </is>
      </c>
      <c r="B746" s="1" t="n">
        <v>46197</v>
      </c>
      <c r="C746" s="1" t="n">
        <v>46201</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6038-2026</t>
        </is>
      </c>
      <c r="B747" s="1" t="n">
        <v>46052</v>
      </c>
      <c r="C747" s="1" t="n">
        <v>46201</v>
      </c>
      <c r="D747" t="inlineStr">
        <is>
          <t>DALARNAS LÄN</t>
        </is>
      </c>
      <c r="E747" t="inlineStr">
        <is>
          <t>LEKSAND</t>
        </is>
      </c>
      <c r="G747" t="n">
        <v>5.1</v>
      </c>
      <c r="H747" t="n">
        <v>0</v>
      </c>
      <c r="I747" t="n">
        <v>0</v>
      </c>
      <c r="J747" t="n">
        <v>0</v>
      </c>
      <c r="K747" t="n">
        <v>0</v>
      </c>
      <c r="L747" t="n">
        <v>0</v>
      </c>
      <c r="M747" t="n">
        <v>0</v>
      </c>
      <c r="N747" t="n">
        <v>0</v>
      </c>
      <c r="O747" t="n">
        <v>0</v>
      </c>
      <c r="P747" t="n">
        <v>0</v>
      </c>
      <c r="Q747" t="n">
        <v>0</v>
      </c>
      <c r="R747" s="2" t="inlineStr"/>
    </row>
    <row r="748" ht="15" customHeight="1">
      <c r="A748" t="inlineStr">
        <is>
          <t>A 60170-2025</t>
        </is>
      </c>
      <c r="B748" s="1" t="n">
        <v>45994</v>
      </c>
      <c r="C748" s="1" t="n">
        <v>46201</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4184-2026</t>
        </is>
      </c>
      <c r="B749" s="1" t="n">
        <v>46044</v>
      </c>
      <c r="C749" s="1" t="n">
        <v>46201</v>
      </c>
      <c r="D749" t="inlineStr">
        <is>
          <t>DALARNAS LÄN</t>
        </is>
      </c>
      <c r="E749" t="inlineStr">
        <is>
          <t>LEKSAND</t>
        </is>
      </c>
      <c r="G749" t="n">
        <v>6</v>
      </c>
      <c r="H749" t="n">
        <v>0</v>
      </c>
      <c r="I749" t="n">
        <v>0</v>
      </c>
      <c r="J749" t="n">
        <v>0</v>
      </c>
      <c r="K749" t="n">
        <v>0</v>
      </c>
      <c r="L749" t="n">
        <v>0</v>
      </c>
      <c r="M749" t="n">
        <v>0</v>
      </c>
      <c r="N749" t="n">
        <v>0</v>
      </c>
      <c r="O749" t="n">
        <v>0</v>
      </c>
      <c r="P749" t="n">
        <v>0</v>
      </c>
      <c r="Q749" t="n">
        <v>0</v>
      </c>
      <c r="R749" s="2" t="inlineStr"/>
    </row>
    <row r="750" ht="15" customHeight="1">
      <c r="A750" t="inlineStr">
        <is>
          <t>A 22313-2026</t>
        </is>
      </c>
      <c r="B750" s="1" t="n">
        <v>46154</v>
      </c>
      <c r="C750" s="1" t="n">
        <v>46201</v>
      </c>
      <c r="D750" t="inlineStr">
        <is>
          <t>DALARNAS LÄN</t>
        </is>
      </c>
      <c r="E750" t="inlineStr">
        <is>
          <t>LEKSAND</t>
        </is>
      </c>
      <c r="F750" t="inlineStr">
        <is>
          <t>Bergvik skog väst AB</t>
        </is>
      </c>
      <c r="G750" t="n">
        <v>1.2</v>
      </c>
      <c r="H750" t="n">
        <v>0</v>
      </c>
      <c r="I750" t="n">
        <v>0</v>
      </c>
      <c r="J750" t="n">
        <v>0</v>
      </c>
      <c r="K750" t="n">
        <v>0</v>
      </c>
      <c r="L750" t="n">
        <v>0</v>
      </c>
      <c r="M750" t="n">
        <v>0</v>
      </c>
      <c r="N750" t="n">
        <v>0</v>
      </c>
      <c r="O750" t="n">
        <v>0</v>
      </c>
      <c r="P750" t="n">
        <v>0</v>
      </c>
      <c r="Q750" t="n">
        <v>0</v>
      </c>
      <c r="R750" s="2" t="inlineStr"/>
    </row>
    <row r="751" ht="15" customHeight="1">
      <c r="A751" t="inlineStr">
        <is>
          <t>A 28247-2026</t>
        </is>
      </c>
      <c r="B751" s="1" t="n">
        <v>46196</v>
      </c>
      <c r="C751" s="1" t="n">
        <v>46201</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23916-2026</t>
        </is>
      </c>
      <c r="B752" s="1" t="n">
        <v>46167</v>
      </c>
      <c r="C752" s="1" t="n">
        <v>46201</v>
      </c>
      <c r="D752" t="inlineStr">
        <is>
          <t>DALARNAS LÄN</t>
        </is>
      </c>
      <c r="E752" t="inlineStr">
        <is>
          <t>LEKSAND</t>
        </is>
      </c>
      <c r="F752" t="inlineStr">
        <is>
          <t>Bergvik skog väst AB</t>
        </is>
      </c>
      <c r="G752" t="n">
        <v>6.4</v>
      </c>
      <c r="H752" t="n">
        <v>0</v>
      </c>
      <c r="I752" t="n">
        <v>0</v>
      </c>
      <c r="J752" t="n">
        <v>0</v>
      </c>
      <c r="K752" t="n">
        <v>0</v>
      </c>
      <c r="L752" t="n">
        <v>0</v>
      </c>
      <c r="M752" t="n">
        <v>0</v>
      </c>
      <c r="N752" t="n">
        <v>0</v>
      </c>
      <c r="O752" t="n">
        <v>0</v>
      </c>
      <c r="P752" t="n">
        <v>0</v>
      </c>
      <c r="Q752" t="n">
        <v>0</v>
      </c>
      <c r="R752" s="2" t="inlineStr"/>
    </row>
    <row r="753" ht="15" customHeight="1">
      <c r="A753" t="inlineStr">
        <is>
          <t>A 22699-2026</t>
        </is>
      </c>
      <c r="B753" s="1" t="n">
        <v>46156</v>
      </c>
      <c r="C753" s="1" t="n">
        <v>46201</v>
      </c>
      <c r="D753" t="inlineStr">
        <is>
          <t>DALARNAS LÄN</t>
        </is>
      </c>
      <c r="E753" t="inlineStr">
        <is>
          <t>LEKSAND</t>
        </is>
      </c>
      <c r="G753" t="n">
        <v>4</v>
      </c>
      <c r="H753" t="n">
        <v>0</v>
      </c>
      <c r="I753" t="n">
        <v>0</v>
      </c>
      <c r="J753" t="n">
        <v>0</v>
      </c>
      <c r="K753" t="n">
        <v>0</v>
      </c>
      <c r="L753" t="n">
        <v>0</v>
      </c>
      <c r="M753" t="n">
        <v>0</v>
      </c>
      <c r="N753" t="n">
        <v>0</v>
      </c>
      <c r="O753" t="n">
        <v>0</v>
      </c>
      <c r="P753" t="n">
        <v>0</v>
      </c>
      <c r="Q753" t="n">
        <v>0</v>
      </c>
      <c r="R753" s="2" t="inlineStr"/>
    </row>
    <row r="754">
      <c r="A754" t="inlineStr">
        <is>
          <t>A 22702-2026</t>
        </is>
      </c>
      <c r="B754" s="1" t="n">
        <v>46156</v>
      </c>
      <c r="C754" s="1" t="n">
        <v>46201</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2026-06-28T00:55:40Z</dcterms:created>
  <dcterms:modified xmlns:dcterms="http://purl.org/dc/terms/" xmlns:xsi="http://www.w3.org/2001/XMLSchema-instance" xsi:type="dcterms:W3CDTF">2026-06-28T00:55:41Z</dcterms:modified>
</cp:coreProperties>
</file>