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46204</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46204</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46204</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46204</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46204</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46204</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46204</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46204</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46204</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46204</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46204</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46204</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46204</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46204</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46204</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46204</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46204</v>
      </c>
      <c r="D18" t="inlineStr">
        <is>
          <t>DALARNAS LÄN</t>
        </is>
      </c>
      <c r="E18" t="inlineStr">
        <is>
          <t>LEKSAND</t>
        </is>
      </c>
      <c r="G18" t="n">
        <v>1.4</v>
      </c>
      <c r="H18" t="n">
        <v>5</v>
      </c>
      <c r="I18" t="n">
        <v>1</v>
      </c>
      <c r="J18" t="n">
        <v>0</v>
      </c>
      <c r="K18" t="n">
        <v>1</v>
      </c>
      <c r="L18" t="n">
        <v>0</v>
      </c>
      <c r="M18" t="n">
        <v>0</v>
      </c>
      <c r="N18" t="n">
        <v>0</v>
      </c>
      <c r="O18" t="n">
        <v>1</v>
      </c>
      <c r="P18" t="n">
        <v>1</v>
      </c>
      <c r="Q18" t="n">
        <v>6</v>
      </c>
      <c r="R18" s="2" t="inlineStr">
        <is>
          <t>Knärot
Bronshjon
Järpe
Spillkråka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v>
      </c>
      <c r="C19" s="1" t="n">
        <v>46204</v>
      </c>
      <c r="D19" t="inlineStr">
        <is>
          <t>DALARNAS LÄN</t>
        </is>
      </c>
      <c r="E19" t="inlineStr">
        <is>
          <t>LEKSAND</t>
        </is>
      </c>
      <c r="G19" t="n">
        <v>2.5</v>
      </c>
      <c r="H19" t="n">
        <v>0</v>
      </c>
      <c r="I19" t="n">
        <v>1</v>
      </c>
      <c r="J19" t="n">
        <v>4</v>
      </c>
      <c r="K19" t="n">
        <v>1</v>
      </c>
      <c r="L19" t="n">
        <v>0</v>
      </c>
      <c r="M19" t="n">
        <v>0</v>
      </c>
      <c r="N19" t="n">
        <v>0</v>
      </c>
      <c r="O19" t="n">
        <v>5</v>
      </c>
      <c r="P19" t="n">
        <v>1</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40636-2025</t>
        </is>
      </c>
      <c r="B20" s="1" t="n">
        <v>45896</v>
      </c>
      <c r="C20" s="1" t="n">
        <v>46204</v>
      </c>
      <c r="D20" t="inlineStr">
        <is>
          <t>DALARNAS LÄN</t>
        </is>
      </c>
      <c r="E20" t="inlineStr">
        <is>
          <t>LEKSAND</t>
        </is>
      </c>
      <c r="F20" t="inlineStr">
        <is>
          <t>Bergvik skog väst AB</t>
        </is>
      </c>
      <c r="G20" t="n">
        <v>3.2</v>
      </c>
      <c r="H20" t="n">
        <v>2</v>
      </c>
      <c r="I20" t="n">
        <v>0</v>
      </c>
      <c r="J20" t="n">
        <v>4</v>
      </c>
      <c r="K20" t="n">
        <v>2</v>
      </c>
      <c r="L20" t="n">
        <v>0</v>
      </c>
      <c r="M20" t="n">
        <v>0</v>
      </c>
      <c r="N20" t="n">
        <v>0</v>
      </c>
      <c r="O20" t="n">
        <v>6</v>
      </c>
      <c r="P20" t="n">
        <v>2</v>
      </c>
      <c r="Q20" t="n">
        <v>6</v>
      </c>
      <c r="R20" s="2" t="inlineStr">
        <is>
          <t>Garnlav
Knärot
Dofttaggsvamp
Rynkskinn
Tretåig hackspett
Ullticka</t>
        </is>
      </c>
      <c r="S20">
        <f>HYPERLINK("https://klasma.github.io/Logging_2029/artfynd/A 40636-2025 artfynd.xlsx", "A 40636-2025")</f>
        <v/>
      </c>
      <c r="T20">
        <f>HYPERLINK("https://klasma.github.io/Logging_2029/kartor/A 40636-2025 karta.png", "A 40636-2025")</f>
        <v/>
      </c>
      <c r="U20">
        <f>HYPERLINK("https://klasma.github.io/Logging_2029/knärot/A 40636-2025 karta knärot.png", "A 40636-2025")</f>
        <v/>
      </c>
      <c r="V20">
        <f>HYPERLINK("https://klasma.github.io/Logging_2029/klagomål/A 40636-2025 FSC-klagomål.docx", "A 40636-2025")</f>
        <v/>
      </c>
      <c r="W20">
        <f>HYPERLINK("https://klasma.github.io/Logging_2029/klagomålsmail/A 40636-2025 FSC-klagomål mail.docx", "A 40636-2025")</f>
        <v/>
      </c>
      <c r="X20">
        <f>HYPERLINK("https://klasma.github.io/Logging_2029/tillsyn/A 40636-2025 tillsynsbegäran.docx", "A 40636-2025")</f>
        <v/>
      </c>
      <c r="Y20">
        <f>HYPERLINK("https://klasma.github.io/Logging_2029/tillsynsmail/A 40636-2025 tillsynsbegäran mail.docx", "A 40636-2025")</f>
        <v/>
      </c>
      <c r="Z20">
        <f>HYPERLINK("https://klasma.github.io/Logging_2029/fåglar/A 40636-2025 prioriterade fågelarter.docx", "A 40636-2025")</f>
        <v/>
      </c>
    </row>
    <row r="21" ht="15" customHeight="1">
      <c r="A21" t="inlineStr">
        <is>
          <t>A 5574-2024</t>
        </is>
      </c>
      <c r="B21" s="1" t="n">
        <v>45334</v>
      </c>
      <c r="C21" s="1" t="n">
        <v>46204</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31957-2025</t>
        </is>
      </c>
      <c r="B22" s="1" t="n">
        <v>45835</v>
      </c>
      <c r="C22" s="1" t="n">
        <v>46204</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59840-2024</t>
        </is>
      </c>
      <c r="B23" s="1" t="n">
        <v>45638</v>
      </c>
      <c r="C23" s="1" t="n">
        <v>46204</v>
      </c>
      <c r="D23" t="inlineStr">
        <is>
          <t>DALARNAS LÄN</t>
        </is>
      </c>
      <c r="E23" t="inlineStr">
        <is>
          <t>LEKSAND</t>
        </is>
      </c>
      <c r="G23" t="n">
        <v>0.6</v>
      </c>
      <c r="H23" t="n">
        <v>1</v>
      </c>
      <c r="I23" t="n">
        <v>1</v>
      </c>
      <c r="J23" t="n">
        <v>3</v>
      </c>
      <c r="K23" t="n">
        <v>0</v>
      </c>
      <c r="L23" t="n">
        <v>0</v>
      </c>
      <c r="M23" t="n">
        <v>0</v>
      </c>
      <c r="N23" t="n">
        <v>0</v>
      </c>
      <c r="O23" t="n">
        <v>3</v>
      </c>
      <c r="P23" t="n">
        <v>0</v>
      </c>
      <c r="Q23" t="n">
        <v>5</v>
      </c>
      <c r="R23" s="2" t="inlineStr">
        <is>
          <t>Rosenticka
Rynkskinn
Slåtterfibbla
Svart trolldruva
Blåsippa</t>
        </is>
      </c>
      <c r="S23">
        <f>HYPERLINK("https://klasma.github.io/Logging_2029/artfynd/A 59840-2024 artfynd.xlsx", "A 59840-2024")</f>
        <v/>
      </c>
      <c r="T23">
        <f>HYPERLINK("https://klasma.github.io/Logging_2029/kartor/A 59840-2024 karta.png", "A 59840-2024")</f>
        <v/>
      </c>
      <c r="V23">
        <f>HYPERLINK("https://klasma.github.io/Logging_2029/klagomål/A 59840-2024 FSC-klagomål.docx", "A 59840-2024")</f>
        <v/>
      </c>
      <c r="W23">
        <f>HYPERLINK("https://klasma.github.io/Logging_2029/klagomålsmail/A 59840-2024 FSC-klagomål mail.docx", "A 59840-2024")</f>
        <v/>
      </c>
      <c r="X23">
        <f>HYPERLINK("https://klasma.github.io/Logging_2029/tillsyn/A 59840-2024 tillsynsbegäran.docx", "A 59840-2024")</f>
        <v/>
      </c>
      <c r="Y23">
        <f>HYPERLINK("https://klasma.github.io/Logging_2029/tillsynsmail/A 59840-2024 tillsynsbegäran mail.docx", "A 59840-2024")</f>
        <v/>
      </c>
    </row>
    <row r="24" ht="15" customHeight="1">
      <c r="A24" t="inlineStr">
        <is>
          <t>A 55519-2021</t>
        </is>
      </c>
      <c r="B24" s="1" t="n">
        <v>44475</v>
      </c>
      <c r="C24" s="1" t="n">
        <v>46204</v>
      </c>
      <c r="D24" t="inlineStr">
        <is>
          <t>DALARNAS LÄN</t>
        </is>
      </c>
      <c r="E24" t="inlineStr">
        <is>
          <t>LEKSAND</t>
        </is>
      </c>
      <c r="G24" t="n">
        <v>1.8</v>
      </c>
      <c r="H24" t="n">
        <v>5</v>
      </c>
      <c r="I24" t="n">
        <v>2</v>
      </c>
      <c r="J24" t="n">
        <v>0</v>
      </c>
      <c r="K24" t="n">
        <v>0</v>
      </c>
      <c r="L24" t="n">
        <v>0</v>
      </c>
      <c r="M24" t="n">
        <v>0</v>
      </c>
      <c r="N24" t="n">
        <v>0</v>
      </c>
      <c r="O24" t="n">
        <v>0</v>
      </c>
      <c r="P24" t="n">
        <v>0</v>
      </c>
      <c r="Q24" t="n">
        <v>5</v>
      </c>
      <c r="R24" s="2" t="inlineStr">
        <is>
          <t>Korallrot
Spindelblomster
Mattlummer
Fläcknycklar
Revlummer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366-2026</t>
        </is>
      </c>
      <c r="B25" s="1" t="n">
        <v>46027</v>
      </c>
      <c r="C25" s="1" t="n">
        <v>46204</v>
      </c>
      <c r="D25" t="inlineStr">
        <is>
          <t>DALARNAS LÄN</t>
        </is>
      </c>
      <c r="E25" t="inlineStr">
        <is>
          <t>LEKSAND</t>
        </is>
      </c>
      <c r="G25" t="n">
        <v>21.7</v>
      </c>
      <c r="H25" t="n">
        <v>0</v>
      </c>
      <c r="I25" t="n">
        <v>1</v>
      </c>
      <c r="J25" t="n">
        <v>3</v>
      </c>
      <c r="K25" t="n">
        <v>1</v>
      </c>
      <c r="L25" t="n">
        <v>0</v>
      </c>
      <c r="M25" t="n">
        <v>0</v>
      </c>
      <c r="N25" t="n">
        <v>0</v>
      </c>
      <c r="O25" t="n">
        <v>4</v>
      </c>
      <c r="P25" t="n">
        <v>1</v>
      </c>
      <c r="Q25" t="n">
        <v>5</v>
      </c>
      <c r="R25" s="2" t="inlineStr">
        <is>
          <t>Garnlav
Rosenticka
Ullticka
Violettgrå tagellav
Vedticka</t>
        </is>
      </c>
      <c r="S25">
        <f>HYPERLINK("https://klasma.github.io/Logging_2029/artfynd/A 366-2026 artfynd.xlsx", "A 366-2026")</f>
        <v/>
      </c>
      <c r="T25">
        <f>HYPERLINK("https://klasma.github.io/Logging_2029/kartor/A 366-2026 karta.png", "A 366-2026")</f>
        <v/>
      </c>
      <c r="V25">
        <f>HYPERLINK("https://klasma.github.io/Logging_2029/klagomål/A 366-2026 FSC-klagomål.docx", "A 366-2026")</f>
        <v/>
      </c>
      <c r="W25">
        <f>HYPERLINK("https://klasma.github.io/Logging_2029/klagomålsmail/A 366-2026 FSC-klagomål mail.docx", "A 366-2026")</f>
        <v/>
      </c>
      <c r="X25">
        <f>HYPERLINK("https://klasma.github.io/Logging_2029/tillsyn/A 366-2026 tillsynsbegäran.docx", "A 366-2026")</f>
        <v/>
      </c>
      <c r="Y25">
        <f>HYPERLINK("https://klasma.github.io/Logging_2029/tillsynsmail/A 366-2026 tillsynsbegäran mail.docx", "A 366-2026")</f>
        <v/>
      </c>
    </row>
    <row r="26" ht="15" customHeight="1">
      <c r="A26" t="inlineStr">
        <is>
          <t>A 47601-2025</t>
        </is>
      </c>
      <c r="B26" s="1" t="n">
        <v>45931</v>
      </c>
      <c r="C26" s="1" t="n">
        <v>46204</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46204</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46204</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41528-2025</t>
        </is>
      </c>
      <c r="B29" s="1" t="n">
        <v>45901</v>
      </c>
      <c r="C29" s="1" t="n">
        <v>46204</v>
      </c>
      <c r="D29" t="inlineStr">
        <is>
          <t>DALARNAS LÄN</t>
        </is>
      </c>
      <c r="E29" t="inlineStr">
        <is>
          <t>LEKSAND</t>
        </is>
      </c>
      <c r="F29" t="inlineStr">
        <is>
          <t>Bergvik skog väst AB</t>
        </is>
      </c>
      <c r="G29" t="n">
        <v>2.7</v>
      </c>
      <c r="H29" t="n">
        <v>1</v>
      </c>
      <c r="I29" t="n">
        <v>1</v>
      </c>
      <c r="J29" t="n">
        <v>1</v>
      </c>
      <c r="K29" t="n">
        <v>1</v>
      </c>
      <c r="L29" t="n">
        <v>0</v>
      </c>
      <c r="M29" t="n">
        <v>0</v>
      </c>
      <c r="N29" t="n">
        <v>0</v>
      </c>
      <c r="O29" t="n">
        <v>2</v>
      </c>
      <c r="P29" t="n">
        <v>1</v>
      </c>
      <c r="Q29" t="n">
        <v>3</v>
      </c>
      <c r="R29" s="2" t="inlineStr">
        <is>
          <t>Garnlav
Tretåig hackspett
Mindre märgborre</t>
        </is>
      </c>
      <c r="S29">
        <f>HYPERLINK("https://klasma.github.io/Logging_2029/artfynd/A 41528-2025 artfynd.xlsx", "A 41528-2025")</f>
        <v/>
      </c>
      <c r="T29">
        <f>HYPERLINK("https://klasma.github.io/Logging_2029/kartor/A 41528-2025 karta.png", "A 41528-2025")</f>
        <v/>
      </c>
      <c r="V29">
        <f>HYPERLINK("https://klasma.github.io/Logging_2029/klagomål/A 41528-2025 FSC-klagomål.docx", "A 41528-2025")</f>
        <v/>
      </c>
      <c r="W29">
        <f>HYPERLINK("https://klasma.github.io/Logging_2029/klagomålsmail/A 41528-2025 FSC-klagomål mail.docx", "A 41528-2025")</f>
        <v/>
      </c>
      <c r="X29">
        <f>HYPERLINK("https://klasma.github.io/Logging_2029/tillsyn/A 41528-2025 tillsynsbegäran.docx", "A 41528-2025")</f>
        <v/>
      </c>
      <c r="Y29">
        <f>HYPERLINK("https://klasma.github.io/Logging_2029/tillsynsmail/A 41528-2025 tillsynsbegäran mail.docx", "A 41528-2025")</f>
        <v/>
      </c>
      <c r="Z29">
        <f>HYPERLINK("https://klasma.github.io/Logging_2029/fåglar/A 41528-2025 prioriterade fågelarter.docx", "A 41528-2025")</f>
        <v/>
      </c>
    </row>
    <row r="30" ht="15" customHeight="1">
      <c r="A30" t="inlineStr">
        <is>
          <t>A 13612-2026</t>
        </is>
      </c>
      <c r="B30" s="1" t="n">
        <v>46097</v>
      </c>
      <c r="C30" s="1" t="n">
        <v>46204</v>
      </c>
      <c r="D30" t="inlineStr">
        <is>
          <t>DALARNAS LÄN</t>
        </is>
      </c>
      <c r="E30" t="inlineStr">
        <is>
          <t>LEKSAND</t>
        </is>
      </c>
      <c r="G30" t="n">
        <v>3.9</v>
      </c>
      <c r="H30" t="n">
        <v>1</v>
      </c>
      <c r="I30" t="n">
        <v>1</v>
      </c>
      <c r="J30" t="n">
        <v>1</v>
      </c>
      <c r="K30" t="n">
        <v>1</v>
      </c>
      <c r="L30" t="n">
        <v>0</v>
      </c>
      <c r="M30" t="n">
        <v>0</v>
      </c>
      <c r="N30" t="n">
        <v>0</v>
      </c>
      <c r="O30" t="n">
        <v>2</v>
      </c>
      <c r="P30" t="n">
        <v>1</v>
      </c>
      <c r="Q30" t="n">
        <v>3</v>
      </c>
      <c r="R30" s="2" t="inlineStr">
        <is>
          <t>Knärot
Vedtrappmossa
Bronshjon</t>
        </is>
      </c>
      <c r="S30">
        <f>HYPERLINK("https://klasma.github.io/Logging_2029/artfynd/A 13612-2026 artfynd.xlsx", "A 13612-2026")</f>
        <v/>
      </c>
      <c r="T30">
        <f>HYPERLINK("https://klasma.github.io/Logging_2029/kartor/A 13612-2026 karta.png", "A 13612-2026")</f>
        <v/>
      </c>
      <c r="U30">
        <f>HYPERLINK("https://klasma.github.io/Logging_2029/knärot/A 13612-2026 karta knärot.png", "A 13612-2026")</f>
        <v/>
      </c>
      <c r="V30">
        <f>HYPERLINK("https://klasma.github.io/Logging_2029/klagomål/A 13612-2026 FSC-klagomål.docx", "A 13612-2026")</f>
        <v/>
      </c>
      <c r="W30">
        <f>HYPERLINK("https://klasma.github.io/Logging_2029/klagomålsmail/A 13612-2026 FSC-klagomål mail.docx", "A 13612-2026")</f>
        <v/>
      </c>
      <c r="X30">
        <f>HYPERLINK("https://klasma.github.io/Logging_2029/tillsyn/A 13612-2026 tillsynsbegäran.docx", "A 13612-2026")</f>
        <v/>
      </c>
      <c r="Y30">
        <f>HYPERLINK("https://klasma.github.io/Logging_2029/tillsynsmail/A 13612-2026 tillsynsbegäran mail.docx", "A 13612-2026")</f>
        <v/>
      </c>
    </row>
    <row r="31" ht="15" customHeight="1">
      <c r="A31" t="inlineStr">
        <is>
          <t>A 59111-2024</t>
        </is>
      </c>
      <c r="B31" s="1" t="n">
        <v>45637</v>
      </c>
      <c r="C31" s="1" t="n">
        <v>46204</v>
      </c>
      <c r="D31" t="inlineStr">
        <is>
          <t>DALARNAS LÄN</t>
        </is>
      </c>
      <c r="E31" t="inlineStr">
        <is>
          <t>LEKSAND</t>
        </is>
      </c>
      <c r="G31" t="n">
        <v>8.800000000000001</v>
      </c>
      <c r="H31" t="n">
        <v>0</v>
      </c>
      <c r="I31" t="n">
        <v>0</v>
      </c>
      <c r="J31" t="n">
        <v>2</v>
      </c>
      <c r="K31" t="n">
        <v>1</v>
      </c>
      <c r="L31" t="n">
        <v>0</v>
      </c>
      <c r="M31" t="n">
        <v>0</v>
      </c>
      <c r="N31" t="n">
        <v>0</v>
      </c>
      <c r="O31" t="n">
        <v>3</v>
      </c>
      <c r="P31" t="n">
        <v>1</v>
      </c>
      <c r="Q31" t="n">
        <v>3</v>
      </c>
      <c r="R31" s="2" t="inlineStr">
        <is>
          <t>Garnlav
Rosenticka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41718-2021</t>
        </is>
      </c>
      <c r="B32" s="1" t="n">
        <v>44425</v>
      </c>
      <c r="C32" s="1" t="n">
        <v>46204</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59826-2023</t>
        </is>
      </c>
      <c r="B33" s="1" t="n">
        <v>45254</v>
      </c>
      <c r="C33" s="1" t="n">
        <v>46204</v>
      </c>
      <c r="D33" t="inlineStr">
        <is>
          <t>DALARNAS LÄN</t>
        </is>
      </c>
      <c r="E33" t="inlineStr">
        <is>
          <t>LEKSAND</t>
        </is>
      </c>
      <c r="G33" t="n">
        <v>1.1</v>
      </c>
      <c r="H33" t="n">
        <v>0</v>
      </c>
      <c r="I33" t="n">
        <v>1</v>
      </c>
      <c r="J33" t="n">
        <v>1</v>
      </c>
      <c r="K33" t="n">
        <v>0</v>
      </c>
      <c r="L33" t="n">
        <v>0</v>
      </c>
      <c r="M33" t="n">
        <v>0</v>
      </c>
      <c r="N33" t="n">
        <v>0</v>
      </c>
      <c r="O33" t="n">
        <v>1</v>
      </c>
      <c r="P33" t="n">
        <v>0</v>
      </c>
      <c r="Q33" t="n">
        <v>2</v>
      </c>
      <c r="R33" s="2" t="inlineStr">
        <is>
          <t>Stiftgelélav
Skinnlav</t>
        </is>
      </c>
      <c r="S33">
        <f>HYPERLINK("https://klasma.github.io/Logging_2029/artfynd/A 59826-2023 artfynd.xlsx", "A 59826-2023")</f>
        <v/>
      </c>
      <c r="T33">
        <f>HYPERLINK("https://klasma.github.io/Logging_2029/kartor/A 59826-2023 karta.png", "A 59826-2023")</f>
        <v/>
      </c>
      <c r="V33">
        <f>HYPERLINK("https://klasma.github.io/Logging_2029/klagomål/A 59826-2023 FSC-klagomål.docx", "A 59826-2023")</f>
        <v/>
      </c>
      <c r="W33">
        <f>HYPERLINK("https://klasma.github.io/Logging_2029/klagomålsmail/A 59826-2023 FSC-klagomål mail.docx", "A 59826-2023")</f>
        <v/>
      </c>
      <c r="X33">
        <f>HYPERLINK("https://klasma.github.io/Logging_2029/tillsyn/A 59826-2023 tillsynsbegäran.docx", "A 59826-2023")</f>
        <v/>
      </c>
      <c r="Y33">
        <f>HYPERLINK("https://klasma.github.io/Logging_2029/tillsynsmail/A 59826-2023 tillsynsbegäran mail.docx", "A 59826-2023")</f>
        <v/>
      </c>
    </row>
    <row r="34" ht="15" customHeight="1">
      <c r="A34" t="inlineStr">
        <is>
          <t>A 41873-2022</t>
        </is>
      </c>
      <c r="B34" s="1" t="n">
        <v>44829</v>
      </c>
      <c r="C34" s="1" t="n">
        <v>46204</v>
      </c>
      <c r="D34" t="inlineStr">
        <is>
          <t>DALARNAS LÄN</t>
        </is>
      </c>
      <c r="E34" t="inlineStr">
        <is>
          <t>LEKSAND</t>
        </is>
      </c>
      <c r="G34" t="n">
        <v>2.1</v>
      </c>
      <c r="H34" t="n">
        <v>1</v>
      </c>
      <c r="I34" t="n">
        <v>1</v>
      </c>
      <c r="J34" t="n">
        <v>0</v>
      </c>
      <c r="K34" t="n">
        <v>0</v>
      </c>
      <c r="L34" t="n">
        <v>0</v>
      </c>
      <c r="M34" t="n">
        <v>0</v>
      </c>
      <c r="N34" t="n">
        <v>0</v>
      </c>
      <c r="O34" t="n">
        <v>0</v>
      </c>
      <c r="P34" t="n">
        <v>0</v>
      </c>
      <c r="Q34" t="n">
        <v>2</v>
      </c>
      <c r="R34" s="2" t="inlineStr">
        <is>
          <t>Underviol
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58495-2023</t>
        </is>
      </c>
      <c r="B35" s="1" t="n">
        <v>45251</v>
      </c>
      <c r="C35" s="1" t="n">
        <v>46204</v>
      </c>
      <c r="D35" t="inlineStr">
        <is>
          <t>DALARNAS LÄN</t>
        </is>
      </c>
      <c r="E35" t="inlineStr">
        <is>
          <t>LEKSAND</t>
        </is>
      </c>
      <c r="G35" t="n">
        <v>1.7</v>
      </c>
      <c r="H35" t="n">
        <v>0</v>
      </c>
      <c r="I35" t="n">
        <v>2</v>
      </c>
      <c r="J35" t="n">
        <v>0</v>
      </c>
      <c r="K35" t="n">
        <v>0</v>
      </c>
      <c r="L35" t="n">
        <v>0</v>
      </c>
      <c r="M35" t="n">
        <v>0</v>
      </c>
      <c r="N35" t="n">
        <v>0</v>
      </c>
      <c r="O35" t="n">
        <v>0</v>
      </c>
      <c r="P35" t="n">
        <v>0</v>
      </c>
      <c r="Q35" t="n">
        <v>2</v>
      </c>
      <c r="R35" s="2" t="inlineStr">
        <is>
          <t>Brun nållav
Sotlav</t>
        </is>
      </c>
      <c r="S35">
        <f>HYPERLINK("https://klasma.github.io/Logging_2029/artfynd/A 58495-2023 artfynd.xlsx", "A 58495-2023")</f>
        <v/>
      </c>
      <c r="T35">
        <f>HYPERLINK("https://klasma.github.io/Logging_2029/kartor/A 58495-2023 karta.png", "A 58495-2023")</f>
        <v/>
      </c>
      <c r="V35">
        <f>HYPERLINK("https://klasma.github.io/Logging_2029/klagomål/A 58495-2023 FSC-klagomål.docx", "A 58495-2023")</f>
        <v/>
      </c>
      <c r="W35">
        <f>HYPERLINK("https://klasma.github.io/Logging_2029/klagomålsmail/A 58495-2023 FSC-klagomål mail.docx", "A 58495-2023")</f>
        <v/>
      </c>
      <c r="X35">
        <f>HYPERLINK("https://klasma.github.io/Logging_2029/tillsyn/A 58495-2023 tillsynsbegäran.docx", "A 58495-2023")</f>
        <v/>
      </c>
      <c r="Y35">
        <f>HYPERLINK("https://klasma.github.io/Logging_2029/tillsynsmail/A 58495-2023 tillsynsbegäran mail.docx", "A 58495-2023")</f>
        <v/>
      </c>
    </row>
    <row r="36" ht="15" customHeight="1">
      <c r="A36" t="inlineStr">
        <is>
          <t>A 39546-2025</t>
        </is>
      </c>
      <c r="B36" s="1" t="n">
        <v>45890</v>
      </c>
      <c r="C36" s="1" t="n">
        <v>46204</v>
      </c>
      <c r="D36" t="inlineStr">
        <is>
          <t>DALARNAS LÄN</t>
        </is>
      </c>
      <c r="E36" t="inlineStr">
        <is>
          <t>LEKSAND</t>
        </is>
      </c>
      <c r="G36" t="n">
        <v>4.6</v>
      </c>
      <c r="H36" t="n">
        <v>0</v>
      </c>
      <c r="I36" t="n">
        <v>1</v>
      </c>
      <c r="J36" t="n">
        <v>0</v>
      </c>
      <c r="K36" t="n">
        <v>1</v>
      </c>
      <c r="L36" t="n">
        <v>0</v>
      </c>
      <c r="M36" t="n">
        <v>0</v>
      </c>
      <c r="N36" t="n">
        <v>0</v>
      </c>
      <c r="O36" t="n">
        <v>1</v>
      </c>
      <c r="P36" t="n">
        <v>1</v>
      </c>
      <c r="Q36" t="n">
        <v>2</v>
      </c>
      <c r="R36" s="2" t="inlineStr">
        <is>
          <t>Aspgelélav
Stuplav</t>
        </is>
      </c>
      <c r="S36">
        <f>HYPERLINK("https://klasma.github.io/Logging_2029/artfynd/A 39546-2025 artfynd.xlsx", "A 39546-2025")</f>
        <v/>
      </c>
      <c r="T36">
        <f>HYPERLINK("https://klasma.github.io/Logging_2029/kartor/A 39546-2025 karta.png", "A 39546-2025")</f>
        <v/>
      </c>
      <c r="V36">
        <f>HYPERLINK("https://klasma.github.io/Logging_2029/klagomål/A 39546-2025 FSC-klagomål.docx", "A 39546-2025")</f>
        <v/>
      </c>
      <c r="W36">
        <f>HYPERLINK("https://klasma.github.io/Logging_2029/klagomålsmail/A 39546-2025 FSC-klagomål mail.docx", "A 39546-2025")</f>
        <v/>
      </c>
      <c r="X36">
        <f>HYPERLINK("https://klasma.github.io/Logging_2029/tillsyn/A 39546-2025 tillsynsbegäran.docx", "A 39546-2025")</f>
        <v/>
      </c>
      <c r="Y36">
        <f>HYPERLINK("https://klasma.github.io/Logging_2029/tillsynsmail/A 39546-2025 tillsynsbegäran mail.docx", "A 39546-2025")</f>
        <v/>
      </c>
    </row>
    <row r="37" ht="15" customHeight="1">
      <c r="A37" t="inlineStr">
        <is>
          <t>A 34996-2025</t>
        </is>
      </c>
      <c r="B37" s="1" t="n">
        <v>45849</v>
      </c>
      <c r="C37" s="1" t="n">
        <v>46204</v>
      </c>
      <c r="D37" t="inlineStr">
        <is>
          <t>DALARNAS LÄN</t>
        </is>
      </c>
      <c r="E37" t="inlineStr">
        <is>
          <t>LEKSAND</t>
        </is>
      </c>
      <c r="G37" t="n">
        <v>1.1</v>
      </c>
      <c r="H37" t="n">
        <v>0</v>
      </c>
      <c r="I37" t="n">
        <v>0</v>
      </c>
      <c r="J37" t="n">
        <v>1</v>
      </c>
      <c r="K37" t="n">
        <v>1</v>
      </c>
      <c r="L37" t="n">
        <v>0</v>
      </c>
      <c r="M37" t="n">
        <v>0</v>
      </c>
      <c r="N37" t="n">
        <v>0</v>
      </c>
      <c r="O37" t="n">
        <v>2</v>
      </c>
      <c r="P37" t="n">
        <v>1</v>
      </c>
      <c r="Q37" t="n">
        <v>2</v>
      </c>
      <c r="R37" s="2" t="inlineStr">
        <is>
          <t>Garnlav
Dvärgbägarlav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16333-2023</t>
        </is>
      </c>
      <c r="B38" s="1" t="n">
        <v>45028</v>
      </c>
      <c r="C38" s="1" t="n">
        <v>46204</v>
      </c>
      <c r="D38" t="inlineStr">
        <is>
          <t>DALARNAS LÄN</t>
        </is>
      </c>
      <c r="E38" t="inlineStr">
        <is>
          <t>LEKSAND</t>
        </is>
      </c>
      <c r="G38" t="n">
        <v>1.5</v>
      </c>
      <c r="H38" t="n">
        <v>1</v>
      </c>
      <c r="I38" t="n">
        <v>1</v>
      </c>
      <c r="J38" t="n">
        <v>0</v>
      </c>
      <c r="K38" t="n">
        <v>0</v>
      </c>
      <c r="L38" t="n">
        <v>0</v>
      </c>
      <c r="M38" t="n">
        <v>0</v>
      </c>
      <c r="N38" t="n">
        <v>0</v>
      </c>
      <c r="O38" t="n">
        <v>0</v>
      </c>
      <c r="P38" t="n">
        <v>0</v>
      </c>
      <c r="Q38" t="n">
        <v>2</v>
      </c>
      <c r="R38" s="2" t="inlineStr">
        <is>
          <t>Läderskål
Nattviol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9408-2024</t>
        </is>
      </c>
      <c r="B39" s="1" t="n">
        <v>45358</v>
      </c>
      <c r="C39" s="1" t="n">
        <v>46204</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62161-2024</t>
        </is>
      </c>
      <c r="B40" s="1" t="n">
        <v>45656</v>
      </c>
      <c r="C40" s="1" t="n">
        <v>46204</v>
      </c>
      <c r="D40" t="inlineStr">
        <is>
          <t>DALARNAS LÄN</t>
        </is>
      </c>
      <c r="E40" t="inlineStr">
        <is>
          <t>LEKSAND</t>
        </is>
      </c>
      <c r="G40" t="n">
        <v>2</v>
      </c>
      <c r="H40" t="n">
        <v>1</v>
      </c>
      <c r="I40" t="n">
        <v>2</v>
      </c>
      <c r="J40" t="n">
        <v>0</v>
      </c>
      <c r="K40" t="n">
        <v>0</v>
      </c>
      <c r="L40" t="n">
        <v>0</v>
      </c>
      <c r="M40" t="n">
        <v>0</v>
      </c>
      <c r="N40" t="n">
        <v>0</v>
      </c>
      <c r="O40" t="n">
        <v>0</v>
      </c>
      <c r="P40" t="n">
        <v>0</v>
      </c>
      <c r="Q40" t="n">
        <v>2</v>
      </c>
      <c r="R40" s="2" t="inlineStr">
        <is>
          <t>Kambräken
Korallrot</t>
        </is>
      </c>
      <c r="S40">
        <f>HYPERLINK("https://klasma.github.io/Logging_2029/artfynd/A 62161-2024 artfynd.xlsx", "A 62161-2024")</f>
        <v/>
      </c>
      <c r="T40">
        <f>HYPERLINK("https://klasma.github.io/Logging_2029/kartor/A 62161-2024 karta.png", "A 62161-2024")</f>
        <v/>
      </c>
      <c r="V40">
        <f>HYPERLINK("https://klasma.github.io/Logging_2029/klagomål/A 62161-2024 FSC-klagomål.docx", "A 62161-2024")</f>
        <v/>
      </c>
      <c r="W40">
        <f>HYPERLINK("https://klasma.github.io/Logging_2029/klagomålsmail/A 62161-2024 FSC-klagomål mail.docx", "A 62161-2024")</f>
        <v/>
      </c>
      <c r="X40">
        <f>HYPERLINK("https://klasma.github.io/Logging_2029/tillsyn/A 62161-2024 tillsynsbegäran.docx", "A 62161-2024")</f>
        <v/>
      </c>
      <c r="Y40">
        <f>HYPERLINK("https://klasma.github.io/Logging_2029/tillsynsmail/A 62161-2024 tillsynsbegäran mail.docx", "A 62161-2024")</f>
        <v/>
      </c>
    </row>
    <row r="41" ht="15" customHeight="1">
      <c r="A41" t="inlineStr">
        <is>
          <t>A 368-2026</t>
        </is>
      </c>
      <c r="B41" s="1" t="n">
        <v>46027</v>
      </c>
      <c r="C41" s="1" t="n">
        <v>46204</v>
      </c>
      <c r="D41" t="inlineStr">
        <is>
          <t>DALARNAS LÄN</t>
        </is>
      </c>
      <c r="E41" t="inlineStr">
        <is>
          <t>LEKSAND</t>
        </is>
      </c>
      <c r="G41" t="n">
        <v>3.2</v>
      </c>
      <c r="H41" t="n">
        <v>0</v>
      </c>
      <c r="I41" t="n">
        <v>0</v>
      </c>
      <c r="J41" t="n">
        <v>2</v>
      </c>
      <c r="K41" t="n">
        <v>0</v>
      </c>
      <c r="L41" t="n">
        <v>0</v>
      </c>
      <c r="M41" t="n">
        <v>0</v>
      </c>
      <c r="N41" t="n">
        <v>0</v>
      </c>
      <c r="O41" t="n">
        <v>2</v>
      </c>
      <c r="P41" t="n">
        <v>0</v>
      </c>
      <c r="Q41" t="n">
        <v>2</v>
      </c>
      <c r="R41" s="2" t="inlineStr">
        <is>
          <t>Rosenticka
Rynkskinn</t>
        </is>
      </c>
      <c r="S41">
        <f>HYPERLINK("https://klasma.github.io/Logging_2029/artfynd/A 368-2026 artfynd.xlsx", "A 368-2026")</f>
        <v/>
      </c>
      <c r="T41">
        <f>HYPERLINK("https://klasma.github.io/Logging_2029/kartor/A 368-2026 karta.png", "A 368-2026")</f>
        <v/>
      </c>
      <c r="V41">
        <f>HYPERLINK("https://klasma.github.io/Logging_2029/klagomål/A 368-2026 FSC-klagomål.docx", "A 368-2026")</f>
        <v/>
      </c>
      <c r="W41">
        <f>HYPERLINK("https://klasma.github.io/Logging_2029/klagomålsmail/A 368-2026 FSC-klagomål mail.docx", "A 368-2026")</f>
        <v/>
      </c>
      <c r="X41">
        <f>HYPERLINK("https://klasma.github.io/Logging_2029/tillsyn/A 368-2026 tillsynsbegäran.docx", "A 368-2026")</f>
        <v/>
      </c>
      <c r="Y41">
        <f>HYPERLINK("https://klasma.github.io/Logging_2029/tillsynsmail/A 368-2026 tillsynsbegäran mail.docx", "A 368-2026")</f>
        <v/>
      </c>
    </row>
    <row r="42" ht="15" customHeight="1">
      <c r="A42" t="inlineStr">
        <is>
          <t>A 63514-2023</t>
        </is>
      </c>
      <c r="B42" s="1" t="n">
        <v>45274</v>
      </c>
      <c r="C42" s="1" t="n">
        <v>46204</v>
      </c>
      <c r="D42" t="inlineStr">
        <is>
          <t>DALARNAS LÄN</t>
        </is>
      </c>
      <c r="E42" t="inlineStr">
        <is>
          <t>LEKSAND</t>
        </is>
      </c>
      <c r="G42" t="n">
        <v>1</v>
      </c>
      <c r="H42" t="n">
        <v>2</v>
      </c>
      <c r="I42" t="n">
        <v>0</v>
      </c>
      <c r="J42" t="n">
        <v>1</v>
      </c>
      <c r="K42" t="n">
        <v>0</v>
      </c>
      <c r="L42" t="n">
        <v>0</v>
      </c>
      <c r="M42" t="n">
        <v>0</v>
      </c>
      <c r="N42" t="n">
        <v>0</v>
      </c>
      <c r="O42" t="n">
        <v>1</v>
      </c>
      <c r="P42" t="n">
        <v>0</v>
      </c>
      <c r="Q42" t="n">
        <v>2</v>
      </c>
      <c r="R42" s="2" t="inlineStr">
        <is>
          <t>Grönsångare
Trana</t>
        </is>
      </c>
      <c r="S42">
        <f>HYPERLINK("https://klasma.github.io/Logging_2029/artfynd/A 63514-2023 artfynd.xlsx", "A 63514-2023")</f>
        <v/>
      </c>
      <c r="T42">
        <f>HYPERLINK("https://klasma.github.io/Logging_2029/kartor/A 63514-2023 karta.png", "A 63514-2023")</f>
        <v/>
      </c>
      <c r="V42">
        <f>HYPERLINK("https://klasma.github.io/Logging_2029/klagomål/A 63514-2023 FSC-klagomål.docx", "A 63514-2023")</f>
        <v/>
      </c>
      <c r="W42">
        <f>HYPERLINK("https://klasma.github.io/Logging_2029/klagomålsmail/A 63514-2023 FSC-klagomål mail.docx", "A 63514-2023")</f>
        <v/>
      </c>
      <c r="X42">
        <f>HYPERLINK("https://klasma.github.io/Logging_2029/tillsyn/A 63514-2023 tillsynsbegäran.docx", "A 63514-2023")</f>
        <v/>
      </c>
      <c r="Y42">
        <f>HYPERLINK("https://klasma.github.io/Logging_2029/tillsynsmail/A 63514-2023 tillsynsbegäran mail.docx", "A 63514-2023")</f>
        <v/>
      </c>
      <c r="Z42">
        <f>HYPERLINK("https://klasma.github.io/Logging_2029/fåglar/A 63514-2023 prioriterade fågelarter.docx", "A 63514-2023")</f>
        <v/>
      </c>
    </row>
    <row r="43" ht="15" customHeight="1">
      <c r="A43" t="inlineStr">
        <is>
          <t>A 59205-2023</t>
        </is>
      </c>
      <c r="B43" s="1" t="n">
        <v>45251</v>
      </c>
      <c r="C43" s="1" t="n">
        <v>46204</v>
      </c>
      <c r="D43" t="inlineStr">
        <is>
          <t>DALARNAS LÄN</t>
        </is>
      </c>
      <c r="E43" t="inlineStr">
        <is>
          <t>LEKSAND</t>
        </is>
      </c>
      <c r="G43" t="n">
        <v>1.9</v>
      </c>
      <c r="H43" t="n">
        <v>2</v>
      </c>
      <c r="I43" t="n">
        <v>0</v>
      </c>
      <c r="J43" t="n">
        <v>0</v>
      </c>
      <c r="K43" t="n">
        <v>1</v>
      </c>
      <c r="L43" t="n">
        <v>0</v>
      </c>
      <c r="M43" t="n">
        <v>0</v>
      </c>
      <c r="N43" t="n">
        <v>0</v>
      </c>
      <c r="O43" t="n">
        <v>1</v>
      </c>
      <c r="P43" t="n">
        <v>1</v>
      </c>
      <c r="Q43" t="n">
        <v>2</v>
      </c>
      <c r="R43" s="2" t="inlineStr">
        <is>
          <t>Knärot
Revlummer</t>
        </is>
      </c>
      <c r="S43">
        <f>HYPERLINK("https://klasma.github.io/Logging_2029/artfynd/A 59205-2023 artfynd.xlsx", "A 59205-2023")</f>
        <v/>
      </c>
      <c r="T43">
        <f>HYPERLINK("https://klasma.github.io/Logging_2029/kartor/A 59205-2023 karta.png", "A 59205-2023")</f>
        <v/>
      </c>
      <c r="U43">
        <f>HYPERLINK("https://klasma.github.io/Logging_2029/knärot/A 59205-2023 karta knärot.png", "A 59205-2023")</f>
        <v/>
      </c>
      <c r="V43">
        <f>HYPERLINK("https://klasma.github.io/Logging_2029/klagomål/A 59205-2023 FSC-klagomål.docx", "A 59205-2023")</f>
        <v/>
      </c>
      <c r="W43">
        <f>HYPERLINK("https://klasma.github.io/Logging_2029/klagomålsmail/A 59205-2023 FSC-klagomål mail.docx", "A 59205-2023")</f>
        <v/>
      </c>
      <c r="X43">
        <f>HYPERLINK("https://klasma.github.io/Logging_2029/tillsyn/A 59205-2023 tillsynsbegäran.docx", "A 59205-2023")</f>
        <v/>
      </c>
      <c r="Y43">
        <f>HYPERLINK("https://klasma.github.io/Logging_2029/tillsynsmail/A 59205-2023 tillsynsbegäran mail.docx", "A 59205-2023")</f>
        <v/>
      </c>
    </row>
    <row r="44" ht="15" customHeight="1">
      <c r="A44" t="inlineStr">
        <is>
          <t>A 6778-2022</t>
        </is>
      </c>
      <c r="B44" s="1" t="n">
        <v>44602</v>
      </c>
      <c r="C44" s="1" t="n">
        <v>46204</v>
      </c>
      <c r="D44" t="inlineStr">
        <is>
          <t>DALARNAS LÄN</t>
        </is>
      </c>
      <c r="E44" t="inlineStr">
        <is>
          <t>LEKSAND</t>
        </is>
      </c>
      <c r="F44" t="inlineStr">
        <is>
          <t>Kyrkan</t>
        </is>
      </c>
      <c r="G44" t="n">
        <v>2</v>
      </c>
      <c r="H44" t="n">
        <v>2</v>
      </c>
      <c r="I44" t="n">
        <v>0</v>
      </c>
      <c r="J44" t="n">
        <v>1</v>
      </c>
      <c r="K44" t="n">
        <v>0</v>
      </c>
      <c r="L44" t="n">
        <v>0</v>
      </c>
      <c r="M44" t="n">
        <v>0</v>
      </c>
      <c r="N44" t="n">
        <v>0</v>
      </c>
      <c r="O44" t="n">
        <v>1</v>
      </c>
      <c r="P44" t="n">
        <v>0</v>
      </c>
      <c r="Q44" t="n">
        <v>2</v>
      </c>
      <c r="R44" s="2" t="inlineStr">
        <is>
          <t>Talltita
Orre</t>
        </is>
      </c>
      <c r="S44">
        <f>HYPERLINK("https://klasma.github.io/Logging_2029/artfynd/A 6778-2022 artfynd.xlsx", "A 6778-2022")</f>
        <v/>
      </c>
      <c r="T44">
        <f>HYPERLINK("https://klasma.github.io/Logging_2029/kartor/A 6778-2022 karta.png", "A 6778-2022")</f>
        <v/>
      </c>
      <c r="V44">
        <f>HYPERLINK("https://klasma.github.io/Logging_2029/klagomål/A 6778-2022 FSC-klagomål.docx", "A 6778-2022")</f>
        <v/>
      </c>
      <c r="W44">
        <f>HYPERLINK("https://klasma.github.io/Logging_2029/klagomålsmail/A 6778-2022 FSC-klagomål mail.docx", "A 6778-2022")</f>
        <v/>
      </c>
      <c r="X44">
        <f>HYPERLINK("https://klasma.github.io/Logging_2029/tillsyn/A 6778-2022 tillsynsbegäran.docx", "A 6778-2022")</f>
        <v/>
      </c>
      <c r="Y44">
        <f>HYPERLINK("https://klasma.github.io/Logging_2029/tillsynsmail/A 6778-2022 tillsynsbegäran mail.docx", "A 6778-2022")</f>
        <v/>
      </c>
      <c r="Z44">
        <f>HYPERLINK("https://klasma.github.io/Logging_2029/fåglar/A 6778-2022 prioriterade fågelarter.docx", "A 6778-2022")</f>
        <v/>
      </c>
    </row>
    <row r="45" ht="15" customHeight="1">
      <c r="A45" t="inlineStr">
        <is>
          <t>A 27183-2025</t>
        </is>
      </c>
      <c r="B45" s="1" t="n">
        <v>45812</v>
      </c>
      <c r="C45" s="1" t="n">
        <v>46204</v>
      </c>
      <c r="D45" t="inlineStr">
        <is>
          <t>DALARNAS LÄN</t>
        </is>
      </c>
      <c r="E45" t="inlineStr">
        <is>
          <t>LEKSAND</t>
        </is>
      </c>
      <c r="G45" t="n">
        <v>1</v>
      </c>
      <c r="H45" t="n">
        <v>2</v>
      </c>
      <c r="I45" t="n">
        <v>0</v>
      </c>
      <c r="J45" t="n">
        <v>0</v>
      </c>
      <c r="K45" t="n">
        <v>2</v>
      </c>
      <c r="L45" t="n">
        <v>0</v>
      </c>
      <c r="M45" t="n">
        <v>0</v>
      </c>
      <c r="N45" t="n">
        <v>0</v>
      </c>
      <c r="O45" t="n">
        <v>2</v>
      </c>
      <c r="P45" t="n">
        <v>2</v>
      </c>
      <c r="Q45" t="n">
        <v>2</v>
      </c>
      <c r="R45" s="2" t="inlineStr">
        <is>
          <t>Brun gräsfjäril
Väddnätfjäril</t>
        </is>
      </c>
      <c r="S45">
        <f>HYPERLINK("https://klasma.github.io/Logging_2029/artfynd/A 27183-2025 artfynd.xlsx", "A 27183-2025")</f>
        <v/>
      </c>
      <c r="T45">
        <f>HYPERLINK("https://klasma.github.io/Logging_2029/kartor/A 27183-2025 karta.png", "A 27183-2025")</f>
        <v/>
      </c>
      <c r="V45">
        <f>HYPERLINK("https://klasma.github.io/Logging_2029/klagomål/A 27183-2025 FSC-klagomål.docx", "A 27183-2025")</f>
        <v/>
      </c>
      <c r="W45">
        <f>HYPERLINK("https://klasma.github.io/Logging_2029/klagomålsmail/A 27183-2025 FSC-klagomål mail.docx", "A 27183-2025")</f>
        <v/>
      </c>
      <c r="X45">
        <f>HYPERLINK("https://klasma.github.io/Logging_2029/tillsyn/A 27183-2025 tillsynsbegäran.docx", "A 27183-2025")</f>
        <v/>
      </c>
      <c r="Y45">
        <f>HYPERLINK("https://klasma.github.io/Logging_2029/tillsynsmail/A 27183-2025 tillsynsbegäran mail.docx", "A 27183-2025")</f>
        <v/>
      </c>
    </row>
    <row r="46" ht="15" customHeight="1">
      <c r="A46" t="inlineStr">
        <is>
          <t>A 70451-2021</t>
        </is>
      </c>
      <c r="B46" s="1" t="n">
        <v>44536</v>
      </c>
      <c r="C46" s="1" t="n">
        <v>46204</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46204</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46204</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46204</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30175-2023</t>
        </is>
      </c>
      <c r="B50" s="1" t="n">
        <v>45110</v>
      </c>
      <c r="C50" s="1" t="n">
        <v>46204</v>
      </c>
      <c r="D50" t="inlineStr">
        <is>
          <t>DALARNAS LÄN</t>
        </is>
      </c>
      <c r="E50" t="inlineStr">
        <is>
          <t>LEKSAND</t>
        </is>
      </c>
      <c r="G50" t="n">
        <v>0.5</v>
      </c>
      <c r="H50" t="n">
        <v>1</v>
      </c>
      <c r="I50" t="n">
        <v>1</v>
      </c>
      <c r="J50" t="n">
        <v>0</v>
      </c>
      <c r="K50" t="n">
        <v>0</v>
      </c>
      <c r="L50" t="n">
        <v>0</v>
      </c>
      <c r="M50" t="n">
        <v>0</v>
      </c>
      <c r="N50" t="n">
        <v>0</v>
      </c>
      <c r="O50" t="n">
        <v>0</v>
      </c>
      <c r="P50" t="n">
        <v>0</v>
      </c>
      <c r="Q50" t="n">
        <v>1</v>
      </c>
      <c r="R50" s="2" t="inlineStr">
        <is>
          <t>Guckusko</t>
        </is>
      </c>
      <c r="S50">
        <f>HYPERLINK("https://klasma.github.io/Logging_2029/artfynd/A 30175-2023 artfynd.xlsx", "A 30175-2023")</f>
        <v/>
      </c>
      <c r="T50">
        <f>HYPERLINK("https://klasma.github.io/Logging_2029/kartor/A 30175-2023 karta.png", "A 30175-2023")</f>
        <v/>
      </c>
      <c r="V50">
        <f>HYPERLINK("https://klasma.github.io/Logging_2029/klagomål/A 30175-2023 FSC-klagomål.docx", "A 30175-2023")</f>
        <v/>
      </c>
      <c r="W50">
        <f>HYPERLINK("https://klasma.github.io/Logging_2029/klagomålsmail/A 30175-2023 FSC-klagomål mail.docx", "A 30175-2023")</f>
        <v/>
      </c>
      <c r="X50">
        <f>HYPERLINK("https://klasma.github.io/Logging_2029/tillsyn/A 30175-2023 tillsynsbegäran.docx", "A 30175-2023")</f>
        <v/>
      </c>
      <c r="Y50">
        <f>HYPERLINK("https://klasma.github.io/Logging_2029/tillsynsmail/A 30175-2023 tillsynsbegäran mail.docx", "A 30175-2023")</f>
        <v/>
      </c>
    </row>
    <row r="51" ht="15" customHeight="1">
      <c r="A51" t="inlineStr">
        <is>
          <t>A 33318-2023</t>
        </is>
      </c>
      <c r="B51" s="1" t="n">
        <v>45127</v>
      </c>
      <c r="C51" s="1" t="n">
        <v>46204</v>
      </c>
      <c r="D51" t="inlineStr">
        <is>
          <t>DALARNAS LÄN</t>
        </is>
      </c>
      <c r="E51" t="inlineStr">
        <is>
          <t>LEKSAND</t>
        </is>
      </c>
      <c r="G51" t="n">
        <v>5.5</v>
      </c>
      <c r="H51" t="n">
        <v>1</v>
      </c>
      <c r="I51" t="n">
        <v>0</v>
      </c>
      <c r="J51" t="n">
        <v>1</v>
      </c>
      <c r="K51" t="n">
        <v>0</v>
      </c>
      <c r="L51" t="n">
        <v>0</v>
      </c>
      <c r="M51" t="n">
        <v>0</v>
      </c>
      <c r="N51" t="n">
        <v>0</v>
      </c>
      <c r="O51" t="n">
        <v>1</v>
      </c>
      <c r="P51" t="n">
        <v>0</v>
      </c>
      <c r="Q51" t="n">
        <v>1</v>
      </c>
      <c r="R51" s="2" t="inlineStr">
        <is>
          <t>Sparvuggla</t>
        </is>
      </c>
      <c r="S51">
        <f>HYPERLINK("https://klasma.github.io/Logging_2029/artfynd/A 33318-2023 artfynd.xlsx", "A 33318-2023")</f>
        <v/>
      </c>
      <c r="T51">
        <f>HYPERLINK("https://klasma.github.io/Logging_2029/kartor/A 33318-2023 karta.png", "A 33318-2023")</f>
        <v/>
      </c>
      <c r="V51">
        <f>HYPERLINK("https://klasma.github.io/Logging_2029/klagomål/A 33318-2023 FSC-klagomål.docx", "A 33318-2023")</f>
        <v/>
      </c>
      <c r="W51">
        <f>HYPERLINK("https://klasma.github.io/Logging_2029/klagomålsmail/A 33318-2023 FSC-klagomål mail.docx", "A 33318-2023")</f>
        <v/>
      </c>
      <c r="X51">
        <f>HYPERLINK("https://klasma.github.io/Logging_2029/tillsyn/A 33318-2023 tillsynsbegäran.docx", "A 33318-2023")</f>
        <v/>
      </c>
      <c r="Y51">
        <f>HYPERLINK("https://klasma.github.io/Logging_2029/tillsynsmail/A 33318-2023 tillsynsbegäran mail.docx", "A 33318-2023")</f>
        <v/>
      </c>
      <c r="Z51">
        <f>HYPERLINK("https://klasma.github.io/Logging_2029/fåglar/A 33318-2023 prioriterade fågelarter.docx", "A 33318-2023")</f>
        <v/>
      </c>
    </row>
    <row r="52" ht="15" customHeight="1">
      <c r="A52" t="inlineStr">
        <is>
          <t>A 4974-2025</t>
        </is>
      </c>
      <c r="B52" s="1" t="n">
        <v>45690</v>
      </c>
      <c r="C52" s="1" t="n">
        <v>46204</v>
      </c>
      <c r="D52" t="inlineStr">
        <is>
          <t>DALARNAS LÄN</t>
        </is>
      </c>
      <c r="E52" t="inlineStr">
        <is>
          <t>LEKSAND</t>
        </is>
      </c>
      <c r="G52" t="n">
        <v>0.9</v>
      </c>
      <c r="H52" t="n">
        <v>1</v>
      </c>
      <c r="I52" t="n">
        <v>0</v>
      </c>
      <c r="J52" t="n">
        <v>0</v>
      </c>
      <c r="K52" t="n">
        <v>0</v>
      </c>
      <c r="L52" t="n">
        <v>0</v>
      </c>
      <c r="M52" t="n">
        <v>0</v>
      </c>
      <c r="N52" t="n">
        <v>0</v>
      </c>
      <c r="O52" t="n">
        <v>0</v>
      </c>
      <c r="P52" t="n">
        <v>0</v>
      </c>
      <c r="Q52" t="n">
        <v>1</v>
      </c>
      <c r="R52" s="2" t="inlineStr">
        <is>
          <t>Spillkråka</t>
        </is>
      </c>
      <c r="S52">
        <f>HYPERLINK("https://klasma.github.io/Logging_2029/artfynd/A 4974-2025 artfynd.xlsx", "A 4974-2025")</f>
        <v/>
      </c>
      <c r="T52">
        <f>HYPERLINK("https://klasma.github.io/Logging_2029/kartor/A 4974-2025 karta.png", "A 4974-2025")</f>
        <v/>
      </c>
      <c r="V52">
        <f>HYPERLINK("https://klasma.github.io/Logging_2029/klagomål/A 4974-2025 FSC-klagomål.docx", "A 4974-2025")</f>
        <v/>
      </c>
      <c r="W52">
        <f>HYPERLINK("https://klasma.github.io/Logging_2029/klagomålsmail/A 4974-2025 FSC-klagomål mail.docx", "A 4974-2025")</f>
        <v/>
      </c>
      <c r="X52">
        <f>HYPERLINK("https://klasma.github.io/Logging_2029/tillsyn/A 4974-2025 tillsynsbegäran.docx", "A 4974-2025")</f>
        <v/>
      </c>
      <c r="Y52">
        <f>HYPERLINK("https://klasma.github.io/Logging_2029/tillsynsmail/A 4974-2025 tillsynsbegäran mail.docx", "A 4974-2025")</f>
        <v/>
      </c>
      <c r="Z52">
        <f>HYPERLINK("https://klasma.github.io/Logging_2029/fåglar/A 4974-2025 prioriterade fågelarter.docx", "A 4974-2025")</f>
        <v/>
      </c>
    </row>
    <row r="53" ht="15" customHeight="1">
      <c r="A53" t="inlineStr">
        <is>
          <t>A 31951-2025</t>
        </is>
      </c>
      <c r="B53" s="1" t="n">
        <v>45835</v>
      </c>
      <c r="C53" s="1" t="n">
        <v>46204</v>
      </c>
      <c r="D53" t="inlineStr">
        <is>
          <t>DALARNAS LÄN</t>
        </is>
      </c>
      <c r="E53" t="inlineStr">
        <is>
          <t>LEKSAND</t>
        </is>
      </c>
      <c r="G53" t="n">
        <v>6.6</v>
      </c>
      <c r="H53" t="n">
        <v>1</v>
      </c>
      <c r="I53" t="n">
        <v>0</v>
      </c>
      <c r="J53" t="n">
        <v>0</v>
      </c>
      <c r="K53" t="n">
        <v>0</v>
      </c>
      <c r="L53" t="n">
        <v>0</v>
      </c>
      <c r="M53" t="n">
        <v>0</v>
      </c>
      <c r="N53" t="n">
        <v>0</v>
      </c>
      <c r="O53" t="n">
        <v>0</v>
      </c>
      <c r="P53" t="n">
        <v>0</v>
      </c>
      <c r="Q53" t="n">
        <v>1</v>
      </c>
      <c r="R53" s="2" t="inlineStr">
        <is>
          <t>Tjäder</t>
        </is>
      </c>
      <c r="S53">
        <f>HYPERLINK("https://klasma.github.io/Logging_2029/artfynd/A 31951-2025 artfynd.xlsx", "A 31951-2025")</f>
        <v/>
      </c>
      <c r="T53">
        <f>HYPERLINK("https://klasma.github.io/Logging_2029/kartor/A 31951-2025 karta.png", "A 31951-2025")</f>
        <v/>
      </c>
      <c r="V53">
        <f>HYPERLINK("https://klasma.github.io/Logging_2029/klagomål/A 31951-2025 FSC-klagomål.docx", "A 31951-2025")</f>
        <v/>
      </c>
      <c r="W53">
        <f>HYPERLINK("https://klasma.github.io/Logging_2029/klagomålsmail/A 31951-2025 FSC-klagomål mail.docx", "A 31951-2025")</f>
        <v/>
      </c>
      <c r="X53">
        <f>HYPERLINK("https://klasma.github.io/Logging_2029/tillsyn/A 31951-2025 tillsynsbegäran.docx", "A 31951-2025")</f>
        <v/>
      </c>
      <c r="Y53">
        <f>HYPERLINK("https://klasma.github.io/Logging_2029/tillsynsmail/A 31951-2025 tillsynsbegäran mail.docx", "A 31951-2025")</f>
        <v/>
      </c>
      <c r="Z53">
        <f>HYPERLINK("https://klasma.github.io/Logging_2029/fåglar/A 31951-2025 prioriterade fågelarter.docx", "A 31951-2025")</f>
        <v/>
      </c>
    </row>
    <row r="54" ht="15" customHeight="1">
      <c r="A54" t="inlineStr">
        <is>
          <t>A 8969-2026</t>
        </is>
      </c>
      <c r="B54" s="1" t="n">
        <v>46069</v>
      </c>
      <c r="C54" s="1" t="n">
        <v>46204</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Gullklöver</t>
        </is>
      </c>
      <c r="S54">
        <f>HYPERLINK("https://klasma.github.io/Logging_2029/artfynd/A 8969-2026 artfynd.xlsx", "A 8969-2026")</f>
        <v/>
      </c>
      <c r="T54">
        <f>HYPERLINK("https://klasma.github.io/Logging_2029/kartor/A 8969-2026 karta.png", "A 8969-2026")</f>
        <v/>
      </c>
      <c r="V54">
        <f>HYPERLINK("https://klasma.github.io/Logging_2029/klagomål/A 8969-2026 FSC-klagomål.docx", "A 8969-2026")</f>
        <v/>
      </c>
      <c r="W54">
        <f>HYPERLINK("https://klasma.github.io/Logging_2029/klagomålsmail/A 8969-2026 FSC-klagomål mail.docx", "A 8969-2026")</f>
        <v/>
      </c>
      <c r="X54">
        <f>HYPERLINK("https://klasma.github.io/Logging_2029/tillsyn/A 8969-2026 tillsynsbegäran.docx", "A 8969-2026")</f>
        <v/>
      </c>
      <c r="Y54">
        <f>HYPERLINK("https://klasma.github.io/Logging_2029/tillsynsmail/A 8969-2026 tillsynsbegäran mail.docx", "A 8969-2026")</f>
        <v/>
      </c>
    </row>
    <row r="55" ht="15" customHeight="1">
      <c r="A55" t="inlineStr">
        <is>
          <t>A 55633-2024</t>
        </is>
      </c>
      <c r="B55" s="1" t="n">
        <v>45621</v>
      </c>
      <c r="C55" s="1" t="n">
        <v>46204</v>
      </c>
      <c r="D55" t="inlineStr">
        <is>
          <t>DALARNAS LÄN</t>
        </is>
      </c>
      <c r="E55" t="inlineStr">
        <is>
          <t>LEKSAND</t>
        </is>
      </c>
      <c r="G55" t="n">
        <v>7.8</v>
      </c>
      <c r="H55" t="n">
        <v>0</v>
      </c>
      <c r="I55" t="n">
        <v>0</v>
      </c>
      <c r="J55" t="n">
        <v>1</v>
      </c>
      <c r="K55" t="n">
        <v>0</v>
      </c>
      <c r="L55" t="n">
        <v>0</v>
      </c>
      <c r="M55" t="n">
        <v>0</v>
      </c>
      <c r="N55" t="n">
        <v>0</v>
      </c>
      <c r="O55" t="n">
        <v>1</v>
      </c>
      <c r="P55" t="n">
        <v>0</v>
      </c>
      <c r="Q55" t="n">
        <v>1</v>
      </c>
      <c r="R55" s="2" t="inlineStr">
        <is>
          <t>Ullticka</t>
        </is>
      </c>
      <c r="S55">
        <f>HYPERLINK("https://klasma.github.io/Logging_2029/artfynd/A 55633-2024 artfynd.xlsx", "A 55633-2024")</f>
        <v/>
      </c>
      <c r="T55">
        <f>HYPERLINK("https://klasma.github.io/Logging_2029/kartor/A 55633-2024 karta.png", "A 55633-2024")</f>
        <v/>
      </c>
      <c r="V55">
        <f>HYPERLINK("https://klasma.github.io/Logging_2029/klagomål/A 55633-2024 FSC-klagomål.docx", "A 55633-2024")</f>
        <v/>
      </c>
      <c r="W55">
        <f>HYPERLINK("https://klasma.github.io/Logging_2029/klagomålsmail/A 55633-2024 FSC-klagomål mail.docx", "A 55633-2024")</f>
        <v/>
      </c>
      <c r="X55">
        <f>HYPERLINK("https://klasma.github.io/Logging_2029/tillsyn/A 55633-2024 tillsynsbegäran.docx", "A 55633-2024")</f>
        <v/>
      </c>
      <c r="Y55">
        <f>HYPERLINK("https://klasma.github.io/Logging_2029/tillsynsmail/A 55633-2024 tillsynsbegäran mail.docx", "A 55633-2024")</f>
        <v/>
      </c>
    </row>
    <row r="56" ht="15" customHeight="1">
      <c r="A56" t="inlineStr">
        <is>
          <t>A 164-2023</t>
        </is>
      </c>
      <c r="B56" s="1" t="n">
        <v>44918</v>
      </c>
      <c r="C56" s="1" t="n">
        <v>46204</v>
      </c>
      <c r="D56" t="inlineStr">
        <is>
          <t>DALARNAS LÄN</t>
        </is>
      </c>
      <c r="E56" t="inlineStr">
        <is>
          <t>LEKSAND</t>
        </is>
      </c>
      <c r="G56" t="n">
        <v>0.7</v>
      </c>
      <c r="H56" t="n">
        <v>0</v>
      </c>
      <c r="I56" t="n">
        <v>0</v>
      </c>
      <c r="J56" t="n">
        <v>1</v>
      </c>
      <c r="K56" t="n">
        <v>0</v>
      </c>
      <c r="L56" t="n">
        <v>0</v>
      </c>
      <c r="M56" t="n">
        <v>0</v>
      </c>
      <c r="N56" t="n">
        <v>0</v>
      </c>
      <c r="O56" t="n">
        <v>1</v>
      </c>
      <c r="P56" t="n">
        <v>0</v>
      </c>
      <c r="Q56" t="n">
        <v>1</v>
      </c>
      <c r="R56" s="2" t="inlineStr">
        <is>
          <t>Skogshare</t>
        </is>
      </c>
      <c r="S56">
        <f>HYPERLINK("https://klasma.github.io/Logging_2029/artfynd/A 164-2023 artfynd.xlsx", "A 164-2023")</f>
        <v/>
      </c>
      <c r="T56">
        <f>HYPERLINK("https://klasma.github.io/Logging_2029/kartor/A 164-2023 karta.png", "A 164-2023")</f>
        <v/>
      </c>
      <c r="V56">
        <f>HYPERLINK("https://klasma.github.io/Logging_2029/klagomål/A 164-2023 FSC-klagomål.docx", "A 164-2023")</f>
        <v/>
      </c>
      <c r="W56">
        <f>HYPERLINK("https://klasma.github.io/Logging_2029/klagomålsmail/A 164-2023 FSC-klagomål mail.docx", "A 164-2023")</f>
        <v/>
      </c>
      <c r="X56">
        <f>HYPERLINK("https://klasma.github.io/Logging_2029/tillsyn/A 164-2023 tillsynsbegäran.docx", "A 164-2023")</f>
        <v/>
      </c>
      <c r="Y56">
        <f>HYPERLINK("https://klasma.github.io/Logging_2029/tillsynsmail/A 164-2023 tillsynsbegäran mail.docx", "A 164-2023")</f>
        <v/>
      </c>
    </row>
    <row r="57" ht="15" customHeight="1">
      <c r="A57" t="inlineStr">
        <is>
          <t>A 4257-2022</t>
        </is>
      </c>
      <c r="B57" s="1" t="n">
        <v>44588</v>
      </c>
      <c r="C57" s="1" t="n">
        <v>46204</v>
      </c>
      <c r="D57" t="inlineStr">
        <is>
          <t>DALARNAS LÄN</t>
        </is>
      </c>
      <c r="E57" t="inlineStr">
        <is>
          <t>LEKSAND</t>
        </is>
      </c>
      <c r="G57" t="n">
        <v>6.8</v>
      </c>
      <c r="H57" t="n">
        <v>1</v>
      </c>
      <c r="I57" t="n">
        <v>1</v>
      </c>
      <c r="J57" t="n">
        <v>0</v>
      </c>
      <c r="K57" t="n">
        <v>0</v>
      </c>
      <c r="L57" t="n">
        <v>0</v>
      </c>
      <c r="M57" t="n">
        <v>0</v>
      </c>
      <c r="N57" t="n">
        <v>0</v>
      </c>
      <c r="O57" t="n">
        <v>0</v>
      </c>
      <c r="P57" t="n">
        <v>0</v>
      </c>
      <c r="Q57" t="n">
        <v>1</v>
      </c>
      <c r="R57" s="2" t="inlineStr">
        <is>
          <t>Skogsknipprot</t>
        </is>
      </c>
      <c r="S57">
        <f>HYPERLINK("https://klasma.github.io/Logging_2029/artfynd/A 4257-2022 artfynd.xlsx", "A 4257-2022")</f>
        <v/>
      </c>
      <c r="T57">
        <f>HYPERLINK("https://klasma.github.io/Logging_2029/kartor/A 4257-2022 karta.png", "A 4257-2022")</f>
        <v/>
      </c>
      <c r="V57">
        <f>HYPERLINK("https://klasma.github.io/Logging_2029/klagomål/A 4257-2022 FSC-klagomål.docx", "A 4257-2022")</f>
        <v/>
      </c>
      <c r="W57">
        <f>HYPERLINK("https://klasma.github.io/Logging_2029/klagomålsmail/A 4257-2022 FSC-klagomål mail.docx", "A 4257-2022")</f>
        <v/>
      </c>
      <c r="X57">
        <f>HYPERLINK("https://klasma.github.io/Logging_2029/tillsyn/A 4257-2022 tillsynsbegäran.docx", "A 4257-2022")</f>
        <v/>
      </c>
      <c r="Y57">
        <f>HYPERLINK("https://klasma.github.io/Logging_2029/tillsynsmail/A 4257-2022 tillsynsbegäran mail.docx", "A 4257-2022")</f>
        <v/>
      </c>
    </row>
    <row r="58" ht="15" customHeight="1">
      <c r="A58" t="inlineStr">
        <is>
          <t>A 32726-2025</t>
        </is>
      </c>
      <c r="B58" s="1" t="n">
        <v>45839</v>
      </c>
      <c r="C58" s="1" t="n">
        <v>46204</v>
      </c>
      <c r="D58" t="inlineStr">
        <is>
          <t>DALARNAS LÄN</t>
        </is>
      </c>
      <c r="E58" t="inlineStr">
        <is>
          <t>LEKSAND</t>
        </is>
      </c>
      <c r="F58" t="inlineStr">
        <is>
          <t>Bergvik skog väst AB</t>
        </is>
      </c>
      <c r="G58" t="n">
        <v>2.5</v>
      </c>
      <c r="H58" t="n">
        <v>1</v>
      </c>
      <c r="I58" t="n">
        <v>0</v>
      </c>
      <c r="J58" t="n">
        <v>0</v>
      </c>
      <c r="K58" t="n">
        <v>0</v>
      </c>
      <c r="L58" t="n">
        <v>0</v>
      </c>
      <c r="M58" t="n">
        <v>0</v>
      </c>
      <c r="N58" t="n">
        <v>0</v>
      </c>
      <c r="O58" t="n">
        <v>0</v>
      </c>
      <c r="P58" t="n">
        <v>0</v>
      </c>
      <c r="Q58" t="n">
        <v>1</v>
      </c>
      <c r="R58" s="2" t="inlineStr">
        <is>
          <t>Fläcknycklar</t>
        </is>
      </c>
      <c r="S58">
        <f>HYPERLINK("https://klasma.github.io/Logging_2029/artfynd/A 32726-2025 artfynd.xlsx", "A 32726-2025")</f>
        <v/>
      </c>
      <c r="T58">
        <f>HYPERLINK("https://klasma.github.io/Logging_2029/kartor/A 32726-2025 karta.png", "A 32726-2025")</f>
        <v/>
      </c>
      <c r="V58">
        <f>HYPERLINK("https://klasma.github.io/Logging_2029/klagomål/A 32726-2025 FSC-klagomål.docx", "A 32726-2025")</f>
        <v/>
      </c>
      <c r="W58">
        <f>HYPERLINK("https://klasma.github.io/Logging_2029/klagomålsmail/A 32726-2025 FSC-klagomål mail.docx", "A 32726-2025")</f>
        <v/>
      </c>
      <c r="X58">
        <f>HYPERLINK("https://klasma.github.io/Logging_2029/tillsyn/A 32726-2025 tillsynsbegäran.docx", "A 32726-2025")</f>
        <v/>
      </c>
      <c r="Y58">
        <f>HYPERLINK("https://klasma.github.io/Logging_2029/tillsynsmail/A 32726-2025 tillsynsbegäran mail.docx", "A 32726-2025")</f>
        <v/>
      </c>
    </row>
    <row r="59" ht="15" customHeight="1">
      <c r="A59" t="inlineStr">
        <is>
          <t>A 5582-2024</t>
        </is>
      </c>
      <c r="B59" s="1" t="n">
        <v>45334</v>
      </c>
      <c r="C59" s="1" t="n">
        <v>46204</v>
      </c>
      <c r="D59" t="inlineStr">
        <is>
          <t>DALARNAS LÄN</t>
        </is>
      </c>
      <c r="E59" t="inlineStr">
        <is>
          <t>LEKSAND</t>
        </is>
      </c>
      <c r="G59" t="n">
        <v>0.5</v>
      </c>
      <c r="H59" t="n">
        <v>0</v>
      </c>
      <c r="I59" t="n">
        <v>0</v>
      </c>
      <c r="J59" t="n">
        <v>1</v>
      </c>
      <c r="K59" t="n">
        <v>0</v>
      </c>
      <c r="L59" t="n">
        <v>0</v>
      </c>
      <c r="M59" t="n">
        <v>0</v>
      </c>
      <c r="N59" t="n">
        <v>0</v>
      </c>
      <c r="O59" t="n">
        <v>1</v>
      </c>
      <c r="P59" t="n">
        <v>0</v>
      </c>
      <c r="Q59" t="n">
        <v>1</v>
      </c>
      <c r="R59" s="2" t="inlineStr">
        <is>
          <t>Scharlakansvaxing</t>
        </is>
      </c>
      <c r="S59">
        <f>HYPERLINK("https://klasma.github.io/Logging_2029/artfynd/A 5582-2024 artfynd.xlsx", "A 5582-2024")</f>
        <v/>
      </c>
      <c r="T59">
        <f>HYPERLINK("https://klasma.github.io/Logging_2029/kartor/A 5582-2024 karta.png", "A 5582-2024")</f>
        <v/>
      </c>
      <c r="V59">
        <f>HYPERLINK("https://klasma.github.io/Logging_2029/klagomål/A 5582-2024 FSC-klagomål.docx", "A 5582-2024")</f>
        <v/>
      </c>
      <c r="W59">
        <f>HYPERLINK("https://klasma.github.io/Logging_2029/klagomålsmail/A 5582-2024 FSC-klagomål mail.docx", "A 5582-2024")</f>
        <v/>
      </c>
      <c r="X59">
        <f>HYPERLINK("https://klasma.github.io/Logging_2029/tillsyn/A 5582-2024 tillsynsbegäran.docx", "A 5582-2024")</f>
        <v/>
      </c>
      <c r="Y59">
        <f>HYPERLINK("https://klasma.github.io/Logging_2029/tillsynsmail/A 5582-2024 tillsynsbegäran mail.docx", "A 5582-2024")</f>
        <v/>
      </c>
    </row>
    <row r="60" ht="15" customHeight="1">
      <c r="A60" t="inlineStr">
        <is>
          <t>A 53438-2025</t>
        </is>
      </c>
      <c r="B60" s="1" t="n">
        <v>45959</v>
      </c>
      <c r="C60" s="1" t="n">
        <v>46204</v>
      </c>
      <c r="D60" t="inlineStr">
        <is>
          <t>DALARNAS LÄN</t>
        </is>
      </c>
      <c r="E60" t="inlineStr">
        <is>
          <t>LEKSAND</t>
        </is>
      </c>
      <c r="G60" t="n">
        <v>1.2</v>
      </c>
      <c r="H60" t="n">
        <v>1</v>
      </c>
      <c r="I60" t="n">
        <v>0</v>
      </c>
      <c r="J60" t="n">
        <v>0</v>
      </c>
      <c r="K60" t="n">
        <v>0</v>
      </c>
      <c r="L60" t="n">
        <v>0</v>
      </c>
      <c r="M60" t="n">
        <v>0</v>
      </c>
      <c r="N60" t="n">
        <v>0</v>
      </c>
      <c r="O60" t="n">
        <v>0</v>
      </c>
      <c r="P60" t="n">
        <v>0</v>
      </c>
      <c r="Q60" t="n">
        <v>1</v>
      </c>
      <c r="R60" s="2" t="inlineStr">
        <is>
          <t>Tjäder</t>
        </is>
      </c>
      <c r="S60">
        <f>HYPERLINK("https://klasma.github.io/Logging_2029/artfynd/A 53438-2025 artfynd.xlsx", "A 53438-2025")</f>
        <v/>
      </c>
      <c r="T60">
        <f>HYPERLINK("https://klasma.github.io/Logging_2029/kartor/A 53438-2025 karta.png", "A 53438-2025")</f>
        <v/>
      </c>
      <c r="V60">
        <f>HYPERLINK("https://klasma.github.io/Logging_2029/klagomål/A 53438-2025 FSC-klagomål.docx", "A 53438-2025")</f>
        <v/>
      </c>
      <c r="W60">
        <f>HYPERLINK("https://klasma.github.io/Logging_2029/klagomålsmail/A 53438-2025 FSC-klagomål mail.docx", "A 53438-2025")</f>
        <v/>
      </c>
      <c r="X60">
        <f>HYPERLINK("https://klasma.github.io/Logging_2029/tillsyn/A 53438-2025 tillsynsbegäran.docx", "A 53438-2025")</f>
        <v/>
      </c>
      <c r="Y60">
        <f>HYPERLINK("https://klasma.github.io/Logging_2029/tillsynsmail/A 53438-2025 tillsynsbegäran mail.docx", "A 53438-2025")</f>
        <v/>
      </c>
      <c r="Z60">
        <f>HYPERLINK("https://klasma.github.io/Logging_2029/fåglar/A 53438-2025 prioriterade fågelarter.docx", "A 53438-2025")</f>
        <v/>
      </c>
    </row>
    <row r="61" ht="15" customHeight="1">
      <c r="A61" t="inlineStr">
        <is>
          <t>A 53619-2025</t>
        </is>
      </c>
      <c r="B61" s="1" t="n">
        <v>45960</v>
      </c>
      <c r="C61" s="1" t="n">
        <v>46204</v>
      </c>
      <c r="D61" t="inlineStr">
        <is>
          <t>DALARNAS LÄN</t>
        </is>
      </c>
      <c r="E61" t="inlineStr">
        <is>
          <t>LEKSAND</t>
        </is>
      </c>
      <c r="F61" t="inlineStr">
        <is>
          <t>Bergvik skog väst AB</t>
        </is>
      </c>
      <c r="G61" t="n">
        <v>1.8</v>
      </c>
      <c r="H61" t="n">
        <v>1</v>
      </c>
      <c r="I61" t="n">
        <v>0</v>
      </c>
      <c r="J61" t="n">
        <v>0</v>
      </c>
      <c r="K61" t="n">
        <v>0</v>
      </c>
      <c r="L61" t="n">
        <v>0</v>
      </c>
      <c r="M61" t="n">
        <v>0</v>
      </c>
      <c r="N61" t="n">
        <v>0</v>
      </c>
      <c r="O61" t="n">
        <v>0</v>
      </c>
      <c r="P61" t="n">
        <v>0</v>
      </c>
      <c r="Q61" t="n">
        <v>1</v>
      </c>
      <c r="R61" s="2" t="inlineStr">
        <is>
          <t>Utter</t>
        </is>
      </c>
      <c r="S61">
        <f>HYPERLINK("https://klasma.github.io/Logging_2029/artfynd/A 53619-2025 artfynd.xlsx", "A 53619-2025")</f>
        <v/>
      </c>
      <c r="T61">
        <f>HYPERLINK("https://klasma.github.io/Logging_2029/kartor/A 53619-2025 karta.png", "A 53619-2025")</f>
        <v/>
      </c>
      <c r="V61">
        <f>HYPERLINK("https://klasma.github.io/Logging_2029/klagomål/A 53619-2025 FSC-klagomål.docx", "A 53619-2025")</f>
        <v/>
      </c>
      <c r="W61">
        <f>HYPERLINK("https://klasma.github.io/Logging_2029/klagomålsmail/A 53619-2025 FSC-klagomål mail.docx", "A 53619-2025")</f>
        <v/>
      </c>
      <c r="X61">
        <f>HYPERLINK("https://klasma.github.io/Logging_2029/tillsyn/A 53619-2025 tillsynsbegäran.docx", "A 53619-2025")</f>
        <v/>
      </c>
      <c r="Y61">
        <f>HYPERLINK("https://klasma.github.io/Logging_2029/tillsynsmail/A 53619-2025 tillsynsbegäran mail.docx", "A 53619-2025")</f>
        <v/>
      </c>
    </row>
    <row r="62" ht="15" customHeight="1">
      <c r="A62" t="inlineStr">
        <is>
          <t>A 15120-2023</t>
        </is>
      </c>
      <c r="B62" s="1" t="n">
        <v>45016</v>
      </c>
      <c r="C62" s="1" t="n">
        <v>46204</v>
      </c>
      <c r="D62" t="inlineStr">
        <is>
          <t>DALARNAS LÄN</t>
        </is>
      </c>
      <c r="E62" t="inlineStr">
        <is>
          <t>LEKSAND</t>
        </is>
      </c>
      <c r="G62" t="n">
        <v>2.7</v>
      </c>
      <c r="H62" t="n">
        <v>1</v>
      </c>
      <c r="I62" t="n">
        <v>0</v>
      </c>
      <c r="J62" t="n">
        <v>0</v>
      </c>
      <c r="K62" t="n">
        <v>0</v>
      </c>
      <c r="L62" t="n">
        <v>0</v>
      </c>
      <c r="M62" t="n">
        <v>0</v>
      </c>
      <c r="N62" t="n">
        <v>0</v>
      </c>
      <c r="O62" t="n">
        <v>0</v>
      </c>
      <c r="P62" t="n">
        <v>0</v>
      </c>
      <c r="Q62" t="n">
        <v>1</v>
      </c>
      <c r="R62" s="2" t="inlineStr">
        <is>
          <t>Kungsfågel</t>
        </is>
      </c>
      <c r="S62">
        <f>HYPERLINK("https://klasma.github.io/Logging_2029/artfynd/A 15120-2023 artfynd.xlsx", "A 15120-2023")</f>
        <v/>
      </c>
      <c r="T62">
        <f>HYPERLINK("https://klasma.github.io/Logging_2029/kartor/A 15120-2023 karta.png", "A 15120-2023")</f>
        <v/>
      </c>
      <c r="V62">
        <f>HYPERLINK("https://klasma.github.io/Logging_2029/klagomål/A 15120-2023 FSC-klagomål.docx", "A 15120-2023")</f>
        <v/>
      </c>
      <c r="W62">
        <f>HYPERLINK("https://klasma.github.io/Logging_2029/klagomålsmail/A 15120-2023 FSC-klagomål mail.docx", "A 15120-2023")</f>
        <v/>
      </c>
      <c r="X62">
        <f>HYPERLINK("https://klasma.github.io/Logging_2029/tillsyn/A 15120-2023 tillsynsbegäran.docx", "A 15120-2023")</f>
        <v/>
      </c>
      <c r="Y62">
        <f>HYPERLINK("https://klasma.github.io/Logging_2029/tillsynsmail/A 15120-2023 tillsynsbegäran mail.docx", "A 15120-2023")</f>
        <v/>
      </c>
    </row>
    <row r="63" ht="15" customHeight="1">
      <c r="A63" t="inlineStr">
        <is>
          <t>A 20946-2023</t>
        </is>
      </c>
      <c r="B63" s="1" t="n">
        <v>45061</v>
      </c>
      <c r="C63" s="1" t="n">
        <v>46204</v>
      </c>
      <c r="D63" t="inlineStr">
        <is>
          <t>DALARNAS LÄN</t>
        </is>
      </c>
      <c r="E63" t="inlineStr">
        <is>
          <t>LEKSAND</t>
        </is>
      </c>
      <c r="G63" t="n">
        <v>2.7</v>
      </c>
      <c r="H63" t="n">
        <v>1</v>
      </c>
      <c r="I63" t="n">
        <v>0</v>
      </c>
      <c r="J63" t="n">
        <v>0</v>
      </c>
      <c r="K63" t="n">
        <v>1</v>
      </c>
      <c r="L63" t="n">
        <v>0</v>
      </c>
      <c r="M63" t="n">
        <v>0</v>
      </c>
      <c r="N63" t="n">
        <v>0</v>
      </c>
      <c r="O63" t="n">
        <v>1</v>
      </c>
      <c r="P63" t="n">
        <v>1</v>
      </c>
      <c r="Q63" t="n">
        <v>1</v>
      </c>
      <c r="R63" s="2" t="inlineStr">
        <is>
          <t>Väddnätfjäril</t>
        </is>
      </c>
      <c r="S63">
        <f>HYPERLINK("https://klasma.github.io/Logging_2029/artfynd/A 20946-2023 artfynd.xlsx", "A 20946-2023")</f>
        <v/>
      </c>
      <c r="T63">
        <f>HYPERLINK("https://klasma.github.io/Logging_2029/kartor/A 20946-2023 karta.png", "A 20946-2023")</f>
        <v/>
      </c>
      <c r="V63">
        <f>HYPERLINK("https://klasma.github.io/Logging_2029/klagomål/A 20946-2023 FSC-klagomål.docx", "A 20946-2023")</f>
        <v/>
      </c>
      <c r="W63">
        <f>HYPERLINK("https://klasma.github.io/Logging_2029/klagomålsmail/A 20946-2023 FSC-klagomål mail.docx", "A 20946-2023")</f>
        <v/>
      </c>
      <c r="X63">
        <f>HYPERLINK("https://klasma.github.io/Logging_2029/tillsyn/A 20946-2023 tillsynsbegäran.docx", "A 20946-2023")</f>
        <v/>
      </c>
      <c r="Y63">
        <f>HYPERLINK("https://klasma.github.io/Logging_2029/tillsynsmail/A 20946-2023 tillsynsbegäran mail.docx", "A 20946-2023")</f>
        <v/>
      </c>
    </row>
    <row r="64" ht="15" customHeight="1">
      <c r="A64" t="inlineStr">
        <is>
          <t>A 57869-2025</t>
        </is>
      </c>
      <c r="B64" s="1" t="n">
        <v>45981</v>
      </c>
      <c r="C64" s="1" t="n">
        <v>46204</v>
      </c>
      <c r="D64" t="inlineStr">
        <is>
          <t>DALARNAS LÄN</t>
        </is>
      </c>
      <c r="E64" t="inlineStr">
        <is>
          <t>LEKSAND</t>
        </is>
      </c>
      <c r="G64" t="n">
        <v>0.6</v>
      </c>
      <c r="H64" t="n">
        <v>1</v>
      </c>
      <c r="I64" t="n">
        <v>0</v>
      </c>
      <c r="J64" t="n">
        <v>0</v>
      </c>
      <c r="K64" t="n">
        <v>0</v>
      </c>
      <c r="L64" t="n">
        <v>0</v>
      </c>
      <c r="M64" t="n">
        <v>0</v>
      </c>
      <c r="N64" t="n">
        <v>0</v>
      </c>
      <c r="O64" t="n">
        <v>0</v>
      </c>
      <c r="P64" t="n">
        <v>0</v>
      </c>
      <c r="Q64" t="n">
        <v>1</v>
      </c>
      <c r="R64" s="2" t="inlineStr">
        <is>
          <t>Utter</t>
        </is>
      </c>
      <c r="S64">
        <f>HYPERLINK("https://klasma.github.io/Logging_2029/artfynd/A 57869-2025 artfynd.xlsx", "A 57869-2025")</f>
        <v/>
      </c>
      <c r="T64">
        <f>HYPERLINK("https://klasma.github.io/Logging_2029/kartor/A 57869-2025 karta.png", "A 57869-2025")</f>
        <v/>
      </c>
      <c r="V64">
        <f>HYPERLINK("https://klasma.github.io/Logging_2029/klagomål/A 57869-2025 FSC-klagomål.docx", "A 57869-2025")</f>
        <v/>
      </c>
      <c r="W64">
        <f>HYPERLINK("https://klasma.github.io/Logging_2029/klagomålsmail/A 57869-2025 FSC-klagomål mail.docx", "A 57869-2025")</f>
        <v/>
      </c>
      <c r="X64">
        <f>HYPERLINK("https://klasma.github.io/Logging_2029/tillsyn/A 57869-2025 tillsynsbegäran.docx", "A 57869-2025")</f>
        <v/>
      </c>
      <c r="Y64">
        <f>HYPERLINK("https://klasma.github.io/Logging_2029/tillsynsmail/A 57869-2025 tillsynsbegäran mail.docx", "A 57869-2025")</f>
        <v/>
      </c>
    </row>
    <row r="65" ht="15" customHeight="1">
      <c r="A65" t="inlineStr">
        <is>
          <t>A 53122-2023</t>
        </is>
      </c>
      <c r="B65" s="1" t="n">
        <v>45228</v>
      </c>
      <c r="C65" s="1" t="n">
        <v>46204</v>
      </c>
      <c r="D65" t="inlineStr">
        <is>
          <t>DALARNAS LÄN</t>
        </is>
      </c>
      <c r="E65" t="inlineStr">
        <is>
          <t>LEKSAND</t>
        </is>
      </c>
      <c r="G65" t="n">
        <v>1.9</v>
      </c>
      <c r="H65" t="n">
        <v>1</v>
      </c>
      <c r="I65" t="n">
        <v>0</v>
      </c>
      <c r="J65" t="n">
        <v>0</v>
      </c>
      <c r="K65" t="n">
        <v>0</v>
      </c>
      <c r="L65" t="n">
        <v>0</v>
      </c>
      <c r="M65" t="n">
        <v>0</v>
      </c>
      <c r="N65" t="n">
        <v>0</v>
      </c>
      <c r="O65" t="n">
        <v>0</v>
      </c>
      <c r="P65" t="n">
        <v>0</v>
      </c>
      <c r="Q65" t="n">
        <v>1</v>
      </c>
      <c r="R65" s="2" t="inlineStr">
        <is>
          <t>Trana</t>
        </is>
      </c>
      <c r="S65">
        <f>HYPERLINK("https://klasma.github.io/Logging_2029/artfynd/A 53122-2023 artfynd.xlsx", "A 53122-2023")</f>
        <v/>
      </c>
      <c r="T65">
        <f>HYPERLINK("https://klasma.github.io/Logging_2029/kartor/A 53122-2023 karta.png", "A 53122-2023")</f>
        <v/>
      </c>
      <c r="V65">
        <f>HYPERLINK("https://klasma.github.io/Logging_2029/klagomål/A 53122-2023 FSC-klagomål.docx", "A 53122-2023")</f>
        <v/>
      </c>
      <c r="W65">
        <f>HYPERLINK("https://klasma.github.io/Logging_2029/klagomålsmail/A 53122-2023 FSC-klagomål mail.docx", "A 53122-2023")</f>
        <v/>
      </c>
      <c r="X65">
        <f>HYPERLINK("https://klasma.github.io/Logging_2029/tillsyn/A 53122-2023 tillsynsbegäran.docx", "A 53122-2023")</f>
        <v/>
      </c>
      <c r="Y65">
        <f>HYPERLINK("https://klasma.github.io/Logging_2029/tillsynsmail/A 53122-2023 tillsynsbegäran mail.docx", "A 53122-2023")</f>
        <v/>
      </c>
      <c r="Z65">
        <f>HYPERLINK("https://klasma.github.io/Logging_2029/fåglar/A 53122-2023 prioriterade fågelarter.docx", "A 53122-2023")</f>
        <v/>
      </c>
    </row>
    <row r="66" ht="15" customHeight="1">
      <c r="A66" t="inlineStr">
        <is>
          <t>A 53633-2024</t>
        </is>
      </c>
      <c r="B66" s="1" t="n">
        <v>45614</v>
      </c>
      <c r="C66" s="1" t="n">
        <v>46204</v>
      </c>
      <c r="D66" t="inlineStr">
        <is>
          <t>DALARNAS LÄN</t>
        </is>
      </c>
      <c r="E66" t="inlineStr">
        <is>
          <t>LEKSAND</t>
        </is>
      </c>
      <c r="G66" t="n">
        <v>1.6</v>
      </c>
      <c r="H66" t="n">
        <v>1</v>
      </c>
      <c r="I66" t="n">
        <v>0</v>
      </c>
      <c r="J66" t="n">
        <v>1</v>
      </c>
      <c r="K66" t="n">
        <v>0</v>
      </c>
      <c r="L66" t="n">
        <v>0</v>
      </c>
      <c r="M66" t="n">
        <v>0</v>
      </c>
      <c r="N66" t="n">
        <v>0</v>
      </c>
      <c r="O66" t="n">
        <v>1</v>
      </c>
      <c r="P66" t="n">
        <v>0</v>
      </c>
      <c r="Q66" t="n">
        <v>1</v>
      </c>
      <c r="R66" s="2" t="inlineStr">
        <is>
          <t>Tretåig hackspett</t>
        </is>
      </c>
      <c r="S66">
        <f>HYPERLINK("https://klasma.github.io/Logging_2029/artfynd/A 53633-2024 artfynd.xlsx", "A 53633-2024")</f>
        <v/>
      </c>
      <c r="T66">
        <f>HYPERLINK("https://klasma.github.io/Logging_2029/kartor/A 53633-2024 karta.png", "A 53633-2024")</f>
        <v/>
      </c>
      <c r="V66">
        <f>HYPERLINK("https://klasma.github.io/Logging_2029/klagomål/A 53633-2024 FSC-klagomål.docx", "A 53633-2024")</f>
        <v/>
      </c>
      <c r="W66">
        <f>HYPERLINK("https://klasma.github.io/Logging_2029/klagomålsmail/A 53633-2024 FSC-klagomål mail.docx", "A 53633-2024")</f>
        <v/>
      </c>
      <c r="X66">
        <f>HYPERLINK("https://klasma.github.io/Logging_2029/tillsyn/A 53633-2024 tillsynsbegäran.docx", "A 53633-2024")</f>
        <v/>
      </c>
      <c r="Y66">
        <f>HYPERLINK("https://klasma.github.io/Logging_2029/tillsynsmail/A 53633-2024 tillsynsbegäran mail.docx", "A 53633-2024")</f>
        <v/>
      </c>
      <c r="Z66">
        <f>HYPERLINK("https://klasma.github.io/Logging_2029/fåglar/A 53633-2024 prioriterade fågelarter.docx", "A 53633-2024")</f>
        <v/>
      </c>
    </row>
    <row r="67" ht="15" customHeight="1">
      <c r="A67" t="inlineStr">
        <is>
          <t>A 17461-2026</t>
        </is>
      </c>
      <c r="B67" s="1" t="n">
        <v>46120</v>
      </c>
      <c r="C67" s="1" t="n">
        <v>46204</v>
      </c>
      <c r="D67" t="inlineStr">
        <is>
          <t>DALARNAS LÄN</t>
        </is>
      </c>
      <c r="E67" t="inlineStr">
        <is>
          <t>LEKSAND</t>
        </is>
      </c>
      <c r="G67" t="n">
        <v>1.3</v>
      </c>
      <c r="H67" t="n">
        <v>1</v>
      </c>
      <c r="I67" t="n">
        <v>0</v>
      </c>
      <c r="J67" t="n">
        <v>0</v>
      </c>
      <c r="K67" t="n">
        <v>1</v>
      </c>
      <c r="L67" t="n">
        <v>0</v>
      </c>
      <c r="M67" t="n">
        <v>0</v>
      </c>
      <c r="N67" t="n">
        <v>0</v>
      </c>
      <c r="O67" t="n">
        <v>1</v>
      </c>
      <c r="P67" t="n">
        <v>1</v>
      </c>
      <c r="Q67" t="n">
        <v>1</v>
      </c>
      <c r="R67" s="2" t="inlineStr">
        <is>
          <t>Brun gräsfjäril</t>
        </is>
      </c>
      <c r="S67">
        <f>HYPERLINK("https://klasma.github.io/Logging_2029/artfynd/A 17461-2026 artfynd.xlsx", "A 17461-2026")</f>
        <v/>
      </c>
      <c r="T67">
        <f>HYPERLINK("https://klasma.github.io/Logging_2029/kartor/A 17461-2026 karta.png", "A 17461-2026")</f>
        <v/>
      </c>
      <c r="V67">
        <f>HYPERLINK("https://klasma.github.io/Logging_2029/klagomål/A 17461-2026 FSC-klagomål.docx", "A 17461-2026")</f>
        <v/>
      </c>
      <c r="W67">
        <f>HYPERLINK("https://klasma.github.io/Logging_2029/klagomålsmail/A 17461-2026 FSC-klagomål mail.docx", "A 17461-2026")</f>
        <v/>
      </c>
      <c r="X67">
        <f>HYPERLINK("https://klasma.github.io/Logging_2029/tillsyn/A 17461-2026 tillsynsbegäran.docx", "A 17461-2026")</f>
        <v/>
      </c>
      <c r="Y67">
        <f>HYPERLINK("https://klasma.github.io/Logging_2029/tillsynsmail/A 17461-2026 tillsynsbegäran mail.docx", "A 17461-2026")</f>
        <v/>
      </c>
    </row>
    <row r="68" ht="15" customHeight="1">
      <c r="A68" t="inlineStr">
        <is>
          <t>A 59271-2025</t>
        </is>
      </c>
      <c r="B68" s="1" t="n">
        <v>45988</v>
      </c>
      <c r="C68" s="1" t="n">
        <v>46204</v>
      </c>
      <c r="D68" t="inlineStr">
        <is>
          <t>DALARNAS LÄN</t>
        </is>
      </c>
      <c r="E68" t="inlineStr">
        <is>
          <t>LEKSAND</t>
        </is>
      </c>
      <c r="G68" t="n">
        <v>2.2</v>
      </c>
      <c r="H68" t="n">
        <v>0</v>
      </c>
      <c r="I68" t="n">
        <v>1</v>
      </c>
      <c r="J68" t="n">
        <v>0</v>
      </c>
      <c r="K68" t="n">
        <v>0</v>
      </c>
      <c r="L68" t="n">
        <v>0</v>
      </c>
      <c r="M68" t="n">
        <v>0</v>
      </c>
      <c r="N68" t="n">
        <v>0</v>
      </c>
      <c r="O68" t="n">
        <v>0</v>
      </c>
      <c r="P68" t="n">
        <v>0</v>
      </c>
      <c r="Q68" t="n">
        <v>1</v>
      </c>
      <c r="R68" s="2" t="inlineStr">
        <is>
          <t>Brun nållav</t>
        </is>
      </c>
      <c r="S68">
        <f>HYPERLINK("https://klasma.github.io/Logging_2029/artfynd/A 59271-2025 artfynd.xlsx", "A 59271-2025")</f>
        <v/>
      </c>
      <c r="T68">
        <f>HYPERLINK("https://klasma.github.io/Logging_2029/kartor/A 59271-2025 karta.png", "A 59271-2025")</f>
        <v/>
      </c>
      <c r="V68">
        <f>HYPERLINK("https://klasma.github.io/Logging_2029/klagomål/A 59271-2025 FSC-klagomål.docx", "A 59271-2025")</f>
        <v/>
      </c>
      <c r="W68">
        <f>HYPERLINK("https://klasma.github.io/Logging_2029/klagomålsmail/A 59271-2025 FSC-klagomål mail.docx", "A 59271-2025")</f>
        <v/>
      </c>
      <c r="X68">
        <f>HYPERLINK("https://klasma.github.io/Logging_2029/tillsyn/A 59271-2025 tillsynsbegäran.docx", "A 59271-2025")</f>
        <v/>
      </c>
      <c r="Y68">
        <f>HYPERLINK("https://klasma.github.io/Logging_2029/tillsynsmail/A 59271-2025 tillsynsbegäran mail.docx", "A 59271-2025")</f>
        <v/>
      </c>
    </row>
    <row r="69" ht="15" customHeight="1">
      <c r="A69" t="inlineStr">
        <is>
          <t>A 3144-2026</t>
        </is>
      </c>
      <c r="B69" s="1" t="n">
        <v>46041</v>
      </c>
      <c r="C69" s="1" t="n">
        <v>46204</v>
      </c>
      <c r="D69" t="inlineStr">
        <is>
          <t>DALARNAS LÄN</t>
        </is>
      </c>
      <c r="E69" t="inlineStr">
        <is>
          <t>LEKSAND</t>
        </is>
      </c>
      <c r="G69" t="n">
        <v>4.8</v>
      </c>
      <c r="H69" t="n">
        <v>0</v>
      </c>
      <c r="I69" t="n">
        <v>0</v>
      </c>
      <c r="J69" t="n">
        <v>1</v>
      </c>
      <c r="K69" t="n">
        <v>0</v>
      </c>
      <c r="L69" t="n">
        <v>0</v>
      </c>
      <c r="M69" t="n">
        <v>0</v>
      </c>
      <c r="N69" t="n">
        <v>0</v>
      </c>
      <c r="O69" t="n">
        <v>1</v>
      </c>
      <c r="P69" t="n">
        <v>0</v>
      </c>
      <c r="Q69" t="n">
        <v>1</v>
      </c>
      <c r="R69" s="2" t="inlineStr">
        <is>
          <t>Slåtterfibbla</t>
        </is>
      </c>
      <c r="S69">
        <f>HYPERLINK("https://klasma.github.io/Logging_2029/artfynd/A 3144-2026 artfynd.xlsx", "A 3144-2026")</f>
        <v/>
      </c>
      <c r="T69">
        <f>HYPERLINK("https://klasma.github.io/Logging_2029/kartor/A 3144-2026 karta.png", "A 3144-2026")</f>
        <v/>
      </c>
      <c r="V69">
        <f>HYPERLINK("https://klasma.github.io/Logging_2029/klagomål/A 3144-2026 FSC-klagomål.docx", "A 3144-2026")</f>
        <v/>
      </c>
      <c r="W69">
        <f>HYPERLINK("https://klasma.github.io/Logging_2029/klagomålsmail/A 3144-2026 FSC-klagomål mail.docx", "A 3144-2026")</f>
        <v/>
      </c>
      <c r="X69">
        <f>HYPERLINK("https://klasma.github.io/Logging_2029/tillsyn/A 3144-2026 tillsynsbegäran.docx", "A 3144-2026")</f>
        <v/>
      </c>
      <c r="Y69">
        <f>HYPERLINK("https://klasma.github.io/Logging_2029/tillsynsmail/A 3144-2026 tillsynsbegäran mail.docx", "A 3144-2026")</f>
        <v/>
      </c>
    </row>
    <row r="70" ht="15" customHeight="1">
      <c r="A70" t="inlineStr">
        <is>
          <t>A 59751-2024</t>
        </is>
      </c>
      <c r="B70" s="1" t="n">
        <v>45638</v>
      </c>
      <c r="C70" s="1" t="n">
        <v>46204</v>
      </c>
      <c r="D70" t="inlineStr">
        <is>
          <t>DALARNAS LÄN</t>
        </is>
      </c>
      <c r="E70" t="inlineStr">
        <is>
          <t>LEKSAND</t>
        </is>
      </c>
      <c r="G70" t="n">
        <v>5.2</v>
      </c>
      <c r="H70" t="n">
        <v>1</v>
      </c>
      <c r="I70" t="n">
        <v>0</v>
      </c>
      <c r="J70" t="n">
        <v>0</v>
      </c>
      <c r="K70" t="n">
        <v>0</v>
      </c>
      <c r="L70" t="n">
        <v>0</v>
      </c>
      <c r="M70" t="n">
        <v>0</v>
      </c>
      <c r="N70" t="n">
        <v>0</v>
      </c>
      <c r="O70" t="n">
        <v>0</v>
      </c>
      <c r="P70" t="n">
        <v>0</v>
      </c>
      <c r="Q70" t="n">
        <v>1</v>
      </c>
      <c r="R70" s="2" t="inlineStr">
        <is>
          <t>Spillkråka</t>
        </is>
      </c>
      <c r="S70">
        <f>HYPERLINK("https://klasma.github.io/Logging_2029/artfynd/A 59751-2024 artfynd.xlsx", "A 59751-2024")</f>
        <v/>
      </c>
      <c r="T70">
        <f>HYPERLINK("https://klasma.github.io/Logging_2029/kartor/A 59751-2024 karta.png", "A 59751-2024")</f>
        <v/>
      </c>
      <c r="V70">
        <f>HYPERLINK("https://klasma.github.io/Logging_2029/klagomål/A 59751-2024 FSC-klagomål.docx", "A 59751-2024")</f>
        <v/>
      </c>
      <c r="W70">
        <f>HYPERLINK("https://klasma.github.io/Logging_2029/klagomålsmail/A 59751-2024 FSC-klagomål mail.docx", "A 59751-2024")</f>
        <v/>
      </c>
      <c r="X70">
        <f>HYPERLINK("https://klasma.github.io/Logging_2029/tillsyn/A 59751-2024 tillsynsbegäran.docx", "A 59751-2024")</f>
        <v/>
      </c>
      <c r="Y70">
        <f>HYPERLINK("https://klasma.github.io/Logging_2029/tillsynsmail/A 59751-2024 tillsynsbegäran mail.docx", "A 59751-2024")</f>
        <v/>
      </c>
      <c r="Z70">
        <f>HYPERLINK("https://klasma.github.io/Logging_2029/fåglar/A 59751-2024 prioriterade fågelarter.docx", "A 59751-2024")</f>
        <v/>
      </c>
    </row>
    <row r="71" ht="15" customHeight="1">
      <c r="A71" t="inlineStr">
        <is>
          <t>A 60113-2022</t>
        </is>
      </c>
      <c r="B71" s="1" t="n">
        <v>44909</v>
      </c>
      <c r="C71" s="1" t="n">
        <v>46204</v>
      </c>
      <c r="D71" t="inlineStr">
        <is>
          <t>DALARNAS LÄN</t>
        </is>
      </c>
      <c r="E71" t="inlineStr">
        <is>
          <t>LEKSAND</t>
        </is>
      </c>
      <c r="G71" t="n">
        <v>3.7</v>
      </c>
      <c r="H71" t="n">
        <v>1</v>
      </c>
      <c r="I71" t="n">
        <v>0</v>
      </c>
      <c r="J71" t="n">
        <v>0</v>
      </c>
      <c r="K71" t="n">
        <v>0</v>
      </c>
      <c r="L71" t="n">
        <v>0</v>
      </c>
      <c r="M71" t="n">
        <v>0</v>
      </c>
      <c r="N71" t="n">
        <v>0</v>
      </c>
      <c r="O71" t="n">
        <v>0</v>
      </c>
      <c r="P71" t="n">
        <v>0</v>
      </c>
      <c r="Q71" t="n">
        <v>1</v>
      </c>
      <c r="R71" s="2" t="inlineStr">
        <is>
          <t>Slaguggla</t>
        </is>
      </c>
      <c r="S71">
        <f>HYPERLINK("https://klasma.github.io/Logging_2029/artfynd/A 60113-2022 artfynd.xlsx", "A 60113-2022")</f>
        <v/>
      </c>
      <c r="T71">
        <f>HYPERLINK("https://klasma.github.io/Logging_2029/kartor/A 60113-2022 karta.png", "A 60113-2022")</f>
        <v/>
      </c>
      <c r="V71">
        <f>HYPERLINK("https://klasma.github.io/Logging_2029/klagomål/A 60113-2022 FSC-klagomål.docx", "A 60113-2022")</f>
        <v/>
      </c>
      <c r="W71">
        <f>HYPERLINK("https://klasma.github.io/Logging_2029/klagomålsmail/A 60113-2022 FSC-klagomål mail.docx", "A 60113-2022")</f>
        <v/>
      </c>
      <c r="X71">
        <f>HYPERLINK("https://klasma.github.io/Logging_2029/tillsyn/A 60113-2022 tillsynsbegäran.docx", "A 60113-2022")</f>
        <v/>
      </c>
      <c r="Y71">
        <f>HYPERLINK("https://klasma.github.io/Logging_2029/tillsynsmail/A 60113-2022 tillsynsbegäran mail.docx", "A 60113-2022")</f>
        <v/>
      </c>
      <c r="Z71">
        <f>HYPERLINK("https://klasma.github.io/Logging_2029/fåglar/A 60113-2022 prioriterade fågelarter.docx", "A 60113-2022")</f>
        <v/>
      </c>
    </row>
    <row r="72" ht="15" customHeight="1">
      <c r="A72" t="inlineStr">
        <is>
          <t>A 7928-2023</t>
        </is>
      </c>
      <c r="B72" s="1" t="n">
        <v>44973</v>
      </c>
      <c r="C72" s="1" t="n">
        <v>46204</v>
      </c>
      <c r="D72" t="inlineStr">
        <is>
          <t>DALARNAS LÄN</t>
        </is>
      </c>
      <c r="E72" t="inlineStr">
        <is>
          <t>LEKSAND</t>
        </is>
      </c>
      <c r="G72" t="n">
        <v>1.9</v>
      </c>
      <c r="H72" t="n">
        <v>0</v>
      </c>
      <c r="I72" t="n">
        <v>0</v>
      </c>
      <c r="J72" t="n">
        <v>1</v>
      </c>
      <c r="K72" t="n">
        <v>0</v>
      </c>
      <c r="L72" t="n">
        <v>0</v>
      </c>
      <c r="M72" t="n">
        <v>0</v>
      </c>
      <c r="N72" t="n">
        <v>0</v>
      </c>
      <c r="O72" t="n">
        <v>1</v>
      </c>
      <c r="P72" t="n">
        <v>0</v>
      </c>
      <c r="Q72" t="n">
        <v>1</v>
      </c>
      <c r="R72" s="2" t="inlineStr">
        <is>
          <t>Grantaggsvamp</t>
        </is>
      </c>
      <c r="S72">
        <f>HYPERLINK("https://klasma.github.io/Logging_2029/artfynd/A 7928-2023 artfynd.xlsx", "A 7928-2023")</f>
        <v/>
      </c>
      <c r="T72">
        <f>HYPERLINK("https://klasma.github.io/Logging_2029/kartor/A 7928-2023 karta.png", "A 7928-2023")</f>
        <v/>
      </c>
      <c r="V72">
        <f>HYPERLINK("https://klasma.github.io/Logging_2029/klagomål/A 7928-2023 FSC-klagomål.docx", "A 7928-2023")</f>
        <v/>
      </c>
      <c r="W72">
        <f>HYPERLINK("https://klasma.github.io/Logging_2029/klagomålsmail/A 7928-2023 FSC-klagomål mail.docx", "A 7928-2023")</f>
        <v/>
      </c>
      <c r="X72">
        <f>HYPERLINK("https://klasma.github.io/Logging_2029/tillsyn/A 7928-2023 tillsynsbegäran.docx", "A 7928-2023")</f>
        <v/>
      </c>
      <c r="Y72">
        <f>HYPERLINK("https://klasma.github.io/Logging_2029/tillsynsmail/A 7928-2023 tillsynsbegäran mail.docx", "A 7928-2023")</f>
        <v/>
      </c>
    </row>
    <row r="73" ht="15" customHeight="1">
      <c r="A73" t="inlineStr">
        <is>
          <t>A 164-2024</t>
        </is>
      </c>
      <c r="B73" s="1" t="n">
        <v>45294</v>
      </c>
      <c r="C73" s="1" t="n">
        <v>46204</v>
      </c>
      <c r="D73" t="inlineStr">
        <is>
          <t>DALARNAS LÄN</t>
        </is>
      </c>
      <c r="E73" t="inlineStr">
        <is>
          <t>LEKSAND</t>
        </is>
      </c>
      <c r="G73" t="n">
        <v>3.7</v>
      </c>
      <c r="H73" t="n">
        <v>1</v>
      </c>
      <c r="I73" t="n">
        <v>0</v>
      </c>
      <c r="J73" t="n">
        <v>0</v>
      </c>
      <c r="K73" t="n">
        <v>0</v>
      </c>
      <c r="L73" t="n">
        <v>0</v>
      </c>
      <c r="M73" t="n">
        <v>0</v>
      </c>
      <c r="N73" t="n">
        <v>0</v>
      </c>
      <c r="O73" t="n">
        <v>0</v>
      </c>
      <c r="P73" t="n">
        <v>0</v>
      </c>
      <c r="Q73" t="n">
        <v>1</v>
      </c>
      <c r="R73" s="2" t="inlineStr">
        <is>
          <t>Järpe</t>
        </is>
      </c>
      <c r="S73">
        <f>HYPERLINK("https://klasma.github.io/Logging_2029/artfynd/A 164-2024 artfynd.xlsx", "A 164-2024")</f>
        <v/>
      </c>
      <c r="T73">
        <f>HYPERLINK("https://klasma.github.io/Logging_2029/kartor/A 164-2024 karta.png", "A 164-2024")</f>
        <v/>
      </c>
      <c r="V73">
        <f>HYPERLINK("https://klasma.github.io/Logging_2029/klagomål/A 164-2024 FSC-klagomål.docx", "A 164-2024")</f>
        <v/>
      </c>
      <c r="W73">
        <f>HYPERLINK("https://klasma.github.io/Logging_2029/klagomålsmail/A 164-2024 FSC-klagomål mail.docx", "A 164-2024")</f>
        <v/>
      </c>
      <c r="X73">
        <f>HYPERLINK("https://klasma.github.io/Logging_2029/tillsyn/A 164-2024 tillsynsbegäran.docx", "A 164-2024")</f>
        <v/>
      </c>
      <c r="Y73">
        <f>HYPERLINK("https://klasma.github.io/Logging_2029/tillsynsmail/A 164-2024 tillsynsbegäran mail.docx", "A 164-2024")</f>
        <v/>
      </c>
      <c r="Z73">
        <f>HYPERLINK("https://klasma.github.io/Logging_2029/fåglar/A 164-2024 prioriterade fågelarter.docx", "A 164-2024")</f>
        <v/>
      </c>
    </row>
    <row r="74" ht="15" customHeight="1">
      <c r="A74" t="inlineStr">
        <is>
          <t>A 16743-2026</t>
        </is>
      </c>
      <c r="B74" s="1" t="n">
        <v>46113</v>
      </c>
      <c r="C74" s="1" t="n">
        <v>46204</v>
      </c>
      <c r="D74" t="inlineStr">
        <is>
          <t>DALARNAS LÄN</t>
        </is>
      </c>
      <c r="E74" t="inlineStr">
        <is>
          <t>LEKSAND</t>
        </is>
      </c>
      <c r="F74" t="inlineStr">
        <is>
          <t>Bergvik skog väst AB</t>
        </is>
      </c>
      <c r="G74" t="n">
        <v>32</v>
      </c>
      <c r="H74" t="n">
        <v>1</v>
      </c>
      <c r="I74" t="n">
        <v>0</v>
      </c>
      <c r="J74" t="n">
        <v>0</v>
      </c>
      <c r="K74" t="n">
        <v>0</v>
      </c>
      <c r="L74" t="n">
        <v>0</v>
      </c>
      <c r="M74" t="n">
        <v>0</v>
      </c>
      <c r="N74" t="n">
        <v>0</v>
      </c>
      <c r="O74" t="n">
        <v>0</v>
      </c>
      <c r="P74" t="n">
        <v>0</v>
      </c>
      <c r="Q74" t="n">
        <v>1</v>
      </c>
      <c r="R74" s="2" t="inlineStr">
        <is>
          <t>Järpe</t>
        </is>
      </c>
      <c r="S74">
        <f>HYPERLINK("https://klasma.github.io/Logging_2029/artfynd/A 16743-2026 artfynd.xlsx", "A 16743-2026")</f>
        <v/>
      </c>
      <c r="T74">
        <f>HYPERLINK("https://klasma.github.io/Logging_2029/kartor/A 16743-2026 karta.png", "A 16743-2026")</f>
        <v/>
      </c>
      <c r="V74">
        <f>HYPERLINK("https://klasma.github.io/Logging_2029/klagomål/A 16743-2026 FSC-klagomål.docx", "A 16743-2026")</f>
        <v/>
      </c>
      <c r="W74">
        <f>HYPERLINK("https://klasma.github.io/Logging_2029/klagomålsmail/A 16743-2026 FSC-klagomål mail.docx", "A 16743-2026")</f>
        <v/>
      </c>
      <c r="X74">
        <f>HYPERLINK("https://klasma.github.io/Logging_2029/tillsyn/A 16743-2026 tillsynsbegäran.docx", "A 16743-2026")</f>
        <v/>
      </c>
      <c r="Y74">
        <f>HYPERLINK("https://klasma.github.io/Logging_2029/tillsynsmail/A 16743-2026 tillsynsbegäran mail.docx", "A 16743-2026")</f>
        <v/>
      </c>
      <c r="Z74">
        <f>HYPERLINK("https://klasma.github.io/Logging_2029/fåglar/A 16743-2026 prioriterade fågelarter.docx", "A 16743-2026")</f>
        <v/>
      </c>
    </row>
    <row r="75" ht="15" customHeight="1">
      <c r="A75" t="inlineStr">
        <is>
          <t>A 11218-2023</t>
        </is>
      </c>
      <c r="B75" s="1" t="n">
        <v>44992</v>
      </c>
      <c r="C75" s="1" t="n">
        <v>46204</v>
      </c>
      <c r="D75" t="inlineStr">
        <is>
          <t>DALARNAS LÄN</t>
        </is>
      </c>
      <c r="E75" t="inlineStr">
        <is>
          <t>LEKSAND</t>
        </is>
      </c>
      <c r="G75" t="n">
        <v>2.6</v>
      </c>
      <c r="H75" t="n">
        <v>1</v>
      </c>
      <c r="I75" t="n">
        <v>0</v>
      </c>
      <c r="J75" t="n">
        <v>0</v>
      </c>
      <c r="K75" t="n">
        <v>1</v>
      </c>
      <c r="L75" t="n">
        <v>0</v>
      </c>
      <c r="M75" t="n">
        <v>0</v>
      </c>
      <c r="N75" t="n">
        <v>0</v>
      </c>
      <c r="O75" t="n">
        <v>1</v>
      </c>
      <c r="P75" t="n">
        <v>1</v>
      </c>
      <c r="Q75" t="n">
        <v>1</v>
      </c>
      <c r="R75" s="2" t="inlineStr">
        <is>
          <t>Knärot</t>
        </is>
      </c>
      <c r="S75">
        <f>HYPERLINK("https://klasma.github.io/Logging_2029/artfynd/A 11218-2023 artfynd.xlsx", "A 11218-2023")</f>
        <v/>
      </c>
      <c r="T75">
        <f>HYPERLINK("https://klasma.github.io/Logging_2029/kartor/A 11218-2023 karta.png", "A 11218-2023")</f>
        <v/>
      </c>
      <c r="U75">
        <f>HYPERLINK("https://klasma.github.io/Logging_2029/knärot/A 11218-2023 karta knärot.png", "A 11218-2023")</f>
        <v/>
      </c>
      <c r="V75">
        <f>HYPERLINK("https://klasma.github.io/Logging_2029/klagomål/A 11218-2023 FSC-klagomål.docx", "A 11218-2023")</f>
        <v/>
      </c>
      <c r="W75">
        <f>HYPERLINK("https://klasma.github.io/Logging_2029/klagomålsmail/A 11218-2023 FSC-klagomål mail.docx", "A 11218-2023")</f>
        <v/>
      </c>
      <c r="X75">
        <f>HYPERLINK("https://klasma.github.io/Logging_2029/tillsyn/A 11218-2023 tillsynsbegäran.docx", "A 11218-2023")</f>
        <v/>
      </c>
      <c r="Y75">
        <f>HYPERLINK("https://klasma.github.io/Logging_2029/tillsynsmail/A 11218-2023 tillsynsbegäran mail.docx", "A 11218-2023")</f>
        <v/>
      </c>
    </row>
    <row r="76" ht="15" customHeight="1">
      <c r="A76" t="inlineStr">
        <is>
          <t>A 29131-2026</t>
        </is>
      </c>
      <c r="B76" s="1" t="n">
        <v>46202</v>
      </c>
      <c r="C76" s="1" t="n">
        <v>46204</v>
      </c>
      <c r="D76" t="inlineStr">
        <is>
          <t>DALARNAS LÄN</t>
        </is>
      </c>
      <c r="E76" t="inlineStr">
        <is>
          <t>LEKSAND</t>
        </is>
      </c>
      <c r="G76" t="n">
        <v>2.2</v>
      </c>
      <c r="H76" t="n">
        <v>1</v>
      </c>
      <c r="I76" t="n">
        <v>0</v>
      </c>
      <c r="J76" t="n">
        <v>0</v>
      </c>
      <c r="K76" t="n">
        <v>0</v>
      </c>
      <c r="L76" t="n">
        <v>0</v>
      </c>
      <c r="M76" t="n">
        <v>0</v>
      </c>
      <c r="N76" t="n">
        <v>0</v>
      </c>
      <c r="O76" t="n">
        <v>0</v>
      </c>
      <c r="P76" t="n">
        <v>0</v>
      </c>
      <c r="Q76" t="n">
        <v>1</v>
      </c>
      <c r="R76" s="2" t="inlineStr">
        <is>
          <t>Spillkråka</t>
        </is>
      </c>
      <c r="S76">
        <f>HYPERLINK("https://klasma.github.io/Logging_2029/artfynd/A 29131-2026 artfynd.xlsx", "A 29131-2026")</f>
        <v/>
      </c>
      <c r="T76">
        <f>HYPERLINK("https://klasma.github.io/Logging_2029/kartor/A 29131-2026 karta.png", "A 29131-2026")</f>
        <v/>
      </c>
      <c r="V76">
        <f>HYPERLINK("https://klasma.github.io/Logging_2029/klagomål/A 29131-2026 FSC-klagomål.docx", "A 29131-2026")</f>
        <v/>
      </c>
      <c r="W76">
        <f>HYPERLINK("https://klasma.github.io/Logging_2029/klagomålsmail/A 29131-2026 FSC-klagomål mail.docx", "A 29131-2026")</f>
        <v/>
      </c>
      <c r="X76">
        <f>HYPERLINK("https://klasma.github.io/Logging_2029/tillsyn/A 29131-2026 tillsynsbegäran.docx", "A 29131-2026")</f>
        <v/>
      </c>
      <c r="Y76">
        <f>HYPERLINK("https://klasma.github.io/Logging_2029/tillsynsmail/A 29131-2026 tillsynsbegäran mail.docx", "A 29131-2026")</f>
        <v/>
      </c>
      <c r="Z76">
        <f>HYPERLINK("https://klasma.github.io/Logging_2029/fåglar/A 29131-2026 prioriterade fågelarter.docx", "A 29131-2026")</f>
        <v/>
      </c>
    </row>
    <row r="77" ht="15" customHeight="1">
      <c r="A77" t="inlineStr">
        <is>
          <t>A 26287-2023</t>
        </is>
      </c>
      <c r="B77" s="1" t="n">
        <v>45091</v>
      </c>
      <c r="C77" s="1" t="n">
        <v>46204</v>
      </c>
      <c r="D77" t="inlineStr">
        <is>
          <t>DALARNAS LÄN</t>
        </is>
      </c>
      <c r="E77" t="inlineStr">
        <is>
          <t>LEKSAND</t>
        </is>
      </c>
      <c r="G77" t="n">
        <v>2.4</v>
      </c>
      <c r="H77" t="n">
        <v>0</v>
      </c>
      <c r="I77" t="n">
        <v>1</v>
      </c>
      <c r="J77" t="n">
        <v>0</v>
      </c>
      <c r="K77" t="n">
        <v>0</v>
      </c>
      <c r="L77" t="n">
        <v>0</v>
      </c>
      <c r="M77" t="n">
        <v>0</v>
      </c>
      <c r="N77" t="n">
        <v>0</v>
      </c>
      <c r="O77" t="n">
        <v>0</v>
      </c>
      <c r="P77" t="n">
        <v>0</v>
      </c>
      <c r="Q77" t="n">
        <v>1</v>
      </c>
      <c r="R77" s="2" t="inlineStr">
        <is>
          <t>Mindre märgborre</t>
        </is>
      </c>
      <c r="S77">
        <f>HYPERLINK("https://klasma.github.io/Logging_2029/artfynd/A 26287-2023 artfynd.xlsx", "A 26287-2023")</f>
        <v/>
      </c>
      <c r="T77">
        <f>HYPERLINK("https://klasma.github.io/Logging_2029/kartor/A 26287-2023 karta.png", "A 26287-2023")</f>
        <v/>
      </c>
      <c r="V77">
        <f>HYPERLINK("https://klasma.github.io/Logging_2029/klagomål/A 26287-2023 FSC-klagomål.docx", "A 26287-2023")</f>
        <v/>
      </c>
      <c r="W77">
        <f>HYPERLINK("https://klasma.github.io/Logging_2029/klagomålsmail/A 26287-2023 FSC-klagomål mail.docx", "A 26287-2023")</f>
        <v/>
      </c>
      <c r="X77">
        <f>HYPERLINK("https://klasma.github.io/Logging_2029/tillsyn/A 26287-2023 tillsynsbegäran.docx", "A 26287-2023")</f>
        <v/>
      </c>
      <c r="Y77">
        <f>HYPERLINK("https://klasma.github.io/Logging_2029/tillsynsmail/A 26287-2023 tillsynsbegäran mail.docx", "A 26287-2023")</f>
        <v/>
      </c>
    </row>
    <row r="78" ht="15" customHeight="1">
      <c r="A78" t="inlineStr">
        <is>
          <t>A 18107-2025</t>
        </is>
      </c>
      <c r="B78" s="1" t="n">
        <v>45761</v>
      </c>
      <c r="C78" s="1" t="n">
        <v>46204</v>
      </c>
      <c r="D78" t="inlineStr">
        <is>
          <t>DALARNAS LÄN</t>
        </is>
      </c>
      <c r="E78" t="inlineStr">
        <is>
          <t>LEKSAND</t>
        </is>
      </c>
      <c r="G78" t="n">
        <v>1.2</v>
      </c>
      <c r="H78" t="n">
        <v>0</v>
      </c>
      <c r="I78" t="n">
        <v>0</v>
      </c>
      <c r="J78" t="n">
        <v>1</v>
      </c>
      <c r="K78" t="n">
        <v>0</v>
      </c>
      <c r="L78" t="n">
        <v>0</v>
      </c>
      <c r="M78" t="n">
        <v>0</v>
      </c>
      <c r="N78" t="n">
        <v>0</v>
      </c>
      <c r="O78" t="n">
        <v>1</v>
      </c>
      <c r="P78" t="n">
        <v>0</v>
      </c>
      <c r="Q78" t="n">
        <v>1</v>
      </c>
      <c r="R78" s="2" t="inlineStr">
        <is>
          <t>Gullpudra</t>
        </is>
      </c>
      <c r="S78">
        <f>HYPERLINK("https://klasma.github.io/Logging_2029/artfynd/A 18107-2025 artfynd.xlsx", "A 18107-2025")</f>
        <v/>
      </c>
      <c r="T78">
        <f>HYPERLINK("https://klasma.github.io/Logging_2029/kartor/A 18107-2025 karta.png", "A 18107-2025")</f>
        <v/>
      </c>
      <c r="V78">
        <f>HYPERLINK("https://klasma.github.io/Logging_2029/klagomål/A 18107-2025 FSC-klagomål.docx", "A 18107-2025")</f>
        <v/>
      </c>
      <c r="W78">
        <f>HYPERLINK("https://klasma.github.io/Logging_2029/klagomålsmail/A 18107-2025 FSC-klagomål mail.docx", "A 18107-2025")</f>
        <v/>
      </c>
      <c r="X78">
        <f>HYPERLINK("https://klasma.github.io/Logging_2029/tillsyn/A 18107-2025 tillsynsbegäran.docx", "A 18107-2025")</f>
        <v/>
      </c>
      <c r="Y78">
        <f>HYPERLINK("https://klasma.github.io/Logging_2029/tillsynsmail/A 18107-2025 tillsynsbegäran mail.docx", "A 18107-2025")</f>
        <v/>
      </c>
    </row>
    <row r="79" ht="15" customHeight="1">
      <c r="A79" t="inlineStr">
        <is>
          <t>A 13401-2023</t>
        </is>
      </c>
      <c r="B79" s="1" t="n">
        <v>45005</v>
      </c>
      <c r="C79" s="1" t="n">
        <v>46204</v>
      </c>
      <c r="D79" t="inlineStr">
        <is>
          <t>DALARNAS LÄN</t>
        </is>
      </c>
      <c r="E79" t="inlineStr">
        <is>
          <t>LEKSAND</t>
        </is>
      </c>
      <c r="G79" t="n">
        <v>0.7</v>
      </c>
      <c r="H79" t="n">
        <v>1</v>
      </c>
      <c r="I79" t="n">
        <v>0</v>
      </c>
      <c r="J79" t="n">
        <v>0</v>
      </c>
      <c r="K79" t="n">
        <v>0</v>
      </c>
      <c r="L79" t="n">
        <v>0</v>
      </c>
      <c r="M79" t="n">
        <v>0</v>
      </c>
      <c r="N79" t="n">
        <v>0</v>
      </c>
      <c r="O79" t="n">
        <v>0</v>
      </c>
      <c r="P79" t="n">
        <v>0</v>
      </c>
      <c r="Q79" t="n">
        <v>1</v>
      </c>
      <c r="R79" s="2" t="inlineStr">
        <is>
          <t>Orre</t>
        </is>
      </c>
      <c r="S79">
        <f>HYPERLINK("https://klasma.github.io/Logging_2029/artfynd/A 13401-2023 artfynd.xlsx", "A 13401-2023")</f>
        <v/>
      </c>
      <c r="T79">
        <f>HYPERLINK("https://klasma.github.io/Logging_2029/kartor/A 13401-2023 karta.png", "A 13401-2023")</f>
        <v/>
      </c>
      <c r="V79">
        <f>HYPERLINK("https://klasma.github.io/Logging_2029/klagomål/A 13401-2023 FSC-klagomål.docx", "A 13401-2023")</f>
        <v/>
      </c>
      <c r="W79">
        <f>HYPERLINK("https://klasma.github.io/Logging_2029/klagomålsmail/A 13401-2023 FSC-klagomål mail.docx", "A 13401-2023")</f>
        <v/>
      </c>
      <c r="X79">
        <f>HYPERLINK("https://klasma.github.io/Logging_2029/tillsyn/A 13401-2023 tillsynsbegäran.docx", "A 13401-2023")</f>
        <v/>
      </c>
      <c r="Y79">
        <f>HYPERLINK("https://klasma.github.io/Logging_2029/tillsynsmail/A 13401-2023 tillsynsbegäran mail.docx", "A 13401-2023")</f>
        <v/>
      </c>
      <c r="Z79">
        <f>HYPERLINK("https://klasma.github.io/Logging_2029/fåglar/A 13401-2023 prioriterade fågelarter.docx", "A 13401-2023")</f>
        <v/>
      </c>
    </row>
    <row r="80" ht="15" customHeight="1">
      <c r="A80" t="inlineStr">
        <is>
          <t>A 16815-2025</t>
        </is>
      </c>
      <c r="B80" s="1" t="n">
        <v>45754</v>
      </c>
      <c r="C80" s="1" t="n">
        <v>46204</v>
      </c>
      <c r="D80" t="inlineStr">
        <is>
          <t>DALARNAS LÄN</t>
        </is>
      </c>
      <c r="E80" t="inlineStr">
        <is>
          <t>LEKSAND</t>
        </is>
      </c>
      <c r="G80" t="n">
        <v>2.8</v>
      </c>
      <c r="H80" t="n">
        <v>0</v>
      </c>
      <c r="I80" t="n">
        <v>1</v>
      </c>
      <c r="J80" t="n">
        <v>0</v>
      </c>
      <c r="K80" t="n">
        <v>0</v>
      </c>
      <c r="L80" t="n">
        <v>0</v>
      </c>
      <c r="M80" t="n">
        <v>0</v>
      </c>
      <c r="N80" t="n">
        <v>0</v>
      </c>
      <c r="O80" t="n">
        <v>0</v>
      </c>
      <c r="P80" t="n">
        <v>0</v>
      </c>
      <c r="Q80" t="n">
        <v>1</v>
      </c>
      <c r="R80" s="2" t="inlineStr">
        <is>
          <t>Svavelriska</t>
        </is>
      </c>
      <c r="S80">
        <f>HYPERLINK("https://klasma.github.io/Logging_2029/artfynd/A 16815-2025 artfynd.xlsx", "A 16815-2025")</f>
        <v/>
      </c>
      <c r="T80">
        <f>HYPERLINK("https://klasma.github.io/Logging_2029/kartor/A 16815-2025 karta.png", "A 16815-2025")</f>
        <v/>
      </c>
      <c r="V80">
        <f>HYPERLINK("https://klasma.github.io/Logging_2029/klagomål/A 16815-2025 FSC-klagomål.docx", "A 16815-2025")</f>
        <v/>
      </c>
      <c r="W80">
        <f>HYPERLINK("https://klasma.github.io/Logging_2029/klagomålsmail/A 16815-2025 FSC-klagomål mail.docx", "A 16815-2025")</f>
        <v/>
      </c>
      <c r="X80">
        <f>HYPERLINK("https://klasma.github.io/Logging_2029/tillsyn/A 16815-2025 tillsynsbegäran.docx", "A 16815-2025")</f>
        <v/>
      </c>
      <c r="Y80">
        <f>HYPERLINK("https://klasma.github.io/Logging_2029/tillsynsmail/A 16815-2025 tillsynsbegäran mail.docx", "A 16815-2025")</f>
        <v/>
      </c>
    </row>
    <row r="81" ht="15" customHeight="1">
      <c r="A81" t="inlineStr">
        <is>
          <t>A 31124-2024</t>
        </is>
      </c>
      <c r="B81" s="1" t="n">
        <v>45502</v>
      </c>
      <c r="C81" s="1" t="n">
        <v>46204</v>
      </c>
      <c r="D81" t="inlineStr">
        <is>
          <t>DALARNAS LÄN</t>
        </is>
      </c>
      <c r="E81" t="inlineStr">
        <is>
          <t>LEKSAND</t>
        </is>
      </c>
      <c r="G81" t="n">
        <v>1.9</v>
      </c>
      <c r="H81" t="n">
        <v>1</v>
      </c>
      <c r="I81" t="n">
        <v>0</v>
      </c>
      <c r="J81" t="n">
        <v>0</v>
      </c>
      <c r="K81" t="n">
        <v>1</v>
      </c>
      <c r="L81" t="n">
        <v>0</v>
      </c>
      <c r="M81" t="n">
        <v>0</v>
      </c>
      <c r="N81" t="n">
        <v>0</v>
      </c>
      <c r="O81" t="n">
        <v>1</v>
      </c>
      <c r="P81" t="n">
        <v>1</v>
      </c>
      <c r="Q81" t="n">
        <v>1</v>
      </c>
      <c r="R81" s="2" t="inlineStr">
        <is>
          <t>Väddnätfjäril</t>
        </is>
      </c>
      <c r="S81">
        <f>HYPERLINK("https://klasma.github.io/Logging_2029/artfynd/A 31124-2024 artfynd.xlsx", "A 31124-2024")</f>
        <v/>
      </c>
      <c r="T81">
        <f>HYPERLINK("https://klasma.github.io/Logging_2029/kartor/A 31124-2024 karta.png", "A 31124-2024")</f>
        <v/>
      </c>
      <c r="V81">
        <f>HYPERLINK("https://klasma.github.io/Logging_2029/klagomål/A 31124-2024 FSC-klagomål.docx", "A 31124-2024")</f>
        <v/>
      </c>
      <c r="W81">
        <f>HYPERLINK("https://klasma.github.io/Logging_2029/klagomålsmail/A 31124-2024 FSC-klagomål mail.docx", "A 31124-2024")</f>
        <v/>
      </c>
      <c r="X81">
        <f>HYPERLINK("https://klasma.github.io/Logging_2029/tillsyn/A 31124-2024 tillsynsbegäran.docx", "A 31124-2024")</f>
        <v/>
      </c>
      <c r="Y81">
        <f>HYPERLINK("https://klasma.github.io/Logging_2029/tillsynsmail/A 31124-2024 tillsynsbegäran mail.docx", "A 31124-2024")</f>
        <v/>
      </c>
    </row>
    <row r="82" ht="15" customHeight="1">
      <c r="A82" t="inlineStr">
        <is>
          <t>A 60042-2023</t>
        </is>
      </c>
      <c r="B82" s="1" t="n">
        <v>45256</v>
      </c>
      <c r="C82" s="1" t="n">
        <v>46204</v>
      </c>
      <c r="D82" t="inlineStr">
        <is>
          <t>DALARNAS LÄN</t>
        </is>
      </c>
      <c r="E82" t="inlineStr">
        <is>
          <t>LEKSAND</t>
        </is>
      </c>
      <c r="G82" t="n">
        <v>2</v>
      </c>
      <c r="H82" t="n">
        <v>1</v>
      </c>
      <c r="I82" t="n">
        <v>0</v>
      </c>
      <c r="J82" t="n">
        <v>0</v>
      </c>
      <c r="K82" t="n">
        <v>1</v>
      </c>
      <c r="L82" t="n">
        <v>0</v>
      </c>
      <c r="M82" t="n">
        <v>0</v>
      </c>
      <c r="N82" t="n">
        <v>0</v>
      </c>
      <c r="O82" t="n">
        <v>1</v>
      </c>
      <c r="P82" t="n">
        <v>1</v>
      </c>
      <c r="Q82" t="n">
        <v>1</v>
      </c>
      <c r="R82" s="2" t="inlineStr">
        <is>
          <t>Brun gräsfjäril</t>
        </is>
      </c>
      <c r="S82">
        <f>HYPERLINK("https://klasma.github.io/Logging_2029/artfynd/A 60042-2023 artfynd.xlsx", "A 60042-2023")</f>
        <v/>
      </c>
      <c r="T82">
        <f>HYPERLINK("https://klasma.github.io/Logging_2029/kartor/A 60042-2023 karta.png", "A 60042-2023")</f>
        <v/>
      </c>
      <c r="V82">
        <f>HYPERLINK("https://klasma.github.io/Logging_2029/klagomål/A 60042-2023 FSC-klagomål.docx", "A 60042-2023")</f>
        <v/>
      </c>
      <c r="W82">
        <f>HYPERLINK("https://klasma.github.io/Logging_2029/klagomålsmail/A 60042-2023 FSC-klagomål mail.docx", "A 60042-2023")</f>
        <v/>
      </c>
      <c r="X82">
        <f>HYPERLINK("https://klasma.github.io/Logging_2029/tillsyn/A 60042-2023 tillsynsbegäran.docx", "A 60042-2023")</f>
        <v/>
      </c>
      <c r="Y82">
        <f>HYPERLINK("https://klasma.github.io/Logging_2029/tillsynsmail/A 60042-2023 tillsynsbegäran mail.docx", "A 60042-2023")</f>
        <v/>
      </c>
    </row>
    <row r="83" ht="15" customHeight="1">
      <c r="A83" t="inlineStr">
        <is>
          <t>A 23855-2025</t>
        </is>
      </c>
      <c r="B83" s="1" t="n">
        <v>45793</v>
      </c>
      <c r="C83" s="1" t="n">
        <v>46204</v>
      </c>
      <c r="D83" t="inlineStr">
        <is>
          <t>DALARNAS LÄN</t>
        </is>
      </c>
      <c r="E83" t="inlineStr">
        <is>
          <t>LEKSAND</t>
        </is>
      </c>
      <c r="G83" t="n">
        <v>0.6</v>
      </c>
      <c r="H83" t="n">
        <v>1</v>
      </c>
      <c r="I83" t="n">
        <v>0</v>
      </c>
      <c r="J83" t="n">
        <v>0</v>
      </c>
      <c r="K83" t="n">
        <v>0</v>
      </c>
      <c r="L83" t="n">
        <v>0</v>
      </c>
      <c r="M83" t="n">
        <v>0</v>
      </c>
      <c r="N83" t="n">
        <v>0</v>
      </c>
      <c r="O83" t="n">
        <v>0</v>
      </c>
      <c r="P83" t="n">
        <v>0</v>
      </c>
      <c r="Q83" t="n">
        <v>1</v>
      </c>
      <c r="R83" s="2" t="inlineStr">
        <is>
          <t>Blåsippa</t>
        </is>
      </c>
      <c r="S83">
        <f>HYPERLINK("https://klasma.github.io/Logging_2029/artfynd/A 23855-2025 artfynd.xlsx", "A 23855-2025")</f>
        <v/>
      </c>
      <c r="T83">
        <f>HYPERLINK("https://klasma.github.io/Logging_2029/kartor/A 23855-2025 karta.png", "A 23855-2025")</f>
        <v/>
      </c>
      <c r="V83">
        <f>HYPERLINK("https://klasma.github.io/Logging_2029/klagomål/A 23855-2025 FSC-klagomål.docx", "A 23855-2025")</f>
        <v/>
      </c>
      <c r="W83">
        <f>HYPERLINK("https://klasma.github.io/Logging_2029/klagomålsmail/A 23855-2025 FSC-klagomål mail.docx", "A 23855-2025")</f>
        <v/>
      </c>
      <c r="X83">
        <f>HYPERLINK("https://klasma.github.io/Logging_2029/tillsyn/A 23855-2025 tillsynsbegäran.docx", "A 23855-2025")</f>
        <v/>
      </c>
      <c r="Y83">
        <f>HYPERLINK("https://klasma.github.io/Logging_2029/tillsynsmail/A 23855-2025 tillsynsbegäran mail.docx", "A 23855-2025")</f>
        <v/>
      </c>
    </row>
    <row r="84" ht="15" customHeight="1">
      <c r="A84" t="inlineStr">
        <is>
          <t>A 36438-2021</t>
        </is>
      </c>
      <c r="B84" s="1" t="n">
        <v>44390</v>
      </c>
      <c r="C84" s="1" t="n">
        <v>46204</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46204</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46204</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59422-2021</t>
        </is>
      </c>
      <c r="B87" s="1" t="n">
        <v>44491</v>
      </c>
      <c r="C87" s="1" t="n">
        <v>46204</v>
      </c>
      <c r="D87" t="inlineStr">
        <is>
          <t>DALARNAS LÄN</t>
        </is>
      </c>
      <c r="E87" t="inlineStr">
        <is>
          <t>LEKSAND</t>
        </is>
      </c>
      <c r="G87" t="n">
        <v>0.7</v>
      </c>
      <c r="H87" t="n">
        <v>0</v>
      </c>
      <c r="I87" t="n">
        <v>0</v>
      </c>
      <c r="J87" t="n">
        <v>0</v>
      </c>
      <c r="K87" t="n">
        <v>0</v>
      </c>
      <c r="L87" t="n">
        <v>0</v>
      </c>
      <c r="M87" t="n">
        <v>0</v>
      </c>
      <c r="N87" t="n">
        <v>0</v>
      </c>
      <c r="O87" t="n">
        <v>0</v>
      </c>
      <c r="P87" t="n">
        <v>0</v>
      </c>
      <c r="Q87" t="n">
        <v>0</v>
      </c>
      <c r="R87" s="2" t="inlineStr"/>
    </row>
    <row r="88" ht="15" customHeight="1">
      <c r="A88" t="inlineStr">
        <is>
          <t>A 43300-2022</t>
        </is>
      </c>
      <c r="B88" s="1" t="n">
        <v>44834</v>
      </c>
      <c r="C88" s="1" t="n">
        <v>46204</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46204</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46204</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46204</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46204</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46204</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46204</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63831-2021</t>
        </is>
      </c>
      <c r="B95" s="1" t="n">
        <v>44509</v>
      </c>
      <c r="C95" s="1" t="n">
        <v>46204</v>
      </c>
      <c r="D95" t="inlineStr">
        <is>
          <t>DALARNAS LÄN</t>
        </is>
      </c>
      <c r="E95" t="inlineStr">
        <is>
          <t>LEKSAND</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37531-2021</t>
        </is>
      </c>
      <c r="B96" s="1" t="n">
        <v>44399</v>
      </c>
      <c r="C96" s="1" t="n">
        <v>46204</v>
      </c>
      <c r="D96" t="inlineStr">
        <is>
          <t>DALARNAS LÄN</t>
        </is>
      </c>
      <c r="E96" t="inlineStr">
        <is>
          <t>LEKSAND</t>
        </is>
      </c>
      <c r="G96" t="n">
        <v>1.5</v>
      </c>
      <c r="H96" t="n">
        <v>0</v>
      </c>
      <c r="I96" t="n">
        <v>0</v>
      </c>
      <c r="J96" t="n">
        <v>0</v>
      </c>
      <c r="K96" t="n">
        <v>0</v>
      </c>
      <c r="L96" t="n">
        <v>0</v>
      </c>
      <c r="M96" t="n">
        <v>0</v>
      </c>
      <c r="N96" t="n">
        <v>0</v>
      </c>
      <c r="O96" t="n">
        <v>0</v>
      </c>
      <c r="P96" t="n">
        <v>0</v>
      </c>
      <c r="Q96" t="n">
        <v>0</v>
      </c>
      <c r="R96" s="2" t="inlineStr"/>
    </row>
    <row r="97" ht="15" customHeight="1">
      <c r="A97" t="inlineStr">
        <is>
          <t>A 791-2022</t>
        </is>
      </c>
      <c r="B97" s="1" t="n">
        <v>44570</v>
      </c>
      <c r="C97" s="1" t="n">
        <v>46204</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16353-2022</t>
        </is>
      </c>
      <c r="B98" s="1" t="n">
        <v>44670</v>
      </c>
      <c r="C98" s="1" t="n">
        <v>46204</v>
      </c>
      <c r="D98" t="inlineStr">
        <is>
          <t>DALARNAS LÄN</t>
        </is>
      </c>
      <c r="E98" t="inlineStr">
        <is>
          <t>LEKSAND</t>
        </is>
      </c>
      <c r="G98" t="n">
        <v>1.7</v>
      </c>
      <c r="H98" t="n">
        <v>0</v>
      </c>
      <c r="I98" t="n">
        <v>0</v>
      </c>
      <c r="J98" t="n">
        <v>0</v>
      </c>
      <c r="K98" t="n">
        <v>0</v>
      </c>
      <c r="L98" t="n">
        <v>0</v>
      </c>
      <c r="M98" t="n">
        <v>0</v>
      </c>
      <c r="N98" t="n">
        <v>0</v>
      </c>
      <c r="O98" t="n">
        <v>0</v>
      </c>
      <c r="P98" t="n">
        <v>0</v>
      </c>
      <c r="Q98" t="n">
        <v>0</v>
      </c>
      <c r="R98" s="2" t="inlineStr"/>
    </row>
    <row r="99" ht="15" customHeight="1">
      <c r="A99" t="inlineStr">
        <is>
          <t>A 58569-2021</t>
        </is>
      </c>
      <c r="B99" s="1" t="n">
        <v>44488</v>
      </c>
      <c r="C99" s="1" t="n">
        <v>46204</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46204</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53293-2022</t>
        </is>
      </c>
      <c r="B101" s="1" t="n">
        <v>44877</v>
      </c>
      <c r="C101" s="1" t="n">
        <v>46204</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71311-2021</t>
        </is>
      </c>
      <c r="B102" s="1" t="n">
        <v>44539</v>
      </c>
      <c r="C102" s="1" t="n">
        <v>46204</v>
      </c>
      <c r="D102" t="inlineStr">
        <is>
          <t>DALARNAS LÄN</t>
        </is>
      </c>
      <c r="E102" t="inlineStr">
        <is>
          <t>LEKSAND</t>
        </is>
      </c>
      <c r="G102" t="n">
        <v>1.5</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46204</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40584-2021</t>
        </is>
      </c>
      <c r="B104" s="1" t="n">
        <v>44420</v>
      </c>
      <c r="C104" s="1" t="n">
        <v>46204</v>
      </c>
      <c r="D104" t="inlineStr">
        <is>
          <t>DALARNAS LÄN</t>
        </is>
      </c>
      <c r="E104" t="inlineStr">
        <is>
          <t>LEKSAND</t>
        </is>
      </c>
      <c r="G104" t="n">
        <v>6</v>
      </c>
      <c r="H104" t="n">
        <v>0</v>
      </c>
      <c r="I104" t="n">
        <v>0</v>
      </c>
      <c r="J104" t="n">
        <v>0</v>
      </c>
      <c r="K104" t="n">
        <v>0</v>
      </c>
      <c r="L104" t="n">
        <v>0</v>
      </c>
      <c r="M104" t="n">
        <v>0</v>
      </c>
      <c r="N104" t="n">
        <v>0</v>
      </c>
      <c r="O104" t="n">
        <v>0</v>
      </c>
      <c r="P104" t="n">
        <v>0</v>
      </c>
      <c r="Q104" t="n">
        <v>0</v>
      </c>
      <c r="R104" s="2" t="inlineStr"/>
    </row>
    <row r="105" ht="15" customHeight="1">
      <c r="A105" t="inlineStr">
        <is>
          <t>A 70296-2021</t>
        </is>
      </c>
      <c r="B105" s="1" t="n">
        <v>44536</v>
      </c>
      <c r="C105" s="1" t="n">
        <v>46204</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46204</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46204</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46204</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46204</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46204</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v>
      </c>
      <c r="C111" s="1" t="n">
        <v>46204</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46204</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34317-2022</t>
        </is>
      </c>
      <c r="B113" s="1" t="n">
        <v>44792</v>
      </c>
      <c r="C113" s="1" t="n">
        <v>46204</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46204</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18870-2022</t>
        </is>
      </c>
      <c r="B115" s="1" t="n">
        <v>44690</v>
      </c>
      <c r="C115" s="1" t="n">
        <v>46204</v>
      </c>
      <c r="D115" t="inlineStr">
        <is>
          <t>DALARNAS LÄN</t>
        </is>
      </c>
      <c r="E115" t="inlineStr">
        <is>
          <t>LEKSAND</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v>
      </c>
      <c r="C116" s="1" t="n">
        <v>46204</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v>
      </c>
      <c r="C117" s="1" t="n">
        <v>46204</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46204</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46204</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31871-2022</t>
        </is>
      </c>
      <c r="B120" s="1" t="n">
        <v>44777</v>
      </c>
      <c r="C120" s="1" t="n">
        <v>46204</v>
      </c>
      <c r="D120" t="inlineStr">
        <is>
          <t>DALARNAS LÄN</t>
        </is>
      </c>
      <c r="E120" t="inlineStr">
        <is>
          <t>LEKSAND</t>
        </is>
      </c>
      <c r="G120" t="n">
        <v>4.1</v>
      </c>
      <c r="H120" t="n">
        <v>0</v>
      </c>
      <c r="I120" t="n">
        <v>0</v>
      </c>
      <c r="J120" t="n">
        <v>0</v>
      </c>
      <c r="K120" t="n">
        <v>0</v>
      </c>
      <c r="L120" t="n">
        <v>0</v>
      </c>
      <c r="M120" t="n">
        <v>0</v>
      </c>
      <c r="N120" t="n">
        <v>0</v>
      </c>
      <c r="O120" t="n">
        <v>0</v>
      </c>
      <c r="P120" t="n">
        <v>0</v>
      </c>
      <c r="Q120" t="n">
        <v>0</v>
      </c>
      <c r="R120" s="2" t="inlineStr"/>
    </row>
    <row r="121" ht="15" customHeight="1">
      <c r="A121" t="inlineStr">
        <is>
          <t>A 14140-2022</t>
        </is>
      </c>
      <c r="B121" s="1" t="n">
        <v>44651</v>
      </c>
      <c r="C121" s="1" t="n">
        <v>46204</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46204</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46204</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70098-2021</t>
        </is>
      </c>
      <c r="B124" s="1" t="n">
        <v>44533</v>
      </c>
      <c r="C124" s="1" t="n">
        <v>46204</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46204</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46204</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23137-2022</t>
        </is>
      </c>
      <c r="B127" s="1" t="n">
        <v>44719</v>
      </c>
      <c r="C127" s="1" t="n">
        <v>46204</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46141-2022</t>
        </is>
      </c>
      <c r="B128" s="1" t="n">
        <v>44846</v>
      </c>
      <c r="C128" s="1" t="n">
        <v>46204</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14616-2024</t>
        </is>
      </c>
      <c r="B129" s="1" t="n">
        <v>45397</v>
      </c>
      <c r="C129" s="1" t="n">
        <v>46204</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28592-2023</t>
        </is>
      </c>
      <c r="B130" s="1" t="n">
        <v>45103</v>
      </c>
      <c r="C130" s="1" t="n">
        <v>46204</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18484-2024</t>
        </is>
      </c>
      <c r="B131" s="1" t="n">
        <v>45425</v>
      </c>
      <c r="C131" s="1" t="n">
        <v>46204</v>
      </c>
      <c r="D131" t="inlineStr">
        <is>
          <t>DALARNAS LÄN</t>
        </is>
      </c>
      <c r="E131" t="inlineStr">
        <is>
          <t>LEKSAND</t>
        </is>
      </c>
      <c r="G131" t="n">
        <v>2</v>
      </c>
      <c r="H131" t="n">
        <v>0</v>
      </c>
      <c r="I131" t="n">
        <v>0</v>
      </c>
      <c r="J131" t="n">
        <v>0</v>
      </c>
      <c r="K131" t="n">
        <v>0</v>
      </c>
      <c r="L131" t="n">
        <v>0</v>
      </c>
      <c r="M131" t="n">
        <v>0</v>
      </c>
      <c r="N131" t="n">
        <v>0</v>
      </c>
      <c r="O131" t="n">
        <v>0</v>
      </c>
      <c r="P131" t="n">
        <v>0</v>
      </c>
      <c r="Q131" t="n">
        <v>0</v>
      </c>
      <c r="R131" s="2" t="inlineStr"/>
    </row>
    <row r="132" ht="15" customHeight="1">
      <c r="A132" t="inlineStr">
        <is>
          <t>A 11418-2023</t>
        </is>
      </c>
      <c r="B132" s="1" t="n">
        <v>44993</v>
      </c>
      <c r="C132" s="1" t="n">
        <v>46204</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27791-2023</t>
        </is>
      </c>
      <c r="B133" s="1" t="n">
        <v>45098</v>
      </c>
      <c r="C133" s="1" t="n">
        <v>46204</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52801-2023</t>
        </is>
      </c>
      <c r="B134" s="1" t="n">
        <v>45219</v>
      </c>
      <c r="C134" s="1" t="n">
        <v>46204</v>
      </c>
      <c r="D134" t="inlineStr">
        <is>
          <t>DALARNAS LÄN</t>
        </is>
      </c>
      <c r="E134" t="inlineStr">
        <is>
          <t>LEKSAND</t>
        </is>
      </c>
      <c r="G134" t="n">
        <v>4.9</v>
      </c>
      <c r="H134" t="n">
        <v>0</v>
      </c>
      <c r="I134" t="n">
        <v>0</v>
      </c>
      <c r="J134" t="n">
        <v>0</v>
      </c>
      <c r="K134" t="n">
        <v>0</v>
      </c>
      <c r="L134" t="n">
        <v>0</v>
      </c>
      <c r="M134" t="n">
        <v>0</v>
      </c>
      <c r="N134" t="n">
        <v>0</v>
      </c>
      <c r="O134" t="n">
        <v>0</v>
      </c>
      <c r="P134" t="n">
        <v>0</v>
      </c>
      <c r="Q134" t="n">
        <v>0</v>
      </c>
      <c r="R134" s="2" t="inlineStr"/>
    </row>
    <row r="135" ht="15" customHeight="1">
      <c r="A135" t="inlineStr">
        <is>
          <t>A 33180-2024</t>
        </is>
      </c>
      <c r="B135" s="1" t="n">
        <v>45518</v>
      </c>
      <c r="C135" s="1" t="n">
        <v>46204</v>
      </c>
      <c r="D135" t="inlineStr">
        <is>
          <t>DALARNAS LÄN</t>
        </is>
      </c>
      <c r="E135" t="inlineStr">
        <is>
          <t>LEKSAND</t>
        </is>
      </c>
      <c r="G135" t="n">
        <v>7.6</v>
      </c>
      <c r="H135" t="n">
        <v>0</v>
      </c>
      <c r="I135" t="n">
        <v>0</v>
      </c>
      <c r="J135" t="n">
        <v>0</v>
      </c>
      <c r="K135" t="n">
        <v>0</v>
      </c>
      <c r="L135" t="n">
        <v>0</v>
      </c>
      <c r="M135" t="n">
        <v>0</v>
      </c>
      <c r="N135" t="n">
        <v>0</v>
      </c>
      <c r="O135" t="n">
        <v>0</v>
      </c>
      <c r="P135" t="n">
        <v>0</v>
      </c>
      <c r="Q135" t="n">
        <v>0</v>
      </c>
      <c r="R135" s="2" t="inlineStr"/>
    </row>
    <row r="136" ht="15" customHeight="1">
      <c r="A136" t="inlineStr">
        <is>
          <t>A 9781-2024</t>
        </is>
      </c>
      <c r="B136" s="1" t="n">
        <v>45362</v>
      </c>
      <c r="C136" s="1" t="n">
        <v>46204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71817-2021</t>
        </is>
      </c>
      <c r="B137" s="1" t="n">
        <v>44543</v>
      </c>
      <c r="C137" s="1" t="n">
        <v>46204</v>
      </c>
      <c r="D137" t="inlineStr">
        <is>
          <t>DALARNAS LÄN</t>
        </is>
      </c>
      <c r="E137" t="inlineStr">
        <is>
          <t>LEKSAND</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46204</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59103-2024</t>
        </is>
      </c>
      <c r="B139" s="1" t="n">
        <v>45637</v>
      </c>
      <c r="C139" s="1" t="n">
        <v>46204</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11617-2024</t>
        </is>
      </c>
      <c r="B140" s="1" t="n">
        <v>45373</v>
      </c>
      <c r="C140" s="1" t="n">
        <v>46204</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41840-2024</t>
        </is>
      </c>
      <c r="B141" s="1" t="n">
        <v>45561</v>
      </c>
      <c r="C141" s="1" t="n">
        <v>46204</v>
      </c>
      <c r="D141" t="inlineStr">
        <is>
          <t>DALARNAS LÄN</t>
        </is>
      </c>
      <c r="E141" t="inlineStr">
        <is>
          <t>LEKSAND</t>
        </is>
      </c>
      <c r="G141" t="n">
        <v>0.4</v>
      </c>
      <c r="H141" t="n">
        <v>0</v>
      </c>
      <c r="I141" t="n">
        <v>0</v>
      </c>
      <c r="J141" t="n">
        <v>0</v>
      </c>
      <c r="K141" t="n">
        <v>0</v>
      </c>
      <c r="L141" t="n">
        <v>0</v>
      </c>
      <c r="M141" t="n">
        <v>0</v>
      </c>
      <c r="N141" t="n">
        <v>0</v>
      </c>
      <c r="O141" t="n">
        <v>0</v>
      </c>
      <c r="P141" t="n">
        <v>0</v>
      </c>
      <c r="Q141" t="n">
        <v>0</v>
      </c>
      <c r="R141" s="2" t="inlineStr"/>
    </row>
    <row r="142" ht="15" customHeight="1">
      <c r="A142" t="inlineStr">
        <is>
          <t>A 62306-2023</t>
        </is>
      </c>
      <c r="B142" s="1" t="n">
        <v>45266</v>
      </c>
      <c r="C142" s="1" t="n">
        <v>46204</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31971-2024</t>
        </is>
      </c>
      <c r="B143" s="1" t="n">
        <v>45510</v>
      </c>
      <c r="C143" s="1" t="n">
        <v>46204</v>
      </c>
      <c r="D143" t="inlineStr">
        <is>
          <t>DALARNAS LÄN</t>
        </is>
      </c>
      <c r="E143" t="inlineStr">
        <is>
          <t>LEKSAND</t>
        </is>
      </c>
      <c r="G143" t="n">
        <v>0.7</v>
      </c>
      <c r="H143" t="n">
        <v>0</v>
      </c>
      <c r="I143" t="n">
        <v>0</v>
      </c>
      <c r="J143" t="n">
        <v>0</v>
      </c>
      <c r="K143" t="n">
        <v>0</v>
      </c>
      <c r="L143" t="n">
        <v>0</v>
      </c>
      <c r="M143" t="n">
        <v>0</v>
      </c>
      <c r="N143" t="n">
        <v>0</v>
      </c>
      <c r="O143" t="n">
        <v>0</v>
      </c>
      <c r="P143" t="n">
        <v>0</v>
      </c>
      <c r="Q143" t="n">
        <v>0</v>
      </c>
      <c r="R143" s="2" t="inlineStr"/>
    </row>
    <row r="144" ht="15" customHeight="1">
      <c r="A144" t="inlineStr">
        <is>
          <t>A 38117-2023</t>
        </is>
      </c>
      <c r="B144" s="1" t="n">
        <v>45161</v>
      </c>
      <c r="C144" s="1" t="n">
        <v>46204</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59763-2023</t>
        </is>
      </c>
      <c r="B145" s="1" t="n">
        <v>45257</v>
      </c>
      <c r="C145" s="1" t="n">
        <v>46204</v>
      </c>
      <c r="D145" t="inlineStr">
        <is>
          <t>DALARNAS LÄN</t>
        </is>
      </c>
      <c r="E145" t="inlineStr">
        <is>
          <t>LEKSAND</t>
        </is>
      </c>
      <c r="G145" t="n">
        <v>1.6</v>
      </c>
      <c r="H145" t="n">
        <v>0</v>
      </c>
      <c r="I145" t="n">
        <v>0</v>
      </c>
      <c r="J145" t="n">
        <v>0</v>
      </c>
      <c r="K145" t="n">
        <v>0</v>
      </c>
      <c r="L145" t="n">
        <v>0</v>
      </c>
      <c r="M145" t="n">
        <v>0</v>
      </c>
      <c r="N145" t="n">
        <v>0</v>
      </c>
      <c r="O145" t="n">
        <v>0</v>
      </c>
      <c r="P145" t="n">
        <v>0</v>
      </c>
      <c r="Q145" t="n">
        <v>0</v>
      </c>
      <c r="R145" s="2" t="inlineStr"/>
    </row>
    <row r="146" ht="15" customHeight="1">
      <c r="A146" t="inlineStr">
        <is>
          <t>A 22388-2024</t>
        </is>
      </c>
      <c r="B146" s="1" t="n">
        <v>45446</v>
      </c>
      <c r="C146" s="1" t="n">
        <v>46204</v>
      </c>
      <c r="D146" t="inlineStr">
        <is>
          <t>DALARNAS LÄN</t>
        </is>
      </c>
      <c r="E146" t="inlineStr">
        <is>
          <t>LEKSAND</t>
        </is>
      </c>
      <c r="F146" t="inlineStr">
        <is>
          <t>Bergvik skog väst AB</t>
        </is>
      </c>
      <c r="G146" t="n">
        <v>5.3</v>
      </c>
      <c r="H146" t="n">
        <v>0</v>
      </c>
      <c r="I146" t="n">
        <v>0</v>
      </c>
      <c r="J146" t="n">
        <v>0</v>
      </c>
      <c r="K146" t="n">
        <v>0</v>
      </c>
      <c r="L146" t="n">
        <v>0</v>
      </c>
      <c r="M146" t="n">
        <v>0</v>
      </c>
      <c r="N146" t="n">
        <v>0</v>
      </c>
      <c r="O146" t="n">
        <v>0</v>
      </c>
      <c r="P146" t="n">
        <v>0</v>
      </c>
      <c r="Q146" t="n">
        <v>0</v>
      </c>
      <c r="R146" s="2" t="inlineStr"/>
    </row>
    <row r="147" ht="15" customHeight="1">
      <c r="A147" t="inlineStr">
        <is>
          <t>A 33674-2023</t>
        </is>
      </c>
      <c r="B147" s="1" t="n">
        <v>45132</v>
      </c>
      <c r="C147" s="1" t="n">
        <v>46204</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v>
      </c>
      <c r="C148" s="1" t="n">
        <v>46204</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33317-2023</t>
        </is>
      </c>
      <c r="B149" s="1" t="n">
        <v>45127</v>
      </c>
      <c r="C149" s="1" t="n">
        <v>46204</v>
      </c>
      <c r="D149" t="inlineStr">
        <is>
          <t>DALARNAS LÄN</t>
        </is>
      </c>
      <c r="E149" t="inlineStr">
        <is>
          <t>LEKSAND</t>
        </is>
      </c>
      <c r="G149" t="n">
        <v>2.7</v>
      </c>
      <c r="H149" t="n">
        <v>0</v>
      </c>
      <c r="I149" t="n">
        <v>0</v>
      </c>
      <c r="J149" t="n">
        <v>0</v>
      </c>
      <c r="K149" t="n">
        <v>0</v>
      </c>
      <c r="L149" t="n">
        <v>0</v>
      </c>
      <c r="M149" t="n">
        <v>0</v>
      </c>
      <c r="N149" t="n">
        <v>0</v>
      </c>
      <c r="O149" t="n">
        <v>0</v>
      </c>
      <c r="P149" t="n">
        <v>0</v>
      </c>
      <c r="Q149" t="n">
        <v>0</v>
      </c>
      <c r="R149" s="2" t="inlineStr"/>
    </row>
    <row r="150" ht="15" customHeight="1">
      <c r="A150" t="inlineStr">
        <is>
          <t>A 325-2023</t>
        </is>
      </c>
      <c r="B150" s="1" t="n">
        <v>44929</v>
      </c>
      <c r="C150" s="1" t="n">
        <v>46204</v>
      </c>
      <c r="D150" t="inlineStr">
        <is>
          <t>DALARNAS LÄN</t>
        </is>
      </c>
      <c r="E150" t="inlineStr">
        <is>
          <t>LEKSAND</t>
        </is>
      </c>
      <c r="F150" t="inlineStr">
        <is>
          <t>Övriga Aktiebolag</t>
        </is>
      </c>
      <c r="G150" t="n">
        <v>7.1</v>
      </c>
      <c r="H150" t="n">
        <v>0</v>
      </c>
      <c r="I150" t="n">
        <v>0</v>
      </c>
      <c r="J150" t="n">
        <v>0</v>
      </c>
      <c r="K150" t="n">
        <v>0</v>
      </c>
      <c r="L150" t="n">
        <v>0</v>
      </c>
      <c r="M150" t="n">
        <v>0</v>
      </c>
      <c r="N150" t="n">
        <v>0</v>
      </c>
      <c r="O150" t="n">
        <v>0</v>
      </c>
      <c r="P150" t="n">
        <v>0</v>
      </c>
      <c r="Q150" t="n">
        <v>0</v>
      </c>
      <c r="R150" s="2" t="inlineStr"/>
    </row>
    <row r="151" ht="15" customHeight="1">
      <c r="A151" t="inlineStr">
        <is>
          <t>A 61055-2023</t>
        </is>
      </c>
      <c r="B151" s="1" t="n">
        <v>45261</v>
      </c>
      <c r="C151" s="1" t="n">
        <v>46204</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34038-2024</t>
        </is>
      </c>
      <c r="B152" s="1" t="n">
        <v>45523</v>
      </c>
      <c r="C152" s="1" t="n">
        <v>46204</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23896-2024</t>
        </is>
      </c>
      <c r="B153" s="1" t="n">
        <v>45455</v>
      </c>
      <c r="C153" s="1" t="n">
        <v>46204</v>
      </c>
      <c r="D153" t="inlineStr">
        <is>
          <t>DALARNAS LÄN</t>
        </is>
      </c>
      <c r="E153" t="inlineStr">
        <is>
          <t>LEKSAND</t>
        </is>
      </c>
      <c r="F153" t="inlineStr">
        <is>
          <t>Övriga Aktiebolag</t>
        </is>
      </c>
      <c r="G153" t="n">
        <v>0.9</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46204</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46204</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18837-2023</t>
        </is>
      </c>
      <c r="B156" s="1" t="n">
        <v>45044</v>
      </c>
      <c r="C156" s="1" t="n">
        <v>46204</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61288-2022</t>
        </is>
      </c>
      <c r="B157" s="1" t="n">
        <v>44915</v>
      </c>
      <c r="C157" s="1" t="n">
        <v>46204</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14865-2025</t>
        </is>
      </c>
      <c r="B158" s="1" t="n">
        <v>45743</v>
      </c>
      <c r="C158" s="1" t="n">
        <v>46204</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28032-2024</t>
        </is>
      </c>
      <c r="B159" s="1" t="n">
        <v>45476</v>
      </c>
      <c r="C159" s="1" t="n">
        <v>46204</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1215-2024</t>
        </is>
      </c>
      <c r="B160" s="1" t="n">
        <v>45302</v>
      </c>
      <c r="C160" s="1" t="n">
        <v>46204</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v>
      </c>
      <c r="C161" s="1" t="n">
        <v>46204</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46204</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72575-2021</t>
        </is>
      </c>
      <c r="B163" s="1" t="n">
        <v>44546</v>
      </c>
      <c r="C163" s="1" t="n">
        <v>46204</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72581-2021</t>
        </is>
      </c>
      <c r="B164" s="1" t="n">
        <v>44546</v>
      </c>
      <c r="C164" s="1" t="n">
        <v>46204</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33143-2024</t>
        </is>
      </c>
      <c r="B165" s="1" t="n">
        <v>45518</v>
      </c>
      <c r="C165" s="1" t="n">
        <v>46204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17759-2023</t>
        </is>
      </c>
      <c r="B166" s="1" t="n">
        <v>45037</v>
      </c>
      <c r="C166" s="1" t="n">
        <v>46204</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402-2024</t>
        </is>
      </c>
      <c r="B167" s="1" t="n">
        <v>45296</v>
      </c>
      <c r="C167" s="1" t="n">
        <v>46204</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2579-2022</t>
        </is>
      </c>
      <c r="B168" s="1" t="n">
        <v>44580</v>
      </c>
      <c r="C168" s="1" t="n">
        <v>46204</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59199-2024</t>
        </is>
      </c>
      <c r="B169" s="1" t="n">
        <v>45637</v>
      </c>
      <c r="C169" s="1" t="n">
        <v>46204</v>
      </c>
      <c r="D169" t="inlineStr">
        <is>
          <t>DALARNAS LÄN</t>
        </is>
      </c>
      <c r="E169" t="inlineStr">
        <is>
          <t>LEKSAND</t>
        </is>
      </c>
      <c r="G169" t="n">
        <v>5.4</v>
      </c>
      <c r="H169" t="n">
        <v>0</v>
      </c>
      <c r="I169" t="n">
        <v>0</v>
      </c>
      <c r="J169" t="n">
        <v>0</v>
      </c>
      <c r="K169" t="n">
        <v>0</v>
      </c>
      <c r="L169" t="n">
        <v>0</v>
      </c>
      <c r="M169" t="n">
        <v>0</v>
      </c>
      <c r="N169" t="n">
        <v>0</v>
      </c>
      <c r="O169" t="n">
        <v>0</v>
      </c>
      <c r="P169" t="n">
        <v>0</v>
      </c>
      <c r="Q169" t="n">
        <v>0</v>
      </c>
      <c r="R169" s="2" t="inlineStr"/>
    </row>
    <row r="170" ht="15" customHeight="1">
      <c r="A170" t="inlineStr">
        <is>
          <t>A 57013-2023</t>
        </is>
      </c>
      <c r="B170" s="1" t="n">
        <v>45244</v>
      </c>
      <c r="C170" s="1" t="n">
        <v>46204</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8743-2023</t>
        </is>
      </c>
      <c r="B171" s="1" t="n">
        <v>44978</v>
      </c>
      <c r="C171" s="1" t="n">
        <v>46204</v>
      </c>
      <c r="D171" t="inlineStr">
        <is>
          <t>DALARNAS LÄN</t>
        </is>
      </c>
      <c r="E171" t="inlineStr">
        <is>
          <t>LEKSAND</t>
        </is>
      </c>
      <c r="G171" t="n">
        <v>3</v>
      </c>
      <c r="H171" t="n">
        <v>0</v>
      </c>
      <c r="I171" t="n">
        <v>0</v>
      </c>
      <c r="J171" t="n">
        <v>0</v>
      </c>
      <c r="K171" t="n">
        <v>0</v>
      </c>
      <c r="L171" t="n">
        <v>0</v>
      </c>
      <c r="M171" t="n">
        <v>0</v>
      </c>
      <c r="N171" t="n">
        <v>0</v>
      </c>
      <c r="O171" t="n">
        <v>0</v>
      </c>
      <c r="P171" t="n">
        <v>0</v>
      </c>
      <c r="Q171" t="n">
        <v>0</v>
      </c>
      <c r="R171" s="2" t="inlineStr"/>
    </row>
    <row r="172" ht="15" customHeight="1">
      <c r="A172" t="inlineStr">
        <is>
          <t>A 15020-2023</t>
        </is>
      </c>
      <c r="B172" s="1" t="n">
        <v>45015</v>
      </c>
      <c r="C172" s="1" t="n">
        <v>46204</v>
      </c>
      <c r="D172" t="inlineStr">
        <is>
          <t>DALARNAS LÄN</t>
        </is>
      </c>
      <c r="E172" t="inlineStr">
        <is>
          <t>LEKSAND</t>
        </is>
      </c>
      <c r="G172" t="n">
        <v>2.6</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v>
      </c>
      <c r="C173" s="1" t="n">
        <v>46204</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53717-2023</t>
        </is>
      </c>
      <c r="B174" s="1" t="n">
        <v>45230</v>
      </c>
      <c r="C174" s="1" t="n">
        <v>46204</v>
      </c>
      <c r="D174" t="inlineStr">
        <is>
          <t>DALARNAS LÄN</t>
        </is>
      </c>
      <c r="E174" t="inlineStr">
        <is>
          <t>LEKSAND</t>
        </is>
      </c>
      <c r="G174" t="n">
        <v>2.4</v>
      </c>
      <c r="H174" t="n">
        <v>0</v>
      </c>
      <c r="I174" t="n">
        <v>0</v>
      </c>
      <c r="J174" t="n">
        <v>0</v>
      </c>
      <c r="K174" t="n">
        <v>0</v>
      </c>
      <c r="L174" t="n">
        <v>0</v>
      </c>
      <c r="M174" t="n">
        <v>0</v>
      </c>
      <c r="N174" t="n">
        <v>0</v>
      </c>
      <c r="O174" t="n">
        <v>0</v>
      </c>
      <c r="P174" t="n">
        <v>0</v>
      </c>
      <c r="Q174" t="n">
        <v>0</v>
      </c>
      <c r="R174" s="2" t="inlineStr"/>
    </row>
    <row r="175" ht="15" customHeight="1">
      <c r="A175" t="inlineStr">
        <is>
          <t>A 22349-2024</t>
        </is>
      </c>
      <c r="B175" s="1" t="n">
        <v>45446</v>
      </c>
      <c r="C175" s="1" t="n">
        <v>46204</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36932-2023</t>
        </is>
      </c>
      <c r="B176" s="1" t="n">
        <v>45154</v>
      </c>
      <c r="C176" s="1" t="n">
        <v>46204</v>
      </c>
      <c r="D176" t="inlineStr">
        <is>
          <t>DALARNAS LÄN</t>
        </is>
      </c>
      <c r="E176" t="inlineStr">
        <is>
          <t>LEKSAND</t>
        </is>
      </c>
      <c r="G176" t="n">
        <v>1.3</v>
      </c>
      <c r="H176" t="n">
        <v>0</v>
      </c>
      <c r="I176" t="n">
        <v>0</v>
      </c>
      <c r="J176" t="n">
        <v>0</v>
      </c>
      <c r="K176" t="n">
        <v>0</v>
      </c>
      <c r="L176" t="n">
        <v>0</v>
      </c>
      <c r="M176" t="n">
        <v>0</v>
      </c>
      <c r="N176" t="n">
        <v>0</v>
      </c>
      <c r="O176" t="n">
        <v>0</v>
      </c>
      <c r="P176" t="n">
        <v>0</v>
      </c>
      <c r="Q176" t="n">
        <v>0</v>
      </c>
      <c r="R176" s="2" t="inlineStr"/>
    </row>
    <row r="177" ht="15" customHeight="1">
      <c r="A177" t="inlineStr">
        <is>
          <t>A 11004-2023</t>
        </is>
      </c>
      <c r="B177" s="1" t="n">
        <v>44986</v>
      </c>
      <c r="C177" s="1" t="n">
        <v>46204</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32688-2024</t>
        </is>
      </c>
      <c r="B178" s="1" t="n">
        <v>45515</v>
      </c>
      <c r="C178" s="1" t="n">
        <v>46204</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9459-2023</t>
        </is>
      </c>
      <c r="B179" s="1" t="n">
        <v>44977</v>
      </c>
      <c r="C179" s="1" t="n">
        <v>46204</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47854-2023</t>
        </is>
      </c>
      <c r="B180" s="1" t="n">
        <v>45198</v>
      </c>
      <c r="C180" s="1" t="n">
        <v>46204</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30198-2024</t>
        </is>
      </c>
      <c r="B181" s="1" t="n">
        <v>45490</v>
      </c>
      <c r="C181" s="1" t="n">
        <v>46204</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59718-2023</t>
        </is>
      </c>
      <c r="B182" s="1" t="n">
        <v>45257</v>
      </c>
      <c r="C182" s="1" t="n">
        <v>46204</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43419-2024</t>
        </is>
      </c>
      <c r="B183" s="1" t="n">
        <v>45568</v>
      </c>
      <c r="C183" s="1" t="n">
        <v>46204</v>
      </c>
      <c r="D183" t="inlineStr">
        <is>
          <t>DALARNAS LÄN</t>
        </is>
      </c>
      <c r="E183" t="inlineStr">
        <is>
          <t>LEKSAND</t>
        </is>
      </c>
      <c r="G183" t="n">
        <v>0.4</v>
      </c>
      <c r="H183" t="n">
        <v>0</v>
      </c>
      <c r="I183" t="n">
        <v>0</v>
      </c>
      <c r="J183" t="n">
        <v>0</v>
      </c>
      <c r="K183" t="n">
        <v>0</v>
      </c>
      <c r="L183" t="n">
        <v>0</v>
      </c>
      <c r="M183" t="n">
        <v>0</v>
      </c>
      <c r="N183" t="n">
        <v>0</v>
      </c>
      <c r="O183" t="n">
        <v>0</v>
      </c>
      <c r="P183" t="n">
        <v>0</v>
      </c>
      <c r="Q183" t="n">
        <v>0</v>
      </c>
      <c r="R183" s="2" t="inlineStr"/>
    </row>
    <row r="184" ht="15" customHeight="1">
      <c r="A184" t="inlineStr">
        <is>
          <t>A 7395-2025</t>
        </is>
      </c>
      <c r="B184" s="1" t="n">
        <v>45705</v>
      </c>
      <c r="C184" s="1" t="n">
        <v>46204</v>
      </c>
      <c r="D184" t="inlineStr">
        <is>
          <t>DALARNAS LÄN</t>
        </is>
      </c>
      <c r="E184" t="inlineStr">
        <is>
          <t>LEKSAND</t>
        </is>
      </c>
      <c r="G184" t="n">
        <v>1.8</v>
      </c>
      <c r="H184" t="n">
        <v>0</v>
      </c>
      <c r="I184" t="n">
        <v>0</v>
      </c>
      <c r="J184" t="n">
        <v>0</v>
      </c>
      <c r="K184" t="n">
        <v>0</v>
      </c>
      <c r="L184" t="n">
        <v>0</v>
      </c>
      <c r="M184" t="n">
        <v>0</v>
      </c>
      <c r="N184" t="n">
        <v>0</v>
      </c>
      <c r="O184" t="n">
        <v>0</v>
      </c>
      <c r="P184" t="n">
        <v>0</v>
      </c>
      <c r="Q184" t="n">
        <v>0</v>
      </c>
      <c r="R184" s="2" t="inlineStr"/>
    </row>
    <row r="185" ht="15" customHeight="1">
      <c r="A185" t="inlineStr">
        <is>
          <t>A 11859-2024</t>
        </is>
      </c>
      <c r="B185" s="1" t="n">
        <v>45376</v>
      </c>
      <c r="C185" s="1" t="n">
        <v>46204</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28633-2023</t>
        </is>
      </c>
      <c r="B186" s="1" t="n">
        <v>45103</v>
      </c>
      <c r="C186" s="1" t="n">
        <v>46204</v>
      </c>
      <c r="D186" t="inlineStr">
        <is>
          <t>DALARNAS LÄN</t>
        </is>
      </c>
      <c r="E186" t="inlineStr">
        <is>
          <t>LEKSAND</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30860-2024</t>
        </is>
      </c>
      <c r="B187" s="1" t="n">
        <v>45497</v>
      </c>
      <c r="C187" s="1" t="n">
        <v>46204</v>
      </c>
      <c r="D187" t="inlineStr">
        <is>
          <t>DALARNAS LÄN</t>
        </is>
      </c>
      <c r="E187" t="inlineStr">
        <is>
          <t>LEKSAND</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51320-2023</t>
        </is>
      </c>
      <c r="B188" s="1" t="n">
        <v>45219</v>
      </c>
      <c r="C188" s="1" t="n">
        <v>46204</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28630-2023</t>
        </is>
      </c>
      <c r="B189" s="1" t="n">
        <v>45103</v>
      </c>
      <c r="C189" s="1" t="n">
        <v>46204</v>
      </c>
      <c r="D189" t="inlineStr">
        <is>
          <t>DALARNAS LÄN</t>
        </is>
      </c>
      <c r="E189" t="inlineStr">
        <is>
          <t>LEKSAND</t>
        </is>
      </c>
      <c r="F189" t="inlineStr">
        <is>
          <t>Bergvik skog väst AB</t>
        </is>
      </c>
      <c r="G189" t="n">
        <v>0.3</v>
      </c>
      <c r="H189" t="n">
        <v>0</v>
      </c>
      <c r="I189" t="n">
        <v>0</v>
      </c>
      <c r="J189" t="n">
        <v>0</v>
      </c>
      <c r="K189" t="n">
        <v>0</v>
      </c>
      <c r="L189" t="n">
        <v>0</v>
      </c>
      <c r="M189" t="n">
        <v>0</v>
      </c>
      <c r="N189" t="n">
        <v>0</v>
      </c>
      <c r="O189" t="n">
        <v>0</v>
      </c>
      <c r="P189" t="n">
        <v>0</v>
      </c>
      <c r="Q189" t="n">
        <v>0</v>
      </c>
      <c r="R189" s="2" t="inlineStr"/>
    </row>
    <row r="190" ht="15" customHeight="1">
      <c r="A190" t="inlineStr">
        <is>
          <t>A 61252-2023</t>
        </is>
      </c>
      <c r="B190" s="1" t="n">
        <v>45261</v>
      </c>
      <c r="C190" s="1" t="n">
        <v>46204</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19330-2025</t>
        </is>
      </c>
      <c r="B191" s="1" t="n">
        <v>45769</v>
      </c>
      <c r="C191" s="1" t="n">
        <v>46204</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28913-2024</t>
        </is>
      </c>
      <c r="B192" s="1" t="n">
        <v>45480</v>
      </c>
      <c r="C192" s="1" t="n">
        <v>46204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60024-2023</t>
        </is>
      </c>
      <c r="B193" s="1" t="n">
        <v>45258</v>
      </c>
      <c r="C193" s="1" t="n">
        <v>46204</v>
      </c>
      <c r="D193" t="inlineStr">
        <is>
          <t>DALARNAS LÄN</t>
        </is>
      </c>
      <c r="E193" t="inlineStr">
        <is>
          <t>LEKSAND</t>
        </is>
      </c>
      <c r="G193" t="n">
        <v>4.2</v>
      </c>
      <c r="H193" t="n">
        <v>0</v>
      </c>
      <c r="I193" t="n">
        <v>0</v>
      </c>
      <c r="J193" t="n">
        <v>0</v>
      </c>
      <c r="K193" t="n">
        <v>0</v>
      </c>
      <c r="L193" t="n">
        <v>0</v>
      </c>
      <c r="M193" t="n">
        <v>0</v>
      </c>
      <c r="N193" t="n">
        <v>0</v>
      </c>
      <c r="O193" t="n">
        <v>0</v>
      </c>
      <c r="P193" t="n">
        <v>0</v>
      </c>
      <c r="Q193" t="n">
        <v>0</v>
      </c>
      <c r="R193" s="2" t="inlineStr"/>
    </row>
    <row r="194" ht="15" customHeight="1">
      <c r="A194" t="inlineStr">
        <is>
          <t>A 14617-2024</t>
        </is>
      </c>
      <c r="B194" s="1" t="n">
        <v>45397</v>
      </c>
      <c r="C194" s="1" t="n">
        <v>46204</v>
      </c>
      <c r="D194" t="inlineStr">
        <is>
          <t>DALARNAS LÄN</t>
        </is>
      </c>
      <c r="E194" t="inlineStr">
        <is>
          <t>LEKSAND</t>
        </is>
      </c>
      <c r="G194" t="n">
        <v>0.2</v>
      </c>
      <c r="H194" t="n">
        <v>0</v>
      </c>
      <c r="I194" t="n">
        <v>0</v>
      </c>
      <c r="J194" t="n">
        <v>0</v>
      </c>
      <c r="K194" t="n">
        <v>0</v>
      </c>
      <c r="L194" t="n">
        <v>0</v>
      </c>
      <c r="M194" t="n">
        <v>0</v>
      </c>
      <c r="N194" t="n">
        <v>0</v>
      </c>
      <c r="O194" t="n">
        <v>0</v>
      </c>
      <c r="P194" t="n">
        <v>0</v>
      </c>
      <c r="Q194" t="n">
        <v>0</v>
      </c>
      <c r="R194" s="2" t="inlineStr"/>
    </row>
    <row r="195" ht="15" customHeight="1">
      <c r="A195" t="inlineStr">
        <is>
          <t>A 60692-2023</t>
        </is>
      </c>
      <c r="B195" s="1" t="n">
        <v>45260</v>
      </c>
      <c r="C195" s="1" t="n">
        <v>46204</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7467-2023</t>
        </is>
      </c>
      <c r="B196" s="1" t="n">
        <v>44966</v>
      </c>
      <c r="C196" s="1" t="n">
        <v>46204</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51857-2022</t>
        </is>
      </c>
      <c r="B197" s="1" t="n">
        <v>44867</v>
      </c>
      <c r="C197" s="1" t="n">
        <v>46204</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1267-2025</t>
        </is>
      </c>
      <c r="B198" s="1" t="n">
        <v>45667</v>
      </c>
      <c r="C198" s="1" t="n">
        <v>46204</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44491-2023</t>
        </is>
      </c>
      <c r="B199" s="1" t="n">
        <v>45183</v>
      </c>
      <c r="C199" s="1" t="n">
        <v>46204</v>
      </c>
      <c r="D199" t="inlineStr">
        <is>
          <t>DALARNAS LÄN</t>
        </is>
      </c>
      <c r="E199" t="inlineStr">
        <is>
          <t>LEKSAND</t>
        </is>
      </c>
      <c r="G199" t="n">
        <v>2.6</v>
      </c>
      <c r="H199" t="n">
        <v>0</v>
      </c>
      <c r="I199" t="n">
        <v>0</v>
      </c>
      <c r="J199" t="n">
        <v>0</v>
      </c>
      <c r="K199" t="n">
        <v>0</v>
      </c>
      <c r="L199" t="n">
        <v>0</v>
      </c>
      <c r="M199" t="n">
        <v>0</v>
      </c>
      <c r="N199" t="n">
        <v>0</v>
      </c>
      <c r="O199" t="n">
        <v>0</v>
      </c>
      <c r="P199" t="n">
        <v>0</v>
      </c>
      <c r="Q199" t="n">
        <v>0</v>
      </c>
      <c r="R199" s="2" t="inlineStr"/>
    </row>
    <row r="200" ht="15" customHeight="1">
      <c r="A200" t="inlineStr">
        <is>
          <t>A 13063-2023</t>
        </is>
      </c>
      <c r="B200" s="1" t="n">
        <v>45001</v>
      </c>
      <c r="C200" s="1" t="n">
        <v>46204</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14943-2023</t>
        </is>
      </c>
      <c r="B201" s="1" t="n">
        <v>45015</v>
      </c>
      <c r="C201" s="1" t="n">
        <v>46204</v>
      </c>
      <c r="D201" t="inlineStr">
        <is>
          <t>DALARNAS LÄN</t>
        </is>
      </c>
      <c r="E201" t="inlineStr">
        <is>
          <t>LEKSAND</t>
        </is>
      </c>
      <c r="G201" t="n">
        <v>1.7</v>
      </c>
      <c r="H201" t="n">
        <v>0</v>
      </c>
      <c r="I201" t="n">
        <v>0</v>
      </c>
      <c r="J201" t="n">
        <v>0</v>
      </c>
      <c r="K201" t="n">
        <v>0</v>
      </c>
      <c r="L201" t="n">
        <v>0</v>
      </c>
      <c r="M201" t="n">
        <v>0</v>
      </c>
      <c r="N201" t="n">
        <v>0</v>
      </c>
      <c r="O201" t="n">
        <v>0</v>
      </c>
      <c r="P201" t="n">
        <v>0</v>
      </c>
      <c r="Q201" t="n">
        <v>0</v>
      </c>
      <c r="R201" s="2" t="inlineStr"/>
    </row>
    <row r="202" ht="15" customHeight="1">
      <c r="A202" t="inlineStr">
        <is>
          <t>A 30169-2023</t>
        </is>
      </c>
      <c r="B202" s="1" t="n">
        <v>45110</v>
      </c>
      <c r="C202" s="1" t="n">
        <v>46204</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54289-2023</t>
        </is>
      </c>
      <c r="B203" s="1" t="n">
        <v>45232</v>
      </c>
      <c r="C203" s="1" t="n">
        <v>46204</v>
      </c>
      <c r="D203" t="inlineStr">
        <is>
          <t>DALARNAS LÄN</t>
        </is>
      </c>
      <c r="E203" t="inlineStr">
        <is>
          <t>LEKSAND</t>
        </is>
      </c>
      <c r="G203" t="n">
        <v>2</v>
      </c>
      <c r="H203" t="n">
        <v>0</v>
      </c>
      <c r="I203" t="n">
        <v>0</v>
      </c>
      <c r="J203" t="n">
        <v>0</v>
      </c>
      <c r="K203" t="n">
        <v>0</v>
      </c>
      <c r="L203" t="n">
        <v>0</v>
      </c>
      <c r="M203" t="n">
        <v>0</v>
      </c>
      <c r="N203" t="n">
        <v>0</v>
      </c>
      <c r="O203" t="n">
        <v>0</v>
      </c>
      <c r="P203" t="n">
        <v>0</v>
      </c>
      <c r="Q203" t="n">
        <v>0</v>
      </c>
      <c r="R203" s="2" t="inlineStr"/>
    </row>
    <row r="204" ht="15" customHeight="1">
      <c r="A204" t="inlineStr">
        <is>
          <t>A 38721-2025</t>
        </is>
      </c>
      <c r="B204" s="1" t="n">
        <v>45886</v>
      </c>
      <c r="C204" s="1" t="n">
        <v>46204</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11869-2024</t>
        </is>
      </c>
      <c r="B205" s="1" t="n">
        <v>45376</v>
      </c>
      <c r="C205" s="1" t="n">
        <v>46204</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46204</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33593-2024</t>
        </is>
      </c>
      <c r="B207" s="1" t="n">
        <v>45520</v>
      </c>
      <c r="C207" s="1" t="n">
        <v>46204</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16137-2023</t>
        </is>
      </c>
      <c r="B208" s="1" t="n">
        <v>45027</v>
      </c>
      <c r="C208" s="1" t="n">
        <v>46204</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30920-2025</t>
        </is>
      </c>
      <c r="B209" s="1" t="n">
        <v>45832</v>
      </c>
      <c r="C209" s="1" t="n">
        <v>46204</v>
      </c>
      <c r="D209" t="inlineStr">
        <is>
          <t>DALARNAS LÄN</t>
        </is>
      </c>
      <c r="E209" t="inlineStr">
        <is>
          <t>LEKSAND</t>
        </is>
      </c>
      <c r="G209" t="n">
        <v>1.9</v>
      </c>
      <c r="H209" t="n">
        <v>0</v>
      </c>
      <c r="I209" t="n">
        <v>0</v>
      </c>
      <c r="J209" t="n">
        <v>0</v>
      </c>
      <c r="K209" t="n">
        <v>0</v>
      </c>
      <c r="L209" t="n">
        <v>0</v>
      </c>
      <c r="M209" t="n">
        <v>0</v>
      </c>
      <c r="N209" t="n">
        <v>0</v>
      </c>
      <c r="O209" t="n">
        <v>0</v>
      </c>
      <c r="P209" t="n">
        <v>0</v>
      </c>
      <c r="Q209" t="n">
        <v>0</v>
      </c>
      <c r="R209" s="2" t="inlineStr"/>
    </row>
    <row r="210" ht="15" customHeight="1">
      <c r="A210" t="inlineStr">
        <is>
          <t>A 30917-2025</t>
        </is>
      </c>
      <c r="B210" s="1" t="n">
        <v>45832</v>
      </c>
      <c r="C210" s="1" t="n">
        <v>46204</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54682-2023</t>
        </is>
      </c>
      <c r="B211" s="1" t="n">
        <v>45235</v>
      </c>
      <c r="C211" s="1" t="n">
        <v>46204</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31446-2025</t>
        </is>
      </c>
      <c r="B212" s="1" t="n">
        <v>45833</v>
      </c>
      <c r="C212" s="1" t="n">
        <v>46204</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30911-2025</t>
        </is>
      </c>
      <c r="B213" s="1" t="n">
        <v>45832</v>
      </c>
      <c r="C213" s="1" t="n">
        <v>46204</v>
      </c>
      <c r="D213" t="inlineStr">
        <is>
          <t>DALARNAS LÄN</t>
        </is>
      </c>
      <c r="E213" t="inlineStr">
        <is>
          <t>LEKSAND</t>
        </is>
      </c>
      <c r="G213" t="n">
        <v>0.5</v>
      </c>
      <c r="H213" t="n">
        <v>0</v>
      </c>
      <c r="I213" t="n">
        <v>0</v>
      </c>
      <c r="J213" t="n">
        <v>0</v>
      </c>
      <c r="K213" t="n">
        <v>0</v>
      </c>
      <c r="L213" t="n">
        <v>0</v>
      </c>
      <c r="M213" t="n">
        <v>0</v>
      </c>
      <c r="N213" t="n">
        <v>0</v>
      </c>
      <c r="O213" t="n">
        <v>0</v>
      </c>
      <c r="P213" t="n">
        <v>0</v>
      </c>
      <c r="Q213" t="n">
        <v>0</v>
      </c>
      <c r="R213" s="2" t="inlineStr"/>
    </row>
    <row r="214" ht="15" customHeight="1">
      <c r="A214" t="inlineStr">
        <is>
          <t>A 4280-2026</t>
        </is>
      </c>
      <c r="B214" s="1" t="n">
        <v>46044</v>
      </c>
      <c r="C214" s="1" t="n">
        <v>46204</v>
      </c>
      <c r="D214" t="inlineStr">
        <is>
          <t>DALARNAS LÄN</t>
        </is>
      </c>
      <c r="E214" t="inlineStr">
        <is>
          <t>LEKSAND</t>
        </is>
      </c>
      <c r="G214" t="n">
        <v>7.2</v>
      </c>
      <c r="H214" t="n">
        <v>0</v>
      </c>
      <c r="I214" t="n">
        <v>0</v>
      </c>
      <c r="J214" t="n">
        <v>0</v>
      </c>
      <c r="K214" t="n">
        <v>0</v>
      </c>
      <c r="L214" t="n">
        <v>0</v>
      </c>
      <c r="M214" t="n">
        <v>0</v>
      </c>
      <c r="N214" t="n">
        <v>0</v>
      </c>
      <c r="O214" t="n">
        <v>0</v>
      </c>
      <c r="P214" t="n">
        <v>0</v>
      </c>
      <c r="Q214" t="n">
        <v>0</v>
      </c>
      <c r="R214" s="2" t="inlineStr"/>
    </row>
    <row r="215" ht="15" customHeight="1">
      <c r="A215" t="inlineStr">
        <is>
          <t>A 36534-2024</t>
        </is>
      </c>
      <c r="B215" s="1" t="n">
        <v>45537</v>
      </c>
      <c r="C215" s="1" t="n">
        <v>46204</v>
      </c>
      <c r="D215" t="inlineStr">
        <is>
          <t>DALARNAS LÄN</t>
        </is>
      </c>
      <c r="E215" t="inlineStr">
        <is>
          <t>LEKSAND</t>
        </is>
      </c>
      <c r="G215" t="n">
        <v>4</v>
      </c>
      <c r="H215" t="n">
        <v>0</v>
      </c>
      <c r="I215" t="n">
        <v>0</v>
      </c>
      <c r="J215" t="n">
        <v>0</v>
      </c>
      <c r="K215" t="n">
        <v>0</v>
      </c>
      <c r="L215" t="n">
        <v>0</v>
      </c>
      <c r="M215" t="n">
        <v>0</v>
      </c>
      <c r="N215" t="n">
        <v>0</v>
      </c>
      <c r="O215" t="n">
        <v>0</v>
      </c>
      <c r="P215" t="n">
        <v>0</v>
      </c>
      <c r="Q215" t="n">
        <v>0</v>
      </c>
      <c r="R215" s="2" t="inlineStr"/>
    </row>
    <row r="216" ht="15" customHeight="1">
      <c r="A216" t="inlineStr">
        <is>
          <t>A 5847-2025</t>
        </is>
      </c>
      <c r="B216" s="1" t="n">
        <v>45695</v>
      </c>
      <c r="C216" s="1" t="n">
        <v>46204</v>
      </c>
      <c r="D216" t="inlineStr">
        <is>
          <t>DALARNAS LÄN</t>
        </is>
      </c>
      <c r="E216" t="inlineStr">
        <is>
          <t>LEKSAND</t>
        </is>
      </c>
      <c r="G216" t="n">
        <v>2.6</v>
      </c>
      <c r="H216" t="n">
        <v>0</v>
      </c>
      <c r="I216" t="n">
        <v>0</v>
      </c>
      <c r="J216" t="n">
        <v>0</v>
      </c>
      <c r="K216" t="n">
        <v>0</v>
      </c>
      <c r="L216" t="n">
        <v>0</v>
      </c>
      <c r="M216" t="n">
        <v>0</v>
      </c>
      <c r="N216" t="n">
        <v>0</v>
      </c>
      <c r="O216" t="n">
        <v>0</v>
      </c>
      <c r="P216" t="n">
        <v>0</v>
      </c>
      <c r="Q216" t="n">
        <v>0</v>
      </c>
      <c r="R216" s="2" t="inlineStr"/>
    </row>
    <row r="217" ht="15" customHeight="1">
      <c r="A217" t="inlineStr">
        <is>
          <t>A 60878-2023</t>
        </is>
      </c>
      <c r="B217" s="1" t="n">
        <v>45259</v>
      </c>
      <c r="C217" s="1" t="n">
        <v>46204</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36262-2023</t>
        </is>
      </c>
      <c r="B218" s="1" t="n">
        <v>45151</v>
      </c>
      <c r="C218" s="1" t="n">
        <v>46204</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10367-2023</t>
        </is>
      </c>
      <c r="B219" s="1" t="n">
        <v>44987</v>
      </c>
      <c r="C219" s="1" t="n">
        <v>46204</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32301-2025</t>
        </is>
      </c>
      <c r="B220" s="1" t="n">
        <v>45835</v>
      </c>
      <c r="C220" s="1" t="n">
        <v>46204</v>
      </c>
      <c r="D220" t="inlineStr">
        <is>
          <t>DALARNAS LÄN</t>
        </is>
      </c>
      <c r="E220" t="inlineStr">
        <is>
          <t>LEKSAND</t>
        </is>
      </c>
      <c r="G220" t="n">
        <v>2.2</v>
      </c>
      <c r="H220" t="n">
        <v>0</v>
      </c>
      <c r="I220" t="n">
        <v>0</v>
      </c>
      <c r="J220" t="n">
        <v>0</v>
      </c>
      <c r="K220" t="n">
        <v>0</v>
      </c>
      <c r="L220" t="n">
        <v>0</v>
      </c>
      <c r="M220" t="n">
        <v>0</v>
      </c>
      <c r="N220" t="n">
        <v>0</v>
      </c>
      <c r="O220" t="n">
        <v>0</v>
      </c>
      <c r="P220" t="n">
        <v>0</v>
      </c>
      <c r="Q220" t="n">
        <v>0</v>
      </c>
      <c r="R220" s="2" t="inlineStr"/>
    </row>
    <row r="221" ht="15" customHeight="1">
      <c r="A221" t="inlineStr">
        <is>
          <t>A 32855-2025</t>
        </is>
      </c>
      <c r="B221" s="1" t="n">
        <v>45839</v>
      </c>
      <c r="C221" s="1" t="n">
        <v>46204</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32593-2025</t>
        </is>
      </c>
      <c r="B222" s="1" t="n">
        <v>45838</v>
      </c>
      <c r="C222" s="1" t="n">
        <v>46204</v>
      </c>
      <c r="D222" t="inlineStr">
        <is>
          <t>DALARNAS LÄN</t>
        </is>
      </c>
      <c r="E222" t="inlineStr">
        <is>
          <t>LEKSAND</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62525-2025</t>
        </is>
      </c>
      <c r="B223" s="1" t="n">
        <v>46007</v>
      </c>
      <c r="C223" s="1" t="n">
        <v>46204</v>
      </c>
      <c r="D223" t="inlineStr">
        <is>
          <t>DALARNAS LÄN</t>
        </is>
      </c>
      <c r="E223" t="inlineStr">
        <is>
          <t>LEKSAND</t>
        </is>
      </c>
      <c r="G223" t="n">
        <v>5.7</v>
      </c>
      <c r="H223" t="n">
        <v>0</v>
      </c>
      <c r="I223" t="n">
        <v>0</v>
      </c>
      <c r="J223" t="n">
        <v>0</v>
      </c>
      <c r="K223" t="n">
        <v>0</v>
      </c>
      <c r="L223" t="n">
        <v>0</v>
      </c>
      <c r="M223" t="n">
        <v>0</v>
      </c>
      <c r="N223" t="n">
        <v>0</v>
      </c>
      <c r="O223" t="n">
        <v>0</v>
      </c>
      <c r="P223" t="n">
        <v>0</v>
      </c>
      <c r="Q223" t="n">
        <v>0</v>
      </c>
      <c r="R223" s="2" t="inlineStr"/>
    </row>
    <row r="224" ht="15" customHeight="1">
      <c r="A224" t="inlineStr">
        <is>
          <t>A 39660-2025</t>
        </is>
      </c>
      <c r="B224" s="1" t="n">
        <v>45890</v>
      </c>
      <c r="C224" s="1" t="n">
        <v>46204</v>
      </c>
      <c r="D224" t="inlineStr">
        <is>
          <t>DALARNAS LÄN</t>
        </is>
      </c>
      <c r="E224" t="inlineStr">
        <is>
          <t>LEKSAND</t>
        </is>
      </c>
      <c r="F224" t="inlineStr">
        <is>
          <t>Bergvik skog väst AB</t>
        </is>
      </c>
      <c r="G224" t="n">
        <v>5.8</v>
      </c>
      <c r="H224" t="n">
        <v>0</v>
      </c>
      <c r="I224" t="n">
        <v>0</v>
      </c>
      <c r="J224" t="n">
        <v>0</v>
      </c>
      <c r="K224" t="n">
        <v>0</v>
      </c>
      <c r="L224" t="n">
        <v>0</v>
      </c>
      <c r="M224" t="n">
        <v>0</v>
      </c>
      <c r="N224" t="n">
        <v>0</v>
      </c>
      <c r="O224" t="n">
        <v>0</v>
      </c>
      <c r="P224" t="n">
        <v>0</v>
      </c>
      <c r="Q224" t="n">
        <v>0</v>
      </c>
      <c r="R224" s="2" t="inlineStr"/>
    </row>
    <row r="225" ht="15" customHeight="1">
      <c r="A225" t="inlineStr">
        <is>
          <t>A 39693-2025</t>
        </is>
      </c>
      <c r="B225" s="1" t="n">
        <v>45890</v>
      </c>
      <c r="C225" s="1" t="n">
        <v>46204</v>
      </c>
      <c r="D225" t="inlineStr">
        <is>
          <t>DALARNAS LÄN</t>
        </is>
      </c>
      <c r="E225" t="inlineStr">
        <is>
          <t>LEKSAND</t>
        </is>
      </c>
      <c r="G225" t="n">
        <v>3.1</v>
      </c>
      <c r="H225" t="n">
        <v>0</v>
      </c>
      <c r="I225" t="n">
        <v>0</v>
      </c>
      <c r="J225" t="n">
        <v>0</v>
      </c>
      <c r="K225" t="n">
        <v>0</v>
      </c>
      <c r="L225" t="n">
        <v>0</v>
      </c>
      <c r="M225" t="n">
        <v>0</v>
      </c>
      <c r="N225" t="n">
        <v>0</v>
      </c>
      <c r="O225" t="n">
        <v>0</v>
      </c>
      <c r="P225" t="n">
        <v>0</v>
      </c>
      <c r="Q225" t="n">
        <v>0</v>
      </c>
      <c r="R225" s="2" t="inlineStr"/>
    </row>
    <row r="226" ht="15" customHeight="1">
      <c r="A226" t="inlineStr">
        <is>
          <t>A 1519-2024</t>
        </is>
      </c>
      <c r="B226" s="1" t="n">
        <v>45306</v>
      </c>
      <c r="C226" s="1" t="n">
        <v>46204</v>
      </c>
      <c r="D226" t="inlineStr">
        <is>
          <t>DALARNAS LÄN</t>
        </is>
      </c>
      <c r="E226" t="inlineStr">
        <is>
          <t>LEKSAND</t>
        </is>
      </c>
      <c r="G226" t="n">
        <v>3.3</v>
      </c>
      <c r="H226" t="n">
        <v>0</v>
      </c>
      <c r="I226" t="n">
        <v>0</v>
      </c>
      <c r="J226" t="n">
        <v>0</v>
      </c>
      <c r="K226" t="n">
        <v>0</v>
      </c>
      <c r="L226" t="n">
        <v>0</v>
      </c>
      <c r="M226" t="n">
        <v>0</v>
      </c>
      <c r="N226" t="n">
        <v>0</v>
      </c>
      <c r="O226" t="n">
        <v>0</v>
      </c>
      <c r="P226" t="n">
        <v>0</v>
      </c>
      <c r="Q226" t="n">
        <v>0</v>
      </c>
      <c r="R226" s="2" t="inlineStr"/>
    </row>
    <row r="227" ht="15" customHeight="1">
      <c r="A227" t="inlineStr">
        <is>
          <t>A 39516-2025</t>
        </is>
      </c>
      <c r="B227" s="1" t="n">
        <v>45890</v>
      </c>
      <c r="C227" s="1" t="n">
        <v>46204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35746-2025</t>
        </is>
      </c>
      <c r="B228" s="1" t="n">
        <v>45860</v>
      </c>
      <c r="C228" s="1" t="n">
        <v>46204</v>
      </c>
      <c r="D228" t="inlineStr">
        <is>
          <t>DALARNAS LÄN</t>
        </is>
      </c>
      <c r="E228" t="inlineStr">
        <is>
          <t>LEKSAND</t>
        </is>
      </c>
      <c r="G228" t="n">
        <v>1.9</v>
      </c>
      <c r="H228" t="n">
        <v>0</v>
      </c>
      <c r="I228" t="n">
        <v>0</v>
      </c>
      <c r="J228" t="n">
        <v>0</v>
      </c>
      <c r="K228" t="n">
        <v>0</v>
      </c>
      <c r="L228" t="n">
        <v>0</v>
      </c>
      <c r="M228" t="n">
        <v>0</v>
      </c>
      <c r="N228" t="n">
        <v>0</v>
      </c>
      <c r="O228" t="n">
        <v>0</v>
      </c>
      <c r="P228" t="n">
        <v>0</v>
      </c>
      <c r="Q228" t="n">
        <v>0</v>
      </c>
      <c r="R228" s="2" t="inlineStr"/>
    </row>
    <row r="229" ht="15" customHeight="1">
      <c r="A229" t="inlineStr">
        <is>
          <t>A 2694-2025</t>
        </is>
      </c>
      <c r="B229" s="1" t="n">
        <v>45677</v>
      </c>
      <c r="C229" s="1" t="n">
        <v>46204</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28892-2022</t>
        </is>
      </c>
      <c r="B230" s="1" t="n">
        <v>44749</v>
      </c>
      <c r="C230" s="1" t="n">
        <v>46204</v>
      </c>
      <c r="D230" t="inlineStr">
        <is>
          <t>DALARNAS LÄN</t>
        </is>
      </c>
      <c r="E230" t="inlineStr">
        <is>
          <t>LEKSAND</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34537-2025</t>
        </is>
      </c>
      <c r="B231" s="1" t="n">
        <v>45847</v>
      </c>
      <c r="C231" s="1" t="n">
        <v>46204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1968-2026</t>
        </is>
      </c>
      <c r="B232" s="1" t="n">
        <v>46035</v>
      </c>
      <c r="C232" s="1" t="n">
        <v>46204</v>
      </c>
      <c r="D232" t="inlineStr">
        <is>
          <t>DALARNAS LÄN</t>
        </is>
      </c>
      <c r="E232" t="inlineStr">
        <is>
          <t>LEKSAND</t>
        </is>
      </c>
      <c r="G232" t="n">
        <v>2.8</v>
      </c>
      <c r="H232" t="n">
        <v>0</v>
      </c>
      <c r="I232" t="n">
        <v>0</v>
      </c>
      <c r="J232" t="n">
        <v>0</v>
      </c>
      <c r="K232" t="n">
        <v>0</v>
      </c>
      <c r="L232" t="n">
        <v>0</v>
      </c>
      <c r="M232" t="n">
        <v>0</v>
      </c>
      <c r="N232" t="n">
        <v>0</v>
      </c>
      <c r="O232" t="n">
        <v>0</v>
      </c>
      <c r="P232" t="n">
        <v>0</v>
      </c>
      <c r="Q232" t="n">
        <v>0</v>
      </c>
      <c r="R232" s="2" t="inlineStr"/>
    </row>
    <row r="233" ht="15" customHeight="1">
      <c r="A233" t="inlineStr">
        <is>
          <t>A 8726-2026</t>
        </is>
      </c>
      <c r="B233" s="1" t="n">
        <v>46066</v>
      </c>
      <c r="C233" s="1" t="n">
        <v>46204</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24373-2025</t>
        </is>
      </c>
      <c r="B234" s="1" t="n">
        <v>45797</v>
      </c>
      <c r="C234" s="1" t="n">
        <v>46204</v>
      </c>
      <c r="D234" t="inlineStr">
        <is>
          <t>DALARNAS LÄN</t>
        </is>
      </c>
      <c r="E234" t="inlineStr">
        <is>
          <t>LEKSAND</t>
        </is>
      </c>
      <c r="G234" t="n">
        <v>2.4</v>
      </c>
      <c r="H234" t="n">
        <v>0</v>
      </c>
      <c r="I234" t="n">
        <v>0</v>
      </c>
      <c r="J234" t="n">
        <v>0</v>
      </c>
      <c r="K234" t="n">
        <v>0</v>
      </c>
      <c r="L234" t="n">
        <v>0</v>
      </c>
      <c r="M234" t="n">
        <v>0</v>
      </c>
      <c r="N234" t="n">
        <v>0</v>
      </c>
      <c r="O234" t="n">
        <v>0</v>
      </c>
      <c r="P234" t="n">
        <v>0</v>
      </c>
      <c r="Q234" t="n">
        <v>0</v>
      </c>
      <c r="R234" s="2" t="inlineStr"/>
    </row>
    <row r="235" ht="15" customHeight="1">
      <c r="A235" t="inlineStr">
        <is>
          <t>A 34965-2025</t>
        </is>
      </c>
      <c r="B235" s="1" t="n">
        <v>45849</v>
      </c>
      <c r="C235" s="1" t="n">
        <v>46204</v>
      </c>
      <c r="D235" t="inlineStr">
        <is>
          <t>DALARNAS LÄN</t>
        </is>
      </c>
      <c r="E235" t="inlineStr">
        <is>
          <t>LEKSAND</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41896-2024</t>
        </is>
      </c>
      <c r="B236" s="1" t="n">
        <v>45561</v>
      </c>
      <c r="C236" s="1" t="n">
        <v>46204</v>
      </c>
      <c r="D236" t="inlineStr">
        <is>
          <t>DALARNAS LÄN</t>
        </is>
      </c>
      <c r="E236" t="inlineStr">
        <is>
          <t>LEKSAND</t>
        </is>
      </c>
      <c r="F236" t="inlineStr">
        <is>
          <t>Bergvik skog väst AB</t>
        </is>
      </c>
      <c r="G236" t="n">
        <v>2.8</v>
      </c>
      <c r="H236" t="n">
        <v>0</v>
      </c>
      <c r="I236" t="n">
        <v>0</v>
      </c>
      <c r="J236" t="n">
        <v>0</v>
      </c>
      <c r="K236" t="n">
        <v>0</v>
      </c>
      <c r="L236" t="n">
        <v>0</v>
      </c>
      <c r="M236" t="n">
        <v>0</v>
      </c>
      <c r="N236" t="n">
        <v>0</v>
      </c>
      <c r="O236" t="n">
        <v>0</v>
      </c>
      <c r="P236" t="n">
        <v>0</v>
      </c>
      <c r="Q236" t="n">
        <v>0</v>
      </c>
      <c r="R236" s="2" t="inlineStr"/>
    </row>
    <row r="237" ht="15" customHeight="1">
      <c r="A237" t="inlineStr">
        <is>
          <t>A 34966-2025</t>
        </is>
      </c>
      <c r="B237" s="1" t="n">
        <v>45849</v>
      </c>
      <c r="C237" s="1" t="n">
        <v>46204</v>
      </c>
      <c r="D237" t="inlineStr">
        <is>
          <t>DALARNAS LÄN</t>
        </is>
      </c>
      <c r="E237" t="inlineStr">
        <is>
          <t>LEKSAND</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41487-2025</t>
        </is>
      </c>
      <c r="B238" s="1" t="n">
        <v>45901</v>
      </c>
      <c r="C238" s="1" t="n">
        <v>46204</v>
      </c>
      <c r="D238" t="inlineStr">
        <is>
          <t>DALARNAS LÄN</t>
        </is>
      </c>
      <c r="E238" t="inlineStr">
        <is>
          <t>LEKSAND</t>
        </is>
      </c>
      <c r="F238" t="inlineStr">
        <is>
          <t>Bergvik skog väst AB</t>
        </is>
      </c>
      <c r="G238" t="n">
        <v>7.3</v>
      </c>
      <c r="H238" t="n">
        <v>0</v>
      </c>
      <c r="I238" t="n">
        <v>0</v>
      </c>
      <c r="J238" t="n">
        <v>0</v>
      </c>
      <c r="K238" t="n">
        <v>0</v>
      </c>
      <c r="L238" t="n">
        <v>0</v>
      </c>
      <c r="M238" t="n">
        <v>0</v>
      </c>
      <c r="N238" t="n">
        <v>0</v>
      </c>
      <c r="O238" t="n">
        <v>0</v>
      </c>
      <c r="P238" t="n">
        <v>0</v>
      </c>
      <c r="Q238" t="n">
        <v>0</v>
      </c>
      <c r="R238" s="2" t="inlineStr"/>
    </row>
    <row r="239" ht="15" customHeight="1">
      <c r="A239" t="inlineStr">
        <is>
          <t>A 41237-2025</t>
        </is>
      </c>
      <c r="B239" s="1" t="n">
        <v>45898</v>
      </c>
      <c r="C239" s="1" t="n">
        <v>46204</v>
      </c>
      <c r="D239" t="inlineStr">
        <is>
          <t>DALARNAS LÄN</t>
        </is>
      </c>
      <c r="E239" t="inlineStr">
        <is>
          <t>LEKSAND</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41248-2025</t>
        </is>
      </c>
      <c r="B240" s="1" t="n">
        <v>45898</v>
      </c>
      <c r="C240" s="1" t="n">
        <v>46204</v>
      </c>
      <c r="D240" t="inlineStr">
        <is>
          <t>DALARNAS LÄN</t>
        </is>
      </c>
      <c r="E240" t="inlineStr">
        <is>
          <t>LEKSAND</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41308-2025</t>
        </is>
      </c>
      <c r="B241" s="1" t="n">
        <v>45898</v>
      </c>
      <c r="C241" s="1" t="n">
        <v>46204</v>
      </c>
      <c r="D241" t="inlineStr">
        <is>
          <t>DALARNAS LÄN</t>
        </is>
      </c>
      <c r="E241" t="inlineStr">
        <is>
          <t>LEKSAND</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12857-2023</t>
        </is>
      </c>
      <c r="B242" s="1" t="n">
        <v>45001</v>
      </c>
      <c r="C242" s="1" t="n">
        <v>46204</v>
      </c>
      <c r="D242" t="inlineStr">
        <is>
          <t>DALARNAS LÄN</t>
        </is>
      </c>
      <c r="E242" t="inlineStr">
        <is>
          <t>LEKSAND</t>
        </is>
      </c>
      <c r="G242" t="n">
        <v>0.2</v>
      </c>
      <c r="H242" t="n">
        <v>0</v>
      </c>
      <c r="I242" t="n">
        <v>0</v>
      </c>
      <c r="J242" t="n">
        <v>0</v>
      </c>
      <c r="K242" t="n">
        <v>0</v>
      </c>
      <c r="L242" t="n">
        <v>0</v>
      </c>
      <c r="M242" t="n">
        <v>0</v>
      </c>
      <c r="N242" t="n">
        <v>0</v>
      </c>
      <c r="O242" t="n">
        <v>0</v>
      </c>
      <c r="P242" t="n">
        <v>0</v>
      </c>
      <c r="Q242" t="n">
        <v>0</v>
      </c>
      <c r="R242" s="2" t="inlineStr"/>
    </row>
    <row r="243" ht="15" customHeight="1">
      <c r="A243" t="inlineStr">
        <is>
          <t>A 57267-2025</t>
        </is>
      </c>
      <c r="B243" s="1" t="n">
        <v>45979</v>
      </c>
      <c r="C243" s="1" t="n">
        <v>46204</v>
      </c>
      <c r="D243" t="inlineStr">
        <is>
          <t>DALARNAS LÄN</t>
        </is>
      </c>
      <c r="E243" t="inlineStr">
        <is>
          <t>LEKSAND</t>
        </is>
      </c>
      <c r="G243" t="n">
        <v>1.9</v>
      </c>
      <c r="H243" t="n">
        <v>0</v>
      </c>
      <c r="I243" t="n">
        <v>0</v>
      </c>
      <c r="J243" t="n">
        <v>0</v>
      </c>
      <c r="K243" t="n">
        <v>0</v>
      </c>
      <c r="L243" t="n">
        <v>0</v>
      </c>
      <c r="M243" t="n">
        <v>0</v>
      </c>
      <c r="N243" t="n">
        <v>0</v>
      </c>
      <c r="O243" t="n">
        <v>0</v>
      </c>
      <c r="P243" t="n">
        <v>0</v>
      </c>
      <c r="Q243" t="n">
        <v>0</v>
      </c>
      <c r="R243" s="2" t="inlineStr"/>
    </row>
    <row r="244" ht="15" customHeight="1">
      <c r="A244" t="inlineStr">
        <is>
          <t>A 32072-2024</t>
        </is>
      </c>
      <c r="B244" s="1" t="n">
        <v>45510</v>
      </c>
      <c r="C244" s="1" t="n">
        <v>46204</v>
      </c>
      <c r="D244" t="inlineStr">
        <is>
          <t>DALARNAS LÄN</t>
        </is>
      </c>
      <c r="E244" t="inlineStr">
        <is>
          <t>LEKSAND</t>
        </is>
      </c>
      <c r="G244" t="n">
        <v>1.4</v>
      </c>
      <c r="H244" t="n">
        <v>0</v>
      </c>
      <c r="I244" t="n">
        <v>0</v>
      </c>
      <c r="J244" t="n">
        <v>0</v>
      </c>
      <c r="K244" t="n">
        <v>0</v>
      </c>
      <c r="L244" t="n">
        <v>0</v>
      </c>
      <c r="M244" t="n">
        <v>0</v>
      </c>
      <c r="N244" t="n">
        <v>0</v>
      </c>
      <c r="O244" t="n">
        <v>0</v>
      </c>
      <c r="P244" t="n">
        <v>0</v>
      </c>
      <c r="Q244" t="n">
        <v>0</v>
      </c>
      <c r="R244" s="2" t="inlineStr"/>
    </row>
    <row r="245" ht="15" customHeight="1">
      <c r="A245" t="inlineStr">
        <is>
          <t>A 24369-2025</t>
        </is>
      </c>
      <c r="B245" s="1" t="n">
        <v>45797</v>
      </c>
      <c r="C245" s="1" t="n">
        <v>46204</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56299-2024</t>
        </is>
      </c>
      <c r="B246" s="1" t="n">
        <v>45624</v>
      </c>
      <c r="C246" s="1" t="n">
        <v>46204</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9541-2026</t>
        </is>
      </c>
      <c r="B247" s="1" t="n">
        <v>46071</v>
      </c>
      <c r="C247" s="1" t="n">
        <v>46204</v>
      </c>
      <c r="D247" t="inlineStr">
        <is>
          <t>DALARNAS LÄN</t>
        </is>
      </c>
      <c r="E247" t="inlineStr">
        <is>
          <t>LEKSAND</t>
        </is>
      </c>
      <c r="G247" t="n">
        <v>10.8</v>
      </c>
      <c r="H247" t="n">
        <v>0</v>
      </c>
      <c r="I247" t="n">
        <v>0</v>
      </c>
      <c r="J247" t="n">
        <v>0</v>
      </c>
      <c r="K247" t="n">
        <v>0</v>
      </c>
      <c r="L247" t="n">
        <v>0</v>
      </c>
      <c r="M247" t="n">
        <v>0</v>
      </c>
      <c r="N247" t="n">
        <v>0</v>
      </c>
      <c r="O247" t="n">
        <v>0</v>
      </c>
      <c r="P247" t="n">
        <v>0</v>
      </c>
      <c r="Q247" t="n">
        <v>0</v>
      </c>
      <c r="R247" s="2" t="inlineStr"/>
    </row>
    <row r="248" ht="15" customHeight="1">
      <c r="A248" t="inlineStr">
        <is>
          <t>A 9163-2026</t>
        </is>
      </c>
      <c r="B248" s="1" t="n">
        <v>46070</v>
      </c>
      <c r="C248" s="1" t="n">
        <v>46204</v>
      </c>
      <c r="D248" t="inlineStr">
        <is>
          <t>DALARNAS LÄN</t>
        </is>
      </c>
      <c r="E248" t="inlineStr">
        <is>
          <t>LEKSAND</t>
        </is>
      </c>
      <c r="G248" t="n">
        <v>2.2</v>
      </c>
      <c r="H248" t="n">
        <v>0</v>
      </c>
      <c r="I248" t="n">
        <v>0</v>
      </c>
      <c r="J248" t="n">
        <v>0</v>
      </c>
      <c r="K248" t="n">
        <v>0</v>
      </c>
      <c r="L248" t="n">
        <v>0</v>
      </c>
      <c r="M248" t="n">
        <v>0</v>
      </c>
      <c r="N248" t="n">
        <v>0</v>
      </c>
      <c r="O248" t="n">
        <v>0</v>
      </c>
      <c r="P248" t="n">
        <v>0</v>
      </c>
      <c r="Q248" t="n">
        <v>0</v>
      </c>
      <c r="R248" s="2" t="inlineStr"/>
    </row>
    <row r="249" ht="15" customHeight="1">
      <c r="A249" t="inlineStr">
        <is>
          <t>A 42284-2025</t>
        </is>
      </c>
      <c r="B249" s="1" t="n">
        <v>45903</v>
      </c>
      <c r="C249" s="1" t="n">
        <v>46204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18481-2024</t>
        </is>
      </c>
      <c r="B250" s="1" t="n">
        <v>45425</v>
      </c>
      <c r="C250" s="1" t="n">
        <v>46204</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8046-2024</t>
        </is>
      </c>
      <c r="B251" s="1" t="n">
        <v>45351</v>
      </c>
      <c r="C251" s="1" t="n">
        <v>46204</v>
      </c>
      <c r="D251" t="inlineStr">
        <is>
          <t>DALARNAS LÄN</t>
        </is>
      </c>
      <c r="E251" t="inlineStr">
        <is>
          <t>LEKSAND</t>
        </is>
      </c>
      <c r="G251" t="n">
        <v>2.9</v>
      </c>
      <c r="H251" t="n">
        <v>0</v>
      </c>
      <c r="I251" t="n">
        <v>0</v>
      </c>
      <c r="J251" t="n">
        <v>0</v>
      </c>
      <c r="K251" t="n">
        <v>0</v>
      </c>
      <c r="L251" t="n">
        <v>0</v>
      </c>
      <c r="M251" t="n">
        <v>0</v>
      </c>
      <c r="N251" t="n">
        <v>0</v>
      </c>
      <c r="O251" t="n">
        <v>0</v>
      </c>
      <c r="P251" t="n">
        <v>0</v>
      </c>
      <c r="Q251" t="n">
        <v>0</v>
      </c>
      <c r="R251" s="2" t="inlineStr"/>
    </row>
    <row r="252" ht="15" customHeight="1">
      <c r="A252" t="inlineStr">
        <is>
          <t>A 7827-2024</t>
        </is>
      </c>
      <c r="B252" s="1" t="n">
        <v>45349</v>
      </c>
      <c r="C252" s="1" t="n">
        <v>46204</v>
      </c>
      <c r="D252" t="inlineStr">
        <is>
          <t>DALARNAS LÄN</t>
        </is>
      </c>
      <c r="E252" t="inlineStr">
        <is>
          <t>LEKSAND</t>
        </is>
      </c>
      <c r="G252" t="n">
        <v>2.2</v>
      </c>
      <c r="H252" t="n">
        <v>0</v>
      </c>
      <c r="I252" t="n">
        <v>0</v>
      </c>
      <c r="J252" t="n">
        <v>0</v>
      </c>
      <c r="K252" t="n">
        <v>0</v>
      </c>
      <c r="L252" t="n">
        <v>0</v>
      </c>
      <c r="M252" t="n">
        <v>0</v>
      </c>
      <c r="N252" t="n">
        <v>0</v>
      </c>
      <c r="O252" t="n">
        <v>0</v>
      </c>
      <c r="P252" t="n">
        <v>0</v>
      </c>
      <c r="Q252" t="n">
        <v>0</v>
      </c>
      <c r="R252" s="2" t="inlineStr"/>
    </row>
    <row r="253" ht="15" customHeight="1">
      <c r="A253" t="inlineStr">
        <is>
          <t>A 36020-2025</t>
        </is>
      </c>
      <c r="B253" s="1" t="n">
        <v>45863</v>
      </c>
      <c r="C253" s="1" t="n">
        <v>46204</v>
      </c>
      <c r="D253" t="inlineStr">
        <is>
          <t>DALARNAS LÄN</t>
        </is>
      </c>
      <c r="E253" t="inlineStr">
        <is>
          <t>LEKSAND</t>
        </is>
      </c>
      <c r="F253" t="inlineStr">
        <is>
          <t>Bergvik skog väst AB</t>
        </is>
      </c>
      <c r="G253" t="n">
        <v>2.8</v>
      </c>
      <c r="H253" t="n">
        <v>0</v>
      </c>
      <c r="I253" t="n">
        <v>0</v>
      </c>
      <c r="J253" t="n">
        <v>0</v>
      </c>
      <c r="K253" t="n">
        <v>0</v>
      </c>
      <c r="L253" t="n">
        <v>0</v>
      </c>
      <c r="M253" t="n">
        <v>0</v>
      </c>
      <c r="N253" t="n">
        <v>0</v>
      </c>
      <c r="O253" t="n">
        <v>0</v>
      </c>
      <c r="P253" t="n">
        <v>0</v>
      </c>
      <c r="Q253" t="n">
        <v>0</v>
      </c>
      <c r="R253" s="2" t="inlineStr"/>
    </row>
    <row r="254" ht="15" customHeight="1">
      <c r="A254" t="inlineStr">
        <is>
          <t>A 9170-2026</t>
        </is>
      </c>
      <c r="B254" s="1" t="n">
        <v>46070</v>
      </c>
      <c r="C254" s="1" t="n">
        <v>46204</v>
      </c>
      <c r="D254" t="inlineStr">
        <is>
          <t>DALARNAS LÄN</t>
        </is>
      </c>
      <c r="E254" t="inlineStr">
        <is>
          <t>LEKSAND</t>
        </is>
      </c>
      <c r="G254" t="n">
        <v>2.9</v>
      </c>
      <c r="H254" t="n">
        <v>0</v>
      </c>
      <c r="I254" t="n">
        <v>0</v>
      </c>
      <c r="J254" t="n">
        <v>0</v>
      </c>
      <c r="K254" t="n">
        <v>0</v>
      </c>
      <c r="L254" t="n">
        <v>0</v>
      </c>
      <c r="M254" t="n">
        <v>0</v>
      </c>
      <c r="N254" t="n">
        <v>0</v>
      </c>
      <c r="O254" t="n">
        <v>0</v>
      </c>
      <c r="P254" t="n">
        <v>0</v>
      </c>
      <c r="Q254" t="n">
        <v>0</v>
      </c>
      <c r="R254" s="2" t="inlineStr"/>
    </row>
    <row r="255" ht="15" customHeight="1">
      <c r="A255" t="inlineStr">
        <is>
          <t>A 9360-2026</t>
        </is>
      </c>
      <c r="B255" s="1" t="n">
        <v>46070</v>
      </c>
      <c r="C255" s="1" t="n">
        <v>46204</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43735-2022</t>
        </is>
      </c>
      <c r="B256" s="1" t="n">
        <v>44837</v>
      </c>
      <c r="C256" s="1" t="n">
        <v>46204</v>
      </c>
      <c r="D256" t="inlineStr">
        <is>
          <t>DALARNAS LÄN</t>
        </is>
      </c>
      <c r="E256" t="inlineStr">
        <is>
          <t>LEKSAND</t>
        </is>
      </c>
      <c r="G256" t="n">
        <v>2.9</v>
      </c>
      <c r="H256" t="n">
        <v>0</v>
      </c>
      <c r="I256" t="n">
        <v>0</v>
      </c>
      <c r="J256" t="n">
        <v>0</v>
      </c>
      <c r="K256" t="n">
        <v>0</v>
      </c>
      <c r="L256" t="n">
        <v>0</v>
      </c>
      <c r="M256" t="n">
        <v>0</v>
      </c>
      <c r="N256" t="n">
        <v>0</v>
      </c>
      <c r="O256" t="n">
        <v>0</v>
      </c>
      <c r="P256" t="n">
        <v>0</v>
      </c>
      <c r="Q256" t="n">
        <v>0</v>
      </c>
      <c r="R256" s="2" t="inlineStr"/>
    </row>
    <row r="257" ht="15" customHeight="1">
      <c r="A257" t="inlineStr">
        <is>
          <t>A 36021-2025</t>
        </is>
      </c>
      <c r="B257" s="1" t="n">
        <v>45863</v>
      </c>
      <c r="C257" s="1" t="n">
        <v>46204</v>
      </c>
      <c r="D257" t="inlineStr">
        <is>
          <t>DALARNAS LÄN</t>
        </is>
      </c>
      <c r="E257" t="inlineStr">
        <is>
          <t>LEKSAND</t>
        </is>
      </c>
      <c r="G257" t="n">
        <v>1.9</v>
      </c>
      <c r="H257" t="n">
        <v>0</v>
      </c>
      <c r="I257" t="n">
        <v>0</v>
      </c>
      <c r="J257" t="n">
        <v>0</v>
      </c>
      <c r="K257" t="n">
        <v>0</v>
      </c>
      <c r="L257" t="n">
        <v>0</v>
      </c>
      <c r="M257" t="n">
        <v>0</v>
      </c>
      <c r="N257" t="n">
        <v>0</v>
      </c>
      <c r="O257" t="n">
        <v>0</v>
      </c>
      <c r="P257" t="n">
        <v>0</v>
      </c>
      <c r="Q257" t="n">
        <v>0</v>
      </c>
      <c r="R257" s="2" t="inlineStr"/>
    </row>
    <row r="258" ht="15" customHeight="1">
      <c r="A258" t="inlineStr">
        <is>
          <t>A 20936-2023</t>
        </is>
      </c>
      <c r="B258" s="1" t="n">
        <v>45061</v>
      </c>
      <c r="C258" s="1" t="n">
        <v>46204</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44469-2024</t>
        </is>
      </c>
      <c r="B259" s="1" t="n">
        <v>45574</v>
      </c>
      <c r="C259" s="1" t="n">
        <v>46204</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9802-2026</t>
        </is>
      </c>
      <c r="B260" s="1" t="n">
        <v>46072</v>
      </c>
      <c r="C260" s="1" t="n">
        <v>46204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9644-2026</t>
        </is>
      </c>
      <c r="B261" s="1" t="n">
        <v>46072</v>
      </c>
      <c r="C261" s="1" t="n">
        <v>46204</v>
      </c>
      <c r="D261" t="inlineStr">
        <is>
          <t>DALARNAS LÄN</t>
        </is>
      </c>
      <c r="E261" t="inlineStr">
        <is>
          <t>LEKSAND</t>
        </is>
      </c>
      <c r="G261" t="n">
        <v>3.5</v>
      </c>
      <c r="H261" t="n">
        <v>0</v>
      </c>
      <c r="I261" t="n">
        <v>0</v>
      </c>
      <c r="J261" t="n">
        <v>0</v>
      </c>
      <c r="K261" t="n">
        <v>0</v>
      </c>
      <c r="L261" t="n">
        <v>0</v>
      </c>
      <c r="M261" t="n">
        <v>0</v>
      </c>
      <c r="N261" t="n">
        <v>0</v>
      </c>
      <c r="O261" t="n">
        <v>0</v>
      </c>
      <c r="P261" t="n">
        <v>0</v>
      </c>
      <c r="Q261" t="n">
        <v>0</v>
      </c>
      <c r="R261" s="2" t="inlineStr"/>
    </row>
    <row r="262" ht="15" customHeight="1">
      <c r="A262" t="inlineStr">
        <is>
          <t>A 9851-2026</t>
        </is>
      </c>
      <c r="B262" s="1" t="n">
        <v>46072</v>
      </c>
      <c r="C262" s="1" t="n">
        <v>46204</v>
      </c>
      <c r="D262" t="inlineStr">
        <is>
          <t>DALARNAS LÄN</t>
        </is>
      </c>
      <c r="E262" t="inlineStr">
        <is>
          <t>LEKSAND</t>
        </is>
      </c>
      <c r="G262" t="n">
        <v>5.6</v>
      </c>
      <c r="H262" t="n">
        <v>0</v>
      </c>
      <c r="I262" t="n">
        <v>0</v>
      </c>
      <c r="J262" t="n">
        <v>0</v>
      </c>
      <c r="K262" t="n">
        <v>0</v>
      </c>
      <c r="L262" t="n">
        <v>0</v>
      </c>
      <c r="M262" t="n">
        <v>0</v>
      </c>
      <c r="N262" t="n">
        <v>0</v>
      </c>
      <c r="O262" t="n">
        <v>0</v>
      </c>
      <c r="P262" t="n">
        <v>0</v>
      </c>
      <c r="Q262" t="n">
        <v>0</v>
      </c>
      <c r="R262" s="2" t="inlineStr"/>
    </row>
    <row r="263" ht="15" customHeight="1">
      <c r="A263" t="inlineStr">
        <is>
          <t>A 53464-2024</t>
        </is>
      </c>
      <c r="B263" s="1" t="n">
        <v>45611</v>
      </c>
      <c r="C263" s="1" t="n">
        <v>46204</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43629-2025</t>
        </is>
      </c>
      <c r="B264" s="1" t="n">
        <v>45911</v>
      </c>
      <c r="C264" s="1" t="n">
        <v>46204</v>
      </c>
      <c r="D264" t="inlineStr">
        <is>
          <t>DALARNAS LÄN</t>
        </is>
      </c>
      <c r="E264" t="inlineStr">
        <is>
          <t>LEKSAND</t>
        </is>
      </c>
      <c r="G264" t="n">
        <v>2.1</v>
      </c>
      <c r="H264" t="n">
        <v>0</v>
      </c>
      <c r="I264" t="n">
        <v>0</v>
      </c>
      <c r="J264" t="n">
        <v>0</v>
      </c>
      <c r="K264" t="n">
        <v>0</v>
      </c>
      <c r="L264" t="n">
        <v>0</v>
      </c>
      <c r="M264" t="n">
        <v>0</v>
      </c>
      <c r="N264" t="n">
        <v>0</v>
      </c>
      <c r="O264" t="n">
        <v>0</v>
      </c>
      <c r="P264" t="n">
        <v>0</v>
      </c>
      <c r="Q264" t="n">
        <v>0</v>
      </c>
      <c r="R264" s="2" t="inlineStr"/>
    </row>
    <row r="265" ht="15" customHeight="1">
      <c r="A265" t="inlineStr">
        <is>
          <t>A 43628-2025</t>
        </is>
      </c>
      <c r="B265" s="1" t="n">
        <v>45911</v>
      </c>
      <c r="C265" s="1" t="n">
        <v>46204</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43195-2025</t>
        </is>
      </c>
      <c r="B266" s="1" t="n">
        <v>45910</v>
      </c>
      <c r="C266" s="1" t="n">
        <v>46204</v>
      </c>
      <c r="D266" t="inlineStr">
        <is>
          <t>DALARNAS LÄN</t>
        </is>
      </c>
      <c r="E266" t="inlineStr">
        <is>
          <t>LEKSAND</t>
        </is>
      </c>
      <c r="G266" t="n">
        <v>2.5</v>
      </c>
      <c r="H266" t="n">
        <v>0</v>
      </c>
      <c r="I266" t="n">
        <v>0</v>
      </c>
      <c r="J266" t="n">
        <v>0</v>
      </c>
      <c r="K266" t="n">
        <v>0</v>
      </c>
      <c r="L266" t="n">
        <v>0</v>
      </c>
      <c r="M266" t="n">
        <v>0</v>
      </c>
      <c r="N266" t="n">
        <v>0</v>
      </c>
      <c r="O266" t="n">
        <v>0</v>
      </c>
      <c r="P266" t="n">
        <v>0</v>
      </c>
      <c r="Q266" t="n">
        <v>0</v>
      </c>
      <c r="R266" s="2" t="inlineStr"/>
    </row>
    <row r="267" ht="15" customHeight="1">
      <c r="A267" t="inlineStr">
        <is>
          <t>A 43630-2025</t>
        </is>
      </c>
      <c r="B267" s="1" t="n">
        <v>45911</v>
      </c>
      <c r="C267" s="1" t="n">
        <v>46204</v>
      </c>
      <c r="D267" t="inlineStr">
        <is>
          <t>DALARNAS LÄN</t>
        </is>
      </c>
      <c r="E267" t="inlineStr">
        <is>
          <t>LEKSAND</t>
        </is>
      </c>
      <c r="G267" t="n">
        <v>4.7</v>
      </c>
      <c r="H267" t="n">
        <v>0</v>
      </c>
      <c r="I267" t="n">
        <v>0</v>
      </c>
      <c r="J267" t="n">
        <v>0</v>
      </c>
      <c r="K267" t="n">
        <v>0</v>
      </c>
      <c r="L267" t="n">
        <v>0</v>
      </c>
      <c r="M267" t="n">
        <v>0</v>
      </c>
      <c r="N267" t="n">
        <v>0</v>
      </c>
      <c r="O267" t="n">
        <v>0</v>
      </c>
      <c r="P267" t="n">
        <v>0</v>
      </c>
      <c r="Q267" t="n">
        <v>0</v>
      </c>
      <c r="R267" s="2" t="inlineStr"/>
    </row>
    <row r="268" ht="15" customHeight="1">
      <c r="A268" t="inlineStr">
        <is>
          <t>A 46628-2024</t>
        </is>
      </c>
      <c r="B268" s="1" t="n">
        <v>45583</v>
      </c>
      <c r="C268" s="1" t="n">
        <v>46204</v>
      </c>
      <c r="D268" t="inlineStr">
        <is>
          <t>DALARNAS LÄN</t>
        </is>
      </c>
      <c r="E268" t="inlineStr">
        <is>
          <t>LEKSAND</t>
        </is>
      </c>
      <c r="G268" t="n">
        <v>0.2</v>
      </c>
      <c r="H268" t="n">
        <v>0</v>
      </c>
      <c r="I268" t="n">
        <v>0</v>
      </c>
      <c r="J268" t="n">
        <v>0</v>
      </c>
      <c r="K268" t="n">
        <v>0</v>
      </c>
      <c r="L268" t="n">
        <v>0</v>
      </c>
      <c r="M268" t="n">
        <v>0</v>
      </c>
      <c r="N268" t="n">
        <v>0</v>
      </c>
      <c r="O268" t="n">
        <v>0</v>
      </c>
      <c r="P268" t="n">
        <v>0</v>
      </c>
      <c r="Q268" t="n">
        <v>0</v>
      </c>
      <c r="R268" s="2" t="inlineStr"/>
    </row>
    <row r="269" ht="15" customHeight="1">
      <c r="A269" t="inlineStr">
        <is>
          <t>A 43830-2025</t>
        </is>
      </c>
      <c r="B269" s="1" t="n">
        <v>45912</v>
      </c>
      <c r="C269" s="1" t="n">
        <v>46204</v>
      </c>
      <c r="D269" t="inlineStr">
        <is>
          <t>DALARNAS LÄN</t>
        </is>
      </c>
      <c r="E269" t="inlineStr">
        <is>
          <t>LEKSAND</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43231-2024</t>
        </is>
      </c>
      <c r="B270" s="1" t="n">
        <v>45567</v>
      </c>
      <c r="C270" s="1" t="n">
        <v>46204</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43781-2025</t>
        </is>
      </c>
      <c r="B271" s="1" t="n">
        <v>45912</v>
      </c>
      <c r="C271" s="1" t="n">
        <v>46204</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17533-2023</t>
        </is>
      </c>
      <c r="B272" s="1" t="n">
        <v>45036</v>
      </c>
      <c r="C272" s="1" t="n">
        <v>46204</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44237-2025</t>
        </is>
      </c>
      <c r="B273" s="1" t="n">
        <v>45915</v>
      </c>
      <c r="C273" s="1" t="n">
        <v>46204</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54914-2024</t>
        </is>
      </c>
      <c r="B274" s="1" t="n">
        <v>45618</v>
      </c>
      <c r="C274" s="1" t="n">
        <v>46204</v>
      </c>
      <c r="D274" t="inlineStr">
        <is>
          <t>DALARNAS LÄN</t>
        </is>
      </c>
      <c r="E274" t="inlineStr">
        <is>
          <t>LEKSAND</t>
        </is>
      </c>
      <c r="G274" t="n">
        <v>1.7</v>
      </c>
      <c r="H274" t="n">
        <v>0</v>
      </c>
      <c r="I274" t="n">
        <v>0</v>
      </c>
      <c r="J274" t="n">
        <v>0</v>
      </c>
      <c r="K274" t="n">
        <v>0</v>
      </c>
      <c r="L274" t="n">
        <v>0</v>
      </c>
      <c r="M274" t="n">
        <v>0</v>
      </c>
      <c r="N274" t="n">
        <v>0</v>
      </c>
      <c r="O274" t="n">
        <v>0</v>
      </c>
      <c r="P274" t="n">
        <v>0</v>
      </c>
      <c r="Q274" t="n">
        <v>0</v>
      </c>
      <c r="R274" s="2" t="inlineStr"/>
    </row>
    <row r="275" ht="15" customHeight="1">
      <c r="A275" t="inlineStr">
        <is>
          <t>A 43875-2025</t>
        </is>
      </c>
      <c r="B275" s="1" t="n">
        <v>45912</v>
      </c>
      <c r="C275" s="1" t="n">
        <v>46204</v>
      </c>
      <c r="D275" t="inlineStr">
        <is>
          <t>DALARNAS LÄN</t>
        </is>
      </c>
      <c r="E275" t="inlineStr">
        <is>
          <t>LEKSAND</t>
        </is>
      </c>
      <c r="G275" t="n">
        <v>1.7</v>
      </c>
      <c r="H275" t="n">
        <v>0</v>
      </c>
      <c r="I275" t="n">
        <v>0</v>
      </c>
      <c r="J275" t="n">
        <v>0</v>
      </c>
      <c r="K275" t="n">
        <v>0</v>
      </c>
      <c r="L275" t="n">
        <v>0</v>
      </c>
      <c r="M275" t="n">
        <v>0</v>
      </c>
      <c r="N275" t="n">
        <v>0</v>
      </c>
      <c r="O275" t="n">
        <v>0</v>
      </c>
      <c r="P275" t="n">
        <v>0</v>
      </c>
      <c r="Q275" t="n">
        <v>0</v>
      </c>
      <c r="R275" s="2" t="inlineStr"/>
    </row>
    <row r="276" ht="15" customHeight="1">
      <c r="A276" t="inlineStr">
        <is>
          <t>A 58244-2024</t>
        </is>
      </c>
      <c r="B276" s="1" t="n">
        <v>45631</v>
      </c>
      <c r="C276" s="1" t="n">
        <v>46204</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44519-2025</t>
        </is>
      </c>
      <c r="B277" s="1" t="n">
        <v>45916</v>
      </c>
      <c r="C277" s="1" t="n">
        <v>46204</v>
      </c>
      <c r="D277" t="inlineStr">
        <is>
          <t>DALARNAS LÄN</t>
        </is>
      </c>
      <c r="E277" t="inlineStr">
        <is>
          <t>LEKSAND</t>
        </is>
      </c>
      <c r="G277" t="n">
        <v>3.6</v>
      </c>
      <c r="H277" t="n">
        <v>0</v>
      </c>
      <c r="I277" t="n">
        <v>0</v>
      </c>
      <c r="J277" t="n">
        <v>0</v>
      </c>
      <c r="K277" t="n">
        <v>0</v>
      </c>
      <c r="L277" t="n">
        <v>0</v>
      </c>
      <c r="M277" t="n">
        <v>0</v>
      </c>
      <c r="N277" t="n">
        <v>0</v>
      </c>
      <c r="O277" t="n">
        <v>0</v>
      </c>
      <c r="P277" t="n">
        <v>0</v>
      </c>
      <c r="Q277" t="n">
        <v>0</v>
      </c>
      <c r="R277" s="2" t="inlineStr"/>
    </row>
    <row r="278" ht="15" customHeight="1">
      <c r="A278" t="inlineStr">
        <is>
          <t>A 61546-2021</t>
        </is>
      </c>
      <c r="B278" s="1" t="n">
        <v>44501</v>
      </c>
      <c r="C278" s="1" t="n">
        <v>46204</v>
      </c>
      <c r="D278" t="inlineStr">
        <is>
          <t>DALARNAS LÄN</t>
        </is>
      </c>
      <c r="E278" t="inlineStr">
        <is>
          <t>LEKSAND</t>
        </is>
      </c>
      <c r="G278" t="n">
        <v>3</v>
      </c>
      <c r="H278" t="n">
        <v>0</v>
      </c>
      <c r="I278" t="n">
        <v>0</v>
      </c>
      <c r="J278" t="n">
        <v>0</v>
      </c>
      <c r="K278" t="n">
        <v>0</v>
      </c>
      <c r="L278" t="n">
        <v>0</v>
      </c>
      <c r="M278" t="n">
        <v>0</v>
      </c>
      <c r="N278" t="n">
        <v>0</v>
      </c>
      <c r="O278" t="n">
        <v>0</v>
      </c>
      <c r="P278" t="n">
        <v>0</v>
      </c>
      <c r="Q278" t="n">
        <v>0</v>
      </c>
      <c r="R278" s="2" t="inlineStr"/>
    </row>
    <row r="279" ht="15" customHeight="1">
      <c r="A279" t="inlineStr">
        <is>
          <t>A 41046-2024</t>
        </is>
      </c>
      <c r="B279" s="1" t="n">
        <v>45559</v>
      </c>
      <c r="C279" s="1" t="n">
        <v>46204</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44672-2025</t>
        </is>
      </c>
      <c r="B280" s="1" t="n">
        <v>45917</v>
      </c>
      <c r="C280" s="1" t="n">
        <v>46204</v>
      </c>
      <c r="D280" t="inlineStr">
        <is>
          <t>DALARNAS LÄN</t>
        </is>
      </c>
      <c r="E280" t="inlineStr">
        <is>
          <t>LEKSAND</t>
        </is>
      </c>
      <c r="G280" t="n">
        <v>0.5</v>
      </c>
      <c r="H280" t="n">
        <v>0</v>
      </c>
      <c r="I280" t="n">
        <v>0</v>
      </c>
      <c r="J280" t="n">
        <v>0</v>
      </c>
      <c r="K280" t="n">
        <v>0</v>
      </c>
      <c r="L280" t="n">
        <v>0</v>
      </c>
      <c r="M280" t="n">
        <v>0</v>
      </c>
      <c r="N280" t="n">
        <v>0</v>
      </c>
      <c r="O280" t="n">
        <v>0</v>
      </c>
      <c r="P280" t="n">
        <v>0</v>
      </c>
      <c r="Q280" t="n">
        <v>0</v>
      </c>
      <c r="R280" s="2" t="inlineStr"/>
    </row>
    <row r="281" ht="15" customHeight="1">
      <c r="A281" t="inlineStr">
        <is>
          <t>A 45101-2025</t>
        </is>
      </c>
      <c r="B281" s="1" t="n">
        <v>45919</v>
      </c>
      <c r="C281" s="1" t="n">
        <v>46204</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16005-2025</t>
        </is>
      </c>
      <c r="B282" s="1" t="n">
        <v>45749</v>
      </c>
      <c r="C282" s="1" t="n">
        <v>46204</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5738-2023</t>
        </is>
      </c>
      <c r="B283" s="1" t="n">
        <v>44962</v>
      </c>
      <c r="C283" s="1" t="n">
        <v>46204</v>
      </c>
      <c r="D283" t="inlineStr">
        <is>
          <t>DALARNAS LÄN</t>
        </is>
      </c>
      <c r="E283" t="inlineStr">
        <is>
          <t>LEKSAND</t>
        </is>
      </c>
      <c r="G283" t="n">
        <v>0.2</v>
      </c>
      <c r="H283" t="n">
        <v>0</v>
      </c>
      <c r="I283" t="n">
        <v>0</v>
      </c>
      <c r="J283" t="n">
        <v>0</v>
      </c>
      <c r="K283" t="n">
        <v>0</v>
      </c>
      <c r="L283" t="n">
        <v>0</v>
      </c>
      <c r="M283" t="n">
        <v>0</v>
      </c>
      <c r="N283" t="n">
        <v>0</v>
      </c>
      <c r="O283" t="n">
        <v>0</v>
      </c>
      <c r="P283" t="n">
        <v>0</v>
      </c>
      <c r="Q283" t="n">
        <v>0</v>
      </c>
      <c r="R283" s="2" t="inlineStr"/>
    </row>
    <row r="284" ht="15" customHeight="1">
      <c r="A284" t="inlineStr">
        <is>
          <t>A 45300-2025</t>
        </is>
      </c>
      <c r="B284" s="1" t="n">
        <v>45921</v>
      </c>
      <c r="C284" s="1" t="n">
        <v>46204</v>
      </c>
      <c r="D284" t="inlineStr">
        <is>
          <t>DALARNAS LÄN</t>
        </is>
      </c>
      <c r="E284" t="inlineStr">
        <is>
          <t>LEKSAND</t>
        </is>
      </c>
      <c r="G284" t="n">
        <v>2.3</v>
      </c>
      <c r="H284" t="n">
        <v>0</v>
      </c>
      <c r="I284" t="n">
        <v>0</v>
      </c>
      <c r="J284" t="n">
        <v>0</v>
      </c>
      <c r="K284" t="n">
        <v>0</v>
      </c>
      <c r="L284" t="n">
        <v>0</v>
      </c>
      <c r="M284" t="n">
        <v>0</v>
      </c>
      <c r="N284" t="n">
        <v>0</v>
      </c>
      <c r="O284" t="n">
        <v>0</v>
      </c>
      <c r="P284" t="n">
        <v>0</v>
      </c>
      <c r="Q284" t="n">
        <v>0</v>
      </c>
      <c r="R284" s="2" t="inlineStr"/>
    </row>
    <row r="285" ht="15" customHeight="1">
      <c r="A285" t="inlineStr">
        <is>
          <t>A 45318-2025</t>
        </is>
      </c>
      <c r="B285" s="1" t="n">
        <v>45921</v>
      </c>
      <c r="C285" s="1" t="n">
        <v>46204</v>
      </c>
      <c r="D285" t="inlineStr">
        <is>
          <t>DALARNAS LÄN</t>
        </is>
      </c>
      <c r="E285" t="inlineStr">
        <is>
          <t>LEKSAND</t>
        </is>
      </c>
      <c r="G285" t="n">
        <v>0.6</v>
      </c>
      <c r="H285" t="n">
        <v>0</v>
      </c>
      <c r="I285" t="n">
        <v>0</v>
      </c>
      <c r="J285" t="n">
        <v>0</v>
      </c>
      <c r="K285" t="n">
        <v>0</v>
      </c>
      <c r="L285" t="n">
        <v>0</v>
      </c>
      <c r="M285" t="n">
        <v>0</v>
      </c>
      <c r="N285" t="n">
        <v>0</v>
      </c>
      <c r="O285" t="n">
        <v>0</v>
      </c>
      <c r="P285" t="n">
        <v>0</v>
      </c>
      <c r="Q285" t="n">
        <v>0</v>
      </c>
      <c r="R285" s="2" t="inlineStr"/>
    </row>
    <row r="286" ht="15" customHeight="1">
      <c r="A286" t="inlineStr">
        <is>
          <t>A 8940-2023</t>
        </is>
      </c>
      <c r="B286" s="1" t="n">
        <v>44974</v>
      </c>
      <c r="C286" s="1" t="n">
        <v>46204</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11128-2023</t>
        </is>
      </c>
      <c r="B287" s="1" t="n">
        <v>44992</v>
      </c>
      <c r="C287" s="1" t="n">
        <v>46204</v>
      </c>
      <c r="D287" t="inlineStr">
        <is>
          <t>DALARNAS LÄN</t>
        </is>
      </c>
      <c r="E287" t="inlineStr">
        <is>
          <t>LEKSAND</t>
        </is>
      </c>
      <c r="G287" t="n">
        <v>1.5</v>
      </c>
      <c r="H287" t="n">
        <v>0</v>
      </c>
      <c r="I287" t="n">
        <v>0</v>
      </c>
      <c r="J287" t="n">
        <v>0</v>
      </c>
      <c r="K287" t="n">
        <v>0</v>
      </c>
      <c r="L287" t="n">
        <v>0</v>
      </c>
      <c r="M287" t="n">
        <v>0</v>
      </c>
      <c r="N287" t="n">
        <v>0</v>
      </c>
      <c r="O287" t="n">
        <v>0</v>
      </c>
      <c r="P287" t="n">
        <v>0</v>
      </c>
      <c r="Q287" t="n">
        <v>0</v>
      </c>
      <c r="R287" s="2" t="inlineStr"/>
    </row>
    <row r="288" ht="15" customHeight="1">
      <c r="A288" t="inlineStr">
        <is>
          <t>A 46176-2025</t>
        </is>
      </c>
      <c r="B288" s="1" t="n">
        <v>45924</v>
      </c>
      <c r="C288" s="1" t="n">
        <v>46204</v>
      </c>
      <c r="D288" t="inlineStr">
        <is>
          <t>DALARNAS LÄN</t>
        </is>
      </c>
      <c r="E288" t="inlineStr">
        <is>
          <t>LEKSAND</t>
        </is>
      </c>
      <c r="G288" t="n">
        <v>2.4</v>
      </c>
      <c r="H288" t="n">
        <v>0</v>
      </c>
      <c r="I288" t="n">
        <v>0</v>
      </c>
      <c r="J288" t="n">
        <v>0</v>
      </c>
      <c r="K288" t="n">
        <v>0</v>
      </c>
      <c r="L288" t="n">
        <v>0</v>
      </c>
      <c r="M288" t="n">
        <v>0</v>
      </c>
      <c r="N288" t="n">
        <v>0</v>
      </c>
      <c r="O288" t="n">
        <v>0</v>
      </c>
      <c r="P288" t="n">
        <v>0</v>
      </c>
      <c r="Q288" t="n">
        <v>0</v>
      </c>
      <c r="R288" s="2" t="inlineStr"/>
    </row>
    <row r="289" ht="15" customHeight="1">
      <c r="A289" t="inlineStr">
        <is>
          <t>A 37996-2025</t>
        </is>
      </c>
      <c r="B289" s="1" t="n">
        <v>45881</v>
      </c>
      <c r="C289" s="1" t="n">
        <v>46204</v>
      </c>
      <c r="D289" t="inlineStr">
        <is>
          <t>DALARNAS LÄN</t>
        </is>
      </c>
      <c r="E289" t="inlineStr">
        <is>
          <t>LEKSAND</t>
        </is>
      </c>
      <c r="G289" t="n">
        <v>4.2</v>
      </c>
      <c r="H289" t="n">
        <v>0</v>
      </c>
      <c r="I289" t="n">
        <v>0</v>
      </c>
      <c r="J289" t="n">
        <v>0</v>
      </c>
      <c r="K289" t="n">
        <v>0</v>
      </c>
      <c r="L289" t="n">
        <v>0</v>
      </c>
      <c r="M289" t="n">
        <v>0</v>
      </c>
      <c r="N289" t="n">
        <v>0</v>
      </c>
      <c r="O289" t="n">
        <v>0</v>
      </c>
      <c r="P289" t="n">
        <v>0</v>
      </c>
      <c r="Q289" t="n">
        <v>0</v>
      </c>
      <c r="R289" s="2" t="inlineStr"/>
    </row>
    <row r="290" ht="15" customHeight="1">
      <c r="A290" t="inlineStr">
        <is>
          <t>A 46405-2025</t>
        </is>
      </c>
      <c r="B290" s="1" t="n">
        <v>45925</v>
      </c>
      <c r="C290" s="1" t="n">
        <v>46204</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46483-2025</t>
        </is>
      </c>
      <c r="B291" s="1" t="n">
        <v>45925</v>
      </c>
      <c r="C291" s="1" t="n">
        <v>46204</v>
      </c>
      <c r="D291" t="inlineStr">
        <is>
          <t>DALARNAS LÄN</t>
        </is>
      </c>
      <c r="E291" t="inlineStr">
        <is>
          <t>LEKSAND</t>
        </is>
      </c>
      <c r="G291" t="n">
        <v>3.6</v>
      </c>
      <c r="H291" t="n">
        <v>0</v>
      </c>
      <c r="I291" t="n">
        <v>0</v>
      </c>
      <c r="J291" t="n">
        <v>0</v>
      </c>
      <c r="K291" t="n">
        <v>0</v>
      </c>
      <c r="L291" t="n">
        <v>0</v>
      </c>
      <c r="M291" t="n">
        <v>0</v>
      </c>
      <c r="N291" t="n">
        <v>0</v>
      </c>
      <c r="O291" t="n">
        <v>0</v>
      </c>
      <c r="P291" t="n">
        <v>0</v>
      </c>
      <c r="Q291" t="n">
        <v>0</v>
      </c>
      <c r="R291" s="2" t="inlineStr"/>
    </row>
    <row r="292" ht="15" customHeight="1">
      <c r="A292" t="inlineStr">
        <is>
          <t>A 19296-2024</t>
        </is>
      </c>
      <c r="B292" s="1" t="n">
        <v>45428</v>
      </c>
      <c r="C292" s="1" t="n">
        <v>46204</v>
      </c>
      <c r="D292" t="inlineStr">
        <is>
          <t>DALARNAS LÄN</t>
        </is>
      </c>
      <c r="E292" t="inlineStr">
        <is>
          <t>LEKSAND</t>
        </is>
      </c>
      <c r="G292" t="n">
        <v>2.4</v>
      </c>
      <c r="H292" t="n">
        <v>0</v>
      </c>
      <c r="I292" t="n">
        <v>0</v>
      </c>
      <c r="J292" t="n">
        <v>0</v>
      </c>
      <c r="K292" t="n">
        <v>0</v>
      </c>
      <c r="L292" t="n">
        <v>0</v>
      </c>
      <c r="M292" t="n">
        <v>0</v>
      </c>
      <c r="N292" t="n">
        <v>0</v>
      </c>
      <c r="O292" t="n">
        <v>0</v>
      </c>
      <c r="P292" t="n">
        <v>0</v>
      </c>
      <c r="Q292" t="n">
        <v>0</v>
      </c>
      <c r="R292" s="2" t="inlineStr"/>
    </row>
    <row r="293" ht="15" customHeight="1">
      <c r="A293" t="inlineStr">
        <is>
          <t>A 38001-2023</t>
        </is>
      </c>
      <c r="B293" s="1" t="n">
        <v>45160</v>
      </c>
      <c r="C293" s="1" t="n">
        <v>46204</v>
      </c>
      <c r="D293" t="inlineStr">
        <is>
          <t>DALARNAS LÄN</t>
        </is>
      </c>
      <c r="E293" t="inlineStr">
        <is>
          <t>LEKSAND</t>
        </is>
      </c>
      <c r="G293" t="n">
        <v>3.6</v>
      </c>
      <c r="H293" t="n">
        <v>0</v>
      </c>
      <c r="I293" t="n">
        <v>0</v>
      </c>
      <c r="J293" t="n">
        <v>0</v>
      </c>
      <c r="K293" t="n">
        <v>0</v>
      </c>
      <c r="L293" t="n">
        <v>0</v>
      </c>
      <c r="M293" t="n">
        <v>0</v>
      </c>
      <c r="N293" t="n">
        <v>0</v>
      </c>
      <c r="O293" t="n">
        <v>0</v>
      </c>
      <c r="P293" t="n">
        <v>0</v>
      </c>
      <c r="Q293" t="n">
        <v>0</v>
      </c>
      <c r="R293" s="2" t="inlineStr"/>
    </row>
    <row r="294" ht="15" customHeight="1">
      <c r="A294" t="inlineStr">
        <is>
          <t>A 47673-2023</t>
        </is>
      </c>
      <c r="B294" s="1" t="n">
        <v>45203</v>
      </c>
      <c r="C294" s="1" t="n">
        <v>46204</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38090-2025</t>
        </is>
      </c>
      <c r="B295" s="1" t="n">
        <v>45882</v>
      </c>
      <c r="C295" s="1" t="n">
        <v>46204</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19820-2024</t>
        </is>
      </c>
      <c r="B296" s="1" t="n">
        <v>45433</v>
      </c>
      <c r="C296" s="1" t="n">
        <v>46204</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19823-2024</t>
        </is>
      </c>
      <c r="B297" s="1" t="n">
        <v>45433</v>
      </c>
      <c r="C297" s="1" t="n">
        <v>46204</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7653-2025</t>
        </is>
      </c>
      <c r="B298" s="1" t="n">
        <v>45705</v>
      </c>
      <c r="C298" s="1" t="n">
        <v>46204</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6039-2023</t>
        </is>
      </c>
      <c r="B299" s="1" t="n">
        <v>44959</v>
      </c>
      <c r="C299" s="1" t="n">
        <v>46204</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6758-2024</t>
        </is>
      </c>
      <c r="B300" s="1" t="n">
        <v>45342</v>
      </c>
      <c r="C300" s="1" t="n">
        <v>46204</v>
      </c>
      <c r="D300" t="inlineStr">
        <is>
          <t>DALARNAS LÄN</t>
        </is>
      </c>
      <c r="E300" t="inlineStr">
        <is>
          <t>LEKSAND</t>
        </is>
      </c>
      <c r="F300" t="inlineStr">
        <is>
          <t>Bergvik skog väst AB</t>
        </is>
      </c>
      <c r="G300" t="n">
        <v>6.2</v>
      </c>
      <c r="H300" t="n">
        <v>0</v>
      </c>
      <c r="I300" t="n">
        <v>0</v>
      </c>
      <c r="J300" t="n">
        <v>0</v>
      </c>
      <c r="K300" t="n">
        <v>0</v>
      </c>
      <c r="L300" t="n">
        <v>0</v>
      </c>
      <c r="M300" t="n">
        <v>0</v>
      </c>
      <c r="N300" t="n">
        <v>0</v>
      </c>
      <c r="O300" t="n">
        <v>0</v>
      </c>
      <c r="P300" t="n">
        <v>0</v>
      </c>
      <c r="Q300" t="n">
        <v>0</v>
      </c>
      <c r="R300" s="2" t="inlineStr"/>
    </row>
    <row r="301" ht="15" customHeight="1">
      <c r="A301" t="inlineStr">
        <is>
          <t>A 46978-2025</t>
        </is>
      </c>
      <c r="B301" s="1" t="n">
        <v>45929</v>
      </c>
      <c r="C301" s="1" t="n">
        <v>46204</v>
      </c>
      <c r="D301" t="inlineStr">
        <is>
          <t>DALARNAS LÄN</t>
        </is>
      </c>
      <c r="E301" t="inlineStr">
        <is>
          <t>LEKSAND</t>
        </is>
      </c>
      <c r="G301" t="n">
        <v>2</v>
      </c>
      <c r="H301" t="n">
        <v>0</v>
      </c>
      <c r="I301" t="n">
        <v>0</v>
      </c>
      <c r="J301" t="n">
        <v>0</v>
      </c>
      <c r="K301" t="n">
        <v>0</v>
      </c>
      <c r="L301" t="n">
        <v>0</v>
      </c>
      <c r="M301" t="n">
        <v>0</v>
      </c>
      <c r="N301" t="n">
        <v>0</v>
      </c>
      <c r="O301" t="n">
        <v>0</v>
      </c>
      <c r="P301" t="n">
        <v>0</v>
      </c>
      <c r="Q301" t="n">
        <v>0</v>
      </c>
      <c r="R301" s="2" t="inlineStr"/>
    </row>
    <row r="302" ht="15" customHeight="1">
      <c r="A302" t="inlineStr">
        <is>
          <t>A 28921-2023</t>
        </is>
      </c>
      <c r="B302" s="1" t="n">
        <v>45104</v>
      </c>
      <c r="C302" s="1" t="n">
        <v>46204</v>
      </c>
      <c r="D302" t="inlineStr">
        <is>
          <t>DALARNAS LÄN</t>
        </is>
      </c>
      <c r="E302" t="inlineStr">
        <is>
          <t>LEKSAND</t>
        </is>
      </c>
      <c r="G302" t="n">
        <v>4.4</v>
      </c>
      <c r="H302" t="n">
        <v>0</v>
      </c>
      <c r="I302" t="n">
        <v>0</v>
      </c>
      <c r="J302" t="n">
        <v>0</v>
      </c>
      <c r="K302" t="n">
        <v>0</v>
      </c>
      <c r="L302" t="n">
        <v>0</v>
      </c>
      <c r="M302" t="n">
        <v>0</v>
      </c>
      <c r="N302" t="n">
        <v>0</v>
      </c>
      <c r="O302" t="n">
        <v>0</v>
      </c>
      <c r="P302" t="n">
        <v>0</v>
      </c>
      <c r="Q302" t="n">
        <v>0</v>
      </c>
      <c r="R302" s="2" t="inlineStr"/>
    </row>
    <row r="303" ht="15" customHeight="1">
      <c r="A303" t="inlineStr">
        <is>
          <t>A 30998-2023</t>
        </is>
      </c>
      <c r="B303" s="1" t="n">
        <v>45113</v>
      </c>
      <c r="C303" s="1" t="n">
        <v>46204</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38498-2025</t>
        </is>
      </c>
      <c r="B304" s="1" t="n">
        <v>45884</v>
      </c>
      <c r="C304" s="1" t="n">
        <v>46204</v>
      </c>
      <c r="D304" t="inlineStr">
        <is>
          <t>DALARNAS LÄN</t>
        </is>
      </c>
      <c r="E304" t="inlineStr">
        <is>
          <t>LEKSAND</t>
        </is>
      </c>
      <c r="G304" t="n">
        <v>2.1</v>
      </c>
      <c r="H304" t="n">
        <v>0</v>
      </c>
      <c r="I304" t="n">
        <v>0</v>
      </c>
      <c r="J304" t="n">
        <v>0</v>
      </c>
      <c r="K304" t="n">
        <v>0</v>
      </c>
      <c r="L304" t="n">
        <v>0</v>
      </c>
      <c r="M304" t="n">
        <v>0</v>
      </c>
      <c r="N304" t="n">
        <v>0</v>
      </c>
      <c r="O304" t="n">
        <v>0</v>
      </c>
      <c r="P304" t="n">
        <v>0</v>
      </c>
      <c r="Q304" t="n">
        <v>0</v>
      </c>
      <c r="R304" s="2" t="inlineStr"/>
    </row>
    <row r="305" ht="15" customHeight="1">
      <c r="A305" t="inlineStr">
        <is>
          <t>A 47976-2025</t>
        </is>
      </c>
      <c r="B305" s="1" t="n">
        <v>45932</v>
      </c>
      <c r="C305" s="1" t="n">
        <v>46204</v>
      </c>
      <c r="D305" t="inlineStr">
        <is>
          <t>DALARNAS LÄN</t>
        </is>
      </c>
      <c r="E305" t="inlineStr">
        <is>
          <t>LEKSAND</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47977-2025</t>
        </is>
      </c>
      <c r="B306" s="1" t="n">
        <v>45932</v>
      </c>
      <c r="C306" s="1" t="n">
        <v>46204</v>
      </c>
      <c r="D306" t="inlineStr">
        <is>
          <t>DALARNAS LÄN</t>
        </is>
      </c>
      <c r="E306" t="inlineStr">
        <is>
          <t>LEKSAND</t>
        </is>
      </c>
      <c r="F306" t="inlineStr">
        <is>
          <t>Bergvik skog väst AB</t>
        </is>
      </c>
      <c r="G306" t="n">
        <v>0.2</v>
      </c>
      <c r="H306" t="n">
        <v>0</v>
      </c>
      <c r="I306" t="n">
        <v>0</v>
      </c>
      <c r="J306" t="n">
        <v>0</v>
      </c>
      <c r="K306" t="n">
        <v>0</v>
      </c>
      <c r="L306" t="n">
        <v>0</v>
      </c>
      <c r="M306" t="n">
        <v>0</v>
      </c>
      <c r="N306" t="n">
        <v>0</v>
      </c>
      <c r="O306" t="n">
        <v>0</v>
      </c>
      <c r="P306" t="n">
        <v>0</v>
      </c>
      <c r="Q306" t="n">
        <v>0</v>
      </c>
      <c r="R306" s="2" t="inlineStr"/>
    </row>
    <row r="307" ht="15" customHeight="1">
      <c r="A307" t="inlineStr">
        <is>
          <t>A 31254-2023</t>
        </is>
      </c>
      <c r="B307" s="1" t="n">
        <v>45114</v>
      </c>
      <c r="C307" s="1" t="n">
        <v>46204</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23283-2024</t>
        </is>
      </c>
      <c r="B308" s="1" t="n">
        <v>45453</v>
      </c>
      <c r="C308" s="1" t="n">
        <v>46204</v>
      </c>
      <c r="D308" t="inlineStr">
        <is>
          <t>DALARNAS LÄN</t>
        </is>
      </c>
      <c r="E308" t="inlineStr">
        <is>
          <t>LEKSAND</t>
        </is>
      </c>
      <c r="G308" t="n">
        <v>0.9</v>
      </c>
      <c r="H308" t="n">
        <v>0</v>
      </c>
      <c r="I308" t="n">
        <v>0</v>
      </c>
      <c r="J308" t="n">
        <v>0</v>
      </c>
      <c r="K308" t="n">
        <v>0</v>
      </c>
      <c r="L308" t="n">
        <v>0</v>
      </c>
      <c r="M308" t="n">
        <v>0</v>
      </c>
      <c r="N308" t="n">
        <v>0</v>
      </c>
      <c r="O308" t="n">
        <v>0</v>
      </c>
      <c r="P308" t="n">
        <v>0</v>
      </c>
      <c r="Q308" t="n">
        <v>0</v>
      </c>
      <c r="R308" s="2" t="inlineStr"/>
    </row>
    <row r="309" ht="15" customHeight="1">
      <c r="A309" t="inlineStr">
        <is>
          <t>A 39807-2024</t>
        </is>
      </c>
      <c r="B309" s="1" t="n">
        <v>45553</v>
      </c>
      <c r="C309" s="1" t="n">
        <v>46204</v>
      </c>
      <c r="D309" t="inlineStr">
        <is>
          <t>DALARNAS LÄN</t>
        </is>
      </c>
      <c r="E309" t="inlineStr">
        <is>
          <t>LEKSAND</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48421-2025</t>
        </is>
      </c>
      <c r="B310" s="1" t="n">
        <v>45934</v>
      </c>
      <c r="C310" s="1" t="n">
        <v>46204</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16611-2024</t>
        </is>
      </c>
      <c r="B311" s="1" t="n">
        <v>45408</v>
      </c>
      <c r="C311" s="1" t="n">
        <v>46204</v>
      </c>
      <c r="D311" t="inlineStr">
        <is>
          <t>DALARNAS LÄN</t>
        </is>
      </c>
      <c r="E311" t="inlineStr">
        <is>
          <t>LEKSAND</t>
        </is>
      </c>
      <c r="G311" t="n">
        <v>5.9</v>
      </c>
      <c r="H311" t="n">
        <v>0</v>
      </c>
      <c r="I311" t="n">
        <v>0</v>
      </c>
      <c r="J311" t="n">
        <v>0</v>
      </c>
      <c r="K311" t="n">
        <v>0</v>
      </c>
      <c r="L311" t="n">
        <v>0</v>
      </c>
      <c r="M311" t="n">
        <v>0</v>
      </c>
      <c r="N311" t="n">
        <v>0</v>
      </c>
      <c r="O311" t="n">
        <v>0</v>
      </c>
      <c r="P311" t="n">
        <v>0</v>
      </c>
      <c r="Q311" t="n">
        <v>0</v>
      </c>
      <c r="R311" s="2" t="inlineStr"/>
    </row>
    <row r="312" ht="15" customHeight="1">
      <c r="A312" t="inlineStr">
        <is>
          <t>A 57930-2024</t>
        </is>
      </c>
      <c r="B312" s="1" t="n">
        <v>45630</v>
      </c>
      <c r="C312" s="1" t="n">
        <v>46204</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57927-2024</t>
        </is>
      </c>
      <c r="B313" s="1" t="n">
        <v>45630</v>
      </c>
      <c r="C313" s="1" t="n">
        <v>46204</v>
      </c>
      <c r="D313" t="inlineStr">
        <is>
          <t>DALARNAS LÄN</t>
        </is>
      </c>
      <c r="E313" t="inlineStr">
        <is>
          <t>LEKSAND</t>
        </is>
      </c>
      <c r="G313" t="n">
        <v>0.2</v>
      </c>
      <c r="H313" t="n">
        <v>0</v>
      </c>
      <c r="I313" t="n">
        <v>0</v>
      </c>
      <c r="J313" t="n">
        <v>0</v>
      </c>
      <c r="K313" t="n">
        <v>0</v>
      </c>
      <c r="L313" t="n">
        <v>0</v>
      </c>
      <c r="M313" t="n">
        <v>0</v>
      </c>
      <c r="N313" t="n">
        <v>0</v>
      </c>
      <c r="O313" t="n">
        <v>0</v>
      </c>
      <c r="P313" t="n">
        <v>0</v>
      </c>
      <c r="Q313" t="n">
        <v>0</v>
      </c>
      <c r="R313" s="2" t="inlineStr"/>
    </row>
    <row r="314" ht="15" customHeight="1">
      <c r="A314" t="inlineStr">
        <is>
          <t>A 49505-2025</t>
        </is>
      </c>
      <c r="B314" s="1" t="n">
        <v>45939</v>
      </c>
      <c r="C314" s="1" t="n">
        <v>46204</v>
      </c>
      <c r="D314" t="inlineStr">
        <is>
          <t>DALARNAS LÄN</t>
        </is>
      </c>
      <c r="E314" t="inlineStr">
        <is>
          <t>LEKSAND</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48922-2025</t>
        </is>
      </c>
      <c r="B315" s="1" t="n">
        <v>45937</v>
      </c>
      <c r="C315" s="1" t="n">
        <v>46204</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49076-2025</t>
        </is>
      </c>
      <c r="B316" s="1" t="n">
        <v>45937</v>
      </c>
      <c r="C316" s="1" t="n">
        <v>46204</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12967-2026</t>
        </is>
      </c>
      <c r="B317" s="1" t="n">
        <v>46092</v>
      </c>
      <c r="C317" s="1" t="n">
        <v>46204</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45768-2023</t>
        </is>
      </c>
      <c r="B318" s="1" t="n">
        <v>45195</v>
      </c>
      <c r="C318" s="1" t="n">
        <v>46204</v>
      </c>
      <c r="D318" t="inlineStr">
        <is>
          <t>DALARNAS LÄN</t>
        </is>
      </c>
      <c r="E318" t="inlineStr">
        <is>
          <t>LEKSAND</t>
        </is>
      </c>
      <c r="G318" t="n">
        <v>0.4</v>
      </c>
      <c r="H318" t="n">
        <v>0</v>
      </c>
      <c r="I318" t="n">
        <v>0</v>
      </c>
      <c r="J318" t="n">
        <v>0</v>
      </c>
      <c r="K318" t="n">
        <v>0</v>
      </c>
      <c r="L318" t="n">
        <v>0</v>
      </c>
      <c r="M318" t="n">
        <v>0</v>
      </c>
      <c r="N318" t="n">
        <v>0</v>
      </c>
      <c r="O318" t="n">
        <v>0</v>
      </c>
      <c r="P318" t="n">
        <v>0</v>
      </c>
      <c r="Q318" t="n">
        <v>0</v>
      </c>
      <c r="R318" s="2" t="inlineStr"/>
    </row>
    <row r="319" ht="15" customHeight="1">
      <c r="A319" t="inlineStr">
        <is>
          <t>A 25038-2023</t>
        </is>
      </c>
      <c r="B319" s="1" t="n">
        <v>45085</v>
      </c>
      <c r="C319" s="1" t="n">
        <v>46204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11277-2025</t>
        </is>
      </c>
      <c r="B320" s="1" t="n">
        <v>45726</v>
      </c>
      <c r="C320" s="1" t="n">
        <v>46204</v>
      </c>
      <c r="D320" t="inlineStr">
        <is>
          <t>DALARNAS LÄN</t>
        </is>
      </c>
      <c r="E320" t="inlineStr">
        <is>
          <t>LEKSAND</t>
        </is>
      </c>
      <c r="G320" t="n">
        <v>2</v>
      </c>
      <c r="H320" t="n">
        <v>0</v>
      </c>
      <c r="I320" t="n">
        <v>0</v>
      </c>
      <c r="J320" t="n">
        <v>0</v>
      </c>
      <c r="K320" t="n">
        <v>0</v>
      </c>
      <c r="L320" t="n">
        <v>0</v>
      </c>
      <c r="M320" t="n">
        <v>0</v>
      </c>
      <c r="N320" t="n">
        <v>0</v>
      </c>
      <c r="O320" t="n">
        <v>0</v>
      </c>
      <c r="P320" t="n">
        <v>0</v>
      </c>
      <c r="Q320" t="n">
        <v>0</v>
      </c>
      <c r="R320" s="2" t="inlineStr"/>
    </row>
    <row r="321" ht="15" customHeight="1">
      <c r="A321" t="inlineStr">
        <is>
          <t>A 5570-2024</t>
        </is>
      </c>
      <c r="B321" s="1" t="n">
        <v>45334</v>
      </c>
      <c r="C321" s="1" t="n">
        <v>46204</v>
      </c>
      <c r="D321" t="inlineStr">
        <is>
          <t>DALARNAS LÄN</t>
        </is>
      </c>
      <c r="E321" t="inlineStr">
        <is>
          <t>LEKSAND</t>
        </is>
      </c>
      <c r="G321" t="n">
        <v>0.3</v>
      </c>
      <c r="H321" t="n">
        <v>0</v>
      </c>
      <c r="I321" t="n">
        <v>0</v>
      </c>
      <c r="J321" t="n">
        <v>0</v>
      </c>
      <c r="K321" t="n">
        <v>0</v>
      </c>
      <c r="L321" t="n">
        <v>0</v>
      </c>
      <c r="M321" t="n">
        <v>0</v>
      </c>
      <c r="N321" t="n">
        <v>0</v>
      </c>
      <c r="O321" t="n">
        <v>0</v>
      </c>
      <c r="P321" t="n">
        <v>0</v>
      </c>
      <c r="Q321" t="n">
        <v>0</v>
      </c>
      <c r="R321" s="2" t="inlineStr"/>
    </row>
    <row r="322" ht="15" customHeight="1">
      <c r="A322" t="inlineStr">
        <is>
          <t>A 11403-2023</t>
        </is>
      </c>
      <c r="B322" s="1" t="n">
        <v>44993</v>
      </c>
      <c r="C322" s="1" t="n">
        <v>46204</v>
      </c>
      <c r="D322" t="inlineStr">
        <is>
          <t>DALARNAS LÄN</t>
        </is>
      </c>
      <c r="E322" t="inlineStr">
        <is>
          <t>LEKSAND</t>
        </is>
      </c>
      <c r="G322" t="n">
        <v>0.1</v>
      </c>
      <c r="H322" t="n">
        <v>0</v>
      </c>
      <c r="I322" t="n">
        <v>0</v>
      </c>
      <c r="J322" t="n">
        <v>0</v>
      </c>
      <c r="K322" t="n">
        <v>0</v>
      </c>
      <c r="L322" t="n">
        <v>0</v>
      </c>
      <c r="M322" t="n">
        <v>0</v>
      </c>
      <c r="N322" t="n">
        <v>0</v>
      </c>
      <c r="O322" t="n">
        <v>0</v>
      </c>
      <c r="P322" t="n">
        <v>0</v>
      </c>
      <c r="Q322" t="n">
        <v>0</v>
      </c>
      <c r="R322" s="2" t="inlineStr"/>
    </row>
    <row r="323" ht="15" customHeight="1">
      <c r="A323" t="inlineStr">
        <is>
          <t>A 50332-2025</t>
        </is>
      </c>
      <c r="B323" s="1" t="n">
        <v>45944</v>
      </c>
      <c r="C323" s="1" t="n">
        <v>46204</v>
      </c>
      <c r="D323" t="inlineStr">
        <is>
          <t>DALARNAS LÄN</t>
        </is>
      </c>
      <c r="E323" t="inlineStr">
        <is>
          <t>LEKSAND</t>
        </is>
      </c>
      <c r="G323" t="n">
        <v>2.4</v>
      </c>
      <c r="H323" t="n">
        <v>0</v>
      </c>
      <c r="I323" t="n">
        <v>0</v>
      </c>
      <c r="J323" t="n">
        <v>0</v>
      </c>
      <c r="K323" t="n">
        <v>0</v>
      </c>
      <c r="L323" t="n">
        <v>0</v>
      </c>
      <c r="M323" t="n">
        <v>0</v>
      </c>
      <c r="N323" t="n">
        <v>0</v>
      </c>
      <c r="O323" t="n">
        <v>0</v>
      </c>
      <c r="P323" t="n">
        <v>0</v>
      </c>
      <c r="Q323" t="n">
        <v>0</v>
      </c>
      <c r="R323" s="2" t="inlineStr"/>
    </row>
    <row r="324" ht="15" customHeight="1">
      <c r="A324" t="inlineStr">
        <is>
          <t>A 50704-2025</t>
        </is>
      </c>
      <c r="B324" s="1" t="n">
        <v>45946</v>
      </c>
      <c r="C324" s="1" t="n">
        <v>46204</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3737-2023</t>
        </is>
      </c>
      <c r="B325" s="1" t="n">
        <v>44951</v>
      </c>
      <c r="C325" s="1" t="n">
        <v>46204</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43237-2024</t>
        </is>
      </c>
      <c r="B326" s="1" t="n">
        <v>45567</v>
      </c>
      <c r="C326" s="1" t="n">
        <v>46204</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7894-2025</t>
        </is>
      </c>
      <c r="B327" s="1" t="n">
        <v>45707</v>
      </c>
      <c r="C327" s="1" t="n">
        <v>46204</v>
      </c>
      <c r="D327" t="inlineStr">
        <is>
          <t>DALARNAS LÄN</t>
        </is>
      </c>
      <c r="E327" t="inlineStr">
        <is>
          <t>LEKSAND</t>
        </is>
      </c>
      <c r="G327" t="n">
        <v>1.6</v>
      </c>
      <c r="H327" t="n">
        <v>0</v>
      </c>
      <c r="I327" t="n">
        <v>0</v>
      </c>
      <c r="J327" t="n">
        <v>0</v>
      </c>
      <c r="K327" t="n">
        <v>0</v>
      </c>
      <c r="L327" t="n">
        <v>0</v>
      </c>
      <c r="M327" t="n">
        <v>0</v>
      </c>
      <c r="N327" t="n">
        <v>0</v>
      </c>
      <c r="O327" t="n">
        <v>0</v>
      </c>
      <c r="P327" t="n">
        <v>0</v>
      </c>
      <c r="Q327" t="n">
        <v>0</v>
      </c>
      <c r="R327" s="2" t="inlineStr"/>
    </row>
    <row r="328" ht="15" customHeight="1">
      <c r="A328" t="inlineStr">
        <is>
          <t>A 51728-2025</t>
        </is>
      </c>
      <c r="B328" s="1" t="n">
        <v>45951</v>
      </c>
      <c r="C328" s="1" t="n">
        <v>46204</v>
      </c>
      <c r="D328" t="inlineStr">
        <is>
          <t>DALARNAS LÄN</t>
        </is>
      </c>
      <c r="E328" t="inlineStr">
        <is>
          <t>LEKSAND</t>
        </is>
      </c>
      <c r="F328" t="inlineStr">
        <is>
          <t>Bergvik skog väst AB</t>
        </is>
      </c>
      <c r="G328" t="n">
        <v>14.2</v>
      </c>
      <c r="H328" t="n">
        <v>0</v>
      </c>
      <c r="I328" t="n">
        <v>0</v>
      </c>
      <c r="J328" t="n">
        <v>0</v>
      </c>
      <c r="K328" t="n">
        <v>0</v>
      </c>
      <c r="L328" t="n">
        <v>0</v>
      </c>
      <c r="M328" t="n">
        <v>0</v>
      </c>
      <c r="N328" t="n">
        <v>0</v>
      </c>
      <c r="O328" t="n">
        <v>0</v>
      </c>
      <c r="P328" t="n">
        <v>0</v>
      </c>
      <c r="Q328" t="n">
        <v>0</v>
      </c>
      <c r="R328" s="2" t="inlineStr"/>
    </row>
    <row r="329" ht="15" customHeight="1">
      <c r="A329" t="inlineStr">
        <is>
          <t>A 28965-2023</t>
        </is>
      </c>
      <c r="B329" s="1" t="n">
        <v>45104</v>
      </c>
      <c r="C329" s="1" t="n">
        <v>46204</v>
      </c>
      <c r="D329" t="inlineStr">
        <is>
          <t>DALARNAS LÄN</t>
        </is>
      </c>
      <c r="E329" t="inlineStr">
        <is>
          <t>LEKSAND</t>
        </is>
      </c>
      <c r="F329" t="inlineStr">
        <is>
          <t>Bergvik skog väst AB</t>
        </is>
      </c>
      <c r="G329" t="n">
        <v>0.9</v>
      </c>
      <c r="H329" t="n">
        <v>0</v>
      </c>
      <c r="I329" t="n">
        <v>0</v>
      </c>
      <c r="J329" t="n">
        <v>0</v>
      </c>
      <c r="K329" t="n">
        <v>0</v>
      </c>
      <c r="L329" t="n">
        <v>0</v>
      </c>
      <c r="M329" t="n">
        <v>0</v>
      </c>
      <c r="N329" t="n">
        <v>0</v>
      </c>
      <c r="O329" t="n">
        <v>0</v>
      </c>
      <c r="P329" t="n">
        <v>0</v>
      </c>
      <c r="Q329" t="n">
        <v>0</v>
      </c>
      <c r="R329" s="2" t="inlineStr"/>
    </row>
    <row r="330" ht="15" customHeight="1">
      <c r="A330" t="inlineStr">
        <is>
          <t>A 13713-2026</t>
        </is>
      </c>
      <c r="B330" s="1" t="n">
        <v>46097</v>
      </c>
      <c r="C330" s="1" t="n">
        <v>46204</v>
      </c>
      <c r="D330" t="inlineStr">
        <is>
          <t>DALARNAS LÄN</t>
        </is>
      </c>
      <c r="E330" t="inlineStr">
        <is>
          <t>LEKSAND</t>
        </is>
      </c>
      <c r="G330" t="n">
        <v>7.8</v>
      </c>
      <c r="H330" t="n">
        <v>0</v>
      </c>
      <c r="I330" t="n">
        <v>0</v>
      </c>
      <c r="J330" t="n">
        <v>0</v>
      </c>
      <c r="K330" t="n">
        <v>0</v>
      </c>
      <c r="L330" t="n">
        <v>0</v>
      </c>
      <c r="M330" t="n">
        <v>0</v>
      </c>
      <c r="N330" t="n">
        <v>0</v>
      </c>
      <c r="O330" t="n">
        <v>0</v>
      </c>
      <c r="P330" t="n">
        <v>0</v>
      </c>
      <c r="Q330" t="n">
        <v>0</v>
      </c>
      <c r="R330" s="2" t="inlineStr"/>
    </row>
    <row r="331" ht="15" customHeight="1">
      <c r="A331" t="inlineStr">
        <is>
          <t>A 16293-2025</t>
        </is>
      </c>
      <c r="B331" s="1" t="n">
        <v>45751</v>
      </c>
      <c r="C331" s="1" t="n">
        <v>46204</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13705-2026</t>
        </is>
      </c>
      <c r="B332" s="1" t="n">
        <v>46097</v>
      </c>
      <c r="C332" s="1" t="n">
        <v>46204</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51663-2025</t>
        </is>
      </c>
      <c r="B333" s="1" t="n">
        <v>45951</v>
      </c>
      <c r="C333" s="1" t="n">
        <v>46204</v>
      </c>
      <c r="D333" t="inlineStr">
        <is>
          <t>DALARNAS LÄN</t>
        </is>
      </c>
      <c r="E333" t="inlineStr">
        <is>
          <t>LEKSAND</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13650-2026</t>
        </is>
      </c>
      <c r="B334" s="1" t="n">
        <v>46097</v>
      </c>
      <c r="C334" s="1" t="n">
        <v>46204</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13697-2026</t>
        </is>
      </c>
      <c r="B335" s="1" t="n">
        <v>46097</v>
      </c>
      <c r="C335" s="1" t="n">
        <v>46204</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8061-2026</t>
        </is>
      </c>
      <c r="B336" s="1" t="n">
        <v>46063</v>
      </c>
      <c r="C336" s="1" t="n">
        <v>46204</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51926-2025</t>
        </is>
      </c>
      <c r="B337" s="1" t="n">
        <v>45952</v>
      </c>
      <c r="C337" s="1" t="n">
        <v>46204</v>
      </c>
      <c r="D337" t="inlineStr">
        <is>
          <t>DALARNAS LÄN</t>
        </is>
      </c>
      <c r="E337" t="inlineStr">
        <is>
          <t>LEKSAND</t>
        </is>
      </c>
      <c r="G337" t="n">
        <v>2.3</v>
      </c>
      <c r="H337" t="n">
        <v>0</v>
      </c>
      <c r="I337" t="n">
        <v>0</v>
      </c>
      <c r="J337" t="n">
        <v>0</v>
      </c>
      <c r="K337" t="n">
        <v>0</v>
      </c>
      <c r="L337" t="n">
        <v>0</v>
      </c>
      <c r="M337" t="n">
        <v>0</v>
      </c>
      <c r="N337" t="n">
        <v>0</v>
      </c>
      <c r="O337" t="n">
        <v>0</v>
      </c>
      <c r="P337" t="n">
        <v>0</v>
      </c>
      <c r="Q337" t="n">
        <v>0</v>
      </c>
      <c r="R337" s="2" t="inlineStr"/>
    </row>
    <row r="338" ht="15" customHeight="1">
      <c r="A338" t="inlineStr">
        <is>
          <t>A 11678-2023</t>
        </is>
      </c>
      <c r="B338" s="1" t="n">
        <v>44994</v>
      </c>
      <c r="C338" s="1" t="n">
        <v>46204</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52671-2025</t>
        </is>
      </c>
      <c r="B339" s="1" t="n">
        <v>45955</v>
      </c>
      <c r="C339" s="1" t="n">
        <v>46204</v>
      </c>
      <c r="D339" t="inlineStr">
        <is>
          <t>DALARNAS LÄN</t>
        </is>
      </c>
      <c r="E339" t="inlineStr">
        <is>
          <t>LEKSAND</t>
        </is>
      </c>
      <c r="G339" t="n">
        <v>0.8</v>
      </c>
      <c r="H339" t="n">
        <v>0</v>
      </c>
      <c r="I339" t="n">
        <v>0</v>
      </c>
      <c r="J339" t="n">
        <v>0</v>
      </c>
      <c r="K339" t="n">
        <v>0</v>
      </c>
      <c r="L339" t="n">
        <v>0</v>
      </c>
      <c r="M339" t="n">
        <v>0</v>
      </c>
      <c r="N339" t="n">
        <v>0</v>
      </c>
      <c r="O339" t="n">
        <v>0</v>
      </c>
      <c r="P339" t="n">
        <v>0</v>
      </c>
      <c r="Q339" t="n">
        <v>0</v>
      </c>
      <c r="R339" s="2" t="inlineStr"/>
    </row>
    <row r="340" ht="15" customHeight="1">
      <c r="A340" t="inlineStr">
        <is>
          <t>A 8755-2023</t>
        </is>
      </c>
      <c r="B340" s="1" t="n">
        <v>44978</v>
      </c>
      <c r="C340" s="1" t="n">
        <v>46204</v>
      </c>
      <c r="D340" t="inlineStr">
        <is>
          <t>DALARNAS LÄN</t>
        </is>
      </c>
      <c r="E340" t="inlineStr">
        <is>
          <t>LEKSAND</t>
        </is>
      </c>
      <c r="G340" t="n">
        <v>2.3</v>
      </c>
      <c r="H340" t="n">
        <v>0</v>
      </c>
      <c r="I340" t="n">
        <v>0</v>
      </c>
      <c r="J340" t="n">
        <v>0</v>
      </c>
      <c r="K340" t="n">
        <v>0</v>
      </c>
      <c r="L340" t="n">
        <v>0</v>
      </c>
      <c r="M340" t="n">
        <v>0</v>
      </c>
      <c r="N340" t="n">
        <v>0</v>
      </c>
      <c r="O340" t="n">
        <v>0</v>
      </c>
      <c r="P340" t="n">
        <v>0</v>
      </c>
      <c r="Q340" t="n">
        <v>0</v>
      </c>
      <c r="R340" s="2" t="inlineStr"/>
    </row>
    <row r="341" ht="15" customHeight="1">
      <c r="A341" t="inlineStr">
        <is>
          <t>A 46505-2023</t>
        </is>
      </c>
      <c r="B341" s="1" t="n">
        <v>45197</v>
      </c>
      <c r="C341" s="1" t="n">
        <v>46204</v>
      </c>
      <c r="D341" t="inlineStr">
        <is>
          <t>DALARNAS LÄN</t>
        </is>
      </c>
      <c r="E341" t="inlineStr">
        <is>
          <t>LEKSAND</t>
        </is>
      </c>
      <c r="G341" t="n">
        <v>2.3</v>
      </c>
      <c r="H341" t="n">
        <v>0</v>
      </c>
      <c r="I341" t="n">
        <v>0</v>
      </c>
      <c r="J341" t="n">
        <v>0</v>
      </c>
      <c r="K341" t="n">
        <v>0</v>
      </c>
      <c r="L341" t="n">
        <v>0</v>
      </c>
      <c r="M341" t="n">
        <v>0</v>
      </c>
      <c r="N341" t="n">
        <v>0</v>
      </c>
      <c r="O341" t="n">
        <v>0</v>
      </c>
      <c r="P341" t="n">
        <v>0</v>
      </c>
      <c r="Q341" t="n">
        <v>0</v>
      </c>
      <c r="R341" s="2" t="inlineStr"/>
    </row>
    <row r="342" ht="15" customHeight="1">
      <c r="A342" t="inlineStr">
        <is>
          <t>A 58619-2022</t>
        </is>
      </c>
      <c r="B342" s="1" t="n">
        <v>44902</v>
      </c>
      <c r="C342" s="1" t="n">
        <v>46204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53041-2025</t>
        </is>
      </c>
      <c r="B343" s="1" t="n">
        <v>45958</v>
      </c>
      <c r="C343" s="1" t="n">
        <v>46204</v>
      </c>
      <c r="D343" t="inlineStr">
        <is>
          <t>DALARNAS LÄN</t>
        </is>
      </c>
      <c r="E343" t="inlineStr">
        <is>
          <t>LEKSAND</t>
        </is>
      </c>
      <c r="G343" t="n">
        <v>1.7</v>
      </c>
      <c r="H343" t="n">
        <v>0</v>
      </c>
      <c r="I343" t="n">
        <v>0</v>
      </c>
      <c r="J343" t="n">
        <v>0</v>
      </c>
      <c r="K343" t="n">
        <v>0</v>
      </c>
      <c r="L343" t="n">
        <v>0</v>
      </c>
      <c r="M343" t="n">
        <v>0</v>
      </c>
      <c r="N343" t="n">
        <v>0</v>
      </c>
      <c r="O343" t="n">
        <v>0</v>
      </c>
      <c r="P343" t="n">
        <v>0</v>
      </c>
      <c r="Q343" t="n">
        <v>0</v>
      </c>
      <c r="R343" s="2" t="inlineStr"/>
    </row>
    <row r="344" ht="15" customHeight="1">
      <c r="A344" t="inlineStr">
        <is>
          <t>A 54015-2025</t>
        </is>
      </c>
      <c r="B344" s="1" t="n">
        <v>45961</v>
      </c>
      <c r="C344" s="1" t="n">
        <v>46204</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53838-2025</t>
        </is>
      </c>
      <c r="B345" s="1" t="n">
        <v>45961</v>
      </c>
      <c r="C345" s="1" t="n">
        <v>46204</v>
      </c>
      <c r="D345" t="inlineStr">
        <is>
          <t>DALARNAS LÄN</t>
        </is>
      </c>
      <c r="E345" t="inlineStr">
        <is>
          <t>LEKSAND</t>
        </is>
      </c>
      <c r="G345" t="n">
        <v>1.3</v>
      </c>
      <c r="H345" t="n">
        <v>0</v>
      </c>
      <c r="I345" t="n">
        <v>0</v>
      </c>
      <c r="J345" t="n">
        <v>0</v>
      </c>
      <c r="K345" t="n">
        <v>0</v>
      </c>
      <c r="L345" t="n">
        <v>0</v>
      </c>
      <c r="M345" t="n">
        <v>0</v>
      </c>
      <c r="N345" t="n">
        <v>0</v>
      </c>
      <c r="O345" t="n">
        <v>0</v>
      </c>
      <c r="P345" t="n">
        <v>0</v>
      </c>
      <c r="Q345" t="n">
        <v>0</v>
      </c>
      <c r="R345" s="2" t="inlineStr"/>
    </row>
    <row r="346" ht="15" customHeight="1">
      <c r="A346" t="inlineStr">
        <is>
          <t>A 53804-2025</t>
        </is>
      </c>
      <c r="B346" s="1" t="n">
        <v>45960</v>
      </c>
      <c r="C346" s="1" t="n">
        <v>46204</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53836-2025</t>
        </is>
      </c>
      <c r="B347" s="1" t="n">
        <v>45961</v>
      </c>
      <c r="C347" s="1" t="n">
        <v>46204</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8045-2024</t>
        </is>
      </c>
      <c r="B348" s="1" t="n">
        <v>45351</v>
      </c>
      <c r="C348" s="1" t="n">
        <v>46204</v>
      </c>
      <c r="D348" t="inlineStr">
        <is>
          <t>DALARNAS LÄN</t>
        </is>
      </c>
      <c r="E348" t="inlineStr">
        <is>
          <t>LEKSAND</t>
        </is>
      </c>
      <c r="G348" t="n">
        <v>6.7</v>
      </c>
      <c r="H348" t="n">
        <v>0</v>
      </c>
      <c r="I348" t="n">
        <v>0</v>
      </c>
      <c r="J348" t="n">
        <v>0</v>
      </c>
      <c r="K348" t="n">
        <v>0</v>
      </c>
      <c r="L348" t="n">
        <v>0</v>
      </c>
      <c r="M348" t="n">
        <v>0</v>
      </c>
      <c r="N348" t="n">
        <v>0</v>
      </c>
      <c r="O348" t="n">
        <v>0</v>
      </c>
      <c r="P348" t="n">
        <v>0</v>
      </c>
      <c r="Q348" t="n">
        <v>0</v>
      </c>
      <c r="R348" s="2" t="inlineStr"/>
    </row>
    <row r="349" ht="15" customHeight="1">
      <c r="A349" t="inlineStr">
        <is>
          <t>A 33001-2023</t>
        </is>
      </c>
      <c r="B349" s="1" t="n">
        <v>45125</v>
      </c>
      <c r="C349" s="1" t="n">
        <v>46204</v>
      </c>
      <c r="D349" t="inlineStr">
        <is>
          <t>DALARNAS LÄN</t>
        </is>
      </c>
      <c r="E349" t="inlineStr">
        <is>
          <t>LEKSAND</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1946-2024</t>
        </is>
      </c>
      <c r="B350" s="1" t="n">
        <v>45308</v>
      </c>
      <c r="C350" s="1" t="n">
        <v>46204</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54440-2025</t>
        </is>
      </c>
      <c r="B351" s="1" t="n">
        <v>45965</v>
      </c>
      <c r="C351" s="1" t="n">
        <v>46204</v>
      </c>
      <c r="D351" t="inlineStr">
        <is>
          <t>DALARNAS LÄN</t>
        </is>
      </c>
      <c r="E351" t="inlineStr">
        <is>
          <t>LEKSAND</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54120-2025</t>
        </is>
      </c>
      <c r="B352" s="1" t="n">
        <v>45964</v>
      </c>
      <c r="C352" s="1" t="n">
        <v>46204</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54125-2025</t>
        </is>
      </c>
      <c r="B353" s="1" t="n">
        <v>45964</v>
      </c>
      <c r="C353" s="1" t="n">
        <v>46204</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54293-2025</t>
        </is>
      </c>
      <c r="B354" s="1" t="n">
        <v>45964</v>
      </c>
      <c r="C354" s="1" t="n">
        <v>46204</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54295-2025</t>
        </is>
      </c>
      <c r="B355" s="1" t="n">
        <v>45964</v>
      </c>
      <c r="C355" s="1" t="n">
        <v>46204</v>
      </c>
      <c r="D355" t="inlineStr">
        <is>
          <t>DALARNAS LÄN</t>
        </is>
      </c>
      <c r="E355" t="inlineStr">
        <is>
          <t>LEKSAND</t>
        </is>
      </c>
      <c r="G355" t="n">
        <v>1.2</v>
      </c>
      <c r="H355" t="n">
        <v>0</v>
      </c>
      <c r="I355" t="n">
        <v>0</v>
      </c>
      <c r="J355" t="n">
        <v>0</v>
      </c>
      <c r="K355" t="n">
        <v>0</v>
      </c>
      <c r="L355" t="n">
        <v>0</v>
      </c>
      <c r="M355" t="n">
        <v>0</v>
      </c>
      <c r="N355" t="n">
        <v>0</v>
      </c>
      <c r="O355" t="n">
        <v>0</v>
      </c>
      <c r="P355" t="n">
        <v>0</v>
      </c>
      <c r="Q355" t="n">
        <v>0</v>
      </c>
      <c r="R355" s="2" t="inlineStr"/>
    </row>
    <row r="356" ht="15" customHeight="1">
      <c r="A356" t="inlineStr">
        <is>
          <t>A 14795-2026</t>
        </is>
      </c>
      <c r="B356" s="1" t="n">
        <v>46101</v>
      </c>
      <c r="C356" s="1" t="n">
        <v>46204</v>
      </c>
      <c r="D356" t="inlineStr">
        <is>
          <t>DALARNAS LÄN</t>
        </is>
      </c>
      <c r="E356" t="inlineStr">
        <is>
          <t>LEKSAND</t>
        </is>
      </c>
      <c r="G356" t="n">
        <v>1.6</v>
      </c>
      <c r="H356" t="n">
        <v>0</v>
      </c>
      <c r="I356" t="n">
        <v>0</v>
      </c>
      <c r="J356" t="n">
        <v>0</v>
      </c>
      <c r="K356" t="n">
        <v>0</v>
      </c>
      <c r="L356" t="n">
        <v>0</v>
      </c>
      <c r="M356" t="n">
        <v>0</v>
      </c>
      <c r="N356" t="n">
        <v>0</v>
      </c>
      <c r="O356" t="n">
        <v>0</v>
      </c>
      <c r="P356" t="n">
        <v>0</v>
      </c>
      <c r="Q356" t="n">
        <v>0</v>
      </c>
      <c r="R356" s="2" t="inlineStr"/>
    </row>
    <row r="357" ht="15" customHeight="1">
      <c r="A357" t="inlineStr">
        <is>
          <t>A 54494-2025</t>
        </is>
      </c>
      <c r="B357" s="1" t="n">
        <v>45965</v>
      </c>
      <c r="C357" s="1" t="n">
        <v>46204</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54752-2025</t>
        </is>
      </c>
      <c r="B358" s="1" t="n">
        <v>45966</v>
      </c>
      <c r="C358" s="1" t="n">
        <v>46204</v>
      </c>
      <c r="D358" t="inlineStr">
        <is>
          <t>DALARNAS LÄN</t>
        </is>
      </c>
      <c r="E358" t="inlineStr">
        <is>
          <t>LEKSAND</t>
        </is>
      </c>
      <c r="G358" t="n">
        <v>0.3</v>
      </c>
      <c r="H358" t="n">
        <v>0</v>
      </c>
      <c r="I358" t="n">
        <v>0</v>
      </c>
      <c r="J358" t="n">
        <v>0</v>
      </c>
      <c r="K358" t="n">
        <v>0</v>
      </c>
      <c r="L358" t="n">
        <v>0</v>
      </c>
      <c r="M358" t="n">
        <v>0</v>
      </c>
      <c r="N358" t="n">
        <v>0</v>
      </c>
      <c r="O358" t="n">
        <v>0</v>
      </c>
      <c r="P358" t="n">
        <v>0</v>
      </c>
      <c r="Q358" t="n">
        <v>0</v>
      </c>
      <c r="R358" s="2" t="inlineStr"/>
    </row>
    <row r="359" ht="15" customHeight="1">
      <c r="A359" t="inlineStr">
        <is>
          <t>A 54767-2025</t>
        </is>
      </c>
      <c r="B359" s="1" t="n">
        <v>45966</v>
      </c>
      <c r="C359" s="1" t="n">
        <v>46204</v>
      </c>
      <c r="D359" t="inlineStr">
        <is>
          <t>DALARNAS LÄN</t>
        </is>
      </c>
      <c r="E359" t="inlineStr">
        <is>
          <t>LEKSAND</t>
        </is>
      </c>
      <c r="G359" t="n">
        <v>2.4</v>
      </c>
      <c r="H359" t="n">
        <v>0</v>
      </c>
      <c r="I359" t="n">
        <v>0</v>
      </c>
      <c r="J359" t="n">
        <v>0</v>
      </c>
      <c r="K359" t="n">
        <v>0</v>
      </c>
      <c r="L359" t="n">
        <v>0</v>
      </c>
      <c r="M359" t="n">
        <v>0</v>
      </c>
      <c r="N359" t="n">
        <v>0</v>
      </c>
      <c r="O359" t="n">
        <v>0</v>
      </c>
      <c r="P359" t="n">
        <v>0</v>
      </c>
      <c r="Q359" t="n">
        <v>0</v>
      </c>
      <c r="R359" s="2" t="inlineStr"/>
    </row>
    <row r="360" ht="15" customHeight="1">
      <c r="A360" t="inlineStr">
        <is>
          <t>A 54785-2025</t>
        </is>
      </c>
      <c r="B360" s="1" t="n">
        <v>45966</v>
      </c>
      <c r="C360" s="1" t="n">
        <v>46204</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54805-2025</t>
        </is>
      </c>
      <c r="B361" s="1" t="n">
        <v>45966</v>
      </c>
      <c r="C361" s="1" t="n">
        <v>46204</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11015-2022</t>
        </is>
      </c>
      <c r="B362" s="1" t="n">
        <v>44628</v>
      </c>
      <c r="C362" s="1" t="n">
        <v>46204</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40752-2024</t>
        </is>
      </c>
      <c r="B363" s="1" t="n">
        <v>45558</v>
      </c>
      <c r="C363" s="1" t="n">
        <v>46204</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15882-2023</t>
        </is>
      </c>
      <c r="B364" s="1" t="n">
        <v>45022</v>
      </c>
      <c r="C364" s="1" t="n">
        <v>46204</v>
      </c>
      <c r="D364" t="inlineStr">
        <is>
          <t>DALARNAS LÄN</t>
        </is>
      </c>
      <c r="E364" t="inlineStr">
        <is>
          <t>LEKSAND</t>
        </is>
      </c>
      <c r="G364" t="n">
        <v>0.1</v>
      </c>
      <c r="H364" t="n">
        <v>0</v>
      </c>
      <c r="I364" t="n">
        <v>0</v>
      </c>
      <c r="J364" t="n">
        <v>0</v>
      </c>
      <c r="K364" t="n">
        <v>0</v>
      </c>
      <c r="L364" t="n">
        <v>0</v>
      </c>
      <c r="M364" t="n">
        <v>0</v>
      </c>
      <c r="N364" t="n">
        <v>0</v>
      </c>
      <c r="O364" t="n">
        <v>0</v>
      </c>
      <c r="P364" t="n">
        <v>0</v>
      </c>
      <c r="Q364" t="n">
        <v>0</v>
      </c>
      <c r="R364" s="2" t="inlineStr"/>
    </row>
    <row r="365" ht="15" customHeight="1">
      <c r="A365" t="inlineStr">
        <is>
          <t>A 54779-2025</t>
        </is>
      </c>
      <c r="B365" s="1" t="n">
        <v>45966</v>
      </c>
      <c r="C365" s="1" t="n">
        <v>46204</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54815-2025</t>
        </is>
      </c>
      <c r="B366" s="1" t="n">
        <v>45966</v>
      </c>
      <c r="C366" s="1" t="n">
        <v>46204</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55493-2025</t>
        </is>
      </c>
      <c r="B367" s="1" t="n">
        <v>45971</v>
      </c>
      <c r="C367" s="1" t="n">
        <v>46204</v>
      </c>
      <c r="D367" t="inlineStr">
        <is>
          <t>DALARNAS LÄN</t>
        </is>
      </c>
      <c r="E367" t="inlineStr">
        <is>
          <t>LEKSAND</t>
        </is>
      </c>
      <c r="G367" t="n">
        <v>0.9</v>
      </c>
      <c r="H367" t="n">
        <v>0</v>
      </c>
      <c r="I367" t="n">
        <v>0</v>
      </c>
      <c r="J367" t="n">
        <v>0</v>
      </c>
      <c r="K367" t="n">
        <v>0</v>
      </c>
      <c r="L367" t="n">
        <v>0</v>
      </c>
      <c r="M367" t="n">
        <v>0</v>
      </c>
      <c r="N367" t="n">
        <v>0</v>
      </c>
      <c r="O367" t="n">
        <v>0</v>
      </c>
      <c r="P367" t="n">
        <v>0</v>
      </c>
      <c r="Q367" t="n">
        <v>0</v>
      </c>
      <c r="R367" s="2" t="inlineStr"/>
    </row>
    <row r="368" ht="15" customHeight="1">
      <c r="A368" t="inlineStr">
        <is>
          <t>A 5583-2024</t>
        </is>
      </c>
      <c r="B368" s="1" t="n">
        <v>45334</v>
      </c>
      <c r="C368" s="1" t="n">
        <v>46204</v>
      </c>
      <c r="D368" t="inlineStr">
        <is>
          <t>DALARNAS LÄN</t>
        </is>
      </c>
      <c r="E368" t="inlineStr">
        <is>
          <t>LEKSAND</t>
        </is>
      </c>
      <c r="F368" t="inlineStr">
        <is>
          <t>Kyrkan</t>
        </is>
      </c>
      <c r="G368" t="n">
        <v>0.4</v>
      </c>
      <c r="H368" t="n">
        <v>0</v>
      </c>
      <c r="I368" t="n">
        <v>0</v>
      </c>
      <c r="J368" t="n">
        <v>0</v>
      </c>
      <c r="K368" t="n">
        <v>0</v>
      </c>
      <c r="L368" t="n">
        <v>0</v>
      </c>
      <c r="M368" t="n">
        <v>0</v>
      </c>
      <c r="N368" t="n">
        <v>0</v>
      </c>
      <c r="O368" t="n">
        <v>0</v>
      </c>
      <c r="P368" t="n">
        <v>0</v>
      </c>
      <c r="Q368" t="n">
        <v>0</v>
      </c>
      <c r="R368" s="2" t="inlineStr"/>
    </row>
    <row r="369" ht="15" customHeight="1">
      <c r="A369" t="inlineStr">
        <is>
          <t>A 15583-2026</t>
        </is>
      </c>
      <c r="B369" s="1" t="n">
        <v>46106</v>
      </c>
      <c r="C369" s="1" t="n">
        <v>46204</v>
      </c>
      <c r="D369" t="inlineStr">
        <is>
          <t>DALARNAS LÄN</t>
        </is>
      </c>
      <c r="E369" t="inlineStr">
        <is>
          <t>LEKSAND</t>
        </is>
      </c>
      <c r="F369" t="inlineStr">
        <is>
          <t>Bergvik skog väst AB</t>
        </is>
      </c>
      <c r="G369" t="n">
        <v>1.6</v>
      </c>
      <c r="H369" t="n">
        <v>0</v>
      </c>
      <c r="I369" t="n">
        <v>0</v>
      </c>
      <c r="J369" t="n">
        <v>0</v>
      </c>
      <c r="K369" t="n">
        <v>0</v>
      </c>
      <c r="L369" t="n">
        <v>0</v>
      </c>
      <c r="M369" t="n">
        <v>0</v>
      </c>
      <c r="N369" t="n">
        <v>0</v>
      </c>
      <c r="O369" t="n">
        <v>0</v>
      </c>
      <c r="P369" t="n">
        <v>0</v>
      </c>
      <c r="Q369" t="n">
        <v>0</v>
      </c>
      <c r="R369" s="2" t="inlineStr"/>
    </row>
    <row r="370" ht="15" customHeight="1">
      <c r="A370" t="inlineStr">
        <is>
          <t>A 15641-2026</t>
        </is>
      </c>
      <c r="B370" s="1" t="n">
        <v>46106</v>
      </c>
      <c r="C370" s="1" t="n">
        <v>46204</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43693-2022</t>
        </is>
      </c>
      <c r="B371" s="1" t="n">
        <v>44837</v>
      </c>
      <c r="C371" s="1" t="n">
        <v>46204</v>
      </c>
      <c r="D371" t="inlineStr">
        <is>
          <t>DALARNAS LÄN</t>
        </is>
      </c>
      <c r="E371" t="inlineStr">
        <is>
          <t>LEKSAND</t>
        </is>
      </c>
      <c r="G371" t="n">
        <v>2.7</v>
      </c>
      <c r="H371" t="n">
        <v>0</v>
      </c>
      <c r="I371" t="n">
        <v>0</v>
      </c>
      <c r="J371" t="n">
        <v>0</v>
      </c>
      <c r="K371" t="n">
        <v>0</v>
      </c>
      <c r="L371" t="n">
        <v>0</v>
      </c>
      <c r="M371" t="n">
        <v>0</v>
      </c>
      <c r="N371" t="n">
        <v>0</v>
      </c>
      <c r="O371" t="n">
        <v>0</v>
      </c>
      <c r="P371" t="n">
        <v>0</v>
      </c>
      <c r="Q371" t="n">
        <v>0</v>
      </c>
      <c r="R371" s="2" t="inlineStr"/>
    </row>
    <row r="372" ht="15" customHeight="1">
      <c r="A372" t="inlineStr">
        <is>
          <t>A 3352-2024</t>
        </is>
      </c>
      <c r="B372" s="1" t="n">
        <v>45317</v>
      </c>
      <c r="C372" s="1" t="n">
        <v>46204</v>
      </c>
      <c r="D372" t="inlineStr">
        <is>
          <t>DALARNAS LÄN</t>
        </is>
      </c>
      <c r="E372" t="inlineStr">
        <is>
          <t>LEKSAND</t>
        </is>
      </c>
      <c r="G372" t="n">
        <v>1.2</v>
      </c>
      <c r="H372" t="n">
        <v>0</v>
      </c>
      <c r="I372" t="n">
        <v>0</v>
      </c>
      <c r="J372" t="n">
        <v>0</v>
      </c>
      <c r="K372" t="n">
        <v>0</v>
      </c>
      <c r="L372" t="n">
        <v>0</v>
      </c>
      <c r="M372" t="n">
        <v>0</v>
      </c>
      <c r="N372" t="n">
        <v>0</v>
      </c>
      <c r="O372" t="n">
        <v>0</v>
      </c>
      <c r="P372" t="n">
        <v>0</v>
      </c>
      <c r="Q372" t="n">
        <v>0</v>
      </c>
      <c r="R372" s="2" t="inlineStr"/>
    </row>
    <row r="373" ht="15" customHeight="1">
      <c r="A373" t="inlineStr">
        <is>
          <t>A 15561-2026</t>
        </is>
      </c>
      <c r="B373" s="1" t="n">
        <v>46106</v>
      </c>
      <c r="C373" s="1" t="n">
        <v>46204</v>
      </c>
      <c r="D373" t="inlineStr">
        <is>
          <t>DALARNAS LÄN</t>
        </is>
      </c>
      <c r="E373" t="inlineStr">
        <is>
          <t>LEKSAND</t>
        </is>
      </c>
      <c r="F373" t="inlineStr">
        <is>
          <t>Bergvik skog väst AB</t>
        </is>
      </c>
      <c r="G373" t="n">
        <v>11.3</v>
      </c>
      <c r="H373" t="n">
        <v>0</v>
      </c>
      <c r="I373" t="n">
        <v>0</v>
      </c>
      <c r="J373" t="n">
        <v>0</v>
      </c>
      <c r="K373" t="n">
        <v>0</v>
      </c>
      <c r="L373" t="n">
        <v>0</v>
      </c>
      <c r="M373" t="n">
        <v>0</v>
      </c>
      <c r="N373" t="n">
        <v>0</v>
      </c>
      <c r="O373" t="n">
        <v>0</v>
      </c>
      <c r="P373" t="n">
        <v>0</v>
      </c>
      <c r="Q373" t="n">
        <v>0</v>
      </c>
      <c r="R373" s="2" t="inlineStr"/>
    </row>
    <row r="374" ht="15" customHeight="1">
      <c r="A374" t="inlineStr">
        <is>
          <t>A 55784-2025</t>
        </is>
      </c>
      <c r="B374" s="1" t="n">
        <v>45972</v>
      </c>
      <c r="C374" s="1" t="n">
        <v>46204</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13165-2023</t>
        </is>
      </c>
      <c r="B375" s="1" t="n">
        <v>45002</v>
      </c>
      <c r="C375" s="1" t="n">
        <v>46204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39620-2024</t>
        </is>
      </c>
      <c r="B376" s="1" t="n">
        <v>45552</v>
      </c>
      <c r="C376" s="1" t="n">
        <v>46204</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30204-2024</t>
        </is>
      </c>
      <c r="B377" s="1" t="n">
        <v>45490</v>
      </c>
      <c r="C377" s="1" t="n">
        <v>46204</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56623-2025</t>
        </is>
      </c>
      <c r="B378" s="1" t="n">
        <v>45975</v>
      </c>
      <c r="C378" s="1" t="n">
        <v>46204</v>
      </c>
      <c r="D378" t="inlineStr">
        <is>
          <t>DALARNAS LÄN</t>
        </is>
      </c>
      <c r="E378" t="inlineStr">
        <is>
          <t>LEKSAND</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46204</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17730-2024</t>
        </is>
      </c>
      <c r="B380" s="1" t="n">
        <v>45418</v>
      </c>
      <c r="C380" s="1" t="n">
        <v>46204</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56161-2025</t>
        </is>
      </c>
      <c r="B381" s="1" t="n">
        <v>45974</v>
      </c>
      <c r="C381" s="1" t="n">
        <v>46204</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56331-2025</t>
        </is>
      </c>
      <c r="B382" s="1" t="n">
        <v>45974</v>
      </c>
      <c r="C382" s="1" t="n">
        <v>46204</v>
      </c>
      <c r="D382" t="inlineStr">
        <is>
          <t>DALARNAS LÄN</t>
        </is>
      </c>
      <c r="E382" t="inlineStr">
        <is>
          <t>LEKSAND</t>
        </is>
      </c>
      <c r="G382" t="n">
        <v>1.1</v>
      </c>
      <c r="H382" t="n">
        <v>0</v>
      </c>
      <c r="I382" t="n">
        <v>0</v>
      </c>
      <c r="J382" t="n">
        <v>0</v>
      </c>
      <c r="K382" t="n">
        <v>0</v>
      </c>
      <c r="L382" t="n">
        <v>0</v>
      </c>
      <c r="M382" t="n">
        <v>0</v>
      </c>
      <c r="N382" t="n">
        <v>0</v>
      </c>
      <c r="O382" t="n">
        <v>0</v>
      </c>
      <c r="P382" t="n">
        <v>0</v>
      </c>
      <c r="Q382" t="n">
        <v>0</v>
      </c>
      <c r="R382" s="2" t="inlineStr"/>
    </row>
    <row r="383" ht="15" customHeight="1">
      <c r="A383" t="inlineStr">
        <is>
          <t>A 7759-2025</t>
        </is>
      </c>
      <c r="B383" s="1" t="n">
        <v>45706</v>
      </c>
      <c r="C383" s="1" t="n">
        <v>46204</v>
      </c>
      <c r="D383" t="inlineStr">
        <is>
          <t>DALARNAS LÄN</t>
        </is>
      </c>
      <c r="E383" t="inlineStr">
        <is>
          <t>LEKSAND</t>
        </is>
      </c>
      <c r="G383" t="n">
        <v>3.3</v>
      </c>
      <c r="H383" t="n">
        <v>0</v>
      </c>
      <c r="I383" t="n">
        <v>0</v>
      </c>
      <c r="J383" t="n">
        <v>0</v>
      </c>
      <c r="K383" t="n">
        <v>0</v>
      </c>
      <c r="L383" t="n">
        <v>0</v>
      </c>
      <c r="M383" t="n">
        <v>0</v>
      </c>
      <c r="N383" t="n">
        <v>0</v>
      </c>
      <c r="O383" t="n">
        <v>0</v>
      </c>
      <c r="P383" t="n">
        <v>0</v>
      </c>
      <c r="Q383" t="n">
        <v>0</v>
      </c>
      <c r="R383" s="2" t="inlineStr"/>
    </row>
    <row r="384" ht="15" customHeight="1">
      <c r="A384" t="inlineStr">
        <is>
          <t>A 56960-2025</t>
        </is>
      </c>
      <c r="B384" s="1" t="n">
        <v>45978</v>
      </c>
      <c r="C384" s="1" t="n">
        <v>46204</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12356-2023</t>
        </is>
      </c>
      <c r="B385" s="1" t="n">
        <v>44998</v>
      </c>
      <c r="C385" s="1" t="n">
        <v>46204</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12363-2023</t>
        </is>
      </c>
      <c r="B386" s="1" t="n">
        <v>44998</v>
      </c>
      <c r="C386" s="1" t="n">
        <v>46204</v>
      </c>
      <c r="D386" t="inlineStr">
        <is>
          <t>DALARNAS LÄN</t>
        </is>
      </c>
      <c r="E386" t="inlineStr">
        <is>
          <t>LEKSAND</t>
        </is>
      </c>
      <c r="G386" t="n">
        <v>10</v>
      </c>
      <c r="H386" t="n">
        <v>0</v>
      </c>
      <c r="I386" t="n">
        <v>0</v>
      </c>
      <c r="J386" t="n">
        <v>0</v>
      </c>
      <c r="K386" t="n">
        <v>0</v>
      </c>
      <c r="L386" t="n">
        <v>0</v>
      </c>
      <c r="M386" t="n">
        <v>0</v>
      </c>
      <c r="N386" t="n">
        <v>0</v>
      </c>
      <c r="O386" t="n">
        <v>0</v>
      </c>
      <c r="P386" t="n">
        <v>0</v>
      </c>
      <c r="Q386" t="n">
        <v>0</v>
      </c>
      <c r="R386" s="2" t="inlineStr"/>
    </row>
    <row r="387" ht="15" customHeight="1">
      <c r="A387" t="inlineStr">
        <is>
          <t>A 55015-2024</t>
        </is>
      </c>
      <c r="B387" s="1" t="n">
        <v>45621</v>
      </c>
      <c r="C387" s="1" t="n">
        <v>46204</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28674-2024</t>
        </is>
      </c>
      <c r="B388" s="1" t="n">
        <v>45478</v>
      </c>
      <c r="C388" s="1" t="n">
        <v>46204</v>
      </c>
      <c r="D388" t="inlineStr">
        <is>
          <t>DALARNAS LÄN</t>
        </is>
      </c>
      <c r="E388" t="inlineStr">
        <is>
          <t>LEKSAND</t>
        </is>
      </c>
      <c r="G388" t="n">
        <v>4.9</v>
      </c>
      <c r="H388" t="n">
        <v>0</v>
      </c>
      <c r="I388" t="n">
        <v>0</v>
      </c>
      <c r="J388" t="n">
        <v>0</v>
      </c>
      <c r="K388" t="n">
        <v>0</v>
      </c>
      <c r="L388" t="n">
        <v>0</v>
      </c>
      <c r="M388" t="n">
        <v>0</v>
      </c>
      <c r="N388" t="n">
        <v>0</v>
      </c>
      <c r="O388" t="n">
        <v>0</v>
      </c>
      <c r="P388" t="n">
        <v>0</v>
      </c>
      <c r="Q388" t="n">
        <v>0</v>
      </c>
      <c r="R388" s="2" t="inlineStr"/>
    </row>
    <row r="389" ht="15" customHeight="1">
      <c r="A389" t="inlineStr">
        <is>
          <t>A 57688-2025</t>
        </is>
      </c>
      <c r="B389" s="1" t="n">
        <v>45981</v>
      </c>
      <c r="C389" s="1" t="n">
        <v>46204</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54677-2025</t>
        </is>
      </c>
      <c r="B390" s="1" t="n">
        <v>45966</v>
      </c>
      <c r="C390" s="1" t="n">
        <v>46204</v>
      </c>
      <c r="D390" t="inlineStr">
        <is>
          <t>DALARNAS LÄN</t>
        </is>
      </c>
      <c r="E390" t="inlineStr">
        <is>
          <t>LEKSAND</t>
        </is>
      </c>
      <c r="G390" t="n">
        <v>0.5</v>
      </c>
      <c r="H390" t="n">
        <v>0</v>
      </c>
      <c r="I390" t="n">
        <v>0</v>
      </c>
      <c r="J390" t="n">
        <v>0</v>
      </c>
      <c r="K390" t="n">
        <v>0</v>
      </c>
      <c r="L390" t="n">
        <v>0</v>
      </c>
      <c r="M390" t="n">
        <v>0</v>
      </c>
      <c r="N390" t="n">
        <v>0</v>
      </c>
      <c r="O390" t="n">
        <v>0</v>
      </c>
      <c r="P390" t="n">
        <v>0</v>
      </c>
      <c r="Q390" t="n">
        <v>0</v>
      </c>
      <c r="R390" s="2" t="inlineStr"/>
    </row>
    <row r="391" ht="15" customHeight="1">
      <c r="A391" t="inlineStr">
        <is>
          <t>A 56283-2024</t>
        </is>
      </c>
      <c r="B391" s="1" t="n">
        <v>45624</v>
      </c>
      <c r="C391" s="1" t="n">
        <v>46204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58376-2025</t>
        </is>
      </c>
      <c r="B392" s="1" t="n">
        <v>45985</v>
      </c>
      <c r="C392" s="1" t="n">
        <v>46204</v>
      </c>
      <c r="D392" t="inlineStr">
        <is>
          <t>DALARNAS LÄN</t>
        </is>
      </c>
      <c r="E392" t="inlineStr">
        <is>
          <t>LEKSAND</t>
        </is>
      </c>
      <c r="G392" t="n">
        <v>5.7</v>
      </c>
      <c r="H392" t="n">
        <v>0</v>
      </c>
      <c r="I392" t="n">
        <v>0</v>
      </c>
      <c r="J392" t="n">
        <v>0</v>
      </c>
      <c r="K392" t="n">
        <v>0</v>
      </c>
      <c r="L392" t="n">
        <v>0</v>
      </c>
      <c r="M392" t="n">
        <v>0</v>
      </c>
      <c r="N392" t="n">
        <v>0</v>
      </c>
      <c r="O392" t="n">
        <v>0</v>
      </c>
      <c r="P392" t="n">
        <v>0</v>
      </c>
      <c r="Q392" t="n">
        <v>0</v>
      </c>
      <c r="R392" s="2" t="inlineStr"/>
    </row>
    <row r="393" ht="15" customHeight="1">
      <c r="A393" t="inlineStr">
        <is>
          <t>A 58519-2025</t>
        </is>
      </c>
      <c r="B393" s="1" t="n">
        <v>45985</v>
      </c>
      <c r="C393" s="1" t="n">
        <v>46204</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58516-2025</t>
        </is>
      </c>
      <c r="B394" s="1" t="n">
        <v>45985</v>
      </c>
      <c r="C394" s="1" t="n">
        <v>46204</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58449-2025</t>
        </is>
      </c>
      <c r="B395" s="1" t="n">
        <v>45985</v>
      </c>
      <c r="C395" s="1" t="n">
        <v>46204</v>
      </c>
      <c r="D395" t="inlineStr">
        <is>
          <t>DALARNAS LÄN</t>
        </is>
      </c>
      <c r="E395" t="inlineStr">
        <is>
          <t>LEKSAND</t>
        </is>
      </c>
      <c r="G395" t="n">
        <v>0.8</v>
      </c>
      <c r="H395" t="n">
        <v>0</v>
      </c>
      <c r="I395" t="n">
        <v>0</v>
      </c>
      <c r="J395" t="n">
        <v>0</v>
      </c>
      <c r="K395" t="n">
        <v>0</v>
      </c>
      <c r="L395" t="n">
        <v>0</v>
      </c>
      <c r="M395" t="n">
        <v>0</v>
      </c>
      <c r="N395" t="n">
        <v>0</v>
      </c>
      <c r="O395" t="n">
        <v>0</v>
      </c>
      <c r="P395" t="n">
        <v>0</v>
      </c>
      <c r="Q395" t="n">
        <v>0</v>
      </c>
      <c r="R395" s="2" t="inlineStr"/>
    </row>
    <row r="396" ht="15" customHeight="1">
      <c r="A396" t="inlineStr">
        <is>
          <t>A 58114-2025</t>
        </is>
      </c>
      <c r="B396" s="1" t="n">
        <v>45982</v>
      </c>
      <c r="C396" s="1" t="n">
        <v>46204</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16613-2026</t>
        </is>
      </c>
      <c r="B397" s="1" t="n">
        <v>46112</v>
      </c>
      <c r="C397" s="1" t="n">
        <v>46204</v>
      </c>
      <c r="D397" t="inlineStr">
        <is>
          <t>DALARNAS LÄN</t>
        </is>
      </c>
      <c r="E397" t="inlineStr">
        <is>
          <t>LEKSAND</t>
        </is>
      </c>
      <c r="F397" t="inlineStr">
        <is>
          <t>Bergvik skog väst AB</t>
        </is>
      </c>
      <c r="G397" t="n">
        <v>12.7</v>
      </c>
      <c r="H397" t="n">
        <v>0</v>
      </c>
      <c r="I397" t="n">
        <v>0</v>
      </c>
      <c r="J397" t="n">
        <v>0</v>
      </c>
      <c r="K397" t="n">
        <v>0</v>
      </c>
      <c r="L397" t="n">
        <v>0</v>
      </c>
      <c r="M397" t="n">
        <v>0</v>
      </c>
      <c r="N397" t="n">
        <v>0</v>
      </c>
      <c r="O397" t="n">
        <v>0</v>
      </c>
      <c r="P397" t="n">
        <v>0</v>
      </c>
      <c r="Q397" t="n">
        <v>0</v>
      </c>
      <c r="R397" s="2" t="inlineStr"/>
    </row>
    <row r="398" ht="15" customHeight="1">
      <c r="A398" t="inlineStr">
        <is>
          <t>A 16234-2026</t>
        </is>
      </c>
      <c r="B398" s="1" t="n">
        <v>46111</v>
      </c>
      <c r="C398" s="1" t="n">
        <v>46204</v>
      </c>
      <c r="D398" t="inlineStr">
        <is>
          <t>DALARNAS LÄN</t>
        </is>
      </c>
      <c r="E398" t="inlineStr">
        <is>
          <t>LEKSAND</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58626-2025</t>
        </is>
      </c>
      <c r="B399" s="1" t="n">
        <v>45986</v>
      </c>
      <c r="C399" s="1" t="n">
        <v>46204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58921-2025</t>
        </is>
      </c>
      <c r="B400" s="1" t="n">
        <v>45986</v>
      </c>
      <c r="C400" s="1" t="n">
        <v>46204</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11092-2023</t>
        </is>
      </c>
      <c r="B401" s="1" t="n">
        <v>44992</v>
      </c>
      <c r="C401" s="1" t="n">
        <v>46204</v>
      </c>
      <c r="D401" t="inlineStr">
        <is>
          <t>DALARNAS LÄN</t>
        </is>
      </c>
      <c r="E401" t="inlineStr">
        <is>
          <t>LEKSAND</t>
        </is>
      </c>
      <c r="G401" t="n">
        <v>0.5</v>
      </c>
      <c r="H401" t="n">
        <v>0</v>
      </c>
      <c r="I401" t="n">
        <v>0</v>
      </c>
      <c r="J401" t="n">
        <v>0</v>
      </c>
      <c r="K401" t="n">
        <v>0</v>
      </c>
      <c r="L401" t="n">
        <v>0</v>
      </c>
      <c r="M401" t="n">
        <v>0</v>
      </c>
      <c r="N401" t="n">
        <v>0</v>
      </c>
      <c r="O401" t="n">
        <v>0</v>
      </c>
      <c r="P401" t="n">
        <v>0</v>
      </c>
      <c r="Q401" t="n">
        <v>0</v>
      </c>
      <c r="R401" s="2" t="inlineStr"/>
    </row>
    <row r="402" ht="15" customHeight="1">
      <c r="A402" t="inlineStr">
        <is>
          <t>A 28578-2023</t>
        </is>
      </c>
      <c r="B402" s="1" t="n">
        <v>45103</v>
      </c>
      <c r="C402" s="1" t="n">
        <v>46204</v>
      </c>
      <c r="D402" t="inlineStr">
        <is>
          <t>DALARNAS LÄN</t>
        </is>
      </c>
      <c r="E402" t="inlineStr">
        <is>
          <t>LEKSAND</t>
        </is>
      </c>
      <c r="G402" t="n">
        <v>4.4</v>
      </c>
      <c r="H402" t="n">
        <v>0</v>
      </c>
      <c r="I402" t="n">
        <v>0</v>
      </c>
      <c r="J402" t="n">
        <v>0</v>
      </c>
      <c r="K402" t="n">
        <v>0</v>
      </c>
      <c r="L402" t="n">
        <v>0</v>
      </c>
      <c r="M402" t="n">
        <v>0</v>
      </c>
      <c r="N402" t="n">
        <v>0</v>
      </c>
      <c r="O402" t="n">
        <v>0</v>
      </c>
      <c r="P402" t="n">
        <v>0</v>
      </c>
      <c r="Q402" t="n">
        <v>0</v>
      </c>
      <c r="R402" s="2" t="inlineStr"/>
    </row>
    <row r="403" ht="15" customHeight="1">
      <c r="A403" t="inlineStr">
        <is>
          <t>A 16188-2026</t>
        </is>
      </c>
      <c r="B403" s="1" t="n">
        <v>46111</v>
      </c>
      <c r="C403" s="1" t="n">
        <v>46204</v>
      </c>
      <c r="D403" t="inlineStr">
        <is>
          <t>DALARNAS LÄN</t>
        </is>
      </c>
      <c r="E403" t="inlineStr">
        <is>
          <t>LEKSAND</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19371-2024</t>
        </is>
      </c>
      <c r="B404" s="1" t="n">
        <v>45429</v>
      </c>
      <c r="C404" s="1" t="n">
        <v>46204</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54911-2024</t>
        </is>
      </c>
      <c r="B405" s="1" t="n">
        <v>45618</v>
      </c>
      <c r="C405" s="1" t="n">
        <v>46204</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59106-2025</t>
        </is>
      </c>
      <c r="B406" s="1" t="n">
        <v>45988</v>
      </c>
      <c r="C406" s="1" t="n">
        <v>46204</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40193-2024</t>
        </is>
      </c>
      <c r="B407" s="1" t="n">
        <v>45554</v>
      </c>
      <c r="C407" s="1" t="n">
        <v>46204</v>
      </c>
      <c r="D407" t="inlineStr">
        <is>
          <t>DALARNAS LÄN</t>
        </is>
      </c>
      <c r="E407" t="inlineStr">
        <is>
          <t>LEKSAND</t>
        </is>
      </c>
      <c r="F407" t="inlineStr">
        <is>
          <t>Övriga statliga verk och myndigheter</t>
        </is>
      </c>
      <c r="G407" t="n">
        <v>1</v>
      </c>
      <c r="H407" t="n">
        <v>0</v>
      </c>
      <c r="I407" t="n">
        <v>0</v>
      </c>
      <c r="J407" t="n">
        <v>0</v>
      </c>
      <c r="K407" t="n">
        <v>0</v>
      </c>
      <c r="L407" t="n">
        <v>0</v>
      </c>
      <c r="M407" t="n">
        <v>0</v>
      </c>
      <c r="N407" t="n">
        <v>0</v>
      </c>
      <c r="O407" t="n">
        <v>0</v>
      </c>
      <c r="P407" t="n">
        <v>0</v>
      </c>
      <c r="Q407" t="n">
        <v>0</v>
      </c>
      <c r="R407" s="2" t="inlineStr"/>
    </row>
    <row r="408" ht="15" customHeight="1">
      <c r="A408" t="inlineStr">
        <is>
          <t>A 41934-2025</t>
        </is>
      </c>
      <c r="B408" s="1" t="n">
        <v>45903</v>
      </c>
      <c r="C408" s="1" t="n">
        <v>46204</v>
      </c>
      <c r="D408" t="inlineStr">
        <is>
          <t>DALARNAS LÄN</t>
        </is>
      </c>
      <c r="E408" t="inlineStr">
        <is>
          <t>LEKSAND</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39558-2023</t>
        </is>
      </c>
      <c r="B409" s="1" t="n">
        <v>45167</v>
      </c>
      <c r="C409" s="1" t="n">
        <v>46204</v>
      </c>
      <c r="D409" t="inlineStr">
        <is>
          <t>DALARNAS LÄN</t>
        </is>
      </c>
      <c r="E409" t="inlineStr">
        <is>
          <t>LEKSAND</t>
        </is>
      </c>
      <c r="G409" t="n">
        <v>39.9</v>
      </c>
      <c r="H409" t="n">
        <v>0</v>
      </c>
      <c r="I409" t="n">
        <v>0</v>
      </c>
      <c r="J409" t="n">
        <v>0</v>
      </c>
      <c r="K409" t="n">
        <v>0</v>
      </c>
      <c r="L409" t="n">
        <v>0</v>
      </c>
      <c r="M409" t="n">
        <v>0</v>
      </c>
      <c r="N409" t="n">
        <v>0</v>
      </c>
      <c r="O409" t="n">
        <v>0</v>
      </c>
      <c r="P409" t="n">
        <v>0</v>
      </c>
      <c r="Q409" t="n">
        <v>0</v>
      </c>
      <c r="R409" s="2" t="inlineStr"/>
    </row>
    <row r="410" ht="15" customHeight="1">
      <c r="A410" t="inlineStr">
        <is>
          <t>A 59083-2025</t>
        </is>
      </c>
      <c r="B410" s="1" t="n">
        <v>45988</v>
      </c>
      <c r="C410" s="1" t="n">
        <v>46204</v>
      </c>
      <c r="D410" t="inlineStr">
        <is>
          <t>DALARNAS LÄN</t>
        </is>
      </c>
      <c r="E410" t="inlineStr">
        <is>
          <t>LEKSAND</t>
        </is>
      </c>
      <c r="F410" t="inlineStr">
        <is>
          <t>Bergvik skog väst AB</t>
        </is>
      </c>
      <c r="G410" t="n">
        <v>2.7</v>
      </c>
      <c r="H410" t="n">
        <v>0</v>
      </c>
      <c r="I410" t="n">
        <v>0</v>
      </c>
      <c r="J410" t="n">
        <v>0</v>
      </c>
      <c r="K410" t="n">
        <v>0</v>
      </c>
      <c r="L410" t="n">
        <v>0</v>
      </c>
      <c r="M410" t="n">
        <v>0</v>
      </c>
      <c r="N410" t="n">
        <v>0</v>
      </c>
      <c r="O410" t="n">
        <v>0</v>
      </c>
      <c r="P410" t="n">
        <v>0</v>
      </c>
      <c r="Q410" t="n">
        <v>0</v>
      </c>
      <c r="R410" s="2" t="inlineStr"/>
      <c r="U410">
        <f>HYPERLINK("https://klasma.github.io/Logging_2029/knärot/A 59083-2025 karta knärot.png", "A 59083-2025")</f>
        <v/>
      </c>
      <c r="V410">
        <f>HYPERLINK("https://klasma.github.io/Logging_2029/klagomål/A 59083-2025 FSC-klagomål.docx", "A 59083-2025")</f>
        <v/>
      </c>
      <c r="W410">
        <f>HYPERLINK("https://klasma.github.io/Logging_2029/klagomålsmail/A 59083-2025 FSC-klagomål mail.docx", "A 59083-2025")</f>
        <v/>
      </c>
      <c r="X410">
        <f>HYPERLINK("https://klasma.github.io/Logging_2029/tillsyn/A 59083-2025 tillsynsbegäran.docx", "A 59083-2025")</f>
        <v/>
      </c>
      <c r="Y410">
        <f>HYPERLINK("https://klasma.github.io/Logging_2029/tillsynsmail/A 59083-2025 tillsynsbegäran mail.docx", "A 59083-2025")</f>
        <v/>
      </c>
    </row>
    <row r="411" ht="15" customHeight="1">
      <c r="A411" t="inlineStr">
        <is>
          <t>A 16238-2026</t>
        </is>
      </c>
      <c r="B411" s="1" t="n">
        <v>46111</v>
      </c>
      <c r="C411" s="1" t="n">
        <v>46204</v>
      </c>
      <c r="D411" t="inlineStr">
        <is>
          <t>DALARNAS LÄN</t>
        </is>
      </c>
      <c r="E411" t="inlineStr">
        <is>
          <t>LEKSAND</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9138-2023</t>
        </is>
      </c>
      <c r="B412" s="1" t="n">
        <v>44974</v>
      </c>
      <c r="C412" s="1" t="n">
        <v>46204</v>
      </c>
      <c r="D412" t="inlineStr">
        <is>
          <t>DALARNAS LÄN</t>
        </is>
      </c>
      <c r="E412" t="inlineStr">
        <is>
          <t>LEKSAND</t>
        </is>
      </c>
      <c r="G412" t="n">
        <v>4.6</v>
      </c>
      <c r="H412" t="n">
        <v>0</v>
      </c>
      <c r="I412" t="n">
        <v>0</v>
      </c>
      <c r="J412" t="n">
        <v>0</v>
      </c>
      <c r="K412" t="n">
        <v>0</v>
      </c>
      <c r="L412" t="n">
        <v>0</v>
      </c>
      <c r="M412" t="n">
        <v>0</v>
      </c>
      <c r="N412" t="n">
        <v>0</v>
      </c>
      <c r="O412" t="n">
        <v>0</v>
      </c>
      <c r="P412" t="n">
        <v>0</v>
      </c>
      <c r="Q412" t="n">
        <v>0</v>
      </c>
      <c r="R412" s="2" t="inlineStr"/>
    </row>
    <row r="413" ht="15" customHeight="1">
      <c r="A413" t="inlineStr">
        <is>
          <t>A 9141-2023</t>
        </is>
      </c>
      <c r="B413" s="1" t="n">
        <v>44974</v>
      </c>
      <c r="C413" s="1" t="n">
        <v>46204</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2630-2025</t>
        </is>
      </c>
      <c r="B414" s="1" t="n">
        <v>45675</v>
      </c>
      <c r="C414" s="1" t="n">
        <v>46204</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11678-2025</t>
        </is>
      </c>
      <c r="B415" s="1" t="n">
        <v>45726</v>
      </c>
      <c r="C415" s="1" t="n">
        <v>46204</v>
      </c>
      <c r="D415" t="inlineStr">
        <is>
          <t>DALARNAS LÄN</t>
        </is>
      </c>
      <c r="E415" t="inlineStr">
        <is>
          <t>LEKSAND</t>
        </is>
      </c>
      <c r="G415" t="n">
        <v>9.4</v>
      </c>
      <c r="H415" t="n">
        <v>0</v>
      </c>
      <c r="I415" t="n">
        <v>0</v>
      </c>
      <c r="J415" t="n">
        <v>0</v>
      </c>
      <c r="K415" t="n">
        <v>0</v>
      </c>
      <c r="L415" t="n">
        <v>0</v>
      </c>
      <c r="M415" t="n">
        <v>0</v>
      </c>
      <c r="N415" t="n">
        <v>0</v>
      </c>
      <c r="O415" t="n">
        <v>0</v>
      </c>
      <c r="P415" t="n">
        <v>0</v>
      </c>
      <c r="Q415" t="n">
        <v>0</v>
      </c>
      <c r="R415" s="2" t="inlineStr"/>
    </row>
    <row r="416" ht="15" customHeight="1">
      <c r="A416" t="inlineStr">
        <is>
          <t>A 60023-2025</t>
        </is>
      </c>
      <c r="B416" s="1" t="n">
        <v>45993</v>
      </c>
      <c r="C416" s="1" t="n">
        <v>46204</v>
      </c>
      <c r="D416" t="inlineStr">
        <is>
          <t>DALARNAS LÄN</t>
        </is>
      </c>
      <c r="E416" t="inlineStr">
        <is>
          <t>LEKSAND</t>
        </is>
      </c>
      <c r="G416" t="n">
        <v>6.5</v>
      </c>
      <c r="H416" t="n">
        <v>0</v>
      </c>
      <c r="I416" t="n">
        <v>0</v>
      </c>
      <c r="J416" t="n">
        <v>0</v>
      </c>
      <c r="K416" t="n">
        <v>0</v>
      </c>
      <c r="L416" t="n">
        <v>0</v>
      </c>
      <c r="M416" t="n">
        <v>0</v>
      </c>
      <c r="N416" t="n">
        <v>0</v>
      </c>
      <c r="O416" t="n">
        <v>0</v>
      </c>
      <c r="P416" t="n">
        <v>0</v>
      </c>
      <c r="Q416" t="n">
        <v>0</v>
      </c>
      <c r="R416" s="2" t="inlineStr"/>
    </row>
    <row r="417" ht="15" customHeight="1">
      <c r="A417" t="inlineStr">
        <is>
          <t>A 60067-2025</t>
        </is>
      </c>
      <c r="B417" s="1" t="n">
        <v>45993</v>
      </c>
      <c r="C417" s="1" t="n">
        <v>46204</v>
      </c>
      <c r="D417" t="inlineStr">
        <is>
          <t>DALARNAS LÄN</t>
        </is>
      </c>
      <c r="E417" t="inlineStr">
        <is>
          <t>LEKSAND</t>
        </is>
      </c>
      <c r="G417" t="n">
        <v>3.3</v>
      </c>
      <c r="H417" t="n">
        <v>0</v>
      </c>
      <c r="I417" t="n">
        <v>0</v>
      </c>
      <c r="J417" t="n">
        <v>0</v>
      </c>
      <c r="K417" t="n">
        <v>0</v>
      </c>
      <c r="L417" t="n">
        <v>0</v>
      </c>
      <c r="M417" t="n">
        <v>0</v>
      </c>
      <c r="N417" t="n">
        <v>0</v>
      </c>
      <c r="O417" t="n">
        <v>0</v>
      </c>
      <c r="P417" t="n">
        <v>0</v>
      </c>
      <c r="Q417" t="n">
        <v>0</v>
      </c>
      <c r="R417" s="2" t="inlineStr"/>
    </row>
    <row r="418" ht="15" customHeight="1">
      <c r="A418" t="inlineStr">
        <is>
          <t>A 16868-2026</t>
        </is>
      </c>
      <c r="B418" s="1" t="n">
        <v>46113</v>
      </c>
      <c r="C418" s="1" t="n">
        <v>46204</v>
      </c>
      <c r="D418" t="inlineStr">
        <is>
          <t>DALARNAS LÄN</t>
        </is>
      </c>
      <c r="E418" t="inlineStr">
        <is>
          <t>LEKSAND</t>
        </is>
      </c>
      <c r="F418" t="inlineStr">
        <is>
          <t>Bergvik skog väst AB</t>
        </is>
      </c>
      <c r="G418" t="n">
        <v>4.4</v>
      </c>
      <c r="H418" t="n">
        <v>0</v>
      </c>
      <c r="I418" t="n">
        <v>0</v>
      </c>
      <c r="J418" t="n">
        <v>0</v>
      </c>
      <c r="K418" t="n">
        <v>0</v>
      </c>
      <c r="L418" t="n">
        <v>0</v>
      </c>
      <c r="M418" t="n">
        <v>0</v>
      </c>
      <c r="N418" t="n">
        <v>0</v>
      </c>
      <c r="O418" t="n">
        <v>0</v>
      </c>
      <c r="P418" t="n">
        <v>0</v>
      </c>
      <c r="Q418" t="n">
        <v>0</v>
      </c>
      <c r="R418" s="2" t="inlineStr"/>
    </row>
    <row r="419" ht="15" customHeight="1">
      <c r="A419" t="inlineStr">
        <is>
          <t>A 60544-2025</t>
        </is>
      </c>
      <c r="B419" s="1" t="n">
        <v>45995</v>
      </c>
      <c r="C419" s="1" t="n">
        <v>46204</v>
      </c>
      <c r="D419" t="inlineStr">
        <is>
          <t>DALARNAS LÄN</t>
        </is>
      </c>
      <c r="E419" t="inlineStr">
        <is>
          <t>LEKSAND</t>
        </is>
      </c>
      <c r="G419" t="n">
        <v>4.4</v>
      </c>
      <c r="H419" t="n">
        <v>0</v>
      </c>
      <c r="I419" t="n">
        <v>0</v>
      </c>
      <c r="J419" t="n">
        <v>0</v>
      </c>
      <c r="K419" t="n">
        <v>0</v>
      </c>
      <c r="L419" t="n">
        <v>0</v>
      </c>
      <c r="M419" t="n">
        <v>0</v>
      </c>
      <c r="N419" t="n">
        <v>0</v>
      </c>
      <c r="O419" t="n">
        <v>0</v>
      </c>
      <c r="P419" t="n">
        <v>0</v>
      </c>
      <c r="Q419" t="n">
        <v>0</v>
      </c>
      <c r="R419" s="2" t="inlineStr"/>
    </row>
    <row r="420" ht="15" customHeight="1">
      <c r="A420" t="inlineStr">
        <is>
          <t>A 16861-2026</t>
        </is>
      </c>
      <c r="B420" s="1" t="n">
        <v>46113</v>
      </c>
      <c r="C420" s="1" t="n">
        <v>46204</v>
      </c>
      <c r="D420" t="inlineStr">
        <is>
          <t>DALARNAS LÄN</t>
        </is>
      </c>
      <c r="E420" t="inlineStr">
        <is>
          <t>LEKSAND</t>
        </is>
      </c>
      <c r="G420" t="n">
        <v>18.9</v>
      </c>
      <c r="H420" t="n">
        <v>0</v>
      </c>
      <c r="I420" t="n">
        <v>0</v>
      </c>
      <c r="J420" t="n">
        <v>0</v>
      </c>
      <c r="K420" t="n">
        <v>0</v>
      </c>
      <c r="L420" t="n">
        <v>0</v>
      </c>
      <c r="M420" t="n">
        <v>0</v>
      </c>
      <c r="N420" t="n">
        <v>0</v>
      </c>
      <c r="O420" t="n">
        <v>0</v>
      </c>
      <c r="P420" t="n">
        <v>0</v>
      </c>
      <c r="Q420" t="n">
        <v>0</v>
      </c>
      <c r="R420" s="2" t="inlineStr"/>
    </row>
    <row r="421" ht="15" customHeight="1">
      <c r="A421" t="inlineStr">
        <is>
          <t>A 33566-2023</t>
        </is>
      </c>
      <c r="B421" s="1" t="n">
        <v>45131</v>
      </c>
      <c r="C421" s="1" t="n">
        <v>46204</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60358-2025</t>
        </is>
      </c>
      <c r="B422" s="1" t="n">
        <v>45995</v>
      </c>
      <c r="C422" s="1" t="n">
        <v>46204</v>
      </c>
      <c r="D422" t="inlineStr">
        <is>
          <t>DALARNAS LÄN</t>
        </is>
      </c>
      <c r="E422" t="inlineStr">
        <is>
          <t>LEKSAND</t>
        </is>
      </c>
      <c r="G422" t="n">
        <v>2.9</v>
      </c>
      <c r="H422" t="n">
        <v>0</v>
      </c>
      <c r="I422" t="n">
        <v>0</v>
      </c>
      <c r="J422" t="n">
        <v>0</v>
      </c>
      <c r="K422" t="n">
        <v>0</v>
      </c>
      <c r="L422" t="n">
        <v>0</v>
      </c>
      <c r="M422" t="n">
        <v>0</v>
      </c>
      <c r="N422" t="n">
        <v>0</v>
      </c>
      <c r="O422" t="n">
        <v>0</v>
      </c>
      <c r="P422" t="n">
        <v>0</v>
      </c>
      <c r="Q422" t="n">
        <v>0</v>
      </c>
      <c r="R422" s="2" t="inlineStr"/>
    </row>
    <row r="423" ht="15" customHeight="1">
      <c r="A423" t="inlineStr">
        <is>
          <t>A 30611-2023</t>
        </is>
      </c>
      <c r="B423" s="1" t="n">
        <v>45112</v>
      </c>
      <c r="C423" s="1" t="n">
        <v>46204</v>
      </c>
      <c r="D423" t="inlineStr">
        <is>
          <t>DALARNAS LÄN</t>
        </is>
      </c>
      <c r="E423" t="inlineStr">
        <is>
          <t>LEKSAND</t>
        </is>
      </c>
      <c r="G423" t="n">
        <v>3.1</v>
      </c>
      <c r="H423" t="n">
        <v>0</v>
      </c>
      <c r="I423" t="n">
        <v>0</v>
      </c>
      <c r="J423" t="n">
        <v>0</v>
      </c>
      <c r="K423" t="n">
        <v>0</v>
      </c>
      <c r="L423" t="n">
        <v>0</v>
      </c>
      <c r="M423" t="n">
        <v>0</v>
      </c>
      <c r="N423" t="n">
        <v>0</v>
      </c>
      <c r="O423" t="n">
        <v>0</v>
      </c>
      <c r="P423" t="n">
        <v>0</v>
      </c>
      <c r="Q423" t="n">
        <v>0</v>
      </c>
      <c r="R423" s="2" t="inlineStr"/>
    </row>
    <row r="424" ht="15" customHeight="1">
      <c r="A424" t="inlineStr">
        <is>
          <t>A 60614-2025</t>
        </is>
      </c>
      <c r="B424" s="1" t="n">
        <v>45996</v>
      </c>
      <c r="C424" s="1" t="n">
        <v>46204</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61491-2025</t>
        </is>
      </c>
      <c r="B425" s="1" t="n">
        <v>46001</v>
      </c>
      <c r="C425" s="1" t="n">
        <v>46204</v>
      </c>
      <c r="D425" t="inlineStr">
        <is>
          <t>DALARNAS LÄN</t>
        </is>
      </c>
      <c r="E425" t="inlineStr">
        <is>
          <t>LEKSAND</t>
        </is>
      </c>
      <c r="G425" t="n">
        <v>1.8</v>
      </c>
      <c r="H425" t="n">
        <v>0</v>
      </c>
      <c r="I425" t="n">
        <v>0</v>
      </c>
      <c r="J425" t="n">
        <v>0</v>
      </c>
      <c r="K425" t="n">
        <v>0</v>
      </c>
      <c r="L425" t="n">
        <v>0</v>
      </c>
      <c r="M425" t="n">
        <v>0</v>
      </c>
      <c r="N425" t="n">
        <v>0</v>
      </c>
      <c r="O425" t="n">
        <v>0</v>
      </c>
      <c r="P425" t="n">
        <v>0</v>
      </c>
      <c r="Q425" t="n">
        <v>0</v>
      </c>
      <c r="R425" s="2" t="inlineStr"/>
    </row>
    <row r="426" ht="15" customHeight="1">
      <c r="A426" t="inlineStr">
        <is>
          <t>A 10299-2024</t>
        </is>
      </c>
      <c r="B426" s="1" t="n">
        <v>45365</v>
      </c>
      <c r="C426" s="1" t="n">
        <v>46204</v>
      </c>
      <c r="D426" t="inlineStr">
        <is>
          <t>DALARNAS LÄN</t>
        </is>
      </c>
      <c r="E426" t="inlineStr">
        <is>
          <t>LEKSAND</t>
        </is>
      </c>
      <c r="G426" t="n">
        <v>3.6</v>
      </c>
      <c r="H426" t="n">
        <v>0</v>
      </c>
      <c r="I426" t="n">
        <v>0</v>
      </c>
      <c r="J426" t="n">
        <v>0</v>
      </c>
      <c r="K426" t="n">
        <v>0</v>
      </c>
      <c r="L426" t="n">
        <v>0</v>
      </c>
      <c r="M426" t="n">
        <v>0</v>
      </c>
      <c r="N426" t="n">
        <v>0</v>
      </c>
      <c r="O426" t="n">
        <v>0</v>
      </c>
      <c r="P426" t="n">
        <v>0</v>
      </c>
      <c r="Q426" t="n">
        <v>0</v>
      </c>
      <c r="R426" s="2" t="inlineStr"/>
    </row>
    <row r="427" ht="15" customHeight="1">
      <c r="A427" t="inlineStr">
        <is>
          <t>A 16135-2023</t>
        </is>
      </c>
      <c r="B427" s="1" t="n">
        <v>45027</v>
      </c>
      <c r="C427" s="1" t="n">
        <v>46204</v>
      </c>
      <c r="D427" t="inlineStr">
        <is>
          <t>DALARNAS LÄN</t>
        </is>
      </c>
      <c r="E427" t="inlineStr">
        <is>
          <t>LEKSAND</t>
        </is>
      </c>
      <c r="G427" t="n">
        <v>4.9</v>
      </c>
      <c r="H427" t="n">
        <v>0</v>
      </c>
      <c r="I427" t="n">
        <v>0</v>
      </c>
      <c r="J427" t="n">
        <v>0</v>
      </c>
      <c r="K427" t="n">
        <v>0</v>
      </c>
      <c r="L427" t="n">
        <v>0</v>
      </c>
      <c r="M427" t="n">
        <v>0</v>
      </c>
      <c r="N427" t="n">
        <v>0</v>
      </c>
      <c r="O427" t="n">
        <v>0</v>
      </c>
      <c r="P427" t="n">
        <v>0</v>
      </c>
      <c r="Q427" t="n">
        <v>0</v>
      </c>
      <c r="R427" s="2" t="inlineStr"/>
    </row>
    <row r="428" ht="15" customHeight="1">
      <c r="A428" t="inlineStr">
        <is>
          <t>A 17290-2026</t>
        </is>
      </c>
      <c r="B428" s="1" t="n">
        <v>46119</v>
      </c>
      <c r="C428" s="1" t="n">
        <v>46204</v>
      </c>
      <c r="D428" t="inlineStr">
        <is>
          <t>DALARNAS LÄN</t>
        </is>
      </c>
      <c r="E428" t="inlineStr">
        <is>
          <t>LEKSAND</t>
        </is>
      </c>
      <c r="G428" t="n">
        <v>2.2</v>
      </c>
      <c r="H428" t="n">
        <v>0</v>
      </c>
      <c r="I428" t="n">
        <v>0</v>
      </c>
      <c r="J428" t="n">
        <v>0</v>
      </c>
      <c r="K428" t="n">
        <v>0</v>
      </c>
      <c r="L428" t="n">
        <v>0</v>
      </c>
      <c r="M428" t="n">
        <v>0</v>
      </c>
      <c r="N428" t="n">
        <v>0</v>
      </c>
      <c r="O428" t="n">
        <v>0</v>
      </c>
      <c r="P428" t="n">
        <v>0</v>
      </c>
      <c r="Q428" t="n">
        <v>0</v>
      </c>
      <c r="R428" s="2" t="inlineStr"/>
    </row>
    <row r="429" ht="15" customHeight="1">
      <c r="A429" t="inlineStr">
        <is>
          <t>A 61684-2025</t>
        </is>
      </c>
      <c r="B429" s="1" t="n">
        <v>46002</v>
      </c>
      <c r="C429" s="1" t="n">
        <v>46204</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59859-2023</t>
        </is>
      </c>
      <c r="B430" s="1" t="n">
        <v>45257</v>
      </c>
      <c r="C430" s="1" t="n">
        <v>46204</v>
      </c>
      <c r="D430" t="inlineStr">
        <is>
          <t>DALARNAS LÄN</t>
        </is>
      </c>
      <c r="E430" t="inlineStr">
        <is>
          <t>LEKSAND</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39136-2023</t>
        </is>
      </c>
      <c r="B431" s="1" t="n">
        <v>45165</v>
      </c>
      <c r="C431" s="1" t="n">
        <v>46204</v>
      </c>
      <c r="D431" t="inlineStr">
        <is>
          <t>DALARNAS LÄN</t>
        </is>
      </c>
      <c r="E431" t="inlineStr">
        <is>
          <t>LEKSAND</t>
        </is>
      </c>
      <c r="G431" t="n">
        <v>0.3</v>
      </c>
      <c r="H431" t="n">
        <v>0</v>
      </c>
      <c r="I431" t="n">
        <v>0</v>
      </c>
      <c r="J431" t="n">
        <v>0</v>
      </c>
      <c r="K431" t="n">
        <v>0</v>
      </c>
      <c r="L431" t="n">
        <v>0</v>
      </c>
      <c r="M431" t="n">
        <v>0</v>
      </c>
      <c r="N431" t="n">
        <v>0</v>
      </c>
      <c r="O431" t="n">
        <v>0</v>
      </c>
      <c r="P431" t="n">
        <v>0</v>
      </c>
      <c r="Q431" t="n">
        <v>0</v>
      </c>
      <c r="R431" s="2" t="inlineStr"/>
    </row>
    <row r="432" ht="15" customHeight="1">
      <c r="A432" t="inlineStr">
        <is>
          <t>A 53193-2024</t>
        </is>
      </c>
      <c r="B432" s="1" t="n">
        <v>45610</v>
      </c>
      <c r="C432" s="1" t="n">
        <v>46204</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62301-2025</t>
        </is>
      </c>
      <c r="B433" s="1" t="n">
        <v>46006</v>
      </c>
      <c r="C433" s="1" t="n">
        <v>46204</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62306-2025</t>
        </is>
      </c>
      <c r="B434" s="1" t="n">
        <v>46006</v>
      </c>
      <c r="C434" s="1" t="n">
        <v>46204</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62337-2025</t>
        </is>
      </c>
      <c r="B435" s="1" t="n">
        <v>46006</v>
      </c>
      <c r="C435" s="1" t="n">
        <v>46204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23368-2026</t>
        </is>
      </c>
      <c r="B436" s="1" t="n">
        <v>46162</v>
      </c>
      <c r="C436" s="1" t="n">
        <v>46204</v>
      </c>
      <c r="D436" t="inlineStr">
        <is>
          <t>DALARNAS LÄN</t>
        </is>
      </c>
      <c r="E436" t="inlineStr">
        <is>
          <t>LEKSAND</t>
        </is>
      </c>
      <c r="G436" t="n">
        <v>0.6</v>
      </c>
      <c r="H436" t="n">
        <v>0</v>
      </c>
      <c r="I436" t="n">
        <v>0</v>
      </c>
      <c r="J436" t="n">
        <v>0</v>
      </c>
      <c r="K436" t="n">
        <v>0</v>
      </c>
      <c r="L436" t="n">
        <v>0</v>
      </c>
      <c r="M436" t="n">
        <v>0</v>
      </c>
      <c r="N436" t="n">
        <v>0</v>
      </c>
      <c r="O436" t="n">
        <v>0</v>
      </c>
      <c r="P436" t="n">
        <v>0</v>
      </c>
      <c r="Q436" t="n">
        <v>0</v>
      </c>
      <c r="R436" s="2" t="inlineStr"/>
    </row>
    <row r="437" ht="15" customHeight="1">
      <c r="A437" t="inlineStr">
        <is>
          <t>A 62322-2025</t>
        </is>
      </c>
      <c r="B437" s="1" t="n">
        <v>46006</v>
      </c>
      <c r="C437" s="1" t="n">
        <v>46204</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14615-2024</t>
        </is>
      </c>
      <c r="B438" s="1" t="n">
        <v>45397</v>
      </c>
      <c r="C438" s="1" t="n">
        <v>46204</v>
      </c>
      <c r="D438" t="inlineStr">
        <is>
          <t>DALARNAS LÄN</t>
        </is>
      </c>
      <c r="E438" t="inlineStr">
        <is>
          <t>LEKSAND</t>
        </is>
      </c>
      <c r="G438" t="n">
        <v>0.4</v>
      </c>
      <c r="H438" t="n">
        <v>0</v>
      </c>
      <c r="I438" t="n">
        <v>0</v>
      </c>
      <c r="J438" t="n">
        <v>0</v>
      </c>
      <c r="K438" t="n">
        <v>0</v>
      </c>
      <c r="L438" t="n">
        <v>0</v>
      </c>
      <c r="M438" t="n">
        <v>0</v>
      </c>
      <c r="N438" t="n">
        <v>0</v>
      </c>
      <c r="O438" t="n">
        <v>0</v>
      </c>
      <c r="P438" t="n">
        <v>0</v>
      </c>
      <c r="Q438" t="n">
        <v>0</v>
      </c>
      <c r="R438" s="2" t="inlineStr"/>
    </row>
    <row r="439" ht="15" customHeight="1">
      <c r="A439" t="inlineStr">
        <is>
          <t>A 62574-2025</t>
        </is>
      </c>
      <c r="B439" s="1" t="n">
        <v>46007</v>
      </c>
      <c r="C439" s="1" t="n">
        <v>46204</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62556-2025</t>
        </is>
      </c>
      <c r="B440" s="1" t="n">
        <v>46007</v>
      </c>
      <c r="C440" s="1" t="n">
        <v>46204</v>
      </c>
      <c r="D440" t="inlineStr">
        <is>
          <t>DALARNAS LÄN</t>
        </is>
      </c>
      <c r="E440" t="inlineStr">
        <is>
          <t>LEKSAND</t>
        </is>
      </c>
      <c r="G440" t="n">
        <v>0.7</v>
      </c>
      <c r="H440" t="n">
        <v>0</v>
      </c>
      <c r="I440" t="n">
        <v>0</v>
      </c>
      <c r="J440" t="n">
        <v>0</v>
      </c>
      <c r="K440" t="n">
        <v>0</v>
      </c>
      <c r="L440" t="n">
        <v>0</v>
      </c>
      <c r="M440" t="n">
        <v>0</v>
      </c>
      <c r="N440" t="n">
        <v>0</v>
      </c>
      <c r="O440" t="n">
        <v>0</v>
      </c>
      <c r="P440" t="n">
        <v>0</v>
      </c>
      <c r="Q440" t="n">
        <v>0</v>
      </c>
      <c r="R440" s="2" t="inlineStr"/>
    </row>
    <row r="441" ht="15" customHeight="1">
      <c r="A441" t="inlineStr">
        <is>
          <t>A 23663-2024</t>
        </is>
      </c>
      <c r="B441" s="1" t="n">
        <v>45454</v>
      </c>
      <c r="C441" s="1" t="n">
        <v>46204</v>
      </c>
      <c r="D441" t="inlineStr">
        <is>
          <t>DALARNAS LÄN</t>
        </is>
      </c>
      <c r="E441" t="inlineStr">
        <is>
          <t>LEKSAND</t>
        </is>
      </c>
      <c r="G441" t="n">
        <v>2.5</v>
      </c>
      <c r="H441" t="n">
        <v>0</v>
      </c>
      <c r="I441" t="n">
        <v>0</v>
      </c>
      <c r="J441" t="n">
        <v>0</v>
      </c>
      <c r="K441" t="n">
        <v>0</v>
      </c>
      <c r="L441" t="n">
        <v>0</v>
      </c>
      <c r="M441" t="n">
        <v>0</v>
      </c>
      <c r="N441" t="n">
        <v>0</v>
      </c>
      <c r="O441" t="n">
        <v>0</v>
      </c>
      <c r="P441" t="n">
        <v>0</v>
      </c>
      <c r="Q441" t="n">
        <v>0</v>
      </c>
      <c r="R441" s="2" t="inlineStr"/>
    </row>
    <row r="442" ht="15" customHeight="1">
      <c r="A442" t="inlineStr">
        <is>
          <t>A 62560-2025</t>
        </is>
      </c>
      <c r="B442" s="1" t="n">
        <v>46007</v>
      </c>
      <c r="C442" s="1" t="n">
        <v>46204</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62557-2025</t>
        </is>
      </c>
      <c r="B443" s="1" t="n">
        <v>46007</v>
      </c>
      <c r="C443" s="1" t="n">
        <v>46204</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17590-2026</t>
        </is>
      </c>
      <c r="B444" s="1" t="n">
        <v>46121</v>
      </c>
      <c r="C444" s="1" t="n">
        <v>46204</v>
      </c>
      <c r="D444" t="inlineStr">
        <is>
          <t>DALARNAS LÄN</t>
        </is>
      </c>
      <c r="E444" t="inlineStr">
        <is>
          <t>LEKSAND</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40230-2023</t>
        </is>
      </c>
      <c r="B445" s="1" t="n">
        <v>45169</v>
      </c>
      <c r="C445" s="1" t="n">
        <v>46204</v>
      </c>
      <c r="D445" t="inlineStr">
        <is>
          <t>DALARNAS LÄN</t>
        </is>
      </c>
      <c r="E445" t="inlineStr">
        <is>
          <t>LEKSAND</t>
        </is>
      </c>
      <c r="G445" t="n">
        <v>0.5</v>
      </c>
      <c r="H445" t="n">
        <v>0</v>
      </c>
      <c r="I445" t="n">
        <v>0</v>
      </c>
      <c r="J445" t="n">
        <v>0</v>
      </c>
      <c r="K445" t="n">
        <v>0</v>
      </c>
      <c r="L445" t="n">
        <v>0</v>
      </c>
      <c r="M445" t="n">
        <v>0</v>
      </c>
      <c r="N445" t="n">
        <v>0</v>
      </c>
      <c r="O445" t="n">
        <v>0</v>
      </c>
      <c r="P445" t="n">
        <v>0</v>
      </c>
      <c r="Q445" t="n">
        <v>0</v>
      </c>
      <c r="R445" s="2" t="inlineStr"/>
    </row>
    <row r="446" ht="15" customHeight="1">
      <c r="A446" t="inlineStr">
        <is>
          <t>A 63360-2025</t>
        </is>
      </c>
      <c r="B446" s="1" t="n">
        <v>46010</v>
      </c>
      <c r="C446" s="1" t="n">
        <v>46204</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11712-2025</t>
        </is>
      </c>
      <c r="B447" s="1" t="n">
        <v>45727</v>
      </c>
      <c r="C447" s="1" t="n">
        <v>46204</v>
      </c>
      <c r="D447" t="inlineStr">
        <is>
          <t>DALARNAS LÄN</t>
        </is>
      </c>
      <c r="E447" t="inlineStr">
        <is>
          <t>LEKSAND</t>
        </is>
      </c>
      <c r="G447" t="n">
        <v>6</v>
      </c>
      <c r="H447" t="n">
        <v>0</v>
      </c>
      <c r="I447" t="n">
        <v>0</v>
      </c>
      <c r="J447" t="n">
        <v>0</v>
      </c>
      <c r="K447" t="n">
        <v>0</v>
      </c>
      <c r="L447" t="n">
        <v>0</v>
      </c>
      <c r="M447" t="n">
        <v>0</v>
      </c>
      <c r="N447" t="n">
        <v>0</v>
      </c>
      <c r="O447" t="n">
        <v>0</v>
      </c>
      <c r="P447" t="n">
        <v>0</v>
      </c>
      <c r="Q447" t="n">
        <v>0</v>
      </c>
      <c r="R447" s="2" t="inlineStr"/>
    </row>
    <row r="448" ht="15" customHeight="1">
      <c r="A448" t="inlineStr">
        <is>
          <t>A 17849-2026</t>
        </is>
      </c>
      <c r="B448" s="1" t="n">
        <v>46122</v>
      </c>
      <c r="C448" s="1" t="n">
        <v>46204</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63260-2025</t>
        </is>
      </c>
      <c r="B449" s="1" t="n">
        <v>46010</v>
      </c>
      <c r="C449" s="1" t="n">
        <v>46204</v>
      </c>
      <c r="D449" t="inlineStr">
        <is>
          <t>DALARNAS LÄN</t>
        </is>
      </c>
      <c r="E449" t="inlineStr">
        <is>
          <t>LEKSAND</t>
        </is>
      </c>
      <c r="G449" t="n">
        <v>11.7</v>
      </c>
      <c r="H449" t="n">
        <v>0</v>
      </c>
      <c r="I449" t="n">
        <v>0</v>
      </c>
      <c r="J449" t="n">
        <v>0</v>
      </c>
      <c r="K449" t="n">
        <v>0</v>
      </c>
      <c r="L449" t="n">
        <v>0</v>
      </c>
      <c r="M449" t="n">
        <v>0</v>
      </c>
      <c r="N449" t="n">
        <v>0</v>
      </c>
      <c r="O449" t="n">
        <v>0</v>
      </c>
      <c r="P449" t="n">
        <v>0</v>
      </c>
      <c r="Q449" t="n">
        <v>0</v>
      </c>
      <c r="R449" s="2" t="inlineStr"/>
    </row>
    <row r="450" ht="15" customHeight="1">
      <c r="A450" t="inlineStr">
        <is>
          <t>A 42230-2023</t>
        </is>
      </c>
      <c r="B450" s="1" t="n">
        <v>45180</v>
      </c>
      <c r="C450" s="1" t="n">
        <v>46204</v>
      </c>
      <c r="D450" t="inlineStr">
        <is>
          <t>DALARNAS LÄN</t>
        </is>
      </c>
      <c r="E450" t="inlineStr">
        <is>
          <t>LEKSAND</t>
        </is>
      </c>
      <c r="G450" t="n">
        <v>0.6</v>
      </c>
      <c r="H450" t="n">
        <v>0</v>
      </c>
      <c r="I450" t="n">
        <v>0</v>
      </c>
      <c r="J450" t="n">
        <v>0</v>
      </c>
      <c r="K450" t="n">
        <v>0</v>
      </c>
      <c r="L450" t="n">
        <v>0</v>
      </c>
      <c r="M450" t="n">
        <v>0</v>
      </c>
      <c r="N450" t="n">
        <v>0</v>
      </c>
      <c r="O450" t="n">
        <v>0</v>
      </c>
      <c r="P450" t="n">
        <v>0</v>
      </c>
      <c r="Q450" t="n">
        <v>0</v>
      </c>
      <c r="R450" s="2" t="inlineStr"/>
    </row>
    <row r="451" ht="15" customHeight="1">
      <c r="A451" t="inlineStr">
        <is>
          <t>A 63592-2025</t>
        </is>
      </c>
      <c r="B451" s="1" t="n">
        <v>46013</v>
      </c>
      <c r="C451" s="1" t="n">
        <v>46204</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63757-2025</t>
        </is>
      </c>
      <c r="B452" s="1" t="n">
        <v>46018</v>
      </c>
      <c r="C452" s="1" t="n">
        <v>46204</v>
      </c>
      <c r="D452" t="inlineStr">
        <is>
          <t>DALARNAS LÄN</t>
        </is>
      </c>
      <c r="E452" t="inlineStr">
        <is>
          <t>LEKSAND</t>
        </is>
      </c>
      <c r="G452" t="n">
        <v>4</v>
      </c>
      <c r="H452" t="n">
        <v>0</v>
      </c>
      <c r="I452" t="n">
        <v>0</v>
      </c>
      <c r="J452" t="n">
        <v>0</v>
      </c>
      <c r="K452" t="n">
        <v>0</v>
      </c>
      <c r="L452" t="n">
        <v>0</v>
      </c>
      <c r="M452" t="n">
        <v>0</v>
      </c>
      <c r="N452" t="n">
        <v>0</v>
      </c>
      <c r="O452" t="n">
        <v>0</v>
      </c>
      <c r="P452" t="n">
        <v>0</v>
      </c>
      <c r="Q452" t="n">
        <v>0</v>
      </c>
      <c r="R452" s="2" t="inlineStr"/>
    </row>
    <row r="453" ht="15" customHeight="1">
      <c r="A453" t="inlineStr">
        <is>
          <t>A 63906-2025</t>
        </is>
      </c>
      <c r="B453" s="1" t="n">
        <v>46020</v>
      </c>
      <c r="C453" s="1" t="n">
        <v>46204</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63967-2025</t>
        </is>
      </c>
      <c r="B454" s="1" t="n">
        <v>46021</v>
      </c>
      <c r="C454" s="1" t="n">
        <v>46204</v>
      </c>
      <c r="D454" t="inlineStr">
        <is>
          <t>DALARNAS LÄN</t>
        </is>
      </c>
      <c r="E454" t="inlineStr">
        <is>
          <t>LEKSAND</t>
        </is>
      </c>
      <c r="G454" t="n">
        <v>6.4</v>
      </c>
      <c r="H454" t="n">
        <v>0</v>
      </c>
      <c r="I454" t="n">
        <v>0</v>
      </c>
      <c r="J454" t="n">
        <v>0</v>
      </c>
      <c r="K454" t="n">
        <v>0</v>
      </c>
      <c r="L454" t="n">
        <v>0</v>
      </c>
      <c r="M454" t="n">
        <v>0</v>
      </c>
      <c r="N454" t="n">
        <v>0</v>
      </c>
      <c r="O454" t="n">
        <v>0</v>
      </c>
      <c r="P454" t="n">
        <v>0</v>
      </c>
      <c r="Q454" t="n">
        <v>0</v>
      </c>
      <c r="R454" s="2" t="inlineStr"/>
    </row>
    <row r="455" ht="15" customHeight="1">
      <c r="A455" t="inlineStr">
        <is>
          <t>A 63905-2025</t>
        </is>
      </c>
      <c r="B455" s="1" t="n">
        <v>46020</v>
      </c>
      <c r="C455" s="1" t="n">
        <v>46204</v>
      </c>
      <c r="D455" t="inlineStr">
        <is>
          <t>DALARNAS LÄN</t>
        </is>
      </c>
      <c r="E455" t="inlineStr">
        <is>
          <t>LEKSAND</t>
        </is>
      </c>
      <c r="G455" t="n">
        <v>1</v>
      </c>
      <c r="H455" t="n">
        <v>0</v>
      </c>
      <c r="I455" t="n">
        <v>0</v>
      </c>
      <c r="J455" t="n">
        <v>0</v>
      </c>
      <c r="K455" t="n">
        <v>0</v>
      </c>
      <c r="L455" t="n">
        <v>0</v>
      </c>
      <c r="M455" t="n">
        <v>0</v>
      </c>
      <c r="N455" t="n">
        <v>0</v>
      </c>
      <c r="O455" t="n">
        <v>0</v>
      </c>
      <c r="P455" t="n">
        <v>0</v>
      </c>
      <c r="Q455" t="n">
        <v>0</v>
      </c>
      <c r="R455" s="2" t="inlineStr"/>
    </row>
    <row r="456" ht="15" customHeight="1">
      <c r="A456" t="inlineStr">
        <is>
          <t>A 64096-2025</t>
        </is>
      </c>
      <c r="B456" s="1" t="n">
        <v>46021</v>
      </c>
      <c r="C456" s="1" t="n">
        <v>46204</v>
      </c>
      <c r="D456" t="inlineStr">
        <is>
          <t>DALARNAS LÄN</t>
        </is>
      </c>
      <c r="E456" t="inlineStr">
        <is>
          <t>LEKSAND</t>
        </is>
      </c>
      <c r="G456" t="n">
        <v>4.5</v>
      </c>
      <c r="H456" t="n">
        <v>0</v>
      </c>
      <c r="I456" t="n">
        <v>0</v>
      </c>
      <c r="J456" t="n">
        <v>0</v>
      </c>
      <c r="K456" t="n">
        <v>0</v>
      </c>
      <c r="L456" t="n">
        <v>0</v>
      </c>
      <c r="M456" t="n">
        <v>0</v>
      </c>
      <c r="N456" t="n">
        <v>0</v>
      </c>
      <c r="O456" t="n">
        <v>0</v>
      </c>
      <c r="P456" t="n">
        <v>0</v>
      </c>
      <c r="Q456" t="n">
        <v>0</v>
      </c>
      <c r="R456" s="2" t="inlineStr"/>
    </row>
    <row r="457" ht="15" customHeight="1">
      <c r="A457" t="inlineStr">
        <is>
          <t>A 24121-2026</t>
        </is>
      </c>
      <c r="B457" s="1" t="n">
        <v>46168</v>
      </c>
      <c r="C457" s="1" t="n">
        <v>46204</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55643-2024</t>
        </is>
      </c>
      <c r="B458" s="1" t="n">
        <v>45621</v>
      </c>
      <c r="C458" s="1" t="n">
        <v>46204</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133-2026</t>
        </is>
      </c>
      <c r="B459" s="1" t="n">
        <v>46024</v>
      </c>
      <c r="C459" s="1" t="n">
        <v>46204</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22281-2024</t>
        </is>
      </c>
      <c r="B460" s="1" t="n">
        <v>45446</v>
      </c>
      <c r="C460" s="1" t="n">
        <v>46204</v>
      </c>
      <c r="D460" t="inlineStr">
        <is>
          <t>DALARNAS LÄN</t>
        </is>
      </c>
      <c r="E460" t="inlineStr">
        <is>
          <t>LEKSAND</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94-2026</t>
        </is>
      </c>
      <c r="B461" s="1" t="n">
        <v>46024</v>
      </c>
      <c r="C461" s="1" t="n">
        <v>46204</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319-2026</t>
        </is>
      </c>
      <c r="B462" s="1" t="n">
        <v>46027</v>
      </c>
      <c r="C462" s="1" t="n">
        <v>46204</v>
      </c>
      <c r="D462" t="inlineStr">
        <is>
          <t>DALARNAS LÄN</t>
        </is>
      </c>
      <c r="E462" t="inlineStr">
        <is>
          <t>LEKSAND</t>
        </is>
      </c>
      <c r="G462" t="n">
        <v>12.9</v>
      </c>
      <c r="H462" t="n">
        <v>0</v>
      </c>
      <c r="I462" t="n">
        <v>0</v>
      </c>
      <c r="J462" t="n">
        <v>0</v>
      </c>
      <c r="K462" t="n">
        <v>0</v>
      </c>
      <c r="L462" t="n">
        <v>0</v>
      </c>
      <c r="M462" t="n">
        <v>0</v>
      </c>
      <c r="N462" t="n">
        <v>0</v>
      </c>
      <c r="O462" t="n">
        <v>0</v>
      </c>
      <c r="P462" t="n">
        <v>0</v>
      </c>
      <c r="Q462" t="n">
        <v>0</v>
      </c>
      <c r="R462" s="2" t="inlineStr"/>
    </row>
    <row r="463" ht="15" customHeight="1">
      <c r="A463" t="inlineStr">
        <is>
          <t>A 720-2026</t>
        </is>
      </c>
      <c r="B463" s="1" t="n">
        <v>46029</v>
      </c>
      <c r="C463" s="1" t="n">
        <v>46204</v>
      </c>
      <c r="D463" t="inlineStr">
        <is>
          <t>DALARNAS LÄN</t>
        </is>
      </c>
      <c r="E463" t="inlineStr">
        <is>
          <t>LEKSAND</t>
        </is>
      </c>
      <c r="G463" t="n">
        <v>6.7</v>
      </c>
      <c r="H463" t="n">
        <v>0</v>
      </c>
      <c r="I463" t="n">
        <v>0</v>
      </c>
      <c r="J463" t="n">
        <v>0</v>
      </c>
      <c r="K463" t="n">
        <v>0</v>
      </c>
      <c r="L463" t="n">
        <v>0</v>
      </c>
      <c r="M463" t="n">
        <v>0</v>
      </c>
      <c r="N463" t="n">
        <v>0</v>
      </c>
      <c r="O463" t="n">
        <v>0</v>
      </c>
      <c r="P463" t="n">
        <v>0</v>
      </c>
      <c r="Q463" t="n">
        <v>0</v>
      </c>
      <c r="R463" s="2" t="inlineStr"/>
    </row>
    <row r="464" ht="15" customHeight="1">
      <c r="A464" t="inlineStr">
        <is>
          <t>A 435-2026</t>
        </is>
      </c>
      <c r="B464" s="1" t="n">
        <v>46029</v>
      </c>
      <c r="C464" s="1" t="n">
        <v>46204</v>
      </c>
      <c r="D464" t="inlineStr">
        <is>
          <t>DALARNAS LÄN</t>
        </is>
      </c>
      <c r="E464" t="inlineStr">
        <is>
          <t>LEKSAND</t>
        </is>
      </c>
      <c r="G464" t="n">
        <v>3.5</v>
      </c>
      <c r="H464" t="n">
        <v>0</v>
      </c>
      <c r="I464" t="n">
        <v>0</v>
      </c>
      <c r="J464" t="n">
        <v>0</v>
      </c>
      <c r="K464" t="n">
        <v>0</v>
      </c>
      <c r="L464" t="n">
        <v>0</v>
      </c>
      <c r="M464" t="n">
        <v>0</v>
      </c>
      <c r="N464" t="n">
        <v>0</v>
      </c>
      <c r="O464" t="n">
        <v>0</v>
      </c>
      <c r="P464" t="n">
        <v>0</v>
      </c>
      <c r="Q464" t="n">
        <v>0</v>
      </c>
      <c r="R464" s="2" t="inlineStr"/>
    </row>
    <row r="465" ht="15" customHeight="1">
      <c r="A465" t="inlineStr">
        <is>
          <t>A 521-2026</t>
        </is>
      </c>
      <c r="B465" s="1" t="n">
        <v>46029</v>
      </c>
      <c r="C465" s="1" t="n">
        <v>46204</v>
      </c>
      <c r="D465" t="inlineStr">
        <is>
          <t>DALARNAS LÄN</t>
        </is>
      </c>
      <c r="E465" t="inlineStr">
        <is>
          <t>LEKSAND</t>
        </is>
      </c>
      <c r="G465" t="n">
        <v>3.4</v>
      </c>
      <c r="H465" t="n">
        <v>0</v>
      </c>
      <c r="I465" t="n">
        <v>0</v>
      </c>
      <c r="J465" t="n">
        <v>0</v>
      </c>
      <c r="K465" t="n">
        <v>0</v>
      </c>
      <c r="L465" t="n">
        <v>0</v>
      </c>
      <c r="M465" t="n">
        <v>0</v>
      </c>
      <c r="N465" t="n">
        <v>0</v>
      </c>
      <c r="O465" t="n">
        <v>0</v>
      </c>
      <c r="P465" t="n">
        <v>0</v>
      </c>
      <c r="Q465" t="n">
        <v>0</v>
      </c>
      <c r="R465" s="2" t="inlineStr"/>
    </row>
    <row r="466" ht="15" customHeight="1">
      <c r="A466" t="inlineStr">
        <is>
          <t>A 56016-2024</t>
        </is>
      </c>
      <c r="B466" s="1" t="n">
        <v>45623</v>
      </c>
      <c r="C466" s="1" t="n">
        <v>46204</v>
      </c>
      <c r="D466" t="inlineStr">
        <is>
          <t>DALARNAS LÄN</t>
        </is>
      </c>
      <c r="E466" t="inlineStr">
        <is>
          <t>LEKSAND</t>
        </is>
      </c>
      <c r="G466" t="n">
        <v>6.1</v>
      </c>
      <c r="H466" t="n">
        <v>0</v>
      </c>
      <c r="I466" t="n">
        <v>0</v>
      </c>
      <c r="J466" t="n">
        <v>0</v>
      </c>
      <c r="K466" t="n">
        <v>0</v>
      </c>
      <c r="L466" t="n">
        <v>0</v>
      </c>
      <c r="M466" t="n">
        <v>0</v>
      </c>
      <c r="N466" t="n">
        <v>0</v>
      </c>
      <c r="O466" t="n">
        <v>0</v>
      </c>
      <c r="P466" t="n">
        <v>0</v>
      </c>
      <c r="Q466" t="n">
        <v>0</v>
      </c>
      <c r="R466" s="2" t="inlineStr"/>
    </row>
    <row r="467" ht="15" customHeight="1">
      <c r="A467" t="inlineStr">
        <is>
          <t>A 18342-2026</t>
        </is>
      </c>
      <c r="B467" s="1" t="n">
        <v>46126</v>
      </c>
      <c r="C467" s="1" t="n">
        <v>46204</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24126-2026</t>
        </is>
      </c>
      <c r="B468" s="1" t="n">
        <v>46168</v>
      </c>
      <c r="C468" s="1" t="n">
        <v>46204</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5873-2025</t>
        </is>
      </c>
      <c r="B469" s="1" t="n">
        <v>45695</v>
      </c>
      <c r="C469" s="1" t="n">
        <v>46204</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30994-2023</t>
        </is>
      </c>
      <c r="B470" s="1" t="n">
        <v>45113</v>
      </c>
      <c r="C470" s="1" t="n">
        <v>46204</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23837-2026</t>
        </is>
      </c>
      <c r="B471" s="1" t="n">
        <v>46167</v>
      </c>
      <c r="C471" s="1" t="n">
        <v>46204</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33306-2023</t>
        </is>
      </c>
      <c r="B472" s="1" t="n">
        <v>45127</v>
      </c>
      <c r="C472" s="1" t="n">
        <v>46204</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33316-2023</t>
        </is>
      </c>
      <c r="B473" s="1" t="n">
        <v>45127</v>
      </c>
      <c r="C473" s="1" t="n">
        <v>46204</v>
      </c>
      <c r="D473" t="inlineStr">
        <is>
          <t>DALARNAS LÄN</t>
        </is>
      </c>
      <c r="E473" t="inlineStr">
        <is>
          <t>LEKSAND</t>
        </is>
      </c>
      <c r="G473" t="n">
        <v>8.9</v>
      </c>
      <c r="H473" t="n">
        <v>0</v>
      </c>
      <c r="I473" t="n">
        <v>0</v>
      </c>
      <c r="J473" t="n">
        <v>0</v>
      </c>
      <c r="K473" t="n">
        <v>0</v>
      </c>
      <c r="L473" t="n">
        <v>0</v>
      </c>
      <c r="M473" t="n">
        <v>0</v>
      </c>
      <c r="N473" t="n">
        <v>0</v>
      </c>
      <c r="O473" t="n">
        <v>0</v>
      </c>
      <c r="P473" t="n">
        <v>0</v>
      </c>
      <c r="Q473" t="n">
        <v>0</v>
      </c>
      <c r="R473" s="2" t="inlineStr"/>
    </row>
    <row r="474" ht="15" customHeight="1">
      <c r="A474" t="inlineStr">
        <is>
          <t>A 37832-2023</t>
        </is>
      </c>
      <c r="B474" s="1" t="n">
        <v>45160</v>
      </c>
      <c r="C474" s="1" t="n">
        <v>46204</v>
      </c>
      <c r="D474" t="inlineStr">
        <is>
          <t>DALARNAS LÄN</t>
        </is>
      </c>
      <c r="E474" t="inlineStr">
        <is>
          <t>LEKSAND</t>
        </is>
      </c>
      <c r="G474" t="n">
        <v>2</v>
      </c>
      <c r="H474" t="n">
        <v>0</v>
      </c>
      <c r="I474" t="n">
        <v>0</v>
      </c>
      <c r="J474" t="n">
        <v>0</v>
      </c>
      <c r="K474" t="n">
        <v>0</v>
      </c>
      <c r="L474" t="n">
        <v>0</v>
      </c>
      <c r="M474" t="n">
        <v>0</v>
      </c>
      <c r="N474" t="n">
        <v>0</v>
      </c>
      <c r="O474" t="n">
        <v>0</v>
      </c>
      <c r="P474" t="n">
        <v>0</v>
      </c>
      <c r="Q474" t="n">
        <v>0</v>
      </c>
      <c r="R474" s="2" t="inlineStr"/>
    </row>
    <row r="475" ht="15" customHeight="1">
      <c r="A475" t="inlineStr">
        <is>
          <t>A 1960-2026</t>
        </is>
      </c>
      <c r="B475" s="1" t="n">
        <v>46035</v>
      </c>
      <c r="C475" s="1" t="n">
        <v>46204</v>
      </c>
      <c r="D475" t="inlineStr">
        <is>
          <t>DALARNAS LÄN</t>
        </is>
      </c>
      <c r="E475" t="inlineStr">
        <is>
          <t>LEKSAND</t>
        </is>
      </c>
      <c r="G475" t="n">
        <v>4.3</v>
      </c>
      <c r="H475" t="n">
        <v>0</v>
      </c>
      <c r="I475" t="n">
        <v>0</v>
      </c>
      <c r="J475" t="n">
        <v>0</v>
      </c>
      <c r="K475" t="n">
        <v>0</v>
      </c>
      <c r="L475" t="n">
        <v>0</v>
      </c>
      <c r="M475" t="n">
        <v>0</v>
      </c>
      <c r="N475" t="n">
        <v>0</v>
      </c>
      <c r="O475" t="n">
        <v>0</v>
      </c>
      <c r="P475" t="n">
        <v>0</v>
      </c>
      <c r="Q475" t="n">
        <v>0</v>
      </c>
      <c r="R475" s="2" t="inlineStr"/>
    </row>
    <row r="476" ht="15" customHeight="1">
      <c r="A476" t="inlineStr">
        <is>
          <t>A 1899-2026</t>
        </is>
      </c>
      <c r="B476" s="1" t="n">
        <v>46035</v>
      </c>
      <c r="C476" s="1" t="n">
        <v>46204</v>
      </c>
      <c r="D476" t="inlineStr">
        <is>
          <t>DALARNAS LÄN</t>
        </is>
      </c>
      <c r="E476" t="inlineStr">
        <is>
          <t>LEKSAND</t>
        </is>
      </c>
      <c r="G476" t="n">
        <v>3.6</v>
      </c>
      <c r="H476" t="n">
        <v>0</v>
      </c>
      <c r="I476" t="n">
        <v>0</v>
      </c>
      <c r="J476" t="n">
        <v>0</v>
      </c>
      <c r="K476" t="n">
        <v>0</v>
      </c>
      <c r="L476" t="n">
        <v>0</v>
      </c>
      <c r="M476" t="n">
        <v>0</v>
      </c>
      <c r="N476" t="n">
        <v>0</v>
      </c>
      <c r="O476" t="n">
        <v>0</v>
      </c>
      <c r="P476" t="n">
        <v>0</v>
      </c>
      <c r="Q476" t="n">
        <v>0</v>
      </c>
      <c r="R476" s="2" t="inlineStr"/>
    </row>
    <row r="477" ht="15" customHeight="1">
      <c r="A477" t="inlineStr">
        <is>
          <t>A 367-2026</t>
        </is>
      </c>
      <c r="B477" s="1" t="n">
        <v>46027</v>
      </c>
      <c r="C477" s="1" t="n">
        <v>46204</v>
      </c>
      <c r="D477" t="inlineStr">
        <is>
          <t>DALARNAS LÄN</t>
        </is>
      </c>
      <c r="E477" t="inlineStr">
        <is>
          <t>LEKSAND</t>
        </is>
      </c>
      <c r="G477" t="n">
        <v>4.3</v>
      </c>
      <c r="H477" t="n">
        <v>0</v>
      </c>
      <c r="I477" t="n">
        <v>0</v>
      </c>
      <c r="J477" t="n">
        <v>0</v>
      </c>
      <c r="K477" t="n">
        <v>0</v>
      </c>
      <c r="L477" t="n">
        <v>0</v>
      </c>
      <c r="M477" t="n">
        <v>0</v>
      </c>
      <c r="N477" t="n">
        <v>0</v>
      </c>
      <c r="O477" t="n">
        <v>0</v>
      </c>
      <c r="P477" t="n">
        <v>0</v>
      </c>
      <c r="Q477" t="n">
        <v>0</v>
      </c>
      <c r="R477" s="2" t="inlineStr"/>
    </row>
    <row r="478" ht="15" customHeight="1">
      <c r="A478" t="inlineStr">
        <is>
          <t>A 23828-2026</t>
        </is>
      </c>
      <c r="B478" s="1" t="n">
        <v>46166</v>
      </c>
      <c r="C478" s="1" t="n">
        <v>46204</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1983-2026</t>
        </is>
      </c>
      <c r="B479" s="1" t="n">
        <v>46035</v>
      </c>
      <c r="C479" s="1" t="n">
        <v>46204</v>
      </c>
      <c r="D479" t="inlineStr">
        <is>
          <t>DALARNAS LÄN</t>
        </is>
      </c>
      <c r="E479" t="inlineStr">
        <is>
          <t>LEKSAND</t>
        </is>
      </c>
      <c r="G479" t="n">
        <v>2.3</v>
      </c>
      <c r="H479" t="n">
        <v>0</v>
      </c>
      <c r="I479" t="n">
        <v>0</v>
      </c>
      <c r="J479" t="n">
        <v>0</v>
      </c>
      <c r="K479" t="n">
        <v>0</v>
      </c>
      <c r="L479" t="n">
        <v>0</v>
      </c>
      <c r="M479" t="n">
        <v>0</v>
      </c>
      <c r="N479" t="n">
        <v>0</v>
      </c>
      <c r="O479" t="n">
        <v>0</v>
      </c>
      <c r="P479" t="n">
        <v>0</v>
      </c>
      <c r="Q479" t="n">
        <v>0</v>
      </c>
      <c r="R479" s="2" t="inlineStr"/>
    </row>
    <row r="480" ht="15" customHeight="1">
      <c r="A480" t="inlineStr">
        <is>
          <t>A 33310-2023</t>
        </is>
      </c>
      <c r="B480" s="1" t="n">
        <v>45127</v>
      </c>
      <c r="C480" s="1" t="n">
        <v>46204</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54844-2021</t>
        </is>
      </c>
      <c r="B481" s="1" t="n">
        <v>44474</v>
      </c>
      <c r="C481" s="1" t="n">
        <v>46204</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471-2025</t>
        </is>
      </c>
      <c r="B482" s="1" t="n">
        <v>45664</v>
      </c>
      <c r="C482" s="1" t="n">
        <v>46204</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24572-2026</t>
        </is>
      </c>
      <c r="B483" s="1" t="n">
        <v>46170</v>
      </c>
      <c r="C483" s="1" t="n">
        <v>46204</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57231-2025</t>
        </is>
      </c>
      <c r="B484" s="1" t="n">
        <v>45979</v>
      </c>
      <c r="C484" s="1" t="n">
        <v>46204</v>
      </c>
      <c r="D484" t="inlineStr">
        <is>
          <t>DALARNAS LÄN</t>
        </is>
      </c>
      <c r="E484" t="inlineStr">
        <is>
          <t>LEKSAND</t>
        </is>
      </c>
      <c r="G484" t="n">
        <v>1.8</v>
      </c>
      <c r="H484" t="n">
        <v>0</v>
      </c>
      <c r="I484" t="n">
        <v>0</v>
      </c>
      <c r="J484" t="n">
        <v>0</v>
      </c>
      <c r="K484" t="n">
        <v>0</v>
      </c>
      <c r="L484" t="n">
        <v>0</v>
      </c>
      <c r="M484" t="n">
        <v>0</v>
      </c>
      <c r="N484" t="n">
        <v>0</v>
      </c>
      <c r="O484" t="n">
        <v>0</v>
      </c>
      <c r="P484" t="n">
        <v>0</v>
      </c>
      <c r="Q484" t="n">
        <v>0</v>
      </c>
      <c r="R484" s="2" t="inlineStr"/>
    </row>
    <row r="485" ht="15" customHeight="1">
      <c r="A485" t="inlineStr">
        <is>
          <t>A 52293-2024</t>
        </is>
      </c>
      <c r="B485" s="1" t="n">
        <v>45608</v>
      </c>
      <c r="C485" s="1" t="n">
        <v>46204</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1182-2025</t>
        </is>
      </c>
      <c r="B486" s="1" t="n">
        <v>45667</v>
      </c>
      <c r="C486" s="1" t="n">
        <v>46204</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57536-2025</t>
        </is>
      </c>
      <c r="B487" s="1" t="n">
        <v>45980</v>
      </c>
      <c r="C487" s="1" t="n">
        <v>46204</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3240-2026</t>
        </is>
      </c>
      <c r="B488" s="1" t="n">
        <v>46041</v>
      </c>
      <c r="C488" s="1" t="n">
        <v>46204</v>
      </c>
      <c r="D488" t="inlineStr">
        <is>
          <t>DALARNAS LÄN</t>
        </is>
      </c>
      <c r="E488" t="inlineStr">
        <is>
          <t>LEKSAND</t>
        </is>
      </c>
      <c r="G488" t="n">
        <v>6.1</v>
      </c>
      <c r="H488" t="n">
        <v>0</v>
      </c>
      <c r="I488" t="n">
        <v>0</v>
      </c>
      <c r="J488" t="n">
        <v>0</v>
      </c>
      <c r="K488" t="n">
        <v>0</v>
      </c>
      <c r="L488" t="n">
        <v>0</v>
      </c>
      <c r="M488" t="n">
        <v>0</v>
      </c>
      <c r="N488" t="n">
        <v>0</v>
      </c>
      <c r="O488" t="n">
        <v>0</v>
      </c>
      <c r="P488" t="n">
        <v>0</v>
      </c>
      <c r="Q488" t="n">
        <v>0</v>
      </c>
      <c r="R488" s="2" t="inlineStr"/>
    </row>
    <row r="489" ht="15" customHeight="1">
      <c r="A489" t="inlineStr">
        <is>
          <t>A 3244-2026</t>
        </is>
      </c>
      <c r="B489" s="1" t="n">
        <v>46041</v>
      </c>
      <c r="C489" s="1" t="n">
        <v>46204</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57223-2025</t>
        </is>
      </c>
      <c r="B490" s="1" t="n">
        <v>45979</v>
      </c>
      <c r="C490" s="1" t="n">
        <v>46204</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57962-2025</t>
        </is>
      </c>
      <c r="B491" s="1" t="n">
        <v>45982</v>
      </c>
      <c r="C491" s="1" t="n">
        <v>46204</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3834-2026</t>
        </is>
      </c>
      <c r="B492" s="1" t="n">
        <v>46043</v>
      </c>
      <c r="C492" s="1" t="n">
        <v>46204</v>
      </c>
      <c r="D492" t="inlineStr">
        <is>
          <t>DALARNAS LÄN</t>
        </is>
      </c>
      <c r="E492" t="inlineStr">
        <is>
          <t>LEKSAND</t>
        </is>
      </c>
      <c r="G492" t="n">
        <v>14.4</v>
      </c>
      <c r="H492" t="n">
        <v>0</v>
      </c>
      <c r="I492" t="n">
        <v>0</v>
      </c>
      <c r="J492" t="n">
        <v>0</v>
      </c>
      <c r="K492" t="n">
        <v>0</v>
      </c>
      <c r="L492" t="n">
        <v>0</v>
      </c>
      <c r="M492" t="n">
        <v>0</v>
      </c>
      <c r="N492" t="n">
        <v>0</v>
      </c>
      <c r="O492" t="n">
        <v>0</v>
      </c>
      <c r="P492" t="n">
        <v>0</v>
      </c>
      <c r="Q492" t="n">
        <v>0</v>
      </c>
      <c r="R492" s="2" t="inlineStr"/>
    </row>
    <row r="493" ht="15" customHeight="1">
      <c r="A493" t="inlineStr">
        <is>
          <t>A 3723-2026</t>
        </is>
      </c>
      <c r="B493" s="1" t="n">
        <v>46043</v>
      </c>
      <c r="C493" s="1" t="n">
        <v>46204</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3734-2026</t>
        </is>
      </c>
      <c r="B494" s="1" t="n">
        <v>46043</v>
      </c>
      <c r="C494" s="1" t="n">
        <v>46204</v>
      </c>
      <c r="D494" t="inlineStr">
        <is>
          <t>DALARNAS LÄN</t>
        </is>
      </c>
      <c r="E494" t="inlineStr">
        <is>
          <t>LEKSAND</t>
        </is>
      </c>
      <c r="G494" t="n">
        <v>7.2</v>
      </c>
      <c r="H494" t="n">
        <v>0</v>
      </c>
      <c r="I494" t="n">
        <v>0</v>
      </c>
      <c r="J494" t="n">
        <v>0</v>
      </c>
      <c r="K494" t="n">
        <v>0</v>
      </c>
      <c r="L494" t="n">
        <v>0</v>
      </c>
      <c r="M494" t="n">
        <v>0</v>
      </c>
      <c r="N494" t="n">
        <v>0</v>
      </c>
      <c r="O494" t="n">
        <v>0</v>
      </c>
      <c r="P494" t="n">
        <v>0</v>
      </c>
      <c r="Q494" t="n">
        <v>0</v>
      </c>
      <c r="R494" s="2" t="inlineStr"/>
    </row>
    <row r="495" ht="15" customHeight="1">
      <c r="A495" t="inlineStr">
        <is>
          <t>A 46665-2023</t>
        </is>
      </c>
      <c r="B495" s="1" t="n">
        <v>45198</v>
      </c>
      <c r="C495" s="1" t="n">
        <v>46204</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56943-2024</t>
        </is>
      </c>
      <c r="B496" s="1" t="n">
        <v>45625</v>
      </c>
      <c r="C496" s="1" t="n">
        <v>46204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60715-2022</t>
        </is>
      </c>
      <c r="B497" s="1" t="n">
        <v>44912</v>
      </c>
      <c r="C497" s="1" t="n">
        <v>46204</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15619-2025</t>
        </is>
      </c>
      <c r="B498" s="1" t="n">
        <v>45747</v>
      </c>
      <c r="C498" s="1" t="n">
        <v>46204</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18414-2026</t>
        </is>
      </c>
      <c r="B499" s="1" t="n">
        <v>46126</v>
      </c>
      <c r="C499" s="1" t="n">
        <v>46204</v>
      </c>
      <c r="D499" t="inlineStr">
        <is>
          <t>DALARNAS LÄN</t>
        </is>
      </c>
      <c r="E499" t="inlineStr">
        <is>
          <t>LEKSAND</t>
        </is>
      </c>
      <c r="G499" t="n">
        <v>3.7</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46204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4338-2026</t>
        </is>
      </c>
      <c r="B501" s="1" t="n">
        <v>46045</v>
      </c>
      <c r="C501" s="1" t="n">
        <v>46204</v>
      </c>
      <c r="D501" t="inlineStr">
        <is>
          <t>DALARNAS LÄN</t>
        </is>
      </c>
      <c r="E501" t="inlineStr">
        <is>
          <t>LEKSAND</t>
        </is>
      </c>
      <c r="G501" t="n">
        <v>6.9</v>
      </c>
      <c r="H501" t="n">
        <v>0</v>
      </c>
      <c r="I501" t="n">
        <v>0</v>
      </c>
      <c r="J501" t="n">
        <v>0</v>
      </c>
      <c r="K501" t="n">
        <v>0</v>
      </c>
      <c r="L501" t="n">
        <v>0</v>
      </c>
      <c r="M501" t="n">
        <v>0</v>
      </c>
      <c r="N501" t="n">
        <v>0</v>
      </c>
      <c r="O501" t="n">
        <v>0</v>
      </c>
      <c r="P501" t="n">
        <v>0</v>
      </c>
      <c r="Q501" t="n">
        <v>0</v>
      </c>
      <c r="R501" s="2" t="inlineStr"/>
    </row>
    <row r="502" ht="15" customHeight="1">
      <c r="A502" t="inlineStr">
        <is>
          <t>A 18492-2026</t>
        </is>
      </c>
      <c r="B502" s="1" t="n">
        <v>46127</v>
      </c>
      <c r="C502" s="1" t="n">
        <v>46204</v>
      </c>
      <c r="D502" t="inlineStr">
        <is>
          <t>DALARNAS LÄN</t>
        </is>
      </c>
      <c r="E502" t="inlineStr">
        <is>
          <t>LEKSAND</t>
        </is>
      </c>
      <c r="F502" t="inlineStr">
        <is>
          <t>Bergvik skog väst AB</t>
        </is>
      </c>
      <c r="G502" t="n">
        <v>3</v>
      </c>
      <c r="H502" t="n">
        <v>0</v>
      </c>
      <c r="I502" t="n">
        <v>0</v>
      </c>
      <c r="J502" t="n">
        <v>0</v>
      </c>
      <c r="K502" t="n">
        <v>0</v>
      </c>
      <c r="L502" t="n">
        <v>0</v>
      </c>
      <c r="M502" t="n">
        <v>0</v>
      </c>
      <c r="N502" t="n">
        <v>0</v>
      </c>
      <c r="O502" t="n">
        <v>0</v>
      </c>
      <c r="P502" t="n">
        <v>0</v>
      </c>
      <c r="Q502" t="n">
        <v>0</v>
      </c>
      <c r="R502" s="2" t="inlineStr"/>
    </row>
    <row r="503" ht="15" customHeight="1">
      <c r="A503" t="inlineStr">
        <is>
          <t>A 18510-2026</t>
        </is>
      </c>
      <c r="B503" s="1" t="n">
        <v>46127</v>
      </c>
      <c r="C503" s="1" t="n">
        <v>46204</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3968-2026</t>
        </is>
      </c>
      <c r="B504" s="1" t="n">
        <v>46044</v>
      </c>
      <c r="C504" s="1" t="n">
        <v>46204</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4476-2026</t>
        </is>
      </c>
      <c r="B505" s="1" t="n">
        <v>46045</v>
      </c>
      <c r="C505" s="1" t="n">
        <v>46204</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3978-2026</t>
        </is>
      </c>
      <c r="B506" s="1" t="n">
        <v>46044</v>
      </c>
      <c r="C506" s="1" t="n">
        <v>46204</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5040-2026</t>
        </is>
      </c>
      <c r="B507" s="1" t="n">
        <v>46049</v>
      </c>
      <c r="C507" s="1" t="n">
        <v>46204</v>
      </c>
      <c r="D507" t="inlineStr">
        <is>
          <t>DALARNAS LÄN</t>
        </is>
      </c>
      <c r="E507" t="inlineStr">
        <is>
          <t>LEKSAND</t>
        </is>
      </c>
      <c r="G507" t="n">
        <v>1.7</v>
      </c>
      <c r="H507" t="n">
        <v>0</v>
      </c>
      <c r="I507" t="n">
        <v>0</v>
      </c>
      <c r="J507" t="n">
        <v>0</v>
      </c>
      <c r="K507" t="n">
        <v>0</v>
      </c>
      <c r="L507" t="n">
        <v>0</v>
      </c>
      <c r="M507" t="n">
        <v>0</v>
      </c>
      <c r="N507" t="n">
        <v>0</v>
      </c>
      <c r="O507" t="n">
        <v>0</v>
      </c>
      <c r="P507" t="n">
        <v>0</v>
      </c>
      <c r="Q507" t="n">
        <v>0</v>
      </c>
      <c r="R507" s="2" t="inlineStr"/>
    </row>
    <row r="508" ht="15" customHeight="1">
      <c r="A508" t="inlineStr">
        <is>
          <t>A 5022-2026</t>
        </is>
      </c>
      <c r="B508" s="1" t="n">
        <v>46049</v>
      </c>
      <c r="C508" s="1" t="n">
        <v>46204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28128-2022</t>
        </is>
      </c>
      <c r="B509" s="1" t="n">
        <v>44746</v>
      </c>
      <c r="C509" s="1" t="n">
        <v>46204</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61787-2022</t>
        </is>
      </c>
      <c r="B510" s="1" t="n">
        <v>44917</v>
      </c>
      <c r="C510" s="1" t="n">
        <v>46204</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5691-2026</t>
        </is>
      </c>
      <c r="B511" s="1" t="n">
        <v>46051</v>
      </c>
      <c r="C511" s="1" t="n">
        <v>46204</v>
      </c>
      <c r="D511" t="inlineStr">
        <is>
          <t>DALARNAS LÄN</t>
        </is>
      </c>
      <c r="E511" t="inlineStr">
        <is>
          <t>LEKSAND</t>
        </is>
      </c>
      <c r="G511" t="n">
        <v>2.9</v>
      </c>
      <c r="H511" t="n">
        <v>0</v>
      </c>
      <c r="I511" t="n">
        <v>0</v>
      </c>
      <c r="J511" t="n">
        <v>0</v>
      </c>
      <c r="K511" t="n">
        <v>0</v>
      </c>
      <c r="L511" t="n">
        <v>0</v>
      </c>
      <c r="M511" t="n">
        <v>0</v>
      </c>
      <c r="N511" t="n">
        <v>0</v>
      </c>
      <c r="O511" t="n">
        <v>0</v>
      </c>
      <c r="P511" t="n">
        <v>0</v>
      </c>
      <c r="Q511" t="n">
        <v>0</v>
      </c>
      <c r="R511" s="2" t="inlineStr"/>
    </row>
    <row r="512" ht="15" customHeight="1">
      <c r="A512" t="inlineStr">
        <is>
          <t>A 18766-2026</t>
        </is>
      </c>
      <c r="B512" s="1" t="n">
        <v>46128</v>
      </c>
      <c r="C512" s="1" t="n">
        <v>46204</v>
      </c>
      <c r="D512" t="inlineStr">
        <is>
          <t>DALARNAS LÄN</t>
        </is>
      </c>
      <c r="E512" t="inlineStr">
        <is>
          <t>LEKSAND</t>
        </is>
      </c>
      <c r="F512" t="inlineStr">
        <is>
          <t>Bergvik skog väst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5541-2026</t>
        </is>
      </c>
      <c r="B513" s="1" t="n">
        <v>46050</v>
      </c>
      <c r="C513" s="1" t="n">
        <v>46204</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593-2026</t>
        </is>
      </c>
      <c r="B514" s="1" t="n">
        <v>46029</v>
      </c>
      <c r="C514" s="1" t="n">
        <v>46204</v>
      </c>
      <c r="D514" t="inlineStr">
        <is>
          <t>DALARNAS LÄN</t>
        </is>
      </c>
      <c r="E514" t="inlineStr">
        <is>
          <t>LEKSAND</t>
        </is>
      </c>
      <c r="G514" t="n">
        <v>1.8</v>
      </c>
      <c r="H514" t="n">
        <v>0</v>
      </c>
      <c r="I514" t="n">
        <v>0</v>
      </c>
      <c r="J514" t="n">
        <v>0</v>
      </c>
      <c r="K514" t="n">
        <v>0</v>
      </c>
      <c r="L514" t="n">
        <v>0</v>
      </c>
      <c r="M514" t="n">
        <v>0</v>
      </c>
      <c r="N514" t="n">
        <v>0</v>
      </c>
      <c r="O514" t="n">
        <v>0</v>
      </c>
      <c r="P514" t="n">
        <v>0</v>
      </c>
      <c r="Q514" t="n">
        <v>0</v>
      </c>
      <c r="R514" s="2" t="inlineStr"/>
    </row>
    <row r="515" ht="15" customHeight="1">
      <c r="A515" t="inlineStr">
        <is>
          <t>A 6245-2026</t>
        </is>
      </c>
      <c r="B515" s="1" t="n">
        <v>46055</v>
      </c>
      <c r="C515" s="1" t="n">
        <v>46204</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24720-2026</t>
        </is>
      </c>
      <c r="B516" s="1" t="n">
        <v>46171</v>
      </c>
      <c r="C516" s="1" t="n">
        <v>46204</v>
      </c>
      <c r="D516" t="inlineStr">
        <is>
          <t>DALARNAS LÄN</t>
        </is>
      </c>
      <c r="E516" t="inlineStr">
        <is>
          <t>LEKSAND</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5989-2026</t>
        </is>
      </c>
      <c r="B517" s="1" t="n">
        <v>46052</v>
      </c>
      <c r="C517" s="1" t="n">
        <v>46204</v>
      </c>
      <c r="D517" t="inlineStr">
        <is>
          <t>DALARNAS LÄN</t>
        </is>
      </c>
      <c r="E517" t="inlineStr">
        <is>
          <t>LEKSAND</t>
        </is>
      </c>
      <c r="G517" t="n">
        <v>2.3</v>
      </c>
      <c r="H517" t="n">
        <v>0</v>
      </c>
      <c r="I517" t="n">
        <v>0</v>
      </c>
      <c r="J517" t="n">
        <v>0</v>
      </c>
      <c r="K517" t="n">
        <v>0</v>
      </c>
      <c r="L517" t="n">
        <v>0</v>
      </c>
      <c r="M517" t="n">
        <v>0</v>
      </c>
      <c r="N517" t="n">
        <v>0</v>
      </c>
      <c r="O517" t="n">
        <v>0</v>
      </c>
      <c r="P517" t="n">
        <v>0</v>
      </c>
      <c r="Q517" t="n">
        <v>0</v>
      </c>
      <c r="R517" s="2" t="inlineStr"/>
    </row>
    <row r="518" ht="15" customHeight="1">
      <c r="A518" t="inlineStr">
        <is>
          <t>A 61269-2022</t>
        </is>
      </c>
      <c r="B518" s="1" t="n">
        <v>44909</v>
      </c>
      <c r="C518" s="1" t="n">
        <v>46204</v>
      </c>
      <c r="D518" t="inlineStr">
        <is>
          <t>DALARNAS LÄN</t>
        </is>
      </c>
      <c r="E518" t="inlineStr">
        <is>
          <t>LEKSAND</t>
        </is>
      </c>
      <c r="G518" t="n">
        <v>4.2</v>
      </c>
      <c r="H518" t="n">
        <v>0</v>
      </c>
      <c r="I518" t="n">
        <v>0</v>
      </c>
      <c r="J518" t="n">
        <v>0</v>
      </c>
      <c r="K518" t="n">
        <v>0</v>
      </c>
      <c r="L518" t="n">
        <v>0</v>
      </c>
      <c r="M518" t="n">
        <v>0</v>
      </c>
      <c r="N518" t="n">
        <v>0</v>
      </c>
      <c r="O518" t="n">
        <v>0</v>
      </c>
      <c r="P518" t="n">
        <v>0</v>
      </c>
      <c r="Q518" t="n">
        <v>0</v>
      </c>
      <c r="R518" s="2" t="inlineStr"/>
    </row>
    <row r="519" ht="15" customHeight="1">
      <c r="A519" t="inlineStr">
        <is>
          <t>A 64933-2023</t>
        </is>
      </c>
      <c r="B519" s="1" t="n">
        <v>45282</v>
      </c>
      <c r="C519" s="1" t="n">
        <v>46204</v>
      </c>
      <c r="D519" t="inlineStr">
        <is>
          <t>DALARNAS LÄN</t>
        </is>
      </c>
      <c r="E519" t="inlineStr">
        <is>
          <t>LEKSAND</t>
        </is>
      </c>
      <c r="G519" t="n">
        <v>2.3</v>
      </c>
      <c r="H519" t="n">
        <v>0</v>
      </c>
      <c r="I519" t="n">
        <v>0</v>
      </c>
      <c r="J519" t="n">
        <v>0</v>
      </c>
      <c r="K519" t="n">
        <v>0</v>
      </c>
      <c r="L519" t="n">
        <v>0</v>
      </c>
      <c r="M519" t="n">
        <v>0</v>
      </c>
      <c r="N519" t="n">
        <v>0</v>
      </c>
      <c r="O519" t="n">
        <v>0</v>
      </c>
      <c r="P519" t="n">
        <v>0</v>
      </c>
      <c r="Q519" t="n">
        <v>0</v>
      </c>
      <c r="R519" s="2" t="inlineStr"/>
    </row>
    <row r="520" ht="15" customHeight="1">
      <c r="A520" t="inlineStr">
        <is>
          <t>A 4460-2026</t>
        </is>
      </c>
      <c r="B520" s="1" t="n">
        <v>46045</v>
      </c>
      <c r="C520" s="1" t="n">
        <v>46204</v>
      </c>
      <c r="D520" t="inlineStr">
        <is>
          <t>DALARNAS LÄN</t>
        </is>
      </c>
      <c r="E520" t="inlineStr">
        <is>
          <t>LEKSAND</t>
        </is>
      </c>
      <c r="G520" t="n">
        <v>11.6</v>
      </c>
      <c r="H520" t="n">
        <v>0</v>
      </c>
      <c r="I520" t="n">
        <v>0</v>
      </c>
      <c r="J520" t="n">
        <v>0</v>
      </c>
      <c r="K520" t="n">
        <v>0</v>
      </c>
      <c r="L520" t="n">
        <v>0</v>
      </c>
      <c r="M520" t="n">
        <v>0</v>
      </c>
      <c r="N520" t="n">
        <v>0</v>
      </c>
      <c r="O520" t="n">
        <v>0</v>
      </c>
      <c r="P520" t="n">
        <v>0</v>
      </c>
      <c r="Q520" t="n">
        <v>0</v>
      </c>
      <c r="R520" s="2" t="inlineStr"/>
    </row>
    <row r="521" ht="15" customHeight="1">
      <c r="A521" t="inlineStr">
        <is>
          <t>A 18579-2026</t>
        </is>
      </c>
      <c r="B521" s="1" t="n">
        <v>46127</v>
      </c>
      <c r="C521" s="1" t="n">
        <v>46204</v>
      </c>
      <c r="D521" t="inlineStr">
        <is>
          <t>DALARNAS LÄN</t>
        </is>
      </c>
      <c r="E521" t="inlineStr">
        <is>
          <t>LEKSAND</t>
        </is>
      </c>
      <c r="F521" t="inlineStr">
        <is>
          <t>Bergvik skog väst AB</t>
        </is>
      </c>
      <c r="G521" t="n">
        <v>16.8</v>
      </c>
      <c r="H521" t="n">
        <v>0</v>
      </c>
      <c r="I521" t="n">
        <v>0</v>
      </c>
      <c r="J521" t="n">
        <v>0</v>
      </c>
      <c r="K521" t="n">
        <v>0</v>
      </c>
      <c r="L521" t="n">
        <v>0</v>
      </c>
      <c r="M521" t="n">
        <v>0</v>
      </c>
      <c r="N521" t="n">
        <v>0</v>
      </c>
      <c r="O521" t="n">
        <v>0</v>
      </c>
      <c r="P521" t="n">
        <v>0</v>
      </c>
      <c r="Q521" t="n">
        <v>0</v>
      </c>
      <c r="R521" s="2" t="inlineStr"/>
    </row>
    <row r="522" ht="15" customHeight="1">
      <c r="A522" t="inlineStr">
        <is>
          <t>A 18482-2026</t>
        </is>
      </c>
      <c r="B522" s="1" t="n">
        <v>46127</v>
      </c>
      <c r="C522" s="1" t="n">
        <v>46204</v>
      </c>
      <c r="D522" t="inlineStr">
        <is>
          <t>DALARNAS LÄN</t>
        </is>
      </c>
      <c r="E522" t="inlineStr">
        <is>
          <t>LEKSAND</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34585-2024</t>
        </is>
      </c>
      <c r="B523" s="1" t="n">
        <v>45526</v>
      </c>
      <c r="C523" s="1" t="n">
        <v>46204</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6463-2026</t>
        </is>
      </c>
      <c r="B524" s="1" t="n">
        <v>46056</v>
      </c>
      <c r="C524" s="1" t="n">
        <v>46204</v>
      </c>
      <c r="D524" t="inlineStr">
        <is>
          <t>DALARNAS LÄN</t>
        </is>
      </c>
      <c r="E524" t="inlineStr">
        <is>
          <t>LEKSAND</t>
        </is>
      </c>
      <c r="G524" t="n">
        <v>0.5</v>
      </c>
      <c r="H524" t="n">
        <v>0</v>
      </c>
      <c r="I524" t="n">
        <v>0</v>
      </c>
      <c r="J524" t="n">
        <v>0</v>
      </c>
      <c r="K524" t="n">
        <v>0</v>
      </c>
      <c r="L524" t="n">
        <v>0</v>
      </c>
      <c r="M524" t="n">
        <v>0</v>
      </c>
      <c r="N524" t="n">
        <v>0</v>
      </c>
      <c r="O524" t="n">
        <v>0</v>
      </c>
      <c r="P524" t="n">
        <v>0</v>
      </c>
      <c r="Q524" t="n">
        <v>0</v>
      </c>
      <c r="R524" s="2" t="inlineStr"/>
    </row>
    <row r="525" ht="15" customHeight="1">
      <c r="A525" t="inlineStr">
        <is>
          <t>A 10743-2024</t>
        </is>
      </c>
      <c r="B525" s="1" t="n">
        <v>45369</v>
      </c>
      <c r="C525" s="1" t="n">
        <v>46204</v>
      </c>
      <c r="D525" t="inlineStr">
        <is>
          <t>DALARNAS LÄN</t>
        </is>
      </c>
      <c r="E525" t="inlineStr">
        <is>
          <t>LEKSAND</t>
        </is>
      </c>
      <c r="G525" t="n">
        <v>2.7</v>
      </c>
      <c r="H525" t="n">
        <v>0</v>
      </c>
      <c r="I525" t="n">
        <v>0</v>
      </c>
      <c r="J525" t="n">
        <v>0</v>
      </c>
      <c r="K525" t="n">
        <v>0</v>
      </c>
      <c r="L525" t="n">
        <v>0</v>
      </c>
      <c r="M525" t="n">
        <v>0</v>
      </c>
      <c r="N525" t="n">
        <v>0</v>
      </c>
      <c r="O525" t="n">
        <v>0</v>
      </c>
      <c r="P525" t="n">
        <v>0</v>
      </c>
      <c r="Q525" t="n">
        <v>0</v>
      </c>
      <c r="R525" s="2" t="inlineStr"/>
    </row>
    <row r="526" ht="15" customHeight="1">
      <c r="A526" t="inlineStr">
        <is>
          <t>A 10771-2024</t>
        </is>
      </c>
      <c r="B526" s="1" t="n">
        <v>45369</v>
      </c>
      <c r="C526" s="1" t="n">
        <v>46204</v>
      </c>
      <c r="D526" t="inlineStr">
        <is>
          <t>DALARNAS LÄN</t>
        </is>
      </c>
      <c r="E526" t="inlineStr">
        <is>
          <t>LEKSAND</t>
        </is>
      </c>
      <c r="G526" t="n">
        <v>0.4</v>
      </c>
      <c r="H526" t="n">
        <v>0</v>
      </c>
      <c r="I526" t="n">
        <v>0</v>
      </c>
      <c r="J526" t="n">
        <v>0</v>
      </c>
      <c r="K526" t="n">
        <v>0</v>
      </c>
      <c r="L526" t="n">
        <v>0</v>
      </c>
      <c r="M526" t="n">
        <v>0</v>
      </c>
      <c r="N526" t="n">
        <v>0</v>
      </c>
      <c r="O526" t="n">
        <v>0</v>
      </c>
      <c r="P526" t="n">
        <v>0</v>
      </c>
      <c r="Q526" t="n">
        <v>0</v>
      </c>
      <c r="R526" s="2" t="inlineStr"/>
    </row>
    <row r="527" ht="15" customHeight="1">
      <c r="A527" t="inlineStr">
        <is>
          <t>A 17106-2026</t>
        </is>
      </c>
      <c r="B527" s="1" t="n">
        <v>46114</v>
      </c>
      <c r="C527" s="1" t="n">
        <v>46204</v>
      </c>
      <c r="D527" t="inlineStr">
        <is>
          <t>DALARNAS LÄN</t>
        </is>
      </c>
      <c r="E527" t="inlineStr">
        <is>
          <t>LEKSAND</t>
        </is>
      </c>
      <c r="F527" t="inlineStr">
        <is>
          <t>Bergvik skog väst AB</t>
        </is>
      </c>
      <c r="G527" t="n">
        <v>2.9</v>
      </c>
      <c r="H527" t="n">
        <v>0</v>
      </c>
      <c r="I527" t="n">
        <v>0</v>
      </c>
      <c r="J527" t="n">
        <v>0</v>
      </c>
      <c r="K527" t="n">
        <v>0</v>
      </c>
      <c r="L527" t="n">
        <v>0</v>
      </c>
      <c r="M527" t="n">
        <v>0</v>
      </c>
      <c r="N527" t="n">
        <v>0</v>
      </c>
      <c r="O527" t="n">
        <v>0</v>
      </c>
      <c r="P527" t="n">
        <v>0</v>
      </c>
      <c r="Q527" t="n">
        <v>0</v>
      </c>
      <c r="R527" s="2" t="inlineStr"/>
    </row>
    <row r="528" ht="15" customHeight="1">
      <c r="A528" t="inlineStr">
        <is>
          <t>A 16051-2023</t>
        </is>
      </c>
      <c r="B528" s="1" t="n">
        <v>45027</v>
      </c>
      <c r="C528" s="1" t="n">
        <v>46204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19190-2026</t>
        </is>
      </c>
      <c r="B529" s="1" t="n">
        <v>46132</v>
      </c>
      <c r="C529" s="1" t="n">
        <v>46204</v>
      </c>
      <c r="D529" t="inlineStr">
        <is>
          <t>DALARNAS LÄN</t>
        </is>
      </c>
      <c r="E529" t="inlineStr">
        <is>
          <t>LEKSAND</t>
        </is>
      </c>
      <c r="G529" t="n">
        <v>24.9</v>
      </c>
      <c r="H529" t="n">
        <v>0</v>
      </c>
      <c r="I529" t="n">
        <v>0</v>
      </c>
      <c r="J529" t="n">
        <v>0</v>
      </c>
      <c r="K529" t="n">
        <v>0</v>
      </c>
      <c r="L529" t="n">
        <v>0</v>
      </c>
      <c r="M529" t="n">
        <v>0</v>
      </c>
      <c r="N529" t="n">
        <v>0</v>
      </c>
      <c r="O529" t="n">
        <v>0</v>
      </c>
      <c r="P529" t="n">
        <v>0</v>
      </c>
      <c r="Q529" t="n">
        <v>0</v>
      </c>
      <c r="R529" s="2" t="inlineStr"/>
    </row>
    <row r="530" ht="15" customHeight="1">
      <c r="A530" t="inlineStr">
        <is>
          <t>A 24841-2026</t>
        </is>
      </c>
      <c r="B530" s="1" t="n">
        <v>46174</v>
      </c>
      <c r="C530" s="1" t="n">
        <v>46204</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46446-2023</t>
        </is>
      </c>
      <c r="B531" s="1" t="n">
        <v>45197</v>
      </c>
      <c r="C531" s="1" t="n">
        <v>46204</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52100-2024</t>
        </is>
      </c>
      <c r="B532" s="1" t="n">
        <v>45608</v>
      </c>
      <c r="C532" s="1" t="n">
        <v>46204</v>
      </c>
      <c r="D532" t="inlineStr">
        <is>
          <t>DALARNAS LÄN</t>
        </is>
      </c>
      <c r="E532" t="inlineStr">
        <is>
          <t>LEKSAND</t>
        </is>
      </c>
      <c r="G532" t="n">
        <v>1.9</v>
      </c>
      <c r="H532" t="n">
        <v>0</v>
      </c>
      <c r="I532" t="n">
        <v>0</v>
      </c>
      <c r="J532" t="n">
        <v>0</v>
      </c>
      <c r="K532" t="n">
        <v>0</v>
      </c>
      <c r="L532" t="n">
        <v>0</v>
      </c>
      <c r="M532" t="n">
        <v>0</v>
      </c>
      <c r="N532" t="n">
        <v>0</v>
      </c>
      <c r="O532" t="n">
        <v>0</v>
      </c>
      <c r="P532" t="n">
        <v>0</v>
      </c>
      <c r="Q532" t="n">
        <v>0</v>
      </c>
      <c r="R532" s="2" t="inlineStr"/>
    </row>
    <row r="533" ht="15" customHeight="1">
      <c r="A533" t="inlineStr">
        <is>
          <t>A 53981-2024</t>
        </is>
      </c>
      <c r="B533" s="1" t="n">
        <v>45615</v>
      </c>
      <c r="C533" s="1" t="n">
        <v>46204</v>
      </c>
      <c r="D533" t="inlineStr">
        <is>
          <t>DALARNAS LÄN</t>
        </is>
      </c>
      <c r="E533" t="inlineStr">
        <is>
          <t>LEKSAND</t>
        </is>
      </c>
      <c r="G533" t="n">
        <v>5.4</v>
      </c>
      <c r="H533" t="n">
        <v>0</v>
      </c>
      <c r="I533" t="n">
        <v>0</v>
      </c>
      <c r="J533" t="n">
        <v>0</v>
      </c>
      <c r="K533" t="n">
        <v>0</v>
      </c>
      <c r="L533" t="n">
        <v>0</v>
      </c>
      <c r="M533" t="n">
        <v>0</v>
      </c>
      <c r="N533" t="n">
        <v>0</v>
      </c>
      <c r="O533" t="n">
        <v>0</v>
      </c>
      <c r="P533" t="n">
        <v>0</v>
      </c>
      <c r="Q533" t="n">
        <v>0</v>
      </c>
      <c r="R533" s="2" t="inlineStr"/>
    </row>
    <row r="534" ht="15" customHeight="1">
      <c r="A534" t="inlineStr">
        <is>
          <t>A 16982-2026</t>
        </is>
      </c>
      <c r="B534" s="1" t="n">
        <v>46114</v>
      </c>
      <c r="C534" s="1" t="n">
        <v>46204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25300-2026</t>
        </is>
      </c>
      <c r="B535" s="1" t="n">
        <v>46176</v>
      </c>
      <c r="C535" s="1" t="n">
        <v>46204</v>
      </c>
      <c r="D535" t="inlineStr">
        <is>
          <t>DALARNAS LÄN</t>
        </is>
      </c>
      <c r="E535" t="inlineStr">
        <is>
          <t>LEKSAND</t>
        </is>
      </c>
      <c r="F535" t="inlineStr">
        <is>
          <t>Bergvik skog väst AB</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14504-2025</t>
        </is>
      </c>
      <c r="B536" s="1" t="n">
        <v>45741</v>
      </c>
      <c r="C536" s="1" t="n">
        <v>46204</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19818-2026</t>
        </is>
      </c>
      <c r="B537" s="1" t="n">
        <v>46135</v>
      </c>
      <c r="C537" s="1" t="n">
        <v>46204</v>
      </c>
      <c r="D537" t="inlineStr">
        <is>
          <t>DALARNAS LÄN</t>
        </is>
      </c>
      <c r="E537" t="inlineStr">
        <is>
          <t>LEKSAND</t>
        </is>
      </c>
      <c r="F537" t="inlineStr">
        <is>
          <t>Bergvik skog väst AB</t>
        </is>
      </c>
      <c r="G537" t="n">
        <v>4.4</v>
      </c>
      <c r="H537" t="n">
        <v>0</v>
      </c>
      <c r="I537" t="n">
        <v>0</v>
      </c>
      <c r="J537" t="n">
        <v>0</v>
      </c>
      <c r="K537" t="n">
        <v>0</v>
      </c>
      <c r="L537" t="n">
        <v>0</v>
      </c>
      <c r="M537" t="n">
        <v>0</v>
      </c>
      <c r="N537" t="n">
        <v>0</v>
      </c>
      <c r="O537" t="n">
        <v>0</v>
      </c>
      <c r="P537" t="n">
        <v>0</v>
      </c>
      <c r="Q537" t="n">
        <v>0</v>
      </c>
      <c r="R537" s="2" t="inlineStr"/>
    </row>
    <row r="538" ht="15" customHeight="1">
      <c r="A538" t="inlineStr">
        <is>
          <t>A 64516-2023</t>
        </is>
      </c>
      <c r="B538" s="1" t="n">
        <v>45280</v>
      </c>
      <c r="C538" s="1" t="n">
        <v>46204</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19305-2026</t>
        </is>
      </c>
      <c r="B539" s="1" t="n">
        <v>46133</v>
      </c>
      <c r="C539" s="1" t="n">
        <v>46204</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45788-2021</t>
        </is>
      </c>
      <c r="B540" s="1" t="n">
        <v>44441</v>
      </c>
      <c r="C540" s="1" t="n">
        <v>46204</v>
      </c>
      <c r="D540" t="inlineStr">
        <is>
          <t>DALARNAS LÄN</t>
        </is>
      </c>
      <c r="E540" t="inlineStr">
        <is>
          <t>LEKSAND</t>
        </is>
      </c>
      <c r="G540" t="n">
        <v>3</v>
      </c>
      <c r="H540" t="n">
        <v>0</v>
      </c>
      <c r="I540" t="n">
        <v>0</v>
      </c>
      <c r="J540" t="n">
        <v>0</v>
      </c>
      <c r="K540" t="n">
        <v>0</v>
      </c>
      <c r="L540" t="n">
        <v>0</v>
      </c>
      <c r="M540" t="n">
        <v>0</v>
      </c>
      <c r="N540" t="n">
        <v>0</v>
      </c>
      <c r="O540" t="n">
        <v>0</v>
      </c>
      <c r="P540" t="n">
        <v>0</v>
      </c>
      <c r="Q540" t="n">
        <v>0</v>
      </c>
      <c r="R540" s="2" t="inlineStr"/>
    </row>
    <row r="541" ht="15" customHeight="1">
      <c r="A541" t="inlineStr">
        <is>
          <t>A 52977-2022</t>
        </is>
      </c>
      <c r="B541" s="1" t="n">
        <v>44875</v>
      </c>
      <c r="C541" s="1" t="n">
        <v>46204</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29157-2022</t>
        </is>
      </c>
      <c r="B542" s="1" t="n">
        <v>44750</v>
      </c>
      <c r="C542" s="1" t="n">
        <v>46204</v>
      </c>
      <c r="D542" t="inlineStr">
        <is>
          <t>DALARNAS LÄN</t>
        </is>
      </c>
      <c r="E542" t="inlineStr">
        <is>
          <t>LEKSAND</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11080-2023</t>
        </is>
      </c>
      <c r="B543" s="1" t="n">
        <v>44992</v>
      </c>
      <c r="C543" s="1" t="n">
        <v>46204</v>
      </c>
      <c r="D543" t="inlineStr">
        <is>
          <t>DALARNAS LÄN</t>
        </is>
      </c>
      <c r="E543" t="inlineStr">
        <is>
          <t>LEKSAND</t>
        </is>
      </c>
      <c r="G543" t="n">
        <v>6.9</v>
      </c>
      <c r="H543" t="n">
        <v>0</v>
      </c>
      <c r="I543" t="n">
        <v>0</v>
      </c>
      <c r="J543" t="n">
        <v>0</v>
      </c>
      <c r="K543" t="n">
        <v>0</v>
      </c>
      <c r="L543" t="n">
        <v>0</v>
      </c>
      <c r="M543" t="n">
        <v>0</v>
      </c>
      <c r="N543" t="n">
        <v>0</v>
      </c>
      <c r="O543" t="n">
        <v>0</v>
      </c>
      <c r="P543" t="n">
        <v>0</v>
      </c>
      <c r="Q543" t="n">
        <v>0</v>
      </c>
      <c r="R543" s="2" t="inlineStr"/>
    </row>
    <row r="544" ht="15" customHeight="1">
      <c r="A544" t="inlineStr">
        <is>
          <t>A 320-2023</t>
        </is>
      </c>
      <c r="B544" s="1" t="n">
        <v>44929</v>
      </c>
      <c r="C544" s="1" t="n">
        <v>46204</v>
      </c>
      <c r="D544" t="inlineStr">
        <is>
          <t>DALARNAS LÄN</t>
        </is>
      </c>
      <c r="E544" t="inlineStr">
        <is>
          <t>LEKSAND</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40181-2023</t>
        </is>
      </c>
      <c r="B545" s="1" t="n">
        <v>45169</v>
      </c>
      <c r="C545" s="1" t="n">
        <v>46204</v>
      </c>
      <c r="D545" t="inlineStr">
        <is>
          <t>DALARNAS LÄN</t>
        </is>
      </c>
      <c r="E545" t="inlineStr">
        <is>
          <t>LEKSAND</t>
        </is>
      </c>
      <c r="G545" t="n">
        <v>2.8</v>
      </c>
      <c r="H545" t="n">
        <v>0</v>
      </c>
      <c r="I545" t="n">
        <v>0</v>
      </c>
      <c r="J545" t="n">
        <v>0</v>
      </c>
      <c r="K545" t="n">
        <v>0</v>
      </c>
      <c r="L545" t="n">
        <v>0</v>
      </c>
      <c r="M545" t="n">
        <v>0</v>
      </c>
      <c r="N545" t="n">
        <v>0</v>
      </c>
      <c r="O545" t="n">
        <v>0</v>
      </c>
      <c r="P545" t="n">
        <v>0</v>
      </c>
      <c r="Q545" t="n">
        <v>0</v>
      </c>
      <c r="R545" s="2" t="inlineStr"/>
    </row>
    <row r="546" ht="15" customHeight="1">
      <c r="A546" t="inlineStr">
        <is>
          <t>A 2048-2026</t>
        </is>
      </c>
      <c r="B546" s="1" t="n">
        <v>46035</v>
      </c>
      <c r="C546" s="1" t="n">
        <v>46204</v>
      </c>
      <c r="D546" t="inlineStr">
        <is>
          <t>DALARNAS LÄN</t>
        </is>
      </c>
      <c r="E546" t="inlineStr">
        <is>
          <t>LEKSAND</t>
        </is>
      </c>
      <c r="G546" t="n">
        <v>2.7</v>
      </c>
      <c r="H546" t="n">
        <v>0</v>
      </c>
      <c r="I546" t="n">
        <v>0</v>
      </c>
      <c r="J546" t="n">
        <v>0</v>
      </c>
      <c r="K546" t="n">
        <v>0</v>
      </c>
      <c r="L546" t="n">
        <v>0</v>
      </c>
      <c r="M546" t="n">
        <v>0</v>
      </c>
      <c r="N546" t="n">
        <v>0</v>
      </c>
      <c r="O546" t="n">
        <v>0</v>
      </c>
      <c r="P546" t="n">
        <v>0</v>
      </c>
      <c r="Q546" t="n">
        <v>0</v>
      </c>
      <c r="R546" s="2" t="inlineStr"/>
    </row>
    <row r="547" ht="15" customHeight="1">
      <c r="A547" t="inlineStr">
        <is>
          <t>A 63544-2023</t>
        </is>
      </c>
      <c r="B547" s="1" t="n">
        <v>45275</v>
      </c>
      <c r="C547" s="1" t="n">
        <v>46204</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58877-2023</t>
        </is>
      </c>
      <c r="B548" s="1" t="n">
        <v>45252</v>
      </c>
      <c r="C548" s="1" t="n">
        <v>46204</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20303-2026</t>
        </is>
      </c>
      <c r="B549" s="1" t="n">
        <v>46139</v>
      </c>
      <c r="C549" s="1" t="n">
        <v>46204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51377-2023</t>
        </is>
      </c>
      <c r="B550" s="1" t="n">
        <v>45219</v>
      </c>
      <c r="C550" s="1" t="n">
        <v>46204</v>
      </c>
      <c r="D550" t="inlineStr">
        <is>
          <t>DALARNAS LÄN</t>
        </is>
      </c>
      <c r="E550" t="inlineStr">
        <is>
          <t>LEKSAND</t>
        </is>
      </c>
      <c r="G550" t="n">
        <v>0.9</v>
      </c>
      <c r="H550" t="n">
        <v>0</v>
      </c>
      <c r="I550" t="n">
        <v>0</v>
      </c>
      <c r="J550" t="n">
        <v>0</v>
      </c>
      <c r="K550" t="n">
        <v>0</v>
      </c>
      <c r="L550" t="n">
        <v>0</v>
      </c>
      <c r="M550" t="n">
        <v>0</v>
      </c>
      <c r="N550" t="n">
        <v>0</v>
      </c>
      <c r="O550" t="n">
        <v>0</v>
      </c>
      <c r="P550" t="n">
        <v>0</v>
      </c>
      <c r="Q550" t="n">
        <v>0</v>
      </c>
      <c r="R550" s="2" t="inlineStr"/>
    </row>
    <row r="551" ht="15" customHeight="1">
      <c r="A551" t="inlineStr">
        <is>
          <t>A 52572-2024</t>
        </is>
      </c>
      <c r="B551" s="1" t="n">
        <v>45609</v>
      </c>
      <c r="C551" s="1" t="n">
        <v>46204</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41853-2023</t>
        </is>
      </c>
      <c r="B552" s="1" t="n">
        <v>45176</v>
      </c>
      <c r="C552" s="1" t="n">
        <v>46204</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15632-2026</t>
        </is>
      </c>
      <c r="B553" s="1" t="n">
        <v>46106</v>
      </c>
      <c r="C553" s="1" t="n">
        <v>46204</v>
      </c>
      <c r="D553" t="inlineStr">
        <is>
          <t>DALARNAS LÄN</t>
        </is>
      </c>
      <c r="E553" t="inlineStr">
        <is>
          <t>LEKSAND</t>
        </is>
      </c>
      <c r="G553" t="n">
        <v>2.2</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46204</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25610-2025</t>
        </is>
      </c>
      <c r="B555" s="1" t="n">
        <v>45803</v>
      </c>
      <c r="C555" s="1" t="n">
        <v>46204</v>
      </c>
      <c r="D555" t="inlineStr">
        <is>
          <t>DALARNAS LÄN</t>
        </is>
      </c>
      <c r="E555" t="inlineStr">
        <is>
          <t>LEKSAND</t>
        </is>
      </c>
      <c r="G555" t="n">
        <v>5.2</v>
      </c>
      <c r="H555" t="n">
        <v>0</v>
      </c>
      <c r="I555" t="n">
        <v>0</v>
      </c>
      <c r="J555" t="n">
        <v>0</v>
      </c>
      <c r="K555" t="n">
        <v>0</v>
      </c>
      <c r="L555" t="n">
        <v>0</v>
      </c>
      <c r="M555" t="n">
        <v>0</v>
      </c>
      <c r="N555" t="n">
        <v>0</v>
      </c>
      <c r="O555" t="n">
        <v>0</v>
      </c>
      <c r="P555" t="n">
        <v>0</v>
      </c>
      <c r="Q555" t="n">
        <v>0</v>
      </c>
      <c r="R555" s="2" t="inlineStr"/>
    </row>
    <row r="556" ht="15" customHeight="1">
      <c r="A556" t="inlineStr">
        <is>
          <t>A 40165-2022</t>
        </is>
      </c>
      <c r="B556" s="1" t="n">
        <v>44820</v>
      </c>
      <c r="C556" s="1" t="n">
        <v>46204</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49405-2024</t>
        </is>
      </c>
      <c r="B557" s="1" t="n">
        <v>45595</v>
      </c>
      <c r="C557" s="1" t="n">
        <v>46204</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27445-2024</t>
        </is>
      </c>
      <c r="B558" s="1" t="n">
        <v>45474</v>
      </c>
      <c r="C558" s="1" t="n">
        <v>46204</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21457-2025</t>
        </is>
      </c>
      <c r="B559" s="1" t="n">
        <v>45782</v>
      </c>
      <c r="C559" s="1" t="n">
        <v>46204</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26021-2026</t>
        </is>
      </c>
      <c r="B560" s="1" t="n">
        <v>46181</v>
      </c>
      <c r="C560" s="1" t="n">
        <v>46204</v>
      </c>
      <c r="D560" t="inlineStr">
        <is>
          <t>DALARNAS LÄN</t>
        </is>
      </c>
      <c r="E560" t="inlineStr">
        <is>
          <t>LEKSAND</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1983-2025</t>
        </is>
      </c>
      <c r="B561" s="1" t="n">
        <v>45670</v>
      </c>
      <c r="C561" s="1" t="n">
        <v>46204</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17078-2023</t>
        </is>
      </c>
      <c r="B562" s="1" t="n">
        <v>45034</v>
      </c>
      <c r="C562" s="1" t="n">
        <v>46204</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31787-2025</t>
        </is>
      </c>
      <c r="B563" s="1" t="n">
        <v>45834</v>
      </c>
      <c r="C563" s="1" t="n">
        <v>46204</v>
      </c>
      <c r="D563" t="inlineStr">
        <is>
          <t>DALARNAS LÄN</t>
        </is>
      </c>
      <c r="E563" t="inlineStr">
        <is>
          <t>LEKSAND</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24003-2024</t>
        </is>
      </c>
      <c r="B564" s="1" t="n">
        <v>45456</v>
      </c>
      <c r="C564" s="1" t="n">
        <v>46204</v>
      </c>
      <c r="D564" t="inlineStr">
        <is>
          <t>DALARNAS LÄN</t>
        </is>
      </c>
      <c r="E564" t="inlineStr">
        <is>
          <t>LEKSAND</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18611-2026</t>
        </is>
      </c>
      <c r="B565" s="1" t="n">
        <v>46127</v>
      </c>
      <c r="C565" s="1" t="n">
        <v>46204</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45943-2022</t>
        </is>
      </c>
      <c r="B566" s="1" t="n">
        <v>44846</v>
      </c>
      <c r="C566" s="1" t="n">
        <v>46204</v>
      </c>
      <c r="D566" t="inlineStr">
        <is>
          <t>DALARNAS LÄN</t>
        </is>
      </c>
      <c r="E566" t="inlineStr">
        <is>
          <t>LEKSAND</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12582-2025</t>
        </is>
      </c>
      <c r="B567" s="1" t="n">
        <v>45732</v>
      </c>
      <c r="C567" s="1" t="n">
        <v>46204</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31728-2024</t>
        </is>
      </c>
      <c r="B568" s="1" t="n">
        <v>45509</v>
      </c>
      <c r="C568" s="1" t="n">
        <v>46204</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19550-2023</t>
        </is>
      </c>
      <c r="B569" s="1" t="n">
        <v>45049</v>
      </c>
      <c r="C569" s="1" t="n">
        <v>46204</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51480-2022</t>
        </is>
      </c>
      <c r="B570" s="1" t="n">
        <v>44869</v>
      </c>
      <c r="C570" s="1" t="n">
        <v>46204</v>
      </c>
      <c r="D570" t="inlineStr">
        <is>
          <t>DALARNAS LÄN</t>
        </is>
      </c>
      <c r="E570" t="inlineStr">
        <is>
          <t>LEKSAND</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40407-2024</t>
        </is>
      </c>
      <c r="B571" s="1" t="n">
        <v>45555</v>
      </c>
      <c r="C571" s="1" t="n">
        <v>46204</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12620-2025</t>
        </is>
      </c>
      <c r="B572" s="1" t="n">
        <v>45733</v>
      </c>
      <c r="C572" s="1" t="n">
        <v>46204</v>
      </c>
      <c r="D572" t="inlineStr">
        <is>
          <t>DALARNAS LÄN</t>
        </is>
      </c>
      <c r="E572" t="inlineStr">
        <is>
          <t>LEKSAND</t>
        </is>
      </c>
      <c r="F572" t="inlineStr">
        <is>
          <t>Bergvik skog väst AB</t>
        </is>
      </c>
      <c r="G572" t="n">
        <v>3.9</v>
      </c>
      <c r="H572" t="n">
        <v>0</v>
      </c>
      <c r="I572" t="n">
        <v>0</v>
      </c>
      <c r="J572" t="n">
        <v>0</v>
      </c>
      <c r="K572" t="n">
        <v>0</v>
      </c>
      <c r="L572" t="n">
        <v>0</v>
      </c>
      <c r="M572" t="n">
        <v>0</v>
      </c>
      <c r="N572" t="n">
        <v>0</v>
      </c>
      <c r="O572" t="n">
        <v>0</v>
      </c>
      <c r="P572" t="n">
        <v>0</v>
      </c>
      <c r="Q572" t="n">
        <v>0</v>
      </c>
      <c r="R572" s="2" t="inlineStr"/>
    </row>
    <row r="573" ht="15" customHeight="1">
      <c r="A573" t="inlineStr">
        <is>
          <t>A 35998-2025</t>
        </is>
      </c>
      <c r="B573" s="1" t="n">
        <v>45863</v>
      </c>
      <c r="C573" s="1" t="n">
        <v>46204</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40009-2024</t>
        </is>
      </c>
      <c r="B574" s="1" t="n">
        <v>45553</v>
      </c>
      <c r="C574" s="1" t="n">
        <v>46204</v>
      </c>
      <c r="D574" t="inlineStr">
        <is>
          <t>DALARNAS LÄN</t>
        </is>
      </c>
      <c r="E574" t="inlineStr">
        <is>
          <t>LEKSAND</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56941-2024</t>
        </is>
      </c>
      <c r="B575" s="1" t="n">
        <v>45625</v>
      </c>
      <c r="C575" s="1" t="n">
        <v>46204</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1950-2026</t>
        </is>
      </c>
      <c r="B576" s="1" t="n">
        <v>46035</v>
      </c>
      <c r="C576" s="1" t="n">
        <v>46204</v>
      </c>
      <c r="D576" t="inlineStr">
        <is>
          <t>DALARNAS LÄN</t>
        </is>
      </c>
      <c r="E576" t="inlineStr">
        <is>
          <t>LEKSAND</t>
        </is>
      </c>
      <c r="G576" t="n">
        <v>5.3</v>
      </c>
      <c r="H576" t="n">
        <v>0</v>
      </c>
      <c r="I576" t="n">
        <v>0</v>
      </c>
      <c r="J576" t="n">
        <v>0</v>
      </c>
      <c r="K576" t="n">
        <v>0</v>
      </c>
      <c r="L576" t="n">
        <v>0</v>
      </c>
      <c r="M576" t="n">
        <v>0</v>
      </c>
      <c r="N576" t="n">
        <v>0</v>
      </c>
      <c r="O576" t="n">
        <v>0</v>
      </c>
      <c r="P576" t="n">
        <v>0</v>
      </c>
      <c r="Q576" t="n">
        <v>0</v>
      </c>
      <c r="R576" s="2" t="inlineStr"/>
    </row>
    <row r="577" ht="15" customHeight="1">
      <c r="A577" t="inlineStr">
        <is>
          <t>A 20164-2026</t>
        </is>
      </c>
      <c r="B577" s="1" t="n">
        <v>46139</v>
      </c>
      <c r="C577" s="1" t="n">
        <v>46204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57925-2024</t>
        </is>
      </c>
      <c r="B578" s="1" t="n">
        <v>45630</v>
      </c>
      <c r="C578" s="1" t="n">
        <v>46204</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1443-2024</t>
        </is>
      </c>
      <c r="B579" s="1" t="n">
        <v>45303</v>
      </c>
      <c r="C579" s="1" t="n">
        <v>46204</v>
      </c>
      <c r="D579" t="inlineStr">
        <is>
          <t>DALARNAS LÄN</t>
        </is>
      </c>
      <c r="E579" t="inlineStr">
        <is>
          <t>LEKSAND</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17099-2026</t>
        </is>
      </c>
      <c r="B580" s="1" t="n">
        <v>46114</v>
      </c>
      <c r="C580" s="1" t="n">
        <v>46204</v>
      </c>
      <c r="D580" t="inlineStr">
        <is>
          <t>DALARNAS LÄN</t>
        </is>
      </c>
      <c r="E580" t="inlineStr">
        <is>
          <t>LEKSAND</t>
        </is>
      </c>
      <c r="F580" t="inlineStr">
        <is>
          <t>Bergvik skog väst AB</t>
        </is>
      </c>
      <c r="G580" t="n">
        <v>1.6</v>
      </c>
      <c r="H580" t="n">
        <v>0</v>
      </c>
      <c r="I580" t="n">
        <v>0</v>
      </c>
      <c r="J580" t="n">
        <v>0</v>
      </c>
      <c r="K580" t="n">
        <v>0</v>
      </c>
      <c r="L580" t="n">
        <v>0</v>
      </c>
      <c r="M580" t="n">
        <v>0</v>
      </c>
      <c r="N580" t="n">
        <v>0</v>
      </c>
      <c r="O580" t="n">
        <v>0</v>
      </c>
      <c r="P580" t="n">
        <v>0</v>
      </c>
      <c r="Q580" t="n">
        <v>0</v>
      </c>
      <c r="R580" s="2" t="inlineStr"/>
    </row>
    <row r="581" ht="15" customHeight="1">
      <c r="A581" t="inlineStr">
        <is>
          <t>A 9105-2024</t>
        </is>
      </c>
      <c r="B581" s="1" t="n">
        <v>45357</v>
      </c>
      <c r="C581" s="1" t="n">
        <v>46204</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61225-2023</t>
        </is>
      </c>
      <c r="B582" s="1" t="n">
        <v>45264</v>
      </c>
      <c r="C582" s="1" t="n">
        <v>46204</v>
      </c>
      <c r="D582" t="inlineStr">
        <is>
          <t>DALARNAS LÄN</t>
        </is>
      </c>
      <c r="E582" t="inlineStr">
        <is>
          <t>LEKSAND</t>
        </is>
      </c>
      <c r="G582" t="n">
        <v>7</v>
      </c>
      <c r="H582" t="n">
        <v>0</v>
      </c>
      <c r="I582" t="n">
        <v>0</v>
      </c>
      <c r="J582" t="n">
        <v>0</v>
      </c>
      <c r="K582" t="n">
        <v>0</v>
      </c>
      <c r="L582" t="n">
        <v>0</v>
      </c>
      <c r="M582" t="n">
        <v>0</v>
      </c>
      <c r="N582" t="n">
        <v>0</v>
      </c>
      <c r="O582" t="n">
        <v>0</v>
      </c>
      <c r="P582" t="n">
        <v>0</v>
      </c>
      <c r="Q582" t="n">
        <v>0</v>
      </c>
      <c r="R582" s="2" t="inlineStr"/>
    </row>
    <row r="583" ht="15" customHeight="1">
      <c r="A583" t="inlineStr">
        <is>
          <t>A 26519-2026</t>
        </is>
      </c>
      <c r="B583" s="1" t="n">
        <v>46183</v>
      </c>
      <c r="C583" s="1" t="n">
        <v>46204</v>
      </c>
      <c r="D583" t="inlineStr">
        <is>
          <t>DALARNAS LÄN</t>
        </is>
      </c>
      <c r="E583" t="inlineStr">
        <is>
          <t>LEKSAND</t>
        </is>
      </c>
      <c r="F583" t="inlineStr">
        <is>
          <t>Bergvik skog väst AB</t>
        </is>
      </c>
      <c r="G583" t="n">
        <v>5</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46204</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16592-2023</t>
        </is>
      </c>
      <c r="B585" s="1" t="n">
        <v>45030</v>
      </c>
      <c r="C585" s="1" t="n">
        <v>46204</v>
      </c>
      <c r="D585" t="inlineStr">
        <is>
          <t>DALARNAS LÄN</t>
        </is>
      </c>
      <c r="E585" t="inlineStr">
        <is>
          <t>LEKSAND</t>
        </is>
      </c>
      <c r="G585" t="n">
        <v>11.5</v>
      </c>
      <c r="H585" t="n">
        <v>0</v>
      </c>
      <c r="I585" t="n">
        <v>0</v>
      </c>
      <c r="J585" t="n">
        <v>0</v>
      </c>
      <c r="K585" t="n">
        <v>0</v>
      </c>
      <c r="L585" t="n">
        <v>0</v>
      </c>
      <c r="M585" t="n">
        <v>0</v>
      </c>
      <c r="N585" t="n">
        <v>0</v>
      </c>
      <c r="O585" t="n">
        <v>0</v>
      </c>
      <c r="P585" t="n">
        <v>0</v>
      </c>
      <c r="Q585" t="n">
        <v>0</v>
      </c>
      <c r="R585" s="2" t="inlineStr"/>
    </row>
    <row r="586" ht="15" customHeight="1">
      <c r="A586" t="inlineStr">
        <is>
          <t>A 47121-2021</t>
        </is>
      </c>
      <c r="B586" s="1" t="n">
        <v>44446</v>
      </c>
      <c r="C586" s="1" t="n">
        <v>46204</v>
      </c>
      <c r="D586" t="inlineStr">
        <is>
          <t>DALARNAS LÄN</t>
        </is>
      </c>
      <c r="E586" t="inlineStr">
        <is>
          <t>LEKSAND</t>
        </is>
      </c>
      <c r="G586" t="n">
        <v>3.5</v>
      </c>
      <c r="H586" t="n">
        <v>0</v>
      </c>
      <c r="I586" t="n">
        <v>0</v>
      </c>
      <c r="J586" t="n">
        <v>0</v>
      </c>
      <c r="K586" t="n">
        <v>0</v>
      </c>
      <c r="L586" t="n">
        <v>0</v>
      </c>
      <c r="M586" t="n">
        <v>0</v>
      </c>
      <c r="N586" t="n">
        <v>0</v>
      </c>
      <c r="O586" t="n">
        <v>0</v>
      </c>
      <c r="P586" t="n">
        <v>0</v>
      </c>
      <c r="Q586" t="n">
        <v>0</v>
      </c>
      <c r="R586" s="2" t="inlineStr"/>
    </row>
    <row r="587" ht="15" customHeight="1">
      <c r="A587" t="inlineStr">
        <is>
          <t>A 36444-2023</t>
        </is>
      </c>
      <c r="B587" s="1" t="n">
        <v>45152</v>
      </c>
      <c r="C587" s="1" t="n">
        <v>46204</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21402-2023</t>
        </is>
      </c>
      <c r="B588" s="1" t="n">
        <v>45061</v>
      </c>
      <c r="C588" s="1" t="n">
        <v>46204</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167-2023</t>
        </is>
      </c>
      <c r="B589" s="1" t="n">
        <v>44918</v>
      </c>
      <c r="C589" s="1" t="n">
        <v>46204</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6028-2025</t>
        </is>
      </c>
      <c r="B590" s="1" t="n">
        <v>45695</v>
      </c>
      <c r="C590" s="1" t="n">
        <v>46204</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53243-2025</t>
        </is>
      </c>
      <c r="B591" s="1" t="n">
        <v>45958</v>
      </c>
      <c r="C591" s="1" t="n">
        <v>46204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31850-2024</t>
        </is>
      </c>
      <c r="B592" s="1" t="n">
        <v>45509</v>
      </c>
      <c r="C592" s="1" t="n">
        <v>46204</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26187-2026</t>
        </is>
      </c>
      <c r="B593" s="1" t="n">
        <v>46182</v>
      </c>
      <c r="C593" s="1" t="n">
        <v>46204</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27244-2023</t>
        </is>
      </c>
      <c r="B594" s="1" t="n">
        <v>45096</v>
      </c>
      <c r="C594" s="1" t="n">
        <v>46204</v>
      </c>
      <c r="D594" t="inlineStr">
        <is>
          <t>DALARNAS LÄN</t>
        </is>
      </c>
      <c r="E594" t="inlineStr">
        <is>
          <t>LEKSAND</t>
        </is>
      </c>
      <c r="G594" t="n">
        <v>5</v>
      </c>
      <c r="H594" t="n">
        <v>0</v>
      </c>
      <c r="I594" t="n">
        <v>0</v>
      </c>
      <c r="J594" t="n">
        <v>0</v>
      </c>
      <c r="K594" t="n">
        <v>0</v>
      </c>
      <c r="L594" t="n">
        <v>0</v>
      </c>
      <c r="M594" t="n">
        <v>0</v>
      </c>
      <c r="N594" t="n">
        <v>0</v>
      </c>
      <c r="O594" t="n">
        <v>0</v>
      </c>
      <c r="P594" t="n">
        <v>0</v>
      </c>
      <c r="Q594" t="n">
        <v>0</v>
      </c>
      <c r="R594" s="2" t="inlineStr"/>
    </row>
    <row r="595" ht="15" customHeight="1">
      <c r="A595" t="inlineStr">
        <is>
          <t>A 26348-2026</t>
        </is>
      </c>
      <c r="B595" s="1" t="n">
        <v>46182</v>
      </c>
      <c r="C595" s="1" t="n">
        <v>46204</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8211-2026</t>
        </is>
      </c>
      <c r="B596" s="1" t="n">
        <v>46064</v>
      </c>
      <c r="C596" s="1" t="n">
        <v>46204</v>
      </c>
      <c r="D596" t="inlineStr">
        <is>
          <t>DALARNAS LÄN</t>
        </is>
      </c>
      <c r="E596" t="inlineStr">
        <is>
          <t>LEKSAND</t>
        </is>
      </c>
      <c r="G596" t="n">
        <v>4.9</v>
      </c>
      <c r="H596" t="n">
        <v>0</v>
      </c>
      <c r="I596" t="n">
        <v>0</v>
      </c>
      <c r="J596" t="n">
        <v>0</v>
      </c>
      <c r="K596" t="n">
        <v>0</v>
      </c>
      <c r="L596" t="n">
        <v>0</v>
      </c>
      <c r="M596" t="n">
        <v>0</v>
      </c>
      <c r="N596" t="n">
        <v>0</v>
      </c>
      <c r="O596" t="n">
        <v>0</v>
      </c>
      <c r="P596" t="n">
        <v>0</v>
      </c>
      <c r="Q596" t="n">
        <v>0</v>
      </c>
      <c r="R596" s="2" t="inlineStr"/>
    </row>
    <row r="597" ht="15" customHeight="1">
      <c r="A597" t="inlineStr">
        <is>
          <t>A 43220-2024</t>
        </is>
      </c>
      <c r="B597" s="1" t="n">
        <v>45567</v>
      </c>
      <c r="C597" s="1" t="n">
        <v>46204</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20541-2026</t>
        </is>
      </c>
      <c r="B598" s="1" t="n">
        <v>46140</v>
      </c>
      <c r="C598" s="1" t="n">
        <v>46204</v>
      </c>
      <c r="D598" t="inlineStr">
        <is>
          <t>DALARNAS LÄN</t>
        </is>
      </c>
      <c r="E598" t="inlineStr">
        <is>
          <t>LEKSAND</t>
        </is>
      </c>
      <c r="G598" t="n">
        <v>3</v>
      </c>
      <c r="H598" t="n">
        <v>0</v>
      </c>
      <c r="I598" t="n">
        <v>0</v>
      </c>
      <c r="J598" t="n">
        <v>0</v>
      </c>
      <c r="K598" t="n">
        <v>0</v>
      </c>
      <c r="L598" t="n">
        <v>0</v>
      </c>
      <c r="M598" t="n">
        <v>0</v>
      </c>
      <c r="N598" t="n">
        <v>0</v>
      </c>
      <c r="O598" t="n">
        <v>0</v>
      </c>
      <c r="P598" t="n">
        <v>0</v>
      </c>
      <c r="Q598" t="n">
        <v>0</v>
      </c>
      <c r="R598" s="2" t="inlineStr"/>
    </row>
    <row r="599" ht="15" customHeight="1">
      <c r="A599" t="inlineStr">
        <is>
          <t>A 12290-2024</t>
        </is>
      </c>
      <c r="B599" s="1" t="n">
        <v>45378</v>
      </c>
      <c r="C599" s="1" t="n">
        <v>46204</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17606-2024</t>
        </is>
      </c>
      <c r="B600" s="1" t="n">
        <v>45415</v>
      </c>
      <c r="C600" s="1" t="n">
        <v>46204</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39819-2024</t>
        </is>
      </c>
      <c r="B601" s="1" t="n">
        <v>45553</v>
      </c>
      <c r="C601" s="1" t="n">
        <v>46204</v>
      </c>
      <c r="D601" t="inlineStr">
        <is>
          <t>DALARNAS LÄN</t>
        </is>
      </c>
      <c r="E601" t="inlineStr">
        <is>
          <t>LEKSAND</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36450-2023</t>
        </is>
      </c>
      <c r="B602" s="1" t="n">
        <v>45152</v>
      </c>
      <c r="C602" s="1" t="n">
        <v>46204</v>
      </c>
      <c r="D602" t="inlineStr">
        <is>
          <t>DALARNAS LÄN</t>
        </is>
      </c>
      <c r="E602" t="inlineStr">
        <is>
          <t>LEKSAND</t>
        </is>
      </c>
      <c r="G602" t="n">
        <v>2.4</v>
      </c>
      <c r="H602" t="n">
        <v>0</v>
      </c>
      <c r="I602" t="n">
        <v>0</v>
      </c>
      <c r="J602" t="n">
        <v>0</v>
      </c>
      <c r="K602" t="n">
        <v>0</v>
      </c>
      <c r="L602" t="n">
        <v>0</v>
      </c>
      <c r="M602" t="n">
        <v>0</v>
      </c>
      <c r="N602" t="n">
        <v>0</v>
      </c>
      <c r="O602" t="n">
        <v>0</v>
      </c>
      <c r="P602" t="n">
        <v>0</v>
      </c>
      <c r="Q602" t="n">
        <v>0</v>
      </c>
      <c r="R602" s="2" t="inlineStr"/>
    </row>
    <row r="603" ht="15" customHeight="1">
      <c r="A603" t="inlineStr">
        <is>
          <t>A 1149-2026</t>
        </is>
      </c>
      <c r="B603" s="1" t="n">
        <v>46030</v>
      </c>
      <c r="C603" s="1" t="n">
        <v>46204</v>
      </c>
      <c r="D603" t="inlineStr">
        <is>
          <t>DALARNAS LÄN</t>
        </is>
      </c>
      <c r="E603" t="inlineStr">
        <is>
          <t>LEKSAND</t>
        </is>
      </c>
      <c r="G603" t="n">
        <v>11.7</v>
      </c>
      <c r="H603" t="n">
        <v>0</v>
      </c>
      <c r="I603" t="n">
        <v>0</v>
      </c>
      <c r="J603" t="n">
        <v>0</v>
      </c>
      <c r="K603" t="n">
        <v>0</v>
      </c>
      <c r="L603" t="n">
        <v>0</v>
      </c>
      <c r="M603" t="n">
        <v>0</v>
      </c>
      <c r="N603" t="n">
        <v>0</v>
      </c>
      <c r="O603" t="n">
        <v>0</v>
      </c>
      <c r="P603" t="n">
        <v>0</v>
      </c>
      <c r="Q603" t="n">
        <v>0</v>
      </c>
      <c r="R603" s="2" t="inlineStr"/>
    </row>
    <row r="604" ht="15" customHeight="1">
      <c r="A604" t="inlineStr">
        <is>
          <t>A 19559-2023</t>
        </is>
      </c>
      <c r="B604" s="1" t="n">
        <v>45050</v>
      </c>
      <c r="C604" s="1" t="n">
        <v>46204</v>
      </c>
      <c r="D604" t="inlineStr">
        <is>
          <t>DALARNAS LÄN</t>
        </is>
      </c>
      <c r="E604" t="inlineStr">
        <is>
          <t>LEKSAND</t>
        </is>
      </c>
      <c r="G604" t="n">
        <v>0.1</v>
      </c>
      <c r="H604" t="n">
        <v>0</v>
      </c>
      <c r="I604" t="n">
        <v>0</v>
      </c>
      <c r="J604" t="n">
        <v>0</v>
      </c>
      <c r="K604" t="n">
        <v>0</v>
      </c>
      <c r="L604" t="n">
        <v>0</v>
      </c>
      <c r="M604" t="n">
        <v>0</v>
      </c>
      <c r="N604" t="n">
        <v>0</v>
      </c>
      <c r="O604" t="n">
        <v>0</v>
      </c>
      <c r="P604" t="n">
        <v>0</v>
      </c>
      <c r="Q604" t="n">
        <v>0</v>
      </c>
      <c r="R604" s="2" t="inlineStr"/>
    </row>
    <row r="605" ht="15" customHeight="1">
      <c r="A605" t="inlineStr">
        <is>
          <t>A 48721-2023</t>
        </is>
      </c>
      <c r="B605" s="1" t="n">
        <v>45203</v>
      </c>
      <c r="C605" s="1" t="n">
        <v>46204</v>
      </c>
      <c r="D605" t="inlineStr">
        <is>
          <t>DALARNAS LÄN</t>
        </is>
      </c>
      <c r="E605" t="inlineStr">
        <is>
          <t>LEKSAND</t>
        </is>
      </c>
      <c r="G605" t="n">
        <v>2.9</v>
      </c>
      <c r="H605" t="n">
        <v>0</v>
      </c>
      <c r="I605" t="n">
        <v>0</v>
      </c>
      <c r="J605" t="n">
        <v>0</v>
      </c>
      <c r="K605" t="n">
        <v>0</v>
      </c>
      <c r="L605" t="n">
        <v>0</v>
      </c>
      <c r="M605" t="n">
        <v>0</v>
      </c>
      <c r="N605" t="n">
        <v>0</v>
      </c>
      <c r="O605" t="n">
        <v>0</v>
      </c>
      <c r="P605" t="n">
        <v>0</v>
      </c>
      <c r="Q605" t="n">
        <v>0</v>
      </c>
      <c r="R605" s="2" t="inlineStr"/>
    </row>
    <row r="606" ht="15" customHeight="1">
      <c r="A606" t="inlineStr">
        <is>
          <t>A 43142-2024</t>
        </is>
      </c>
      <c r="B606" s="1" t="n">
        <v>45567</v>
      </c>
      <c r="C606" s="1" t="n">
        <v>46204</v>
      </c>
      <c r="D606" t="inlineStr">
        <is>
          <t>DALARNAS LÄN</t>
        </is>
      </c>
      <c r="E606" t="inlineStr">
        <is>
          <t>LEKSAND</t>
        </is>
      </c>
      <c r="F606" t="inlineStr">
        <is>
          <t>Bergvik skog väst AB</t>
        </is>
      </c>
      <c r="G606" t="n">
        <v>2.9</v>
      </c>
      <c r="H606" t="n">
        <v>0</v>
      </c>
      <c r="I606" t="n">
        <v>0</v>
      </c>
      <c r="J606" t="n">
        <v>0</v>
      </c>
      <c r="K606" t="n">
        <v>0</v>
      </c>
      <c r="L606" t="n">
        <v>0</v>
      </c>
      <c r="M606" t="n">
        <v>0</v>
      </c>
      <c r="N606" t="n">
        <v>0</v>
      </c>
      <c r="O606" t="n">
        <v>0</v>
      </c>
      <c r="P606" t="n">
        <v>0</v>
      </c>
      <c r="Q606" t="n">
        <v>0</v>
      </c>
      <c r="R606" s="2" t="inlineStr"/>
    </row>
    <row r="607" ht="15" customHeight="1">
      <c r="A607" t="inlineStr">
        <is>
          <t>A 20663-2026</t>
        </is>
      </c>
      <c r="B607" s="1" t="n">
        <v>46141</v>
      </c>
      <c r="C607" s="1" t="n">
        <v>46204</v>
      </c>
      <c r="D607" t="inlineStr">
        <is>
          <t>DALARNAS LÄN</t>
        </is>
      </c>
      <c r="E607" t="inlineStr">
        <is>
          <t>LEKSAND</t>
        </is>
      </c>
      <c r="F607" t="inlineStr">
        <is>
          <t>Bergvik skog väst AB</t>
        </is>
      </c>
      <c r="G607" t="n">
        <v>12.8</v>
      </c>
      <c r="H607" t="n">
        <v>0</v>
      </c>
      <c r="I607" t="n">
        <v>0</v>
      </c>
      <c r="J607" t="n">
        <v>0</v>
      </c>
      <c r="K607" t="n">
        <v>0</v>
      </c>
      <c r="L607" t="n">
        <v>0</v>
      </c>
      <c r="M607" t="n">
        <v>0</v>
      </c>
      <c r="N607" t="n">
        <v>0</v>
      </c>
      <c r="O607" t="n">
        <v>0</v>
      </c>
      <c r="P607" t="n">
        <v>0</v>
      </c>
      <c r="Q607" t="n">
        <v>0</v>
      </c>
      <c r="R607" s="2" t="inlineStr"/>
    </row>
    <row r="608" ht="15" customHeight="1">
      <c r="A608" t="inlineStr">
        <is>
          <t>A 53817-2023</t>
        </is>
      </c>
      <c r="B608" s="1" t="n">
        <v>45231</v>
      </c>
      <c r="C608" s="1" t="n">
        <v>46204</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16197-2024</t>
        </is>
      </c>
      <c r="B609" s="1" t="n">
        <v>45406</v>
      </c>
      <c r="C609" s="1" t="n">
        <v>46204</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2068-2026</t>
        </is>
      </c>
      <c r="B610" s="1" t="n">
        <v>46036</v>
      </c>
      <c r="C610" s="1" t="n">
        <v>46204</v>
      </c>
      <c r="D610" t="inlineStr">
        <is>
          <t>DALARNAS LÄN</t>
        </is>
      </c>
      <c r="E610" t="inlineStr">
        <is>
          <t>LEKSAND</t>
        </is>
      </c>
      <c r="F610" t="inlineStr">
        <is>
          <t>Övriga Aktiebolag</t>
        </is>
      </c>
      <c r="G610" t="n">
        <v>15.5</v>
      </c>
      <c r="H610" t="n">
        <v>0</v>
      </c>
      <c r="I610" t="n">
        <v>0</v>
      </c>
      <c r="J610" t="n">
        <v>0</v>
      </c>
      <c r="K610" t="n">
        <v>0</v>
      </c>
      <c r="L610" t="n">
        <v>0</v>
      </c>
      <c r="M610" t="n">
        <v>0</v>
      </c>
      <c r="N610" t="n">
        <v>0</v>
      </c>
      <c r="O610" t="n">
        <v>0</v>
      </c>
      <c r="P610" t="n">
        <v>0</v>
      </c>
      <c r="Q610" t="n">
        <v>0</v>
      </c>
      <c r="R610" s="2" t="inlineStr"/>
    </row>
    <row r="611" ht="15" customHeight="1">
      <c r="A611" t="inlineStr">
        <is>
          <t>A 62993-2023</t>
        </is>
      </c>
      <c r="B611" s="1" t="n">
        <v>45272</v>
      </c>
      <c r="C611" s="1" t="n">
        <v>46204</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26923-2026</t>
        </is>
      </c>
      <c r="B612" s="1" t="n">
        <v>46185</v>
      </c>
      <c r="C612" s="1" t="n">
        <v>46204</v>
      </c>
      <c r="D612" t="inlineStr">
        <is>
          <t>DALARNAS LÄN</t>
        </is>
      </c>
      <c r="E612" t="inlineStr">
        <is>
          <t>LEKSAND</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17455-2022</t>
        </is>
      </c>
      <c r="B613" s="1" t="n">
        <v>44679</v>
      </c>
      <c r="C613" s="1" t="n">
        <v>46204</v>
      </c>
      <c r="D613" t="inlineStr">
        <is>
          <t>DALARNAS LÄN</t>
        </is>
      </c>
      <c r="E613" t="inlineStr">
        <is>
          <t>LEKSAND</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7417-2024</t>
        </is>
      </c>
      <c r="B614" s="1" t="n">
        <v>45345</v>
      </c>
      <c r="C614" s="1" t="n">
        <v>46204</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4121-2024</t>
        </is>
      </c>
      <c r="B615" s="1" t="n">
        <v>45323</v>
      </c>
      <c r="C615" s="1" t="n">
        <v>46204</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27201-2026</t>
        </is>
      </c>
      <c r="B616" s="1" t="n">
        <v>46188</v>
      </c>
      <c r="C616" s="1" t="n">
        <v>46204</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21177-2026</t>
        </is>
      </c>
      <c r="B617" s="1" t="n">
        <v>46146</v>
      </c>
      <c r="C617" s="1" t="n">
        <v>46204</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25921-2024</t>
        </is>
      </c>
      <c r="B618" s="1" t="n">
        <v>45467</v>
      </c>
      <c r="C618" s="1" t="n">
        <v>46204</v>
      </c>
      <c r="D618" t="inlineStr">
        <is>
          <t>DALARNAS LÄN</t>
        </is>
      </c>
      <c r="E618" t="inlineStr">
        <is>
          <t>LEKSAND</t>
        </is>
      </c>
      <c r="G618" t="n">
        <v>2.8</v>
      </c>
      <c r="H618" t="n">
        <v>0</v>
      </c>
      <c r="I618" t="n">
        <v>0</v>
      </c>
      <c r="J618" t="n">
        <v>0</v>
      </c>
      <c r="K618" t="n">
        <v>0</v>
      </c>
      <c r="L618" t="n">
        <v>0</v>
      </c>
      <c r="M618" t="n">
        <v>0</v>
      </c>
      <c r="N618" t="n">
        <v>0</v>
      </c>
      <c r="O618" t="n">
        <v>0</v>
      </c>
      <c r="P618" t="n">
        <v>0</v>
      </c>
      <c r="Q618" t="n">
        <v>0</v>
      </c>
      <c r="R618" s="2" t="inlineStr"/>
    </row>
    <row r="619" ht="15" customHeight="1">
      <c r="A619" t="inlineStr">
        <is>
          <t>A 41306-2024</t>
        </is>
      </c>
      <c r="B619" s="1" t="n">
        <v>45559</v>
      </c>
      <c r="C619" s="1" t="n">
        <v>46204</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17377-2025</t>
        </is>
      </c>
      <c r="B620" s="1" t="n">
        <v>45756</v>
      </c>
      <c r="C620" s="1" t="n">
        <v>46204</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21250-2026</t>
        </is>
      </c>
      <c r="B621" s="1" t="n">
        <v>46147</v>
      </c>
      <c r="C621" s="1" t="n">
        <v>46204</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13288-2023</t>
        </is>
      </c>
      <c r="B622" s="1" t="n">
        <v>45004</v>
      </c>
      <c r="C622" s="1" t="n">
        <v>46204</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27848-2026</t>
        </is>
      </c>
      <c r="B623" s="1" t="n">
        <v>46191</v>
      </c>
      <c r="C623" s="1" t="n">
        <v>46204</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17233-2023</t>
        </is>
      </c>
      <c r="B624" s="1" t="n">
        <v>45035</v>
      </c>
      <c r="C624" s="1" t="n">
        <v>46204</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21563-2026</t>
        </is>
      </c>
      <c r="B625" s="1" t="n">
        <v>46148</v>
      </c>
      <c r="C625" s="1" t="n">
        <v>46204</v>
      </c>
      <c r="D625" t="inlineStr">
        <is>
          <t>DALARNAS LÄN</t>
        </is>
      </c>
      <c r="E625" t="inlineStr">
        <is>
          <t>LEKSAND</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46931-2023</t>
        </is>
      </c>
      <c r="B626" s="1" t="n">
        <v>45201</v>
      </c>
      <c r="C626" s="1" t="n">
        <v>46204</v>
      </c>
      <c r="D626" t="inlineStr">
        <is>
          <t>DALARNAS LÄN</t>
        </is>
      </c>
      <c r="E626" t="inlineStr">
        <is>
          <t>LEKSAND</t>
        </is>
      </c>
      <c r="G626" t="n">
        <v>1.4</v>
      </c>
      <c r="H626" t="n">
        <v>0</v>
      </c>
      <c r="I626" t="n">
        <v>0</v>
      </c>
      <c r="J626" t="n">
        <v>0</v>
      </c>
      <c r="K626" t="n">
        <v>0</v>
      </c>
      <c r="L626" t="n">
        <v>0</v>
      </c>
      <c r="M626" t="n">
        <v>0</v>
      </c>
      <c r="N626" t="n">
        <v>0</v>
      </c>
      <c r="O626" t="n">
        <v>0</v>
      </c>
      <c r="P626" t="n">
        <v>0</v>
      </c>
      <c r="Q626" t="n">
        <v>0</v>
      </c>
      <c r="R626" s="2" t="inlineStr"/>
    </row>
    <row r="627" ht="15" customHeight="1">
      <c r="A627" t="inlineStr">
        <is>
          <t>A 11740-2025</t>
        </is>
      </c>
      <c r="B627" s="1" t="n">
        <v>45727</v>
      </c>
      <c r="C627" s="1" t="n">
        <v>46204</v>
      </c>
      <c r="D627" t="inlineStr">
        <is>
          <t>DALARNAS LÄN</t>
        </is>
      </c>
      <c r="E627" t="inlineStr">
        <is>
          <t>LEKSAND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27875-2026</t>
        </is>
      </c>
      <c r="B628" s="1" t="n">
        <v>46191</v>
      </c>
      <c r="C628" s="1" t="n">
        <v>46204</v>
      </c>
      <c r="D628" t="inlineStr">
        <is>
          <t>DALARNAS LÄN</t>
        </is>
      </c>
      <c r="E628" t="inlineStr">
        <is>
          <t>LEKSAND</t>
        </is>
      </c>
      <c r="F628" t="inlineStr">
        <is>
          <t>Bergvik skog väst AB</t>
        </is>
      </c>
      <c r="G628" t="n">
        <v>2.3</v>
      </c>
      <c r="H628" t="n">
        <v>0</v>
      </c>
      <c r="I628" t="n">
        <v>0</v>
      </c>
      <c r="J628" t="n">
        <v>0</v>
      </c>
      <c r="K628" t="n">
        <v>0</v>
      </c>
      <c r="L628" t="n">
        <v>0</v>
      </c>
      <c r="M628" t="n">
        <v>0</v>
      </c>
      <c r="N628" t="n">
        <v>0</v>
      </c>
      <c r="O628" t="n">
        <v>0</v>
      </c>
      <c r="P628" t="n">
        <v>0</v>
      </c>
      <c r="Q628" t="n">
        <v>0</v>
      </c>
      <c r="R628" s="2" t="inlineStr"/>
    </row>
    <row r="629" ht="15" customHeight="1">
      <c r="A629" t="inlineStr">
        <is>
          <t>A 21751-2026</t>
        </is>
      </c>
      <c r="B629" s="1" t="n">
        <v>46149</v>
      </c>
      <c r="C629" s="1" t="n">
        <v>46204</v>
      </c>
      <c r="D629" t="inlineStr">
        <is>
          <t>DALARNAS LÄN</t>
        </is>
      </c>
      <c r="E629" t="inlineStr">
        <is>
          <t>LEKSAND</t>
        </is>
      </c>
      <c r="G629" t="n">
        <v>0.8</v>
      </c>
      <c r="H629" t="n">
        <v>0</v>
      </c>
      <c r="I629" t="n">
        <v>0</v>
      </c>
      <c r="J629" t="n">
        <v>0</v>
      </c>
      <c r="K629" t="n">
        <v>0</v>
      </c>
      <c r="L629" t="n">
        <v>0</v>
      </c>
      <c r="M629" t="n">
        <v>0</v>
      </c>
      <c r="N629" t="n">
        <v>0</v>
      </c>
      <c r="O629" t="n">
        <v>0</v>
      </c>
      <c r="P629" t="n">
        <v>0</v>
      </c>
      <c r="Q629" t="n">
        <v>0</v>
      </c>
      <c r="R629" s="2" t="inlineStr"/>
    </row>
    <row r="630" ht="15" customHeight="1">
      <c r="A630" t="inlineStr">
        <is>
          <t>A 17357-2026</t>
        </is>
      </c>
      <c r="B630" s="1" t="n">
        <v>46119</v>
      </c>
      <c r="C630" s="1" t="n">
        <v>46204</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10373-2023</t>
        </is>
      </c>
      <c r="B631" s="1" t="n">
        <v>44987</v>
      </c>
      <c r="C631" s="1" t="n">
        <v>46204</v>
      </c>
      <c r="D631" t="inlineStr">
        <is>
          <t>DALARNAS LÄN</t>
        </is>
      </c>
      <c r="E631" t="inlineStr">
        <is>
          <t>LEKSAND</t>
        </is>
      </c>
      <c r="G631" t="n">
        <v>0.3</v>
      </c>
      <c r="H631" t="n">
        <v>0</v>
      </c>
      <c r="I631" t="n">
        <v>0</v>
      </c>
      <c r="J631" t="n">
        <v>0</v>
      </c>
      <c r="K631" t="n">
        <v>0</v>
      </c>
      <c r="L631" t="n">
        <v>0</v>
      </c>
      <c r="M631" t="n">
        <v>0</v>
      </c>
      <c r="N631" t="n">
        <v>0</v>
      </c>
      <c r="O631" t="n">
        <v>0</v>
      </c>
      <c r="P631" t="n">
        <v>0</v>
      </c>
      <c r="Q631" t="n">
        <v>0</v>
      </c>
      <c r="R631" s="2" t="inlineStr"/>
    </row>
    <row r="632" ht="15" customHeight="1">
      <c r="A632" t="inlineStr">
        <is>
          <t>A 21627-2026</t>
        </is>
      </c>
      <c r="B632" s="1" t="n">
        <v>46149</v>
      </c>
      <c r="C632" s="1" t="n">
        <v>46204</v>
      </c>
      <c r="D632" t="inlineStr">
        <is>
          <t>DALARNAS LÄN</t>
        </is>
      </c>
      <c r="E632" t="inlineStr">
        <is>
          <t>LEKSAND</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2820-2024</t>
        </is>
      </c>
      <c r="B633" s="1" t="n">
        <v>45314</v>
      </c>
      <c r="C633" s="1" t="n">
        <v>46204</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2822-2024</t>
        </is>
      </c>
      <c r="B634" s="1" t="n">
        <v>45314</v>
      </c>
      <c r="C634" s="1" t="n">
        <v>46204</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21544-2026</t>
        </is>
      </c>
      <c r="B635" s="1" t="n">
        <v>46148</v>
      </c>
      <c r="C635" s="1" t="n">
        <v>46204</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27691-2026</t>
        </is>
      </c>
      <c r="B636" s="1" t="n">
        <v>46190</v>
      </c>
      <c r="C636" s="1" t="n">
        <v>46204</v>
      </c>
      <c r="D636" t="inlineStr">
        <is>
          <t>DALARNAS LÄN</t>
        </is>
      </c>
      <c r="E636" t="inlineStr">
        <is>
          <t>LEKSAND</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27859-2026</t>
        </is>
      </c>
      <c r="B637" s="1" t="n">
        <v>46191</v>
      </c>
      <c r="C637" s="1" t="n">
        <v>46204</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37952-2024</t>
        </is>
      </c>
      <c r="B638" s="1" t="n">
        <v>45544</v>
      </c>
      <c r="C638" s="1" t="n">
        <v>46204</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21754-2026</t>
        </is>
      </c>
      <c r="B639" s="1" t="n">
        <v>46149</v>
      </c>
      <c r="C639" s="1" t="n">
        <v>46204</v>
      </c>
      <c r="D639" t="inlineStr">
        <is>
          <t>DALARNAS LÄN</t>
        </is>
      </c>
      <c r="E639" t="inlineStr">
        <is>
          <t>LEKSAND</t>
        </is>
      </c>
      <c r="F639" t="inlineStr">
        <is>
          <t>Bergvik skog väst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37508-2025</t>
        </is>
      </c>
      <c r="B640" s="1" t="n">
        <v>45877</v>
      </c>
      <c r="C640" s="1" t="n">
        <v>46204</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46834-2023</t>
        </is>
      </c>
      <c r="B641" s="1" t="n">
        <v>45199</v>
      </c>
      <c r="C641" s="1" t="n">
        <v>46204</v>
      </c>
      <c r="D641" t="inlineStr">
        <is>
          <t>DALARNAS LÄN</t>
        </is>
      </c>
      <c r="E641" t="inlineStr">
        <is>
          <t>LEKSAND</t>
        </is>
      </c>
      <c r="G641" t="n">
        <v>16.3</v>
      </c>
      <c r="H641" t="n">
        <v>0</v>
      </c>
      <c r="I641" t="n">
        <v>0</v>
      </c>
      <c r="J641" t="n">
        <v>0</v>
      </c>
      <c r="K641" t="n">
        <v>0</v>
      </c>
      <c r="L641" t="n">
        <v>0</v>
      </c>
      <c r="M641" t="n">
        <v>0</v>
      </c>
      <c r="N641" t="n">
        <v>0</v>
      </c>
      <c r="O641" t="n">
        <v>0</v>
      </c>
      <c r="P641" t="n">
        <v>0</v>
      </c>
      <c r="Q641" t="n">
        <v>0</v>
      </c>
      <c r="R641" s="2" t="inlineStr"/>
    </row>
    <row r="642" ht="15" customHeight="1">
      <c r="A642" t="inlineStr">
        <is>
          <t>A 12851-2023</t>
        </is>
      </c>
      <c r="B642" s="1" t="n">
        <v>45001</v>
      </c>
      <c r="C642" s="1" t="n">
        <v>46204</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22202-2026</t>
        </is>
      </c>
      <c r="B643" s="1" t="n">
        <v>46153</v>
      </c>
      <c r="C643" s="1" t="n">
        <v>46204</v>
      </c>
      <c r="D643" t="inlineStr">
        <is>
          <t>DALARNAS LÄN</t>
        </is>
      </c>
      <c r="E643" t="inlineStr">
        <is>
          <t>LEKSAND</t>
        </is>
      </c>
      <c r="F643" t="inlineStr">
        <is>
          <t>Bergvik skog väst AB</t>
        </is>
      </c>
      <c r="G643" t="n">
        <v>7</v>
      </c>
      <c r="H643" t="n">
        <v>0</v>
      </c>
      <c r="I643" t="n">
        <v>0</v>
      </c>
      <c r="J643" t="n">
        <v>0</v>
      </c>
      <c r="K643" t="n">
        <v>0</v>
      </c>
      <c r="L643" t="n">
        <v>0</v>
      </c>
      <c r="M643" t="n">
        <v>0</v>
      </c>
      <c r="N643" t="n">
        <v>0</v>
      </c>
      <c r="O643" t="n">
        <v>0</v>
      </c>
      <c r="P643" t="n">
        <v>0</v>
      </c>
      <c r="Q643" t="n">
        <v>0</v>
      </c>
      <c r="R643" s="2" t="inlineStr"/>
    </row>
    <row r="644" ht="15" customHeight="1">
      <c r="A644" t="inlineStr">
        <is>
          <t>A 2853-2026</t>
        </is>
      </c>
      <c r="B644" s="1" t="n">
        <v>46038</v>
      </c>
      <c r="C644" s="1" t="n">
        <v>46204</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32666-2023</t>
        </is>
      </c>
      <c r="B645" s="1" t="n">
        <v>45121</v>
      </c>
      <c r="C645" s="1" t="n">
        <v>46204</v>
      </c>
      <c r="D645" t="inlineStr">
        <is>
          <t>DALARNAS LÄN</t>
        </is>
      </c>
      <c r="E645" t="inlineStr">
        <is>
          <t>LEKSAND</t>
        </is>
      </c>
      <c r="G645" t="n">
        <v>9.9</v>
      </c>
      <c r="H645" t="n">
        <v>0</v>
      </c>
      <c r="I645" t="n">
        <v>0</v>
      </c>
      <c r="J645" t="n">
        <v>0</v>
      </c>
      <c r="K645" t="n">
        <v>0</v>
      </c>
      <c r="L645" t="n">
        <v>0</v>
      </c>
      <c r="M645" t="n">
        <v>0</v>
      </c>
      <c r="N645" t="n">
        <v>0</v>
      </c>
      <c r="O645" t="n">
        <v>0</v>
      </c>
      <c r="P645" t="n">
        <v>0</v>
      </c>
      <c r="Q645" t="n">
        <v>0</v>
      </c>
      <c r="R645" s="2" t="inlineStr"/>
    </row>
    <row r="646" ht="15" customHeight="1">
      <c r="A646" t="inlineStr">
        <is>
          <t>A 12988-2026</t>
        </is>
      </c>
      <c r="B646" s="1" t="n">
        <v>46092</v>
      </c>
      <c r="C646" s="1" t="n">
        <v>46204</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22105-2026</t>
        </is>
      </c>
      <c r="B647" s="1" t="n">
        <v>46153</v>
      </c>
      <c r="C647" s="1" t="n">
        <v>46204</v>
      </c>
      <c r="D647" t="inlineStr">
        <is>
          <t>DALARNAS LÄN</t>
        </is>
      </c>
      <c r="E647" t="inlineStr">
        <is>
          <t>LEKSAND</t>
        </is>
      </c>
      <c r="F647" t="inlineStr">
        <is>
          <t>Bergvik skog väst AB</t>
        </is>
      </c>
      <c r="G647" t="n">
        <v>1.9</v>
      </c>
      <c r="H647" t="n">
        <v>0</v>
      </c>
      <c r="I647" t="n">
        <v>0</v>
      </c>
      <c r="J647" t="n">
        <v>0</v>
      </c>
      <c r="K647" t="n">
        <v>0</v>
      </c>
      <c r="L647" t="n">
        <v>0</v>
      </c>
      <c r="M647" t="n">
        <v>0</v>
      </c>
      <c r="N647" t="n">
        <v>0</v>
      </c>
      <c r="O647" t="n">
        <v>0</v>
      </c>
      <c r="P647" t="n">
        <v>0</v>
      </c>
      <c r="Q647" t="n">
        <v>0</v>
      </c>
      <c r="R647" s="2" t="inlineStr"/>
    </row>
    <row r="648" ht="15" customHeight="1">
      <c r="A648" t="inlineStr">
        <is>
          <t>A 21856-2026</t>
        </is>
      </c>
      <c r="B648" s="1" t="n">
        <v>46150</v>
      </c>
      <c r="C648" s="1" t="n">
        <v>46204</v>
      </c>
      <c r="D648" t="inlineStr">
        <is>
          <t>DALARNAS LÄN</t>
        </is>
      </c>
      <c r="E648" t="inlineStr">
        <is>
          <t>LEKSAND</t>
        </is>
      </c>
      <c r="F648" t="inlineStr">
        <is>
          <t>Bergvik skog väst AB</t>
        </is>
      </c>
      <c r="G648" t="n">
        <v>2.3</v>
      </c>
      <c r="H648" t="n">
        <v>0</v>
      </c>
      <c r="I648" t="n">
        <v>0</v>
      </c>
      <c r="J648" t="n">
        <v>0</v>
      </c>
      <c r="K648" t="n">
        <v>0</v>
      </c>
      <c r="L648" t="n">
        <v>0</v>
      </c>
      <c r="M648" t="n">
        <v>0</v>
      </c>
      <c r="N648" t="n">
        <v>0</v>
      </c>
      <c r="O648" t="n">
        <v>0</v>
      </c>
      <c r="P648" t="n">
        <v>0</v>
      </c>
      <c r="Q648" t="n">
        <v>0</v>
      </c>
      <c r="R648" s="2" t="inlineStr"/>
    </row>
    <row r="649" ht="15" customHeight="1">
      <c r="A649" t="inlineStr">
        <is>
          <t>A 34482-2022</t>
        </is>
      </c>
      <c r="B649" s="1" t="n">
        <v>44792</v>
      </c>
      <c r="C649" s="1" t="n">
        <v>46204</v>
      </c>
      <c r="D649" t="inlineStr">
        <is>
          <t>DALARNAS LÄN</t>
        </is>
      </c>
      <c r="E649" t="inlineStr">
        <is>
          <t>LEKSAND</t>
        </is>
      </c>
      <c r="G649" t="n">
        <v>2.6</v>
      </c>
      <c r="H649" t="n">
        <v>0</v>
      </c>
      <c r="I649" t="n">
        <v>0</v>
      </c>
      <c r="J649" t="n">
        <v>0</v>
      </c>
      <c r="K649" t="n">
        <v>0</v>
      </c>
      <c r="L649" t="n">
        <v>0</v>
      </c>
      <c r="M649" t="n">
        <v>0</v>
      </c>
      <c r="N649" t="n">
        <v>0</v>
      </c>
      <c r="O649" t="n">
        <v>0</v>
      </c>
      <c r="P649" t="n">
        <v>0</v>
      </c>
      <c r="Q649" t="n">
        <v>0</v>
      </c>
      <c r="R649" s="2" t="inlineStr"/>
    </row>
    <row r="650" ht="15" customHeight="1">
      <c r="A650" t="inlineStr">
        <is>
          <t>A 22418-2026</t>
        </is>
      </c>
      <c r="B650" s="1" t="n">
        <v>46154</v>
      </c>
      <c r="C650" s="1" t="n">
        <v>46204</v>
      </c>
      <c r="D650" t="inlineStr">
        <is>
          <t>DALARNAS LÄN</t>
        </is>
      </c>
      <c r="E650" t="inlineStr">
        <is>
          <t>LEKSAND</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5584-2024</t>
        </is>
      </c>
      <c r="B651" s="1" t="n">
        <v>45334</v>
      </c>
      <c r="C651" s="1" t="n">
        <v>46204</v>
      </c>
      <c r="D651" t="inlineStr">
        <is>
          <t>DALARNAS LÄN</t>
        </is>
      </c>
      <c r="E651" t="inlineStr">
        <is>
          <t>LEKSAND</t>
        </is>
      </c>
      <c r="F651" t="inlineStr">
        <is>
          <t>Kyrkan</t>
        </is>
      </c>
      <c r="G651" t="n">
        <v>0.4</v>
      </c>
      <c r="H651" t="n">
        <v>0</v>
      </c>
      <c r="I651" t="n">
        <v>0</v>
      </c>
      <c r="J651" t="n">
        <v>0</v>
      </c>
      <c r="K651" t="n">
        <v>0</v>
      </c>
      <c r="L651" t="n">
        <v>0</v>
      </c>
      <c r="M651" t="n">
        <v>0</v>
      </c>
      <c r="N651" t="n">
        <v>0</v>
      </c>
      <c r="O651" t="n">
        <v>0</v>
      </c>
      <c r="P651" t="n">
        <v>0</v>
      </c>
      <c r="Q651" t="n">
        <v>0</v>
      </c>
      <c r="R651" s="2" t="inlineStr"/>
    </row>
    <row r="652" ht="15" customHeight="1">
      <c r="A652" t="inlineStr">
        <is>
          <t>A 51860-2024</t>
        </is>
      </c>
      <c r="B652" s="1" t="n">
        <v>45607</v>
      </c>
      <c r="C652" s="1" t="n">
        <v>46204</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22681-2022</t>
        </is>
      </c>
      <c r="B653" s="1" t="n">
        <v>44714</v>
      </c>
      <c r="C653" s="1" t="n">
        <v>46204</v>
      </c>
      <c r="D653" t="inlineStr">
        <is>
          <t>DALARNAS LÄN</t>
        </is>
      </c>
      <c r="E653" t="inlineStr">
        <is>
          <t>LEKSAND</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22539-2026</t>
        </is>
      </c>
      <c r="B654" s="1" t="n">
        <v>46155</v>
      </c>
      <c r="C654" s="1" t="n">
        <v>46204</v>
      </c>
      <c r="D654" t="inlineStr">
        <is>
          <t>DALARNAS LÄN</t>
        </is>
      </c>
      <c r="E654" t="inlineStr">
        <is>
          <t>LEKSAND</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32104-2025</t>
        </is>
      </c>
      <c r="B655" s="1" t="n">
        <v>45835</v>
      </c>
      <c r="C655" s="1" t="n">
        <v>46204</v>
      </c>
      <c r="D655" t="inlineStr">
        <is>
          <t>DALARNAS LÄN</t>
        </is>
      </c>
      <c r="E655" t="inlineStr">
        <is>
          <t>LEKSAND</t>
        </is>
      </c>
      <c r="G655" t="n">
        <v>3.1</v>
      </c>
      <c r="H655" t="n">
        <v>0</v>
      </c>
      <c r="I655" t="n">
        <v>0</v>
      </c>
      <c r="J655" t="n">
        <v>0</v>
      </c>
      <c r="K655" t="n">
        <v>0</v>
      </c>
      <c r="L655" t="n">
        <v>0</v>
      </c>
      <c r="M655" t="n">
        <v>0</v>
      </c>
      <c r="N655" t="n">
        <v>0</v>
      </c>
      <c r="O655" t="n">
        <v>0</v>
      </c>
      <c r="P655" t="n">
        <v>0</v>
      </c>
      <c r="Q655" t="n">
        <v>0</v>
      </c>
      <c r="R655" s="2" t="inlineStr"/>
    </row>
    <row r="656" ht="15" customHeight="1">
      <c r="A656" t="inlineStr">
        <is>
          <t>A 40517-2025</t>
        </is>
      </c>
      <c r="B656" s="1" t="n">
        <v>45896</v>
      </c>
      <c r="C656" s="1" t="n">
        <v>46204</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22582-2026</t>
        </is>
      </c>
      <c r="B657" s="1" t="n">
        <v>46155</v>
      </c>
      <c r="C657" s="1" t="n">
        <v>46204</v>
      </c>
      <c r="D657" t="inlineStr">
        <is>
          <t>DALARNAS LÄN</t>
        </is>
      </c>
      <c r="E657" t="inlineStr">
        <is>
          <t>LEKSAND</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22659-2026</t>
        </is>
      </c>
      <c r="B658" s="1" t="n">
        <v>46155</v>
      </c>
      <c r="C658" s="1" t="n">
        <v>46204</v>
      </c>
      <c r="D658" t="inlineStr">
        <is>
          <t>DALARNAS LÄN</t>
        </is>
      </c>
      <c r="E658" t="inlineStr">
        <is>
          <t>LEKSAND</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28534-2026</t>
        </is>
      </c>
      <c r="B659" s="1" t="n">
        <v>46197</v>
      </c>
      <c r="C659" s="1" t="n">
        <v>46204</v>
      </c>
      <c r="D659" t="inlineStr">
        <is>
          <t>DALARNAS LÄN</t>
        </is>
      </c>
      <c r="E659" t="inlineStr">
        <is>
          <t>LEKSAND</t>
        </is>
      </c>
      <c r="F659" t="inlineStr">
        <is>
          <t>Bergvik skog väst AB</t>
        </is>
      </c>
      <c r="G659" t="n">
        <v>1.6</v>
      </c>
      <c r="H659" t="n">
        <v>0</v>
      </c>
      <c r="I659" t="n">
        <v>0</v>
      </c>
      <c r="J659" t="n">
        <v>0</v>
      </c>
      <c r="K659" t="n">
        <v>0</v>
      </c>
      <c r="L659" t="n">
        <v>0</v>
      </c>
      <c r="M659" t="n">
        <v>0</v>
      </c>
      <c r="N659" t="n">
        <v>0</v>
      </c>
      <c r="O659" t="n">
        <v>0</v>
      </c>
      <c r="P659" t="n">
        <v>0</v>
      </c>
      <c r="Q659" t="n">
        <v>0</v>
      </c>
      <c r="R659" s="2" t="inlineStr"/>
    </row>
    <row r="660" ht="15" customHeight="1">
      <c r="A660" t="inlineStr">
        <is>
          <t>A 33198-2022</t>
        </is>
      </c>
      <c r="B660" s="1" t="n">
        <v>44785</v>
      </c>
      <c r="C660" s="1" t="n">
        <v>46204</v>
      </c>
      <c r="D660" t="inlineStr">
        <is>
          <t>DALARNAS LÄN</t>
        </is>
      </c>
      <c r="E660" t="inlineStr">
        <is>
          <t>LEKSAND</t>
        </is>
      </c>
      <c r="G660" t="n">
        <v>1.5</v>
      </c>
      <c r="H660" t="n">
        <v>0</v>
      </c>
      <c r="I660" t="n">
        <v>0</v>
      </c>
      <c r="J660" t="n">
        <v>0</v>
      </c>
      <c r="K660" t="n">
        <v>0</v>
      </c>
      <c r="L660" t="n">
        <v>0</v>
      </c>
      <c r="M660" t="n">
        <v>0</v>
      </c>
      <c r="N660" t="n">
        <v>0</v>
      </c>
      <c r="O660" t="n">
        <v>0</v>
      </c>
      <c r="P660" t="n">
        <v>0</v>
      </c>
      <c r="Q660" t="n">
        <v>0</v>
      </c>
      <c r="R660" s="2" t="inlineStr"/>
    </row>
    <row r="661" ht="15" customHeight="1">
      <c r="A661" t="inlineStr">
        <is>
          <t>A 3728-2026</t>
        </is>
      </c>
      <c r="B661" s="1" t="n">
        <v>46043</v>
      </c>
      <c r="C661" s="1" t="n">
        <v>46204</v>
      </c>
      <c r="D661" t="inlineStr">
        <is>
          <t>DALARNAS LÄN</t>
        </is>
      </c>
      <c r="E661" t="inlineStr">
        <is>
          <t>LEKSAND</t>
        </is>
      </c>
      <c r="G661" t="n">
        <v>7</v>
      </c>
      <c r="H661" t="n">
        <v>0</v>
      </c>
      <c r="I661" t="n">
        <v>0</v>
      </c>
      <c r="J661" t="n">
        <v>0</v>
      </c>
      <c r="K661" t="n">
        <v>0</v>
      </c>
      <c r="L661" t="n">
        <v>0</v>
      </c>
      <c r="M661" t="n">
        <v>0</v>
      </c>
      <c r="N661" t="n">
        <v>0</v>
      </c>
      <c r="O661" t="n">
        <v>0</v>
      </c>
      <c r="P661" t="n">
        <v>0</v>
      </c>
      <c r="Q661" t="n">
        <v>0</v>
      </c>
      <c r="R661" s="2" t="inlineStr"/>
    </row>
    <row r="662" ht="15" customHeight="1">
      <c r="A662" t="inlineStr">
        <is>
          <t>A 9938-2023</t>
        </is>
      </c>
      <c r="B662" s="1" t="n">
        <v>44985</v>
      </c>
      <c r="C662" s="1" t="n">
        <v>46204</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22344-2026</t>
        </is>
      </c>
      <c r="B663" s="1" t="n">
        <v>46154</v>
      </c>
      <c r="C663" s="1" t="n">
        <v>46204</v>
      </c>
      <c r="D663" t="inlineStr">
        <is>
          <t>DALARNAS LÄN</t>
        </is>
      </c>
      <c r="E663" t="inlineStr">
        <is>
          <t>LEKSAND</t>
        </is>
      </c>
      <c r="F663" t="inlineStr">
        <is>
          <t>Bergvik skog väst AB</t>
        </is>
      </c>
      <c r="G663" t="n">
        <v>6.3</v>
      </c>
      <c r="H663" t="n">
        <v>0</v>
      </c>
      <c r="I663" t="n">
        <v>0</v>
      </c>
      <c r="J663" t="n">
        <v>0</v>
      </c>
      <c r="K663" t="n">
        <v>0</v>
      </c>
      <c r="L663" t="n">
        <v>0</v>
      </c>
      <c r="M663" t="n">
        <v>0</v>
      </c>
      <c r="N663" t="n">
        <v>0</v>
      </c>
      <c r="O663" t="n">
        <v>0</v>
      </c>
      <c r="P663" t="n">
        <v>0</v>
      </c>
      <c r="Q663" t="n">
        <v>0</v>
      </c>
      <c r="R663" s="2" t="inlineStr"/>
    </row>
    <row r="664" ht="15" customHeight="1">
      <c r="A664" t="inlineStr">
        <is>
          <t>A 28492-2026</t>
        </is>
      </c>
      <c r="B664" s="1" t="n">
        <v>46197</v>
      </c>
      <c r="C664" s="1" t="n">
        <v>46204</v>
      </c>
      <c r="D664" t="inlineStr">
        <is>
          <t>DALARNAS LÄN</t>
        </is>
      </c>
      <c r="E664" t="inlineStr">
        <is>
          <t>LEKSAND</t>
        </is>
      </c>
      <c r="F664" t="inlineStr">
        <is>
          <t>Bergvik skog väst AB</t>
        </is>
      </c>
      <c r="G664" t="n">
        <v>11.3</v>
      </c>
      <c r="H664" t="n">
        <v>0</v>
      </c>
      <c r="I664" t="n">
        <v>0</v>
      </c>
      <c r="J664" t="n">
        <v>0</v>
      </c>
      <c r="K664" t="n">
        <v>0</v>
      </c>
      <c r="L664" t="n">
        <v>0</v>
      </c>
      <c r="M664" t="n">
        <v>0</v>
      </c>
      <c r="N664" t="n">
        <v>0</v>
      </c>
      <c r="O664" t="n">
        <v>0</v>
      </c>
      <c r="P664" t="n">
        <v>0</v>
      </c>
      <c r="Q664" t="n">
        <v>0</v>
      </c>
      <c r="R664" s="2" t="inlineStr"/>
    </row>
    <row r="665" ht="15" customHeight="1">
      <c r="A665" t="inlineStr">
        <is>
          <t>A 28561-2026</t>
        </is>
      </c>
      <c r="B665" s="1" t="n">
        <v>46197</v>
      </c>
      <c r="C665" s="1" t="n">
        <v>46204</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6038-2026</t>
        </is>
      </c>
      <c r="B666" s="1" t="n">
        <v>46052</v>
      </c>
      <c r="C666" s="1" t="n">
        <v>46204</v>
      </c>
      <c r="D666" t="inlineStr">
        <is>
          <t>DALARNAS LÄN</t>
        </is>
      </c>
      <c r="E666" t="inlineStr">
        <is>
          <t>LEKSAND</t>
        </is>
      </c>
      <c r="G666" t="n">
        <v>5.1</v>
      </c>
      <c r="H666" t="n">
        <v>0</v>
      </c>
      <c r="I666" t="n">
        <v>0</v>
      </c>
      <c r="J666" t="n">
        <v>0</v>
      </c>
      <c r="K666" t="n">
        <v>0</v>
      </c>
      <c r="L666" t="n">
        <v>0</v>
      </c>
      <c r="M666" t="n">
        <v>0</v>
      </c>
      <c r="N666" t="n">
        <v>0</v>
      </c>
      <c r="O666" t="n">
        <v>0</v>
      </c>
      <c r="P666" t="n">
        <v>0</v>
      </c>
      <c r="Q666" t="n">
        <v>0</v>
      </c>
      <c r="R666" s="2" t="inlineStr"/>
    </row>
    <row r="667" ht="15" customHeight="1">
      <c r="A667" t="inlineStr">
        <is>
          <t>A 60170-2025</t>
        </is>
      </c>
      <c r="B667" s="1" t="n">
        <v>45994</v>
      </c>
      <c r="C667" s="1" t="n">
        <v>46204</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31726-2024</t>
        </is>
      </c>
      <c r="B668" s="1" t="n">
        <v>45509</v>
      </c>
      <c r="C668" s="1" t="n">
        <v>46204</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26957-2023</t>
        </is>
      </c>
      <c r="B669" s="1" t="n">
        <v>45093</v>
      </c>
      <c r="C669" s="1" t="n">
        <v>46204</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39595-2023</t>
        </is>
      </c>
      <c r="B670" s="1" t="n">
        <v>45167</v>
      </c>
      <c r="C670" s="1" t="n">
        <v>46204</v>
      </c>
      <c r="D670" t="inlineStr">
        <is>
          <t>DALARNAS LÄN</t>
        </is>
      </c>
      <c r="E670" t="inlineStr">
        <is>
          <t>LEKSAND</t>
        </is>
      </c>
      <c r="G670" t="n">
        <v>0.9</v>
      </c>
      <c r="H670" t="n">
        <v>0</v>
      </c>
      <c r="I670" t="n">
        <v>0</v>
      </c>
      <c r="J670" t="n">
        <v>0</v>
      </c>
      <c r="K670" t="n">
        <v>0</v>
      </c>
      <c r="L670" t="n">
        <v>0</v>
      </c>
      <c r="M670" t="n">
        <v>0</v>
      </c>
      <c r="N670" t="n">
        <v>0</v>
      </c>
      <c r="O670" t="n">
        <v>0</v>
      </c>
      <c r="P670" t="n">
        <v>0</v>
      </c>
      <c r="Q670" t="n">
        <v>0</v>
      </c>
      <c r="R670" s="2" t="inlineStr"/>
    </row>
    <row r="671" ht="15" customHeight="1">
      <c r="A671" t="inlineStr">
        <is>
          <t>A 4184-2026</t>
        </is>
      </c>
      <c r="B671" s="1" t="n">
        <v>46044</v>
      </c>
      <c r="C671" s="1" t="n">
        <v>46204</v>
      </c>
      <c r="D671" t="inlineStr">
        <is>
          <t>DALARNAS LÄN</t>
        </is>
      </c>
      <c r="E671" t="inlineStr">
        <is>
          <t>LEKSAND</t>
        </is>
      </c>
      <c r="G671" t="n">
        <v>6</v>
      </c>
      <c r="H671" t="n">
        <v>0</v>
      </c>
      <c r="I671" t="n">
        <v>0</v>
      </c>
      <c r="J671" t="n">
        <v>0</v>
      </c>
      <c r="K671" t="n">
        <v>0</v>
      </c>
      <c r="L671" t="n">
        <v>0</v>
      </c>
      <c r="M671" t="n">
        <v>0</v>
      </c>
      <c r="N671" t="n">
        <v>0</v>
      </c>
      <c r="O671" t="n">
        <v>0</v>
      </c>
      <c r="P671" t="n">
        <v>0</v>
      </c>
      <c r="Q671" t="n">
        <v>0</v>
      </c>
      <c r="R671" s="2" t="inlineStr"/>
    </row>
    <row r="672" ht="15" customHeight="1">
      <c r="A672" t="inlineStr">
        <is>
          <t>A 40642-2023</t>
        </is>
      </c>
      <c r="B672" s="1" t="n">
        <v>45169</v>
      </c>
      <c r="C672" s="1" t="n">
        <v>46204</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22313-2026</t>
        </is>
      </c>
      <c r="B673" s="1" t="n">
        <v>46154</v>
      </c>
      <c r="C673" s="1" t="n">
        <v>46204</v>
      </c>
      <c r="D673" t="inlineStr">
        <is>
          <t>DALARNAS LÄN</t>
        </is>
      </c>
      <c r="E673" t="inlineStr">
        <is>
          <t>LEKSAND</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28247-2026</t>
        </is>
      </c>
      <c r="B674" s="1" t="n">
        <v>46196</v>
      </c>
      <c r="C674" s="1" t="n">
        <v>46204</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60095-2022</t>
        </is>
      </c>
      <c r="B675" s="1" t="n">
        <v>44909</v>
      </c>
      <c r="C675" s="1" t="n">
        <v>46204</v>
      </c>
      <c r="D675" t="inlineStr">
        <is>
          <t>DALARNAS LÄN</t>
        </is>
      </c>
      <c r="E675" t="inlineStr">
        <is>
          <t>LEKSAND</t>
        </is>
      </c>
      <c r="G675" t="n">
        <v>2.4</v>
      </c>
      <c r="H675" t="n">
        <v>0</v>
      </c>
      <c r="I675" t="n">
        <v>0</v>
      </c>
      <c r="J675" t="n">
        <v>0</v>
      </c>
      <c r="K675" t="n">
        <v>0</v>
      </c>
      <c r="L675" t="n">
        <v>0</v>
      </c>
      <c r="M675" t="n">
        <v>0</v>
      </c>
      <c r="N675" t="n">
        <v>0</v>
      </c>
      <c r="O675" t="n">
        <v>0</v>
      </c>
      <c r="P675" t="n">
        <v>0</v>
      </c>
      <c r="Q675" t="n">
        <v>0</v>
      </c>
      <c r="R675" s="2" t="inlineStr"/>
    </row>
    <row r="676" ht="15" customHeight="1">
      <c r="A676" t="inlineStr">
        <is>
          <t>A 30595-2023</t>
        </is>
      </c>
      <c r="B676" s="1" t="n">
        <v>45112</v>
      </c>
      <c r="C676" s="1" t="n">
        <v>46204</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23916-2026</t>
        </is>
      </c>
      <c r="B677" s="1" t="n">
        <v>46167</v>
      </c>
      <c r="C677" s="1" t="n">
        <v>46204</v>
      </c>
      <c r="D677" t="inlineStr">
        <is>
          <t>DALARNAS LÄN</t>
        </is>
      </c>
      <c r="E677" t="inlineStr">
        <is>
          <t>LEKSAND</t>
        </is>
      </c>
      <c r="F677" t="inlineStr">
        <is>
          <t>Bergvik skog väst AB</t>
        </is>
      </c>
      <c r="G677" t="n">
        <v>6.4</v>
      </c>
      <c r="H677" t="n">
        <v>0</v>
      </c>
      <c r="I677" t="n">
        <v>0</v>
      </c>
      <c r="J677" t="n">
        <v>0</v>
      </c>
      <c r="K677" t="n">
        <v>0</v>
      </c>
      <c r="L677" t="n">
        <v>0</v>
      </c>
      <c r="M677" t="n">
        <v>0</v>
      </c>
      <c r="N677" t="n">
        <v>0</v>
      </c>
      <c r="O677" t="n">
        <v>0</v>
      </c>
      <c r="P677" t="n">
        <v>0</v>
      </c>
      <c r="Q677" t="n">
        <v>0</v>
      </c>
      <c r="R677" s="2" t="inlineStr"/>
    </row>
    <row r="678" ht="15" customHeight="1">
      <c r="A678" t="inlineStr">
        <is>
          <t>A 40755-2024</t>
        </is>
      </c>
      <c r="B678" s="1" t="n">
        <v>45558</v>
      </c>
      <c r="C678" s="1" t="n">
        <v>46204</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22699-2026</t>
        </is>
      </c>
      <c r="B679" s="1" t="n">
        <v>46156</v>
      </c>
      <c r="C679" s="1" t="n">
        <v>46204</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61680-2024</t>
        </is>
      </c>
      <c r="B680" s="1" t="n">
        <v>45647</v>
      </c>
      <c r="C680" s="1" t="n">
        <v>46204</v>
      </c>
      <c r="D680" t="inlineStr">
        <is>
          <t>DALARNAS LÄN</t>
        </is>
      </c>
      <c r="E680" t="inlineStr">
        <is>
          <t>LEKSAND</t>
        </is>
      </c>
      <c r="G680" t="n">
        <v>3.6</v>
      </c>
      <c r="H680" t="n">
        <v>0</v>
      </c>
      <c r="I680" t="n">
        <v>0</v>
      </c>
      <c r="J680" t="n">
        <v>0</v>
      </c>
      <c r="K680" t="n">
        <v>0</v>
      </c>
      <c r="L680" t="n">
        <v>0</v>
      </c>
      <c r="M680" t="n">
        <v>0</v>
      </c>
      <c r="N680" t="n">
        <v>0</v>
      </c>
      <c r="O680" t="n">
        <v>0</v>
      </c>
      <c r="P680" t="n">
        <v>0</v>
      </c>
      <c r="Q680" t="n">
        <v>0</v>
      </c>
      <c r="R680" s="2" t="inlineStr"/>
    </row>
    <row r="681" ht="15" customHeight="1">
      <c r="A681" t="inlineStr">
        <is>
          <t>A 22702-2026</t>
        </is>
      </c>
      <c r="B681" s="1" t="n">
        <v>46156</v>
      </c>
      <c r="C681" s="1" t="n">
        <v>46204</v>
      </c>
      <c r="D681" t="inlineStr">
        <is>
          <t>DALARNAS LÄN</t>
        </is>
      </c>
      <c r="E681" t="inlineStr">
        <is>
          <t>LEKSAND</t>
        </is>
      </c>
      <c r="G681" t="n">
        <v>1.2</v>
      </c>
      <c r="H681" t="n">
        <v>0</v>
      </c>
      <c r="I681" t="n">
        <v>0</v>
      </c>
      <c r="J681" t="n">
        <v>0</v>
      </c>
      <c r="K681" t="n">
        <v>0</v>
      </c>
      <c r="L681" t="n">
        <v>0</v>
      </c>
      <c r="M681" t="n">
        <v>0</v>
      </c>
      <c r="N681" t="n">
        <v>0</v>
      </c>
      <c r="O681" t="n">
        <v>0</v>
      </c>
      <c r="P681" t="n">
        <v>0</v>
      </c>
      <c r="Q681" t="n">
        <v>0</v>
      </c>
      <c r="R681" s="2" t="inlineStr"/>
    </row>
    <row r="682" ht="15" customHeight="1">
      <c r="A682" t="inlineStr">
        <is>
          <t>A 62295-2023</t>
        </is>
      </c>
      <c r="B682" s="1" t="n">
        <v>45267</v>
      </c>
      <c r="C682" s="1" t="n">
        <v>46204</v>
      </c>
      <c r="D682" t="inlineStr">
        <is>
          <t>DALARNAS LÄN</t>
        </is>
      </c>
      <c r="E682" t="inlineStr">
        <is>
          <t>LEKSAND</t>
        </is>
      </c>
      <c r="G682" t="n">
        <v>2.5</v>
      </c>
      <c r="H682" t="n">
        <v>0</v>
      </c>
      <c r="I682" t="n">
        <v>0</v>
      </c>
      <c r="J682" t="n">
        <v>0</v>
      </c>
      <c r="K682" t="n">
        <v>0</v>
      </c>
      <c r="L682" t="n">
        <v>0</v>
      </c>
      <c r="M682" t="n">
        <v>0</v>
      </c>
      <c r="N682" t="n">
        <v>0</v>
      </c>
      <c r="O682" t="n">
        <v>0</v>
      </c>
      <c r="P682" t="n">
        <v>0</v>
      </c>
      <c r="Q682" t="n">
        <v>0</v>
      </c>
      <c r="R682" s="2" t="inlineStr"/>
    </row>
    <row r="683" ht="15" customHeight="1">
      <c r="A683" t="inlineStr">
        <is>
          <t>A 15173-2025</t>
        </is>
      </c>
      <c r="B683" s="1" t="n">
        <v>45744</v>
      </c>
      <c r="C683" s="1" t="n">
        <v>46204</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61054-2023</t>
        </is>
      </c>
      <c r="B684" s="1" t="n">
        <v>45261</v>
      </c>
      <c r="C684" s="1" t="n">
        <v>46204</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61056-2023</t>
        </is>
      </c>
      <c r="B685" s="1" t="n">
        <v>45261</v>
      </c>
      <c r="C685" s="1" t="n">
        <v>46204</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6846-2023</t>
        </is>
      </c>
      <c r="B686" s="1" t="n">
        <v>44967</v>
      </c>
      <c r="C686" s="1" t="n">
        <v>46204</v>
      </c>
      <c r="D686" t="inlineStr">
        <is>
          <t>DALARNAS LÄN</t>
        </is>
      </c>
      <c r="E686" t="inlineStr">
        <is>
          <t>LEKSAND</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1775-2022</t>
        </is>
      </c>
      <c r="B687" s="1" t="n">
        <v>44574</v>
      </c>
      <c r="C687" s="1" t="n">
        <v>46204</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56753-2023</t>
        </is>
      </c>
      <c r="B688" s="1" t="n">
        <v>45244</v>
      </c>
      <c r="C688" s="1" t="n">
        <v>46204</v>
      </c>
      <c r="D688" t="inlineStr">
        <is>
          <t>DALARNAS LÄN</t>
        </is>
      </c>
      <c r="E688" t="inlineStr">
        <is>
          <t>LEKSAND</t>
        </is>
      </c>
      <c r="G688" t="n">
        <v>0.5</v>
      </c>
      <c r="H688" t="n">
        <v>0</v>
      </c>
      <c r="I688" t="n">
        <v>0</v>
      </c>
      <c r="J688" t="n">
        <v>0</v>
      </c>
      <c r="K688" t="n">
        <v>0</v>
      </c>
      <c r="L688" t="n">
        <v>0</v>
      </c>
      <c r="M688" t="n">
        <v>0</v>
      </c>
      <c r="N688" t="n">
        <v>0</v>
      </c>
      <c r="O688" t="n">
        <v>0</v>
      </c>
      <c r="P688" t="n">
        <v>0</v>
      </c>
      <c r="Q688" t="n">
        <v>0</v>
      </c>
      <c r="R688" s="2" t="inlineStr"/>
    </row>
    <row r="689" ht="15" customHeight="1">
      <c r="A689" t="inlineStr">
        <is>
          <t>A 55268-2024</t>
        </is>
      </c>
      <c r="B689" s="1" t="n">
        <v>45621</v>
      </c>
      <c r="C689" s="1" t="n">
        <v>46204</v>
      </c>
      <c r="D689" t="inlineStr">
        <is>
          <t>DALARNAS LÄN</t>
        </is>
      </c>
      <c r="E689" t="inlineStr">
        <is>
          <t>LEKSAND</t>
        </is>
      </c>
      <c r="G689" t="n">
        <v>4.2</v>
      </c>
      <c r="H689" t="n">
        <v>0</v>
      </c>
      <c r="I689" t="n">
        <v>0</v>
      </c>
      <c r="J689" t="n">
        <v>0</v>
      </c>
      <c r="K689" t="n">
        <v>0</v>
      </c>
      <c r="L689" t="n">
        <v>0</v>
      </c>
      <c r="M689" t="n">
        <v>0</v>
      </c>
      <c r="N689" t="n">
        <v>0</v>
      </c>
      <c r="O689" t="n">
        <v>0</v>
      </c>
      <c r="P689" t="n">
        <v>0</v>
      </c>
      <c r="Q689" t="n">
        <v>0</v>
      </c>
      <c r="R689" s="2" t="inlineStr"/>
    </row>
    <row r="690" ht="15" customHeight="1">
      <c r="A690" t="inlineStr">
        <is>
          <t>A 25523-2026</t>
        </is>
      </c>
      <c r="B690" s="1" t="n">
        <v>46177</v>
      </c>
      <c r="C690" s="1" t="n">
        <v>46204</v>
      </c>
      <c r="D690" t="inlineStr">
        <is>
          <t>DALARNAS LÄN</t>
        </is>
      </c>
      <c r="E690" t="inlineStr">
        <is>
          <t>LEKSAND</t>
        </is>
      </c>
      <c r="F690" t="inlineStr">
        <is>
          <t>Bergvik skog väst AB</t>
        </is>
      </c>
      <c r="G690" t="n">
        <v>3.3</v>
      </c>
      <c r="H690" t="n">
        <v>0</v>
      </c>
      <c r="I690" t="n">
        <v>0</v>
      </c>
      <c r="J690" t="n">
        <v>0</v>
      </c>
      <c r="K690" t="n">
        <v>0</v>
      </c>
      <c r="L690" t="n">
        <v>0</v>
      </c>
      <c r="M690" t="n">
        <v>0</v>
      </c>
      <c r="N690" t="n">
        <v>0</v>
      </c>
      <c r="O690" t="n">
        <v>0</v>
      </c>
      <c r="P690" t="n">
        <v>0</v>
      </c>
      <c r="Q690" t="n">
        <v>0</v>
      </c>
      <c r="R690" s="2" t="inlineStr"/>
    </row>
    <row r="691" ht="15" customHeight="1">
      <c r="A691" t="inlineStr">
        <is>
          <t>A 25581-2026</t>
        </is>
      </c>
      <c r="B691" s="1" t="n">
        <v>46177</v>
      </c>
      <c r="C691" s="1" t="n">
        <v>46204</v>
      </c>
      <c r="D691" t="inlineStr">
        <is>
          <t>DALARNAS LÄN</t>
        </is>
      </c>
      <c r="E691" t="inlineStr">
        <is>
          <t>LEKSAND</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23024-2026</t>
        </is>
      </c>
      <c r="B692" s="1" t="n">
        <v>46161</v>
      </c>
      <c r="C692" s="1" t="n">
        <v>46204</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53799-2023</t>
        </is>
      </c>
      <c r="B693" s="1" t="n">
        <v>45231</v>
      </c>
      <c r="C693" s="1" t="n">
        <v>46204</v>
      </c>
      <c r="D693" t="inlineStr">
        <is>
          <t>DALARNAS LÄN</t>
        </is>
      </c>
      <c r="E693" t="inlineStr">
        <is>
          <t>LEKSAND</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29198-2026</t>
        </is>
      </c>
      <c r="B694" s="1" t="n">
        <v>46202</v>
      </c>
      <c r="C694" s="1" t="n">
        <v>46204</v>
      </c>
      <c r="D694" t="inlineStr">
        <is>
          <t>DALARNAS LÄN</t>
        </is>
      </c>
      <c r="E694" t="inlineStr">
        <is>
          <t>LEKSAND</t>
        </is>
      </c>
      <c r="G694" t="n">
        <v>3.2</v>
      </c>
      <c r="H694" t="n">
        <v>0</v>
      </c>
      <c r="I694" t="n">
        <v>0</v>
      </c>
      <c r="J694" t="n">
        <v>0</v>
      </c>
      <c r="K694" t="n">
        <v>0</v>
      </c>
      <c r="L694" t="n">
        <v>0</v>
      </c>
      <c r="M694" t="n">
        <v>0</v>
      </c>
      <c r="N694" t="n">
        <v>0</v>
      </c>
      <c r="O694" t="n">
        <v>0</v>
      </c>
      <c r="P694" t="n">
        <v>0</v>
      </c>
      <c r="Q694" t="n">
        <v>0</v>
      </c>
      <c r="R694" s="2" t="inlineStr"/>
    </row>
    <row r="695" ht="15" customHeight="1">
      <c r="A695" t="inlineStr">
        <is>
          <t>A 19590-2023</t>
        </is>
      </c>
      <c r="B695" s="1" t="n">
        <v>45049</v>
      </c>
      <c r="C695" s="1" t="n">
        <v>46204</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30000-2023</t>
        </is>
      </c>
      <c r="B696" s="1" t="n">
        <v>45109</v>
      </c>
      <c r="C696" s="1" t="n">
        <v>46204</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61933-2023</t>
        </is>
      </c>
      <c r="B697" s="1" t="n">
        <v>45266</v>
      </c>
      <c r="C697" s="1" t="n">
        <v>46204</v>
      </c>
      <c r="D697" t="inlineStr">
        <is>
          <t>DALARNAS LÄN</t>
        </is>
      </c>
      <c r="E697" t="inlineStr">
        <is>
          <t>LEKSAND</t>
        </is>
      </c>
      <c r="G697" t="n">
        <v>0.2</v>
      </c>
      <c r="H697" t="n">
        <v>0</v>
      </c>
      <c r="I697" t="n">
        <v>0</v>
      </c>
      <c r="J697" t="n">
        <v>0</v>
      </c>
      <c r="K697" t="n">
        <v>0</v>
      </c>
      <c r="L697" t="n">
        <v>0</v>
      </c>
      <c r="M697" t="n">
        <v>0</v>
      </c>
      <c r="N697" t="n">
        <v>0</v>
      </c>
      <c r="O697" t="n">
        <v>0</v>
      </c>
      <c r="P697" t="n">
        <v>0</v>
      </c>
      <c r="Q697" t="n">
        <v>0</v>
      </c>
      <c r="R697" s="2" t="inlineStr"/>
    </row>
    <row r="698" ht="15" customHeight="1">
      <c r="A698" t="inlineStr">
        <is>
          <t>A 49395-2024</t>
        </is>
      </c>
      <c r="B698" s="1" t="n">
        <v>45595</v>
      </c>
      <c r="C698" s="1" t="n">
        <v>46204</v>
      </c>
      <c r="D698" t="inlineStr">
        <is>
          <t>DALARNAS LÄN</t>
        </is>
      </c>
      <c r="E698" t="inlineStr">
        <is>
          <t>LEKSAND</t>
        </is>
      </c>
      <c r="G698" t="n">
        <v>0.7</v>
      </c>
      <c r="H698" t="n">
        <v>0</v>
      </c>
      <c r="I698" t="n">
        <v>0</v>
      </c>
      <c r="J698" t="n">
        <v>0</v>
      </c>
      <c r="K698" t="n">
        <v>0</v>
      </c>
      <c r="L698" t="n">
        <v>0</v>
      </c>
      <c r="M698" t="n">
        <v>0</v>
      </c>
      <c r="N698" t="n">
        <v>0</v>
      </c>
      <c r="O698" t="n">
        <v>0</v>
      </c>
      <c r="P698" t="n">
        <v>0</v>
      </c>
      <c r="Q698" t="n">
        <v>0</v>
      </c>
      <c r="R698" s="2" t="inlineStr"/>
    </row>
    <row r="699" ht="15" customHeight="1">
      <c r="A699" t="inlineStr">
        <is>
          <t>A 481-2024</t>
        </is>
      </c>
      <c r="B699" s="1" t="n">
        <v>45298</v>
      </c>
      <c r="C699" s="1" t="n">
        <v>46204</v>
      </c>
      <c r="D699" t="inlineStr">
        <is>
          <t>DALARNAS LÄN</t>
        </is>
      </c>
      <c r="E699" t="inlineStr">
        <is>
          <t>LEKSAND</t>
        </is>
      </c>
      <c r="G699" t="n">
        <v>7</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46204</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23323-2023</t>
        </is>
      </c>
      <c r="B701" s="1" t="n">
        <v>45076</v>
      </c>
      <c r="C701" s="1" t="n">
        <v>46204</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412-2024</t>
        </is>
      </c>
      <c r="B702" s="1" t="n">
        <v>45296</v>
      </c>
      <c r="C702" s="1" t="n">
        <v>46204</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56330-2022</t>
        </is>
      </c>
      <c r="B703" s="1" t="n">
        <v>44890</v>
      </c>
      <c r="C703" s="1" t="n">
        <v>46204</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59673-2023</t>
        </is>
      </c>
      <c r="B704" s="1" t="n">
        <v>45255</v>
      </c>
      <c r="C704" s="1" t="n">
        <v>46204</v>
      </c>
      <c r="D704" t="inlineStr">
        <is>
          <t>DALARNAS LÄN</t>
        </is>
      </c>
      <c r="E704" t="inlineStr">
        <is>
          <t>LEKSAND</t>
        </is>
      </c>
      <c r="G704" t="n">
        <v>12.2</v>
      </c>
      <c r="H704" t="n">
        <v>0</v>
      </c>
      <c r="I704" t="n">
        <v>0</v>
      </c>
      <c r="J704" t="n">
        <v>0</v>
      </c>
      <c r="K704" t="n">
        <v>0</v>
      </c>
      <c r="L704" t="n">
        <v>0</v>
      </c>
      <c r="M704" t="n">
        <v>0</v>
      </c>
      <c r="N704" t="n">
        <v>0</v>
      </c>
      <c r="O704" t="n">
        <v>0</v>
      </c>
      <c r="P704" t="n">
        <v>0</v>
      </c>
      <c r="Q704" t="n">
        <v>0</v>
      </c>
      <c r="R704" s="2" t="inlineStr"/>
    </row>
    <row r="705" ht="15" customHeight="1">
      <c r="A705" t="inlineStr">
        <is>
          <t>A 17726-2024</t>
        </is>
      </c>
      <c r="B705" s="1" t="n">
        <v>45418</v>
      </c>
      <c r="C705" s="1" t="n">
        <v>46204</v>
      </c>
      <c r="D705" t="inlineStr">
        <is>
          <t>DALARNAS LÄN</t>
        </is>
      </c>
      <c r="E705" t="inlineStr">
        <is>
          <t>LEKSAND</t>
        </is>
      </c>
      <c r="G705" t="n">
        <v>5.2</v>
      </c>
      <c r="H705" t="n">
        <v>0</v>
      </c>
      <c r="I705" t="n">
        <v>0</v>
      </c>
      <c r="J705" t="n">
        <v>0</v>
      </c>
      <c r="K705" t="n">
        <v>0</v>
      </c>
      <c r="L705" t="n">
        <v>0</v>
      </c>
      <c r="M705" t="n">
        <v>0</v>
      </c>
      <c r="N705" t="n">
        <v>0</v>
      </c>
      <c r="O705" t="n">
        <v>0</v>
      </c>
      <c r="P705" t="n">
        <v>0</v>
      </c>
      <c r="Q705" t="n">
        <v>0</v>
      </c>
      <c r="R705" s="2" t="inlineStr"/>
    </row>
    <row r="706" ht="15" customHeight="1">
      <c r="A706" t="inlineStr">
        <is>
          <t>A 32-2024</t>
        </is>
      </c>
      <c r="B706" s="1" t="n">
        <v>45293</v>
      </c>
      <c r="C706" s="1" t="n">
        <v>46204</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1719-2024</t>
        </is>
      </c>
      <c r="B707" s="1" t="n">
        <v>45307</v>
      </c>
      <c r="C707" s="1" t="n">
        <v>46204</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33463-2023</t>
        </is>
      </c>
      <c r="B708" s="1" t="n">
        <v>45131</v>
      </c>
      <c r="C708" s="1" t="n">
        <v>46204</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12992-2022</t>
        </is>
      </c>
      <c r="B709" s="1" t="n">
        <v>44643</v>
      </c>
      <c r="C709" s="1" t="n">
        <v>46204</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8211-2023</t>
        </is>
      </c>
      <c r="B710" s="1" t="n">
        <v>44974</v>
      </c>
      <c r="C710" s="1" t="n">
        <v>46204</v>
      </c>
      <c r="D710" t="inlineStr">
        <is>
          <t>DALARNAS LÄN</t>
        </is>
      </c>
      <c r="E710" t="inlineStr">
        <is>
          <t>LEKSAND</t>
        </is>
      </c>
      <c r="G710" t="n">
        <v>5.2</v>
      </c>
      <c r="H710" t="n">
        <v>0</v>
      </c>
      <c r="I710" t="n">
        <v>0</v>
      </c>
      <c r="J710" t="n">
        <v>0</v>
      </c>
      <c r="K710" t="n">
        <v>0</v>
      </c>
      <c r="L710" t="n">
        <v>0</v>
      </c>
      <c r="M710" t="n">
        <v>0</v>
      </c>
      <c r="N710" t="n">
        <v>0</v>
      </c>
      <c r="O710" t="n">
        <v>0</v>
      </c>
      <c r="P710" t="n">
        <v>0</v>
      </c>
      <c r="Q710" t="n">
        <v>0</v>
      </c>
      <c r="R710" s="2" t="inlineStr"/>
    </row>
    <row r="711" ht="15" customHeight="1">
      <c r="A711" t="inlineStr">
        <is>
          <t>A 50447-2023</t>
        </is>
      </c>
      <c r="B711" s="1" t="n">
        <v>45216</v>
      </c>
      <c r="C711" s="1" t="n">
        <v>46204</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46876-2023</t>
        </is>
      </c>
      <c r="B712" s="1" t="n">
        <v>45200</v>
      </c>
      <c r="C712" s="1" t="n">
        <v>46204</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43470-2024</t>
        </is>
      </c>
      <c r="B713" s="1" t="n">
        <v>45568</v>
      </c>
      <c r="C713" s="1" t="n">
        <v>46204</v>
      </c>
      <c r="D713" t="inlineStr">
        <is>
          <t>DALARNAS LÄN</t>
        </is>
      </c>
      <c r="E713" t="inlineStr">
        <is>
          <t>LEKSAND</t>
        </is>
      </c>
      <c r="G713" t="n">
        <v>3.1</v>
      </c>
      <c r="H713" t="n">
        <v>0</v>
      </c>
      <c r="I713" t="n">
        <v>0</v>
      </c>
      <c r="J713" t="n">
        <v>0</v>
      </c>
      <c r="K713" t="n">
        <v>0</v>
      </c>
      <c r="L713" t="n">
        <v>0</v>
      </c>
      <c r="M713" t="n">
        <v>0</v>
      </c>
      <c r="N713" t="n">
        <v>0</v>
      </c>
      <c r="O713" t="n">
        <v>0</v>
      </c>
      <c r="P713" t="n">
        <v>0</v>
      </c>
      <c r="Q713" t="n">
        <v>0</v>
      </c>
      <c r="R713" s="2" t="inlineStr"/>
    </row>
    <row r="714" ht="15" customHeight="1">
      <c r="A714" t="inlineStr">
        <is>
          <t>A 11606-2025</t>
        </is>
      </c>
      <c r="B714" s="1" t="n">
        <v>45727</v>
      </c>
      <c r="C714" s="1" t="n">
        <v>46204</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22683-2022</t>
        </is>
      </c>
      <c r="B715" s="1" t="n">
        <v>44714</v>
      </c>
      <c r="C715" s="1" t="n">
        <v>46204</v>
      </c>
      <c r="D715" t="inlineStr">
        <is>
          <t>DALARNAS LÄN</t>
        </is>
      </c>
      <c r="E715" t="inlineStr">
        <is>
          <t>LEKSAND</t>
        </is>
      </c>
      <c r="F715" t="inlineStr">
        <is>
          <t>Bergvik skog väst AB</t>
        </is>
      </c>
      <c r="G715" t="n">
        <v>3.4</v>
      </c>
      <c r="H715" t="n">
        <v>0</v>
      </c>
      <c r="I715" t="n">
        <v>0</v>
      </c>
      <c r="J715" t="n">
        <v>0</v>
      </c>
      <c r="K715" t="n">
        <v>0</v>
      </c>
      <c r="L715" t="n">
        <v>0</v>
      </c>
      <c r="M715" t="n">
        <v>0</v>
      </c>
      <c r="N715" t="n">
        <v>0</v>
      </c>
      <c r="O715" t="n">
        <v>0</v>
      </c>
      <c r="P715" t="n">
        <v>0</v>
      </c>
      <c r="Q715" t="n">
        <v>0</v>
      </c>
      <c r="R715" s="2" t="inlineStr"/>
    </row>
    <row r="716" ht="15" customHeight="1">
      <c r="A716" t="inlineStr">
        <is>
          <t>A 22517-2024</t>
        </is>
      </c>
      <c r="B716" s="1" t="n">
        <v>45447</v>
      </c>
      <c r="C716" s="1" t="n">
        <v>46204</v>
      </c>
      <c r="D716" t="inlineStr">
        <is>
          <t>DALARNAS LÄN</t>
        </is>
      </c>
      <c r="E716" t="inlineStr">
        <is>
          <t>LEKSAND</t>
        </is>
      </c>
      <c r="G716" t="n">
        <v>0.4</v>
      </c>
      <c r="H716" t="n">
        <v>0</v>
      </c>
      <c r="I716" t="n">
        <v>0</v>
      </c>
      <c r="J716" t="n">
        <v>0</v>
      </c>
      <c r="K716" t="n">
        <v>0</v>
      </c>
      <c r="L716" t="n">
        <v>0</v>
      </c>
      <c r="M716" t="n">
        <v>0</v>
      </c>
      <c r="N716" t="n">
        <v>0</v>
      </c>
      <c r="O716" t="n">
        <v>0</v>
      </c>
      <c r="P716" t="n">
        <v>0</v>
      </c>
      <c r="Q716" t="n">
        <v>0</v>
      </c>
      <c r="R716" s="2" t="inlineStr"/>
    </row>
    <row r="717" ht="15" customHeight="1">
      <c r="A717" t="inlineStr">
        <is>
          <t>A 61953-2023</t>
        </is>
      </c>
      <c r="B717" s="1" t="n">
        <v>45266</v>
      </c>
      <c r="C717" s="1" t="n">
        <v>46204</v>
      </c>
      <c r="D717" t="inlineStr">
        <is>
          <t>DALARNAS LÄN</t>
        </is>
      </c>
      <c r="E717" t="inlineStr">
        <is>
          <t>LEKSAND</t>
        </is>
      </c>
      <c r="G717" t="n">
        <v>0.1</v>
      </c>
      <c r="H717" t="n">
        <v>0</v>
      </c>
      <c r="I717" t="n">
        <v>0</v>
      </c>
      <c r="J717" t="n">
        <v>0</v>
      </c>
      <c r="K717" t="n">
        <v>0</v>
      </c>
      <c r="L717" t="n">
        <v>0</v>
      </c>
      <c r="M717" t="n">
        <v>0</v>
      </c>
      <c r="N717" t="n">
        <v>0</v>
      </c>
      <c r="O717" t="n">
        <v>0</v>
      </c>
      <c r="P717" t="n">
        <v>0</v>
      </c>
      <c r="Q717" t="n">
        <v>0</v>
      </c>
      <c r="R717" s="2" t="inlineStr"/>
    </row>
    <row r="718" ht="15" customHeight="1">
      <c r="A718" t="inlineStr">
        <is>
          <t>A 62133-2023</t>
        </is>
      </c>
      <c r="B718" s="1" t="n">
        <v>45267</v>
      </c>
      <c r="C718" s="1" t="n">
        <v>46204</v>
      </c>
      <c r="D718" t="inlineStr">
        <is>
          <t>DALARNAS LÄN</t>
        </is>
      </c>
      <c r="E718" t="inlineStr">
        <is>
          <t>LEKSAND</t>
        </is>
      </c>
      <c r="G718" t="n">
        <v>1.3</v>
      </c>
      <c r="H718" t="n">
        <v>0</v>
      </c>
      <c r="I718" t="n">
        <v>0</v>
      </c>
      <c r="J718" t="n">
        <v>0</v>
      </c>
      <c r="K718" t="n">
        <v>0</v>
      </c>
      <c r="L718" t="n">
        <v>0</v>
      </c>
      <c r="M718" t="n">
        <v>0</v>
      </c>
      <c r="N718" t="n">
        <v>0</v>
      </c>
      <c r="O718" t="n">
        <v>0</v>
      </c>
      <c r="P718" t="n">
        <v>0</v>
      </c>
      <c r="Q718" t="n">
        <v>0</v>
      </c>
      <c r="R718" s="2" t="inlineStr"/>
    </row>
    <row r="719" ht="15" customHeight="1">
      <c r="A719" t="inlineStr">
        <is>
          <t>A 10967-2023</t>
        </is>
      </c>
      <c r="B719" s="1" t="n">
        <v>44991</v>
      </c>
      <c r="C719" s="1" t="n">
        <v>46204</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10974-2023</t>
        </is>
      </c>
      <c r="B720" s="1" t="n">
        <v>44991</v>
      </c>
      <c r="C720" s="1" t="n">
        <v>46204</v>
      </c>
      <c r="D720" t="inlineStr">
        <is>
          <t>DALARNAS LÄN</t>
        </is>
      </c>
      <c r="E720" t="inlineStr">
        <is>
          <t>LEKSAND</t>
        </is>
      </c>
      <c r="G720" t="n">
        <v>0.3</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46204</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19295-2024</t>
        </is>
      </c>
      <c r="B722" s="1" t="n">
        <v>45428</v>
      </c>
      <c r="C722" s="1" t="n">
        <v>46204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20683-2025</t>
        </is>
      </c>
      <c r="B723" s="1" t="n">
        <v>45776</v>
      </c>
      <c r="C723" s="1" t="n">
        <v>46204</v>
      </c>
      <c r="D723" t="inlineStr">
        <is>
          <t>DALARNAS LÄN</t>
        </is>
      </c>
      <c r="E723" t="inlineStr">
        <is>
          <t>LEKSAND</t>
        </is>
      </c>
      <c r="F723" t="inlineStr">
        <is>
          <t>Bergvik skog väst AB</t>
        </is>
      </c>
      <c r="G723" t="n">
        <v>4.1</v>
      </c>
      <c r="H723" t="n">
        <v>0</v>
      </c>
      <c r="I723" t="n">
        <v>0</v>
      </c>
      <c r="J723" t="n">
        <v>0</v>
      </c>
      <c r="K723" t="n">
        <v>0</v>
      </c>
      <c r="L723" t="n">
        <v>0</v>
      </c>
      <c r="M723" t="n">
        <v>0</v>
      </c>
      <c r="N723" t="n">
        <v>0</v>
      </c>
      <c r="O723" t="n">
        <v>0</v>
      </c>
      <c r="P723" t="n">
        <v>0</v>
      </c>
      <c r="Q723" t="n">
        <v>0</v>
      </c>
      <c r="R723" s="2" t="inlineStr"/>
    </row>
    <row r="724" ht="15" customHeight="1">
      <c r="A724" t="inlineStr">
        <is>
          <t>A 21230-2025</t>
        </is>
      </c>
      <c r="B724" s="1" t="n">
        <v>45779</v>
      </c>
      <c r="C724" s="1" t="n">
        <v>46204</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40627-2023</t>
        </is>
      </c>
      <c r="B725" s="1" t="n">
        <v>45170</v>
      </c>
      <c r="C725" s="1" t="n">
        <v>46204</v>
      </c>
      <c r="D725" t="inlineStr">
        <is>
          <t>DALARNAS LÄN</t>
        </is>
      </c>
      <c r="E725" t="inlineStr">
        <is>
          <t>LEKSAND</t>
        </is>
      </c>
      <c r="F725" t="inlineStr">
        <is>
          <t>Bergvik skog väst AB</t>
        </is>
      </c>
      <c r="G725" t="n">
        <v>3.3</v>
      </c>
      <c r="H725" t="n">
        <v>0</v>
      </c>
      <c r="I725" t="n">
        <v>0</v>
      </c>
      <c r="J725" t="n">
        <v>0</v>
      </c>
      <c r="K725" t="n">
        <v>0</v>
      </c>
      <c r="L725" t="n">
        <v>0</v>
      </c>
      <c r="M725" t="n">
        <v>0</v>
      </c>
      <c r="N725" t="n">
        <v>0</v>
      </c>
      <c r="O725" t="n">
        <v>0</v>
      </c>
      <c r="P725" t="n">
        <v>0</v>
      </c>
      <c r="Q725" t="n">
        <v>0</v>
      </c>
      <c r="R725" s="2" t="inlineStr"/>
    </row>
    <row r="726" ht="15" customHeight="1">
      <c r="A726" t="inlineStr">
        <is>
          <t>A 11872-2024</t>
        </is>
      </c>
      <c r="B726" s="1" t="n">
        <v>45376</v>
      </c>
      <c r="C726" s="1" t="n">
        <v>46204</v>
      </c>
      <c r="D726" t="inlineStr">
        <is>
          <t>DALARNAS LÄN</t>
        </is>
      </c>
      <c r="E726" t="inlineStr">
        <is>
          <t>LEKSAND</t>
        </is>
      </c>
      <c r="G726" t="n">
        <v>3.1</v>
      </c>
      <c r="H726" t="n">
        <v>0</v>
      </c>
      <c r="I726" t="n">
        <v>0</v>
      </c>
      <c r="J726" t="n">
        <v>0</v>
      </c>
      <c r="K726" t="n">
        <v>0</v>
      </c>
      <c r="L726" t="n">
        <v>0</v>
      </c>
      <c r="M726" t="n">
        <v>0</v>
      </c>
      <c r="N726" t="n">
        <v>0</v>
      </c>
      <c r="O726" t="n">
        <v>0</v>
      </c>
      <c r="P726" t="n">
        <v>0</v>
      </c>
      <c r="Q726" t="n">
        <v>0</v>
      </c>
      <c r="R726" s="2" t="inlineStr"/>
    </row>
    <row r="727" ht="15" customHeight="1">
      <c r="A727" t="inlineStr">
        <is>
          <t>A 61554-2024</t>
        </is>
      </c>
      <c r="B727" s="1" t="n">
        <v>45646</v>
      </c>
      <c r="C727" s="1" t="n">
        <v>46204</v>
      </c>
      <c r="D727" t="inlineStr">
        <is>
          <t>DALARNAS LÄN</t>
        </is>
      </c>
      <c r="E727" t="inlineStr">
        <is>
          <t>LEKSAND</t>
        </is>
      </c>
      <c r="G727" t="n">
        <v>2.6</v>
      </c>
      <c r="H727" t="n">
        <v>0</v>
      </c>
      <c r="I727" t="n">
        <v>0</v>
      </c>
      <c r="J727" t="n">
        <v>0</v>
      </c>
      <c r="K727" t="n">
        <v>0</v>
      </c>
      <c r="L727" t="n">
        <v>0</v>
      </c>
      <c r="M727" t="n">
        <v>0</v>
      </c>
      <c r="N727" t="n">
        <v>0</v>
      </c>
      <c r="O727" t="n">
        <v>0</v>
      </c>
      <c r="P727" t="n">
        <v>0</v>
      </c>
      <c r="Q727" t="n">
        <v>0</v>
      </c>
      <c r="R727" s="2" t="inlineStr"/>
    </row>
    <row r="728" ht="15" customHeight="1">
      <c r="A728" t="inlineStr">
        <is>
          <t>A 62307-2023</t>
        </is>
      </c>
      <c r="B728" s="1" t="n">
        <v>45266</v>
      </c>
      <c r="C728" s="1" t="n">
        <v>46204</v>
      </c>
      <c r="D728" t="inlineStr">
        <is>
          <t>DALARNAS LÄN</t>
        </is>
      </c>
      <c r="E728" t="inlineStr">
        <is>
          <t>LEKSAND</t>
        </is>
      </c>
      <c r="G728" t="n">
        <v>3.9</v>
      </c>
      <c r="H728" t="n">
        <v>0</v>
      </c>
      <c r="I728" t="n">
        <v>0</v>
      </c>
      <c r="J728" t="n">
        <v>0</v>
      </c>
      <c r="K728" t="n">
        <v>0</v>
      </c>
      <c r="L728" t="n">
        <v>0</v>
      </c>
      <c r="M728" t="n">
        <v>0</v>
      </c>
      <c r="N728" t="n">
        <v>0</v>
      </c>
      <c r="O728" t="n">
        <v>0</v>
      </c>
      <c r="P728" t="n">
        <v>0</v>
      </c>
      <c r="Q728" t="n">
        <v>0</v>
      </c>
      <c r="R728" s="2" t="inlineStr"/>
    </row>
    <row r="729" ht="15" customHeight="1">
      <c r="A729" t="inlineStr">
        <is>
          <t>A 14967-2023</t>
        </is>
      </c>
      <c r="B729" s="1" t="n">
        <v>45015</v>
      </c>
      <c r="C729" s="1" t="n">
        <v>46204</v>
      </c>
      <c r="D729" t="inlineStr">
        <is>
          <t>DALARNAS LÄN</t>
        </is>
      </c>
      <c r="E729" t="inlineStr">
        <is>
          <t>LEKSAND</t>
        </is>
      </c>
      <c r="G729" t="n">
        <v>1.4</v>
      </c>
      <c r="H729" t="n">
        <v>0</v>
      </c>
      <c r="I729" t="n">
        <v>0</v>
      </c>
      <c r="J729" t="n">
        <v>0</v>
      </c>
      <c r="K729" t="n">
        <v>0</v>
      </c>
      <c r="L729" t="n">
        <v>0</v>
      </c>
      <c r="M729" t="n">
        <v>0</v>
      </c>
      <c r="N729" t="n">
        <v>0</v>
      </c>
      <c r="O729" t="n">
        <v>0</v>
      </c>
      <c r="P729" t="n">
        <v>0</v>
      </c>
      <c r="Q729" t="n">
        <v>0</v>
      </c>
      <c r="R729" s="2" t="inlineStr"/>
    </row>
    <row r="730" ht="15" customHeight="1">
      <c r="A730" t="inlineStr">
        <is>
          <t>A 7861-2024</t>
        </is>
      </c>
      <c r="B730" s="1" t="n">
        <v>45350</v>
      </c>
      <c r="C730" s="1" t="n">
        <v>46204</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22536-2025</t>
        </is>
      </c>
      <c r="B731" s="1" t="n">
        <v>45787</v>
      </c>
      <c r="C731" s="1" t="n">
        <v>46204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34244-2024</t>
        </is>
      </c>
      <c r="B732" s="1" t="n">
        <v>45524</v>
      </c>
      <c r="C732" s="1" t="n">
        <v>46204</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22876-2025</t>
        </is>
      </c>
      <c r="B733" s="1" t="n">
        <v>45790</v>
      </c>
      <c r="C733" s="1" t="n">
        <v>46204</v>
      </c>
      <c r="D733" t="inlineStr">
        <is>
          <t>DALARNAS LÄN</t>
        </is>
      </c>
      <c r="E733" t="inlineStr">
        <is>
          <t>LEKSAND</t>
        </is>
      </c>
      <c r="G733" t="n">
        <v>5.9</v>
      </c>
      <c r="H733" t="n">
        <v>0</v>
      </c>
      <c r="I733" t="n">
        <v>0</v>
      </c>
      <c r="J733" t="n">
        <v>0</v>
      </c>
      <c r="K733" t="n">
        <v>0</v>
      </c>
      <c r="L733" t="n">
        <v>0</v>
      </c>
      <c r="M733" t="n">
        <v>0</v>
      </c>
      <c r="N733" t="n">
        <v>0</v>
      </c>
      <c r="O733" t="n">
        <v>0</v>
      </c>
      <c r="P733" t="n">
        <v>0</v>
      </c>
      <c r="Q733" t="n">
        <v>0</v>
      </c>
      <c r="R733" s="2" t="inlineStr"/>
    </row>
    <row r="734" ht="15" customHeight="1">
      <c r="A734" t="inlineStr">
        <is>
          <t>A 49499-2024</t>
        </is>
      </c>
      <c r="B734" s="1" t="n">
        <v>45596</v>
      </c>
      <c r="C734" s="1" t="n">
        <v>46204</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44822-2024</t>
        </is>
      </c>
      <c r="B735" s="1" t="n">
        <v>45574</v>
      </c>
      <c r="C735" s="1" t="n">
        <v>46204</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23076-2025</t>
        </is>
      </c>
      <c r="B736" s="1" t="n">
        <v>45790</v>
      </c>
      <c r="C736" s="1" t="n">
        <v>46204</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24188-2025</t>
        </is>
      </c>
      <c r="B737" s="1" t="n">
        <v>45796</v>
      </c>
      <c r="C737" s="1" t="n">
        <v>46204</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7450-2023</t>
        </is>
      </c>
      <c r="B738" s="1" t="n">
        <v>44971</v>
      </c>
      <c r="C738" s="1" t="n">
        <v>46204</v>
      </c>
      <c r="D738" t="inlineStr">
        <is>
          <t>DALARNAS LÄN</t>
        </is>
      </c>
      <c r="E738" t="inlineStr">
        <is>
          <t>LEKSAND</t>
        </is>
      </c>
      <c r="G738" t="n">
        <v>3</v>
      </c>
      <c r="H738" t="n">
        <v>0</v>
      </c>
      <c r="I738" t="n">
        <v>0</v>
      </c>
      <c r="J738" t="n">
        <v>0</v>
      </c>
      <c r="K738" t="n">
        <v>0</v>
      </c>
      <c r="L738" t="n">
        <v>0</v>
      </c>
      <c r="M738" t="n">
        <v>0</v>
      </c>
      <c r="N738" t="n">
        <v>0</v>
      </c>
      <c r="O738" t="n">
        <v>0</v>
      </c>
      <c r="P738" t="n">
        <v>0</v>
      </c>
      <c r="Q738" t="n">
        <v>0</v>
      </c>
      <c r="R738" s="2" t="inlineStr"/>
    </row>
    <row r="739" ht="15" customHeight="1">
      <c r="A739" t="inlineStr">
        <is>
          <t>A 56211-2023</t>
        </is>
      </c>
      <c r="B739" s="1" t="n">
        <v>45240</v>
      </c>
      <c r="C739" s="1" t="n">
        <v>46204</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40868-2024</t>
        </is>
      </c>
      <c r="B740" s="1" t="n">
        <v>45558</v>
      </c>
      <c r="C740" s="1" t="n">
        <v>46204</v>
      </c>
      <c r="D740" t="inlineStr">
        <is>
          <t>DALARNAS LÄN</t>
        </is>
      </c>
      <c r="E740" t="inlineStr">
        <is>
          <t>LEKSAND</t>
        </is>
      </c>
      <c r="G740" t="n">
        <v>0.8</v>
      </c>
      <c r="H740" t="n">
        <v>0</v>
      </c>
      <c r="I740" t="n">
        <v>0</v>
      </c>
      <c r="J740" t="n">
        <v>0</v>
      </c>
      <c r="K740" t="n">
        <v>0</v>
      </c>
      <c r="L740" t="n">
        <v>0</v>
      </c>
      <c r="M740" t="n">
        <v>0</v>
      </c>
      <c r="N740" t="n">
        <v>0</v>
      </c>
      <c r="O740" t="n">
        <v>0</v>
      </c>
      <c r="P740" t="n">
        <v>0</v>
      </c>
      <c r="Q740" t="n">
        <v>0</v>
      </c>
      <c r="R740" s="2" t="inlineStr"/>
    </row>
    <row r="741" ht="15" customHeight="1">
      <c r="A741" t="inlineStr">
        <is>
          <t>A 31255-2023</t>
        </is>
      </c>
      <c r="B741" s="1" t="n">
        <v>45114</v>
      </c>
      <c r="C741" s="1" t="n">
        <v>46204</v>
      </c>
      <c r="D741" t="inlineStr">
        <is>
          <t>DALARNAS LÄN</t>
        </is>
      </c>
      <c r="E741" t="inlineStr">
        <is>
          <t>LEKSAND</t>
        </is>
      </c>
      <c r="G741" t="n">
        <v>1.3</v>
      </c>
      <c r="H741" t="n">
        <v>0</v>
      </c>
      <c r="I741" t="n">
        <v>0</v>
      </c>
      <c r="J741" t="n">
        <v>0</v>
      </c>
      <c r="K741" t="n">
        <v>0</v>
      </c>
      <c r="L741" t="n">
        <v>0</v>
      </c>
      <c r="M741" t="n">
        <v>0</v>
      </c>
      <c r="N741" t="n">
        <v>0</v>
      </c>
      <c r="O741" t="n">
        <v>0</v>
      </c>
      <c r="P741" t="n">
        <v>0</v>
      </c>
      <c r="Q741" t="n">
        <v>0</v>
      </c>
      <c r="R741" s="2" t="inlineStr"/>
    </row>
    <row r="742" ht="15" customHeight="1">
      <c r="A742" t="inlineStr">
        <is>
          <t>A 25329-2022</t>
        </is>
      </c>
      <c r="B742" s="1" t="n">
        <v>44731</v>
      </c>
      <c r="C742" s="1" t="n">
        <v>46204</v>
      </c>
      <c r="D742" t="inlineStr">
        <is>
          <t>DALARNAS LÄN</t>
        </is>
      </c>
      <c r="E742" t="inlineStr">
        <is>
          <t>LEKSAND</t>
        </is>
      </c>
      <c r="G742" t="n">
        <v>1.4</v>
      </c>
      <c r="H742" t="n">
        <v>0</v>
      </c>
      <c r="I742" t="n">
        <v>0</v>
      </c>
      <c r="J742" t="n">
        <v>0</v>
      </c>
      <c r="K742" t="n">
        <v>0</v>
      </c>
      <c r="L742" t="n">
        <v>0</v>
      </c>
      <c r="M742" t="n">
        <v>0</v>
      </c>
      <c r="N742" t="n">
        <v>0</v>
      </c>
      <c r="O742" t="n">
        <v>0</v>
      </c>
      <c r="P742" t="n">
        <v>0</v>
      </c>
      <c r="Q742" t="n">
        <v>0</v>
      </c>
      <c r="R742" s="2" t="inlineStr"/>
    </row>
    <row r="743" ht="15" customHeight="1">
      <c r="A743" t="inlineStr">
        <is>
          <t>A 27262-2025</t>
        </is>
      </c>
      <c r="B743" s="1" t="n">
        <v>45812</v>
      </c>
      <c r="C743" s="1" t="n">
        <v>46204</v>
      </c>
      <c r="D743" t="inlineStr">
        <is>
          <t>DALARNAS LÄN</t>
        </is>
      </c>
      <c r="E743" t="inlineStr">
        <is>
          <t>LEKSAND</t>
        </is>
      </c>
      <c r="F743" t="inlineStr">
        <is>
          <t>Bergvik skog väst AB</t>
        </is>
      </c>
      <c r="G743" t="n">
        <v>7.7</v>
      </c>
      <c r="H743" t="n">
        <v>0</v>
      </c>
      <c r="I743" t="n">
        <v>0</v>
      </c>
      <c r="J743" t="n">
        <v>0</v>
      </c>
      <c r="K743" t="n">
        <v>0</v>
      </c>
      <c r="L743" t="n">
        <v>0</v>
      </c>
      <c r="M743" t="n">
        <v>0</v>
      </c>
      <c r="N743" t="n">
        <v>0</v>
      </c>
      <c r="O743" t="n">
        <v>0</v>
      </c>
      <c r="P743" t="n">
        <v>0</v>
      </c>
      <c r="Q743" t="n">
        <v>0</v>
      </c>
      <c r="R743" s="2" t="inlineStr"/>
    </row>
    <row r="744" ht="15" customHeight="1">
      <c r="A744" t="inlineStr">
        <is>
          <t>A 27680-2025</t>
        </is>
      </c>
      <c r="B744" s="1" t="n">
        <v>45813</v>
      </c>
      <c r="C744" s="1" t="n">
        <v>46204</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27984-2025</t>
        </is>
      </c>
      <c r="B745" s="1" t="n">
        <v>45817</v>
      </c>
      <c r="C745" s="1" t="n">
        <v>46204</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28499-2025</t>
        </is>
      </c>
      <c r="B746" s="1" t="n">
        <v>45818</v>
      </c>
      <c r="C746" s="1" t="n">
        <v>46204</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28483-2025</t>
        </is>
      </c>
      <c r="B747" s="1" t="n">
        <v>45818</v>
      </c>
      <c r="C747" s="1" t="n">
        <v>46204</v>
      </c>
      <c r="D747" t="inlineStr">
        <is>
          <t>DALARNAS LÄN</t>
        </is>
      </c>
      <c r="E747" t="inlineStr">
        <is>
          <t>LEKSAND</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28505-2025</t>
        </is>
      </c>
      <c r="B748" s="1" t="n">
        <v>45818</v>
      </c>
      <c r="C748" s="1" t="n">
        <v>46204</v>
      </c>
      <c r="D748" t="inlineStr">
        <is>
          <t>DALARNAS LÄN</t>
        </is>
      </c>
      <c r="E748" t="inlineStr">
        <is>
          <t>LEKSAND</t>
        </is>
      </c>
      <c r="G748" t="n">
        <v>0.8</v>
      </c>
      <c r="H748" t="n">
        <v>0</v>
      </c>
      <c r="I748" t="n">
        <v>0</v>
      </c>
      <c r="J748" t="n">
        <v>0</v>
      </c>
      <c r="K748" t="n">
        <v>0</v>
      </c>
      <c r="L748" t="n">
        <v>0</v>
      </c>
      <c r="M748" t="n">
        <v>0</v>
      </c>
      <c r="N748" t="n">
        <v>0</v>
      </c>
      <c r="O748" t="n">
        <v>0</v>
      </c>
      <c r="P748" t="n">
        <v>0</v>
      </c>
      <c r="Q748" t="n">
        <v>0</v>
      </c>
      <c r="R748" s="2" t="inlineStr"/>
    </row>
    <row r="749" ht="15" customHeight="1">
      <c r="A749" t="inlineStr">
        <is>
          <t>A 28770-2025</t>
        </is>
      </c>
      <c r="B749" s="1" t="n">
        <v>45820</v>
      </c>
      <c r="C749" s="1" t="n">
        <v>46204</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29553-2025</t>
        </is>
      </c>
      <c r="B750" s="1" t="n">
        <v>45825</v>
      </c>
      <c r="C750" s="1" t="n">
        <v>46204</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29005-2025</t>
        </is>
      </c>
      <c r="B751" s="1" t="n">
        <v>45821</v>
      </c>
      <c r="C751" s="1" t="n">
        <v>46204</v>
      </c>
      <c r="D751" t="inlineStr">
        <is>
          <t>DALARNAS LÄN</t>
        </is>
      </c>
      <c r="E751" t="inlineStr">
        <is>
          <t>LEKSAND</t>
        </is>
      </c>
      <c r="G751" t="n">
        <v>2.1</v>
      </c>
      <c r="H751" t="n">
        <v>0</v>
      </c>
      <c r="I751" t="n">
        <v>0</v>
      </c>
      <c r="J751" t="n">
        <v>0</v>
      </c>
      <c r="K751" t="n">
        <v>0</v>
      </c>
      <c r="L751" t="n">
        <v>0</v>
      </c>
      <c r="M751" t="n">
        <v>0</v>
      </c>
      <c r="N751" t="n">
        <v>0</v>
      </c>
      <c r="O751" t="n">
        <v>0</v>
      </c>
      <c r="P751" t="n">
        <v>0</v>
      </c>
      <c r="Q751" t="n">
        <v>0</v>
      </c>
      <c r="R751" s="2" t="inlineStr"/>
    </row>
    <row r="752">
      <c r="A752" t="inlineStr">
        <is>
          <t>A 30254-2025</t>
        </is>
      </c>
      <c r="B752" s="1" t="n">
        <v>45827</v>
      </c>
      <c r="C752" s="1" t="n">
        <v>46204</v>
      </c>
      <c r="D752" t="inlineStr">
        <is>
          <t>DALARNAS LÄN</t>
        </is>
      </c>
      <c r="E752" t="inlineStr">
        <is>
          <t>LEKSAND</t>
        </is>
      </c>
      <c r="G752" t="n">
        <v>3.5</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2026-07-01T01:02:26Z</dcterms:created>
  <dcterms:modified xmlns:dcterms="http://purl.org/dc/terms/" xmlns:xsi="http://www.w3.org/2001/XMLSchema-instance" xsi:type="dcterms:W3CDTF">2026-07-01T01:02:26Z</dcterms:modified>
</cp:coreProperties>
</file>