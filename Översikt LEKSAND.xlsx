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45881</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45881</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45881</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45881</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45881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45881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45881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45881</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45881</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45881</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45881</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45881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45881</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45881</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45881</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45881</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45881</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45881</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45881</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4974-2025</t>
        </is>
      </c>
      <c r="B28" s="1" t="n">
        <v>45690.8478587963</v>
      </c>
      <c r="C28" s="1" t="n">
        <v>45881</v>
      </c>
      <c r="D28" t="inlineStr">
        <is>
          <t>DALARNAS LÄN</t>
        </is>
      </c>
      <c r="E28" t="inlineStr">
        <is>
          <t>LEKSAND</t>
        </is>
      </c>
      <c r="G28" t="n">
        <v>0.9</v>
      </c>
      <c r="H28" t="n">
        <v>1</v>
      </c>
      <c r="I28" t="n">
        <v>0</v>
      </c>
      <c r="J28" t="n">
        <v>1</v>
      </c>
      <c r="K28" t="n">
        <v>0</v>
      </c>
      <c r="L28" t="n">
        <v>0</v>
      </c>
      <c r="M28" t="n">
        <v>0</v>
      </c>
      <c r="N28" t="n">
        <v>0</v>
      </c>
      <c r="O28" t="n">
        <v>1</v>
      </c>
      <c r="P28" t="n">
        <v>0</v>
      </c>
      <c r="Q28" t="n">
        <v>1</v>
      </c>
      <c r="R28" s="2" t="inlineStr">
        <is>
          <t>Spillkråka</t>
        </is>
      </c>
      <c r="S28">
        <f>HYPERLINK("https://klasma.github.io/Logging_2029/artfynd/A 4974-2025 artfynd.xlsx", "A 4974-2025")</f>
        <v/>
      </c>
      <c r="T28">
        <f>HYPERLINK("https://klasma.github.io/Logging_2029/kartor/A 4974-2025 karta.png", "A 4974-2025")</f>
        <v/>
      </c>
      <c r="V28">
        <f>HYPERLINK("https://klasma.github.io/Logging_2029/klagomål/A 4974-2025 FSC-klagomål.docx", "A 4974-2025")</f>
        <v/>
      </c>
      <c r="W28">
        <f>HYPERLINK("https://klasma.github.io/Logging_2029/klagomålsmail/A 4974-2025 FSC-klagomål mail.docx", "A 4974-2025")</f>
        <v/>
      </c>
      <c r="X28">
        <f>HYPERLINK("https://klasma.github.io/Logging_2029/tillsyn/A 4974-2025 tillsynsbegäran.docx", "A 4974-2025")</f>
        <v/>
      </c>
      <c r="Y28">
        <f>HYPERLINK("https://klasma.github.io/Logging_2029/tillsynsmail/A 4974-2025 tillsynsbegäran mail.docx", "A 4974-2025")</f>
        <v/>
      </c>
      <c r="Z28">
        <f>HYPERLINK("https://klasma.github.io/Logging_2029/fåglar/A 4974-2025 prioriterade fågelarter.docx", "A 4974-2025")</f>
        <v/>
      </c>
    </row>
    <row r="29" ht="15" customHeight="1">
      <c r="A29" t="inlineStr">
        <is>
          <t>A 16333-2023</t>
        </is>
      </c>
      <c r="B29" s="1" t="n">
        <v>45028</v>
      </c>
      <c r="C29" s="1" t="n">
        <v>45881</v>
      </c>
      <c r="D29" t="inlineStr">
        <is>
          <t>DALARNAS LÄN</t>
        </is>
      </c>
      <c r="E29" t="inlineStr">
        <is>
          <t>LEKSAND</t>
        </is>
      </c>
      <c r="G29" t="n">
        <v>1.5</v>
      </c>
      <c r="H29" t="n">
        <v>0</v>
      </c>
      <c r="I29" t="n">
        <v>1</v>
      </c>
      <c r="J29" t="n">
        <v>0</v>
      </c>
      <c r="K29" t="n">
        <v>0</v>
      </c>
      <c r="L29" t="n">
        <v>0</v>
      </c>
      <c r="M29" t="n">
        <v>0</v>
      </c>
      <c r="N29" t="n">
        <v>0</v>
      </c>
      <c r="O29" t="n">
        <v>0</v>
      </c>
      <c r="P29" t="n">
        <v>0</v>
      </c>
      <c r="Q29" t="n">
        <v>1</v>
      </c>
      <c r="R29" s="2" t="inlineStr">
        <is>
          <t>Läderskål</t>
        </is>
      </c>
      <c r="S29">
        <f>HYPERLINK("https://klasma.github.io/Logging_2029/artfynd/A 16333-2023 artfynd.xlsx", "A 16333-2023")</f>
        <v/>
      </c>
      <c r="T29">
        <f>HYPERLINK("https://klasma.github.io/Logging_2029/kartor/A 16333-2023 karta.png", "A 16333-2023")</f>
        <v/>
      </c>
      <c r="V29">
        <f>HYPERLINK("https://klasma.github.io/Logging_2029/klagomål/A 16333-2023 FSC-klagomål.docx", "A 16333-2023")</f>
        <v/>
      </c>
      <c r="W29">
        <f>HYPERLINK("https://klasma.github.io/Logging_2029/klagomålsmail/A 16333-2023 FSC-klagomål mail.docx", "A 16333-2023")</f>
        <v/>
      </c>
      <c r="X29">
        <f>HYPERLINK("https://klasma.github.io/Logging_2029/tillsyn/A 16333-2023 tillsynsbegäran.docx", "A 16333-2023")</f>
        <v/>
      </c>
      <c r="Y29">
        <f>HYPERLINK("https://klasma.github.io/Logging_2029/tillsynsmail/A 16333-2023 tillsynsbegäran mail.docx", "A 16333-2023")</f>
        <v/>
      </c>
    </row>
    <row r="30" ht="15" customHeight="1">
      <c r="A30" t="inlineStr">
        <is>
          <t>A 26287-2023</t>
        </is>
      </c>
      <c r="B30" s="1" t="n">
        <v>45091</v>
      </c>
      <c r="C30" s="1" t="n">
        <v>45881</v>
      </c>
      <c r="D30" t="inlineStr">
        <is>
          <t>DALARNAS LÄN</t>
        </is>
      </c>
      <c r="E30" t="inlineStr">
        <is>
          <t>LEKSAND</t>
        </is>
      </c>
      <c r="G30" t="n">
        <v>2.4</v>
      </c>
      <c r="H30" t="n">
        <v>0</v>
      </c>
      <c r="I30" t="n">
        <v>1</v>
      </c>
      <c r="J30" t="n">
        <v>0</v>
      </c>
      <c r="K30" t="n">
        <v>0</v>
      </c>
      <c r="L30" t="n">
        <v>0</v>
      </c>
      <c r="M30" t="n">
        <v>0</v>
      </c>
      <c r="N30" t="n">
        <v>0</v>
      </c>
      <c r="O30" t="n">
        <v>0</v>
      </c>
      <c r="P30" t="n">
        <v>0</v>
      </c>
      <c r="Q30" t="n">
        <v>1</v>
      </c>
      <c r="R30" s="2" t="inlineStr">
        <is>
          <t>Mindre märgborre</t>
        </is>
      </c>
      <c r="S30">
        <f>HYPERLINK("https://klasma.github.io/Logging_2029/artfynd/A 26287-2023 artfynd.xlsx", "A 26287-2023")</f>
        <v/>
      </c>
      <c r="T30">
        <f>HYPERLINK("https://klasma.github.io/Logging_2029/kartor/A 26287-2023 karta.png", "A 26287-2023")</f>
        <v/>
      </c>
      <c r="V30">
        <f>HYPERLINK("https://klasma.github.io/Logging_2029/klagomål/A 26287-2023 FSC-klagomål.docx", "A 26287-2023")</f>
        <v/>
      </c>
      <c r="W30">
        <f>HYPERLINK("https://klasma.github.io/Logging_2029/klagomålsmail/A 26287-2023 FSC-klagomål mail.docx", "A 26287-2023")</f>
        <v/>
      </c>
      <c r="X30">
        <f>HYPERLINK("https://klasma.github.io/Logging_2029/tillsyn/A 26287-2023 tillsynsbegäran.docx", "A 26287-2023")</f>
        <v/>
      </c>
      <c r="Y30">
        <f>HYPERLINK("https://klasma.github.io/Logging_2029/tillsynsmail/A 26287-2023 tillsynsbegäran mail.docx", "A 26287-2023")</f>
        <v/>
      </c>
    </row>
    <row r="31" ht="15" customHeight="1">
      <c r="A31" t="inlineStr">
        <is>
          <t>A 164-2024</t>
        </is>
      </c>
      <c r="B31" s="1" t="n">
        <v>45294.49954861111</v>
      </c>
      <c r="C31" s="1" t="n">
        <v>45881</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16735-2025</t>
        </is>
      </c>
      <c r="B32" s="1" t="n">
        <v>45754.54314814815</v>
      </c>
      <c r="C32" s="1" t="n">
        <v>45881</v>
      </c>
      <c r="D32" t="inlineStr">
        <is>
          <t>DALARNAS LÄN</t>
        </is>
      </c>
      <c r="E32" t="inlineStr">
        <is>
          <t>LEKSAND</t>
        </is>
      </c>
      <c r="G32" t="n">
        <v>1.8</v>
      </c>
      <c r="H32" t="n">
        <v>1</v>
      </c>
      <c r="I32" t="n">
        <v>0</v>
      </c>
      <c r="J32" t="n">
        <v>0</v>
      </c>
      <c r="K32" t="n">
        <v>0</v>
      </c>
      <c r="L32" t="n">
        <v>0</v>
      </c>
      <c r="M32" t="n">
        <v>0</v>
      </c>
      <c r="N32" t="n">
        <v>0</v>
      </c>
      <c r="O32" t="n">
        <v>0</v>
      </c>
      <c r="P32" t="n">
        <v>0</v>
      </c>
      <c r="Q32" t="n">
        <v>1</v>
      </c>
      <c r="R32" s="2" t="inlineStr">
        <is>
          <t>Gröngöling</t>
        </is>
      </c>
      <c r="S32">
        <f>HYPERLINK("https://klasma.github.io/Logging_2029/artfynd/A 16735-2025 artfynd.xlsx", "A 16735-2025")</f>
        <v/>
      </c>
      <c r="T32">
        <f>HYPERLINK("https://klasma.github.io/Logging_2029/kartor/A 16735-2025 karta.png", "A 16735-2025")</f>
        <v/>
      </c>
      <c r="V32">
        <f>HYPERLINK("https://klasma.github.io/Logging_2029/klagomål/A 16735-2025 FSC-klagomål.docx", "A 16735-2025")</f>
        <v/>
      </c>
      <c r="W32">
        <f>HYPERLINK("https://klasma.github.io/Logging_2029/klagomålsmail/A 16735-2025 FSC-klagomål mail.docx", "A 16735-2025")</f>
        <v/>
      </c>
      <c r="X32">
        <f>HYPERLINK("https://klasma.github.io/Logging_2029/tillsyn/A 16735-2025 tillsynsbegäran.docx", "A 16735-2025")</f>
        <v/>
      </c>
      <c r="Y32">
        <f>HYPERLINK("https://klasma.github.io/Logging_2029/tillsynsmail/A 16735-2025 tillsynsbegäran mail.docx", "A 16735-2025")</f>
        <v/>
      </c>
      <c r="Z32">
        <f>HYPERLINK("https://klasma.github.io/Logging_2029/fåglar/A 16735-2025 prioriterade fågelarter.docx", "A 16735-2025")</f>
        <v/>
      </c>
    </row>
    <row r="33" ht="15" customHeight="1">
      <c r="A33" t="inlineStr">
        <is>
          <t>A 23137-2022</t>
        </is>
      </c>
      <c r="B33" s="1" t="n">
        <v>44719</v>
      </c>
      <c r="C33" s="1" t="n">
        <v>45881</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31124-2024</t>
        </is>
      </c>
      <c r="B34" s="1" t="n">
        <v>45502.62886574074</v>
      </c>
      <c r="C34" s="1" t="n">
        <v>45881</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55633-2024</t>
        </is>
      </c>
      <c r="B35" s="1" t="n">
        <v>45621</v>
      </c>
      <c r="C35" s="1" t="n">
        <v>45881</v>
      </c>
      <c r="D35" t="inlineStr">
        <is>
          <t>DALARNAS LÄN</t>
        </is>
      </c>
      <c r="E35" t="inlineStr">
        <is>
          <t>LEKSAND</t>
        </is>
      </c>
      <c r="G35" t="n">
        <v>7.8</v>
      </c>
      <c r="H35" t="n">
        <v>0</v>
      </c>
      <c r="I35" t="n">
        <v>0</v>
      </c>
      <c r="J35" t="n">
        <v>1</v>
      </c>
      <c r="K35" t="n">
        <v>0</v>
      </c>
      <c r="L35" t="n">
        <v>0</v>
      </c>
      <c r="M35" t="n">
        <v>0</v>
      </c>
      <c r="N35" t="n">
        <v>0</v>
      </c>
      <c r="O35" t="n">
        <v>1</v>
      </c>
      <c r="P35" t="n">
        <v>0</v>
      </c>
      <c r="Q35" t="n">
        <v>1</v>
      </c>
      <c r="R35" s="2" t="inlineStr">
        <is>
          <t>Ullticka</t>
        </is>
      </c>
      <c r="S35">
        <f>HYPERLINK("https://klasma.github.io/Logging_2029/artfynd/A 55633-2024 artfynd.xlsx", "A 55633-2024")</f>
        <v/>
      </c>
      <c r="T35">
        <f>HYPERLINK("https://klasma.github.io/Logging_2029/kartor/A 55633-2024 karta.png", "A 55633-2024")</f>
        <v/>
      </c>
      <c r="V35">
        <f>HYPERLINK("https://klasma.github.io/Logging_2029/klagomål/A 55633-2024 FSC-klagomål.docx", "A 55633-2024")</f>
        <v/>
      </c>
      <c r="W35">
        <f>HYPERLINK("https://klasma.github.io/Logging_2029/klagomålsmail/A 55633-2024 FSC-klagomål mail.docx", "A 55633-2024")</f>
        <v/>
      </c>
      <c r="X35">
        <f>HYPERLINK("https://klasma.github.io/Logging_2029/tillsyn/A 55633-2024 tillsynsbegäran.docx", "A 55633-2024")</f>
        <v/>
      </c>
      <c r="Y35">
        <f>HYPERLINK("https://klasma.github.io/Logging_2029/tillsynsmail/A 55633-2024 tillsynsbegäran mail.docx", "A 55633-2024")</f>
        <v/>
      </c>
    </row>
    <row r="36" ht="15" customHeight="1">
      <c r="A36" t="inlineStr">
        <is>
          <t>A 52600-2024</t>
        </is>
      </c>
      <c r="B36" s="1" t="n">
        <v>45609</v>
      </c>
      <c r="C36" s="1" t="n">
        <v>45881</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59205-2023</t>
        </is>
      </c>
      <c r="B37" s="1" t="n">
        <v>45251</v>
      </c>
      <c r="C37" s="1" t="n">
        <v>45881</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34993-2025</t>
        </is>
      </c>
      <c r="B38" s="1" t="n">
        <v>45849.82383101852</v>
      </c>
      <c r="C38" s="1" t="n">
        <v>45881</v>
      </c>
      <c r="D38" t="inlineStr">
        <is>
          <t>DALARNAS LÄN</t>
        </is>
      </c>
      <c r="E38" t="inlineStr">
        <is>
          <t>LEKSAND</t>
        </is>
      </c>
      <c r="F38" t="inlineStr">
        <is>
          <t>Bergvik skog väst AB</t>
        </is>
      </c>
      <c r="G38" t="n">
        <v>4.6</v>
      </c>
      <c r="H38" t="n">
        <v>0</v>
      </c>
      <c r="I38" t="n">
        <v>1</v>
      </c>
      <c r="J38" t="n">
        <v>0</v>
      </c>
      <c r="K38" t="n">
        <v>0</v>
      </c>
      <c r="L38" t="n">
        <v>0</v>
      </c>
      <c r="M38" t="n">
        <v>0</v>
      </c>
      <c r="N38" t="n">
        <v>0</v>
      </c>
      <c r="O38" t="n">
        <v>0</v>
      </c>
      <c r="P38" t="n">
        <v>0</v>
      </c>
      <c r="Q38" t="n">
        <v>1</v>
      </c>
      <c r="R38" s="2" t="inlineStr">
        <is>
          <t>Mindre märgborre</t>
        </is>
      </c>
      <c r="S38">
        <f>HYPERLINK("https://klasma.github.io/Logging_2029/artfynd/A 34993-2025 artfynd.xlsx", "A 34993-2025")</f>
        <v/>
      </c>
      <c r="T38">
        <f>HYPERLINK("https://klasma.github.io/Logging_2029/kartor/A 34993-2025 karta.png", "A 34993-2025")</f>
        <v/>
      </c>
      <c r="V38">
        <f>HYPERLINK("https://klasma.github.io/Logging_2029/klagomål/A 34993-2025 FSC-klagomål.docx", "A 34993-2025")</f>
        <v/>
      </c>
      <c r="W38">
        <f>HYPERLINK("https://klasma.github.io/Logging_2029/klagomålsmail/A 34993-2025 FSC-klagomål mail.docx", "A 34993-2025")</f>
        <v/>
      </c>
      <c r="X38">
        <f>HYPERLINK("https://klasma.github.io/Logging_2029/tillsyn/A 34993-2025 tillsynsbegäran.docx", "A 34993-2025")</f>
        <v/>
      </c>
      <c r="Y38">
        <f>HYPERLINK("https://klasma.github.io/Logging_2029/tillsynsmail/A 34993-2025 tillsynsbegäran mail.docx", "A 34993-2025")</f>
        <v/>
      </c>
    </row>
    <row r="39" ht="15" customHeight="1">
      <c r="A39" t="inlineStr">
        <is>
          <t>A 34996-2025</t>
        </is>
      </c>
      <c r="B39" s="1" t="n">
        <v>45849.82798611111</v>
      </c>
      <c r="C39" s="1" t="n">
        <v>45881</v>
      </c>
      <c r="D39" t="inlineStr">
        <is>
          <t>DALARNAS LÄN</t>
        </is>
      </c>
      <c r="E39" t="inlineStr">
        <is>
          <t>LEKSAND</t>
        </is>
      </c>
      <c r="G39" t="n">
        <v>1.1</v>
      </c>
      <c r="H39" t="n">
        <v>0</v>
      </c>
      <c r="I39" t="n">
        <v>0</v>
      </c>
      <c r="J39" t="n">
        <v>1</v>
      </c>
      <c r="K39" t="n">
        <v>0</v>
      </c>
      <c r="L39" t="n">
        <v>0</v>
      </c>
      <c r="M39" t="n">
        <v>0</v>
      </c>
      <c r="N39" t="n">
        <v>0</v>
      </c>
      <c r="O39" t="n">
        <v>1</v>
      </c>
      <c r="P39" t="n">
        <v>0</v>
      </c>
      <c r="Q39" t="n">
        <v>1</v>
      </c>
      <c r="R39" s="2" t="inlineStr">
        <is>
          <t>Garnlav</t>
        </is>
      </c>
      <c r="S39">
        <f>HYPERLINK("https://klasma.github.io/Logging_2029/artfynd/A 34996-2025 artfynd.xlsx", "A 34996-2025")</f>
        <v/>
      </c>
      <c r="T39">
        <f>HYPERLINK("https://klasma.github.io/Logging_2029/kartor/A 34996-2025 karta.png", "A 34996-2025")</f>
        <v/>
      </c>
      <c r="V39">
        <f>HYPERLINK("https://klasma.github.io/Logging_2029/klagomål/A 34996-2025 FSC-klagomål.docx", "A 34996-2025")</f>
        <v/>
      </c>
      <c r="W39">
        <f>HYPERLINK("https://klasma.github.io/Logging_2029/klagomålsmail/A 34996-2025 FSC-klagomål mail.docx", "A 34996-2025")</f>
        <v/>
      </c>
      <c r="X39">
        <f>HYPERLINK("https://klasma.github.io/Logging_2029/tillsyn/A 34996-2025 tillsynsbegäran.docx", "A 34996-2025")</f>
        <v/>
      </c>
      <c r="Y39">
        <f>HYPERLINK("https://klasma.github.io/Logging_2029/tillsynsmail/A 34996-2025 tillsynsbegäran mail.docx", "A 34996-2025")</f>
        <v/>
      </c>
    </row>
    <row r="40" ht="15" customHeight="1">
      <c r="A40" t="inlineStr">
        <is>
          <t>A 41873-2022</t>
        </is>
      </c>
      <c r="B40" s="1" t="n">
        <v>44829</v>
      </c>
      <c r="C40" s="1" t="n">
        <v>45881</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36778-2025</t>
        </is>
      </c>
      <c r="B41" s="1" t="n">
        <v>45873</v>
      </c>
      <c r="C41" s="1" t="n">
        <v>45881</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31951-2025</t>
        </is>
      </c>
      <c r="B42" s="1" t="n">
        <v>45835.33481481481</v>
      </c>
      <c r="C42" s="1" t="n">
        <v>45881</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6029-2025</t>
        </is>
      </c>
      <c r="B43" s="1" t="n">
        <v>45695</v>
      </c>
      <c r="C43" s="1" t="n">
        <v>45881</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1078-2021</t>
        </is>
      </c>
      <c r="B44" s="1" t="n">
        <v>44207</v>
      </c>
      <c r="C44" s="1" t="n">
        <v>45881</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45881</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45881</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45881</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45881</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45881</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45881</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45881</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45881</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45881</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45881</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45881</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45881</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45881</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45881</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45881</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37568-2020</t>
        </is>
      </c>
      <c r="B60" s="1" t="n">
        <v>44056</v>
      </c>
      <c r="C60" s="1" t="n">
        <v>45881</v>
      </c>
      <c r="D60" t="inlineStr">
        <is>
          <t>DALARNAS LÄN</t>
        </is>
      </c>
      <c r="E60" t="inlineStr">
        <is>
          <t>LEKSAND</t>
        </is>
      </c>
      <c r="G60" t="n">
        <v>3.4</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45881</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45881</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45881</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45881</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45881</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45881</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45881</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45881</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45881</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45881</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45881</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45881</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45881</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45881</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45881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45881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45881</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45881</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45881</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45881</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36956-2021</t>
        </is>
      </c>
      <c r="B81" s="1" t="n">
        <v>44393.55643518519</v>
      </c>
      <c r="C81" s="1" t="n">
        <v>45881</v>
      </c>
      <c r="D81" t="inlineStr">
        <is>
          <t>DALARNAS LÄN</t>
        </is>
      </c>
      <c r="E81" t="inlineStr">
        <is>
          <t>LEKSAND</t>
        </is>
      </c>
      <c r="G81" t="n">
        <v>4.1</v>
      </c>
      <c r="H81" t="n">
        <v>0</v>
      </c>
      <c r="I81" t="n">
        <v>0</v>
      </c>
      <c r="J81" t="n">
        <v>0</v>
      </c>
      <c r="K81" t="n">
        <v>0</v>
      </c>
      <c r="L81" t="n">
        <v>0</v>
      </c>
      <c r="M81" t="n">
        <v>0</v>
      </c>
      <c r="N81" t="n">
        <v>0</v>
      </c>
      <c r="O81" t="n">
        <v>0</v>
      </c>
      <c r="P81" t="n">
        <v>0</v>
      </c>
      <c r="Q81" t="n">
        <v>0</v>
      </c>
      <c r="R81" s="2" t="inlineStr"/>
    </row>
    <row r="82" ht="15" customHeight="1">
      <c r="A82" t="inlineStr">
        <is>
          <t>A 46672-2022</t>
        </is>
      </c>
      <c r="B82" s="1" t="n">
        <v>44851</v>
      </c>
      <c r="C82" s="1" t="n">
        <v>45881</v>
      </c>
      <c r="D82" t="inlineStr">
        <is>
          <t>DALARNAS LÄN</t>
        </is>
      </c>
      <c r="E82" t="inlineStr">
        <is>
          <t>LEKSAND</t>
        </is>
      </c>
      <c r="G82" t="n">
        <v>0.7</v>
      </c>
      <c r="H82" t="n">
        <v>0</v>
      </c>
      <c r="I82" t="n">
        <v>0</v>
      </c>
      <c r="J82" t="n">
        <v>0</v>
      </c>
      <c r="K82" t="n">
        <v>0</v>
      </c>
      <c r="L82" t="n">
        <v>0</v>
      </c>
      <c r="M82" t="n">
        <v>0</v>
      </c>
      <c r="N82" t="n">
        <v>0</v>
      </c>
      <c r="O82" t="n">
        <v>0</v>
      </c>
      <c r="P82" t="n">
        <v>0</v>
      </c>
      <c r="Q82" t="n">
        <v>0</v>
      </c>
      <c r="R82" s="2" t="inlineStr"/>
    </row>
    <row r="83" ht="15" customHeight="1">
      <c r="A83" t="inlineStr">
        <is>
          <t>A 31871-2022</t>
        </is>
      </c>
      <c r="B83" s="1" t="n">
        <v>44777.37854166667</v>
      </c>
      <c r="C83" s="1" t="n">
        <v>45881</v>
      </c>
      <c r="D83" t="inlineStr">
        <is>
          <t>DALARNAS LÄN</t>
        </is>
      </c>
      <c r="E83" t="inlineStr">
        <is>
          <t>LEKSAND</t>
        </is>
      </c>
      <c r="G83" t="n">
        <v>4.1</v>
      </c>
      <c r="H83" t="n">
        <v>0</v>
      </c>
      <c r="I83" t="n">
        <v>0</v>
      </c>
      <c r="J83" t="n">
        <v>0</v>
      </c>
      <c r="K83" t="n">
        <v>0</v>
      </c>
      <c r="L83" t="n">
        <v>0</v>
      </c>
      <c r="M83" t="n">
        <v>0</v>
      </c>
      <c r="N83" t="n">
        <v>0</v>
      </c>
      <c r="O83" t="n">
        <v>0</v>
      </c>
      <c r="P83" t="n">
        <v>0</v>
      </c>
      <c r="Q83" t="n">
        <v>0</v>
      </c>
      <c r="R83" s="2" t="inlineStr"/>
    </row>
    <row r="84" ht="15" customHeight="1">
      <c r="A84" t="inlineStr">
        <is>
          <t>A 14140-2022</t>
        </is>
      </c>
      <c r="B84" s="1" t="n">
        <v>44651</v>
      </c>
      <c r="C84" s="1" t="n">
        <v>45881</v>
      </c>
      <c r="D84" t="inlineStr">
        <is>
          <t>DALARNAS LÄN</t>
        </is>
      </c>
      <c r="E84" t="inlineStr">
        <is>
          <t>LEKSAND</t>
        </is>
      </c>
      <c r="G84" t="n">
        <v>0.9</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45881</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45881</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45881</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47069-2020</t>
        </is>
      </c>
      <c r="B88" s="1" t="n">
        <v>44096</v>
      </c>
      <c r="C88" s="1" t="n">
        <v>45881</v>
      </c>
      <c r="D88" t="inlineStr">
        <is>
          <t>DALARNAS LÄN</t>
        </is>
      </c>
      <c r="E88" t="inlineStr">
        <is>
          <t>LEKSAND</t>
        </is>
      </c>
      <c r="G88" t="n">
        <v>5.5</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45881</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45155-2021</t>
        </is>
      </c>
      <c r="B90" s="1" t="n">
        <v>44439</v>
      </c>
      <c r="C90" s="1" t="n">
        <v>45881</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45881</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49581-2022</t>
        </is>
      </c>
      <c r="B92" s="1" t="n">
        <v>44862.36287037037</v>
      </c>
      <c r="C92" s="1" t="n">
        <v>45881</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45881</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40584-2021</t>
        </is>
      </c>
      <c r="B94" s="1" t="n">
        <v>44420</v>
      </c>
      <c r="C94" s="1" t="n">
        <v>45881</v>
      </c>
      <c r="D94" t="inlineStr">
        <is>
          <t>DALARNAS LÄN</t>
        </is>
      </c>
      <c r="E94" t="inlineStr">
        <is>
          <t>LEKSAND</t>
        </is>
      </c>
      <c r="G94" t="n">
        <v>6</v>
      </c>
      <c r="H94" t="n">
        <v>0</v>
      </c>
      <c r="I94" t="n">
        <v>0</v>
      </c>
      <c r="J94" t="n">
        <v>0</v>
      </c>
      <c r="K94" t="n">
        <v>0</v>
      </c>
      <c r="L94" t="n">
        <v>0</v>
      </c>
      <c r="M94" t="n">
        <v>0</v>
      </c>
      <c r="N94" t="n">
        <v>0</v>
      </c>
      <c r="O94" t="n">
        <v>0</v>
      </c>
      <c r="P94" t="n">
        <v>0</v>
      </c>
      <c r="Q94" t="n">
        <v>0</v>
      </c>
      <c r="R94" s="2" t="inlineStr"/>
    </row>
    <row r="95" ht="15" customHeight="1">
      <c r="A95" t="inlineStr">
        <is>
          <t>A 45995-2020</t>
        </is>
      </c>
      <c r="B95" s="1" t="n">
        <v>44088</v>
      </c>
      <c r="C95" s="1" t="n">
        <v>45881</v>
      </c>
      <c r="D95" t="inlineStr">
        <is>
          <t>DALARNAS LÄN</t>
        </is>
      </c>
      <c r="E95" t="inlineStr">
        <is>
          <t>LEKSAND</t>
        </is>
      </c>
      <c r="G95" t="n">
        <v>7.8</v>
      </c>
      <c r="H95" t="n">
        <v>0</v>
      </c>
      <c r="I95" t="n">
        <v>0</v>
      </c>
      <c r="J95" t="n">
        <v>0</v>
      </c>
      <c r="K95" t="n">
        <v>0</v>
      </c>
      <c r="L95" t="n">
        <v>0</v>
      </c>
      <c r="M95" t="n">
        <v>0</v>
      </c>
      <c r="N95" t="n">
        <v>0</v>
      </c>
      <c r="O95" t="n">
        <v>0</v>
      </c>
      <c r="P95" t="n">
        <v>0</v>
      </c>
      <c r="Q95" t="n">
        <v>0</v>
      </c>
      <c r="R95" s="2" t="inlineStr"/>
    </row>
    <row r="96" ht="15" customHeight="1">
      <c r="A96" t="inlineStr">
        <is>
          <t>A 35080-2022</t>
        </is>
      </c>
      <c r="B96" s="1" t="n">
        <v>44797</v>
      </c>
      <c r="C96" s="1" t="n">
        <v>45881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21965-2021</t>
        </is>
      </c>
      <c r="B97" s="1" t="n">
        <v>44323</v>
      </c>
      <c r="C97" s="1" t="n">
        <v>45881</v>
      </c>
      <c r="D97" t="inlineStr">
        <is>
          <t>DALARNAS LÄN</t>
        </is>
      </c>
      <c r="E97" t="inlineStr">
        <is>
          <t>LEKSAND</t>
        </is>
      </c>
      <c r="G97" t="n">
        <v>0.5</v>
      </c>
      <c r="H97" t="n">
        <v>0</v>
      </c>
      <c r="I97" t="n">
        <v>0</v>
      </c>
      <c r="J97" t="n">
        <v>0</v>
      </c>
      <c r="K97" t="n">
        <v>0</v>
      </c>
      <c r="L97" t="n">
        <v>0</v>
      </c>
      <c r="M97" t="n">
        <v>0</v>
      </c>
      <c r="N97" t="n">
        <v>0</v>
      </c>
      <c r="O97" t="n">
        <v>0</v>
      </c>
      <c r="P97" t="n">
        <v>0</v>
      </c>
      <c r="Q97" t="n">
        <v>0</v>
      </c>
      <c r="R97" s="2" t="inlineStr"/>
    </row>
    <row r="98" ht="15" customHeight="1">
      <c r="A98" t="inlineStr">
        <is>
          <t>A 21969-2021</t>
        </is>
      </c>
      <c r="B98" s="1" t="n">
        <v>44323</v>
      </c>
      <c r="C98" s="1" t="n">
        <v>45881</v>
      </c>
      <c r="D98" t="inlineStr">
        <is>
          <t>DALARNAS LÄN</t>
        </is>
      </c>
      <c r="E98" t="inlineStr">
        <is>
          <t>LEKSAND</t>
        </is>
      </c>
      <c r="G98" t="n">
        <v>3.8</v>
      </c>
      <c r="H98" t="n">
        <v>0</v>
      </c>
      <c r="I98" t="n">
        <v>0</v>
      </c>
      <c r="J98" t="n">
        <v>0</v>
      </c>
      <c r="K98" t="n">
        <v>0</v>
      </c>
      <c r="L98" t="n">
        <v>0</v>
      </c>
      <c r="M98" t="n">
        <v>0</v>
      </c>
      <c r="N98" t="n">
        <v>0</v>
      </c>
      <c r="O98" t="n">
        <v>0</v>
      </c>
      <c r="P98" t="n">
        <v>0</v>
      </c>
      <c r="Q98" t="n">
        <v>0</v>
      </c>
      <c r="R98" s="2" t="inlineStr"/>
    </row>
    <row r="99" ht="15" customHeight="1">
      <c r="A99" t="inlineStr">
        <is>
          <t>A 70098-2021</t>
        </is>
      </c>
      <c r="B99" s="1" t="n">
        <v>44533</v>
      </c>
      <c r="C99" s="1" t="n">
        <v>45881</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45881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45881</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70296-2021</t>
        </is>
      </c>
      <c r="B102" s="1" t="n">
        <v>44536.40434027778</v>
      </c>
      <c r="C102" s="1" t="n">
        <v>45881</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19677-2021</t>
        </is>
      </c>
      <c r="B103" s="1" t="n">
        <v>44312</v>
      </c>
      <c r="C103" s="1" t="n">
        <v>45881</v>
      </c>
      <c r="D103" t="inlineStr">
        <is>
          <t>DALARNAS LÄN</t>
        </is>
      </c>
      <c r="E103" t="inlineStr">
        <is>
          <t>LEKSAND</t>
        </is>
      </c>
      <c r="F103" t="inlineStr">
        <is>
          <t>Bergvik skog väst AB</t>
        </is>
      </c>
      <c r="G103" t="n">
        <v>3.1</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45881</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45881</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45881</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40165-2022</t>
        </is>
      </c>
      <c r="B107" s="1" t="n">
        <v>44820.56857638889</v>
      </c>
      <c r="C107" s="1" t="n">
        <v>45881</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45881</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45881</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43275-2022</t>
        </is>
      </c>
      <c r="B110" s="1" t="n">
        <v>44824</v>
      </c>
      <c r="C110" s="1" t="n">
        <v>45881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43304-2022</t>
        </is>
      </c>
      <c r="B111" s="1" t="n">
        <v>44834</v>
      </c>
      <c r="C111" s="1" t="n">
        <v>45881</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45881</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8501-2022</t>
        </is>
      </c>
      <c r="B113" s="1" t="n">
        <v>44613.40672453704</v>
      </c>
      <c r="C113" s="1" t="n">
        <v>45881</v>
      </c>
      <c r="D113" t="inlineStr">
        <is>
          <t>DALARNAS LÄN</t>
        </is>
      </c>
      <c r="E113" t="inlineStr">
        <is>
          <t>LEKSAND</t>
        </is>
      </c>
      <c r="G113" t="n">
        <v>3</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45881</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45881</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19480-2022</t>
        </is>
      </c>
      <c r="B116" s="1" t="n">
        <v>44693</v>
      </c>
      <c r="C116" s="1" t="n">
        <v>45881</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67307-2020</t>
        </is>
      </c>
      <c r="B117" s="1" t="n">
        <v>44181</v>
      </c>
      <c r="C117" s="1" t="n">
        <v>45881</v>
      </c>
      <c r="D117" t="inlineStr">
        <is>
          <t>DALARNAS LÄN</t>
        </is>
      </c>
      <c r="E117" t="inlineStr">
        <is>
          <t>LEKSAND</t>
        </is>
      </c>
      <c r="G117" t="n">
        <v>5.9</v>
      </c>
      <c r="H117" t="n">
        <v>0</v>
      </c>
      <c r="I117" t="n">
        <v>0</v>
      </c>
      <c r="J117" t="n">
        <v>0</v>
      </c>
      <c r="K117" t="n">
        <v>0</v>
      </c>
      <c r="L117" t="n">
        <v>0</v>
      </c>
      <c r="M117" t="n">
        <v>0</v>
      </c>
      <c r="N117" t="n">
        <v>0</v>
      </c>
      <c r="O117" t="n">
        <v>0</v>
      </c>
      <c r="P117" t="n">
        <v>0</v>
      </c>
      <c r="Q117" t="n">
        <v>0</v>
      </c>
      <c r="R117" s="2" t="inlineStr"/>
    </row>
    <row r="118" ht="15" customHeight="1">
      <c r="A118" t="inlineStr">
        <is>
          <t>A 14797-2025</t>
        </is>
      </c>
      <c r="B118" s="1" t="n">
        <v>45742.90363425926</v>
      </c>
      <c r="C118" s="1" t="n">
        <v>45881</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16135-2023</t>
        </is>
      </c>
      <c r="B119" s="1" t="n">
        <v>45027.63717592593</v>
      </c>
      <c r="C119" s="1" t="n">
        <v>45881</v>
      </c>
      <c r="D119" t="inlineStr">
        <is>
          <t>DALARNAS LÄN</t>
        </is>
      </c>
      <c r="E119" t="inlineStr">
        <is>
          <t>LEKSAND</t>
        </is>
      </c>
      <c r="G119" t="n">
        <v>4.9</v>
      </c>
      <c r="H119" t="n">
        <v>0</v>
      </c>
      <c r="I119" t="n">
        <v>0</v>
      </c>
      <c r="J119" t="n">
        <v>0</v>
      </c>
      <c r="K119" t="n">
        <v>0</v>
      </c>
      <c r="L119" t="n">
        <v>0</v>
      </c>
      <c r="M119" t="n">
        <v>0</v>
      </c>
      <c r="N119" t="n">
        <v>0</v>
      </c>
      <c r="O119" t="n">
        <v>0</v>
      </c>
      <c r="P119" t="n">
        <v>0</v>
      </c>
      <c r="Q119" t="n">
        <v>0</v>
      </c>
      <c r="R119" s="2" t="inlineStr"/>
    </row>
    <row r="120" ht="15" customHeight="1">
      <c r="A120" t="inlineStr">
        <is>
          <t>A 30198-2024</t>
        </is>
      </c>
      <c r="B120" s="1" t="n">
        <v>45490.34765046297</v>
      </c>
      <c r="C120" s="1" t="n">
        <v>45881</v>
      </c>
      <c r="D120" t="inlineStr">
        <is>
          <t>DALARNAS LÄN</t>
        </is>
      </c>
      <c r="E120" t="inlineStr">
        <is>
          <t>LEKSAND</t>
        </is>
      </c>
      <c r="G120" t="n">
        <v>0.8</v>
      </c>
      <c r="H120" t="n">
        <v>0</v>
      </c>
      <c r="I120" t="n">
        <v>0</v>
      </c>
      <c r="J120" t="n">
        <v>0</v>
      </c>
      <c r="K120" t="n">
        <v>0</v>
      </c>
      <c r="L120" t="n">
        <v>0</v>
      </c>
      <c r="M120" t="n">
        <v>0</v>
      </c>
      <c r="N120" t="n">
        <v>0</v>
      </c>
      <c r="O120" t="n">
        <v>0</v>
      </c>
      <c r="P120" t="n">
        <v>0</v>
      </c>
      <c r="Q120" t="n">
        <v>0</v>
      </c>
      <c r="R120" s="2" t="inlineStr"/>
    </row>
    <row r="121" ht="15" customHeight="1">
      <c r="A121" t="inlineStr">
        <is>
          <t>A 28128-2022</t>
        </is>
      </c>
      <c r="B121" s="1" t="n">
        <v>44746.50628472222</v>
      </c>
      <c r="C121" s="1" t="n">
        <v>45881</v>
      </c>
      <c r="D121" t="inlineStr">
        <is>
          <t>DALARNAS LÄN</t>
        </is>
      </c>
      <c r="E121" t="inlineStr">
        <is>
          <t>LEKSAND</t>
        </is>
      </c>
      <c r="G121" t="n">
        <v>3.5</v>
      </c>
      <c r="H121" t="n">
        <v>0</v>
      </c>
      <c r="I121" t="n">
        <v>0</v>
      </c>
      <c r="J121" t="n">
        <v>0</v>
      </c>
      <c r="K121" t="n">
        <v>0</v>
      </c>
      <c r="L121" t="n">
        <v>0</v>
      </c>
      <c r="M121" t="n">
        <v>0</v>
      </c>
      <c r="N121" t="n">
        <v>0</v>
      </c>
      <c r="O121" t="n">
        <v>0</v>
      </c>
      <c r="P121" t="n">
        <v>0</v>
      </c>
      <c r="Q121" t="n">
        <v>0</v>
      </c>
      <c r="R121" s="2" t="inlineStr"/>
    </row>
    <row r="122" ht="15" customHeight="1">
      <c r="A122" t="inlineStr">
        <is>
          <t>A 10373-2023</t>
        </is>
      </c>
      <c r="B122" s="1" t="n">
        <v>44987</v>
      </c>
      <c r="C122" s="1" t="n">
        <v>45881</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62279-2021</t>
        </is>
      </c>
      <c r="B123" s="1" t="n">
        <v>44503</v>
      </c>
      <c r="C123" s="1" t="n">
        <v>45881</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38001-2023</t>
        </is>
      </c>
      <c r="B124" s="1" t="n">
        <v>45160</v>
      </c>
      <c r="C124" s="1" t="n">
        <v>45881</v>
      </c>
      <c r="D124" t="inlineStr">
        <is>
          <t>DALARNAS LÄN</t>
        </is>
      </c>
      <c r="E124" t="inlineStr">
        <is>
          <t>LEKSAND</t>
        </is>
      </c>
      <c r="G124" t="n">
        <v>3.6</v>
      </c>
      <c r="H124" t="n">
        <v>0</v>
      </c>
      <c r="I124" t="n">
        <v>0</v>
      </c>
      <c r="J124" t="n">
        <v>0</v>
      </c>
      <c r="K124" t="n">
        <v>0</v>
      </c>
      <c r="L124" t="n">
        <v>0</v>
      </c>
      <c r="M124" t="n">
        <v>0</v>
      </c>
      <c r="N124" t="n">
        <v>0</v>
      </c>
      <c r="O124" t="n">
        <v>0</v>
      </c>
      <c r="P124" t="n">
        <v>0</v>
      </c>
      <c r="Q124" t="n">
        <v>0</v>
      </c>
      <c r="R124" s="2" t="inlineStr"/>
    </row>
    <row r="125" ht="15" customHeight="1">
      <c r="A125" t="inlineStr">
        <is>
          <t>A 70026-2021</t>
        </is>
      </c>
      <c r="B125" s="1" t="n">
        <v>44533</v>
      </c>
      <c r="C125" s="1" t="n">
        <v>45881</v>
      </c>
      <c r="D125" t="inlineStr">
        <is>
          <t>DALARNAS LÄN</t>
        </is>
      </c>
      <c r="E125" t="inlineStr">
        <is>
          <t>LEKSAND</t>
        </is>
      </c>
      <c r="G125" t="n">
        <v>0.9</v>
      </c>
      <c r="H125" t="n">
        <v>0</v>
      </c>
      <c r="I125" t="n">
        <v>0</v>
      </c>
      <c r="J125" t="n">
        <v>0</v>
      </c>
      <c r="K125" t="n">
        <v>0</v>
      </c>
      <c r="L125" t="n">
        <v>0</v>
      </c>
      <c r="M125" t="n">
        <v>0</v>
      </c>
      <c r="N125" t="n">
        <v>0</v>
      </c>
      <c r="O125" t="n">
        <v>0</v>
      </c>
      <c r="P125" t="n">
        <v>0</v>
      </c>
      <c r="Q125" t="n">
        <v>0</v>
      </c>
      <c r="R125" s="2" t="inlineStr"/>
    </row>
    <row r="126" ht="15" customHeight="1">
      <c r="A126" t="inlineStr">
        <is>
          <t>A 5583-2024</t>
        </is>
      </c>
      <c r="B126" s="1" t="n">
        <v>45334</v>
      </c>
      <c r="C126" s="1" t="n">
        <v>45881</v>
      </c>
      <c r="D126" t="inlineStr">
        <is>
          <t>DALARNAS LÄN</t>
        </is>
      </c>
      <c r="E126" t="inlineStr">
        <is>
          <t>LEKSAND</t>
        </is>
      </c>
      <c r="F126" t="inlineStr">
        <is>
          <t>Kyrkan</t>
        </is>
      </c>
      <c r="G126" t="n">
        <v>0.4</v>
      </c>
      <c r="H126" t="n">
        <v>0</v>
      </c>
      <c r="I126" t="n">
        <v>0</v>
      </c>
      <c r="J126" t="n">
        <v>0</v>
      </c>
      <c r="K126" t="n">
        <v>0</v>
      </c>
      <c r="L126" t="n">
        <v>0</v>
      </c>
      <c r="M126" t="n">
        <v>0</v>
      </c>
      <c r="N126" t="n">
        <v>0</v>
      </c>
      <c r="O126" t="n">
        <v>0</v>
      </c>
      <c r="P126" t="n">
        <v>0</v>
      </c>
      <c r="Q126" t="n">
        <v>0</v>
      </c>
      <c r="R126" s="2" t="inlineStr"/>
    </row>
    <row r="127" ht="15" customHeight="1">
      <c r="A127" t="inlineStr">
        <is>
          <t>A 32635-2021</t>
        </is>
      </c>
      <c r="B127" s="1" t="n">
        <v>44374</v>
      </c>
      <c r="C127" s="1" t="n">
        <v>45881</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45881</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59826-2023</t>
        </is>
      </c>
      <c r="B129" s="1" t="n">
        <v>45254</v>
      </c>
      <c r="C129" s="1" t="n">
        <v>45881</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7417-2024</t>
        </is>
      </c>
      <c r="B130" s="1" t="n">
        <v>45345.62378472222</v>
      </c>
      <c r="C130" s="1" t="n">
        <v>45881</v>
      </c>
      <c r="D130" t="inlineStr">
        <is>
          <t>DALARNAS LÄN</t>
        </is>
      </c>
      <c r="E130" t="inlineStr">
        <is>
          <t>LEKSAND</t>
        </is>
      </c>
      <c r="G130" t="n">
        <v>2.8</v>
      </c>
      <c r="H130" t="n">
        <v>0</v>
      </c>
      <c r="I130" t="n">
        <v>0</v>
      </c>
      <c r="J130" t="n">
        <v>0</v>
      </c>
      <c r="K130" t="n">
        <v>0</v>
      </c>
      <c r="L130" t="n">
        <v>0</v>
      </c>
      <c r="M130" t="n">
        <v>0</v>
      </c>
      <c r="N130" t="n">
        <v>0</v>
      </c>
      <c r="O130" t="n">
        <v>0</v>
      </c>
      <c r="P130" t="n">
        <v>0</v>
      </c>
      <c r="Q130" t="n">
        <v>0</v>
      </c>
      <c r="R130" s="2" t="inlineStr"/>
    </row>
    <row r="131" ht="15" customHeight="1">
      <c r="A131" t="inlineStr">
        <is>
          <t>A 45040-2021</t>
        </is>
      </c>
      <c r="B131" s="1" t="n">
        <v>44438</v>
      </c>
      <c r="C131" s="1" t="n">
        <v>45881</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33566-2023</t>
        </is>
      </c>
      <c r="B132" s="1" t="n">
        <v>45131.64390046296</v>
      </c>
      <c r="C132" s="1" t="n">
        <v>45881</v>
      </c>
      <c r="D132" t="inlineStr">
        <is>
          <t>DALARNAS LÄN</t>
        </is>
      </c>
      <c r="E132" t="inlineStr">
        <is>
          <t>LEKSAND</t>
        </is>
      </c>
      <c r="G132" t="n">
        <v>0.9</v>
      </c>
      <c r="H132" t="n">
        <v>0</v>
      </c>
      <c r="I132" t="n">
        <v>0</v>
      </c>
      <c r="J132" t="n">
        <v>0</v>
      </c>
      <c r="K132" t="n">
        <v>0</v>
      </c>
      <c r="L132" t="n">
        <v>0</v>
      </c>
      <c r="M132" t="n">
        <v>0</v>
      </c>
      <c r="N132" t="n">
        <v>0</v>
      </c>
      <c r="O132" t="n">
        <v>0</v>
      </c>
      <c r="P132" t="n">
        <v>0</v>
      </c>
      <c r="Q132" t="n">
        <v>0</v>
      </c>
      <c r="R132" s="2" t="inlineStr"/>
    </row>
    <row r="133" ht="15" customHeight="1">
      <c r="A133" t="inlineStr">
        <is>
          <t>A 13161-2024</t>
        </is>
      </c>
      <c r="B133" s="1" t="n">
        <v>45386.38972222222</v>
      </c>
      <c r="C133" s="1" t="n">
        <v>45881</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16592-2023</t>
        </is>
      </c>
      <c r="B134" s="1" t="n">
        <v>45030</v>
      </c>
      <c r="C134" s="1" t="n">
        <v>45881</v>
      </c>
      <c r="D134" t="inlineStr">
        <is>
          <t>DALARNAS LÄN</t>
        </is>
      </c>
      <c r="E134" t="inlineStr">
        <is>
          <t>LEKSAND</t>
        </is>
      </c>
      <c r="G134" t="n">
        <v>11.5</v>
      </c>
      <c r="H134" t="n">
        <v>0</v>
      </c>
      <c r="I134" t="n">
        <v>0</v>
      </c>
      <c r="J134" t="n">
        <v>0</v>
      </c>
      <c r="K134" t="n">
        <v>0</v>
      </c>
      <c r="L134" t="n">
        <v>0</v>
      </c>
      <c r="M134" t="n">
        <v>0</v>
      </c>
      <c r="N134" t="n">
        <v>0</v>
      </c>
      <c r="O134" t="n">
        <v>0</v>
      </c>
      <c r="P134" t="n">
        <v>0</v>
      </c>
      <c r="Q134" t="n">
        <v>0</v>
      </c>
      <c r="R134" s="2" t="inlineStr"/>
    </row>
    <row r="135" ht="15" customHeight="1">
      <c r="A135" t="inlineStr">
        <is>
          <t>A 53717-2023</t>
        </is>
      </c>
      <c r="B135" s="1" t="n">
        <v>45230</v>
      </c>
      <c r="C135" s="1" t="n">
        <v>45881</v>
      </c>
      <c r="D135" t="inlineStr">
        <is>
          <t>DALARNAS LÄN</t>
        </is>
      </c>
      <c r="E135" t="inlineStr">
        <is>
          <t>LEKSAND</t>
        </is>
      </c>
      <c r="G135" t="n">
        <v>2.4</v>
      </c>
      <c r="H135" t="n">
        <v>0</v>
      </c>
      <c r="I135" t="n">
        <v>0</v>
      </c>
      <c r="J135" t="n">
        <v>0</v>
      </c>
      <c r="K135" t="n">
        <v>0</v>
      </c>
      <c r="L135" t="n">
        <v>0</v>
      </c>
      <c r="M135" t="n">
        <v>0</v>
      </c>
      <c r="N135" t="n">
        <v>0</v>
      </c>
      <c r="O135" t="n">
        <v>0</v>
      </c>
      <c r="P135" t="n">
        <v>0</v>
      </c>
      <c r="Q135" t="n">
        <v>0</v>
      </c>
      <c r="R135" s="2" t="inlineStr"/>
    </row>
    <row r="136" ht="15" customHeight="1">
      <c r="A136" t="inlineStr">
        <is>
          <t>A 7395-2025</t>
        </is>
      </c>
      <c r="B136" s="1" t="n">
        <v>45705.34516203704</v>
      </c>
      <c r="C136" s="1" t="n">
        <v>45881</v>
      </c>
      <c r="D136" t="inlineStr">
        <is>
          <t>DALARNAS LÄN</t>
        </is>
      </c>
      <c r="E136" t="inlineStr">
        <is>
          <t>LEKSAND</t>
        </is>
      </c>
      <c r="G136" t="n">
        <v>1.8</v>
      </c>
      <c r="H136" t="n">
        <v>0</v>
      </c>
      <c r="I136" t="n">
        <v>0</v>
      </c>
      <c r="J136" t="n">
        <v>0</v>
      </c>
      <c r="K136" t="n">
        <v>0</v>
      </c>
      <c r="L136" t="n">
        <v>0</v>
      </c>
      <c r="M136" t="n">
        <v>0</v>
      </c>
      <c r="N136" t="n">
        <v>0</v>
      </c>
      <c r="O136" t="n">
        <v>0</v>
      </c>
      <c r="P136" t="n">
        <v>0</v>
      </c>
      <c r="Q136" t="n">
        <v>0</v>
      </c>
      <c r="R136" s="2" t="inlineStr"/>
    </row>
    <row r="137" ht="15" customHeight="1">
      <c r="A137" t="inlineStr">
        <is>
          <t>A 12290-2024</t>
        </is>
      </c>
      <c r="B137" s="1" t="n">
        <v>45378.57877314815</v>
      </c>
      <c r="C137" s="1" t="n">
        <v>45881</v>
      </c>
      <c r="D137" t="inlineStr">
        <is>
          <t>DALARNAS LÄN</t>
        </is>
      </c>
      <c r="E137" t="inlineStr">
        <is>
          <t>LEKSAND</t>
        </is>
      </c>
      <c r="G137" t="n">
        <v>2.5</v>
      </c>
      <c r="H137" t="n">
        <v>0</v>
      </c>
      <c r="I137" t="n">
        <v>0</v>
      </c>
      <c r="J137" t="n">
        <v>0</v>
      </c>
      <c r="K137" t="n">
        <v>0</v>
      </c>
      <c r="L137" t="n">
        <v>0</v>
      </c>
      <c r="M137" t="n">
        <v>0</v>
      </c>
      <c r="N137" t="n">
        <v>0</v>
      </c>
      <c r="O137" t="n">
        <v>0</v>
      </c>
      <c r="P137" t="n">
        <v>0</v>
      </c>
      <c r="Q137" t="n">
        <v>0</v>
      </c>
      <c r="R137" s="2" t="inlineStr"/>
    </row>
    <row r="138" ht="15" customHeight="1">
      <c r="A138" t="inlineStr">
        <is>
          <t>A 31971-2024</t>
        </is>
      </c>
      <c r="B138" s="1" t="n">
        <v>45510.55171296297</v>
      </c>
      <c r="C138" s="1" t="n">
        <v>45881</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43470-2024</t>
        </is>
      </c>
      <c r="B139" s="1" t="n">
        <v>45568</v>
      </c>
      <c r="C139" s="1" t="n">
        <v>45881</v>
      </c>
      <c r="D139" t="inlineStr">
        <is>
          <t>DALARNAS LÄN</t>
        </is>
      </c>
      <c r="E139" t="inlineStr">
        <is>
          <t>LEKSAND</t>
        </is>
      </c>
      <c r="G139" t="n">
        <v>3.1</v>
      </c>
      <c r="H139" t="n">
        <v>0</v>
      </c>
      <c r="I139" t="n">
        <v>0</v>
      </c>
      <c r="J139" t="n">
        <v>0</v>
      </c>
      <c r="K139" t="n">
        <v>0</v>
      </c>
      <c r="L139" t="n">
        <v>0</v>
      </c>
      <c r="M139" t="n">
        <v>0</v>
      </c>
      <c r="N139" t="n">
        <v>0</v>
      </c>
      <c r="O139" t="n">
        <v>0</v>
      </c>
      <c r="P139" t="n">
        <v>0</v>
      </c>
      <c r="Q139" t="n">
        <v>0</v>
      </c>
      <c r="R139" s="2" t="inlineStr"/>
    </row>
    <row r="140" ht="15" customHeight="1">
      <c r="A140" t="inlineStr">
        <is>
          <t>A 61546-2021</t>
        </is>
      </c>
      <c r="B140" s="1" t="n">
        <v>44501</v>
      </c>
      <c r="C140" s="1" t="n">
        <v>45881</v>
      </c>
      <c r="D140" t="inlineStr">
        <is>
          <t>DALARNAS LÄN</t>
        </is>
      </c>
      <c r="E140" t="inlineStr">
        <is>
          <t>LEKSAND</t>
        </is>
      </c>
      <c r="G140" t="n">
        <v>3</v>
      </c>
      <c r="H140" t="n">
        <v>0</v>
      </c>
      <c r="I140" t="n">
        <v>0</v>
      </c>
      <c r="J140" t="n">
        <v>0</v>
      </c>
      <c r="K140" t="n">
        <v>0</v>
      </c>
      <c r="L140" t="n">
        <v>0</v>
      </c>
      <c r="M140" t="n">
        <v>0</v>
      </c>
      <c r="N140" t="n">
        <v>0</v>
      </c>
      <c r="O140" t="n">
        <v>0</v>
      </c>
      <c r="P140" t="n">
        <v>0</v>
      </c>
      <c r="Q140" t="n">
        <v>0</v>
      </c>
      <c r="R140" s="2" t="inlineStr"/>
    </row>
    <row r="141" ht="15" customHeight="1">
      <c r="A141" t="inlineStr">
        <is>
          <t>A 60873-2023</t>
        </is>
      </c>
      <c r="B141" s="1" t="n">
        <v>45261.03266203704</v>
      </c>
      <c r="C141" s="1" t="n">
        <v>45881</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6758-2024</t>
        </is>
      </c>
      <c r="B142" s="1" t="n">
        <v>45342.46857638889</v>
      </c>
      <c r="C142" s="1" t="n">
        <v>45881</v>
      </c>
      <c r="D142" t="inlineStr">
        <is>
          <t>DALARNAS LÄN</t>
        </is>
      </c>
      <c r="E142" t="inlineStr">
        <is>
          <t>LEKSAND</t>
        </is>
      </c>
      <c r="F142" t="inlineStr">
        <is>
          <t>Bergvik skog väst AB</t>
        </is>
      </c>
      <c r="G142" t="n">
        <v>6.2</v>
      </c>
      <c r="H142" t="n">
        <v>0</v>
      </c>
      <c r="I142" t="n">
        <v>0</v>
      </c>
      <c r="J142" t="n">
        <v>0</v>
      </c>
      <c r="K142" t="n">
        <v>0</v>
      </c>
      <c r="L142" t="n">
        <v>0</v>
      </c>
      <c r="M142" t="n">
        <v>0</v>
      </c>
      <c r="N142" t="n">
        <v>0</v>
      </c>
      <c r="O142" t="n">
        <v>0</v>
      </c>
      <c r="P142" t="n">
        <v>0</v>
      </c>
      <c r="Q142" t="n">
        <v>0</v>
      </c>
      <c r="R142" s="2" t="inlineStr"/>
    </row>
    <row r="143" ht="15" customHeight="1">
      <c r="A143" t="inlineStr">
        <is>
          <t>A 14616-2024</t>
        </is>
      </c>
      <c r="B143" s="1" t="n">
        <v>45397.2624537037</v>
      </c>
      <c r="C143" s="1" t="n">
        <v>45881</v>
      </c>
      <c r="D143" t="inlineStr">
        <is>
          <t>DALARNAS LÄN</t>
        </is>
      </c>
      <c r="E143" t="inlineStr">
        <is>
          <t>LEKSAND</t>
        </is>
      </c>
      <c r="G143" t="n">
        <v>0.5</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45881</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7653-2025</t>
        </is>
      </c>
      <c r="B145" s="1" t="n">
        <v>45705.95238425926</v>
      </c>
      <c r="C145" s="1" t="n">
        <v>45881</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25025-2023</t>
        </is>
      </c>
      <c r="B146" s="1" t="n">
        <v>45085.92146990741</v>
      </c>
      <c r="C146" s="1" t="n">
        <v>45881</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25038-2023</t>
        </is>
      </c>
      <c r="B147" s="1" t="n">
        <v>45085</v>
      </c>
      <c r="C147" s="1" t="n">
        <v>45881</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41853-2023</t>
        </is>
      </c>
      <c r="B148" s="1" t="n">
        <v>45176.62483796296</v>
      </c>
      <c r="C148" s="1" t="n">
        <v>45881</v>
      </c>
      <c r="D148" t="inlineStr">
        <is>
          <t>DALARNAS LÄN</t>
        </is>
      </c>
      <c r="E148" t="inlineStr">
        <is>
          <t>LEKSAND</t>
        </is>
      </c>
      <c r="G148" t="n">
        <v>1</v>
      </c>
      <c r="H148" t="n">
        <v>0</v>
      </c>
      <c r="I148" t="n">
        <v>0</v>
      </c>
      <c r="J148" t="n">
        <v>0</v>
      </c>
      <c r="K148" t="n">
        <v>0</v>
      </c>
      <c r="L148" t="n">
        <v>0</v>
      </c>
      <c r="M148" t="n">
        <v>0</v>
      </c>
      <c r="N148" t="n">
        <v>0</v>
      </c>
      <c r="O148" t="n">
        <v>0</v>
      </c>
      <c r="P148" t="n">
        <v>0</v>
      </c>
      <c r="Q148" t="n">
        <v>0</v>
      </c>
      <c r="R148" s="2" t="inlineStr"/>
    </row>
    <row r="149" ht="15" customHeight="1">
      <c r="A149" t="inlineStr">
        <is>
          <t>A 62116-2024</t>
        </is>
      </c>
      <c r="B149" s="1" t="n">
        <v>45646</v>
      </c>
      <c r="C149" s="1" t="n">
        <v>45881</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54914-2024</t>
        </is>
      </c>
      <c r="B150" s="1" t="n">
        <v>45618.69380787037</v>
      </c>
      <c r="C150" s="1" t="n">
        <v>45881</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51857-2022</t>
        </is>
      </c>
      <c r="B151" s="1" t="n">
        <v>44867</v>
      </c>
      <c r="C151" s="1" t="n">
        <v>45881</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167-2023</t>
        </is>
      </c>
      <c r="B152" s="1" t="n">
        <v>44918</v>
      </c>
      <c r="C152" s="1" t="n">
        <v>45881</v>
      </c>
      <c r="D152" t="inlineStr">
        <is>
          <t>DALARNAS LÄN</t>
        </is>
      </c>
      <c r="E152" t="inlineStr">
        <is>
          <t>LEKSAND</t>
        </is>
      </c>
      <c r="G152" t="n">
        <v>0.5</v>
      </c>
      <c r="H152" t="n">
        <v>0</v>
      </c>
      <c r="I152" t="n">
        <v>0</v>
      </c>
      <c r="J152" t="n">
        <v>0</v>
      </c>
      <c r="K152" t="n">
        <v>0</v>
      </c>
      <c r="L152" t="n">
        <v>0</v>
      </c>
      <c r="M152" t="n">
        <v>0</v>
      </c>
      <c r="N152" t="n">
        <v>0</v>
      </c>
      <c r="O152" t="n">
        <v>0</v>
      </c>
      <c r="P152" t="n">
        <v>0</v>
      </c>
      <c r="Q152" t="n">
        <v>0</v>
      </c>
      <c r="R152" s="2" t="inlineStr"/>
    </row>
    <row r="153" ht="15" customHeight="1">
      <c r="A153" t="inlineStr">
        <is>
          <t>A 56950-2024</t>
        </is>
      </c>
      <c r="B153" s="1" t="n">
        <v>45625</v>
      </c>
      <c r="C153" s="1" t="n">
        <v>45881</v>
      </c>
      <c r="D153" t="inlineStr">
        <is>
          <t>DALARNAS LÄN</t>
        </is>
      </c>
      <c r="E153" t="inlineStr">
        <is>
          <t>LEKSAND</t>
        </is>
      </c>
      <c r="G153" t="n">
        <v>1</v>
      </c>
      <c r="H153" t="n">
        <v>0</v>
      </c>
      <c r="I153" t="n">
        <v>0</v>
      </c>
      <c r="J153" t="n">
        <v>0</v>
      </c>
      <c r="K153" t="n">
        <v>0</v>
      </c>
      <c r="L153" t="n">
        <v>0</v>
      </c>
      <c r="M153" t="n">
        <v>0</v>
      </c>
      <c r="N153" t="n">
        <v>0</v>
      </c>
      <c r="O153" t="n">
        <v>0</v>
      </c>
      <c r="P153" t="n">
        <v>0</v>
      </c>
      <c r="Q153" t="n">
        <v>0</v>
      </c>
      <c r="R153" s="2" t="inlineStr"/>
    </row>
    <row r="154" ht="15" customHeight="1">
      <c r="A154" t="inlineStr">
        <is>
          <t>A 15986-2025</t>
        </is>
      </c>
      <c r="B154" s="1" t="n">
        <v>45749.57331018519</v>
      </c>
      <c r="C154" s="1" t="n">
        <v>45881</v>
      </c>
      <c r="D154" t="inlineStr">
        <is>
          <t>DALARNAS LÄN</t>
        </is>
      </c>
      <c r="E154" t="inlineStr">
        <is>
          <t>LEKSAND</t>
        </is>
      </c>
      <c r="G154" t="n">
        <v>2.7</v>
      </c>
      <c r="H154" t="n">
        <v>0</v>
      </c>
      <c r="I154" t="n">
        <v>0</v>
      </c>
      <c r="J154" t="n">
        <v>0</v>
      </c>
      <c r="K154" t="n">
        <v>0</v>
      </c>
      <c r="L154" t="n">
        <v>0</v>
      </c>
      <c r="M154" t="n">
        <v>0</v>
      </c>
      <c r="N154" t="n">
        <v>0</v>
      </c>
      <c r="O154" t="n">
        <v>0</v>
      </c>
      <c r="P154" t="n">
        <v>0</v>
      </c>
      <c r="Q154" t="n">
        <v>0</v>
      </c>
      <c r="R154" s="2" t="inlineStr"/>
    </row>
    <row r="155" ht="15" customHeight="1">
      <c r="A155" t="inlineStr">
        <is>
          <t>A 15968-2025</t>
        </is>
      </c>
      <c r="B155" s="1" t="n">
        <v>45749.54818287037</v>
      </c>
      <c r="C155" s="1" t="n">
        <v>45881</v>
      </c>
      <c r="D155" t="inlineStr">
        <is>
          <t>DALARNAS LÄN</t>
        </is>
      </c>
      <c r="E155" t="inlineStr">
        <is>
          <t>LEKSAND</t>
        </is>
      </c>
      <c r="G155" t="n">
        <v>3.2</v>
      </c>
      <c r="H155" t="n">
        <v>0</v>
      </c>
      <c r="I155" t="n">
        <v>0</v>
      </c>
      <c r="J155" t="n">
        <v>0</v>
      </c>
      <c r="K155" t="n">
        <v>0</v>
      </c>
      <c r="L155" t="n">
        <v>0</v>
      </c>
      <c r="M155" t="n">
        <v>0</v>
      </c>
      <c r="N155" t="n">
        <v>0</v>
      </c>
      <c r="O155" t="n">
        <v>0</v>
      </c>
      <c r="P155" t="n">
        <v>0</v>
      </c>
      <c r="Q155" t="n">
        <v>0</v>
      </c>
      <c r="R155" s="2" t="inlineStr"/>
    </row>
    <row r="156" ht="15" customHeight="1">
      <c r="A156" t="inlineStr">
        <is>
          <t>A 16005-2025</t>
        </is>
      </c>
      <c r="B156" s="1" t="n">
        <v>45749.59765046297</v>
      </c>
      <c r="C156" s="1" t="n">
        <v>45881</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62295-2023</t>
        </is>
      </c>
      <c r="B157" s="1" t="n">
        <v>45267</v>
      </c>
      <c r="C157" s="1" t="n">
        <v>45881</v>
      </c>
      <c r="D157" t="inlineStr">
        <is>
          <t>DALARNAS LÄN</t>
        </is>
      </c>
      <c r="E157" t="inlineStr">
        <is>
          <t>LEKSAND</t>
        </is>
      </c>
      <c r="G157" t="n">
        <v>2.5</v>
      </c>
      <c r="H157" t="n">
        <v>0</v>
      </c>
      <c r="I157" t="n">
        <v>0</v>
      </c>
      <c r="J157" t="n">
        <v>0</v>
      </c>
      <c r="K157" t="n">
        <v>0</v>
      </c>
      <c r="L157" t="n">
        <v>0</v>
      </c>
      <c r="M157" t="n">
        <v>0</v>
      </c>
      <c r="N157" t="n">
        <v>0</v>
      </c>
      <c r="O157" t="n">
        <v>0</v>
      </c>
      <c r="P157" t="n">
        <v>0</v>
      </c>
      <c r="Q157" t="n">
        <v>0</v>
      </c>
      <c r="R157" s="2" t="inlineStr"/>
    </row>
    <row r="158" ht="15" customHeight="1">
      <c r="A158" t="inlineStr">
        <is>
          <t>A 19820-2024</t>
        </is>
      </c>
      <c r="B158" s="1" t="n">
        <v>45433.33907407407</v>
      </c>
      <c r="C158" s="1" t="n">
        <v>45881</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19823-2024</t>
        </is>
      </c>
      <c r="B159" s="1" t="n">
        <v>45433.34469907408</v>
      </c>
      <c r="C159" s="1" t="n">
        <v>45881</v>
      </c>
      <c r="D159" t="inlineStr">
        <is>
          <t>DALARNAS LÄN</t>
        </is>
      </c>
      <c r="E159" t="inlineStr">
        <is>
          <t>LEKSAND</t>
        </is>
      </c>
      <c r="G159" t="n">
        <v>0.3</v>
      </c>
      <c r="H159" t="n">
        <v>0</v>
      </c>
      <c r="I159" t="n">
        <v>0</v>
      </c>
      <c r="J159" t="n">
        <v>0</v>
      </c>
      <c r="K159" t="n">
        <v>0</v>
      </c>
      <c r="L159" t="n">
        <v>0</v>
      </c>
      <c r="M159" t="n">
        <v>0</v>
      </c>
      <c r="N159" t="n">
        <v>0</v>
      </c>
      <c r="O159" t="n">
        <v>0</v>
      </c>
      <c r="P159" t="n">
        <v>0</v>
      </c>
      <c r="Q159" t="n">
        <v>0</v>
      </c>
      <c r="R159" s="2" t="inlineStr"/>
    </row>
    <row r="160" ht="15" customHeight="1">
      <c r="A160" t="inlineStr">
        <is>
          <t>A 10771-2024</t>
        </is>
      </c>
      <c r="B160" s="1" t="n">
        <v>45369.57342592593</v>
      </c>
      <c r="C160" s="1" t="n">
        <v>45881</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24135-2024</t>
        </is>
      </c>
      <c r="B161" s="1" t="n">
        <v>45456.63747685185</v>
      </c>
      <c r="C161" s="1" t="n">
        <v>45881</v>
      </c>
      <c r="D161" t="inlineStr">
        <is>
          <t>DALARNAS LÄN</t>
        </is>
      </c>
      <c r="E161" t="inlineStr">
        <is>
          <t>LEKSAND</t>
        </is>
      </c>
      <c r="F161" t="inlineStr">
        <is>
          <t>Bergvik skog väst AB</t>
        </is>
      </c>
      <c r="G161" t="n">
        <v>2.9</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45881</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9938-2023</t>
        </is>
      </c>
      <c r="B163" s="1" t="n">
        <v>44985</v>
      </c>
      <c r="C163" s="1" t="n">
        <v>45881</v>
      </c>
      <c r="D163" t="inlineStr">
        <is>
          <t>DALARNAS LÄN</t>
        </is>
      </c>
      <c r="E163" t="inlineStr">
        <is>
          <t>LEKSAND</t>
        </is>
      </c>
      <c r="G163" t="n">
        <v>3.1</v>
      </c>
      <c r="H163" t="n">
        <v>0</v>
      </c>
      <c r="I163" t="n">
        <v>0</v>
      </c>
      <c r="J163" t="n">
        <v>0</v>
      </c>
      <c r="K163" t="n">
        <v>0</v>
      </c>
      <c r="L163" t="n">
        <v>0</v>
      </c>
      <c r="M163" t="n">
        <v>0</v>
      </c>
      <c r="N163" t="n">
        <v>0</v>
      </c>
      <c r="O163" t="n">
        <v>0</v>
      </c>
      <c r="P163" t="n">
        <v>0</v>
      </c>
      <c r="Q163" t="n">
        <v>0</v>
      </c>
      <c r="R163" s="2" t="inlineStr"/>
    </row>
    <row r="164" ht="15" customHeight="1">
      <c r="A164" t="inlineStr">
        <is>
          <t>A 59103-2024</t>
        </is>
      </c>
      <c r="B164" s="1" t="n">
        <v>45637.34184027778</v>
      </c>
      <c r="C164" s="1" t="n">
        <v>45881</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70099-2021</t>
        </is>
      </c>
      <c r="B165" s="1" t="n">
        <v>44533</v>
      </c>
      <c r="C165" s="1" t="n">
        <v>45881</v>
      </c>
      <c r="D165" t="inlineStr">
        <is>
          <t>DALARNAS LÄN</t>
        </is>
      </c>
      <c r="E165" t="inlineStr">
        <is>
          <t>LEKSAND</t>
        </is>
      </c>
      <c r="G165" t="n">
        <v>2.8</v>
      </c>
      <c r="H165" t="n">
        <v>0</v>
      </c>
      <c r="I165" t="n">
        <v>0</v>
      </c>
      <c r="J165" t="n">
        <v>0</v>
      </c>
      <c r="K165" t="n">
        <v>0</v>
      </c>
      <c r="L165" t="n">
        <v>0</v>
      </c>
      <c r="M165" t="n">
        <v>0</v>
      </c>
      <c r="N165" t="n">
        <v>0</v>
      </c>
      <c r="O165" t="n">
        <v>0</v>
      </c>
      <c r="P165" t="n">
        <v>0</v>
      </c>
      <c r="Q165" t="n">
        <v>0</v>
      </c>
      <c r="R165" s="2" t="inlineStr"/>
    </row>
    <row r="166" ht="15" customHeight="1">
      <c r="A166" t="inlineStr">
        <is>
          <t>A 412-2024</t>
        </is>
      </c>
      <c r="B166" s="1" t="n">
        <v>45296</v>
      </c>
      <c r="C166" s="1" t="n">
        <v>45881</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59673-2023</t>
        </is>
      </c>
      <c r="B167" s="1" t="n">
        <v>45255.44603009259</v>
      </c>
      <c r="C167" s="1" t="n">
        <v>45881</v>
      </c>
      <c r="D167" t="inlineStr">
        <is>
          <t>DALARNAS LÄN</t>
        </is>
      </c>
      <c r="E167" t="inlineStr">
        <is>
          <t>LEKSAND</t>
        </is>
      </c>
      <c r="G167" t="n">
        <v>12.2</v>
      </c>
      <c r="H167" t="n">
        <v>0</v>
      </c>
      <c r="I167" t="n">
        <v>0</v>
      </c>
      <c r="J167" t="n">
        <v>0</v>
      </c>
      <c r="K167" t="n">
        <v>0</v>
      </c>
      <c r="L167" t="n">
        <v>0</v>
      </c>
      <c r="M167" t="n">
        <v>0</v>
      </c>
      <c r="N167" t="n">
        <v>0</v>
      </c>
      <c r="O167" t="n">
        <v>0</v>
      </c>
      <c r="P167" t="n">
        <v>0</v>
      </c>
      <c r="Q167" t="n">
        <v>0</v>
      </c>
      <c r="R167" s="2" t="inlineStr"/>
    </row>
    <row r="168" ht="15" customHeight="1">
      <c r="A168" t="inlineStr">
        <is>
          <t>A 23068-2024</t>
        </is>
      </c>
      <c r="B168" s="1" t="n">
        <v>45450.45521990741</v>
      </c>
      <c r="C168" s="1" t="n">
        <v>45881</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22281-2024</t>
        </is>
      </c>
      <c r="B169" s="1" t="n">
        <v>45446.54756944445</v>
      </c>
      <c r="C169" s="1" t="n">
        <v>45881</v>
      </c>
      <c r="D169" t="inlineStr">
        <is>
          <t>DALARNAS LÄN</t>
        </is>
      </c>
      <c r="E169" t="inlineStr">
        <is>
          <t>LEKSAND</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14792-2024</t>
        </is>
      </c>
      <c r="B170" s="1" t="n">
        <v>45397.8344212963</v>
      </c>
      <c r="C170" s="1" t="n">
        <v>45881</v>
      </c>
      <c r="D170" t="inlineStr">
        <is>
          <t>DALARNAS LÄN</t>
        </is>
      </c>
      <c r="E170" t="inlineStr">
        <is>
          <t>LEKSAND</t>
        </is>
      </c>
      <c r="F170" t="inlineStr">
        <is>
          <t>Bergvik skog väst AB</t>
        </is>
      </c>
      <c r="G170" t="n">
        <v>3.9</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45881</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40755-2024</t>
        </is>
      </c>
      <c r="B172" s="1" t="n">
        <v>45558.45815972222</v>
      </c>
      <c r="C172" s="1" t="n">
        <v>45881</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45881</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46834-2023</t>
        </is>
      </c>
      <c r="B174" s="1" t="n">
        <v>45199.35668981481</v>
      </c>
      <c r="C174" s="1" t="n">
        <v>45881</v>
      </c>
      <c r="D174" t="inlineStr">
        <is>
          <t>DALARNAS LÄN</t>
        </is>
      </c>
      <c r="E174" t="inlineStr">
        <is>
          <t>LEKSAND</t>
        </is>
      </c>
      <c r="G174" t="n">
        <v>16.3</v>
      </c>
      <c r="H174" t="n">
        <v>0</v>
      </c>
      <c r="I174" t="n">
        <v>0</v>
      </c>
      <c r="J174" t="n">
        <v>0</v>
      </c>
      <c r="K174" t="n">
        <v>0</v>
      </c>
      <c r="L174" t="n">
        <v>0</v>
      </c>
      <c r="M174" t="n">
        <v>0</v>
      </c>
      <c r="N174" t="n">
        <v>0</v>
      </c>
      <c r="O174" t="n">
        <v>0</v>
      </c>
      <c r="P174" t="n">
        <v>0</v>
      </c>
      <c r="Q174" t="n">
        <v>0</v>
      </c>
      <c r="R174" s="2" t="inlineStr"/>
    </row>
    <row r="175" ht="15" customHeight="1">
      <c r="A175" t="inlineStr">
        <is>
          <t>A 13401-2023</t>
        </is>
      </c>
      <c r="B175" s="1" t="n">
        <v>45005</v>
      </c>
      <c r="C175" s="1" t="n">
        <v>45881</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60113-2022</t>
        </is>
      </c>
      <c r="B176" s="1" t="n">
        <v>44909</v>
      </c>
      <c r="C176" s="1" t="n">
        <v>45881</v>
      </c>
      <c r="D176" t="inlineStr">
        <is>
          <t>DALARNAS LÄN</t>
        </is>
      </c>
      <c r="E176" t="inlineStr">
        <is>
          <t>LEKSAND</t>
        </is>
      </c>
      <c r="G176" t="n">
        <v>3.7</v>
      </c>
      <c r="H176" t="n">
        <v>0</v>
      </c>
      <c r="I176" t="n">
        <v>0</v>
      </c>
      <c r="J176" t="n">
        <v>0</v>
      </c>
      <c r="K176" t="n">
        <v>0</v>
      </c>
      <c r="L176" t="n">
        <v>0</v>
      </c>
      <c r="M176" t="n">
        <v>0</v>
      </c>
      <c r="N176" t="n">
        <v>0</v>
      </c>
      <c r="O176" t="n">
        <v>0</v>
      </c>
      <c r="P176" t="n">
        <v>0</v>
      </c>
      <c r="Q176" t="n">
        <v>0</v>
      </c>
      <c r="R176" s="2" t="inlineStr"/>
    </row>
    <row r="177" ht="15" customHeight="1">
      <c r="A177" t="inlineStr">
        <is>
          <t>A 15173-2025</t>
        </is>
      </c>
      <c r="B177" s="1" t="n">
        <v>45744.50858796296</v>
      </c>
      <c r="C177" s="1" t="n">
        <v>45881</v>
      </c>
      <c r="D177" t="inlineStr">
        <is>
          <t>DALARNAS LÄN</t>
        </is>
      </c>
      <c r="E177" t="inlineStr">
        <is>
          <t>LEKSAND</t>
        </is>
      </c>
      <c r="G177" t="n">
        <v>0.3</v>
      </c>
      <c r="H177" t="n">
        <v>0</v>
      </c>
      <c r="I177" t="n">
        <v>0</v>
      </c>
      <c r="J177" t="n">
        <v>0</v>
      </c>
      <c r="K177" t="n">
        <v>0</v>
      </c>
      <c r="L177" t="n">
        <v>0</v>
      </c>
      <c r="M177" t="n">
        <v>0</v>
      </c>
      <c r="N177" t="n">
        <v>0</v>
      </c>
      <c r="O177" t="n">
        <v>0</v>
      </c>
      <c r="P177" t="n">
        <v>0</v>
      </c>
      <c r="Q177" t="n">
        <v>0</v>
      </c>
      <c r="R177" s="2" t="inlineStr"/>
    </row>
    <row r="178" ht="15" customHeight="1">
      <c r="A178" t="inlineStr">
        <is>
          <t>A 30611-2023</t>
        </is>
      </c>
      <c r="B178" s="1" t="n">
        <v>45112</v>
      </c>
      <c r="C178" s="1" t="n">
        <v>45881</v>
      </c>
      <c r="D178" t="inlineStr">
        <is>
          <t>DALARNAS LÄN</t>
        </is>
      </c>
      <c r="E178" t="inlineStr">
        <is>
          <t>LEKSAND</t>
        </is>
      </c>
      <c r="G178" t="n">
        <v>3.1</v>
      </c>
      <c r="H178" t="n">
        <v>0</v>
      </c>
      <c r="I178" t="n">
        <v>0</v>
      </c>
      <c r="J178" t="n">
        <v>0</v>
      </c>
      <c r="K178" t="n">
        <v>0</v>
      </c>
      <c r="L178" t="n">
        <v>0</v>
      </c>
      <c r="M178" t="n">
        <v>0</v>
      </c>
      <c r="N178" t="n">
        <v>0</v>
      </c>
      <c r="O178" t="n">
        <v>0</v>
      </c>
      <c r="P178" t="n">
        <v>0</v>
      </c>
      <c r="Q178" t="n">
        <v>0</v>
      </c>
      <c r="R178" s="2" t="inlineStr"/>
    </row>
    <row r="179" ht="15" customHeight="1">
      <c r="A179" t="inlineStr">
        <is>
          <t>A 31254-2023</t>
        </is>
      </c>
      <c r="B179" s="1" t="n">
        <v>45114</v>
      </c>
      <c r="C179" s="1" t="n">
        <v>45881</v>
      </c>
      <c r="D179" t="inlineStr">
        <is>
          <t>DALARNAS LÄN</t>
        </is>
      </c>
      <c r="E179" t="inlineStr">
        <is>
          <t>LEKSAND</t>
        </is>
      </c>
      <c r="G179" t="n">
        <v>1.4</v>
      </c>
      <c r="H179" t="n">
        <v>0</v>
      </c>
      <c r="I179" t="n">
        <v>0</v>
      </c>
      <c r="J179" t="n">
        <v>0</v>
      </c>
      <c r="K179" t="n">
        <v>0</v>
      </c>
      <c r="L179" t="n">
        <v>0</v>
      </c>
      <c r="M179" t="n">
        <v>0</v>
      </c>
      <c r="N179" t="n">
        <v>0</v>
      </c>
      <c r="O179" t="n">
        <v>0</v>
      </c>
      <c r="P179" t="n">
        <v>0</v>
      </c>
      <c r="Q179" t="n">
        <v>0</v>
      </c>
      <c r="R179" s="2" t="inlineStr"/>
    </row>
    <row r="180" ht="15" customHeight="1">
      <c r="A180" t="inlineStr">
        <is>
          <t>A 62306-2023</t>
        </is>
      </c>
      <c r="B180" s="1" t="n">
        <v>45266</v>
      </c>
      <c r="C180" s="1" t="n">
        <v>45881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1983-2025</t>
        </is>
      </c>
      <c r="B181" s="1" t="n">
        <v>45670</v>
      </c>
      <c r="C181" s="1" t="n">
        <v>45881</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21402-2023</t>
        </is>
      </c>
      <c r="B182" s="1" t="n">
        <v>45061</v>
      </c>
      <c r="C182" s="1" t="n">
        <v>45881</v>
      </c>
      <c r="D182" t="inlineStr">
        <is>
          <t>DALARNAS LÄN</t>
        </is>
      </c>
      <c r="E182" t="inlineStr">
        <is>
          <t>LEKSAND</t>
        </is>
      </c>
      <c r="G182" t="n">
        <v>0.7</v>
      </c>
      <c r="H182" t="n">
        <v>0</v>
      </c>
      <c r="I182" t="n">
        <v>0</v>
      </c>
      <c r="J182" t="n">
        <v>0</v>
      </c>
      <c r="K182" t="n">
        <v>0</v>
      </c>
      <c r="L182" t="n">
        <v>0</v>
      </c>
      <c r="M182" t="n">
        <v>0</v>
      </c>
      <c r="N182" t="n">
        <v>0</v>
      </c>
      <c r="O182" t="n">
        <v>0</v>
      </c>
      <c r="P182" t="n">
        <v>0</v>
      </c>
      <c r="Q182" t="n">
        <v>0</v>
      </c>
      <c r="R182" s="2" t="inlineStr"/>
    </row>
    <row r="183" ht="15" customHeight="1">
      <c r="A183" t="inlineStr">
        <is>
          <t>A 30175-2023</t>
        </is>
      </c>
      <c r="B183" s="1" t="n">
        <v>45110</v>
      </c>
      <c r="C183" s="1" t="n">
        <v>45881</v>
      </c>
      <c r="D183" t="inlineStr">
        <is>
          <t>DALARNAS LÄN</t>
        </is>
      </c>
      <c r="E183" t="inlineStr">
        <is>
          <t>LEKSAND</t>
        </is>
      </c>
      <c r="G183" t="n">
        <v>0.5</v>
      </c>
      <c r="H183" t="n">
        <v>0</v>
      </c>
      <c r="I183" t="n">
        <v>0</v>
      </c>
      <c r="J183" t="n">
        <v>0</v>
      </c>
      <c r="K183" t="n">
        <v>0</v>
      </c>
      <c r="L183" t="n">
        <v>0</v>
      </c>
      <c r="M183" t="n">
        <v>0</v>
      </c>
      <c r="N183" t="n">
        <v>0</v>
      </c>
      <c r="O183" t="n">
        <v>0</v>
      </c>
      <c r="P183" t="n">
        <v>0</v>
      </c>
      <c r="Q183" t="n">
        <v>0</v>
      </c>
      <c r="R183" s="2" t="inlineStr"/>
    </row>
    <row r="184" ht="15" customHeight="1">
      <c r="A184" t="inlineStr">
        <is>
          <t>A 28921-2023</t>
        </is>
      </c>
      <c r="B184" s="1" t="n">
        <v>45104</v>
      </c>
      <c r="C184" s="1" t="n">
        <v>45881</v>
      </c>
      <c r="D184" t="inlineStr">
        <is>
          <t>DALARNAS LÄN</t>
        </is>
      </c>
      <c r="E184" t="inlineStr">
        <is>
          <t>LEKSAND</t>
        </is>
      </c>
      <c r="G184" t="n">
        <v>4.4</v>
      </c>
      <c r="H184" t="n">
        <v>0</v>
      </c>
      <c r="I184" t="n">
        <v>0</v>
      </c>
      <c r="J184" t="n">
        <v>0</v>
      </c>
      <c r="K184" t="n">
        <v>0</v>
      </c>
      <c r="L184" t="n">
        <v>0</v>
      </c>
      <c r="M184" t="n">
        <v>0</v>
      </c>
      <c r="N184" t="n">
        <v>0</v>
      </c>
      <c r="O184" t="n">
        <v>0</v>
      </c>
      <c r="P184" t="n">
        <v>0</v>
      </c>
      <c r="Q184" t="n">
        <v>0</v>
      </c>
      <c r="R184" s="2" t="inlineStr"/>
    </row>
    <row r="185" ht="15" customHeight="1">
      <c r="A185" t="inlineStr">
        <is>
          <t>A 43142-2024</t>
        </is>
      </c>
      <c r="B185" s="1" t="n">
        <v>45567.62144675926</v>
      </c>
      <c r="C185" s="1" t="n">
        <v>45881</v>
      </c>
      <c r="D185" t="inlineStr">
        <is>
          <t>DALARNAS LÄN</t>
        </is>
      </c>
      <c r="E185" t="inlineStr">
        <is>
          <t>LEKSAND</t>
        </is>
      </c>
      <c r="F185" t="inlineStr">
        <is>
          <t>Bergvik skog väst AB</t>
        </is>
      </c>
      <c r="G185" t="n">
        <v>2.9</v>
      </c>
      <c r="H185" t="n">
        <v>0</v>
      </c>
      <c r="I185" t="n">
        <v>0</v>
      </c>
      <c r="J185" t="n">
        <v>0</v>
      </c>
      <c r="K185" t="n">
        <v>0</v>
      </c>
      <c r="L185" t="n">
        <v>0</v>
      </c>
      <c r="M185" t="n">
        <v>0</v>
      </c>
      <c r="N185" t="n">
        <v>0</v>
      </c>
      <c r="O185" t="n">
        <v>0</v>
      </c>
      <c r="P185" t="n">
        <v>0</v>
      </c>
      <c r="Q185" t="n">
        <v>0</v>
      </c>
      <c r="R185" s="2" t="inlineStr"/>
    </row>
    <row r="186" ht="15" customHeight="1">
      <c r="A186" t="inlineStr">
        <is>
          <t>A 8940-2023</t>
        </is>
      </c>
      <c r="B186" s="1" t="n">
        <v>44974</v>
      </c>
      <c r="C186" s="1" t="n">
        <v>45881</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5738-2023</t>
        </is>
      </c>
      <c r="B187" s="1" t="n">
        <v>44962</v>
      </c>
      <c r="C187" s="1" t="n">
        <v>45881</v>
      </c>
      <c r="D187" t="inlineStr">
        <is>
          <t>DALARNAS LÄN</t>
        </is>
      </c>
      <c r="E187" t="inlineStr">
        <is>
          <t>LEKSAND</t>
        </is>
      </c>
      <c r="G187" t="n">
        <v>0.2</v>
      </c>
      <c r="H187" t="n">
        <v>0</v>
      </c>
      <c r="I187" t="n">
        <v>0</v>
      </c>
      <c r="J187" t="n">
        <v>0</v>
      </c>
      <c r="K187" t="n">
        <v>0</v>
      </c>
      <c r="L187" t="n">
        <v>0</v>
      </c>
      <c r="M187" t="n">
        <v>0</v>
      </c>
      <c r="N187" t="n">
        <v>0</v>
      </c>
      <c r="O187" t="n">
        <v>0</v>
      </c>
      <c r="P187" t="n">
        <v>0</v>
      </c>
      <c r="Q187" t="n">
        <v>0</v>
      </c>
      <c r="R187" s="2" t="inlineStr"/>
    </row>
    <row r="188" ht="15" customHeight="1">
      <c r="A188" t="inlineStr">
        <is>
          <t>A 5570-2024</t>
        </is>
      </c>
      <c r="B188" s="1" t="n">
        <v>45334</v>
      </c>
      <c r="C188" s="1" t="n">
        <v>45881</v>
      </c>
      <c r="D188" t="inlineStr">
        <is>
          <t>DALARNAS LÄN</t>
        </is>
      </c>
      <c r="E188" t="inlineStr">
        <is>
          <t>LEKSAND</t>
        </is>
      </c>
      <c r="G188" t="n">
        <v>0.3</v>
      </c>
      <c r="H188" t="n">
        <v>0</v>
      </c>
      <c r="I188" t="n">
        <v>0</v>
      </c>
      <c r="J188" t="n">
        <v>0</v>
      </c>
      <c r="K188" t="n">
        <v>0</v>
      </c>
      <c r="L188" t="n">
        <v>0</v>
      </c>
      <c r="M188" t="n">
        <v>0</v>
      </c>
      <c r="N188" t="n">
        <v>0</v>
      </c>
      <c r="O188" t="n">
        <v>0</v>
      </c>
      <c r="P188" t="n">
        <v>0</v>
      </c>
      <c r="Q188" t="n">
        <v>0</v>
      </c>
      <c r="R188" s="2" t="inlineStr"/>
    </row>
    <row r="189" ht="15" customHeight="1">
      <c r="A189" t="inlineStr">
        <is>
          <t>A 43693-2022</t>
        </is>
      </c>
      <c r="B189" s="1" t="n">
        <v>44837.6369212963</v>
      </c>
      <c r="C189" s="1" t="n">
        <v>45881</v>
      </c>
      <c r="D189" t="inlineStr">
        <is>
          <t>DALARNAS LÄN</t>
        </is>
      </c>
      <c r="E189" t="inlineStr">
        <is>
          <t>LEKSAND</t>
        </is>
      </c>
      <c r="G189" t="n">
        <v>2.7</v>
      </c>
      <c r="H189" t="n">
        <v>0</v>
      </c>
      <c r="I189" t="n">
        <v>0</v>
      </c>
      <c r="J189" t="n">
        <v>0</v>
      </c>
      <c r="K189" t="n">
        <v>0</v>
      </c>
      <c r="L189" t="n">
        <v>0</v>
      </c>
      <c r="M189" t="n">
        <v>0</v>
      </c>
      <c r="N189" t="n">
        <v>0</v>
      </c>
      <c r="O189" t="n">
        <v>0</v>
      </c>
      <c r="P189" t="n">
        <v>0</v>
      </c>
      <c r="Q189" t="n">
        <v>0</v>
      </c>
      <c r="R189" s="2" t="inlineStr"/>
    </row>
    <row r="190" ht="15" customHeight="1">
      <c r="A190" t="inlineStr">
        <is>
          <t>A 43735-2022</t>
        </is>
      </c>
      <c r="B190" s="1" t="n">
        <v>44837.70210648148</v>
      </c>
      <c r="C190" s="1" t="n">
        <v>45881</v>
      </c>
      <c r="D190" t="inlineStr">
        <is>
          <t>DALARNAS LÄN</t>
        </is>
      </c>
      <c r="E190" t="inlineStr">
        <is>
          <t>LEKSAND</t>
        </is>
      </c>
      <c r="G190" t="n">
        <v>2.9</v>
      </c>
      <c r="H190" t="n">
        <v>0</v>
      </c>
      <c r="I190" t="n">
        <v>0</v>
      </c>
      <c r="J190" t="n">
        <v>0</v>
      </c>
      <c r="K190" t="n">
        <v>0</v>
      </c>
      <c r="L190" t="n">
        <v>0</v>
      </c>
      <c r="M190" t="n">
        <v>0</v>
      </c>
      <c r="N190" t="n">
        <v>0</v>
      </c>
      <c r="O190" t="n">
        <v>0</v>
      </c>
      <c r="P190" t="n">
        <v>0</v>
      </c>
      <c r="Q190" t="n">
        <v>0</v>
      </c>
      <c r="R190" s="2" t="inlineStr"/>
    </row>
    <row r="191" ht="15" customHeight="1">
      <c r="A191" t="inlineStr">
        <is>
          <t>A 9459-2023</t>
        </is>
      </c>
      <c r="B191" s="1" t="n">
        <v>44977</v>
      </c>
      <c r="C191" s="1" t="n">
        <v>45881</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17726-2024</t>
        </is>
      </c>
      <c r="B192" s="1" t="n">
        <v>45418.55609953704</v>
      </c>
      <c r="C192" s="1" t="n">
        <v>45881</v>
      </c>
      <c r="D192" t="inlineStr">
        <is>
          <t>DALARNAS LÄN</t>
        </is>
      </c>
      <c r="E192" t="inlineStr">
        <is>
          <t>LEKSAND</t>
        </is>
      </c>
      <c r="G192" t="n">
        <v>5.2</v>
      </c>
      <c r="H192" t="n">
        <v>0</v>
      </c>
      <c r="I192" t="n">
        <v>0</v>
      </c>
      <c r="J192" t="n">
        <v>0</v>
      </c>
      <c r="K192" t="n">
        <v>0</v>
      </c>
      <c r="L192" t="n">
        <v>0</v>
      </c>
      <c r="M192" t="n">
        <v>0</v>
      </c>
      <c r="N192" t="n">
        <v>0</v>
      </c>
      <c r="O192" t="n">
        <v>0</v>
      </c>
      <c r="P192" t="n">
        <v>0</v>
      </c>
      <c r="Q192" t="n">
        <v>0</v>
      </c>
      <c r="R192" s="2" t="inlineStr"/>
    </row>
    <row r="193" ht="15" customHeight="1">
      <c r="A193" t="inlineStr">
        <is>
          <t>A 56941-2024</t>
        </is>
      </c>
      <c r="B193" s="1" t="n">
        <v>45625</v>
      </c>
      <c r="C193" s="1" t="n">
        <v>45881</v>
      </c>
      <c r="D193" t="inlineStr">
        <is>
          <t>DALARNAS LÄN</t>
        </is>
      </c>
      <c r="E193" t="inlineStr">
        <is>
          <t>LEKSAND</t>
        </is>
      </c>
      <c r="G193" t="n">
        <v>1.8</v>
      </c>
      <c r="H193" t="n">
        <v>0</v>
      </c>
      <c r="I193" t="n">
        <v>0</v>
      </c>
      <c r="J193" t="n">
        <v>0</v>
      </c>
      <c r="K193" t="n">
        <v>0</v>
      </c>
      <c r="L193" t="n">
        <v>0</v>
      </c>
      <c r="M193" t="n">
        <v>0</v>
      </c>
      <c r="N193" t="n">
        <v>0</v>
      </c>
      <c r="O193" t="n">
        <v>0</v>
      </c>
      <c r="P193" t="n">
        <v>0</v>
      </c>
      <c r="Q193" t="n">
        <v>0</v>
      </c>
      <c r="R193" s="2" t="inlineStr"/>
    </row>
    <row r="194" ht="15" customHeight="1">
      <c r="A194" t="inlineStr">
        <is>
          <t>A 48721-2023</t>
        </is>
      </c>
      <c r="B194" s="1" t="n">
        <v>45203</v>
      </c>
      <c r="C194" s="1" t="n">
        <v>45881</v>
      </c>
      <c r="D194" t="inlineStr">
        <is>
          <t>DALARNAS LÄN</t>
        </is>
      </c>
      <c r="E194" t="inlineStr">
        <is>
          <t>LEKSAND</t>
        </is>
      </c>
      <c r="G194" t="n">
        <v>2.9</v>
      </c>
      <c r="H194" t="n">
        <v>0</v>
      </c>
      <c r="I194" t="n">
        <v>0</v>
      </c>
      <c r="J194" t="n">
        <v>0</v>
      </c>
      <c r="K194" t="n">
        <v>0</v>
      </c>
      <c r="L194" t="n">
        <v>0</v>
      </c>
      <c r="M194" t="n">
        <v>0</v>
      </c>
      <c r="N194" t="n">
        <v>0</v>
      </c>
      <c r="O194" t="n">
        <v>0</v>
      </c>
      <c r="P194" t="n">
        <v>0</v>
      </c>
      <c r="Q194" t="n">
        <v>0</v>
      </c>
      <c r="R194" s="2" t="inlineStr"/>
    </row>
    <row r="195" ht="15" customHeight="1">
      <c r="A195" t="inlineStr">
        <is>
          <t>A 2517-2024</t>
        </is>
      </c>
      <c r="B195" s="1" t="n">
        <v>45313</v>
      </c>
      <c r="C195" s="1" t="n">
        <v>45881</v>
      </c>
      <c r="D195" t="inlineStr">
        <is>
          <t>DALARNAS LÄN</t>
        </is>
      </c>
      <c r="E195" t="inlineStr">
        <is>
          <t>LEKSAND</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60692-2023</t>
        </is>
      </c>
      <c r="B196" s="1" t="n">
        <v>45260.50008101852</v>
      </c>
      <c r="C196" s="1" t="n">
        <v>45881</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33463-2023</t>
        </is>
      </c>
      <c r="B197" s="1" t="n">
        <v>45131</v>
      </c>
      <c r="C197" s="1" t="n">
        <v>45881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47673-2023</t>
        </is>
      </c>
      <c r="B198" s="1" t="n">
        <v>45203</v>
      </c>
      <c r="C198" s="1" t="n">
        <v>45881</v>
      </c>
      <c r="D198" t="inlineStr">
        <is>
          <t>DALARNAS LÄN</t>
        </is>
      </c>
      <c r="E198" t="inlineStr">
        <is>
          <t>LEKSAND</t>
        </is>
      </c>
      <c r="G198" t="n">
        <v>2</v>
      </c>
      <c r="H198" t="n">
        <v>0</v>
      </c>
      <c r="I198" t="n">
        <v>0</v>
      </c>
      <c r="J198" t="n">
        <v>0</v>
      </c>
      <c r="K198" t="n">
        <v>0</v>
      </c>
      <c r="L198" t="n">
        <v>0</v>
      </c>
      <c r="M198" t="n">
        <v>0</v>
      </c>
      <c r="N198" t="n">
        <v>0</v>
      </c>
      <c r="O198" t="n">
        <v>0</v>
      </c>
      <c r="P198" t="n">
        <v>0</v>
      </c>
      <c r="Q198" t="n">
        <v>0</v>
      </c>
      <c r="R198" s="2" t="inlineStr"/>
    </row>
    <row r="199" ht="15" customHeight="1">
      <c r="A199" t="inlineStr">
        <is>
          <t>A 8755-2023</t>
        </is>
      </c>
      <c r="B199" s="1" t="n">
        <v>44978</v>
      </c>
      <c r="C199" s="1" t="n">
        <v>45881</v>
      </c>
      <c r="D199" t="inlineStr">
        <is>
          <t>DALARNAS LÄN</t>
        </is>
      </c>
      <c r="E199" t="inlineStr">
        <is>
          <t>LEKSAND</t>
        </is>
      </c>
      <c r="G199" t="n">
        <v>2.3</v>
      </c>
      <c r="H199" t="n">
        <v>0</v>
      </c>
      <c r="I199" t="n">
        <v>0</v>
      </c>
      <c r="J199" t="n">
        <v>0</v>
      </c>
      <c r="K199" t="n">
        <v>0</v>
      </c>
      <c r="L199" t="n">
        <v>0</v>
      </c>
      <c r="M199" t="n">
        <v>0</v>
      </c>
      <c r="N199" t="n">
        <v>0</v>
      </c>
      <c r="O199" t="n">
        <v>0</v>
      </c>
      <c r="P199" t="n">
        <v>0</v>
      </c>
      <c r="Q199" t="n">
        <v>0</v>
      </c>
      <c r="R199" s="2" t="inlineStr"/>
    </row>
    <row r="200" ht="15" customHeight="1">
      <c r="A200" t="inlineStr">
        <is>
          <t>A 59840-2024</t>
        </is>
      </c>
      <c r="B200" s="1" t="n">
        <v>45638</v>
      </c>
      <c r="C200" s="1" t="n">
        <v>45881</v>
      </c>
      <c r="D200" t="inlineStr">
        <is>
          <t>DALARNAS LÄN</t>
        </is>
      </c>
      <c r="E200" t="inlineStr">
        <is>
          <t>LEKSAND</t>
        </is>
      </c>
      <c r="G200" t="n">
        <v>0.6</v>
      </c>
      <c r="H200" t="n">
        <v>0</v>
      </c>
      <c r="I200" t="n">
        <v>0</v>
      </c>
      <c r="J200" t="n">
        <v>0</v>
      </c>
      <c r="K200" t="n">
        <v>0</v>
      </c>
      <c r="L200" t="n">
        <v>0</v>
      </c>
      <c r="M200" t="n">
        <v>0</v>
      </c>
      <c r="N200" t="n">
        <v>0</v>
      </c>
      <c r="O200" t="n">
        <v>0</v>
      </c>
      <c r="P200" t="n">
        <v>0</v>
      </c>
      <c r="Q200" t="n">
        <v>0</v>
      </c>
      <c r="R200" s="2" t="inlineStr"/>
    </row>
    <row r="201" ht="15" customHeight="1">
      <c r="A201" t="inlineStr">
        <is>
          <t>A 59718-2023</t>
        </is>
      </c>
      <c r="B201" s="1" t="n">
        <v>45257</v>
      </c>
      <c r="C201" s="1" t="n">
        <v>45881</v>
      </c>
      <c r="D201" t="inlineStr">
        <is>
          <t>DALARNAS LÄN</t>
        </is>
      </c>
      <c r="E201" t="inlineStr">
        <is>
          <t>LEKSAND</t>
        </is>
      </c>
      <c r="G201" t="n">
        <v>2.2</v>
      </c>
      <c r="H201" t="n">
        <v>0</v>
      </c>
      <c r="I201" t="n">
        <v>0</v>
      </c>
      <c r="J201" t="n">
        <v>0</v>
      </c>
      <c r="K201" t="n">
        <v>0</v>
      </c>
      <c r="L201" t="n">
        <v>0</v>
      </c>
      <c r="M201" t="n">
        <v>0</v>
      </c>
      <c r="N201" t="n">
        <v>0</v>
      </c>
      <c r="O201" t="n">
        <v>0</v>
      </c>
      <c r="P201" t="n">
        <v>0</v>
      </c>
      <c r="Q201" t="n">
        <v>0</v>
      </c>
      <c r="R201" s="2" t="inlineStr"/>
    </row>
    <row r="202" ht="15" customHeight="1">
      <c r="A202" t="inlineStr">
        <is>
          <t>A 30204-2024</t>
        </is>
      </c>
      <c r="B202" s="1" t="n">
        <v>45490.35402777778</v>
      </c>
      <c r="C202" s="1" t="n">
        <v>45881</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19618-2024</t>
        </is>
      </c>
      <c r="B203" s="1" t="n">
        <v>45432.32896990741</v>
      </c>
      <c r="C203" s="1" t="n">
        <v>45881</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1775-2022</t>
        </is>
      </c>
      <c r="B204" s="1" t="n">
        <v>44574</v>
      </c>
      <c r="C204" s="1" t="n">
        <v>45881</v>
      </c>
      <c r="D204" t="inlineStr">
        <is>
          <t>DALARNAS LÄN</t>
        </is>
      </c>
      <c r="E204" t="inlineStr">
        <is>
          <t>LEKSAND</t>
        </is>
      </c>
      <c r="G204" t="n">
        <v>2</v>
      </c>
      <c r="H204" t="n">
        <v>0</v>
      </c>
      <c r="I204" t="n">
        <v>0</v>
      </c>
      <c r="J204" t="n">
        <v>0</v>
      </c>
      <c r="K204" t="n">
        <v>0</v>
      </c>
      <c r="L204" t="n">
        <v>0</v>
      </c>
      <c r="M204" t="n">
        <v>0</v>
      </c>
      <c r="N204" t="n">
        <v>0</v>
      </c>
      <c r="O204" t="n">
        <v>0</v>
      </c>
      <c r="P204" t="n">
        <v>0</v>
      </c>
      <c r="Q204" t="n">
        <v>0</v>
      </c>
      <c r="R204" s="2" t="inlineStr"/>
    </row>
    <row r="205" ht="15" customHeight="1">
      <c r="A205" t="inlineStr">
        <is>
          <t>A 10967-2023</t>
        </is>
      </c>
      <c r="B205" s="1" t="n">
        <v>44991.58001157407</v>
      </c>
      <c r="C205" s="1" t="n">
        <v>45881</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10974-2023</t>
        </is>
      </c>
      <c r="B206" s="1" t="n">
        <v>44991.59049768518</v>
      </c>
      <c r="C206" s="1" t="n">
        <v>45881</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55516-2024</t>
        </is>
      </c>
      <c r="B207" s="1" t="n">
        <v>45621</v>
      </c>
      <c r="C207" s="1" t="n">
        <v>45881</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23283-2024</t>
        </is>
      </c>
      <c r="B208" s="1" t="n">
        <v>45453</v>
      </c>
      <c r="C208" s="1" t="n">
        <v>45881</v>
      </c>
      <c r="D208" t="inlineStr">
        <is>
          <t>DALARNAS LÄN</t>
        </is>
      </c>
      <c r="E208" t="inlineStr">
        <is>
          <t>LEKSAND</t>
        </is>
      </c>
      <c r="G208" t="n">
        <v>0.9</v>
      </c>
      <c r="H208" t="n">
        <v>0</v>
      </c>
      <c r="I208" t="n">
        <v>0</v>
      </c>
      <c r="J208" t="n">
        <v>0</v>
      </c>
      <c r="K208" t="n">
        <v>0</v>
      </c>
      <c r="L208" t="n">
        <v>0</v>
      </c>
      <c r="M208" t="n">
        <v>0</v>
      </c>
      <c r="N208" t="n">
        <v>0</v>
      </c>
      <c r="O208" t="n">
        <v>0</v>
      </c>
      <c r="P208" t="n">
        <v>0</v>
      </c>
      <c r="Q208" t="n">
        <v>0</v>
      </c>
      <c r="R208" s="2" t="inlineStr"/>
    </row>
    <row r="209" ht="15" customHeight="1">
      <c r="A209" t="inlineStr">
        <is>
          <t>A 30994-2023</t>
        </is>
      </c>
      <c r="B209" s="1" t="n">
        <v>45113</v>
      </c>
      <c r="C209" s="1" t="n">
        <v>45881</v>
      </c>
      <c r="D209" t="inlineStr">
        <is>
          <t>DALARNAS LÄN</t>
        </is>
      </c>
      <c r="E209" t="inlineStr">
        <is>
          <t>LEKSAND</t>
        </is>
      </c>
      <c r="G209" t="n">
        <v>1.1</v>
      </c>
      <c r="H209" t="n">
        <v>0</v>
      </c>
      <c r="I209" t="n">
        <v>0</v>
      </c>
      <c r="J209" t="n">
        <v>0</v>
      </c>
      <c r="K209" t="n">
        <v>0</v>
      </c>
      <c r="L209" t="n">
        <v>0</v>
      </c>
      <c r="M209" t="n">
        <v>0</v>
      </c>
      <c r="N209" t="n">
        <v>0</v>
      </c>
      <c r="O209" t="n">
        <v>0</v>
      </c>
      <c r="P209" t="n">
        <v>0</v>
      </c>
      <c r="Q209" t="n">
        <v>0</v>
      </c>
      <c r="R209" s="2" t="inlineStr"/>
    </row>
    <row r="210" ht="15" customHeight="1">
      <c r="A210" t="inlineStr">
        <is>
          <t>A 30858-2024</t>
        </is>
      </c>
      <c r="B210" s="1" t="n">
        <v>45497.67601851852</v>
      </c>
      <c r="C210" s="1" t="n">
        <v>45881</v>
      </c>
      <c r="D210" t="inlineStr">
        <is>
          <t>DALARNAS LÄN</t>
        </is>
      </c>
      <c r="E210" t="inlineStr">
        <is>
          <t>LEKSAND</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45881</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32688-2024</t>
        </is>
      </c>
      <c r="B212" s="1" t="n">
        <v>45515.83091435185</v>
      </c>
      <c r="C212" s="1" t="n">
        <v>45881</v>
      </c>
      <c r="D212" t="inlineStr">
        <is>
          <t>DALARNAS LÄN</t>
        </is>
      </c>
      <c r="E212" t="inlineStr">
        <is>
          <t>LEKSAND</t>
        </is>
      </c>
      <c r="G212" t="n">
        <v>1.3</v>
      </c>
      <c r="H212" t="n">
        <v>0</v>
      </c>
      <c r="I212" t="n">
        <v>0</v>
      </c>
      <c r="J212" t="n">
        <v>0</v>
      </c>
      <c r="K212" t="n">
        <v>0</v>
      </c>
      <c r="L212" t="n">
        <v>0</v>
      </c>
      <c r="M212" t="n">
        <v>0</v>
      </c>
      <c r="N212" t="n">
        <v>0</v>
      </c>
      <c r="O212" t="n">
        <v>0</v>
      </c>
      <c r="P212" t="n">
        <v>0</v>
      </c>
      <c r="Q212" t="n">
        <v>0</v>
      </c>
      <c r="R212" s="2" t="inlineStr"/>
    </row>
    <row r="213" ht="15" customHeight="1">
      <c r="A213" t="inlineStr">
        <is>
          <t>A 4121-2024</t>
        </is>
      </c>
      <c r="B213" s="1" t="n">
        <v>45323</v>
      </c>
      <c r="C213" s="1" t="n">
        <v>45881</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57665-2023</t>
        </is>
      </c>
      <c r="B214" s="1" t="n">
        <v>45246</v>
      </c>
      <c r="C214" s="1" t="n">
        <v>45881</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47640-2024</t>
        </is>
      </c>
      <c r="B215" s="1" t="n">
        <v>45588.36508101852</v>
      </c>
      <c r="C215" s="1" t="n">
        <v>45881</v>
      </c>
      <c r="D215" t="inlineStr">
        <is>
          <t>DALARNAS LÄN</t>
        </is>
      </c>
      <c r="E215" t="inlineStr">
        <is>
          <t>LEKSAND</t>
        </is>
      </c>
      <c r="G215" t="n">
        <v>9.1</v>
      </c>
      <c r="H215" t="n">
        <v>0</v>
      </c>
      <c r="I215" t="n">
        <v>0</v>
      </c>
      <c r="J215" t="n">
        <v>0</v>
      </c>
      <c r="K215" t="n">
        <v>0</v>
      </c>
      <c r="L215" t="n">
        <v>0</v>
      </c>
      <c r="M215" t="n">
        <v>0</v>
      </c>
      <c r="N215" t="n">
        <v>0</v>
      </c>
      <c r="O215" t="n">
        <v>0</v>
      </c>
      <c r="P215" t="n">
        <v>0</v>
      </c>
      <c r="Q215" t="n">
        <v>0</v>
      </c>
      <c r="R215" s="2" t="inlineStr"/>
    </row>
    <row r="216" ht="15" customHeight="1">
      <c r="A216" t="inlineStr">
        <is>
          <t>A 72575-2021</t>
        </is>
      </c>
      <c r="B216" s="1" t="n">
        <v>44546</v>
      </c>
      <c r="C216" s="1" t="n">
        <v>45881</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72581-2021</t>
        </is>
      </c>
      <c r="B217" s="1" t="n">
        <v>44546.46354166666</v>
      </c>
      <c r="C217" s="1" t="n">
        <v>45881</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11015-2022</t>
        </is>
      </c>
      <c r="B218" s="1" t="n">
        <v>44628.52340277778</v>
      </c>
      <c r="C218" s="1" t="n">
        <v>45881</v>
      </c>
      <c r="D218" t="inlineStr">
        <is>
          <t>DALARNAS LÄN</t>
        </is>
      </c>
      <c r="E218" t="inlineStr">
        <is>
          <t>LEKSAND</t>
        </is>
      </c>
      <c r="G218" t="n">
        <v>1.4</v>
      </c>
      <c r="H218" t="n">
        <v>0</v>
      </c>
      <c r="I218" t="n">
        <v>0</v>
      </c>
      <c r="J218" t="n">
        <v>0</v>
      </c>
      <c r="K218" t="n">
        <v>0</v>
      </c>
      <c r="L218" t="n">
        <v>0</v>
      </c>
      <c r="M218" t="n">
        <v>0</v>
      </c>
      <c r="N218" t="n">
        <v>0</v>
      </c>
      <c r="O218" t="n">
        <v>0</v>
      </c>
      <c r="P218" t="n">
        <v>0</v>
      </c>
      <c r="Q218" t="n">
        <v>0</v>
      </c>
      <c r="R218" s="2" t="inlineStr"/>
    </row>
    <row r="219" ht="15" customHeight="1">
      <c r="A219" t="inlineStr">
        <is>
          <t>A 12582-2025</t>
        </is>
      </c>
      <c r="B219" s="1" t="n">
        <v>45732.62988425926</v>
      </c>
      <c r="C219" s="1" t="n">
        <v>45881</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1182-2025</t>
        </is>
      </c>
      <c r="B220" s="1" t="n">
        <v>45667.35712962963</v>
      </c>
      <c r="C220" s="1" t="n">
        <v>45881</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1519-2024</t>
        </is>
      </c>
      <c r="B221" s="1" t="n">
        <v>45306</v>
      </c>
      <c r="C221" s="1" t="n">
        <v>45881</v>
      </c>
      <c r="D221" t="inlineStr">
        <is>
          <t>DALARNAS LÄN</t>
        </is>
      </c>
      <c r="E221" t="inlineStr">
        <is>
          <t>LEKSAND</t>
        </is>
      </c>
      <c r="G221" t="n">
        <v>3.3</v>
      </c>
      <c r="H221" t="n">
        <v>0</v>
      </c>
      <c r="I221" t="n">
        <v>0</v>
      </c>
      <c r="J221" t="n">
        <v>0</v>
      </c>
      <c r="K221" t="n">
        <v>0</v>
      </c>
      <c r="L221" t="n">
        <v>0</v>
      </c>
      <c r="M221" t="n">
        <v>0</v>
      </c>
      <c r="N221" t="n">
        <v>0</v>
      </c>
      <c r="O221" t="n">
        <v>0</v>
      </c>
      <c r="P221" t="n">
        <v>0</v>
      </c>
      <c r="Q221" t="n">
        <v>0</v>
      </c>
      <c r="R221" s="2" t="inlineStr"/>
    </row>
    <row r="222" ht="15" customHeight="1">
      <c r="A222" t="inlineStr">
        <is>
          <t>A 7897-2025</t>
        </is>
      </c>
      <c r="B222" s="1" t="n">
        <v>45707.30969907407</v>
      </c>
      <c r="C222" s="1" t="n">
        <v>45881</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51480-2022</t>
        </is>
      </c>
      <c r="B223" s="1" t="n">
        <v>44869.57961805556</v>
      </c>
      <c r="C223" s="1" t="n">
        <v>45881</v>
      </c>
      <c r="D223" t="inlineStr">
        <is>
          <t>DALARNAS LÄN</t>
        </is>
      </c>
      <c r="E223" t="inlineStr">
        <is>
          <t>LEKSAND</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71817-2021</t>
        </is>
      </c>
      <c r="B224" s="1" t="n">
        <v>44543.59780092593</v>
      </c>
      <c r="C224" s="1" t="n">
        <v>45881</v>
      </c>
      <c r="D224" t="inlineStr">
        <is>
          <t>DALARNAS LÄN</t>
        </is>
      </c>
      <c r="E224" t="inlineStr">
        <is>
          <t>LEKSAND</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61614-2023</t>
        </is>
      </c>
      <c r="B225" s="1" t="n">
        <v>45261</v>
      </c>
      <c r="C225" s="1" t="n">
        <v>45881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26062-2024</t>
        </is>
      </c>
      <c r="B226" s="1" t="n">
        <v>45468.3509375</v>
      </c>
      <c r="C226" s="1" t="n">
        <v>45881</v>
      </c>
      <c r="D226" t="inlineStr">
        <is>
          <t>DALARNAS LÄN</t>
        </is>
      </c>
      <c r="E226" t="inlineStr">
        <is>
          <t>LEKSAND</t>
        </is>
      </c>
      <c r="F226" t="inlineStr">
        <is>
          <t>Övriga statliga verk och myndigheter</t>
        </is>
      </c>
      <c r="G226" t="n">
        <v>6.4</v>
      </c>
      <c r="H226" t="n">
        <v>0</v>
      </c>
      <c r="I226" t="n">
        <v>0</v>
      </c>
      <c r="J226" t="n">
        <v>0</v>
      </c>
      <c r="K226" t="n">
        <v>0</v>
      </c>
      <c r="L226" t="n">
        <v>0</v>
      </c>
      <c r="M226" t="n">
        <v>0</v>
      </c>
      <c r="N226" t="n">
        <v>0</v>
      </c>
      <c r="O226" t="n">
        <v>0</v>
      </c>
      <c r="P226" t="n">
        <v>0</v>
      </c>
      <c r="Q226" t="n">
        <v>0</v>
      </c>
      <c r="R226" s="2" t="inlineStr"/>
    </row>
    <row r="227" ht="15" customHeight="1">
      <c r="A227" t="inlineStr">
        <is>
          <t>A 34585-2024</t>
        </is>
      </c>
      <c r="B227" s="1" t="n">
        <v>45526.37697916666</v>
      </c>
      <c r="C227" s="1" t="n">
        <v>45881</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63514-2023</t>
        </is>
      </c>
      <c r="B228" s="1" t="n">
        <v>45274</v>
      </c>
      <c r="C228" s="1" t="n">
        <v>45881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32-2024</t>
        </is>
      </c>
      <c r="B229" s="1" t="n">
        <v>45293</v>
      </c>
      <c r="C229" s="1" t="n">
        <v>45881</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43237-2024</t>
        </is>
      </c>
      <c r="B230" s="1" t="n">
        <v>45567</v>
      </c>
      <c r="C230" s="1" t="n">
        <v>45881</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34482-2022</t>
        </is>
      </c>
      <c r="B231" s="1" t="n">
        <v>44792</v>
      </c>
      <c r="C231" s="1" t="n">
        <v>45881</v>
      </c>
      <c r="D231" t="inlineStr">
        <is>
          <t>DALARNAS LÄN</t>
        </is>
      </c>
      <c r="E231" t="inlineStr">
        <is>
          <t>LEKSAND</t>
        </is>
      </c>
      <c r="G231" t="n">
        <v>2.6</v>
      </c>
      <c r="H231" t="n">
        <v>0</v>
      </c>
      <c r="I231" t="n">
        <v>0</v>
      </c>
      <c r="J231" t="n">
        <v>0</v>
      </c>
      <c r="K231" t="n">
        <v>0</v>
      </c>
      <c r="L231" t="n">
        <v>0</v>
      </c>
      <c r="M231" t="n">
        <v>0</v>
      </c>
      <c r="N231" t="n">
        <v>0</v>
      </c>
      <c r="O231" t="n">
        <v>0</v>
      </c>
      <c r="P231" t="n">
        <v>0</v>
      </c>
      <c r="Q231" t="n">
        <v>0</v>
      </c>
      <c r="R231" s="2" t="inlineStr"/>
    </row>
    <row r="232" ht="15" customHeight="1">
      <c r="A232" t="inlineStr">
        <is>
          <t>A 17485-2025</t>
        </is>
      </c>
      <c r="B232" s="1" t="n">
        <v>45757.49976851852</v>
      </c>
      <c r="C232" s="1" t="n">
        <v>45881</v>
      </c>
      <c r="D232" t="inlineStr">
        <is>
          <t>DALARNAS LÄN</t>
        </is>
      </c>
      <c r="E232" t="inlineStr">
        <is>
          <t>LEKSAND</t>
        </is>
      </c>
      <c r="G232" t="n">
        <v>3.7</v>
      </c>
      <c r="H232" t="n">
        <v>0</v>
      </c>
      <c r="I232" t="n">
        <v>0</v>
      </c>
      <c r="J232" t="n">
        <v>0</v>
      </c>
      <c r="K232" t="n">
        <v>0</v>
      </c>
      <c r="L232" t="n">
        <v>0</v>
      </c>
      <c r="M232" t="n">
        <v>0</v>
      </c>
      <c r="N232" t="n">
        <v>0</v>
      </c>
      <c r="O232" t="n">
        <v>0</v>
      </c>
      <c r="P232" t="n">
        <v>0</v>
      </c>
      <c r="Q232" t="n">
        <v>0</v>
      </c>
      <c r="R232" s="2" t="inlineStr"/>
    </row>
    <row r="233" ht="15" customHeight="1">
      <c r="A233" t="inlineStr">
        <is>
          <t>A 30595-2023</t>
        </is>
      </c>
      <c r="B233" s="1" t="n">
        <v>45112</v>
      </c>
      <c r="C233" s="1" t="n">
        <v>45881</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45881</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27348-2023</t>
        </is>
      </c>
      <c r="B235" s="1" t="n">
        <v>45096</v>
      </c>
      <c r="C235" s="1" t="n">
        <v>45881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36932-2023</t>
        </is>
      </c>
      <c r="B236" s="1" t="n">
        <v>45154</v>
      </c>
      <c r="C236" s="1" t="n">
        <v>45881</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23663-2024</t>
        </is>
      </c>
      <c r="B237" s="1" t="n">
        <v>45454.57049768518</v>
      </c>
      <c r="C237" s="1" t="n">
        <v>45881</v>
      </c>
      <c r="D237" t="inlineStr">
        <is>
          <t>DALARNAS LÄN</t>
        </is>
      </c>
      <c r="E237" t="inlineStr">
        <is>
          <t>LEKSAND</t>
        </is>
      </c>
      <c r="G237" t="n">
        <v>2.5</v>
      </c>
      <c r="H237" t="n">
        <v>0</v>
      </c>
      <c r="I237" t="n">
        <v>0</v>
      </c>
      <c r="J237" t="n">
        <v>0</v>
      </c>
      <c r="K237" t="n">
        <v>0</v>
      </c>
      <c r="L237" t="n">
        <v>0</v>
      </c>
      <c r="M237" t="n">
        <v>0</v>
      </c>
      <c r="N237" t="n">
        <v>0</v>
      </c>
      <c r="O237" t="n">
        <v>0</v>
      </c>
      <c r="P237" t="n">
        <v>0</v>
      </c>
      <c r="Q237" t="n">
        <v>0</v>
      </c>
      <c r="R237" s="2" t="inlineStr"/>
    </row>
    <row r="238" ht="15" customHeight="1">
      <c r="A238" t="inlineStr">
        <is>
          <t>A 30860-2024</t>
        </is>
      </c>
      <c r="B238" s="1" t="n">
        <v>45497.69108796296</v>
      </c>
      <c r="C238" s="1" t="n">
        <v>45881</v>
      </c>
      <c r="D238" t="inlineStr">
        <is>
          <t>DALARNAS LÄN</t>
        </is>
      </c>
      <c r="E238" t="inlineStr">
        <is>
          <t>LEKSAND</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30864-2024</t>
        </is>
      </c>
      <c r="B239" s="1" t="n">
        <v>45497.71550925926</v>
      </c>
      <c r="C239" s="1" t="n">
        <v>45881</v>
      </c>
      <c r="D239" t="inlineStr">
        <is>
          <t>DALARNAS LÄN</t>
        </is>
      </c>
      <c r="E239" t="inlineStr">
        <is>
          <t>LEKSAND</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56943-2024</t>
        </is>
      </c>
      <c r="B240" s="1" t="n">
        <v>45625</v>
      </c>
      <c r="C240" s="1" t="n">
        <v>45881</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33180-2024</t>
        </is>
      </c>
      <c r="B241" s="1" t="n">
        <v>45518.44481481481</v>
      </c>
      <c r="C241" s="1" t="n">
        <v>45881</v>
      </c>
      <c r="D241" t="inlineStr">
        <is>
          <t>DALARNAS LÄN</t>
        </is>
      </c>
      <c r="E241" t="inlineStr">
        <is>
          <t>LEKSAND</t>
        </is>
      </c>
      <c r="G241" t="n">
        <v>7.6</v>
      </c>
      <c r="H241" t="n">
        <v>0</v>
      </c>
      <c r="I241" t="n">
        <v>0</v>
      </c>
      <c r="J241" t="n">
        <v>0</v>
      </c>
      <c r="K241" t="n">
        <v>0</v>
      </c>
      <c r="L241" t="n">
        <v>0</v>
      </c>
      <c r="M241" t="n">
        <v>0</v>
      </c>
      <c r="N241" t="n">
        <v>0</v>
      </c>
      <c r="O241" t="n">
        <v>0</v>
      </c>
      <c r="P241" t="n">
        <v>0</v>
      </c>
      <c r="Q241" t="n">
        <v>0</v>
      </c>
      <c r="R241" s="2" t="inlineStr"/>
    </row>
    <row r="242" ht="15" customHeight="1">
      <c r="A242" t="inlineStr">
        <is>
          <t>A 16748-2025</t>
        </is>
      </c>
      <c r="B242" s="1" t="n">
        <v>45754</v>
      </c>
      <c r="C242" s="1" t="n">
        <v>45881</v>
      </c>
      <c r="D242" t="inlineStr">
        <is>
          <t>DALARNAS LÄN</t>
        </is>
      </c>
      <c r="E242" t="inlineStr">
        <is>
          <t>LEKSAND</t>
        </is>
      </c>
      <c r="F242" t="inlineStr">
        <is>
          <t>Bergvik skog väst AB</t>
        </is>
      </c>
      <c r="G242" t="n">
        <v>2.9</v>
      </c>
      <c r="H242" t="n">
        <v>0</v>
      </c>
      <c r="I242" t="n">
        <v>0</v>
      </c>
      <c r="J242" t="n">
        <v>0</v>
      </c>
      <c r="K242" t="n">
        <v>0</v>
      </c>
      <c r="L242" t="n">
        <v>0</v>
      </c>
      <c r="M242" t="n">
        <v>0</v>
      </c>
      <c r="N242" t="n">
        <v>0</v>
      </c>
      <c r="O242" t="n">
        <v>0</v>
      </c>
      <c r="P242" t="n">
        <v>0</v>
      </c>
      <c r="Q242" t="n">
        <v>0</v>
      </c>
      <c r="R242" s="2" t="inlineStr"/>
    </row>
    <row r="243" ht="15" customHeight="1">
      <c r="A243" t="inlineStr">
        <is>
          <t>A 15257-2025</t>
        </is>
      </c>
      <c r="B243" s="1" t="n">
        <v>45744</v>
      </c>
      <c r="C243" s="1" t="n">
        <v>45881</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60715-2022</t>
        </is>
      </c>
      <c r="B244" s="1" t="n">
        <v>44912</v>
      </c>
      <c r="C244" s="1" t="n">
        <v>45881</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24142-2021</t>
        </is>
      </c>
      <c r="B245" s="1" t="n">
        <v>44336</v>
      </c>
      <c r="C245" s="1" t="n">
        <v>45881</v>
      </c>
      <c r="D245" t="inlineStr">
        <is>
          <t>DALARNAS LÄN</t>
        </is>
      </c>
      <c r="E245" t="inlineStr">
        <is>
          <t>LEKSAND</t>
        </is>
      </c>
      <c r="F245" t="inlineStr">
        <is>
          <t>Bergvik skog väst AB</t>
        </is>
      </c>
      <c r="G245" t="n">
        <v>18.9</v>
      </c>
      <c r="H245" t="n">
        <v>0</v>
      </c>
      <c r="I245" t="n">
        <v>0</v>
      </c>
      <c r="J245" t="n">
        <v>0</v>
      </c>
      <c r="K245" t="n">
        <v>0</v>
      </c>
      <c r="L245" t="n">
        <v>0</v>
      </c>
      <c r="M245" t="n">
        <v>0</v>
      </c>
      <c r="N245" t="n">
        <v>0</v>
      </c>
      <c r="O245" t="n">
        <v>0</v>
      </c>
      <c r="P245" t="n">
        <v>0</v>
      </c>
      <c r="Q245" t="n">
        <v>0</v>
      </c>
      <c r="R245" s="2" t="inlineStr"/>
    </row>
    <row r="246" ht="15" customHeight="1">
      <c r="A246" t="inlineStr">
        <is>
          <t>A 11092-2023</t>
        </is>
      </c>
      <c r="B246" s="1" t="n">
        <v>44992</v>
      </c>
      <c r="C246" s="1" t="n">
        <v>45881</v>
      </c>
      <c r="D246" t="inlineStr">
        <is>
          <t>DALARNAS LÄN</t>
        </is>
      </c>
      <c r="E246" t="inlineStr">
        <is>
          <t>LEKSAND</t>
        </is>
      </c>
      <c r="G246" t="n">
        <v>0.5</v>
      </c>
      <c r="H246" t="n">
        <v>0</v>
      </c>
      <c r="I246" t="n">
        <v>0</v>
      </c>
      <c r="J246" t="n">
        <v>0</v>
      </c>
      <c r="K246" t="n">
        <v>0</v>
      </c>
      <c r="L246" t="n">
        <v>0</v>
      </c>
      <c r="M246" t="n">
        <v>0</v>
      </c>
      <c r="N246" t="n">
        <v>0</v>
      </c>
      <c r="O246" t="n">
        <v>0</v>
      </c>
      <c r="P246" t="n">
        <v>0</v>
      </c>
      <c r="Q246" t="n">
        <v>0</v>
      </c>
      <c r="R246" s="2" t="inlineStr"/>
    </row>
    <row r="247" ht="15" customHeight="1">
      <c r="A247" t="inlineStr">
        <is>
          <t>A 15882-2023</t>
        </is>
      </c>
      <c r="B247" s="1" t="n">
        <v>45022</v>
      </c>
      <c r="C247" s="1" t="n">
        <v>45881</v>
      </c>
      <c r="D247" t="inlineStr">
        <is>
          <t>DALARNAS LÄN</t>
        </is>
      </c>
      <c r="E247" t="inlineStr">
        <is>
          <t>LEKSAND</t>
        </is>
      </c>
      <c r="G247" t="n">
        <v>0.1</v>
      </c>
      <c r="H247" t="n">
        <v>0</v>
      </c>
      <c r="I247" t="n">
        <v>0</v>
      </c>
      <c r="J247" t="n">
        <v>0</v>
      </c>
      <c r="K247" t="n">
        <v>0</v>
      </c>
      <c r="L247" t="n">
        <v>0</v>
      </c>
      <c r="M247" t="n">
        <v>0</v>
      </c>
      <c r="N247" t="n">
        <v>0</v>
      </c>
      <c r="O247" t="n">
        <v>0</v>
      </c>
      <c r="P247" t="n">
        <v>0</v>
      </c>
      <c r="Q247" t="n">
        <v>0</v>
      </c>
      <c r="R247" s="2" t="inlineStr"/>
    </row>
    <row r="248" ht="15" customHeight="1">
      <c r="A248" t="inlineStr">
        <is>
          <t>A 16815-2025</t>
        </is>
      </c>
      <c r="B248" s="1" t="n">
        <v>45754</v>
      </c>
      <c r="C248" s="1" t="n">
        <v>45881</v>
      </c>
      <c r="D248" t="inlineStr">
        <is>
          <t>DALARNAS LÄN</t>
        </is>
      </c>
      <c r="E248" t="inlineStr">
        <is>
          <t>LEKSAND</t>
        </is>
      </c>
      <c r="G248" t="n">
        <v>2.8</v>
      </c>
      <c r="H248" t="n">
        <v>0</v>
      </c>
      <c r="I248" t="n">
        <v>0</v>
      </c>
      <c r="J248" t="n">
        <v>0</v>
      </c>
      <c r="K248" t="n">
        <v>0</v>
      </c>
      <c r="L248" t="n">
        <v>0</v>
      </c>
      <c r="M248" t="n">
        <v>0</v>
      </c>
      <c r="N248" t="n">
        <v>0</v>
      </c>
      <c r="O248" t="n">
        <v>0</v>
      </c>
      <c r="P248" t="n">
        <v>0</v>
      </c>
      <c r="Q248" t="n">
        <v>0</v>
      </c>
      <c r="R248" s="2" t="inlineStr"/>
    </row>
    <row r="249" ht="15" customHeight="1">
      <c r="A249" t="inlineStr">
        <is>
          <t>A 1443-2024</t>
        </is>
      </c>
      <c r="B249" s="1" t="n">
        <v>45303</v>
      </c>
      <c r="C249" s="1" t="n">
        <v>45881</v>
      </c>
      <c r="D249" t="inlineStr">
        <is>
          <t>DALARNAS LÄN</t>
        </is>
      </c>
      <c r="E249" t="inlineStr">
        <is>
          <t>LEKSAND</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1457-2024</t>
        </is>
      </c>
      <c r="B250" s="1" t="n">
        <v>45303</v>
      </c>
      <c r="C250" s="1" t="n">
        <v>45881</v>
      </c>
      <c r="D250" t="inlineStr">
        <is>
          <t>DALARNAS LÄN</t>
        </is>
      </c>
      <c r="E250" t="inlineStr">
        <is>
          <t>LEKSAND</t>
        </is>
      </c>
      <c r="G250" t="n">
        <v>4.4</v>
      </c>
      <c r="H250" t="n">
        <v>0</v>
      </c>
      <c r="I250" t="n">
        <v>0</v>
      </c>
      <c r="J250" t="n">
        <v>0</v>
      </c>
      <c r="K250" t="n">
        <v>0</v>
      </c>
      <c r="L250" t="n">
        <v>0</v>
      </c>
      <c r="M250" t="n">
        <v>0</v>
      </c>
      <c r="N250" t="n">
        <v>0</v>
      </c>
      <c r="O250" t="n">
        <v>0</v>
      </c>
      <c r="P250" t="n">
        <v>0</v>
      </c>
      <c r="Q250" t="n">
        <v>0</v>
      </c>
      <c r="R250" s="2" t="inlineStr"/>
    </row>
    <row r="251" ht="15" customHeight="1">
      <c r="A251" t="inlineStr">
        <is>
          <t>A 61208-2023</t>
        </is>
      </c>
      <c r="B251" s="1" t="n">
        <v>45260</v>
      </c>
      <c r="C251" s="1" t="n">
        <v>45881</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52977-2022</t>
        </is>
      </c>
      <c r="B252" s="1" t="n">
        <v>44875</v>
      </c>
      <c r="C252" s="1" t="n">
        <v>45881</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5582-2024</t>
        </is>
      </c>
      <c r="B253" s="1" t="n">
        <v>45334</v>
      </c>
      <c r="C253" s="1" t="n">
        <v>45881</v>
      </c>
      <c r="D253" t="inlineStr">
        <is>
          <t>DALARNAS LÄN</t>
        </is>
      </c>
      <c r="E253" t="inlineStr">
        <is>
          <t>LEKSAND</t>
        </is>
      </c>
      <c r="G253" t="n">
        <v>0.5</v>
      </c>
      <c r="H253" t="n">
        <v>0</v>
      </c>
      <c r="I253" t="n">
        <v>0</v>
      </c>
      <c r="J253" t="n">
        <v>0</v>
      </c>
      <c r="K253" t="n">
        <v>0</v>
      </c>
      <c r="L253" t="n">
        <v>0</v>
      </c>
      <c r="M253" t="n">
        <v>0</v>
      </c>
      <c r="N253" t="n">
        <v>0</v>
      </c>
      <c r="O253" t="n">
        <v>0</v>
      </c>
      <c r="P253" t="n">
        <v>0</v>
      </c>
      <c r="Q253" t="n">
        <v>0</v>
      </c>
      <c r="R253" s="2" t="inlineStr"/>
    </row>
    <row r="254" ht="15" customHeight="1">
      <c r="A254" t="inlineStr">
        <is>
          <t>A 5584-2024</t>
        </is>
      </c>
      <c r="B254" s="1" t="n">
        <v>45334</v>
      </c>
      <c r="C254" s="1" t="n">
        <v>45881</v>
      </c>
      <c r="D254" t="inlineStr">
        <is>
          <t>DALARNAS LÄN</t>
        </is>
      </c>
      <c r="E254" t="inlineStr">
        <is>
          <t>LEKSAND</t>
        </is>
      </c>
      <c r="F254" t="inlineStr">
        <is>
          <t>Kyrkan</t>
        </is>
      </c>
      <c r="G254" t="n">
        <v>0.4</v>
      </c>
      <c r="H254" t="n">
        <v>0</v>
      </c>
      <c r="I254" t="n">
        <v>0</v>
      </c>
      <c r="J254" t="n">
        <v>0</v>
      </c>
      <c r="K254" t="n">
        <v>0</v>
      </c>
      <c r="L254" t="n">
        <v>0</v>
      </c>
      <c r="M254" t="n">
        <v>0</v>
      </c>
      <c r="N254" t="n">
        <v>0</v>
      </c>
      <c r="O254" t="n">
        <v>0</v>
      </c>
      <c r="P254" t="n">
        <v>0</v>
      </c>
      <c r="Q254" t="n">
        <v>0</v>
      </c>
      <c r="R254" s="2" t="inlineStr"/>
    </row>
    <row r="255" ht="15" customHeight="1">
      <c r="A255" t="inlineStr">
        <is>
          <t>A 25921-2024</t>
        </is>
      </c>
      <c r="B255" s="1" t="n">
        <v>45467.6053587963</v>
      </c>
      <c r="C255" s="1" t="n">
        <v>45881</v>
      </c>
      <c r="D255" t="inlineStr">
        <is>
          <t>DALARNAS LÄN</t>
        </is>
      </c>
      <c r="E255" t="inlineStr">
        <is>
          <t>LEKSAND</t>
        </is>
      </c>
      <c r="G255" t="n">
        <v>2.8</v>
      </c>
      <c r="H255" t="n">
        <v>0</v>
      </c>
      <c r="I255" t="n">
        <v>0</v>
      </c>
      <c r="J255" t="n">
        <v>0</v>
      </c>
      <c r="K255" t="n">
        <v>0</v>
      </c>
      <c r="L255" t="n">
        <v>0</v>
      </c>
      <c r="M255" t="n">
        <v>0</v>
      </c>
      <c r="N255" t="n">
        <v>0</v>
      </c>
      <c r="O255" t="n">
        <v>0</v>
      </c>
      <c r="P255" t="n">
        <v>0</v>
      </c>
      <c r="Q255" t="n">
        <v>0</v>
      </c>
      <c r="R255" s="2" t="inlineStr"/>
    </row>
    <row r="256" ht="15" customHeight="1">
      <c r="A256" t="inlineStr">
        <is>
          <t>A 1215-2024</t>
        </is>
      </c>
      <c r="B256" s="1" t="n">
        <v>45302</v>
      </c>
      <c r="C256" s="1" t="n">
        <v>45881</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53464-2024</t>
        </is>
      </c>
      <c r="B257" s="1" t="n">
        <v>45611</v>
      </c>
      <c r="C257" s="1" t="n">
        <v>45881</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56330-2022</t>
        </is>
      </c>
      <c r="B258" s="1" t="n">
        <v>44890.62630787037</v>
      </c>
      <c r="C258" s="1" t="n">
        <v>45881</v>
      </c>
      <c r="D258" t="inlineStr">
        <is>
          <t>DALARNAS LÄN</t>
        </is>
      </c>
      <c r="E258" t="inlineStr">
        <is>
          <t>LEKSAND</t>
        </is>
      </c>
      <c r="G258" t="n">
        <v>4.9</v>
      </c>
      <c r="H258" t="n">
        <v>0</v>
      </c>
      <c r="I258" t="n">
        <v>0</v>
      </c>
      <c r="J258" t="n">
        <v>0</v>
      </c>
      <c r="K258" t="n">
        <v>0</v>
      </c>
      <c r="L258" t="n">
        <v>0</v>
      </c>
      <c r="M258" t="n">
        <v>0</v>
      </c>
      <c r="N258" t="n">
        <v>0</v>
      </c>
      <c r="O258" t="n">
        <v>0</v>
      </c>
      <c r="P258" t="n">
        <v>0</v>
      </c>
      <c r="Q258" t="n">
        <v>0</v>
      </c>
      <c r="R258" s="2" t="inlineStr"/>
    </row>
    <row r="259" ht="15" customHeight="1">
      <c r="A259" t="inlineStr">
        <is>
          <t>A 2140-2024</t>
        </is>
      </c>
      <c r="B259" s="1" t="n">
        <v>45309</v>
      </c>
      <c r="C259" s="1" t="n">
        <v>45881</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28892-2022</t>
        </is>
      </c>
      <c r="B260" s="1" t="n">
        <v>44749</v>
      </c>
      <c r="C260" s="1" t="n">
        <v>45881</v>
      </c>
      <c r="D260" t="inlineStr">
        <is>
          <t>DALARNAS LÄN</t>
        </is>
      </c>
      <c r="E260" t="inlineStr">
        <is>
          <t>LEKSAND</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2694-2025</t>
        </is>
      </c>
      <c r="B261" s="1" t="n">
        <v>45677.38246527778</v>
      </c>
      <c r="C261" s="1" t="n">
        <v>45881</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18176-2024</t>
        </is>
      </c>
      <c r="B262" s="1" t="n">
        <v>45420.63901620371</v>
      </c>
      <c r="C262" s="1" t="n">
        <v>45881</v>
      </c>
      <c r="D262" t="inlineStr">
        <is>
          <t>DALARNAS LÄN</t>
        </is>
      </c>
      <c r="E262" t="inlineStr">
        <is>
          <t>LEKSAND</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320-2023</t>
        </is>
      </c>
      <c r="B263" s="1" t="n">
        <v>44929</v>
      </c>
      <c r="C263" s="1" t="n">
        <v>45881</v>
      </c>
      <c r="D263" t="inlineStr">
        <is>
          <t>DALARNAS LÄN</t>
        </is>
      </c>
      <c r="E263" t="inlineStr">
        <is>
          <t>LEKSAND</t>
        </is>
      </c>
      <c r="F263" t="inlineStr">
        <is>
          <t>Övriga Aktiebolag</t>
        </is>
      </c>
      <c r="G263" t="n">
        <v>5.4</v>
      </c>
      <c r="H263" t="n">
        <v>0</v>
      </c>
      <c r="I263" t="n">
        <v>0</v>
      </c>
      <c r="J263" t="n">
        <v>0</v>
      </c>
      <c r="K263" t="n">
        <v>0</v>
      </c>
      <c r="L263" t="n">
        <v>0</v>
      </c>
      <c r="M263" t="n">
        <v>0</v>
      </c>
      <c r="N263" t="n">
        <v>0</v>
      </c>
      <c r="O263" t="n">
        <v>0</v>
      </c>
      <c r="P263" t="n">
        <v>0</v>
      </c>
      <c r="Q263" t="n">
        <v>0</v>
      </c>
      <c r="R263" s="2" t="inlineStr"/>
    </row>
    <row r="264" ht="15" customHeight="1">
      <c r="A264" t="inlineStr">
        <is>
          <t>A 40752-2024</t>
        </is>
      </c>
      <c r="B264" s="1" t="n">
        <v>45558.45638888889</v>
      </c>
      <c r="C264" s="1" t="n">
        <v>45881</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55268-2024</t>
        </is>
      </c>
      <c r="B265" s="1" t="n">
        <v>45621.61266203703</v>
      </c>
      <c r="C265" s="1" t="n">
        <v>45881</v>
      </c>
      <c r="D265" t="inlineStr">
        <is>
          <t>DALARNAS LÄN</t>
        </is>
      </c>
      <c r="E265" t="inlineStr">
        <is>
          <t>LEKSAND</t>
        </is>
      </c>
      <c r="G265" t="n">
        <v>4.2</v>
      </c>
      <c r="H265" t="n">
        <v>0</v>
      </c>
      <c r="I265" t="n">
        <v>0</v>
      </c>
      <c r="J265" t="n">
        <v>0</v>
      </c>
      <c r="K265" t="n">
        <v>0</v>
      </c>
      <c r="L265" t="n">
        <v>0</v>
      </c>
      <c r="M265" t="n">
        <v>0</v>
      </c>
      <c r="N265" t="n">
        <v>0</v>
      </c>
      <c r="O265" t="n">
        <v>0</v>
      </c>
      <c r="P265" t="n">
        <v>0</v>
      </c>
      <c r="Q265" t="n">
        <v>0</v>
      </c>
      <c r="R265" s="2" t="inlineStr"/>
    </row>
    <row r="266" ht="15" customHeight="1">
      <c r="A266" t="inlineStr">
        <is>
          <t>A 62130-2024</t>
        </is>
      </c>
      <c r="B266" s="1" t="n">
        <v>45656.61827546296</v>
      </c>
      <c r="C266" s="1" t="n">
        <v>45881</v>
      </c>
      <c r="D266" t="inlineStr">
        <is>
          <t>DALARNAS LÄN</t>
        </is>
      </c>
      <c r="E266" t="inlineStr">
        <is>
          <t>LEKSAND</t>
        </is>
      </c>
      <c r="G266" t="n">
        <v>11.4</v>
      </c>
      <c r="H266" t="n">
        <v>0</v>
      </c>
      <c r="I266" t="n">
        <v>0</v>
      </c>
      <c r="J266" t="n">
        <v>0</v>
      </c>
      <c r="K266" t="n">
        <v>0</v>
      </c>
      <c r="L266" t="n">
        <v>0</v>
      </c>
      <c r="M266" t="n">
        <v>0</v>
      </c>
      <c r="N266" t="n">
        <v>0</v>
      </c>
      <c r="O266" t="n">
        <v>0</v>
      </c>
      <c r="P266" t="n">
        <v>0</v>
      </c>
      <c r="Q266" t="n">
        <v>0</v>
      </c>
      <c r="R266" s="2" t="inlineStr"/>
    </row>
    <row r="267" ht="15" customHeight="1">
      <c r="A267" t="inlineStr">
        <is>
          <t>A 12581-2025</t>
        </is>
      </c>
      <c r="B267" s="1" t="n">
        <v>45732.62201388889</v>
      </c>
      <c r="C267" s="1" t="n">
        <v>45881</v>
      </c>
      <c r="D267" t="inlineStr">
        <is>
          <t>DALARNAS LÄN</t>
        </is>
      </c>
      <c r="E267" t="inlineStr">
        <is>
          <t>LEKSAND</t>
        </is>
      </c>
      <c r="G267" t="n">
        <v>5.1</v>
      </c>
      <c r="H267" t="n">
        <v>0</v>
      </c>
      <c r="I267" t="n">
        <v>0</v>
      </c>
      <c r="J267" t="n">
        <v>0</v>
      </c>
      <c r="K267" t="n">
        <v>0</v>
      </c>
      <c r="L267" t="n">
        <v>0</v>
      </c>
      <c r="M267" t="n">
        <v>0</v>
      </c>
      <c r="N267" t="n">
        <v>0</v>
      </c>
      <c r="O267" t="n">
        <v>0</v>
      </c>
      <c r="P267" t="n">
        <v>0</v>
      </c>
      <c r="Q267" t="n">
        <v>0</v>
      </c>
      <c r="R267" s="2" t="inlineStr"/>
    </row>
    <row r="268" ht="15" customHeight="1">
      <c r="A268" t="inlineStr">
        <is>
          <t>A 12620-2025</t>
        </is>
      </c>
      <c r="B268" s="1" t="n">
        <v>45733.35498842593</v>
      </c>
      <c r="C268" s="1" t="n">
        <v>45881</v>
      </c>
      <c r="D268" t="inlineStr">
        <is>
          <t>DALARNAS LÄN</t>
        </is>
      </c>
      <c r="E268" t="inlineStr">
        <is>
          <t>LEKSAND</t>
        </is>
      </c>
      <c r="F268" t="inlineStr">
        <is>
          <t>Bergvik skog väst AB</t>
        </is>
      </c>
      <c r="G268" t="n">
        <v>3.9</v>
      </c>
      <c r="H268" t="n">
        <v>0</v>
      </c>
      <c r="I268" t="n">
        <v>0</v>
      </c>
      <c r="J268" t="n">
        <v>0</v>
      </c>
      <c r="K268" t="n">
        <v>0</v>
      </c>
      <c r="L268" t="n">
        <v>0</v>
      </c>
      <c r="M268" t="n">
        <v>0</v>
      </c>
      <c r="N268" t="n">
        <v>0</v>
      </c>
      <c r="O268" t="n">
        <v>0</v>
      </c>
      <c r="P268" t="n">
        <v>0</v>
      </c>
      <c r="Q268" t="n">
        <v>0</v>
      </c>
      <c r="R268" s="2" t="inlineStr"/>
    </row>
    <row r="269" ht="15" customHeight="1">
      <c r="A269" t="inlineStr">
        <is>
          <t>A 12623-2025</t>
        </is>
      </c>
      <c r="B269" s="1" t="n">
        <v>45733.36079861111</v>
      </c>
      <c r="C269" s="1" t="n">
        <v>45881</v>
      </c>
      <c r="D269" t="inlineStr">
        <is>
          <t>DALARNAS LÄN</t>
        </is>
      </c>
      <c r="E269" t="inlineStr">
        <is>
          <t>LEKSAND</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58244-2024</t>
        </is>
      </c>
      <c r="B270" s="1" t="n">
        <v>45631</v>
      </c>
      <c r="C270" s="1" t="n">
        <v>45881</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30998-2023</t>
        </is>
      </c>
      <c r="B271" s="1" t="n">
        <v>45113.54193287037</v>
      </c>
      <c r="C271" s="1" t="n">
        <v>45881</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62161-2024</t>
        </is>
      </c>
      <c r="B272" s="1" t="n">
        <v>45656.86009259259</v>
      </c>
      <c r="C272" s="1" t="n">
        <v>45881</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11606-2025</t>
        </is>
      </c>
      <c r="B273" s="1" t="n">
        <v>45727</v>
      </c>
      <c r="C273" s="1" t="n">
        <v>45881</v>
      </c>
      <c r="D273" t="inlineStr">
        <is>
          <t>DALARNAS LÄN</t>
        </is>
      </c>
      <c r="E273" t="inlineStr">
        <is>
          <t>LEKSAND</t>
        </is>
      </c>
      <c r="G273" t="n">
        <v>2.3</v>
      </c>
      <c r="H273" t="n">
        <v>0</v>
      </c>
      <c r="I273" t="n">
        <v>0</v>
      </c>
      <c r="J273" t="n">
        <v>0</v>
      </c>
      <c r="K273" t="n">
        <v>0</v>
      </c>
      <c r="L273" t="n">
        <v>0</v>
      </c>
      <c r="M273" t="n">
        <v>0</v>
      </c>
      <c r="N273" t="n">
        <v>0</v>
      </c>
      <c r="O273" t="n">
        <v>0</v>
      </c>
      <c r="P273" t="n">
        <v>0</v>
      </c>
      <c r="Q273" t="n">
        <v>0</v>
      </c>
      <c r="R273" s="2" t="inlineStr"/>
    </row>
    <row r="274" ht="15" customHeight="1">
      <c r="A274" t="inlineStr">
        <is>
          <t>A 21954-2023</t>
        </is>
      </c>
      <c r="B274" s="1" t="n">
        <v>45068</v>
      </c>
      <c r="C274" s="1" t="n">
        <v>45881</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32666-2023</t>
        </is>
      </c>
      <c r="B275" s="1" t="n">
        <v>45121</v>
      </c>
      <c r="C275" s="1" t="n">
        <v>45881</v>
      </c>
      <c r="D275" t="inlineStr">
        <is>
          <t>DALARNAS LÄN</t>
        </is>
      </c>
      <c r="E275" t="inlineStr">
        <is>
          <t>LEKSAND</t>
        </is>
      </c>
      <c r="G275" t="n">
        <v>9.9</v>
      </c>
      <c r="H275" t="n">
        <v>0</v>
      </c>
      <c r="I275" t="n">
        <v>0</v>
      </c>
      <c r="J275" t="n">
        <v>0</v>
      </c>
      <c r="K275" t="n">
        <v>0</v>
      </c>
      <c r="L275" t="n">
        <v>0</v>
      </c>
      <c r="M275" t="n">
        <v>0</v>
      </c>
      <c r="N275" t="n">
        <v>0</v>
      </c>
      <c r="O275" t="n">
        <v>0</v>
      </c>
      <c r="P275" t="n">
        <v>0</v>
      </c>
      <c r="Q275" t="n">
        <v>0</v>
      </c>
      <c r="R275" s="2" t="inlineStr"/>
    </row>
    <row r="276" ht="15" customHeight="1">
      <c r="A276" t="inlineStr">
        <is>
          <t>A 5231-2024</t>
        </is>
      </c>
      <c r="B276" s="1" t="n">
        <v>45330</v>
      </c>
      <c r="C276" s="1" t="n">
        <v>45881</v>
      </c>
      <c r="D276" t="inlineStr">
        <is>
          <t>DALARNAS LÄN</t>
        </is>
      </c>
      <c r="E276" t="inlineStr">
        <is>
          <t>LEKSAND</t>
        </is>
      </c>
      <c r="F276" t="inlineStr">
        <is>
          <t>Bergvik skog väst AB</t>
        </is>
      </c>
      <c r="G276" t="n">
        <v>11.2</v>
      </c>
      <c r="H276" t="n">
        <v>0</v>
      </c>
      <c r="I276" t="n">
        <v>0</v>
      </c>
      <c r="J276" t="n">
        <v>0</v>
      </c>
      <c r="K276" t="n">
        <v>0</v>
      </c>
      <c r="L276" t="n">
        <v>0</v>
      </c>
      <c r="M276" t="n">
        <v>0</v>
      </c>
      <c r="N276" t="n">
        <v>0</v>
      </c>
      <c r="O276" t="n">
        <v>0</v>
      </c>
      <c r="P276" t="n">
        <v>0</v>
      </c>
      <c r="Q276" t="n">
        <v>0</v>
      </c>
      <c r="R276" s="2" t="inlineStr"/>
    </row>
    <row r="277" ht="15" customHeight="1">
      <c r="A277" t="inlineStr">
        <is>
          <t>A 8743-2023</t>
        </is>
      </c>
      <c r="B277" s="1" t="n">
        <v>44978</v>
      </c>
      <c r="C277" s="1" t="n">
        <v>45881</v>
      </c>
      <c r="D277" t="inlineStr">
        <is>
          <t>DALARNAS LÄN</t>
        </is>
      </c>
      <c r="E277" t="inlineStr">
        <is>
          <t>LEKSAND</t>
        </is>
      </c>
      <c r="G277" t="n">
        <v>3</v>
      </c>
      <c r="H277" t="n">
        <v>0</v>
      </c>
      <c r="I277" t="n">
        <v>0</v>
      </c>
      <c r="J277" t="n">
        <v>0</v>
      </c>
      <c r="K277" t="n">
        <v>0</v>
      </c>
      <c r="L277" t="n">
        <v>0</v>
      </c>
      <c r="M277" t="n">
        <v>0</v>
      </c>
      <c r="N277" t="n">
        <v>0</v>
      </c>
      <c r="O277" t="n">
        <v>0</v>
      </c>
      <c r="P277" t="n">
        <v>0</v>
      </c>
      <c r="Q277" t="n">
        <v>0</v>
      </c>
      <c r="R277" s="2" t="inlineStr"/>
    </row>
    <row r="278" ht="15" customHeight="1">
      <c r="A278" t="inlineStr">
        <is>
          <t>A 6519-2025</t>
        </is>
      </c>
      <c r="B278" s="1" t="n">
        <v>45699</v>
      </c>
      <c r="C278" s="1" t="n">
        <v>45881</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9143-2023</t>
        </is>
      </c>
      <c r="B279" s="1" t="n">
        <v>44974</v>
      </c>
      <c r="C279" s="1" t="n">
        <v>45881</v>
      </c>
      <c r="D279" t="inlineStr">
        <is>
          <t>DALARNAS LÄN</t>
        </is>
      </c>
      <c r="E279" t="inlineStr">
        <is>
          <t>LEKSAND</t>
        </is>
      </c>
      <c r="G279" t="n">
        <v>4.3</v>
      </c>
      <c r="H279" t="n">
        <v>0</v>
      </c>
      <c r="I279" t="n">
        <v>0</v>
      </c>
      <c r="J279" t="n">
        <v>0</v>
      </c>
      <c r="K279" t="n">
        <v>0</v>
      </c>
      <c r="L279" t="n">
        <v>0</v>
      </c>
      <c r="M279" t="n">
        <v>0</v>
      </c>
      <c r="N279" t="n">
        <v>0</v>
      </c>
      <c r="O279" t="n">
        <v>0</v>
      </c>
      <c r="P279" t="n">
        <v>0</v>
      </c>
      <c r="Q279" t="n">
        <v>0</v>
      </c>
      <c r="R279" s="2" t="inlineStr"/>
    </row>
    <row r="280" ht="15" customHeight="1">
      <c r="A280" t="inlineStr">
        <is>
          <t>A 63544-2023</t>
        </is>
      </c>
      <c r="B280" s="1" t="n">
        <v>45275</v>
      </c>
      <c r="C280" s="1" t="n">
        <v>45881</v>
      </c>
      <c r="D280" t="inlineStr">
        <is>
          <t>DALARNAS LÄN</t>
        </is>
      </c>
      <c r="E280" t="inlineStr">
        <is>
          <t>LEKSAND</t>
        </is>
      </c>
      <c r="G280" t="n">
        <v>0.3</v>
      </c>
      <c r="H280" t="n">
        <v>0</v>
      </c>
      <c r="I280" t="n">
        <v>0</v>
      </c>
      <c r="J280" t="n">
        <v>0</v>
      </c>
      <c r="K280" t="n">
        <v>0</v>
      </c>
      <c r="L280" t="n">
        <v>0</v>
      </c>
      <c r="M280" t="n">
        <v>0</v>
      </c>
      <c r="N280" t="n">
        <v>0</v>
      </c>
      <c r="O280" t="n">
        <v>0</v>
      </c>
      <c r="P280" t="n">
        <v>0</v>
      </c>
      <c r="Q280" t="n">
        <v>0</v>
      </c>
      <c r="R280" s="2" t="inlineStr"/>
    </row>
    <row r="281" ht="15" customHeight="1">
      <c r="A281" t="inlineStr">
        <is>
          <t>A 36262-2023</t>
        </is>
      </c>
      <c r="B281" s="1" t="n">
        <v>45151.9096875</v>
      </c>
      <c r="C281" s="1" t="n">
        <v>45881</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23896-2024</t>
        </is>
      </c>
      <c r="B282" s="1" t="n">
        <v>45455.6758449074</v>
      </c>
      <c r="C282" s="1" t="n">
        <v>45881</v>
      </c>
      <c r="D282" t="inlineStr">
        <is>
          <t>DALARNAS LÄN</t>
        </is>
      </c>
      <c r="E282" t="inlineStr">
        <is>
          <t>LEKSAND</t>
        </is>
      </c>
      <c r="F282" t="inlineStr">
        <is>
          <t>Övriga Aktiebolag</t>
        </is>
      </c>
      <c r="G282" t="n">
        <v>0.9</v>
      </c>
      <c r="H282" t="n">
        <v>0</v>
      </c>
      <c r="I282" t="n">
        <v>0</v>
      </c>
      <c r="J282" t="n">
        <v>0</v>
      </c>
      <c r="K282" t="n">
        <v>0</v>
      </c>
      <c r="L282" t="n">
        <v>0</v>
      </c>
      <c r="M282" t="n">
        <v>0</v>
      </c>
      <c r="N282" t="n">
        <v>0</v>
      </c>
      <c r="O282" t="n">
        <v>0</v>
      </c>
      <c r="P282" t="n">
        <v>0</v>
      </c>
      <c r="Q282" t="n">
        <v>0</v>
      </c>
      <c r="R282" s="2" t="inlineStr"/>
    </row>
    <row r="283" ht="15" customHeight="1">
      <c r="A283" t="inlineStr">
        <is>
          <t>A 28578-2023</t>
        </is>
      </c>
      <c r="B283" s="1" t="n">
        <v>45103</v>
      </c>
      <c r="C283" s="1" t="n">
        <v>45881</v>
      </c>
      <c r="D283" t="inlineStr">
        <is>
          <t>DALARNAS LÄN</t>
        </is>
      </c>
      <c r="E283" t="inlineStr">
        <is>
          <t>LEKSAND</t>
        </is>
      </c>
      <c r="G283" t="n">
        <v>4.4</v>
      </c>
      <c r="H283" t="n">
        <v>0</v>
      </c>
      <c r="I283" t="n">
        <v>0</v>
      </c>
      <c r="J283" t="n">
        <v>0</v>
      </c>
      <c r="K283" t="n">
        <v>0</v>
      </c>
      <c r="L283" t="n">
        <v>0</v>
      </c>
      <c r="M283" t="n">
        <v>0</v>
      </c>
      <c r="N283" t="n">
        <v>0</v>
      </c>
      <c r="O283" t="n">
        <v>0</v>
      </c>
      <c r="P283" t="n">
        <v>0</v>
      </c>
      <c r="Q283" t="n">
        <v>0</v>
      </c>
      <c r="R283" s="2" t="inlineStr"/>
    </row>
    <row r="284" ht="15" customHeight="1">
      <c r="A284" t="inlineStr">
        <is>
          <t>A 61288-2022</t>
        </is>
      </c>
      <c r="B284" s="1" t="n">
        <v>44915</v>
      </c>
      <c r="C284" s="1" t="n">
        <v>45881</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20936-2023</t>
        </is>
      </c>
      <c r="B285" s="1" t="n">
        <v>45061</v>
      </c>
      <c r="C285" s="1" t="n">
        <v>45881</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60095-2022</t>
        </is>
      </c>
      <c r="B286" s="1" t="n">
        <v>44909</v>
      </c>
      <c r="C286" s="1" t="n">
        <v>45881</v>
      </c>
      <c r="D286" t="inlineStr">
        <is>
          <t>DALARNAS LÄN</t>
        </is>
      </c>
      <c r="E286" t="inlineStr">
        <is>
          <t>LEKSAND</t>
        </is>
      </c>
      <c r="G286" t="n">
        <v>2.4</v>
      </c>
      <c r="H286" t="n">
        <v>0</v>
      </c>
      <c r="I286" t="n">
        <v>0</v>
      </c>
      <c r="J286" t="n">
        <v>0</v>
      </c>
      <c r="K286" t="n">
        <v>0</v>
      </c>
      <c r="L286" t="n">
        <v>0</v>
      </c>
      <c r="M286" t="n">
        <v>0</v>
      </c>
      <c r="N286" t="n">
        <v>0</v>
      </c>
      <c r="O286" t="n">
        <v>0</v>
      </c>
      <c r="P286" t="n">
        <v>0</v>
      </c>
      <c r="Q286" t="n">
        <v>0</v>
      </c>
      <c r="R286" s="2" t="inlineStr"/>
    </row>
    <row r="287" ht="15" customHeight="1">
      <c r="A287" t="inlineStr">
        <is>
          <t>A 41169-2024</t>
        </is>
      </c>
      <c r="B287" s="1" t="n">
        <v>45559.48637731482</v>
      </c>
      <c r="C287" s="1" t="n">
        <v>45881</v>
      </c>
      <c r="D287" t="inlineStr">
        <is>
          <t>DALARNAS LÄN</t>
        </is>
      </c>
      <c r="E287" t="inlineStr">
        <is>
          <t>LEKSAND</t>
        </is>
      </c>
      <c r="G287" t="n">
        <v>8.9</v>
      </c>
      <c r="H287" t="n">
        <v>0</v>
      </c>
      <c r="I287" t="n">
        <v>0</v>
      </c>
      <c r="J287" t="n">
        <v>0</v>
      </c>
      <c r="K287" t="n">
        <v>0</v>
      </c>
      <c r="L287" t="n">
        <v>0</v>
      </c>
      <c r="M287" t="n">
        <v>0</v>
      </c>
      <c r="N287" t="n">
        <v>0</v>
      </c>
      <c r="O287" t="n">
        <v>0</v>
      </c>
      <c r="P287" t="n">
        <v>0</v>
      </c>
      <c r="Q287" t="n">
        <v>0</v>
      </c>
      <c r="R287" s="2" t="inlineStr"/>
    </row>
    <row r="288" ht="15" customHeight="1">
      <c r="A288" t="inlineStr">
        <is>
          <t>A 38117-2023</t>
        </is>
      </c>
      <c r="B288" s="1" t="n">
        <v>45161</v>
      </c>
      <c r="C288" s="1" t="n">
        <v>45881</v>
      </c>
      <c r="D288" t="inlineStr">
        <is>
          <t>DALARNAS LÄN</t>
        </is>
      </c>
      <c r="E288" t="inlineStr">
        <is>
          <t>LEKSAND</t>
        </is>
      </c>
      <c r="G288" t="n">
        <v>1.5</v>
      </c>
      <c r="H288" t="n">
        <v>0</v>
      </c>
      <c r="I288" t="n">
        <v>0</v>
      </c>
      <c r="J288" t="n">
        <v>0</v>
      </c>
      <c r="K288" t="n">
        <v>0</v>
      </c>
      <c r="L288" t="n">
        <v>0</v>
      </c>
      <c r="M288" t="n">
        <v>0</v>
      </c>
      <c r="N288" t="n">
        <v>0</v>
      </c>
      <c r="O288" t="n">
        <v>0</v>
      </c>
      <c r="P288" t="n">
        <v>0</v>
      </c>
      <c r="Q288" t="n">
        <v>0</v>
      </c>
      <c r="R288" s="2" t="inlineStr"/>
    </row>
    <row r="289" ht="15" customHeight="1">
      <c r="A289" t="inlineStr">
        <is>
          <t>A 11418-2023</t>
        </is>
      </c>
      <c r="B289" s="1" t="n">
        <v>44993</v>
      </c>
      <c r="C289" s="1" t="n">
        <v>45881</v>
      </c>
      <c r="D289" t="inlineStr">
        <is>
          <t>DALARNAS LÄN</t>
        </is>
      </c>
      <c r="E289" t="inlineStr">
        <is>
          <t>LEKSAND</t>
        </is>
      </c>
      <c r="G289" t="n">
        <v>2.7</v>
      </c>
      <c r="H289" t="n">
        <v>0</v>
      </c>
      <c r="I289" t="n">
        <v>0</v>
      </c>
      <c r="J289" t="n">
        <v>0</v>
      </c>
      <c r="K289" t="n">
        <v>0</v>
      </c>
      <c r="L289" t="n">
        <v>0</v>
      </c>
      <c r="M289" t="n">
        <v>0</v>
      </c>
      <c r="N289" t="n">
        <v>0</v>
      </c>
      <c r="O289" t="n">
        <v>0</v>
      </c>
      <c r="P289" t="n">
        <v>0</v>
      </c>
      <c r="Q289" t="n">
        <v>0</v>
      </c>
      <c r="R289" s="2" t="inlineStr"/>
    </row>
    <row r="290" ht="15" customHeight="1">
      <c r="A290" t="inlineStr">
        <is>
          <t>A 39558-2023</t>
        </is>
      </c>
      <c r="B290" s="1" t="n">
        <v>45167.38664351852</v>
      </c>
      <c r="C290" s="1" t="n">
        <v>45881</v>
      </c>
      <c r="D290" t="inlineStr">
        <is>
          <t>DALARNAS LÄN</t>
        </is>
      </c>
      <c r="E290" t="inlineStr">
        <is>
          <t>LEKSAND</t>
        </is>
      </c>
      <c r="G290" t="n">
        <v>39.9</v>
      </c>
      <c r="H290" t="n">
        <v>0</v>
      </c>
      <c r="I290" t="n">
        <v>0</v>
      </c>
      <c r="J290" t="n">
        <v>0</v>
      </c>
      <c r="K290" t="n">
        <v>0</v>
      </c>
      <c r="L290" t="n">
        <v>0</v>
      </c>
      <c r="M290" t="n">
        <v>0</v>
      </c>
      <c r="N290" t="n">
        <v>0</v>
      </c>
      <c r="O290" t="n">
        <v>0</v>
      </c>
      <c r="P290" t="n">
        <v>0</v>
      </c>
      <c r="Q290" t="n">
        <v>0</v>
      </c>
      <c r="R290" s="2" t="inlineStr"/>
    </row>
    <row r="291" ht="15" customHeight="1">
      <c r="A291" t="inlineStr">
        <is>
          <t>A 43222-2024</t>
        </is>
      </c>
      <c r="B291" s="1" t="n">
        <v>45567.87177083334</v>
      </c>
      <c r="C291" s="1" t="n">
        <v>45881</v>
      </c>
      <c r="D291" t="inlineStr">
        <is>
          <t>DALARNAS LÄN</t>
        </is>
      </c>
      <c r="E291" t="inlineStr">
        <is>
          <t>LEKSAND</t>
        </is>
      </c>
      <c r="F291" t="inlineStr">
        <is>
          <t>Bergvik skog väst AB</t>
        </is>
      </c>
      <c r="G291" t="n">
        <v>8.6</v>
      </c>
      <c r="H291" t="n">
        <v>0</v>
      </c>
      <c r="I291" t="n">
        <v>0</v>
      </c>
      <c r="J291" t="n">
        <v>0</v>
      </c>
      <c r="K291" t="n">
        <v>0</v>
      </c>
      <c r="L291" t="n">
        <v>0</v>
      </c>
      <c r="M291" t="n">
        <v>0</v>
      </c>
      <c r="N291" t="n">
        <v>0</v>
      </c>
      <c r="O291" t="n">
        <v>0</v>
      </c>
      <c r="P291" t="n">
        <v>0</v>
      </c>
      <c r="Q291" t="n">
        <v>0</v>
      </c>
      <c r="R291" s="2" t="inlineStr"/>
    </row>
    <row r="292" ht="15" customHeight="1">
      <c r="A292" t="inlineStr">
        <is>
          <t>A 43231-2024</t>
        </is>
      </c>
      <c r="B292" s="1" t="n">
        <v>45567.89709490741</v>
      </c>
      <c r="C292" s="1" t="n">
        <v>45881</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43234-2024</t>
        </is>
      </c>
      <c r="B293" s="1" t="n">
        <v>45567.92238425926</v>
      </c>
      <c r="C293" s="1" t="n">
        <v>45881</v>
      </c>
      <c r="D293" t="inlineStr">
        <is>
          <t>DALARNAS LÄN</t>
        </is>
      </c>
      <c r="E293" t="inlineStr">
        <is>
          <t>LEKSAND</t>
        </is>
      </c>
      <c r="G293" t="n">
        <v>1.8</v>
      </c>
      <c r="H293" t="n">
        <v>0</v>
      </c>
      <c r="I293" t="n">
        <v>0</v>
      </c>
      <c r="J293" t="n">
        <v>0</v>
      </c>
      <c r="K293" t="n">
        <v>0</v>
      </c>
      <c r="L293" t="n">
        <v>0</v>
      </c>
      <c r="M293" t="n">
        <v>0</v>
      </c>
      <c r="N293" t="n">
        <v>0</v>
      </c>
      <c r="O293" t="n">
        <v>0</v>
      </c>
      <c r="P293" t="n">
        <v>0</v>
      </c>
      <c r="Q293" t="n">
        <v>0</v>
      </c>
      <c r="R293" s="2" t="inlineStr"/>
    </row>
    <row r="294" ht="15" customHeight="1">
      <c r="A294" t="inlineStr">
        <is>
          <t>A 53122-2023</t>
        </is>
      </c>
      <c r="B294" s="1" t="n">
        <v>45228</v>
      </c>
      <c r="C294" s="1" t="n">
        <v>45881</v>
      </c>
      <c r="D294" t="inlineStr">
        <is>
          <t>DALARNAS LÄN</t>
        </is>
      </c>
      <c r="E294" t="inlineStr">
        <is>
          <t>LEKSAND</t>
        </is>
      </c>
      <c r="G294" t="n">
        <v>1.9</v>
      </c>
      <c r="H294" t="n">
        <v>0</v>
      </c>
      <c r="I294" t="n">
        <v>0</v>
      </c>
      <c r="J294" t="n">
        <v>0</v>
      </c>
      <c r="K294" t="n">
        <v>0</v>
      </c>
      <c r="L294" t="n">
        <v>0</v>
      </c>
      <c r="M294" t="n">
        <v>0</v>
      </c>
      <c r="N294" t="n">
        <v>0</v>
      </c>
      <c r="O294" t="n">
        <v>0</v>
      </c>
      <c r="P294" t="n">
        <v>0</v>
      </c>
      <c r="Q294" t="n">
        <v>0</v>
      </c>
      <c r="R294" s="2" t="inlineStr"/>
    </row>
    <row r="295" ht="15" customHeight="1">
      <c r="A295" t="inlineStr">
        <is>
          <t>A 28032-2024</t>
        </is>
      </c>
      <c r="B295" s="1" t="n">
        <v>45476.49346064815</v>
      </c>
      <c r="C295" s="1" t="n">
        <v>45881</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19550-2023</t>
        </is>
      </c>
      <c r="B296" s="1" t="n">
        <v>45049</v>
      </c>
      <c r="C296" s="1" t="n">
        <v>45881</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33593-2024</t>
        </is>
      </c>
      <c r="B297" s="1" t="n">
        <v>45520.36055555556</v>
      </c>
      <c r="C297" s="1" t="n">
        <v>45881</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64516-2023</t>
        </is>
      </c>
      <c r="B298" s="1" t="n">
        <v>45280</v>
      </c>
      <c r="C298" s="1" t="n">
        <v>45881</v>
      </c>
      <c r="D298" t="inlineStr">
        <is>
          <t>DALARNAS LÄN</t>
        </is>
      </c>
      <c r="E298" t="inlineStr">
        <is>
          <t>LEKSAND</t>
        </is>
      </c>
      <c r="G298" t="n">
        <v>4.4</v>
      </c>
      <c r="H298" t="n">
        <v>0</v>
      </c>
      <c r="I298" t="n">
        <v>0</v>
      </c>
      <c r="J298" t="n">
        <v>0</v>
      </c>
      <c r="K298" t="n">
        <v>0</v>
      </c>
      <c r="L298" t="n">
        <v>0</v>
      </c>
      <c r="M298" t="n">
        <v>0</v>
      </c>
      <c r="N298" t="n">
        <v>0</v>
      </c>
      <c r="O298" t="n">
        <v>0</v>
      </c>
      <c r="P298" t="n">
        <v>0</v>
      </c>
      <c r="Q298" t="n">
        <v>0</v>
      </c>
      <c r="R298" s="2" t="inlineStr"/>
    </row>
    <row r="299" ht="15" customHeight="1">
      <c r="A299" t="inlineStr">
        <is>
          <t>A 47203-2023</t>
        </is>
      </c>
      <c r="B299" s="1" t="n">
        <v>45202</v>
      </c>
      <c r="C299" s="1" t="n">
        <v>45881</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17377-2025</t>
        </is>
      </c>
      <c r="B300" s="1" t="n">
        <v>45756.983125</v>
      </c>
      <c r="C300" s="1" t="n">
        <v>45881</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61269-2022</t>
        </is>
      </c>
      <c r="B301" s="1" t="n">
        <v>44909</v>
      </c>
      <c r="C301" s="1" t="n">
        <v>45881</v>
      </c>
      <c r="D301" t="inlineStr">
        <is>
          <t>DALARNAS LÄN</t>
        </is>
      </c>
      <c r="E301" t="inlineStr">
        <is>
          <t>LEKSAND</t>
        </is>
      </c>
      <c r="G301" t="n">
        <v>4.2</v>
      </c>
      <c r="H301" t="n">
        <v>0</v>
      </c>
      <c r="I301" t="n">
        <v>0</v>
      </c>
      <c r="J301" t="n">
        <v>0</v>
      </c>
      <c r="K301" t="n">
        <v>0</v>
      </c>
      <c r="L301" t="n">
        <v>0</v>
      </c>
      <c r="M301" t="n">
        <v>0</v>
      </c>
      <c r="N301" t="n">
        <v>0</v>
      </c>
      <c r="O301" t="n">
        <v>0</v>
      </c>
      <c r="P301" t="n">
        <v>0</v>
      </c>
      <c r="Q301" t="n">
        <v>0</v>
      </c>
      <c r="R301" s="2" t="inlineStr"/>
    </row>
    <row r="302" ht="15" customHeight="1">
      <c r="A302" t="inlineStr">
        <is>
          <t>A 13384-2025</t>
        </is>
      </c>
      <c r="B302" s="1" t="n">
        <v>45735</v>
      </c>
      <c r="C302" s="1" t="n">
        <v>45881</v>
      </c>
      <c r="D302" t="inlineStr">
        <is>
          <t>DALARNAS LÄN</t>
        </is>
      </c>
      <c r="E302" t="inlineStr">
        <is>
          <t>LEKSAND</t>
        </is>
      </c>
      <c r="G302" t="n">
        <v>3.2</v>
      </c>
      <c r="H302" t="n">
        <v>0</v>
      </c>
      <c r="I302" t="n">
        <v>0</v>
      </c>
      <c r="J302" t="n">
        <v>0</v>
      </c>
      <c r="K302" t="n">
        <v>0</v>
      </c>
      <c r="L302" t="n">
        <v>0</v>
      </c>
      <c r="M302" t="n">
        <v>0</v>
      </c>
      <c r="N302" t="n">
        <v>0</v>
      </c>
      <c r="O302" t="n">
        <v>0</v>
      </c>
      <c r="P302" t="n">
        <v>0</v>
      </c>
      <c r="Q302" t="n">
        <v>0</v>
      </c>
      <c r="R302" s="2" t="inlineStr"/>
    </row>
    <row r="303" ht="15" customHeight="1">
      <c r="A303" t="inlineStr">
        <is>
          <t>A 9105-2024</t>
        </is>
      </c>
      <c r="B303" s="1" t="n">
        <v>45357</v>
      </c>
      <c r="C303" s="1" t="n">
        <v>45881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50447-2023</t>
        </is>
      </c>
      <c r="B304" s="1" t="n">
        <v>45216.72185185185</v>
      </c>
      <c r="C304" s="1" t="n">
        <v>45881</v>
      </c>
      <c r="D304" t="inlineStr">
        <is>
          <t>DALARNAS LÄN</t>
        </is>
      </c>
      <c r="E304" t="inlineStr">
        <is>
          <t>LEKSAND</t>
        </is>
      </c>
      <c r="G304" t="n">
        <v>1.1</v>
      </c>
      <c r="H304" t="n">
        <v>0</v>
      </c>
      <c r="I304" t="n">
        <v>0</v>
      </c>
      <c r="J304" t="n">
        <v>0</v>
      </c>
      <c r="K304" t="n">
        <v>0</v>
      </c>
      <c r="L304" t="n">
        <v>0</v>
      </c>
      <c r="M304" t="n">
        <v>0</v>
      </c>
      <c r="N304" t="n">
        <v>0</v>
      </c>
      <c r="O304" t="n">
        <v>0</v>
      </c>
      <c r="P304" t="n">
        <v>0</v>
      </c>
      <c r="Q304" t="n">
        <v>0</v>
      </c>
      <c r="R304" s="2" t="inlineStr"/>
    </row>
    <row r="305" ht="15" customHeight="1">
      <c r="A305" t="inlineStr">
        <is>
          <t>A 60945-2024</t>
        </is>
      </c>
      <c r="B305" s="1" t="n">
        <v>45645.37893518519</v>
      </c>
      <c r="C305" s="1" t="n">
        <v>45881</v>
      </c>
      <c r="D305" t="inlineStr">
        <is>
          <t>DALARNAS LÄN</t>
        </is>
      </c>
      <c r="E305" t="inlineStr">
        <is>
          <t>LEKSAND</t>
        </is>
      </c>
      <c r="G305" t="n">
        <v>2.2</v>
      </c>
      <c r="H305" t="n">
        <v>0</v>
      </c>
      <c r="I305" t="n">
        <v>0</v>
      </c>
      <c r="J305" t="n">
        <v>0</v>
      </c>
      <c r="K305" t="n">
        <v>0</v>
      </c>
      <c r="L305" t="n">
        <v>0</v>
      </c>
      <c r="M305" t="n">
        <v>0</v>
      </c>
      <c r="N305" t="n">
        <v>0</v>
      </c>
      <c r="O305" t="n">
        <v>0</v>
      </c>
      <c r="P305" t="n">
        <v>0</v>
      </c>
      <c r="Q305" t="n">
        <v>0</v>
      </c>
      <c r="R305" s="2" t="inlineStr"/>
    </row>
    <row r="306" ht="15" customHeight="1">
      <c r="A306" t="inlineStr">
        <is>
          <t>A 53817-2023</t>
        </is>
      </c>
      <c r="B306" s="1" t="n">
        <v>45231.40488425926</v>
      </c>
      <c r="C306" s="1" t="n">
        <v>45881</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61787-2022</t>
        </is>
      </c>
      <c r="B307" s="1" t="n">
        <v>44917</v>
      </c>
      <c r="C307" s="1" t="n">
        <v>45881</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53799-2023</t>
        </is>
      </c>
      <c r="B308" s="1" t="n">
        <v>45231.35564814815</v>
      </c>
      <c r="C308" s="1" t="n">
        <v>45881</v>
      </c>
      <c r="D308" t="inlineStr">
        <is>
          <t>DALARNAS LÄN</t>
        </is>
      </c>
      <c r="E308" t="inlineStr">
        <is>
          <t>LEKSAND</t>
        </is>
      </c>
      <c r="F308" t="inlineStr">
        <is>
          <t>Bergvik skog väst AB</t>
        </is>
      </c>
      <c r="G308" t="n">
        <v>0.9</v>
      </c>
      <c r="H308" t="n">
        <v>0</v>
      </c>
      <c r="I308" t="n">
        <v>0</v>
      </c>
      <c r="J308" t="n">
        <v>0</v>
      </c>
      <c r="K308" t="n">
        <v>0</v>
      </c>
      <c r="L308" t="n">
        <v>0</v>
      </c>
      <c r="M308" t="n">
        <v>0</v>
      </c>
      <c r="N308" t="n">
        <v>0</v>
      </c>
      <c r="O308" t="n">
        <v>0</v>
      </c>
      <c r="P308" t="n">
        <v>0</v>
      </c>
      <c r="Q308" t="n">
        <v>0</v>
      </c>
      <c r="R308" s="2" t="inlineStr"/>
    </row>
    <row r="309" ht="15" customHeight="1">
      <c r="A309" t="inlineStr">
        <is>
          <t>A 40193-2024</t>
        </is>
      </c>
      <c r="B309" s="1" t="n">
        <v>45554.5734375</v>
      </c>
      <c r="C309" s="1" t="n">
        <v>45881</v>
      </c>
      <c r="D309" t="inlineStr">
        <is>
          <t>DALARNAS LÄN</t>
        </is>
      </c>
      <c r="E309" t="inlineStr">
        <is>
          <t>LEKSAND</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28913-2024</t>
        </is>
      </c>
      <c r="B310" s="1" t="n">
        <v>45480.75318287037</v>
      </c>
      <c r="C310" s="1" t="n">
        <v>45881</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31728-2024</t>
        </is>
      </c>
      <c r="B311" s="1" t="n">
        <v>45509.34517361111</v>
      </c>
      <c r="C311" s="1" t="n">
        <v>45881</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32394-2024</t>
        </is>
      </c>
      <c r="B312" s="1" t="n">
        <v>45512.64349537037</v>
      </c>
      <c r="C312" s="1" t="n">
        <v>45881</v>
      </c>
      <c r="D312" t="inlineStr">
        <is>
          <t>DALARNAS LÄN</t>
        </is>
      </c>
      <c r="E312" t="inlineStr">
        <is>
          <t>LEKSAND</t>
        </is>
      </c>
      <c r="F312" t="inlineStr">
        <is>
          <t>Bergvik skog väst AB</t>
        </is>
      </c>
      <c r="G312" t="n">
        <v>6</v>
      </c>
      <c r="H312" t="n">
        <v>0</v>
      </c>
      <c r="I312" t="n">
        <v>0</v>
      </c>
      <c r="J312" t="n">
        <v>0</v>
      </c>
      <c r="K312" t="n">
        <v>0</v>
      </c>
      <c r="L312" t="n">
        <v>0</v>
      </c>
      <c r="M312" t="n">
        <v>0</v>
      </c>
      <c r="N312" t="n">
        <v>0</v>
      </c>
      <c r="O312" t="n">
        <v>0</v>
      </c>
      <c r="P312" t="n">
        <v>0</v>
      </c>
      <c r="Q312" t="n">
        <v>0</v>
      </c>
      <c r="R312" s="2" t="inlineStr"/>
    </row>
    <row r="313" ht="15" customHeight="1">
      <c r="A313" t="inlineStr">
        <is>
          <t>A 43221-2024</t>
        </is>
      </c>
      <c r="B313" s="1" t="n">
        <v>45567.86695601852</v>
      </c>
      <c r="C313" s="1" t="n">
        <v>45881</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45881</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41015-2024</t>
        </is>
      </c>
      <c r="B315" s="1" t="n">
        <v>45559.32537037037</v>
      </c>
      <c r="C315" s="1" t="n">
        <v>45881</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6050-2023</t>
        </is>
      </c>
      <c r="B316" s="1" t="n">
        <v>44959</v>
      </c>
      <c r="C316" s="1" t="n">
        <v>45881</v>
      </c>
      <c r="D316" t="inlineStr">
        <is>
          <t>DALARNAS LÄN</t>
        </is>
      </c>
      <c r="E316" t="inlineStr">
        <is>
          <t>LEKSAND</t>
        </is>
      </c>
      <c r="G316" t="n">
        <v>6.2</v>
      </c>
      <c r="H316" t="n">
        <v>0</v>
      </c>
      <c r="I316" t="n">
        <v>0</v>
      </c>
      <c r="J316" t="n">
        <v>0</v>
      </c>
      <c r="K316" t="n">
        <v>0</v>
      </c>
      <c r="L316" t="n">
        <v>0</v>
      </c>
      <c r="M316" t="n">
        <v>0</v>
      </c>
      <c r="N316" t="n">
        <v>0</v>
      </c>
      <c r="O316" t="n">
        <v>0</v>
      </c>
      <c r="P316" t="n">
        <v>0</v>
      </c>
      <c r="Q316" t="n">
        <v>0</v>
      </c>
      <c r="R316" s="2" t="inlineStr"/>
    </row>
    <row r="317" ht="15" customHeight="1">
      <c r="A317" t="inlineStr">
        <is>
          <t>A 27791-2023</t>
        </is>
      </c>
      <c r="B317" s="1" t="n">
        <v>45098</v>
      </c>
      <c r="C317" s="1" t="n">
        <v>45881</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28633-2023</t>
        </is>
      </c>
      <c r="B318" s="1" t="n">
        <v>45103.61575231481</v>
      </c>
      <c r="C318" s="1" t="n">
        <v>45881</v>
      </c>
      <c r="D318" t="inlineStr">
        <is>
          <t>DALARNAS LÄN</t>
        </is>
      </c>
      <c r="E318" t="inlineStr">
        <is>
          <t>LEKSAND</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14943-2023</t>
        </is>
      </c>
      <c r="B319" s="1" t="n">
        <v>45015</v>
      </c>
      <c r="C319" s="1" t="n">
        <v>45881</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41840-2024</t>
        </is>
      </c>
      <c r="B320" s="1" t="n">
        <v>45561.42170138889</v>
      </c>
      <c r="C320" s="1" t="n">
        <v>45881</v>
      </c>
      <c r="D320" t="inlineStr">
        <is>
          <t>DALARNAS LÄN</t>
        </is>
      </c>
      <c r="E320" t="inlineStr">
        <is>
          <t>LEKSAND</t>
        </is>
      </c>
      <c r="G320" t="n">
        <v>0.4</v>
      </c>
      <c r="H320" t="n">
        <v>0</v>
      </c>
      <c r="I320" t="n">
        <v>0</v>
      </c>
      <c r="J320" t="n">
        <v>0</v>
      </c>
      <c r="K320" t="n">
        <v>0</v>
      </c>
      <c r="L320" t="n">
        <v>0</v>
      </c>
      <c r="M320" t="n">
        <v>0</v>
      </c>
      <c r="N320" t="n">
        <v>0</v>
      </c>
      <c r="O320" t="n">
        <v>0</v>
      </c>
      <c r="P320" t="n">
        <v>0</v>
      </c>
      <c r="Q320" t="n">
        <v>0</v>
      </c>
      <c r="R320" s="2" t="inlineStr"/>
    </row>
    <row r="321" ht="15" customHeight="1">
      <c r="A321" t="inlineStr">
        <is>
          <t>A 33143-2024</t>
        </is>
      </c>
      <c r="B321" s="1" t="n">
        <v>45518</v>
      </c>
      <c r="C321" s="1" t="n">
        <v>45881</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21839-2022</t>
        </is>
      </c>
      <c r="B322" s="1" t="n">
        <v>44711</v>
      </c>
      <c r="C322" s="1" t="n">
        <v>45881</v>
      </c>
      <c r="D322" t="inlineStr">
        <is>
          <t>DALARNAS LÄN</t>
        </is>
      </c>
      <c r="E322" t="inlineStr">
        <is>
          <t>LEKSAND</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14504-2025</t>
        </is>
      </c>
      <c r="B323" s="1" t="n">
        <v>45741</v>
      </c>
      <c r="C323" s="1" t="n">
        <v>45881</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40007-2024</t>
        </is>
      </c>
      <c r="B324" s="1" t="n">
        <v>45553.6516550926</v>
      </c>
      <c r="C324" s="1" t="n">
        <v>45881</v>
      </c>
      <c r="D324" t="inlineStr">
        <is>
          <t>DALARNAS LÄN</t>
        </is>
      </c>
      <c r="E324" t="inlineStr">
        <is>
          <t>LEKSAND</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2311-2021</t>
        </is>
      </c>
      <c r="B325" s="1" t="n">
        <v>44213</v>
      </c>
      <c r="C325" s="1" t="n">
        <v>45881</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32072-2024</t>
        </is>
      </c>
      <c r="B326" s="1" t="n">
        <v>45510.98405092592</v>
      </c>
      <c r="C326" s="1" t="n">
        <v>45881</v>
      </c>
      <c r="D326" t="inlineStr">
        <is>
          <t>DALARNAS LÄN</t>
        </is>
      </c>
      <c r="E326" t="inlineStr">
        <is>
          <t>LEKSAND</t>
        </is>
      </c>
      <c r="G326" t="n">
        <v>1.4</v>
      </c>
      <c r="H326" t="n">
        <v>0</v>
      </c>
      <c r="I326" t="n">
        <v>0</v>
      </c>
      <c r="J326" t="n">
        <v>0</v>
      </c>
      <c r="K326" t="n">
        <v>0</v>
      </c>
      <c r="L326" t="n">
        <v>0</v>
      </c>
      <c r="M326" t="n">
        <v>0</v>
      </c>
      <c r="N326" t="n">
        <v>0</v>
      </c>
      <c r="O326" t="n">
        <v>0</v>
      </c>
      <c r="P326" t="n">
        <v>0</v>
      </c>
      <c r="Q326" t="n">
        <v>0</v>
      </c>
      <c r="R326" s="2" t="inlineStr"/>
    </row>
    <row r="327" ht="15" customHeight="1">
      <c r="A327" t="inlineStr">
        <is>
          <t>A 13165-2023</t>
        </is>
      </c>
      <c r="B327" s="1" t="n">
        <v>45002.57731481481</v>
      </c>
      <c r="C327" s="1" t="n">
        <v>45881</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7467-2023</t>
        </is>
      </c>
      <c r="B328" s="1" t="n">
        <v>44966</v>
      </c>
      <c r="C328" s="1" t="n">
        <v>45881</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45788-2021</t>
        </is>
      </c>
      <c r="B329" s="1" t="n">
        <v>44441</v>
      </c>
      <c r="C329" s="1" t="n">
        <v>45881</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22388-2024</t>
        </is>
      </c>
      <c r="B330" s="1" t="n">
        <v>45446</v>
      </c>
      <c r="C330" s="1" t="n">
        <v>45881</v>
      </c>
      <c r="D330" t="inlineStr">
        <is>
          <t>DALARNAS LÄN</t>
        </is>
      </c>
      <c r="E330" t="inlineStr">
        <is>
          <t>LEKSAND</t>
        </is>
      </c>
      <c r="F330" t="inlineStr">
        <is>
          <t>Bergvik skog väst AB</t>
        </is>
      </c>
      <c r="G330" t="n">
        <v>5.3</v>
      </c>
      <c r="H330" t="n">
        <v>0</v>
      </c>
      <c r="I330" t="n">
        <v>0</v>
      </c>
      <c r="J330" t="n">
        <v>0</v>
      </c>
      <c r="K330" t="n">
        <v>0</v>
      </c>
      <c r="L330" t="n">
        <v>0</v>
      </c>
      <c r="M330" t="n">
        <v>0</v>
      </c>
      <c r="N330" t="n">
        <v>0</v>
      </c>
      <c r="O330" t="n">
        <v>0</v>
      </c>
      <c r="P330" t="n">
        <v>0</v>
      </c>
      <c r="Q330" t="n">
        <v>0</v>
      </c>
      <c r="R330" s="2" t="inlineStr"/>
    </row>
    <row r="331" ht="15" customHeight="1">
      <c r="A331" t="inlineStr">
        <is>
          <t>A 471-2025</t>
        </is>
      </c>
      <c r="B331" s="1" t="n">
        <v>45664.43394675926</v>
      </c>
      <c r="C331" s="1" t="n">
        <v>45881</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28592-2023</t>
        </is>
      </c>
      <c r="B332" s="1" t="n">
        <v>45103</v>
      </c>
      <c r="C332" s="1" t="n">
        <v>45881</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15120-2023</t>
        </is>
      </c>
      <c r="B333" s="1" t="n">
        <v>45016.46484953703</v>
      </c>
      <c r="C333" s="1" t="n">
        <v>45881</v>
      </c>
      <c r="D333" t="inlineStr">
        <is>
          <t>DALARNAS LÄN</t>
        </is>
      </c>
      <c r="E333" t="inlineStr">
        <is>
          <t>LEKSAND</t>
        </is>
      </c>
      <c r="G333" t="n">
        <v>2.7</v>
      </c>
      <c r="H333" t="n">
        <v>0</v>
      </c>
      <c r="I333" t="n">
        <v>0</v>
      </c>
      <c r="J333" t="n">
        <v>0</v>
      </c>
      <c r="K333" t="n">
        <v>0</v>
      </c>
      <c r="L333" t="n">
        <v>0</v>
      </c>
      <c r="M333" t="n">
        <v>0</v>
      </c>
      <c r="N333" t="n">
        <v>0</v>
      </c>
      <c r="O333" t="n">
        <v>0</v>
      </c>
      <c r="P333" t="n">
        <v>0</v>
      </c>
      <c r="Q333" t="n">
        <v>0</v>
      </c>
      <c r="R333" s="2" t="inlineStr"/>
    </row>
    <row r="334" ht="15" customHeight="1">
      <c r="A334" t="inlineStr">
        <is>
          <t>A 17413-2023</t>
        </is>
      </c>
      <c r="B334" s="1" t="n">
        <v>45035</v>
      </c>
      <c r="C334" s="1" t="n">
        <v>45881</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9138-2023</t>
        </is>
      </c>
      <c r="B335" s="1" t="n">
        <v>44974</v>
      </c>
      <c r="C335" s="1" t="n">
        <v>45881</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61680-2024</t>
        </is>
      </c>
      <c r="B336" s="1" t="n">
        <v>45647.42890046296</v>
      </c>
      <c r="C336" s="1" t="n">
        <v>45881</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54911-2024</t>
        </is>
      </c>
      <c r="B337" s="1" t="n">
        <v>45618.68929398148</v>
      </c>
      <c r="C337" s="1" t="n">
        <v>45881</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164-2023</t>
        </is>
      </c>
      <c r="B338" s="1" t="n">
        <v>44918</v>
      </c>
      <c r="C338" s="1" t="n">
        <v>45881</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11128-2023</t>
        </is>
      </c>
      <c r="B339" s="1" t="n">
        <v>44992</v>
      </c>
      <c r="C339" s="1" t="n">
        <v>45881</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11218-2023</t>
        </is>
      </c>
      <c r="B340" s="1" t="n">
        <v>44992.62401620371</v>
      </c>
      <c r="C340" s="1" t="n">
        <v>45881</v>
      </c>
      <c r="D340" t="inlineStr">
        <is>
          <t>DALARNAS LÄN</t>
        </is>
      </c>
      <c r="E340" t="inlineStr">
        <is>
          <t>LEKSAND</t>
        </is>
      </c>
      <c r="G340" t="n">
        <v>2.6</v>
      </c>
      <c r="H340" t="n">
        <v>0</v>
      </c>
      <c r="I340" t="n">
        <v>0</v>
      </c>
      <c r="J340" t="n">
        <v>0</v>
      </c>
      <c r="K340" t="n">
        <v>0</v>
      </c>
      <c r="L340" t="n">
        <v>0</v>
      </c>
      <c r="M340" t="n">
        <v>0</v>
      </c>
      <c r="N340" t="n">
        <v>0</v>
      </c>
      <c r="O340" t="n">
        <v>0</v>
      </c>
      <c r="P340" t="n">
        <v>0</v>
      </c>
      <c r="Q340" t="n">
        <v>0</v>
      </c>
      <c r="R340" s="2" t="inlineStr"/>
    </row>
    <row r="341" ht="15" customHeight="1">
      <c r="A341" t="inlineStr">
        <is>
          <t>A 60024-2023</t>
        </is>
      </c>
      <c r="B341" s="1" t="n">
        <v>45258</v>
      </c>
      <c r="C341" s="1" t="n">
        <v>45881</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11859-2024</t>
        </is>
      </c>
      <c r="B342" s="1" t="n">
        <v>45376.44569444445</v>
      </c>
      <c r="C342" s="1" t="n">
        <v>45881</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62133-2023</t>
        </is>
      </c>
      <c r="B343" s="1" t="n">
        <v>45267.35582175926</v>
      </c>
      <c r="C343" s="1" t="n">
        <v>45881</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16611-2024</t>
        </is>
      </c>
      <c r="B344" s="1" t="n">
        <v>45408.55504629629</v>
      </c>
      <c r="C344" s="1" t="n">
        <v>45881</v>
      </c>
      <c r="D344" t="inlineStr">
        <is>
          <t>DALARNAS LÄN</t>
        </is>
      </c>
      <c r="E344" t="inlineStr">
        <is>
          <t>LEKSAND</t>
        </is>
      </c>
      <c r="G344" t="n">
        <v>5.9</v>
      </c>
      <c r="H344" t="n">
        <v>0</v>
      </c>
      <c r="I344" t="n">
        <v>0</v>
      </c>
      <c r="J344" t="n">
        <v>0</v>
      </c>
      <c r="K344" t="n">
        <v>0</v>
      </c>
      <c r="L344" t="n">
        <v>0</v>
      </c>
      <c r="M344" t="n">
        <v>0</v>
      </c>
      <c r="N344" t="n">
        <v>0</v>
      </c>
      <c r="O344" t="n">
        <v>0</v>
      </c>
      <c r="P344" t="n">
        <v>0</v>
      </c>
      <c r="Q344" t="n">
        <v>0</v>
      </c>
      <c r="R344" s="2" t="inlineStr"/>
    </row>
    <row r="345" ht="15" customHeight="1">
      <c r="A345" t="inlineStr">
        <is>
          <t>A 2630-2025</t>
        </is>
      </c>
      <c r="B345" s="1" t="n">
        <v>45675.85865740741</v>
      </c>
      <c r="C345" s="1" t="n">
        <v>45881</v>
      </c>
      <c r="D345" t="inlineStr">
        <is>
          <t>DALARNAS LÄN</t>
        </is>
      </c>
      <c r="E345" t="inlineStr">
        <is>
          <t>LEKSAND</t>
        </is>
      </c>
      <c r="G345" t="n">
        <v>1.6</v>
      </c>
      <c r="H345" t="n">
        <v>0</v>
      </c>
      <c r="I345" t="n">
        <v>0</v>
      </c>
      <c r="J345" t="n">
        <v>0</v>
      </c>
      <c r="K345" t="n">
        <v>0</v>
      </c>
      <c r="L345" t="n">
        <v>0</v>
      </c>
      <c r="M345" t="n">
        <v>0</v>
      </c>
      <c r="N345" t="n">
        <v>0</v>
      </c>
      <c r="O345" t="n">
        <v>0</v>
      </c>
      <c r="P345" t="n">
        <v>0</v>
      </c>
      <c r="Q345" t="n">
        <v>0</v>
      </c>
      <c r="R345" s="2" t="inlineStr"/>
    </row>
    <row r="346" ht="15" customHeight="1">
      <c r="A346" t="inlineStr">
        <is>
          <t>A 14908-2024</t>
        </is>
      </c>
      <c r="B346" s="1" t="n">
        <v>45398.59402777778</v>
      </c>
      <c r="C346" s="1" t="n">
        <v>45881</v>
      </c>
      <c r="D346" t="inlineStr">
        <is>
          <t>DALARNAS LÄN</t>
        </is>
      </c>
      <c r="E346" t="inlineStr">
        <is>
          <t>LEKSAND</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58495-2023</t>
        </is>
      </c>
      <c r="B347" s="1" t="n">
        <v>45251</v>
      </c>
      <c r="C347" s="1" t="n">
        <v>45881</v>
      </c>
      <c r="D347" t="inlineStr">
        <is>
          <t>DALARNAS LÄN</t>
        </is>
      </c>
      <c r="E347" t="inlineStr">
        <is>
          <t>LEKSAND</t>
        </is>
      </c>
      <c r="G347" t="n">
        <v>1.7</v>
      </c>
      <c r="H347" t="n">
        <v>0</v>
      </c>
      <c r="I347" t="n">
        <v>0</v>
      </c>
      <c r="J347" t="n">
        <v>0</v>
      </c>
      <c r="K347" t="n">
        <v>0</v>
      </c>
      <c r="L347" t="n">
        <v>0</v>
      </c>
      <c r="M347" t="n">
        <v>0</v>
      </c>
      <c r="N347" t="n">
        <v>0</v>
      </c>
      <c r="O347" t="n">
        <v>0</v>
      </c>
      <c r="P347" t="n">
        <v>0</v>
      </c>
      <c r="Q347" t="n">
        <v>0</v>
      </c>
      <c r="R347" s="2" t="inlineStr"/>
    </row>
    <row r="348" ht="15" customHeight="1">
      <c r="A348" t="inlineStr">
        <is>
          <t>A 5574-2024</t>
        </is>
      </c>
      <c r="B348" s="1" t="n">
        <v>45334</v>
      </c>
      <c r="C348" s="1" t="n">
        <v>45881</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6039-2023</t>
        </is>
      </c>
      <c r="B349" s="1" t="n">
        <v>44959</v>
      </c>
      <c r="C349" s="1" t="n">
        <v>45881</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22517-2024</t>
        </is>
      </c>
      <c r="B350" s="1" t="n">
        <v>45447.40143518519</v>
      </c>
      <c r="C350" s="1" t="n">
        <v>45881</v>
      </c>
      <c r="D350" t="inlineStr">
        <is>
          <t>DALARNAS LÄN</t>
        </is>
      </c>
      <c r="E350" t="inlineStr">
        <is>
          <t>LEKSAND</t>
        </is>
      </c>
      <c r="G350" t="n">
        <v>0.4</v>
      </c>
      <c r="H350" t="n">
        <v>0</v>
      </c>
      <c r="I350" t="n">
        <v>0</v>
      </c>
      <c r="J350" t="n">
        <v>0</v>
      </c>
      <c r="K350" t="n">
        <v>0</v>
      </c>
      <c r="L350" t="n">
        <v>0</v>
      </c>
      <c r="M350" t="n">
        <v>0</v>
      </c>
      <c r="N350" t="n">
        <v>0</v>
      </c>
      <c r="O350" t="n">
        <v>0</v>
      </c>
      <c r="P350" t="n">
        <v>0</v>
      </c>
      <c r="Q350" t="n">
        <v>0</v>
      </c>
      <c r="R350" s="2" t="inlineStr"/>
    </row>
    <row r="351" ht="15" customHeight="1">
      <c r="A351" t="inlineStr">
        <is>
          <t>A 52801-2023</t>
        </is>
      </c>
      <c r="B351" s="1" t="n">
        <v>45219</v>
      </c>
      <c r="C351" s="1" t="n">
        <v>45881</v>
      </c>
      <c r="D351" t="inlineStr">
        <is>
          <t>DALARNAS LÄN</t>
        </is>
      </c>
      <c r="E351" t="inlineStr">
        <is>
          <t>LEKSAND</t>
        </is>
      </c>
      <c r="G351" t="n">
        <v>4.9</v>
      </c>
      <c r="H351" t="n">
        <v>0</v>
      </c>
      <c r="I351" t="n">
        <v>0</v>
      </c>
      <c r="J351" t="n">
        <v>0</v>
      </c>
      <c r="K351" t="n">
        <v>0</v>
      </c>
      <c r="L351" t="n">
        <v>0</v>
      </c>
      <c r="M351" t="n">
        <v>0</v>
      </c>
      <c r="N351" t="n">
        <v>0</v>
      </c>
      <c r="O351" t="n">
        <v>0</v>
      </c>
      <c r="P351" t="n">
        <v>0</v>
      </c>
      <c r="Q351" t="n">
        <v>0</v>
      </c>
      <c r="R351" s="2" t="inlineStr"/>
    </row>
    <row r="352" ht="15" customHeight="1">
      <c r="A352" t="inlineStr">
        <is>
          <t>A 13063-2023</t>
        </is>
      </c>
      <c r="B352" s="1" t="n">
        <v>45001</v>
      </c>
      <c r="C352" s="1" t="n">
        <v>45881</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45768-2023</t>
        </is>
      </c>
      <c r="B353" s="1" t="n">
        <v>45195</v>
      </c>
      <c r="C353" s="1" t="n">
        <v>45881</v>
      </c>
      <c r="D353" t="inlineStr">
        <is>
          <t>DALARNAS LÄN</t>
        </is>
      </c>
      <c r="E353" t="inlineStr">
        <is>
          <t>LEKSAND</t>
        </is>
      </c>
      <c r="G353" t="n">
        <v>0.4</v>
      </c>
      <c r="H353" t="n">
        <v>0</v>
      </c>
      <c r="I353" t="n">
        <v>0</v>
      </c>
      <c r="J353" t="n">
        <v>0</v>
      </c>
      <c r="K353" t="n">
        <v>0</v>
      </c>
      <c r="L353" t="n">
        <v>0</v>
      </c>
      <c r="M353" t="n">
        <v>0</v>
      </c>
      <c r="N353" t="n">
        <v>0</v>
      </c>
      <c r="O353" t="n">
        <v>0</v>
      </c>
      <c r="P353" t="n">
        <v>0</v>
      </c>
      <c r="Q353" t="n">
        <v>0</v>
      </c>
      <c r="R353" s="2" t="inlineStr"/>
    </row>
    <row r="354" ht="15" customHeight="1">
      <c r="A354" t="inlineStr">
        <is>
          <t>A 16829-2025</t>
        </is>
      </c>
      <c r="B354" s="1" t="n">
        <v>45754</v>
      </c>
      <c r="C354" s="1" t="n">
        <v>45881</v>
      </c>
      <c r="D354" t="inlineStr">
        <is>
          <t>DALARNAS LÄN</t>
        </is>
      </c>
      <c r="E354" t="inlineStr">
        <is>
          <t>LEKSAND</t>
        </is>
      </c>
      <c r="F354" t="inlineStr">
        <is>
          <t>Bergvik skog väst AB</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45512-2023</t>
        </is>
      </c>
      <c r="B355" s="1" t="n">
        <v>45194.49178240741</v>
      </c>
      <c r="C355" s="1" t="n">
        <v>45881</v>
      </c>
      <c r="D355" t="inlineStr">
        <is>
          <t>DALARNAS LÄN</t>
        </is>
      </c>
      <c r="E355" t="inlineStr">
        <is>
          <t>LEKSAND</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42727-2024</t>
        </is>
      </c>
      <c r="B356" s="1" t="n">
        <v>45566</v>
      </c>
      <c r="C356" s="1" t="n">
        <v>45881</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36444-2023</t>
        </is>
      </c>
      <c r="B357" s="1" t="n">
        <v>45152.63138888889</v>
      </c>
      <c r="C357" s="1" t="n">
        <v>45881</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41306-2024</t>
        </is>
      </c>
      <c r="B358" s="1" t="n">
        <v>45559.62550925926</v>
      </c>
      <c r="C358" s="1" t="n">
        <v>45881</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402-2024</t>
        </is>
      </c>
      <c r="B359" s="1" t="n">
        <v>45296.45545138889</v>
      </c>
      <c r="C359" s="1" t="n">
        <v>45881</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51677-2024</t>
        </is>
      </c>
      <c r="B360" s="1" t="n">
        <v>45607.30265046296</v>
      </c>
      <c r="C360" s="1" t="n">
        <v>45881</v>
      </c>
      <c r="D360" t="inlineStr">
        <is>
          <t>DALARNAS LÄN</t>
        </is>
      </c>
      <c r="E360" t="inlineStr">
        <is>
          <t>LEKSAND</t>
        </is>
      </c>
      <c r="G360" t="n">
        <v>3.4</v>
      </c>
      <c r="H360" t="n">
        <v>0</v>
      </c>
      <c r="I360" t="n">
        <v>0</v>
      </c>
      <c r="J360" t="n">
        <v>0</v>
      </c>
      <c r="K360" t="n">
        <v>0</v>
      </c>
      <c r="L360" t="n">
        <v>0</v>
      </c>
      <c r="M360" t="n">
        <v>0</v>
      </c>
      <c r="N360" t="n">
        <v>0</v>
      </c>
      <c r="O360" t="n">
        <v>0</v>
      </c>
      <c r="P360" t="n">
        <v>0</v>
      </c>
      <c r="Q360" t="n">
        <v>0</v>
      </c>
      <c r="R360" s="2" t="inlineStr"/>
    </row>
    <row r="361" ht="15" customHeight="1">
      <c r="A361" t="inlineStr">
        <is>
          <t>A 40407-2024</t>
        </is>
      </c>
      <c r="B361" s="1" t="n">
        <v>45555</v>
      </c>
      <c r="C361" s="1" t="n">
        <v>45881</v>
      </c>
      <c r="D361" t="inlineStr">
        <is>
          <t>DALARNAS LÄN</t>
        </is>
      </c>
      <c r="E361" t="inlineStr">
        <is>
          <t>LEKSAND</t>
        </is>
      </c>
      <c r="G361" t="n">
        <v>1.4</v>
      </c>
      <c r="H361" t="n">
        <v>0</v>
      </c>
      <c r="I361" t="n">
        <v>0</v>
      </c>
      <c r="J361" t="n">
        <v>0</v>
      </c>
      <c r="K361" t="n">
        <v>0</v>
      </c>
      <c r="L361" t="n">
        <v>0</v>
      </c>
      <c r="M361" t="n">
        <v>0</v>
      </c>
      <c r="N361" t="n">
        <v>0</v>
      </c>
      <c r="O361" t="n">
        <v>0</v>
      </c>
      <c r="P361" t="n">
        <v>0</v>
      </c>
      <c r="Q361" t="n">
        <v>0</v>
      </c>
      <c r="R361" s="2" t="inlineStr"/>
    </row>
    <row r="362" ht="15" customHeight="1">
      <c r="A362" t="inlineStr">
        <is>
          <t>A 36450-2023</t>
        </is>
      </c>
      <c r="B362" s="1" t="n">
        <v>45152.64842592592</v>
      </c>
      <c r="C362" s="1" t="n">
        <v>45881</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1458-2024</t>
        </is>
      </c>
      <c r="B363" s="1" t="n">
        <v>45303</v>
      </c>
      <c r="C363" s="1" t="n">
        <v>45881</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1461-2024</t>
        </is>
      </c>
      <c r="B364" s="1" t="n">
        <v>45303</v>
      </c>
      <c r="C364" s="1" t="n">
        <v>45881</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44951.42983796296</v>
      </c>
      <c r="C365" s="1" t="n">
        <v>45881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7778-2025</t>
        </is>
      </c>
      <c r="B366" s="1" t="n">
        <v>45706</v>
      </c>
      <c r="C366" s="1" t="n">
        <v>45881</v>
      </c>
      <c r="D366" t="inlineStr">
        <is>
          <t>DALARNAS LÄN</t>
        </is>
      </c>
      <c r="E366" t="inlineStr">
        <is>
          <t>LEKSAND</t>
        </is>
      </c>
      <c r="G366" t="n">
        <v>2.2</v>
      </c>
      <c r="H366" t="n">
        <v>0</v>
      </c>
      <c r="I366" t="n">
        <v>0</v>
      </c>
      <c r="J366" t="n">
        <v>0</v>
      </c>
      <c r="K366" t="n">
        <v>0</v>
      </c>
      <c r="L366" t="n">
        <v>0</v>
      </c>
      <c r="M366" t="n">
        <v>0</v>
      </c>
      <c r="N366" t="n">
        <v>0</v>
      </c>
      <c r="O366" t="n">
        <v>0</v>
      </c>
      <c r="P366" t="n">
        <v>0</v>
      </c>
      <c r="Q366" t="n">
        <v>0</v>
      </c>
      <c r="R366" s="2" t="inlineStr"/>
    </row>
    <row r="367" ht="15" customHeight="1">
      <c r="A367" t="inlineStr">
        <is>
          <t>A 46628-2024</t>
        </is>
      </c>
      <c r="B367" s="1" t="n">
        <v>45583.33195601852</v>
      </c>
      <c r="C367" s="1" t="n">
        <v>45881</v>
      </c>
      <c r="D367" t="inlineStr">
        <is>
          <t>DALARNAS LÄN</t>
        </is>
      </c>
      <c r="E367" t="inlineStr">
        <is>
          <t>LEKSAND</t>
        </is>
      </c>
      <c r="G367" t="n">
        <v>0.2</v>
      </c>
      <c r="H367" t="n">
        <v>0</v>
      </c>
      <c r="I367" t="n">
        <v>0</v>
      </c>
      <c r="J367" t="n">
        <v>0</v>
      </c>
      <c r="K367" t="n">
        <v>0</v>
      </c>
      <c r="L367" t="n">
        <v>0</v>
      </c>
      <c r="M367" t="n">
        <v>0</v>
      </c>
      <c r="N367" t="n">
        <v>0</v>
      </c>
      <c r="O367" t="n">
        <v>0</v>
      </c>
      <c r="P367" t="n">
        <v>0</v>
      </c>
      <c r="Q367" t="n">
        <v>0</v>
      </c>
      <c r="R367" s="2" t="inlineStr"/>
    </row>
    <row r="368" ht="15" customHeight="1">
      <c r="A368" t="inlineStr">
        <is>
          <t>A 9141-2023</t>
        </is>
      </c>
      <c r="B368" s="1" t="n">
        <v>44974</v>
      </c>
      <c r="C368" s="1" t="n">
        <v>45881</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54844-2021</t>
        </is>
      </c>
      <c r="B369" s="1" t="n">
        <v>44474.30614583333</v>
      </c>
      <c r="C369" s="1" t="n">
        <v>45881</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45881</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19590-2023</t>
        </is>
      </c>
      <c r="B371" s="1" t="n">
        <v>45049</v>
      </c>
      <c r="C371" s="1" t="n">
        <v>45881</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39807-2024</t>
        </is>
      </c>
      <c r="B372" s="1" t="n">
        <v>45553.35763888889</v>
      </c>
      <c r="C372" s="1" t="n">
        <v>45881</v>
      </c>
      <c r="D372" t="inlineStr">
        <is>
          <t>DALARNAS LÄN</t>
        </is>
      </c>
      <c r="E372" t="inlineStr">
        <is>
          <t>LEKSAND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31850-2024</t>
        </is>
      </c>
      <c r="B373" s="1" t="n">
        <v>45509.67334490741</v>
      </c>
      <c r="C373" s="1" t="n">
        <v>45881</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55029-2024</t>
        </is>
      </c>
      <c r="B374" s="1" t="n">
        <v>45621.38016203704</v>
      </c>
      <c r="C374" s="1" t="n">
        <v>45881</v>
      </c>
      <c r="D374" t="inlineStr">
        <is>
          <t>DALARNAS LÄN</t>
        </is>
      </c>
      <c r="E374" t="inlineStr">
        <is>
          <t>LEKSAND</t>
        </is>
      </c>
      <c r="G374" t="n">
        <v>1.9</v>
      </c>
      <c r="H374" t="n">
        <v>0</v>
      </c>
      <c r="I374" t="n">
        <v>0</v>
      </c>
      <c r="J374" t="n">
        <v>0</v>
      </c>
      <c r="K374" t="n">
        <v>0</v>
      </c>
      <c r="L374" t="n">
        <v>0</v>
      </c>
      <c r="M374" t="n">
        <v>0</v>
      </c>
      <c r="N374" t="n">
        <v>0</v>
      </c>
      <c r="O374" t="n">
        <v>0</v>
      </c>
      <c r="P374" t="n">
        <v>0</v>
      </c>
      <c r="Q374" t="n">
        <v>0</v>
      </c>
      <c r="R374" s="2" t="inlineStr"/>
    </row>
    <row r="375" ht="15" customHeight="1">
      <c r="A375" t="inlineStr">
        <is>
          <t>A 19415-2025</t>
        </is>
      </c>
      <c r="B375" s="1" t="n">
        <v>45769</v>
      </c>
      <c r="C375" s="1" t="n">
        <v>45881</v>
      </c>
      <c r="D375" t="inlineStr">
        <is>
          <t>DALARNAS LÄN</t>
        </is>
      </c>
      <c r="E375" t="inlineStr">
        <is>
          <t>LEKSAND</t>
        </is>
      </c>
      <c r="F375" t="inlineStr">
        <is>
          <t>Bergvik skog väst AB</t>
        </is>
      </c>
      <c r="G375" t="n">
        <v>11.5</v>
      </c>
      <c r="H375" t="n">
        <v>0</v>
      </c>
      <c r="I375" t="n">
        <v>0</v>
      </c>
      <c r="J375" t="n">
        <v>0</v>
      </c>
      <c r="K375" t="n">
        <v>0</v>
      </c>
      <c r="L375" t="n">
        <v>0</v>
      </c>
      <c r="M375" t="n">
        <v>0</v>
      </c>
      <c r="N375" t="n">
        <v>0</v>
      </c>
      <c r="O375" t="n">
        <v>0</v>
      </c>
      <c r="P375" t="n">
        <v>0</v>
      </c>
      <c r="Q375" t="n">
        <v>0</v>
      </c>
      <c r="R375" s="2" t="inlineStr"/>
    </row>
    <row r="376" ht="15" customHeight="1">
      <c r="A376" t="inlineStr">
        <is>
          <t>A 11678-2023</t>
        </is>
      </c>
      <c r="B376" s="1" t="n">
        <v>44994</v>
      </c>
      <c r="C376" s="1" t="n">
        <v>45881</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46665-2023</t>
        </is>
      </c>
      <c r="B377" s="1" t="n">
        <v>45198.47399305556</v>
      </c>
      <c r="C377" s="1" t="n">
        <v>45881</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11277-2025</t>
        </is>
      </c>
      <c r="B378" s="1" t="n">
        <v>45726.41565972222</v>
      </c>
      <c r="C378" s="1" t="n">
        <v>45881</v>
      </c>
      <c r="D378" t="inlineStr">
        <is>
          <t>DALARNAS LÄN</t>
        </is>
      </c>
      <c r="E378" t="inlineStr">
        <is>
          <t>LEKSAND</t>
        </is>
      </c>
      <c r="G378" t="n">
        <v>2</v>
      </c>
      <c r="H378" t="n">
        <v>0</v>
      </c>
      <c r="I378" t="n">
        <v>0</v>
      </c>
      <c r="J378" t="n">
        <v>0</v>
      </c>
      <c r="K378" t="n">
        <v>0</v>
      </c>
      <c r="L378" t="n">
        <v>0</v>
      </c>
      <c r="M378" t="n">
        <v>0</v>
      </c>
      <c r="N378" t="n">
        <v>0</v>
      </c>
      <c r="O378" t="n">
        <v>0</v>
      </c>
      <c r="P378" t="n">
        <v>0</v>
      </c>
      <c r="Q378" t="n">
        <v>0</v>
      </c>
      <c r="R378" s="2" t="inlineStr"/>
    </row>
    <row r="379" ht="15" customHeight="1">
      <c r="A379" t="inlineStr">
        <is>
          <t>A 325-2023</t>
        </is>
      </c>
      <c r="B379" s="1" t="n">
        <v>44929</v>
      </c>
      <c r="C379" s="1" t="n">
        <v>45881</v>
      </c>
      <c r="D379" t="inlineStr">
        <is>
          <t>DALARNAS LÄN</t>
        </is>
      </c>
      <c r="E379" t="inlineStr">
        <is>
          <t>LEKSAND</t>
        </is>
      </c>
      <c r="F379" t="inlineStr">
        <is>
          <t>Övriga Aktiebolag</t>
        </is>
      </c>
      <c r="G379" t="n">
        <v>7.1</v>
      </c>
      <c r="H379" t="n">
        <v>0</v>
      </c>
      <c r="I379" t="n">
        <v>0</v>
      </c>
      <c r="J379" t="n">
        <v>0</v>
      </c>
      <c r="K379" t="n">
        <v>0</v>
      </c>
      <c r="L379" t="n">
        <v>0</v>
      </c>
      <c r="M379" t="n">
        <v>0</v>
      </c>
      <c r="N379" t="n">
        <v>0</v>
      </c>
      <c r="O379" t="n">
        <v>0</v>
      </c>
      <c r="P379" t="n">
        <v>0</v>
      </c>
      <c r="Q379" t="n">
        <v>0</v>
      </c>
      <c r="R379" s="2" t="inlineStr"/>
    </row>
    <row r="380" ht="15" customHeight="1">
      <c r="A380" t="inlineStr">
        <is>
          <t>A 11678-2025</t>
        </is>
      </c>
      <c r="B380" s="1" t="n">
        <v>45726</v>
      </c>
      <c r="C380" s="1" t="n">
        <v>45881</v>
      </c>
      <c r="D380" t="inlineStr">
        <is>
          <t>DALARNAS LÄN</t>
        </is>
      </c>
      <c r="E380" t="inlineStr">
        <is>
          <t>LEKSAND</t>
        </is>
      </c>
      <c r="G380" t="n">
        <v>9.4</v>
      </c>
      <c r="H380" t="n">
        <v>0</v>
      </c>
      <c r="I380" t="n">
        <v>0</v>
      </c>
      <c r="J380" t="n">
        <v>0</v>
      </c>
      <c r="K380" t="n">
        <v>0</v>
      </c>
      <c r="L380" t="n">
        <v>0</v>
      </c>
      <c r="M380" t="n">
        <v>0</v>
      </c>
      <c r="N380" t="n">
        <v>0</v>
      </c>
      <c r="O380" t="n">
        <v>0</v>
      </c>
      <c r="P380" t="n">
        <v>0</v>
      </c>
      <c r="Q380" t="n">
        <v>0</v>
      </c>
      <c r="R380" s="2" t="inlineStr"/>
    </row>
    <row r="381" ht="15" customHeight="1">
      <c r="A381" t="inlineStr">
        <is>
          <t>A 14615-2024</t>
        </is>
      </c>
      <c r="B381" s="1" t="n">
        <v>45397.26047453703</v>
      </c>
      <c r="C381" s="1" t="n">
        <v>45881</v>
      </c>
      <c r="D381" t="inlineStr">
        <is>
          <t>DALARNAS LÄN</t>
        </is>
      </c>
      <c r="E381" t="inlineStr">
        <is>
          <t>LEKSAND</t>
        </is>
      </c>
      <c r="G381" t="n">
        <v>0.4</v>
      </c>
      <c r="H381" t="n">
        <v>0</v>
      </c>
      <c r="I381" t="n">
        <v>0</v>
      </c>
      <c r="J381" t="n">
        <v>0</v>
      </c>
      <c r="K381" t="n">
        <v>0</v>
      </c>
      <c r="L381" t="n">
        <v>0</v>
      </c>
      <c r="M381" t="n">
        <v>0</v>
      </c>
      <c r="N381" t="n">
        <v>0</v>
      </c>
      <c r="O381" t="n">
        <v>0</v>
      </c>
      <c r="P381" t="n">
        <v>0</v>
      </c>
      <c r="Q381" t="n">
        <v>0</v>
      </c>
      <c r="R381" s="2" t="inlineStr"/>
    </row>
    <row r="382" ht="15" customHeight="1">
      <c r="A382" t="inlineStr">
        <is>
          <t>A 13288-2023</t>
        </is>
      </c>
      <c r="B382" s="1" t="n">
        <v>45004.8160300926</v>
      </c>
      <c r="C382" s="1" t="n">
        <v>45881</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11869-2024</t>
        </is>
      </c>
      <c r="B383" s="1" t="n">
        <v>45376.45800925926</v>
      </c>
      <c r="C383" s="1" t="n">
        <v>45881</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30863-2024</t>
        </is>
      </c>
      <c r="B384" s="1" t="n">
        <v>45497.71074074074</v>
      </c>
      <c r="C384" s="1" t="n">
        <v>45881</v>
      </c>
      <c r="D384" t="inlineStr">
        <is>
          <t>DALARNAS LÄN</t>
        </is>
      </c>
      <c r="E384" t="inlineStr">
        <is>
          <t>LEKSAND</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54289-2023</t>
        </is>
      </c>
      <c r="B385" s="1" t="n">
        <v>45232.71193287037</v>
      </c>
      <c r="C385" s="1" t="n">
        <v>45881</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27520-2023</t>
        </is>
      </c>
      <c r="B386" s="1" t="n">
        <v>45097</v>
      </c>
      <c r="C386" s="1" t="n">
        <v>45881</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29157-2022</t>
        </is>
      </c>
      <c r="B387" s="1" t="n">
        <v>44750.48355324074</v>
      </c>
      <c r="C387" s="1" t="n">
        <v>45881</v>
      </c>
      <c r="D387" t="inlineStr">
        <is>
          <t>DALARNAS LÄN</t>
        </is>
      </c>
      <c r="E387" t="inlineStr">
        <is>
          <t>LEKSAND</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30169-2023</t>
        </is>
      </c>
      <c r="B388" s="1" t="n">
        <v>45110</v>
      </c>
      <c r="C388" s="1" t="n">
        <v>45881</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37952-2024</t>
        </is>
      </c>
      <c r="B389" s="1" t="n">
        <v>45544.5200462963</v>
      </c>
      <c r="C389" s="1" t="n">
        <v>45881</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28630-2023</t>
        </is>
      </c>
      <c r="B390" s="1" t="n">
        <v>45103.61003472222</v>
      </c>
      <c r="C390" s="1" t="n">
        <v>45881</v>
      </c>
      <c r="D390" t="inlineStr">
        <is>
          <t>DALARNAS LÄN</t>
        </is>
      </c>
      <c r="E390" t="inlineStr">
        <is>
          <t>LEKSAND</t>
        </is>
      </c>
      <c r="F390" t="inlineStr">
        <is>
          <t>Bergvik skog väst AB</t>
        </is>
      </c>
      <c r="G390" t="n">
        <v>0.3</v>
      </c>
      <c r="H390" t="n">
        <v>0</v>
      </c>
      <c r="I390" t="n">
        <v>0</v>
      </c>
      <c r="J390" t="n">
        <v>0</v>
      </c>
      <c r="K390" t="n">
        <v>0</v>
      </c>
      <c r="L390" t="n">
        <v>0</v>
      </c>
      <c r="M390" t="n">
        <v>0</v>
      </c>
      <c r="N390" t="n">
        <v>0</v>
      </c>
      <c r="O390" t="n">
        <v>0</v>
      </c>
      <c r="P390" t="n">
        <v>0</v>
      </c>
      <c r="Q390" t="n">
        <v>0</v>
      </c>
      <c r="R390" s="2" t="inlineStr"/>
    </row>
    <row r="391" ht="15" customHeight="1">
      <c r="A391" t="inlineStr">
        <is>
          <t>A 7759-2025</t>
        </is>
      </c>
      <c r="B391" s="1" t="n">
        <v>45706.53827546296</v>
      </c>
      <c r="C391" s="1" t="n">
        <v>45881</v>
      </c>
      <c r="D391" t="inlineStr">
        <is>
          <t>DALARNAS LÄN</t>
        </is>
      </c>
      <c r="E391" t="inlineStr">
        <is>
          <t>LEKSAND</t>
        </is>
      </c>
      <c r="G391" t="n">
        <v>3.3</v>
      </c>
      <c r="H391" t="n">
        <v>0</v>
      </c>
      <c r="I391" t="n">
        <v>0</v>
      </c>
      <c r="J391" t="n">
        <v>0</v>
      </c>
      <c r="K391" t="n">
        <v>0</v>
      </c>
      <c r="L391" t="n">
        <v>0</v>
      </c>
      <c r="M391" t="n">
        <v>0</v>
      </c>
      <c r="N391" t="n">
        <v>0</v>
      </c>
      <c r="O391" t="n">
        <v>0</v>
      </c>
      <c r="P391" t="n">
        <v>0</v>
      </c>
      <c r="Q391" t="n">
        <v>0</v>
      </c>
      <c r="R391" s="2" t="inlineStr"/>
    </row>
    <row r="392" ht="15" customHeight="1">
      <c r="A392" t="inlineStr">
        <is>
          <t>A 3352-2024</t>
        </is>
      </c>
      <c r="B392" s="1" t="n">
        <v>45317</v>
      </c>
      <c r="C392" s="1" t="n">
        <v>45881</v>
      </c>
      <c r="D392" t="inlineStr">
        <is>
          <t>DALARNAS LÄN</t>
        </is>
      </c>
      <c r="E392" t="inlineStr">
        <is>
          <t>LEKSAND</t>
        </is>
      </c>
      <c r="G392" t="n">
        <v>1.2</v>
      </c>
      <c r="H392" t="n">
        <v>0</v>
      </c>
      <c r="I392" t="n">
        <v>0</v>
      </c>
      <c r="J392" t="n">
        <v>0</v>
      </c>
      <c r="K392" t="n">
        <v>0</v>
      </c>
      <c r="L392" t="n">
        <v>0</v>
      </c>
      <c r="M392" t="n">
        <v>0</v>
      </c>
      <c r="N392" t="n">
        <v>0</v>
      </c>
      <c r="O392" t="n">
        <v>0</v>
      </c>
      <c r="P392" t="n">
        <v>0</v>
      </c>
      <c r="Q392" t="n">
        <v>0</v>
      </c>
      <c r="R392" s="2" t="inlineStr"/>
    </row>
    <row r="393" ht="15" customHeight="1">
      <c r="A393" t="inlineStr">
        <is>
          <t>A 31391-2024</t>
        </is>
      </c>
      <c r="B393" s="1" t="n">
        <v>45505.46616898148</v>
      </c>
      <c r="C393" s="1" t="n">
        <v>45881</v>
      </c>
      <c r="D393" t="inlineStr">
        <is>
          <t>DALARNAS LÄN</t>
        </is>
      </c>
      <c r="E393" t="inlineStr">
        <is>
          <t>LEKSAND</t>
        </is>
      </c>
      <c r="F393" t="inlineStr">
        <is>
          <t>Bergvik skog väst AB</t>
        </is>
      </c>
      <c r="G393" t="n">
        <v>2.7</v>
      </c>
      <c r="H393" t="n">
        <v>0</v>
      </c>
      <c r="I393" t="n">
        <v>0</v>
      </c>
      <c r="J393" t="n">
        <v>0</v>
      </c>
      <c r="K393" t="n">
        <v>0</v>
      </c>
      <c r="L393" t="n">
        <v>0</v>
      </c>
      <c r="M393" t="n">
        <v>0</v>
      </c>
      <c r="N393" t="n">
        <v>0</v>
      </c>
      <c r="O393" t="n">
        <v>0</v>
      </c>
      <c r="P393" t="n">
        <v>0</v>
      </c>
      <c r="Q393" t="n">
        <v>0</v>
      </c>
      <c r="R393" s="2" t="inlineStr"/>
    </row>
    <row r="394" ht="15" customHeight="1">
      <c r="A394" t="inlineStr">
        <is>
          <t>A 17078-2023</t>
        </is>
      </c>
      <c r="B394" s="1" t="n">
        <v>45034</v>
      </c>
      <c r="C394" s="1" t="n">
        <v>45881</v>
      </c>
      <c r="D394" t="inlineStr">
        <is>
          <t>DALARNAS LÄN</t>
        </is>
      </c>
      <c r="E394" t="inlineStr">
        <is>
          <t>LEKSAND</t>
        </is>
      </c>
      <c r="G394" t="n">
        <v>0.5</v>
      </c>
      <c r="H394" t="n">
        <v>0</v>
      </c>
      <c r="I394" t="n">
        <v>0</v>
      </c>
      <c r="J394" t="n">
        <v>0</v>
      </c>
      <c r="K394" t="n">
        <v>0</v>
      </c>
      <c r="L394" t="n">
        <v>0</v>
      </c>
      <c r="M394" t="n">
        <v>0</v>
      </c>
      <c r="N394" t="n">
        <v>0</v>
      </c>
      <c r="O394" t="n">
        <v>0</v>
      </c>
      <c r="P394" t="n">
        <v>0</v>
      </c>
      <c r="Q394" t="n">
        <v>0</v>
      </c>
      <c r="R394" s="2" t="inlineStr"/>
    </row>
    <row r="395" ht="15" customHeight="1">
      <c r="A395" t="inlineStr">
        <is>
          <t>A 12356-2023</t>
        </is>
      </c>
      <c r="B395" s="1" t="n">
        <v>44998</v>
      </c>
      <c r="C395" s="1" t="n">
        <v>45881</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41046-2024</t>
        </is>
      </c>
      <c r="B396" s="1" t="n">
        <v>45559.36677083333</v>
      </c>
      <c r="C396" s="1" t="n">
        <v>45881</v>
      </c>
      <c r="D396" t="inlineStr">
        <is>
          <t>DALARNAS LÄN</t>
        </is>
      </c>
      <c r="E396" t="inlineStr">
        <is>
          <t>LEKSAND</t>
        </is>
      </c>
      <c r="G396" t="n">
        <v>1.9</v>
      </c>
      <c r="H396" t="n">
        <v>0</v>
      </c>
      <c r="I396" t="n">
        <v>0</v>
      </c>
      <c r="J396" t="n">
        <v>0</v>
      </c>
      <c r="K396" t="n">
        <v>0</v>
      </c>
      <c r="L396" t="n">
        <v>0</v>
      </c>
      <c r="M396" t="n">
        <v>0</v>
      </c>
      <c r="N396" t="n">
        <v>0</v>
      </c>
      <c r="O396" t="n">
        <v>0</v>
      </c>
      <c r="P396" t="n">
        <v>0</v>
      </c>
      <c r="Q396" t="n">
        <v>0</v>
      </c>
      <c r="R396" s="2" t="inlineStr"/>
    </row>
    <row r="397" ht="15" customHeight="1">
      <c r="A397" t="inlineStr">
        <is>
          <t>A 56016-2024</t>
        </is>
      </c>
      <c r="B397" s="1" t="n">
        <v>45623.87737268519</v>
      </c>
      <c r="C397" s="1" t="n">
        <v>45881</v>
      </c>
      <c r="D397" t="inlineStr">
        <is>
          <t>DALARNAS LÄN</t>
        </is>
      </c>
      <c r="E397" t="inlineStr">
        <is>
          <t>LEKSAND</t>
        </is>
      </c>
      <c r="G397" t="n">
        <v>6.1</v>
      </c>
      <c r="H397" t="n">
        <v>0</v>
      </c>
      <c r="I397" t="n">
        <v>0</v>
      </c>
      <c r="J397" t="n">
        <v>0</v>
      </c>
      <c r="K397" t="n">
        <v>0</v>
      </c>
      <c r="L397" t="n">
        <v>0</v>
      </c>
      <c r="M397" t="n">
        <v>0</v>
      </c>
      <c r="N397" t="n">
        <v>0</v>
      </c>
      <c r="O397" t="n">
        <v>0</v>
      </c>
      <c r="P397" t="n">
        <v>0</v>
      </c>
      <c r="Q397" t="n">
        <v>0</v>
      </c>
      <c r="R397" s="2" t="inlineStr"/>
    </row>
    <row r="398" ht="15" customHeight="1">
      <c r="A398" t="inlineStr">
        <is>
          <t>A 14865-2025</t>
        </is>
      </c>
      <c r="B398" s="1" t="n">
        <v>45743.43929398148</v>
      </c>
      <c r="C398" s="1" t="n">
        <v>45881</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16854-2025</t>
        </is>
      </c>
      <c r="B399" s="1" t="n">
        <v>45754.72883101852</v>
      </c>
      <c r="C399" s="1" t="n">
        <v>45881</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55926-2024</t>
        </is>
      </c>
      <c r="B400" s="1" t="n">
        <v>45623.601875</v>
      </c>
      <c r="C400" s="1" t="n">
        <v>45881</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45881</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16293-2025</t>
        </is>
      </c>
      <c r="B402" s="1" t="n">
        <v>45751.33447916667</v>
      </c>
      <c r="C402" s="1" t="n">
        <v>45881</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27244-2023</t>
        </is>
      </c>
      <c r="B403" s="1" t="n">
        <v>45096</v>
      </c>
      <c r="C403" s="1" t="n">
        <v>45881</v>
      </c>
      <c r="D403" t="inlineStr">
        <is>
          <t>DALARNAS LÄN</t>
        </is>
      </c>
      <c r="E403" t="inlineStr">
        <is>
          <t>LEKSAND</t>
        </is>
      </c>
      <c r="G403" t="n">
        <v>5</v>
      </c>
      <c r="H403" t="n">
        <v>0</v>
      </c>
      <c r="I403" t="n">
        <v>0</v>
      </c>
      <c r="J403" t="n">
        <v>0</v>
      </c>
      <c r="K403" t="n">
        <v>0</v>
      </c>
      <c r="L403" t="n">
        <v>0</v>
      </c>
      <c r="M403" t="n">
        <v>0</v>
      </c>
      <c r="N403" t="n">
        <v>0</v>
      </c>
      <c r="O403" t="n">
        <v>0</v>
      </c>
      <c r="P403" t="n">
        <v>0</v>
      </c>
      <c r="Q403" t="n">
        <v>0</v>
      </c>
      <c r="R403" s="2" t="inlineStr"/>
    </row>
    <row r="404" ht="15" customHeight="1">
      <c r="A404" t="inlineStr">
        <is>
          <t>A 51860-2024</t>
        </is>
      </c>
      <c r="B404" s="1" t="n">
        <v>45607.54511574074</v>
      </c>
      <c r="C404" s="1" t="n">
        <v>45881</v>
      </c>
      <c r="D404" t="inlineStr">
        <is>
          <t>DALARNAS LÄN</t>
        </is>
      </c>
      <c r="E404" t="inlineStr">
        <is>
          <t>LEKSAND</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12363-2023</t>
        </is>
      </c>
      <c r="B405" s="1" t="n">
        <v>44998</v>
      </c>
      <c r="C405" s="1" t="n">
        <v>45881</v>
      </c>
      <c r="D405" t="inlineStr">
        <is>
          <t>DALARNAS LÄN</t>
        </is>
      </c>
      <c r="E405" t="inlineStr">
        <is>
          <t>LEKSAND</t>
        </is>
      </c>
      <c r="G405" t="n">
        <v>10</v>
      </c>
      <c r="H405" t="n">
        <v>0</v>
      </c>
      <c r="I405" t="n">
        <v>0</v>
      </c>
      <c r="J405" t="n">
        <v>0</v>
      </c>
      <c r="K405" t="n">
        <v>0</v>
      </c>
      <c r="L405" t="n">
        <v>0</v>
      </c>
      <c r="M405" t="n">
        <v>0</v>
      </c>
      <c r="N405" t="n">
        <v>0</v>
      </c>
      <c r="O405" t="n">
        <v>0</v>
      </c>
      <c r="P405" t="n">
        <v>0</v>
      </c>
      <c r="Q405" t="n">
        <v>0</v>
      </c>
      <c r="R405" s="2" t="inlineStr"/>
    </row>
    <row r="406" ht="15" customHeight="1">
      <c r="A406" t="inlineStr">
        <is>
          <t>A 5847-2025</t>
        </is>
      </c>
      <c r="B406" s="1" t="n">
        <v>45695.30824074074</v>
      </c>
      <c r="C406" s="1" t="n">
        <v>45881</v>
      </c>
      <c r="D406" t="inlineStr">
        <is>
          <t>DALARNAS LÄN</t>
        </is>
      </c>
      <c r="E406" t="inlineStr">
        <is>
          <t>LEKSAND</t>
        </is>
      </c>
      <c r="G406" t="n">
        <v>2.6</v>
      </c>
      <c r="H406" t="n">
        <v>0</v>
      </c>
      <c r="I406" t="n">
        <v>0</v>
      </c>
      <c r="J406" t="n">
        <v>0</v>
      </c>
      <c r="K406" t="n">
        <v>0</v>
      </c>
      <c r="L406" t="n">
        <v>0</v>
      </c>
      <c r="M406" t="n">
        <v>0</v>
      </c>
      <c r="N406" t="n">
        <v>0</v>
      </c>
      <c r="O406" t="n">
        <v>0</v>
      </c>
      <c r="P406" t="n">
        <v>0</v>
      </c>
      <c r="Q406" t="n">
        <v>0</v>
      </c>
      <c r="R406" s="2" t="inlineStr"/>
    </row>
    <row r="407" ht="15" customHeight="1">
      <c r="A407" t="inlineStr">
        <is>
          <t>A 5873-2025</t>
        </is>
      </c>
      <c r="B407" s="1" t="n">
        <v>45695.36715277778</v>
      </c>
      <c r="C407" s="1" t="n">
        <v>45881</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15020-2023</t>
        </is>
      </c>
      <c r="B408" s="1" t="n">
        <v>45015.6196412037</v>
      </c>
      <c r="C408" s="1" t="n">
        <v>45881</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18481-2024</t>
        </is>
      </c>
      <c r="B409" s="1" t="n">
        <v>45425.52193287037</v>
      </c>
      <c r="C409" s="1" t="n">
        <v>45881</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18484-2024</t>
        </is>
      </c>
      <c r="B410" s="1" t="n">
        <v>45425.52559027778</v>
      </c>
      <c r="C410" s="1" t="n">
        <v>45881</v>
      </c>
      <c r="D410" t="inlineStr">
        <is>
          <t>DALARNAS LÄN</t>
        </is>
      </c>
      <c r="E410" t="inlineStr">
        <is>
          <t>LEKSAND</t>
        </is>
      </c>
      <c r="G410" t="n">
        <v>2</v>
      </c>
      <c r="H410" t="n">
        <v>0</v>
      </c>
      <c r="I410" t="n">
        <v>0</v>
      </c>
      <c r="J410" t="n">
        <v>0</v>
      </c>
      <c r="K410" t="n">
        <v>0</v>
      </c>
      <c r="L410" t="n">
        <v>0</v>
      </c>
      <c r="M410" t="n">
        <v>0</v>
      </c>
      <c r="N410" t="n">
        <v>0</v>
      </c>
      <c r="O410" t="n">
        <v>0</v>
      </c>
      <c r="P410" t="n">
        <v>0</v>
      </c>
      <c r="Q410" t="n">
        <v>0</v>
      </c>
      <c r="R410" s="2" t="inlineStr"/>
    </row>
    <row r="411" ht="15" customHeight="1">
      <c r="A411" t="inlineStr">
        <is>
          <t>A 53193-2024</t>
        </is>
      </c>
      <c r="B411" s="1" t="n">
        <v>45610</v>
      </c>
      <c r="C411" s="1" t="n">
        <v>45881</v>
      </c>
      <c r="D411" t="inlineStr">
        <is>
          <t>DALARNAS LÄN</t>
        </is>
      </c>
      <c r="E411" t="inlineStr">
        <is>
          <t>LEKSAND</t>
        </is>
      </c>
      <c r="G411" t="n">
        <v>1.4</v>
      </c>
      <c r="H411" t="n">
        <v>0</v>
      </c>
      <c r="I411" t="n">
        <v>0</v>
      </c>
      <c r="J411" t="n">
        <v>0</v>
      </c>
      <c r="K411" t="n">
        <v>0</v>
      </c>
      <c r="L411" t="n">
        <v>0</v>
      </c>
      <c r="M411" t="n">
        <v>0</v>
      </c>
      <c r="N411" t="n">
        <v>0</v>
      </c>
      <c r="O411" t="n">
        <v>0</v>
      </c>
      <c r="P411" t="n">
        <v>0</v>
      </c>
      <c r="Q411" t="n">
        <v>0</v>
      </c>
      <c r="R411" s="2" t="inlineStr"/>
    </row>
    <row r="412" ht="15" customHeight="1">
      <c r="A412" t="inlineStr">
        <is>
          <t>A 11080-2023</t>
        </is>
      </c>
      <c r="B412" s="1" t="n">
        <v>44992</v>
      </c>
      <c r="C412" s="1" t="n">
        <v>45881</v>
      </c>
      <c r="D412" t="inlineStr">
        <is>
          <t>DALARNAS LÄN</t>
        </is>
      </c>
      <c r="E412" t="inlineStr">
        <is>
          <t>LEKSAND</t>
        </is>
      </c>
      <c r="G412" t="n">
        <v>6.9</v>
      </c>
      <c r="H412" t="n">
        <v>0</v>
      </c>
      <c r="I412" t="n">
        <v>0</v>
      </c>
      <c r="J412" t="n">
        <v>0</v>
      </c>
      <c r="K412" t="n">
        <v>0</v>
      </c>
      <c r="L412" t="n">
        <v>0</v>
      </c>
      <c r="M412" t="n">
        <v>0</v>
      </c>
      <c r="N412" t="n">
        <v>0</v>
      </c>
      <c r="O412" t="n">
        <v>0</v>
      </c>
      <c r="P412" t="n">
        <v>0</v>
      </c>
      <c r="Q412" t="n">
        <v>0</v>
      </c>
      <c r="R412" s="2" t="inlineStr"/>
    </row>
    <row r="413" ht="15" customHeight="1">
      <c r="A413" t="inlineStr">
        <is>
          <t>A 26957-2023</t>
        </is>
      </c>
      <c r="B413" s="1" t="n">
        <v>45093</v>
      </c>
      <c r="C413" s="1" t="n">
        <v>45881</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26959-2023</t>
        </is>
      </c>
      <c r="B414" s="1" t="n">
        <v>45093.67210648148</v>
      </c>
      <c r="C414" s="1" t="n">
        <v>45881</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18107-2025</t>
        </is>
      </c>
      <c r="B415" s="1" t="n">
        <v>45761.55939814815</v>
      </c>
      <c r="C415" s="1" t="n">
        <v>45881</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23323-2023</t>
        </is>
      </c>
      <c r="B416" s="1" t="n">
        <v>45076</v>
      </c>
      <c r="C416" s="1" t="n">
        <v>45881</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10299-2024</t>
        </is>
      </c>
      <c r="B417" s="1" t="n">
        <v>45365.50425925926</v>
      </c>
      <c r="C417" s="1" t="n">
        <v>45881</v>
      </c>
      <c r="D417" t="inlineStr">
        <is>
          <t>DALARNAS LÄN</t>
        </is>
      </c>
      <c r="E417" t="inlineStr">
        <is>
          <t>LEKSAND</t>
        </is>
      </c>
      <c r="G417" t="n">
        <v>3.6</v>
      </c>
      <c r="H417" t="n">
        <v>0</v>
      </c>
      <c r="I417" t="n">
        <v>0</v>
      </c>
      <c r="J417" t="n">
        <v>0</v>
      </c>
      <c r="K417" t="n">
        <v>0</v>
      </c>
      <c r="L417" t="n">
        <v>0</v>
      </c>
      <c r="M417" t="n">
        <v>0</v>
      </c>
      <c r="N417" t="n">
        <v>0</v>
      </c>
      <c r="O417" t="n">
        <v>0</v>
      </c>
      <c r="P417" t="n">
        <v>0</v>
      </c>
      <c r="Q417" t="n">
        <v>0</v>
      </c>
      <c r="R417" s="2" t="inlineStr"/>
    </row>
    <row r="418" ht="15" customHeight="1">
      <c r="A418" t="inlineStr">
        <is>
          <t>A 55643-2024</t>
        </is>
      </c>
      <c r="B418" s="1" t="n">
        <v>45621</v>
      </c>
      <c r="C418" s="1" t="n">
        <v>45881</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16051-2023</t>
        </is>
      </c>
      <c r="B419" s="1" t="n">
        <v>45027</v>
      </c>
      <c r="C419" s="1" t="n">
        <v>45881</v>
      </c>
      <c r="D419" t="inlineStr">
        <is>
          <t>DALARNAS LÄN</t>
        </is>
      </c>
      <c r="E419" t="inlineStr">
        <is>
          <t>LEKSAND</t>
        </is>
      </c>
      <c r="G419" t="n">
        <v>0.7</v>
      </c>
      <c r="H419" t="n">
        <v>0</v>
      </c>
      <c r="I419" t="n">
        <v>0</v>
      </c>
      <c r="J419" t="n">
        <v>0</v>
      </c>
      <c r="K419" t="n">
        <v>0</v>
      </c>
      <c r="L419" t="n">
        <v>0</v>
      </c>
      <c r="M419" t="n">
        <v>0</v>
      </c>
      <c r="N419" t="n">
        <v>0</v>
      </c>
      <c r="O419" t="n">
        <v>0</v>
      </c>
      <c r="P419" t="n">
        <v>0</v>
      </c>
      <c r="Q419" t="n">
        <v>0</v>
      </c>
      <c r="R419" s="2" t="inlineStr"/>
    </row>
    <row r="420" ht="15" customHeight="1">
      <c r="A420" t="inlineStr">
        <is>
          <t>A 60129-2023</t>
        </is>
      </c>
      <c r="B420" s="1" t="n">
        <v>45258.49056712963</v>
      </c>
      <c r="C420" s="1" t="n">
        <v>45881</v>
      </c>
      <c r="D420" t="inlineStr">
        <is>
          <t>DALARNAS LÄN</t>
        </is>
      </c>
      <c r="E420" t="inlineStr">
        <is>
          <t>LEKSAND</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19371-2024</t>
        </is>
      </c>
      <c r="B421" s="1" t="n">
        <v>45429.34969907408</v>
      </c>
      <c r="C421" s="1" t="n">
        <v>45881</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56059-2024</t>
        </is>
      </c>
      <c r="B422" s="1" t="n">
        <v>45624.36729166667</v>
      </c>
      <c r="C422" s="1" t="n">
        <v>45881</v>
      </c>
      <c r="D422" t="inlineStr">
        <is>
          <t>DALARNAS LÄN</t>
        </is>
      </c>
      <c r="E422" t="inlineStr">
        <is>
          <t>LEKSAND</t>
        </is>
      </c>
      <c r="G422" t="n">
        <v>3.1</v>
      </c>
      <c r="H422" t="n">
        <v>0</v>
      </c>
      <c r="I422" t="n">
        <v>0</v>
      </c>
      <c r="J422" t="n">
        <v>0</v>
      </c>
      <c r="K422" t="n">
        <v>0</v>
      </c>
      <c r="L422" t="n">
        <v>0</v>
      </c>
      <c r="M422" t="n">
        <v>0</v>
      </c>
      <c r="N422" t="n">
        <v>0</v>
      </c>
      <c r="O422" t="n">
        <v>0</v>
      </c>
      <c r="P422" t="n">
        <v>0</v>
      </c>
      <c r="Q422" t="n">
        <v>0</v>
      </c>
      <c r="R422" s="2" t="inlineStr"/>
    </row>
    <row r="423" ht="15" customHeight="1">
      <c r="A423" t="inlineStr">
        <is>
          <t>A 16137-2023</t>
        </is>
      </c>
      <c r="B423" s="1" t="n">
        <v>45027</v>
      </c>
      <c r="C423" s="1" t="n">
        <v>45881</v>
      </c>
      <c r="D423" t="inlineStr">
        <is>
          <t>DALARNAS LÄN</t>
        </is>
      </c>
      <c r="E423" t="inlineStr">
        <is>
          <t>LEKSAND</t>
        </is>
      </c>
      <c r="G423" t="n">
        <v>1.6</v>
      </c>
      <c r="H423" t="n">
        <v>0</v>
      </c>
      <c r="I423" t="n">
        <v>0</v>
      </c>
      <c r="J423" t="n">
        <v>0</v>
      </c>
      <c r="K423" t="n">
        <v>0</v>
      </c>
      <c r="L423" t="n">
        <v>0</v>
      </c>
      <c r="M423" t="n">
        <v>0</v>
      </c>
      <c r="N423" t="n">
        <v>0</v>
      </c>
      <c r="O423" t="n">
        <v>0</v>
      </c>
      <c r="P423" t="n">
        <v>0</v>
      </c>
      <c r="Q423" t="n">
        <v>0</v>
      </c>
      <c r="R423" s="2" t="inlineStr"/>
    </row>
    <row r="424" ht="15" customHeight="1">
      <c r="A424" t="inlineStr">
        <is>
          <t>A 7827-2024</t>
        </is>
      </c>
      <c r="B424" s="1" t="n">
        <v>45349.7467824074</v>
      </c>
      <c r="C424" s="1" t="n">
        <v>45881</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49405-2024</t>
        </is>
      </c>
      <c r="B425" s="1" t="n">
        <v>45595</v>
      </c>
      <c r="C425" s="1" t="n">
        <v>45881</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2579-2022</t>
        </is>
      </c>
      <c r="B426" s="1" t="n">
        <v>44580</v>
      </c>
      <c r="C426" s="1" t="n">
        <v>45881</v>
      </c>
      <c r="D426" t="inlineStr">
        <is>
          <t>DALARNAS LÄN</t>
        </is>
      </c>
      <c r="E426" t="inlineStr">
        <is>
          <t>LEKSAND</t>
        </is>
      </c>
      <c r="G426" t="n">
        <v>0.3</v>
      </c>
      <c r="H426" t="n">
        <v>0</v>
      </c>
      <c r="I426" t="n">
        <v>0</v>
      </c>
      <c r="J426" t="n">
        <v>0</v>
      </c>
      <c r="K426" t="n">
        <v>0</v>
      </c>
      <c r="L426" t="n">
        <v>0</v>
      </c>
      <c r="M426" t="n">
        <v>0</v>
      </c>
      <c r="N426" t="n">
        <v>0</v>
      </c>
      <c r="O426" t="n">
        <v>0</v>
      </c>
      <c r="P426" t="n">
        <v>0</v>
      </c>
      <c r="Q426" t="n">
        <v>0</v>
      </c>
      <c r="R426" s="2" t="inlineStr"/>
    </row>
    <row r="427" ht="15" customHeight="1">
      <c r="A427" t="inlineStr">
        <is>
          <t>A 56283-2024</t>
        </is>
      </c>
      <c r="B427" s="1" t="n">
        <v>45624.67864583333</v>
      </c>
      <c r="C427" s="1" t="n">
        <v>45881</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56299-2024</t>
        </is>
      </c>
      <c r="B428" s="1" t="n">
        <v>45624.68607638889</v>
      </c>
      <c r="C428" s="1" t="n">
        <v>45881</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43077-2024</t>
        </is>
      </c>
      <c r="B429" s="1" t="n">
        <v>45567.50030092592</v>
      </c>
      <c r="C429" s="1" t="n">
        <v>45881</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49395-2024</t>
        </is>
      </c>
      <c r="B430" s="1" t="n">
        <v>45595</v>
      </c>
      <c r="C430" s="1" t="n">
        <v>45881</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20683-2025</t>
        </is>
      </c>
      <c r="B431" s="1" t="n">
        <v>45776</v>
      </c>
      <c r="C431" s="1" t="n">
        <v>45881</v>
      </c>
      <c r="D431" t="inlineStr">
        <is>
          <t>DALARNAS LÄN</t>
        </is>
      </c>
      <c r="E431" t="inlineStr">
        <is>
          <t>LEKSAND</t>
        </is>
      </c>
      <c r="F431" t="inlineStr">
        <is>
          <t>Bergvik skog väst AB</t>
        </is>
      </c>
      <c r="G431" t="n">
        <v>4.1</v>
      </c>
      <c r="H431" t="n">
        <v>0</v>
      </c>
      <c r="I431" t="n">
        <v>0</v>
      </c>
      <c r="J431" t="n">
        <v>0</v>
      </c>
      <c r="K431" t="n">
        <v>0</v>
      </c>
      <c r="L431" t="n">
        <v>0</v>
      </c>
      <c r="M431" t="n">
        <v>0</v>
      </c>
      <c r="N431" t="n">
        <v>0</v>
      </c>
      <c r="O431" t="n">
        <v>0</v>
      </c>
      <c r="P431" t="n">
        <v>0</v>
      </c>
      <c r="Q431" t="n">
        <v>0</v>
      </c>
      <c r="R431" s="2" t="inlineStr"/>
    </row>
    <row r="432" ht="15" customHeight="1">
      <c r="A432" t="inlineStr">
        <is>
          <t>A 24005-2024</t>
        </is>
      </c>
      <c r="B432" s="1" t="n">
        <v>45456.39239583333</v>
      </c>
      <c r="C432" s="1" t="n">
        <v>45881</v>
      </c>
      <c r="D432" t="inlineStr">
        <is>
          <t>DALARNAS LÄN</t>
        </is>
      </c>
      <c r="E432" t="inlineStr">
        <is>
          <t>LEKSAND</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1984-2025</t>
        </is>
      </c>
      <c r="B433" s="1" t="n">
        <v>45670</v>
      </c>
      <c r="C433" s="1" t="n">
        <v>45881</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59199-2024</t>
        </is>
      </c>
      <c r="B434" s="1" t="n">
        <v>45637</v>
      </c>
      <c r="C434" s="1" t="n">
        <v>45881</v>
      </c>
      <c r="D434" t="inlineStr">
        <is>
          <t>DALARNAS LÄN</t>
        </is>
      </c>
      <c r="E434" t="inlineStr">
        <is>
          <t>LEKSAND</t>
        </is>
      </c>
      <c r="G434" t="n">
        <v>5.4</v>
      </c>
      <c r="H434" t="n">
        <v>0</v>
      </c>
      <c r="I434" t="n">
        <v>0</v>
      </c>
      <c r="J434" t="n">
        <v>0</v>
      </c>
      <c r="K434" t="n">
        <v>0</v>
      </c>
      <c r="L434" t="n">
        <v>0</v>
      </c>
      <c r="M434" t="n">
        <v>0</v>
      </c>
      <c r="N434" t="n">
        <v>0</v>
      </c>
      <c r="O434" t="n">
        <v>0</v>
      </c>
      <c r="P434" t="n">
        <v>0</v>
      </c>
      <c r="Q434" t="n">
        <v>0</v>
      </c>
      <c r="R434" s="2" t="inlineStr"/>
    </row>
    <row r="435" ht="15" customHeight="1">
      <c r="A435" t="inlineStr">
        <is>
          <t>A 20937-2025</t>
        </is>
      </c>
      <c r="B435" s="1" t="n">
        <v>45777.42769675926</v>
      </c>
      <c r="C435" s="1" t="n">
        <v>45881</v>
      </c>
      <c r="D435" t="inlineStr">
        <is>
          <t>DALARNAS LÄN</t>
        </is>
      </c>
      <c r="E435" t="inlineStr">
        <is>
          <t>LEKSAND</t>
        </is>
      </c>
      <c r="G435" t="n">
        <v>2.2</v>
      </c>
      <c r="H435" t="n">
        <v>0</v>
      </c>
      <c r="I435" t="n">
        <v>0</v>
      </c>
      <c r="J435" t="n">
        <v>0</v>
      </c>
      <c r="K435" t="n">
        <v>0</v>
      </c>
      <c r="L435" t="n">
        <v>0</v>
      </c>
      <c r="M435" t="n">
        <v>0</v>
      </c>
      <c r="N435" t="n">
        <v>0</v>
      </c>
      <c r="O435" t="n">
        <v>0</v>
      </c>
      <c r="P435" t="n">
        <v>0</v>
      </c>
      <c r="Q435" t="n">
        <v>0</v>
      </c>
      <c r="R435" s="2" t="inlineStr"/>
    </row>
    <row r="436" ht="15" customHeight="1">
      <c r="A436" t="inlineStr">
        <is>
          <t>A 21457-2025</t>
        </is>
      </c>
      <c r="B436" s="1" t="n">
        <v>45782.55451388889</v>
      </c>
      <c r="C436" s="1" t="n">
        <v>45881</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33310-2023</t>
        </is>
      </c>
      <c r="B437" s="1" t="n">
        <v>45127.82231481482</v>
      </c>
      <c r="C437" s="1" t="n">
        <v>45881</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57899-2024</t>
        </is>
      </c>
      <c r="B438" s="1" t="n">
        <v>45630</v>
      </c>
      <c r="C438" s="1" t="n">
        <v>45881</v>
      </c>
      <c r="D438" t="inlineStr">
        <is>
          <t>DALARNAS LÄN</t>
        </is>
      </c>
      <c r="E438" t="inlineStr">
        <is>
          <t>LEKSAND</t>
        </is>
      </c>
      <c r="G438" t="n">
        <v>0.6</v>
      </c>
      <c r="H438" t="n">
        <v>0</v>
      </c>
      <c r="I438" t="n">
        <v>0</v>
      </c>
      <c r="J438" t="n">
        <v>0</v>
      </c>
      <c r="K438" t="n">
        <v>0</v>
      </c>
      <c r="L438" t="n">
        <v>0</v>
      </c>
      <c r="M438" t="n">
        <v>0</v>
      </c>
      <c r="N438" t="n">
        <v>0</v>
      </c>
      <c r="O438" t="n">
        <v>0</v>
      </c>
      <c r="P438" t="n">
        <v>0</v>
      </c>
      <c r="Q438" t="n">
        <v>0</v>
      </c>
      <c r="R438" s="2" t="inlineStr"/>
    </row>
    <row r="439" ht="15" customHeight="1">
      <c r="A439" t="inlineStr">
        <is>
          <t>A 11110-2023</t>
        </is>
      </c>
      <c r="B439" s="1" t="n">
        <v>44992</v>
      </c>
      <c r="C439" s="1" t="n">
        <v>45881</v>
      </c>
      <c r="D439" t="inlineStr">
        <is>
          <t>DALARNAS LÄN</t>
        </is>
      </c>
      <c r="E439" t="inlineStr">
        <is>
          <t>LEKSAND</t>
        </is>
      </c>
      <c r="G439" t="n">
        <v>11.2</v>
      </c>
      <c r="H439" t="n">
        <v>0</v>
      </c>
      <c r="I439" t="n">
        <v>0</v>
      </c>
      <c r="J439" t="n">
        <v>0</v>
      </c>
      <c r="K439" t="n">
        <v>0</v>
      </c>
      <c r="L439" t="n">
        <v>0</v>
      </c>
      <c r="M439" t="n">
        <v>0</v>
      </c>
      <c r="N439" t="n">
        <v>0</v>
      </c>
      <c r="O439" t="n">
        <v>0</v>
      </c>
      <c r="P439" t="n">
        <v>0</v>
      </c>
      <c r="Q439" t="n">
        <v>0</v>
      </c>
      <c r="R439" s="2" t="inlineStr"/>
    </row>
    <row r="440" ht="15" customHeight="1">
      <c r="A440" t="inlineStr">
        <is>
          <t>A 56753-2023</t>
        </is>
      </c>
      <c r="B440" s="1" t="n">
        <v>45244.37094907407</v>
      </c>
      <c r="C440" s="1" t="n">
        <v>45881</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21230-2025</t>
        </is>
      </c>
      <c r="B441" s="1" t="n">
        <v>45779.54589120371</v>
      </c>
      <c r="C441" s="1" t="n">
        <v>45881</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21366-2025</t>
        </is>
      </c>
      <c r="B442" s="1" t="n">
        <v>45782.44667824074</v>
      </c>
      <c r="C442" s="1" t="n">
        <v>45881</v>
      </c>
      <c r="D442" t="inlineStr">
        <is>
          <t>DALARNAS LÄN</t>
        </is>
      </c>
      <c r="E442" t="inlineStr">
        <is>
          <t>LEKSAND</t>
        </is>
      </c>
      <c r="G442" t="n">
        <v>4.1</v>
      </c>
      <c r="H442" t="n">
        <v>0</v>
      </c>
      <c r="I442" t="n">
        <v>0</v>
      </c>
      <c r="J442" t="n">
        <v>0</v>
      </c>
      <c r="K442" t="n">
        <v>0</v>
      </c>
      <c r="L442" t="n">
        <v>0</v>
      </c>
      <c r="M442" t="n">
        <v>0</v>
      </c>
      <c r="N442" t="n">
        <v>0</v>
      </c>
      <c r="O442" t="n">
        <v>0</v>
      </c>
      <c r="P442" t="n">
        <v>0</v>
      </c>
      <c r="Q442" t="n">
        <v>0</v>
      </c>
      <c r="R442" s="2" t="inlineStr"/>
    </row>
    <row r="443" ht="15" customHeight="1">
      <c r="A443" t="inlineStr">
        <is>
          <t>A 21193-2025</t>
        </is>
      </c>
      <c r="B443" s="1" t="n">
        <v>45779.46675925926</v>
      </c>
      <c r="C443" s="1" t="n">
        <v>45881</v>
      </c>
      <c r="D443" t="inlineStr">
        <is>
          <t>DALARNAS LÄN</t>
        </is>
      </c>
      <c r="E443" t="inlineStr">
        <is>
          <t>LEKSAND</t>
        </is>
      </c>
      <c r="G443" t="n">
        <v>3.7</v>
      </c>
      <c r="H443" t="n">
        <v>0</v>
      </c>
      <c r="I443" t="n">
        <v>0</v>
      </c>
      <c r="J443" t="n">
        <v>0</v>
      </c>
      <c r="K443" t="n">
        <v>0</v>
      </c>
      <c r="L443" t="n">
        <v>0</v>
      </c>
      <c r="M443" t="n">
        <v>0</v>
      </c>
      <c r="N443" t="n">
        <v>0</v>
      </c>
      <c r="O443" t="n">
        <v>0</v>
      </c>
      <c r="P443" t="n">
        <v>0</v>
      </c>
      <c r="Q443" t="n">
        <v>0</v>
      </c>
      <c r="R443" s="2" t="inlineStr"/>
    </row>
    <row r="444" ht="15" customHeight="1">
      <c r="A444" t="inlineStr">
        <is>
          <t>A 57933-2024</t>
        </is>
      </c>
      <c r="B444" s="1" t="n">
        <v>45630</v>
      </c>
      <c r="C444" s="1" t="n">
        <v>45881</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11403-2023</t>
        </is>
      </c>
      <c r="B445" s="1" t="n">
        <v>44993</v>
      </c>
      <c r="C445" s="1" t="n">
        <v>45881</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22683-2022</t>
        </is>
      </c>
      <c r="B446" s="1" t="n">
        <v>44714</v>
      </c>
      <c r="C446" s="1" t="n">
        <v>45881</v>
      </c>
      <c r="D446" t="inlineStr">
        <is>
          <t>DALARNAS LÄN</t>
        </is>
      </c>
      <c r="E446" t="inlineStr">
        <is>
          <t>LEKSAND</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52755-2024</t>
        </is>
      </c>
      <c r="B447" s="1" t="n">
        <v>45610.50217592593</v>
      </c>
      <c r="C447" s="1" t="n">
        <v>45881</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6846-2023</t>
        </is>
      </c>
      <c r="B448" s="1" t="n">
        <v>44967.43953703704</v>
      </c>
      <c r="C448" s="1" t="n">
        <v>45881</v>
      </c>
      <c r="D448" t="inlineStr">
        <is>
          <t>DALARNAS LÄN</t>
        </is>
      </c>
      <c r="E448" t="inlineStr">
        <is>
          <t>LEKSAND</t>
        </is>
      </c>
      <c r="F448" t="inlineStr">
        <is>
          <t>Bergvik skog väst AB</t>
        </is>
      </c>
      <c r="G448" t="n">
        <v>1</v>
      </c>
      <c r="H448" t="n">
        <v>0</v>
      </c>
      <c r="I448" t="n">
        <v>0</v>
      </c>
      <c r="J448" t="n">
        <v>0</v>
      </c>
      <c r="K448" t="n">
        <v>0</v>
      </c>
      <c r="L448" t="n">
        <v>0</v>
      </c>
      <c r="M448" t="n">
        <v>0</v>
      </c>
      <c r="N448" t="n">
        <v>0</v>
      </c>
      <c r="O448" t="n">
        <v>0</v>
      </c>
      <c r="P448" t="n">
        <v>0</v>
      </c>
      <c r="Q448" t="n">
        <v>0</v>
      </c>
      <c r="R448" s="2" t="inlineStr"/>
    </row>
    <row r="449" ht="15" customHeight="1">
      <c r="A449" t="inlineStr">
        <is>
          <t>A 33317-2023</t>
        </is>
      </c>
      <c r="B449" s="1" t="n">
        <v>45127.84586805556</v>
      </c>
      <c r="C449" s="1" t="n">
        <v>45881</v>
      </c>
      <c r="D449" t="inlineStr">
        <is>
          <t>DALARNAS LÄN</t>
        </is>
      </c>
      <c r="E449" t="inlineStr">
        <is>
          <t>LEKSAND</t>
        </is>
      </c>
      <c r="G449" t="n">
        <v>2.7</v>
      </c>
      <c r="H449" t="n">
        <v>0</v>
      </c>
      <c r="I449" t="n">
        <v>0</v>
      </c>
      <c r="J449" t="n">
        <v>0</v>
      </c>
      <c r="K449" t="n">
        <v>0</v>
      </c>
      <c r="L449" t="n">
        <v>0</v>
      </c>
      <c r="M449" t="n">
        <v>0</v>
      </c>
      <c r="N449" t="n">
        <v>0</v>
      </c>
      <c r="O449" t="n">
        <v>0</v>
      </c>
      <c r="P449" t="n">
        <v>0</v>
      </c>
      <c r="Q449" t="n">
        <v>0</v>
      </c>
      <c r="R449" s="2" t="inlineStr"/>
    </row>
    <row r="450" ht="15" customHeight="1">
      <c r="A450" t="inlineStr">
        <is>
          <t>A 33318-2023</t>
        </is>
      </c>
      <c r="B450" s="1" t="n">
        <v>45127</v>
      </c>
      <c r="C450" s="1" t="n">
        <v>45881</v>
      </c>
      <c r="D450" t="inlineStr">
        <is>
          <t>DALARNAS LÄN</t>
        </is>
      </c>
      <c r="E450" t="inlineStr">
        <is>
          <t>LEKSAND</t>
        </is>
      </c>
      <c r="G450" t="n">
        <v>5.5</v>
      </c>
      <c r="H450" t="n">
        <v>0</v>
      </c>
      <c r="I450" t="n">
        <v>0</v>
      </c>
      <c r="J450" t="n">
        <v>0</v>
      </c>
      <c r="K450" t="n">
        <v>0</v>
      </c>
      <c r="L450" t="n">
        <v>0</v>
      </c>
      <c r="M450" t="n">
        <v>0</v>
      </c>
      <c r="N450" t="n">
        <v>0</v>
      </c>
      <c r="O450" t="n">
        <v>0</v>
      </c>
      <c r="P450" t="n">
        <v>0</v>
      </c>
      <c r="Q450" t="n">
        <v>0</v>
      </c>
      <c r="R450" s="2" t="inlineStr"/>
    </row>
    <row r="451" ht="15" customHeight="1">
      <c r="A451" t="inlineStr">
        <is>
          <t>A 21881-2025</t>
        </is>
      </c>
      <c r="B451" s="1" t="n">
        <v>45784</v>
      </c>
      <c r="C451" s="1" t="n">
        <v>45881</v>
      </c>
      <c r="D451" t="inlineStr">
        <is>
          <t>DALARNAS LÄN</t>
        </is>
      </c>
      <c r="E451" t="inlineStr">
        <is>
          <t>LEKSAND</t>
        </is>
      </c>
      <c r="G451" t="n">
        <v>2</v>
      </c>
      <c r="H451" t="n">
        <v>0</v>
      </c>
      <c r="I451" t="n">
        <v>0</v>
      </c>
      <c r="J451" t="n">
        <v>0</v>
      </c>
      <c r="K451" t="n">
        <v>0</v>
      </c>
      <c r="L451" t="n">
        <v>0</v>
      </c>
      <c r="M451" t="n">
        <v>0</v>
      </c>
      <c r="N451" t="n">
        <v>0</v>
      </c>
      <c r="O451" t="n">
        <v>0</v>
      </c>
      <c r="P451" t="n">
        <v>0</v>
      </c>
      <c r="Q451" t="n">
        <v>0</v>
      </c>
      <c r="R451" s="2" t="inlineStr"/>
    </row>
    <row r="452" ht="15" customHeight="1">
      <c r="A452" t="inlineStr">
        <is>
          <t>A 11872-2024</t>
        </is>
      </c>
      <c r="B452" s="1" t="n">
        <v>45376.46833333333</v>
      </c>
      <c r="C452" s="1" t="n">
        <v>45881</v>
      </c>
      <c r="D452" t="inlineStr">
        <is>
          <t>DALARNAS LÄN</t>
        </is>
      </c>
      <c r="E452" t="inlineStr">
        <is>
          <t>LEKSAND</t>
        </is>
      </c>
      <c r="G452" t="n">
        <v>3.1</v>
      </c>
      <c r="H452" t="n">
        <v>0</v>
      </c>
      <c r="I452" t="n">
        <v>0</v>
      </c>
      <c r="J452" t="n">
        <v>0</v>
      </c>
      <c r="K452" t="n">
        <v>0</v>
      </c>
      <c r="L452" t="n">
        <v>0</v>
      </c>
      <c r="M452" t="n">
        <v>0</v>
      </c>
      <c r="N452" t="n">
        <v>0</v>
      </c>
      <c r="O452" t="n">
        <v>0</v>
      </c>
      <c r="P452" t="n">
        <v>0</v>
      </c>
      <c r="Q452" t="n">
        <v>0</v>
      </c>
      <c r="R452" s="2" t="inlineStr"/>
    </row>
    <row r="453" ht="15" customHeight="1">
      <c r="A453" t="inlineStr">
        <is>
          <t>A 53633-2024</t>
        </is>
      </c>
      <c r="B453" s="1" t="n">
        <v>45614.83726851852</v>
      </c>
      <c r="C453" s="1" t="n">
        <v>45881</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21600-2025</t>
        </is>
      </c>
      <c r="B454" s="1" t="n">
        <v>45783.3521875</v>
      </c>
      <c r="C454" s="1" t="n">
        <v>45881</v>
      </c>
      <c r="D454" t="inlineStr">
        <is>
          <t>DALARNAS LÄN</t>
        </is>
      </c>
      <c r="E454" t="inlineStr">
        <is>
          <t>LEKSAND</t>
        </is>
      </c>
      <c r="G454" t="n">
        <v>7.7</v>
      </c>
      <c r="H454" t="n">
        <v>0</v>
      </c>
      <c r="I454" t="n">
        <v>0</v>
      </c>
      <c r="J454" t="n">
        <v>0</v>
      </c>
      <c r="K454" t="n">
        <v>0</v>
      </c>
      <c r="L454" t="n">
        <v>0</v>
      </c>
      <c r="M454" t="n">
        <v>0</v>
      </c>
      <c r="N454" t="n">
        <v>0</v>
      </c>
      <c r="O454" t="n">
        <v>0</v>
      </c>
      <c r="P454" t="n">
        <v>0</v>
      </c>
      <c r="Q454" t="n">
        <v>0</v>
      </c>
      <c r="R454" s="2" t="inlineStr"/>
    </row>
    <row r="455" ht="15" customHeight="1">
      <c r="A455" t="inlineStr">
        <is>
          <t>A 6030-2025</t>
        </is>
      </c>
      <c r="B455" s="1" t="n">
        <v>45695</v>
      </c>
      <c r="C455" s="1" t="n">
        <v>45881</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47503-2024</t>
        </is>
      </c>
      <c r="B456" s="1" t="n">
        <v>45587.60262731482</v>
      </c>
      <c r="C456" s="1" t="n">
        <v>45881</v>
      </c>
      <c r="D456" t="inlineStr">
        <is>
          <t>DALARNAS LÄN</t>
        </is>
      </c>
      <c r="E456" t="inlineStr">
        <is>
          <t>LEKSAND</t>
        </is>
      </c>
      <c r="G456" t="n">
        <v>3.6</v>
      </c>
      <c r="H456" t="n">
        <v>0</v>
      </c>
      <c r="I456" t="n">
        <v>0</v>
      </c>
      <c r="J456" t="n">
        <v>0</v>
      </c>
      <c r="K456" t="n">
        <v>0</v>
      </c>
      <c r="L456" t="n">
        <v>0</v>
      </c>
      <c r="M456" t="n">
        <v>0</v>
      </c>
      <c r="N456" t="n">
        <v>0</v>
      </c>
      <c r="O456" t="n">
        <v>0</v>
      </c>
      <c r="P456" t="n">
        <v>0</v>
      </c>
      <c r="Q456" t="n">
        <v>0</v>
      </c>
      <c r="R456" s="2" t="inlineStr"/>
    </row>
    <row r="457" ht="15" customHeight="1">
      <c r="A457" t="inlineStr">
        <is>
          <t>A 40627-2023</t>
        </is>
      </c>
      <c r="B457" s="1" t="n">
        <v>45170</v>
      </c>
      <c r="C457" s="1" t="n">
        <v>45881</v>
      </c>
      <c r="D457" t="inlineStr">
        <is>
          <t>DALARNAS LÄN</t>
        </is>
      </c>
      <c r="E457" t="inlineStr">
        <is>
          <t>LEKSAND</t>
        </is>
      </c>
      <c r="F457" t="inlineStr">
        <is>
          <t>Bergvik skog väst AB</t>
        </is>
      </c>
      <c r="G457" t="n">
        <v>3.3</v>
      </c>
      <c r="H457" t="n">
        <v>0</v>
      </c>
      <c r="I457" t="n">
        <v>0</v>
      </c>
      <c r="J457" t="n">
        <v>0</v>
      </c>
      <c r="K457" t="n">
        <v>0</v>
      </c>
      <c r="L457" t="n">
        <v>0</v>
      </c>
      <c r="M457" t="n">
        <v>0</v>
      </c>
      <c r="N457" t="n">
        <v>0</v>
      </c>
      <c r="O457" t="n">
        <v>0</v>
      </c>
      <c r="P457" t="n">
        <v>0</v>
      </c>
      <c r="Q457" t="n">
        <v>0</v>
      </c>
      <c r="R457" s="2" t="inlineStr"/>
    </row>
    <row r="458" ht="15" customHeight="1">
      <c r="A458" t="inlineStr">
        <is>
          <t>A 40009-2024</t>
        </is>
      </c>
      <c r="B458" s="1" t="n">
        <v>45553.65361111111</v>
      </c>
      <c r="C458" s="1" t="n">
        <v>45881</v>
      </c>
      <c r="D458" t="inlineStr">
        <is>
          <t>DALARNAS LÄN</t>
        </is>
      </c>
      <c r="E458" t="inlineStr">
        <is>
          <t>LEKSAND</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52572-2024</t>
        </is>
      </c>
      <c r="B459" s="1" t="n">
        <v>45609.66488425926</v>
      </c>
      <c r="C459" s="1" t="n">
        <v>45881</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53981-2024</t>
        </is>
      </c>
      <c r="B460" s="1" t="n">
        <v>45615</v>
      </c>
      <c r="C460" s="1" t="n">
        <v>45881</v>
      </c>
      <c r="D460" t="inlineStr">
        <is>
          <t>DALARNAS LÄN</t>
        </is>
      </c>
      <c r="E460" t="inlineStr">
        <is>
          <t>LEKSAND</t>
        </is>
      </c>
      <c r="G460" t="n">
        <v>5.4</v>
      </c>
      <c r="H460" t="n">
        <v>0</v>
      </c>
      <c r="I460" t="n">
        <v>0</v>
      </c>
      <c r="J460" t="n">
        <v>0</v>
      </c>
      <c r="K460" t="n">
        <v>0</v>
      </c>
      <c r="L460" t="n">
        <v>0</v>
      </c>
      <c r="M460" t="n">
        <v>0</v>
      </c>
      <c r="N460" t="n">
        <v>0</v>
      </c>
      <c r="O460" t="n">
        <v>0</v>
      </c>
      <c r="P460" t="n">
        <v>0</v>
      </c>
      <c r="Q460" t="n">
        <v>0</v>
      </c>
      <c r="R460" s="2" t="inlineStr"/>
    </row>
    <row r="461" ht="15" customHeight="1">
      <c r="A461" t="inlineStr">
        <is>
          <t>A 12851-2023</t>
        </is>
      </c>
      <c r="B461" s="1" t="n">
        <v>45001.49347222222</v>
      </c>
      <c r="C461" s="1" t="n">
        <v>45881</v>
      </c>
      <c r="D461" t="inlineStr">
        <is>
          <t>DALARNAS LÄN</t>
        </is>
      </c>
      <c r="E461" t="inlineStr">
        <is>
          <t>LEKSAND</t>
        </is>
      </c>
      <c r="G461" t="n">
        <v>1.9</v>
      </c>
      <c r="H461" t="n">
        <v>0</v>
      </c>
      <c r="I461" t="n">
        <v>0</v>
      </c>
      <c r="J461" t="n">
        <v>0</v>
      </c>
      <c r="K461" t="n">
        <v>0</v>
      </c>
      <c r="L461" t="n">
        <v>0</v>
      </c>
      <c r="M461" t="n">
        <v>0</v>
      </c>
      <c r="N461" t="n">
        <v>0</v>
      </c>
      <c r="O461" t="n">
        <v>0</v>
      </c>
      <c r="P461" t="n">
        <v>0</v>
      </c>
      <c r="Q461" t="n">
        <v>0</v>
      </c>
      <c r="R461" s="2" t="inlineStr"/>
    </row>
    <row r="462" ht="15" customHeight="1">
      <c r="A462" t="inlineStr">
        <is>
          <t>A 19295-2024</t>
        </is>
      </c>
      <c r="B462" s="1" t="n">
        <v>45428.69106481481</v>
      </c>
      <c r="C462" s="1" t="n">
        <v>45881</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19296-2024</t>
        </is>
      </c>
      <c r="B463" s="1" t="n">
        <v>45428.69438657408</v>
      </c>
      <c r="C463" s="1" t="n">
        <v>45881</v>
      </c>
      <c r="D463" t="inlineStr">
        <is>
          <t>DALARNAS LÄN</t>
        </is>
      </c>
      <c r="E463" t="inlineStr">
        <is>
          <t>LEKSAND</t>
        </is>
      </c>
      <c r="G463" t="n">
        <v>2.4</v>
      </c>
      <c r="H463" t="n">
        <v>0</v>
      </c>
      <c r="I463" t="n">
        <v>0</v>
      </c>
      <c r="J463" t="n">
        <v>0</v>
      </c>
      <c r="K463" t="n">
        <v>0</v>
      </c>
      <c r="L463" t="n">
        <v>0</v>
      </c>
      <c r="M463" t="n">
        <v>0</v>
      </c>
      <c r="N463" t="n">
        <v>0</v>
      </c>
      <c r="O463" t="n">
        <v>0</v>
      </c>
      <c r="P463" t="n">
        <v>0</v>
      </c>
      <c r="Q463" t="n">
        <v>0</v>
      </c>
      <c r="R463" s="2" t="inlineStr"/>
    </row>
    <row r="464" ht="15" customHeight="1">
      <c r="A464" t="inlineStr">
        <is>
          <t>A 17589-2025</t>
        </is>
      </c>
      <c r="B464" s="1" t="n">
        <v>45757.67844907408</v>
      </c>
      <c r="C464" s="1" t="n">
        <v>45881</v>
      </c>
      <c r="D464" t="inlineStr">
        <is>
          <t>DALARNAS LÄN</t>
        </is>
      </c>
      <c r="E464" t="inlineStr">
        <is>
          <t>LEKSAND</t>
        </is>
      </c>
      <c r="G464" t="n">
        <v>5.8</v>
      </c>
      <c r="H464" t="n">
        <v>0</v>
      </c>
      <c r="I464" t="n">
        <v>0</v>
      </c>
      <c r="J464" t="n">
        <v>0</v>
      </c>
      <c r="K464" t="n">
        <v>0</v>
      </c>
      <c r="L464" t="n">
        <v>0</v>
      </c>
      <c r="M464" t="n">
        <v>0</v>
      </c>
      <c r="N464" t="n">
        <v>0</v>
      </c>
      <c r="O464" t="n">
        <v>0</v>
      </c>
      <c r="P464" t="n">
        <v>0</v>
      </c>
      <c r="Q464" t="n">
        <v>0</v>
      </c>
      <c r="R464" s="2" t="inlineStr"/>
    </row>
    <row r="465" ht="15" customHeight="1">
      <c r="A465" t="inlineStr">
        <is>
          <t>A 21916-2025</t>
        </is>
      </c>
      <c r="B465" s="1" t="n">
        <v>45784.50115740741</v>
      </c>
      <c r="C465" s="1" t="n">
        <v>45881</v>
      </c>
      <c r="D465" t="inlineStr">
        <is>
          <t>DALARNAS LÄN</t>
        </is>
      </c>
      <c r="E465" t="inlineStr">
        <is>
          <t>LEKSAND</t>
        </is>
      </c>
      <c r="G465" t="n">
        <v>2.6</v>
      </c>
      <c r="H465" t="n">
        <v>0</v>
      </c>
      <c r="I465" t="n">
        <v>0</v>
      </c>
      <c r="J465" t="n">
        <v>0</v>
      </c>
      <c r="K465" t="n">
        <v>0</v>
      </c>
      <c r="L465" t="n">
        <v>0</v>
      </c>
      <c r="M465" t="n">
        <v>0</v>
      </c>
      <c r="N465" t="n">
        <v>0</v>
      </c>
      <c r="O465" t="n">
        <v>0</v>
      </c>
      <c r="P465" t="n">
        <v>0</v>
      </c>
      <c r="Q465" t="n">
        <v>0</v>
      </c>
      <c r="R465" s="2" t="inlineStr"/>
    </row>
    <row r="466" ht="15" customHeight="1">
      <c r="A466" t="inlineStr">
        <is>
          <t>A 14967-2023</t>
        </is>
      </c>
      <c r="B466" s="1" t="n">
        <v>45015</v>
      </c>
      <c r="C466" s="1" t="n">
        <v>45881</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45991-2020</t>
        </is>
      </c>
      <c r="B467" s="1" t="n">
        <v>44088</v>
      </c>
      <c r="C467" s="1" t="n">
        <v>45881</v>
      </c>
      <c r="D467" t="inlineStr">
        <is>
          <t>DALARNAS LÄN</t>
        </is>
      </c>
      <c r="E467" t="inlineStr">
        <is>
          <t>LEKSAND</t>
        </is>
      </c>
      <c r="G467" t="n">
        <v>9.9</v>
      </c>
      <c r="H467" t="n">
        <v>0</v>
      </c>
      <c r="I467" t="n">
        <v>0</v>
      </c>
      <c r="J467" t="n">
        <v>0</v>
      </c>
      <c r="K467" t="n">
        <v>0</v>
      </c>
      <c r="L467" t="n">
        <v>0</v>
      </c>
      <c r="M467" t="n">
        <v>0</v>
      </c>
      <c r="N467" t="n">
        <v>0</v>
      </c>
      <c r="O467" t="n">
        <v>0</v>
      </c>
      <c r="P467" t="n">
        <v>0</v>
      </c>
      <c r="Q467" t="n">
        <v>0</v>
      </c>
      <c r="R467" s="2" t="inlineStr"/>
    </row>
    <row r="468" ht="15" customHeight="1">
      <c r="A468" t="inlineStr">
        <is>
          <t>A 62307-2023</t>
        </is>
      </c>
      <c r="B468" s="1" t="n">
        <v>45266</v>
      </c>
      <c r="C468" s="1" t="n">
        <v>45881</v>
      </c>
      <c r="D468" t="inlineStr">
        <is>
          <t>DALARNAS LÄN</t>
        </is>
      </c>
      <c r="E468" t="inlineStr">
        <is>
          <t>LEKSAND</t>
        </is>
      </c>
      <c r="G468" t="n">
        <v>3.9</v>
      </c>
      <c r="H468" t="n">
        <v>0</v>
      </c>
      <c r="I468" t="n">
        <v>0</v>
      </c>
      <c r="J468" t="n">
        <v>0</v>
      </c>
      <c r="K468" t="n">
        <v>0</v>
      </c>
      <c r="L468" t="n">
        <v>0</v>
      </c>
      <c r="M468" t="n">
        <v>0</v>
      </c>
      <c r="N468" t="n">
        <v>0</v>
      </c>
      <c r="O468" t="n">
        <v>0</v>
      </c>
      <c r="P468" t="n">
        <v>0</v>
      </c>
      <c r="Q468" t="n">
        <v>0</v>
      </c>
      <c r="R468" s="2" t="inlineStr"/>
    </row>
    <row r="469" ht="15" customHeight="1">
      <c r="A469" t="inlineStr">
        <is>
          <t>A 11740-2025</t>
        </is>
      </c>
      <c r="B469" s="1" t="n">
        <v>45727.62582175926</v>
      </c>
      <c r="C469" s="1" t="n">
        <v>45881</v>
      </c>
      <c r="D469" t="inlineStr">
        <is>
          <t>DALARNAS LÄN</t>
        </is>
      </c>
      <c r="E469" t="inlineStr">
        <is>
          <t>LEKSAND</t>
        </is>
      </c>
      <c r="F469" t="inlineStr">
        <is>
          <t>Övriga Aktiebolag</t>
        </is>
      </c>
      <c r="G469" t="n">
        <v>1.3</v>
      </c>
      <c r="H469" t="n">
        <v>0</v>
      </c>
      <c r="I469" t="n">
        <v>0</v>
      </c>
      <c r="J469" t="n">
        <v>0</v>
      </c>
      <c r="K469" t="n">
        <v>0</v>
      </c>
      <c r="L469" t="n">
        <v>0</v>
      </c>
      <c r="M469" t="n">
        <v>0</v>
      </c>
      <c r="N469" t="n">
        <v>0</v>
      </c>
      <c r="O469" t="n">
        <v>0</v>
      </c>
      <c r="P469" t="n">
        <v>0</v>
      </c>
      <c r="Q469" t="n">
        <v>0</v>
      </c>
      <c r="R469" s="2" t="inlineStr"/>
    </row>
    <row r="470" ht="15" customHeight="1">
      <c r="A470" t="inlineStr">
        <is>
          <t>A 61554-2024</t>
        </is>
      </c>
      <c r="B470" s="1" t="n">
        <v>45646.60748842593</v>
      </c>
      <c r="C470" s="1" t="n">
        <v>45881</v>
      </c>
      <c r="D470" t="inlineStr">
        <is>
          <t>DALARNAS LÄN</t>
        </is>
      </c>
      <c r="E470" t="inlineStr">
        <is>
          <t>LEKSAND</t>
        </is>
      </c>
      <c r="G470" t="n">
        <v>2.6</v>
      </c>
      <c r="H470" t="n">
        <v>0</v>
      </c>
      <c r="I470" t="n">
        <v>0</v>
      </c>
      <c r="J470" t="n">
        <v>0</v>
      </c>
      <c r="K470" t="n">
        <v>0</v>
      </c>
      <c r="L470" t="n">
        <v>0</v>
      </c>
      <c r="M470" t="n">
        <v>0</v>
      </c>
      <c r="N470" t="n">
        <v>0</v>
      </c>
      <c r="O470" t="n">
        <v>0</v>
      </c>
      <c r="P470" t="n">
        <v>0</v>
      </c>
      <c r="Q470" t="n">
        <v>0</v>
      </c>
      <c r="R470" s="2" t="inlineStr"/>
    </row>
    <row r="471" ht="15" customHeight="1">
      <c r="A471" t="inlineStr">
        <is>
          <t>A 9781-2024</t>
        </is>
      </c>
      <c r="B471" s="1" t="n">
        <v>45362.66299768518</v>
      </c>
      <c r="C471" s="1" t="n">
        <v>45881</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36534-2024</t>
        </is>
      </c>
      <c r="B472" s="1" t="n">
        <v>45537.45143518518</v>
      </c>
      <c r="C472" s="1" t="n">
        <v>45881</v>
      </c>
      <c r="D472" t="inlineStr">
        <is>
          <t>DALARNAS LÄN</t>
        </is>
      </c>
      <c r="E472" t="inlineStr">
        <is>
          <t>LEKSAND</t>
        </is>
      </c>
      <c r="G472" t="n">
        <v>4</v>
      </c>
      <c r="H472" t="n">
        <v>0</v>
      </c>
      <c r="I472" t="n">
        <v>0</v>
      </c>
      <c r="J472" t="n">
        <v>0</v>
      </c>
      <c r="K472" t="n">
        <v>0</v>
      </c>
      <c r="L472" t="n">
        <v>0</v>
      </c>
      <c r="M472" t="n">
        <v>0</v>
      </c>
      <c r="N472" t="n">
        <v>0</v>
      </c>
      <c r="O472" t="n">
        <v>0</v>
      </c>
      <c r="P472" t="n">
        <v>0</v>
      </c>
      <c r="Q472" t="n">
        <v>0</v>
      </c>
      <c r="R472" s="2" t="inlineStr"/>
    </row>
    <row r="473" ht="15" customHeight="1">
      <c r="A473" t="inlineStr">
        <is>
          <t>A 22361-2025</t>
        </is>
      </c>
      <c r="B473" s="1" t="n">
        <v>45786.46650462963</v>
      </c>
      <c r="C473" s="1" t="n">
        <v>45881</v>
      </c>
      <c r="D473" t="inlineStr">
        <is>
          <t>DALARNAS LÄN</t>
        </is>
      </c>
      <c r="E473" t="inlineStr">
        <is>
          <t>LEKSAND</t>
        </is>
      </c>
      <c r="G473" t="n">
        <v>3.5</v>
      </c>
      <c r="H473" t="n">
        <v>0</v>
      </c>
      <c r="I473" t="n">
        <v>0</v>
      </c>
      <c r="J473" t="n">
        <v>0</v>
      </c>
      <c r="K473" t="n">
        <v>0</v>
      </c>
      <c r="L473" t="n">
        <v>0</v>
      </c>
      <c r="M473" t="n">
        <v>0</v>
      </c>
      <c r="N473" t="n">
        <v>0</v>
      </c>
      <c r="O473" t="n">
        <v>0</v>
      </c>
      <c r="P473" t="n">
        <v>0</v>
      </c>
      <c r="Q473" t="n">
        <v>0</v>
      </c>
      <c r="R473" s="2" t="inlineStr"/>
    </row>
    <row r="474" ht="15" customHeight="1">
      <c r="A474" t="inlineStr">
        <is>
          <t>A 63513-2023</t>
        </is>
      </c>
      <c r="B474" s="1" t="n">
        <v>45274</v>
      </c>
      <c r="C474" s="1" t="n">
        <v>45881</v>
      </c>
      <c r="D474" t="inlineStr">
        <is>
          <t>DALARNAS LÄN</t>
        </is>
      </c>
      <c r="E474" t="inlineStr">
        <is>
          <t>LEKSAND</t>
        </is>
      </c>
      <c r="G474" t="n">
        <v>2.3</v>
      </c>
      <c r="H474" t="n">
        <v>0</v>
      </c>
      <c r="I474" t="n">
        <v>0</v>
      </c>
      <c r="J474" t="n">
        <v>0</v>
      </c>
      <c r="K474" t="n">
        <v>0</v>
      </c>
      <c r="L474" t="n">
        <v>0</v>
      </c>
      <c r="M474" t="n">
        <v>0</v>
      </c>
      <c r="N474" t="n">
        <v>0</v>
      </c>
      <c r="O474" t="n">
        <v>0</v>
      </c>
      <c r="P474" t="n">
        <v>0</v>
      </c>
      <c r="Q474" t="n">
        <v>0</v>
      </c>
      <c r="R474" s="2" t="inlineStr"/>
    </row>
    <row r="475" ht="15" customHeight="1">
      <c r="A475" t="inlineStr">
        <is>
          <t>A 40230-2023</t>
        </is>
      </c>
      <c r="B475" s="1" t="n">
        <v>45169.46887731482</v>
      </c>
      <c r="C475" s="1" t="n">
        <v>45881</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39819-2024</t>
        </is>
      </c>
      <c r="B476" s="1" t="n">
        <v>45553.38774305556</v>
      </c>
      <c r="C476" s="1" t="n">
        <v>45881</v>
      </c>
      <c r="D476" t="inlineStr">
        <is>
          <t>DALARNAS LÄN</t>
        </is>
      </c>
      <c r="E476" t="inlineStr">
        <is>
          <t>LEKSAND</t>
        </is>
      </c>
      <c r="F476" t="inlineStr">
        <is>
          <t>Bergvik skog väst AB</t>
        </is>
      </c>
      <c r="G476" t="n">
        <v>3.7</v>
      </c>
      <c r="H476" t="n">
        <v>0</v>
      </c>
      <c r="I476" t="n">
        <v>0</v>
      </c>
      <c r="J476" t="n">
        <v>0</v>
      </c>
      <c r="K476" t="n">
        <v>0</v>
      </c>
      <c r="L476" t="n">
        <v>0</v>
      </c>
      <c r="M476" t="n">
        <v>0</v>
      </c>
      <c r="N476" t="n">
        <v>0</v>
      </c>
      <c r="O476" t="n">
        <v>0</v>
      </c>
      <c r="P476" t="n">
        <v>0</v>
      </c>
      <c r="Q476" t="n">
        <v>0</v>
      </c>
      <c r="R476" s="2" t="inlineStr"/>
    </row>
    <row r="477" ht="15" customHeight="1">
      <c r="A477" t="inlineStr">
        <is>
          <t>A 23509-2023</t>
        </is>
      </c>
      <c r="B477" s="1" t="n">
        <v>45076</v>
      </c>
      <c r="C477" s="1" t="n">
        <v>45881</v>
      </c>
      <c r="D477" t="inlineStr">
        <is>
          <t>DALARNAS LÄN</t>
        </is>
      </c>
      <c r="E477" t="inlineStr">
        <is>
          <t>LEKSAND</t>
        </is>
      </c>
      <c r="G477" t="n">
        <v>2.1</v>
      </c>
      <c r="H477" t="n">
        <v>0</v>
      </c>
      <c r="I477" t="n">
        <v>0</v>
      </c>
      <c r="J477" t="n">
        <v>0</v>
      </c>
      <c r="K477" t="n">
        <v>0</v>
      </c>
      <c r="L477" t="n">
        <v>0</v>
      </c>
      <c r="M477" t="n">
        <v>0</v>
      </c>
      <c r="N477" t="n">
        <v>0</v>
      </c>
      <c r="O477" t="n">
        <v>0</v>
      </c>
      <c r="P477" t="n">
        <v>0</v>
      </c>
      <c r="Q477" t="n">
        <v>0</v>
      </c>
      <c r="R477" s="2" t="inlineStr"/>
    </row>
    <row r="478" ht="15" customHeight="1">
      <c r="A478" t="inlineStr">
        <is>
          <t>A 52100-2024</t>
        </is>
      </c>
      <c r="B478" s="1" t="n">
        <v>45608.41634259259</v>
      </c>
      <c r="C478" s="1" t="n">
        <v>45881</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4257-2022</t>
        </is>
      </c>
      <c r="B479" s="1" t="n">
        <v>44588</v>
      </c>
      <c r="C479" s="1" t="n">
        <v>45881</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34244-2024</t>
        </is>
      </c>
      <c r="B480" s="1" t="n">
        <v>45524.58349537037</v>
      </c>
      <c r="C480" s="1" t="n">
        <v>45881</v>
      </c>
      <c r="D480" t="inlineStr">
        <is>
          <t>DALARNAS LÄN</t>
        </is>
      </c>
      <c r="E480" t="inlineStr">
        <is>
          <t>LEKSAND</t>
        </is>
      </c>
      <c r="G480" t="n">
        <v>1.5</v>
      </c>
      <c r="H480" t="n">
        <v>0</v>
      </c>
      <c r="I480" t="n">
        <v>0</v>
      </c>
      <c r="J480" t="n">
        <v>0</v>
      </c>
      <c r="K480" t="n">
        <v>0</v>
      </c>
      <c r="L480" t="n">
        <v>0</v>
      </c>
      <c r="M480" t="n">
        <v>0</v>
      </c>
      <c r="N480" t="n">
        <v>0</v>
      </c>
      <c r="O480" t="n">
        <v>0</v>
      </c>
      <c r="P480" t="n">
        <v>0</v>
      </c>
      <c r="Q480" t="n">
        <v>0</v>
      </c>
      <c r="R480" s="2" t="inlineStr"/>
    </row>
    <row r="481" ht="15" customHeight="1">
      <c r="A481" t="inlineStr">
        <is>
          <t>A 31726-2024</t>
        </is>
      </c>
      <c r="B481" s="1" t="n">
        <v>45509.33908564815</v>
      </c>
      <c r="C481" s="1" t="n">
        <v>45881</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44491-2023</t>
        </is>
      </c>
      <c r="B482" s="1" t="n">
        <v>45183</v>
      </c>
      <c r="C482" s="1" t="n">
        <v>45881</v>
      </c>
      <c r="D482" t="inlineStr">
        <is>
          <t>DALARNAS LÄN</t>
        </is>
      </c>
      <c r="E482" t="inlineStr">
        <is>
          <t>LEKSAND</t>
        </is>
      </c>
      <c r="G482" t="n">
        <v>2.6</v>
      </c>
      <c r="H482" t="n">
        <v>0</v>
      </c>
      <c r="I482" t="n">
        <v>0</v>
      </c>
      <c r="J482" t="n">
        <v>0</v>
      </c>
      <c r="K482" t="n">
        <v>0</v>
      </c>
      <c r="L482" t="n">
        <v>0</v>
      </c>
      <c r="M482" t="n">
        <v>0</v>
      </c>
      <c r="N482" t="n">
        <v>0</v>
      </c>
      <c r="O482" t="n">
        <v>0</v>
      </c>
      <c r="P482" t="n">
        <v>0</v>
      </c>
      <c r="Q482" t="n">
        <v>0</v>
      </c>
      <c r="R482" s="2" t="inlineStr"/>
    </row>
    <row r="483" ht="15" customHeight="1">
      <c r="A483" t="inlineStr">
        <is>
          <t>A 7861-2024</t>
        </is>
      </c>
      <c r="B483" s="1" t="n">
        <v>45350.30831018519</v>
      </c>
      <c r="C483" s="1" t="n">
        <v>45881</v>
      </c>
      <c r="D483" t="inlineStr">
        <is>
          <t>DALARNAS LÄN</t>
        </is>
      </c>
      <c r="E483" t="inlineStr">
        <is>
          <t>LEKSAND</t>
        </is>
      </c>
      <c r="G483" t="n">
        <v>1.8</v>
      </c>
      <c r="H483" t="n">
        <v>0</v>
      </c>
      <c r="I483" t="n">
        <v>0</v>
      </c>
      <c r="J483" t="n">
        <v>0</v>
      </c>
      <c r="K483" t="n">
        <v>0</v>
      </c>
      <c r="L483" t="n">
        <v>0</v>
      </c>
      <c r="M483" t="n">
        <v>0</v>
      </c>
      <c r="N483" t="n">
        <v>0</v>
      </c>
      <c r="O483" t="n">
        <v>0</v>
      </c>
      <c r="P483" t="n">
        <v>0</v>
      </c>
      <c r="Q483" t="n">
        <v>0</v>
      </c>
      <c r="R483" s="2" t="inlineStr"/>
    </row>
    <row r="484" ht="15" customHeight="1">
      <c r="A484" t="inlineStr">
        <is>
          <t>A 33001-2023</t>
        </is>
      </c>
      <c r="B484" s="1" t="n">
        <v>45125</v>
      </c>
      <c r="C484" s="1" t="n">
        <v>45881</v>
      </c>
      <c r="D484" t="inlineStr">
        <is>
          <t>DALARNAS LÄN</t>
        </is>
      </c>
      <c r="E484" t="inlineStr">
        <is>
          <t>LEKSAND</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22080-2025</t>
        </is>
      </c>
      <c r="B485" s="1" t="n">
        <v>45785</v>
      </c>
      <c r="C485" s="1" t="n">
        <v>45881</v>
      </c>
      <c r="D485" t="inlineStr">
        <is>
          <t>DALARNAS LÄN</t>
        </is>
      </c>
      <c r="E485" t="inlineStr">
        <is>
          <t>LEKSAND</t>
        </is>
      </c>
      <c r="G485" t="n">
        <v>7</v>
      </c>
      <c r="H485" t="n">
        <v>0</v>
      </c>
      <c r="I485" t="n">
        <v>0</v>
      </c>
      <c r="J485" t="n">
        <v>0</v>
      </c>
      <c r="K485" t="n">
        <v>0</v>
      </c>
      <c r="L485" t="n">
        <v>0</v>
      </c>
      <c r="M485" t="n">
        <v>0</v>
      </c>
      <c r="N485" t="n">
        <v>0</v>
      </c>
      <c r="O485" t="n">
        <v>0</v>
      </c>
      <c r="P485" t="n">
        <v>0</v>
      </c>
      <c r="Q485" t="n">
        <v>0</v>
      </c>
      <c r="R485" s="2" t="inlineStr"/>
    </row>
    <row r="486" ht="15" customHeight="1">
      <c r="A486" t="inlineStr">
        <is>
          <t>A 33674-2023</t>
        </is>
      </c>
      <c r="B486" s="1" t="n">
        <v>45132</v>
      </c>
      <c r="C486" s="1" t="n">
        <v>45881</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55512-2024</t>
        </is>
      </c>
      <c r="B487" s="1" t="n">
        <v>45621</v>
      </c>
      <c r="C487" s="1" t="n">
        <v>45881</v>
      </c>
      <c r="D487" t="inlineStr">
        <is>
          <t>DALARNAS LÄN</t>
        </is>
      </c>
      <c r="E487" t="inlineStr">
        <is>
          <t>LEKSAND</t>
        </is>
      </c>
      <c r="G487" t="n">
        <v>1.5</v>
      </c>
      <c r="H487" t="n">
        <v>0</v>
      </c>
      <c r="I487" t="n">
        <v>0</v>
      </c>
      <c r="J487" t="n">
        <v>0</v>
      </c>
      <c r="K487" t="n">
        <v>0</v>
      </c>
      <c r="L487" t="n">
        <v>0</v>
      </c>
      <c r="M487" t="n">
        <v>0</v>
      </c>
      <c r="N487" t="n">
        <v>0</v>
      </c>
      <c r="O487" t="n">
        <v>0</v>
      </c>
      <c r="P487" t="n">
        <v>0</v>
      </c>
      <c r="Q487" t="n">
        <v>0</v>
      </c>
      <c r="R487" s="2" t="inlineStr"/>
    </row>
    <row r="488" ht="15" customHeight="1">
      <c r="A488" t="inlineStr">
        <is>
          <t>A 25249-2024</t>
        </is>
      </c>
      <c r="B488" s="1" t="n">
        <v>45462.60643518518</v>
      </c>
      <c r="C488" s="1" t="n">
        <v>45881</v>
      </c>
      <c r="D488" t="inlineStr">
        <is>
          <t>DALARNAS LÄN</t>
        </is>
      </c>
      <c r="E488" t="inlineStr">
        <is>
          <t>LEKSAND</t>
        </is>
      </c>
      <c r="F488" t="inlineStr">
        <is>
          <t>Bergvik skog väst AB</t>
        </is>
      </c>
      <c r="G488" t="n">
        <v>1</v>
      </c>
      <c r="H488" t="n">
        <v>0</v>
      </c>
      <c r="I488" t="n">
        <v>0</v>
      </c>
      <c r="J488" t="n">
        <v>0</v>
      </c>
      <c r="K488" t="n">
        <v>0</v>
      </c>
      <c r="L488" t="n">
        <v>0</v>
      </c>
      <c r="M488" t="n">
        <v>0</v>
      </c>
      <c r="N488" t="n">
        <v>0</v>
      </c>
      <c r="O488" t="n">
        <v>0</v>
      </c>
      <c r="P488" t="n">
        <v>0</v>
      </c>
      <c r="Q488" t="n">
        <v>0</v>
      </c>
      <c r="R488" s="2" t="inlineStr"/>
    </row>
    <row r="489" ht="15" customHeight="1">
      <c r="A489" t="inlineStr">
        <is>
          <t>A 52059-2024</t>
        </is>
      </c>
      <c r="B489" s="1" t="n">
        <v>45608.35609953704</v>
      </c>
      <c r="C489" s="1" t="n">
        <v>45881</v>
      </c>
      <c r="D489" t="inlineStr">
        <is>
          <t>DALARNAS LÄN</t>
        </is>
      </c>
      <c r="E489" t="inlineStr">
        <is>
          <t>LEKSAND</t>
        </is>
      </c>
      <c r="G489" t="n">
        <v>0.8</v>
      </c>
      <c r="H489" t="n">
        <v>0</v>
      </c>
      <c r="I489" t="n">
        <v>0</v>
      </c>
      <c r="J489" t="n">
        <v>0</v>
      </c>
      <c r="K489" t="n">
        <v>0</v>
      </c>
      <c r="L489" t="n">
        <v>0</v>
      </c>
      <c r="M489" t="n">
        <v>0</v>
      </c>
      <c r="N489" t="n">
        <v>0</v>
      </c>
      <c r="O489" t="n">
        <v>0</v>
      </c>
      <c r="P489" t="n">
        <v>0</v>
      </c>
      <c r="Q489" t="n">
        <v>0</v>
      </c>
      <c r="R489" s="2" t="inlineStr"/>
    </row>
    <row r="490" ht="15" customHeight="1">
      <c r="A490" t="inlineStr">
        <is>
          <t>A 12992-2022</t>
        </is>
      </c>
      <c r="B490" s="1" t="n">
        <v>44643</v>
      </c>
      <c r="C490" s="1" t="n">
        <v>45881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11712-2025</t>
        </is>
      </c>
      <c r="B491" s="1" t="n">
        <v>45727</v>
      </c>
      <c r="C491" s="1" t="n">
        <v>45881</v>
      </c>
      <c r="D491" t="inlineStr">
        <is>
          <t>DALARNAS LÄN</t>
        </is>
      </c>
      <c r="E491" t="inlineStr">
        <is>
          <t>LEKSAND</t>
        </is>
      </c>
      <c r="G491" t="n">
        <v>6</v>
      </c>
      <c r="H491" t="n">
        <v>0</v>
      </c>
      <c r="I491" t="n">
        <v>0</v>
      </c>
      <c r="J491" t="n">
        <v>0</v>
      </c>
      <c r="K491" t="n">
        <v>0</v>
      </c>
      <c r="L491" t="n">
        <v>0</v>
      </c>
      <c r="M491" t="n">
        <v>0</v>
      </c>
      <c r="N491" t="n">
        <v>0</v>
      </c>
      <c r="O491" t="n">
        <v>0</v>
      </c>
      <c r="P491" t="n">
        <v>0</v>
      </c>
      <c r="Q491" t="n">
        <v>0</v>
      </c>
      <c r="R491" s="2" t="inlineStr"/>
    </row>
    <row r="492" ht="15" customHeight="1">
      <c r="A492" t="inlineStr">
        <is>
          <t>A 24003-2024</t>
        </is>
      </c>
      <c r="B492" s="1" t="n">
        <v>45456.39003472222</v>
      </c>
      <c r="C492" s="1" t="n">
        <v>45881</v>
      </c>
      <c r="D492" t="inlineStr">
        <is>
          <t>DALARNAS LÄN</t>
        </is>
      </c>
      <c r="E492" t="inlineStr">
        <is>
          <t>LEKSAND</t>
        </is>
      </c>
      <c r="F492" t="inlineStr">
        <is>
          <t>Bergvik skog väst AB</t>
        </is>
      </c>
      <c r="G492" t="n">
        <v>3.2</v>
      </c>
      <c r="H492" t="n">
        <v>0</v>
      </c>
      <c r="I492" t="n">
        <v>0</v>
      </c>
      <c r="J492" t="n">
        <v>0</v>
      </c>
      <c r="K492" t="n">
        <v>0</v>
      </c>
      <c r="L492" t="n">
        <v>0</v>
      </c>
      <c r="M492" t="n">
        <v>0</v>
      </c>
      <c r="N492" t="n">
        <v>0</v>
      </c>
      <c r="O492" t="n">
        <v>0</v>
      </c>
      <c r="P492" t="n">
        <v>0</v>
      </c>
      <c r="Q492" t="n">
        <v>0</v>
      </c>
      <c r="R492" s="2" t="inlineStr"/>
    </row>
    <row r="493" ht="15" customHeight="1">
      <c r="A493" t="inlineStr">
        <is>
          <t>A 40642-2023</t>
        </is>
      </c>
      <c r="B493" s="1" t="n">
        <v>45169</v>
      </c>
      <c r="C493" s="1" t="n">
        <v>45881</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22947-2025</t>
        </is>
      </c>
      <c r="B494" s="1" t="n">
        <v>45790.48791666667</v>
      </c>
      <c r="C494" s="1" t="n">
        <v>45881</v>
      </c>
      <c r="D494" t="inlineStr">
        <is>
          <t>DALARNAS LÄN</t>
        </is>
      </c>
      <c r="E494" t="inlineStr">
        <is>
          <t>LEKSAND</t>
        </is>
      </c>
      <c r="G494" t="n">
        <v>4.6</v>
      </c>
      <c r="H494" t="n">
        <v>0</v>
      </c>
      <c r="I494" t="n">
        <v>0</v>
      </c>
      <c r="J494" t="n">
        <v>0</v>
      </c>
      <c r="K494" t="n">
        <v>0</v>
      </c>
      <c r="L494" t="n">
        <v>0</v>
      </c>
      <c r="M494" t="n">
        <v>0</v>
      </c>
      <c r="N494" t="n">
        <v>0</v>
      </c>
      <c r="O494" t="n">
        <v>0</v>
      </c>
      <c r="P494" t="n">
        <v>0</v>
      </c>
      <c r="Q494" t="n">
        <v>0</v>
      </c>
      <c r="R494" s="2" t="inlineStr"/>
    </row>
    <row r="495" ht="15" customHeight="1">
      <c r="A495" t="inlineStr">
        <is>
          <t>A 47854-2023</t>
        </is>
      </c>
      <c r="B495" s="1" t="n">
        <v>45198</v>
      </c>
      <c r="C495" s="1" t="n">
        <v>45881</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39136-2023</t>
        </is>
      </c>
      <c r="B496" s="1" t="n">
        <v>45165</v>
      </c>
      <c r="C496" s="1" t="n">
        <v>45881</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22536-2025</t>
        </is>
      </c>
      <c r="B497" s="1" t="n">
        <v>45787.33037037037</v>
      </c>
      <c r="C497" s="1" t="n">
        <v>45881</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60042-2023</t>
        </is>
      </c>
      <c r="B498" s="1" t="n">
        <v>45256</v>
      </c>
      <c r="C498" s="1" t="n">
        <v>45881</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22876-2025</t>
        </is>
      </c>
      <c r="B499" s="1" t="n">
        <v>45790.3728587963</v>
      </c>
      <c r="C499" s="1" t="n">
        <v>45881</v>
      </c>
      <c r="D499" t="inlineStr">
        <is>
          <t>DALARNAS LÄN</t>
        </is>
      </c>
      <c r="E499" t="inlineStr">
        <is>
          <t>LEKSAND</t>
        </is>
      </c>
      <c r="G499" t="n">
        <v>5.9</v>
      </c>
      <c r="H499" t="n">
        <v>0</v>
      </c>
      <c r="I499" t="n">
        <v>0</v>
      </c>
      <c r="J499" t="n">
        <v>0</v>
      </c>
      <c r="K499" t="n">
        <v>0</v>
      </c>
      <c r="L499" t="n">
        <v>0</v>
      </c>
      <c r="M499" t="n">
        <v>0</v>
      </c>
      <c r="N499" t="n">
        <v>0</v>
      </c>
      <c r="O499" t="n">
        <v>0</v>
      </c>
      <c r="P499" t="n">
        <v>0</v>
      </c>
      <c r="Q499" t="n">
        <v>0</v>
      </c>
      <c r="R499" s="2" t="inlineStr"/>
    </row>
    <row r="500" ht="15" customHeight="1">
      <c r="A500" t="inlineStr">
        <is>
          <t>A 44469-2024</t>
        </is>
      </c>
      <c r="B500" s="1" t="n">
        <v>45574</v>
      </c>
      <c r="C500" s="1" t="n">
        <v>45881</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52293-2024</t>
        </is>
      </c>
      <c r="B501" s="1" t="n">
        <v>45608.71297453704</v>
      </c>
      <c r="C501" s="1" t="n">
        <v>45881</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23517-2025</t>
        </is>
      </c>
      <c r="B502" s="1" t="n">
        <v>45792</v>
      </c>
      <c r="C502" s="1" t="n">
        <v>45881</v>
      </c>
      <c r="D502" t="inlineStr">
        <is>
          <t>DALARNAS LÄN</t>
        </is>
      </c>
      <c r="E502" t="inlineStr">
        <is>
          <t>LEKSAND</t>
        </is>
      </c>
      <c r="G502" t="n">
        <v>2.2</v>
      </c>
      <c r="H502" t="n">
        <v>0</v>
      </c>
      <c r="I502" t="n">
        <v>0</v>
      </c>
      <c r="J502" t="n">
        <v>0</v>
      </c>
      <c r="K502" t="n">
        <v>0</v>
      </c>
      <c r="L502" t="n">
        <v>0</v>
      </c>
      <c r="M502" t="n">
        <v>0</v>
      </c>
      <c r="N502" t="n">
        <v>0</v>
      </c>
      <c r="O502" t="n">
        <v>0</v>
      </c>
      <c r="P502" t="n">
        <v>0</v>
      </c>
      <c r="Q502" t="n">
        <v>0</v>
      </c>
      <c r="R502" s="2" t="inlineStr"/>
    </row>
    <row r="503" ht="15" customHeight="1">
      <c r="A503" t="inlineStr">
        <is>
          <t>A 46876-2023</t>
        </is>
      </c>
      <c r="B503" s="1" t="n">
        <v>45200</v>
      </c>
      <c r="C503" s="1" t="n">
        <v>45881</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9857-2025</t>
        </is>
      </c>
      <c r="B504" s="1" t="n">
        <v>45716.62609953704</v>
      </c>
      <c r="C504" s="1" t="n">
        <v>45881</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40181-2023</t>
        </is>
      </c>
      <c r="B505" s="1" t="n">
        <v>45169</v>
      </c>
      <c r="C505" s="1" t="n">
        <v>45881</v>
      </c>
      <c r="D505" t="inlineStr">
        <is>
          <t>DALARNAS LÄN</t>
        </is>
      </c>
      <c r="E505" t="inlineStr">
        <is>
          <t>LEKSAND</t>
        </is>
      </c>
      <c r="G505" t="n">
        <v>2.8</v>
      </c>
      <c r="H505" t="n">
        <v>0</v>
      </c>
      <c r="I505" t="n">
        <v>0</v>
      </c>
      <c r="J505" t="n">
        <v>0</v>
      </c>
      <c r="K505" t="n">
        <v>0</v>
      </c>
      <c r="L505" t="n">
        <v>0</v>
      </c>
      <c r="M505" t="n">
        <v>0</v>
      </c>
      <c r="N505" t="n">
        <v>0</v>
      </c>
      <c r="O505" t="n">
        <v>0</v>
      </c>
      <c r="P505" t="n">
        <v>0</v>
      </c>
      <c r="Q505" t="n">
        <v>0</v>
      </c>
      <c r="R505" s="2" t="inlineStr"/>
    </row>
    <row r="506" ht="15" customHeight="1">
      <c r="A506" t="inlineStr">
        <is>
          <t>A 23058-2025</t>
        </is>
      </c>
      <c r="B506" s="1" t="n">
        <v>45790.78076388889</v>
      </c>
      <c r="C506" s="1" t="n">
        <v>45881</v>
      </c>
      <c r="D506" t="inlineStr">
        <is>
          <t>DALARNAS LÄN</t>
        </is>
      </c>
      <c r="E506" t="inlineStr">
        <is>
          <t>LEKSAND</t>
        </is>
      </c>
      <c r="G506" t="n">
        <v>6.7</v>
      </c>
      <c r="H506" t="n">
        <v>0</v>
      </c>
      <c r="I506" t="n">
        <v>0</v>
      </c>
      <c r="J506" t="n">
        <v>0</v>
      </c>
      <c r="K506" t="n">
        <v>0</v>
      </c>
      <c r="L506" t="n">
        <v>0</v>
      </c>
      <c r="M506" t="n">
        <v>0</v>
      </c>
      <c r="N506" t="n">
        <v>0</v>
      </c>
      <c r="O506" t="n">
        <v>0</v>
      </c>
      <c r="P506" t="n">
        <v>0</v>
      </c>
      <c r="Q506" t="n">
        <v>0</v>
      </c>
      <c r="R506" s="2" t="inlineStr"/>
    </row>
    <row r="507" ht="15" customHeight="1">
      <c r="A507" t="inlineStr">
        <is>
          <t>A 23076-2025</t>
        </is>
      </c>
      <c r="B507" s="1" t="n">
        <v>45790.90960648148</v>
      </c>
      <c r="C507" s="1" t="n">
        <v>45881</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1267-2025</t>
        </is>
      </c>
      <c r="B508" s="1" t="n">
        <v>45667</v>
      </c>
      <c r="C508" s="1" t="n">
        <v>45881</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57468-2023</t>
        </is>
      </c>
      <c r="B509" s="1" t="n">
        <v>45246</v>
      </c>
      <c r="C509" s="1" t="n">
        <v>45881</v>
      </c>
      <c r="D509" t="inlineStr">
        <is>
          <t>DALARNAS LÄN</t>
        </is>
      </c>
      <c r="E509" t="inlineStr">
        <is>
          <t>LEKSAND</t>
        </is>
      </c>
      <c r="G509" t="n">
        <v>4.6</v>
      </c>
      <c r="H509" t="n">
        <v>0</v>
      </c>
      <c r="I509" t="n">
        <v>0</v>
      </c>
      <c r="J509" t="n">
        <v>0</v>
      </c>
      <c r="K509" t="n">
        <v>0</v>
      </c>
      <c r="L509" t="n">
        <v>0</v>
      </c>
      <c r="M509" t="n">
        <v>0</v>
      </c>
      <c r="N509" t="n">
        <v>0</v>
      </c>
      <c r="O509" t="n">
        <v>0</v>
      </c>
      <c r="P509" t="n">
        <v>0</v>
      </c>
      <c r="Q509" t="n">
        <v>0</v>
      </c>
      <c r="R509" s="2" t="inlineStr"/>
    </row>
    <row r="510" ht="15" customHeight="1">
      <c r="A510" t="inlineStr">
        <is>
          <t>A 44822-2024</t>
        </is>
      </c>
      <c r="B510" s="1" t="n">
        <v>45574.6646412037</v>
      </c>
      <c r="C510" s="1" t="n">
        <v>45881</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42230-2023</t>
        </is>
      </c>
      <c r="B511" s="1" t="n">
        <v>45180</v>
      </c>
      <c r="C511" s="1" t="n">
        <v>45881</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3183-2025</t>
        </is>
      </c>
      <c r="B512" s="1" t="n">
        <v>45679.40298611111</v>
      </c>
      <c r="C512" s="1" t="n">
        <v>45881</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49499-2024</t>
        </is>
      </c>
      <c r="B513" s="1" t="n">
        <v>45596</v>
      </c>
      <c r="C513" s="1" t="n">
        <v>45881</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59751-2024</t>
        </is>
      </c>
      <c r="B514" s="1" t="n">
        <v>45638</v>
      </c>
      <c r="C514" s="1" t="n">
        <v>45881</v>
      </c>
      <c r="D514" t="inlineStr">
        <is>
          <t>DALARNAS LÄN</t>
        </is>
      </c>
      <c r="E514" t="inlineStr">
        <is>
          <t>LEKSAND</t>
        </is>
      </c>
      <c r="G514" t="n">
        <v>5.2</v>
      </c>
      <c r="H514" t="n">
        <v>0</v>
      </c>
      <c r="I514" t="n">
        <v>0</v>
      </c>
      <c r="J514" t="n">
        <v>0</v>
      </c>
      <c r="K514" t="n">
        <v>0</v>
      </c>
      <c r="L514" t="n">
        <v>0</v>
      </c>
      <c r="M514" t="n">
        <v>0</v>
      </c>
      <c r="N514" t="n">
        <v>0</v>
      </c>
      <c r="O514" t="n">
        <v>0</v>
      </c>
      <c r="P514" t="n">
        <v>0</v>
      </c>
      <c r="Q514" t="n">
        <v>0</v>
      </c>
      <c r="R514" s="2" t="inlineStr"/>
    </row>
    <row r="515" ht="15" customHeight="1">
      <c r="A515" t="inlineStr">
        <is>
          <t>A 23855-2025</t>
        </is>
      </c>
      <c r="B515" s="1" t="n">
        <v>45793.65900462963</v>
      </c>
      <c r="C515" s="1" t="n">
        <v>45881</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24919-2024</t>
        </is>
      </c>
      <c r="B516" s="1" t="n">
        <v>45461.60636574074</v>
      </c>
      <c r="C516" s="1" t="n">
        <v>45881</v>
      </c>
      <c r="D516" t="inlineStr">
        <is>
          <t>DALARNAS LÄN</t>
        </is>
      </c>
      <c r="E516" t="inlineStr">
        <is>
          <t>LEKSAND</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54917-2024</t>
        </is>
      </c>
      <c r="B517" s="1" t="n">
        <v>45618.69581018519</v>
      </c>
      <c r="C517" s="1" t="n">
        <v>45881</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19700-2025</t>
        </is>
      </c>
      <c r="B518" s="1" t="n">
        <v>45771.32445601852</v>
      </c>
      <c r="C518" s="1" t="n">
        <v>45881</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7450-2023</t>
        </is>
      </c>
      <c r="B519" s="1" t="n">
        <v>44971</v>
      </c>
      <c r="C519" s="1" t="n">
        <v>45881</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23891-2025</t>
        </is>
      </c>
      <c r="B520" s="1" t="n">
        <v>45793</v>
      </c>
      <c r="C520" s="1" t="n">
        <v>45881</v>
      </c>
      <c r="D520" t="inlineStr">
        <is>
          <t>DALARNAS LÄN</t>
        </is>
      </c>
      <c r="E520" t="inlineStr">
        <is>
          <t>LEKSAND</t>
        </is>
      </c>
      <c r="F520" t="inlineStr">
        <is>
          <t>Kommuner</t>
        </is>
      </c>
      <c r="G520" t="n">
        <v>1.5</v>
      </c>
      <c r="H520" t="n">
        <v>0</v>
      </c>
      <c r="I520" t="n">
        <v>0</v>
      </c>
      <c r="J520" t="n">
        <v>0</v>
      </c>
      <c r="K520" t="n">
        <v>0</v>
      </c>
      <c r="L520" t="n">
        <v>0</v>
      </c>
      <c r="M520" t="n">
        <v>0</v>
      </c>
      <c r="N520" t="n">
        <v>0</v>
      </c>
      <c r="O520" t="n">
        <v>0</v>
      </c>
      <c r="P520" t="n">
        <v>0</v>
      </c>
      <c r="Q520" t="n">
        <v>0</v>
      </c>
      <c r="R520" s="2" t="inlineStr"/>
    </row>
    <row r="521" ht="15" customHeight="1">
      <c r="A521" t="inlineStr">
        <is>
          <t>A 8045-2024</t>
        </is>
      </c>
      <c r="B521" s="1" t="n">
        <v>45351.31371527778</v>
      </c>
      <c r="C521" s="1" t="n">
        <v>45881</v>
      </c>
      <c r="D521" t="inlineStr">
        <is>
          <t>DALARNAS LÄN</t>
        </is>
      </c>
      <c r="E521" t="inlineStr">
        <is>
          <t>LEKSAND</t>
        </is>
      </c>
      <c r="G521" t="n">
        <v>6.7</v>
      </c>
      <c r="H521" t="n">
        <v>0</v>
      </c>
      <c r="I521" t="n">
        <v>0</v>
      </c>
      <c r="J521" t="n">
        <v>0</v>
      </c>
      <c r="K521" t="n">
        <v>0</v>
      </c>
      <c r="L521" t="n">
        <v>0</v>
      </c>
      <c r="M521" t="n">
        <v>0</v>
      </c>
      <c r="N521" t="n">
        <v>0</v>
      </c>
      <c r="O521" t="n">
        <v>0</v>
      </c>
      <c r="P521" t="n">
        <v>0</v>
      </c>
      <c r="Q521" t="n">
        <v>0</v>
      </c>
      <c r="R521" s="2" t="inlineStr"/>
    </row>
    <row r="522" ht="15" customHeight="1">
      <c r="A522" t="inlineStr">
        <is>
          <t>A 776-2021</t>
        </is>
      </c>
      <c r="B522" s="1" t="n">
        <v>44203</v>
      </c>
      <c r="C522" s="1" t="n">
        <v>45881</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57013-2023</t>
        </is>
      </c>
      <c r="B523" s="1" t="n">
        <v>45244</v>
      </c>
      <c r="C523" s="1" t="n">
        <v>45881</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23852-2025</t>
        </is>
      </c>
      <c r="B524" s="1" t="n">
        <v>45793.65388888889</v>
      </c>
      <c r="C524" s="1" t="n">
        <v>45881</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24187-2025</t>
        </is>
      </c>
      <c r="B525" s="1" t="n">
        <v>45796</v>
      </c>
      <c r="C525" s="1" t="n">
        <v>45881</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24188-2025</t>
        </is>
      </c>
      <c r="B526" s="1" t="n">
        <v>45796</v>
      </c>
      <c r="C526" s="1" t="n">
        <v>45881</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56211-2023</t>
        </is>
      </c>
      <c r="B527" s="1" t="n">
        <v>45240</v>
      </c>
      <c r="C527" s="1" t="n">
        <v>45881</v>
      </c>
      <c r="D527" t="inlineStr">
        <is>
          <t>DALARNAS LÄN</t>
        </is>
      </c>
      <c r="E527" t="inlineStr">
        <is>
          <t>LEKSAND</t>
        </is>
      </c>
      <c r="G527" t="n">
        <v>1.5</v>
      </c>
      <c r="H527" t="n">
        <v>0</v>
      </c>
      <c r="I527" t="n">
        <v>0</v>
      </c>
      <c r="J527" t="n">
        <v>0</v>
      </c>
      <c r="K527" t="n">
        <v>0</v>
      </c>
      <c r="L527" t="n">
        <v>0</v>
      </c>
      <c r="M527" t="n">
        <v>0</v>
      </c>
      <c r="N527" t="n">
        <v>0</v>
      </c>
      <c r="O527" t="n">
        <v>0</v>
      </c>
      <c r="P527" t="n">
        <v>0</v>
      </c>
      <c r="Q527" t="n">
        <v>0</v>
      </c>
      <c r="R527" s="2" t="inlineStr"/>
    </row>
    <row r="528" ht="15" customHeight="1">
      <c r="A528" t="inlineStr">
        <is>
          <t>A 37832-2023</t>
        </is>
      </c>
      <c r="B528" s="1" t="n">
        <v>45160.3479050926</v>
      </c>
      <c r="C528" s="1" t="n">
        <v>45881</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32855-2025</t>
        </is>
      </c>
      <c r="B529" s="1" t="n">
        <v>45839.57643518518</v>
      </c>
      <c r="C529" s="1" t="n">
        <v>45881</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18040-2024</t>
        </is>
      </c>
      <c r="B530" s="1" t="n">
        <v>45420.36664351852</v>
      </c>
      <c r="C530" s="1" t="n">
        <v>45881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33160-2025</t>
        </is>
      </c>
      <c r="B531" s="1" t="n">
        <v>45840</v>
      </c>
      <c r="C531" s="1" t="n">
        <v>45881</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6778-2025</t>
        </is>
      </c>
      <c r="B532" s="1" t="n">
        <v>45700.64615740741</v>
      </c>
      <c r="C532" s="1" t="n">
        <v>45881</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24373-2025</t>
        </is>
      </c>
      <c r="B533" s="1" t="n">
        <v>45797.61113425926</v>
      </c>
      <c r="C533" s="1" t="n">
        <v>45881</v>
      </c>
      <c r="D533" t="inlineStr">
        <is>
          <t>DALARNAS LÄN</t>
        </is>
      </c>
      <c r="E533" t="inlineStr">
        <is>
          <t>LEKSAND</t>
        </is>
      </c>
      <c r="G533" t="n">
        <v>2.4</v>
      </c>
      <c r="H533" t="n">
        <v>0</v>
      </c>
      <c r="I533" t="n">
        <v>0</v>
      </c>
      <c r="J533" t="n">
        <v>0</v>
      </c>
      <c r="K533" t="n">
        <v>0</v>
      </c>
      <c r="L533" t="n">
        <v>0</v>
      </c>
      <c r="M533" t="n">
        <v>0</v>
      </c>
      <c r="N533" t="n">
        <v>0</v>
      </c>
      <c r="O533" t="n">
        <v>0</v>
      </c>
      <c r="P533" t="n">
        <v>0</v>
      </c>
      <c r="Q533" t="n">
        <v>0</v>
      </c>
      <c r="R533" s="2" t="inlineStr"/>
    </row>
    <row r="534" ht="15" customHeight="1">
      <c r="A534" t="inlineStr">
        <is>
          <t>A 32726-2025</t>
        </is>
      </c>
      <c r="B534" s="1" t="n">
        <v>45839.3969212963</v>
      </c>
      <c r="C534" s="1" t="n">
        <v>45881</v>
      </c>
      <c r="D534" t="inlineStr">
        <is>
          <t>DALARNAS LÄN</t>
        </is>
      </c>
      <c r="E534" t="inlineStr">
        <is>
          <t>LEKSAND</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24317-2025</t>
        </is>
      </c>
      <c r="B535" s="1" t="n">
        <v>45797.53577546297</v>
      </c>
      <c r="C535" s="1" t="n">
        <v>45881</v>
      </c>
      <c r="D535" t="inlineStr">
        <is>
          <t>DALARNAS LÄN</t>
        </is>
      </c>
      <c r="E535" t="inlineStr">
        <is>
          <t>LEKSAND</t>
        </is>
      </c>
      <c r="G535" t="n">
        <v>3.4</v>
      </c>
      <c r="H535" t="n">
        <v>0</v>
      </c>
      <c r="I535" t="n">
        <v>0</v>
      </c>
      <c r="J535" t="n">
        <v>0</v>
      </c>
      <c r="K535" t="n">
        <v>0</v>
      </c>
      <c r="L535" t="n">
        <v>0</v>
      </c>
      <c r="M535" t="n">
        <v>0</v>
      </c>
      <c r="N535" t="n">
        <v>0</v>
      </c>
      <c r="O535" t="n">
        <v>0</v>
      </c>
      <c r="P535" t="n">
        <v>0</v>
      </c>
      <c r="Q535" t="n">
        <v>0</v>
      </c>
      <c r="R535" s="2" t="inlineStr"/>
    </row>
    <row r="536" ht="15" customHeight="1">
      <c r="A536" t="inlineStr">
        <is>
          <t>A 40868-2024</t>
        </is>
      </c>
      <c r="B536" s="1" t="n">
        <v>45558</v>
      </c>
      <c r="C536" s="1" t="n">
        <v>45881</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22646-2025</t>
        </is>
      </c>
      <c r="B537" s="1" t="n">
        <v>45786</v>
      </c>
      <c r="C537" s="1" t="n">
        <v>45881</v>
      </c>
      <c r="D537" t="inlineStr">
        <is>
          <t>DALARNAS LÄN</t>
        </is>
      </c>
      <c r="E537" t="inlineStr">
        <is>
          <t>LEKSAND</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24369-2025</t>
        </is>
      </c>
      <c r="B538" s="1" t="n">
        <v>45797.60731481481</v>
      </c>
      <c r="C538" s="1" t="n">
        <v>45881</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43419-2024</t>
        </is>
      </c>
      <c r="B539" s="1" t="n">
        <v>45568</v>
      </c>
      <c r="C539" s="1" t="n">
        <v>45881</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41896-2024</t>
        </is>
      </c>
      <c r="B540" s="1" t="n">
        <v>45561.51310185185</v>
      </c>
      <c r="C540" s="1" t="n">
        <v>45881</v>
      </c>
      <c r="D540" t="inlineStr">
        <is>
          <t>DALARNAS LÄN</t>
        </is>
      </c>
      <c r="E540" t="inlineStr">
        <is>
          <t>LEKSAND</t>
        </is>
      </c>
      <c r="F540" t="inlineStr">
        <is>
          <t>Bergvik skog väst AB</t>
        </is>
      </c>
      <c r="G540" t="n">
        <v>2.8</v>
      </c>
      <c r="H540" t="n">
        <v>0</v>
      </c>
      <c r="I540" t="n">
        <v>0</v>
      </c>
      <c r="J540" t="n">
        <v>0</v>
      </c>
      <c r="K540" t="n">
        <v>0</v>
      </c>
      <c r="L540" t="n">
        <v>0</v>
      </c>
      <c r="M540" t="n">
        <v>0</v>
      </c>
      <c r="N540" t="n">
        <v>0</v>
      </c>
      <c r="O540" t="n">
        <v>0</v>
      </c>
      <c r="P540" t="n">
        <v>0</v>
      </c>
      <c r="Q540" t="n">
        <v>0</v>
      </c>
      <c r="R540" s="2" t="inlineStr"/>
    </row>
    <row r="541" ht="15" customHeight="1">
      <c r="A541" t="inlineStr">
        <is>
          <t>A 39595-2023</t>
        </is>
      </c>
      <c r="B541" s="1" t="n">
        <v>45167</v>
      </c>
      <c r="C541" s="1" t="n">
        <v>45881</v>
      </c>
      <c r="D541" t="inlineStr">
        <is>
          <t>DALARNAS LÄN</t>
        </is>
      </c>
      <c r="E541" t="inlineStr">
        <is>
          <t>LEKSAND</t>
        </is>
      </c>
      <c r="G541" t="n">
        <v>0.9</v>
      </c>
      <c r="H541" t="n">
        <v>0</v>
      </c>
      <c r="I541" t="n">
        <v>0</v>
      </c>
      <c r="J541" t="n">
        <v>0</v>
      </c>
      <c r="K541" t="n">
        <v>0</v>
      </c>
      <c r="L541" t="n">
        <v>0</v>
      </c>
      <c r="M541" t="n">
        <v>0</v>
      </c>
      <c r="N541" t="n">
        <v>0</v>
      </c>
      <c r="O541" t="n">
        <v>0</v>
      </c>
      <c r="P541" t="n">
        <v>0</v>
      </c>
      <c r="Q541" t="n">
        <v>0</v>
      </c>
      <c r="R541" s="2" t="inlineStr"/>
    </row>
    <row r="542" ht="15" customHeight="1">
      <c r="A542" t="inlineStr">
        <is>
          <t>A 24715-2025</t>
        </is>
      </c>
      <c r="B542" s="1" t="n">
        <v>45798.97899305556</v>
      </c>
      <c r="C542" s="1" t="n">
        <v>45881</v>
      </c>
      <c r="D542" t="inlineStr">
        <is>
          <t>DALARNAS LÄN</t>
        </is>
      </c>
      <c r="E542" t="inlineStr">
        <is>
          <t>LEKSAND</t>
        </is>
      </c>
      <c r="G542" t="n">
        <v>8.4</v>
      </c>
      <c r="H542" t="n">
        <v>0</v>
      </c>
      <c r="I542" t="n">
        <v>0</v>
      </c>
      <c r="J542" t="n">
        <v>0</v>
      </c>
      <c r="K542" t="n">
        <v>0</v>
      </c>
      <c r="L542" t="n">
        <v>0</v>
      </c>
      <c r="M542" t="n">
        <v>0</v>
      </c>
      <c r="N542" t="n">
        <v>0</v>
      </c>
      <c r="O542" t="n">
        <v>0</v>
      </c>
      <c r="P542" t="n">
        <v>0</v>
      </c>
      <c r="Q542" t="n">
        <v>0</v>
      </c>
      <c r="R542" s="2" t="inlineStr"/>
    </row>
    <row r="543" ht="15" customHeight="1">
      <c r="A543" t="inlineStr">
        <is>
          <t>A 24481-2024</t>
        </is>
      </c>
      <c r="B543" s="1" t="n">
        <v>45459.36460648148</v>
      </c>
      <c r="C543" s="1" t="n">
        <v>45881</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17606-2024</t>
        </is>
      </c>
      <c r="B544" s="1" t="n">
        <v>45415</v>
      </c>
      <c r="C544" s="1" t="n">
        <v>45881</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34033-2024</t>
        </is>
      </c>
      <c r="B545" s="1" t="n">
        <v>45523.59265046296</v>
      </c>
      <c r="C545" s="1" t="n">
        <v>45881</v>
      </c>
      <c r="D545" t="inlineStr">
        <is>
          <t>DALARNAS LÄN</t>
        </is>
      </c>
      <c r="E545" t="inlineStr">
        <is>
          <t>LEKSAND</t>
        </is>
      </c>
      <c r="G545" t="n">
        <v>2.6</v>
      </c>
      <c r="H545" t="n">
        <v>0</v>
      </c>
      <c r="I545" t="n">
        <v>0</v>
      </c>
      <c r="J545" t="n">
        <v>0</v>
      </c>
      <c r="K545" t="n">
        <v>0</v>
      </c>
      <c r="L545" t="n">
        <v>0</v>
      </c>
      <c r="M545" t="n">
        <v>0</v>
      </c>
      <c r="N545" t="n">
        <v>0</v>
      </c>
      <c r="O545" t="n">
        <v>0</v>
      </c>
      <c r="P545" t="n">
        <v>0</v>
      </c>
      <c r="Q545" t="n">
        <v>0</v>
      </c>
      <c r="R545" s="2" t="inlineStr"/>
    </row>
    <row r="546" ht="15" customHeight="1">
      <c r="A546" t="inlineStr">
        <is>
          <t>A 61054-2023</t>
        </is>
      </c>
      <c r="B546" s="1" t="n">
        <v>45261</v>
      </c>
      <c r="C546" s="1" t="n">
        <v>45881</v>
      </c>
      <c r="D546" t="inlineStr">
        <is>
          <t>DALARNAS LÄN</t>
        </is>
      </c>
      <c r="E546" t="inlineStr">
        <is>
          <t>LEKSAND</t>
        </is>
      </c>
      <c r="G546" t="n">
        <v>0.4</v>
      </c>
      <c r="H546" t="n">
        <v>0</v>
      </c>
      <c r="I546" t="n">
        <v>0</v>
      </c>
      <c r="J546" t="n">
        <v>0</v>
      </c>
      <c r="K546" t="n">
        <v>0</v>
      </c>
      <c r="L546" t="n">
        <v>0</v>
      </c>
      <c r="M546" t="n">
        <v>0</v>
      </c>
      <c r="N546" t="n">
        <v>0</v>
      </c>
      <c r="O546" t="n">
        <v>0</v>
      </c>
      <c r="P546" t="n">
        <v>0</v>
      </c>
      <c r="Q546" t="n">
        <v>0</v>
      </c>
      <c r="R546" s="2" t="inlineStr"/>
    </row>
    <row r="547" ht="15" customHeight="1">
      <c r="A547" t="inlineStr">
        <is>
          <t>A 61056-2023</t>
        </is>
      </c>
      <c r="B547" s="1" t="n">
        <v>45261</v>
      </c>
      <c r="C547" s="1" t="n">
        <v>45881</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25096-2025</t>
        </is>
      </c>
      <c r="B548" s="1" t="n">
        <v>45800.33868055556</v>
      </c>
      <c r="C548" s="1" t="n">
        <v>45881</v>
      </c>
      <c r="D548" t="inlineStr">
        <is>
          <t>DALARNAS LÄN</t>
        </is>
      </c>
      <c r="E548" t="inlineStr">
        <is>
          <t>LEKSAND</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24711-2025</t>
        </is>
      </c>
      <c r="B549" s="1" t="n">
        <v>45798.87723379629</v>
      </c>
      <c r="C549" s="1" t="n">
        <v>45881</v>
      </c>
      <c r="D549" t="inlineStr">
        <is>
          <t>DALARNAS LÄN</t>
        </is>
      </c>
      <c r="E549" t="inlineStr">
        <is>
          <t>LEKSAND</t>
        </is>
      </c>
      <c r="F549" t="inlineStr">
        <is>
          <t>Bergvik skog väst AB</t>
        </is>
      </c>
      <c r="G549" t="n">
        <v>3.4</v>
      </c>
      <c r="H549" t="n">
        <v>0</v>
      </c>
      <c r="I549" t="n">
        <v>0</v>
      </c>
      <c r="J549" t="n">
        <v>0</v>
      </c>
      <c r="K549" t="n">
        <v>0</v>
      </c>
      <c r="L549" t="n">
        <v>0</v>
      </c>
      <c r="M549" t="n">
        <v>0</v>
      </c>
      <c r="N549" t="n">
        <v>0</v>
      </c>
      <c r="O549" t="n">
        <v>0</v>
      </c>
      <c r="P549" t="n">
        <v>0</v>
      </c>
      <c r="Q549" t="n">
        <v>0</v>
      </c>
      <c r="R549" s="2" t="inlineStr"/>
    </row>
    <row r="550" ht="15" customHeight="1">
      <c r="A550" t="inlineStr">
        <is>
          <t>A 7894-2025</t>
        </is>
      </c>
      <c r="B550" s="1" t="n">
        <v>45707.30268518518</v>
      </c>
      <c r="C550" s="1" t="n">
        <v>45881</v>
      </c>
      <c r="D550" t="inlineStr">
        <is>
          <t>DALARNAS LÄN</t>
        </is>
      </c>
      <c r="E550" t="inlineStr">
        <is>
          <t>LEKSAND</t>
        </is>
      </c>
      <c r="G550" t="n">
        <v>1.6</v>
      </c>
      <c r="H550" t="n">
        <v>0</v>
      </c>
      <c r="I550" t="n">
        <v>0</v>
      </c>
      <c r="J550" t="n">
        <v>0</v>
      </c>
      <c r="K550" t="n">
        <v>0</v>
      </c>
      <c r="L550" t="n">
        <v>0</v>
      </c>
      <c r="M550" t="n">
        <v>0</v>
      </c>
      <c r="N550" t="n">
        <v>0</v>
      </c>
      <c r="O550" t="n">
        <v>0</v>
      </c>
      <c r="P550" t="n">
        <v>0</v>
      </c>
      <c r="Q550" t="n">
        <v>0</v>
      </c>
      <c r="R550" s="2" t="inlineStr"/>
    </row>
    <row r="551" ht="15" customHeight="1">
      <c r="A551" t="inlineStr">
        <is>
          <t>A 58877-2023</t>
        </is>
      </c>
      <c r="B551" s="1" t="n">
        <v>45252</v>
      </c>
      <c r="C551" s="1" t="n">
        <v>45881</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25105-2025</t>
        </is>
      </c>
      <c r="B552" s="1" t="n">
        <v>45800.34751157407</v>
      </c>
      <c r="C552" s="1" t="n">
        <v>45881</v>
      </c>
      <c r="D552" t="inlineStr">
        <is>
          <t>DALARNAS LÄN</t>
        </is>
      </c>
      <c r="E552" t="inlineStr">
        <is>
          <t>LEKSAND</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17455-2022</t>
        </is>
      </c>
      <c r="B553" s="1" t="n">
        <v>44679.3775</v>
      </c>
      <c r="C553" s="1" t="n">
        <v>45881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60040-2023</t>
        </is>
      </c>
      <c r="B554" s="1" t="n">
        <v>45256</v>
      </c>
      <c r="C554" s="1" t="n">
        <v>45881</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33306-2023</t>
        </is>
      </c>
      <c r="B555" s="1" t="n">
        <v>45127</v>
      </c>
      <c r="C555" s="1" t="n">
        <v>45881</v>
      </c>
      <c r="D555" t="inlineStr">
        <is>
          <t>DALARNAS LÄN</t>
        </is>
      </c>
      <c r="E555" t="inlineStr">
        <is>
          <t>LEKSAND</t>
        </is>
      </c>
      <c r="G555" t="n">
        <v>2.2</v>
      </c>
      <c r="H555" t="n">
        <v>0</v>
      </c>
      <c r="I555" t="n">
        <v>0</v>
      </c>
      <c r="J555" t="n">
        <v>0</v>
      </c>
      <c r="K555" t="n">
        <v>0</v>
      </c>
      <c r="L555" t="n">
        <v>0</v>
      </c>
      <c r="M555" t="n">
        <v>0</v>
      </c>
      <c r="N555" t="n">
        <v>0</v>
      </c>
      <c r="O555" t="n">
        <v>0</v>
      </c>
      <c r="P555" t="n">
        <v>0</v>
      </c>
      <c r="Q555" t="n">
        <v>0</v>
      </c>
      <c r="R555" s="2" t="inlineStr"/>
    </row>
    <row r="556" ht="15" customHeight="1">
      <c r="A556" t="inlineStr">
        <is>
          <t>A 33316-2023</t>
        </is>
      </c>
      <c r="B556" s="1" t="n">
        <v>45127</v>
      </c>
      <c r="C556" s="1" t="n">
        <v>45881</v>
      </c>
      <c r="D556" t="inlineStr">
        <is>
          <t>DALARNAS LÄN</t>
        </is>
      </c>
      <c r="E556" t="inlineStr">
        <is>
          <t>LEKSAND</t>
        </is>
      </c>
      <c r="G556" t="n">
        <v>8.9</v>
      </c>
      <c r="H556" t="n">
        <v>0</v>
      </c>
      <c r="I556" t="n">
        <v>0</v>
      </c>
      <c r="J556" t="n">
        <v>0</v>
      </c>
      <c r="K556" t="n">
        <v>0</v>
      </c>
      <c r="L556" t="n">
        <v>0</v>
      </c>
      <c r="M556" t="n">
        <v>0</v>
      </c>
      <c r="N556" t="n">
        <v>0</v>
      </c>
      <c r="O556" t="n">
        <v>0</v>
      </c>
      <c r="P556" t="n">
        <v>0</v>
      </c>
      <c r="Q556" t="n">
        <v>0</v>
      </c>
      <c r="R556" s="2" t="inlineStr"/>
    </row>
    <row r="557" ht="15" customHeight="1">
      <c r="A557" t="inlineStr">
        <is>
          <t>A 24714-2025</t>
        </is>
      </c>
      <c r="B557" s="1" t="n">
        <v>45798.96927083333</v>
      </c>
      <c r="C557" s="1" t="n">
        <v>45881</v>
      </c>
      <c r="D557" t="inlineStr">
        <is>
          <t>DALARNAS LÄN</t>
        </is>
      </c>
      <c r="E557" t="inlineStr">
        <is>
          <t>LEKSAND</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31255-2023</t>
        </is>
      </c>
      <c r="B558" s="1" t="n">
        <v>45114.36729166667</v>
      </c>
      <c r="C558" s="1" t="n">
        <v>45881</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25610-2025</t>
        </is>
      </c>
      <c r="B559" s="1" t="n">
        <v>45803.56033564815</v>
      </c>
      <c r="C559" s="1" t="n">
        <v>45881</v>
      </c>
      <c r="D559" t="inlineStr">
        <is>
          <t>DALARNAS LÄN</t>
        </is>
      </c>
      <c r="E559" t="inlineStr">
        <is>
          <t>LEKSAND</t>
        </is>
      </c>
      <c r="G559" t="n">
        <v>5.2</v>
      </c>
      <c r="H559" t="n">
        <v>0</v>
      </c>
      <c r="I559" t="n">
        <v>0</v>
      </c>
      <c r="J559" t="n">
        <v>0</v>
      </c>
      <c r="K559" t="n">
        <v>0</v>
      </c>
      <c r="L559" t="n">
        <v>0</v>
      </c>
      <c r="M559" t="n">
        <v>0</v>
      </c>
      <c r="N559" t="n">
        <v>0</v>
      </c>
      <c r="O559" t="n">
        <v>0</v>
      </c>
      <c r="P559" t="n">
        <v>0</v>
      </c>
      <c r="Q559" t="n">
        <v>0</v>
      </c>
      <c r="R559" s="2" t="inlineStr"/>
    </row>
    <row r="560" ht="15" customHeight="1">
      <c r="A560" t="inlineStr">
        <is>
          <t>A 22681-2022</t>
        </is>
      </c>
      <c r="B560" s="1" t="n">
        <v>44714.50961805556</v>
      </c>
      <c r="C560" s="1" t="n">
        <v>45881</v>
      </c>
      <c r="D560" t="inlineStr">
        <is>
          <t>DALARNAS LÄN</t>
        </is>
      </c>
      <c r="E560" t="inlineStr">
        <is>
          <t>LEKSAND</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33804-2025</t>
        </is>
      </c>
      <c r="B561" s="1" t="n">
        <v>45842</v>
      </c>
      <c r="C561" s="1" t="n">
        <v>45881</v>
      </c>
      <c r="D561" t="inlineStr">
        <is>
          <t>DALARNAS LÄN</t>
        </is>
      </c>
      <c r="E561" t="inlineStr">
        <is>
          <t>LEKSAND</t>
        </is>
      </c>
      <c r="G561" t="n">
        <v>1.2</v>
      </c>
      <c r="H561" t="n">
        <v>0</v>
      </c>
      <c r="I561" t="n">
        <v>0</v>
      </c>
      <c r="J561" t="n">
        <v>0</v>
      </c>
      <c r="K561" t="n">
        <v>0</v>
      </c>
      <c r="L561" t="n">
        <v>0</v>
      </c>
      <c r="M561" t="n">
        <v>0</v>
      </c>
      <c r="N561" t="n">
        <v>0</v>
      </c>
      <c r="O561" t="n">
        <v>0</v>
      </c>
      <c r="P561" t="n">
        <v>0</v>
      </c>
      <c r="Q561" t="n">
        <v>0</v>
      </c>
      <c r="R561" s="2" t="inlineStr"/>
    </row>
    <row r="562" ht="15" customHeight="1">
      <c r="A562" t="inlineStr">
        <is>
          <t>A 30196-2023</t>
        </is>
      </c>
      <c r="B562" s="1" t="n">
        <v>45110</v>
      </c>
      <c r="C562" s="1" t="n">
        <v>45881</v>
      </c>
      <c r="D562" t="inlineStr">
        <is>
          <t>DALARNAS LÄN</t>
        </is>
      </c>
      <c r="E562" t="inlineStr">
        <is>
          <t>LEKSAND</t>
        </is>
      </c>
      <c r="G562" t="n">
        <v>1.2</v>
      </c>
      <c r="H562" t="n">
        <v>0</v>
      </c>
      <c r="I562" t="n">
        <v>0</v>
      </c>
      <c r="J562" t="n">
        <v>0</v>
      </c>
      <c r="K562" t="n">
        <v>0</v>
      </c>
      <c r="L562" t="n">
        <v>0</v>
      </c>
      <c r="M562" t="n">
        <v>0</v>
      </c>
      <c r="N562" t="n">
        <v>0</v>
      </c>
      <c r="O562" t="n">
        <v>0</v>
      </c>
      <c r="P562" t="n">
        <v>0</v>
      </c>
      <c r="Q562" t="n">
        <v>0</v>
      </c>
      <c r="R562" s="2" t="inlineStr"/>
    </row>
    <row r="563" ht="15" customHeight="1">
      <c r="A563" t="inlineStr">
        <is>
          <t>A 34537-2025</t>
        </is>
      </c>
      <c r="B563" s="1" t="n">
        <v>45847</v>
      </c>
      <c r="C563" s="1" t="n">
        <v>45881</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46446-2023</t>
        </is>
      </c>
      <c r="B564" s="1" t="n">
        <v>45197.59344907408</v>
      </c>
      <c r="C564" s="1" t="n">
        <v>45881</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54682-2023</t>
        </is>
      </c>
      <c r="B565" s="1" t="n">
        <v>45235.90439814814</v>
      </c>
      <c r="C565" s="1" t="n">
        <v>45881</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18049-2025</t>
        </is>
      </c>
      <c r="B566" s="1" t="n">
        <v>45761.46743055555</v>
      </c>
      <c r="C566" s="1" t="n">
        <v>45881</v>
      </c>
      <c r="D566" t="inlineStr">
        <is>
          <t>DALARNAS LÄN</t>
        </is>
      </c>
      <c r="E566" t="inlineStr">
        <is>
          <t>LEKSAND</t>
        </is>
      </c>
      <c r="G566" t="n">
        <v>1.4</v>
      </c>
      <c r="H566" t="n">
        <v>0</v>
      </c>
      <c r="I566" t="n">
        <v>0</v>
      </c>
      <c r="J566" t="n">
        <v>0</v>
      </c>
      <c r="K566" t="n">
        <v>0</v>
      </c>
      <c r="L566" t="n">
        <v>0</v>
      </c>
      <c r="M566" t="n">
        <v>0</v>
      </c>
      <c r="N566" t="n">
        <v>0</v>
      </c>
      <c r="O566" t="n">
        <v>0</v>
      </c>
      <c r="P566" t="n">
        <v>0</v>
      </c>
      <c r="Q566" t="n">
        <v>0</v>
      </c>
      <c r="R566" s="2" t="inlineStr"/>
    </row>
    <row r="567" ht="15" customHeight="1">
      <c r="A567" t="inlineStr">
        <is>
          <t>A 1463-2024</t>
        </is>
      </c>
      <c r="B567" s="1" t="n">
        <v>45303</v>
      </c>
      <c r="C567" s="1" t="n">
        <v>45881</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34966-2025</t>
        </is>
      </c>
      <c r="B568" s="1" t="n">
        <v>45849</v>
      </c>
      <c r="C568" s="1" t="n">
        <v>45881</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34789-2025</t>
        </is>
      </c>
      <c r="B569" s="1" t="n">
        <v>45848</v>
      </c>
      <c r="C569" s="1" t="n">
        <v>45881</v>
      </c>
      <c r="D569" t="inlineStr">
        <is>
          <t>DALARNAS LÄN</t>
        </is>
      </c>
      <c r="E569" t="inlineStr">
        <is>
          <t>LEKSAND</t>
        </is>
      </c>
      <c r="F569" t="inlineStr">
        <is>
          <t>Bergvik skog väst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34965-2025</t>
        </is>
      </c>
      <c r="B570" s="1" t="n">
        <v>45849</v>
      </c>
      <c r="C570" s="1" t="n">
        <v>45881</v>
      </c>
      <c r="D570" t="inlineStr">
        <is>
          <t>DALARNAS LÄN</t>
        </is>
      </c>
      <c r="E570" t="inlineStr">
        <is>
          <t>LEKSAND</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45109.71128472222</v>
      </c>
      <c r="C571" s="1" t="n">
        <v>45881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17282-2025</t>
        </is>
      </c>
      <c r="B572" s="1" t="n">
        <v>45756.57114583333</v>
      </c>
      <c r="C572" s="1" t="n">
        <v>45881</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12923-2025</t>
        </is>
      </c>
      <c r="B573" s="1" t="n">
        <v>45734.29193287037</v>
      </c>
      <c r="C573" s="1" t="n">
        <v>45881</v>
      </c>
      <c r="D573" t="inlineStr">
        <is>
          <t>DALARNAS LÄN</t>
        </is>
      </c>
      <c r="E573" t="inlineStr">
        <is>
          <t>LEKSAND</t>
        </is>
      </c>
      <c r="G573" t="n">
        <v>7.2</v>
      </c>
      <c r="H573" t="n">
        <v>0</v>
      </c>
      <c r="I573" t="n">
        <v>0</v>
      </c>
      <c r="J573" t="n">
        <v>0</v>
      </c>
      <c r="K573" t="n">
        <v>0</v>
      </c>
      <c r="L573" t="n">
        <v>0</v>
      </c>
      <c r="M573" t="n">
        <v>0</v>
      </c>
      <c r="N573" t="n">
        <v>0</v>
      </c>
      <c r="O573" t="n">
        <v>0</v>
      </c>
      <c r="P573" t="n">
        <v>0</v>
      </c>
      <c r="Q573" t="n">
        <v>0</v>
      </c>
      <c r="R573" s="2" t="inlineStr"/>
    </row>
    <row r="574" ht="15" customHeight="1">
      <c r="A574" t="inlineStr">
        <is>
          <t>A 26386-2025</t>
        </is>
      </c>
      <c r="B574" s="1" t="n">
        <v>45806</v>
      </c>
      <c r="C574" s="1" t="n">
        <v>45881</v>
      </c>
      <c r="D574" t="inlineStr">
        <is>
          <t>DALARNAS LÄN</t>
        </is>
      </c>
      <c r="E574" t="inlineStr">
        <is>
          <t>LEKSAND</t>
        </is>
      </c>
      <c r="F574" t="inlineStr">
        <is>
          <t>Bergvik skog väst AB</t>
        </is>
      </c>
      <c r="G574" t="n">
        <v>26.3</v>
      </c>
      <c r="H574" t="n">
        <v>0</v>
      </c>
      <c r="I574" t="n">
        <v>0</v>
      </c>
      <c r="J574" t="n">
        <v>0</v>
      </c>
      <c r="K574" t="n">
        <v>0</v>
      </c>
      <c r="L574" t="n">
        <v>0</v>
      </c>
      <c r="M574" t="n">
        <v>0</v>
      </c>
      <c r="N574" t="n">
        <v>0</v>
      </c>
      <c r="O574" t="n">
        <v>0</v>
      </c>
      <c r="P574" t="n">
        <v>0</v>
      </c>
      <c r="Q574" t="n">
        <v>0</v>
      </c>
      <c r="R574" s="2" t="inlineStr"/>
    </row>
    <row r="575" ht="15" customHeight="1">
      <c r="A575" t="inlineStr">
        <is>
          <t>A 25329-2022</t>
        </is>
      </c>
      <c r="B575" s="1" t="n">
        <v>44731.8799537037</v>
      </c>
      <c r="C575" s="1" t="n">
        <v>45881</v>
      </c>
      <c r="D575" t="inlineStr">
        <is>
          <t>DALARNAS LÄN</t>
        </is>
      </c>
      <c r="E575" t="inlineStr">
        <is>
          <t>LEKSAND</t>
        </is>
      </c>
      <c r="G575" t="n">
        <v>1.4</v>
      </c>
      <c r="H575" t="n">
        <v>0</v>
      </c>
      <c r="I575" t="n">
        <v>0</v>
      </c>
      <c r="J575" t="n">
        <v>0</v>
      </c>
      <c r="K575" t="n">
        <v>0</v>
      </c>
      <c r="L575" t="n">
        <v>0</v>
      </c>
      <c r="M575" t="n">
        <v>0</v>
      </c>
      <c r="N575" t="n">
        <v>0</v>
      </c>
      <c r="O575" t="n">
        <v>0</v>
      </c>
      <c r="P575" t="n">
        <v>0</v>
      </c>
      <c r="Q575" t="n">
        <v>0</v>
      </c>
      <c r="R575" s="2" t="inlineStr"/>
    </row>
    <row r="576" ht="15" customHeight="1">
      <c r="A576" t="inlineStr">
        <is>
          <t>A 2820-2024</t>
        </is>
      </c>
      <c r="B576" s="1" t="n">
        <v>45314.76287037037</v>
      </c>
      <c r="C576" s="1" t="n">
        <v>45881</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2822-2024</t>
        </is>
      </c>
      <c r="B577" s="1" t="n">
        <v>45314.76622685185</v>
      </c>
      <c r="C577" s="1" t="n">
        <v>45881</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51320-2023</t>
        </is>
      </c>
      <c r="B578" s="1" t="n">
        <v>45219.57456018519</v>
      </c>
      <c r="C578" s="1" t="n">
        <v>45881</v>
      </c>
      <c r="D578" t="inlineStr">
        <is>
          <t>DALARNAS LÄN</t>
        </is>
      </c>
      <c r="E578" t="inlineStr">
        <is>
          <t>LEKSAND</t>
        </is>
      </c>
      <c r="G578" t="n">
        <v>2.1</v>
      </c>
      <c r="H578" t="n">
        <v>0</v>
      </c>
      <c r="I578" t="n">
        <v>0</v>
      </c>
      <c r="J578" t="n">
        <v>0</v>
      </c>
      <c r="K578" t="n">
        <v>0</v>
      </c>
      <c r="L578" t="n">
        <v>0</v>
      </c>
      <c r="M578" t="n">
        <v>0</v>
      </c>
      <c r="N578" t="n">
        <v>0</v>
      </c>
      <c r="O578" t="n">
        <v>0</v>
      </c>
      <c r="P578" t="n">
        <v>0</v>
      </c>
      <c r="Q578" t="n">
        <v>0</v>
      </c>
      <c r="R578" s="2" t="inlineStr"/>
    </row>
    <row r="579" ht="15" customHeight="1">
      <c r="A579" t="inlineStr">
        <is>
          <t>A 26421-2025</t>
        </is>
      </c>
      <c r="B579" s="1" t="n">
        <v>45807.37355324074</v>
      </c>
      <c r="C579" s="1" t="n">
        <v>45881</v>
      </c>
      <c r="D579" t="inlineStr">
        <is>
          <t>DALARNAS LÄN</t>
        </is>
      </c>
      <c r="E579" t="inlineStr">
        <is>
          <t>LEKSAND</t>
        </is>
      </c>
      <c r="G579" t="n">
        <v>1.4</v>
      </c>
      <c r="H579" t="n">
        <v>0</v>
      </c>
      <c r="I579" t="n">
        <v>0</v>
      </c>
      <c r="J579" t="n">
        <v>0</v>
      </c>
      <c r="K579" t="n">
        <v>0</v>
      </c>
      <c r="L579" t="n">
        <v>0</v>
      </c>
      <c r="M579" t="n">
        <v>0</v>
      </c>
      <c r="N579" t="n">
        <v>0</v>
      </c>
      <c r="O579" t="n">
        <v>0</v>
      </c>
      <c r="P579" t="n">
        <v>0</v>
      </c>
      <c r="Q579" t="n">
        <v>0</v>
      </c>
      <c r="R579" s="2" t="inlineStr"/>
    </row>
    <row r="580" ht="15" customHeight="1">
      <c r="A580" t="inlineStr">
        <is>
          <t>A 12621-2025</t>
        </is>
      </c>
      <c r="B580" s="1" t="n">
        <v>45733.3575</v>
      </c>
      <c r="C580" s="1" t="n">
        <v>45881</v>
      </c>
      <c r="D580" t="inlineStr">
        <is>
          <t>DALARNAS LÄN</t>
        </is>
      </c>
      <c r="E580" t="inlineStr">
        <is>
          <t>LEKSAND</t>
        </is>
      </c>
      <c r="F580" t="inlineStr">
        <is>
          <t>Bergvik skog väst AB</t>
        </is>
      </c>
      <c r="G580" t="n">
        <v>1.2</v>
      </c>
      <c r="H580" t="n">
        <v>0</v>
      </c>
      <c r="I580" t="n">
        <v>0</v>
      </c>
      <c r="J580" t="n">
        <v>0</v>
      </c>
      <c r="K580" t="n">
        <v>0</v>
      </c>
      <c r="L580" t="n">
        <v>0</v>
      </c>
      <c r="M580" t="n">
        <v>0</v>
      </c>
      <c r="N580" t="n">
        <v>0</v>
      </c>
      <c r="O580" t="n">
        <v>0</v>
      </c>
      <c r="P580" t="n">
        <v>0</v>
      </c>
      <c r="Q580" t="n">
        <v>0</v>
      </c>
      <c r="R580" s="2" t="inlineStr"/>
    </row>
    <row r="581" ht="15" customHeight="1">
      <c r="A581" t="inlineStr">
        <is>
          <t>A 26423-2025</t>
        </is>
      </c>
      <c r="B581" s="1" t="n">
        <v>45807.37829861111</v>
      </c>
      <c r="C581" s="1" t="n">
        <v>45881</v>
      </c>
      <c r="D581" t="inlineStr">
        <is>
          <t>DALARNAS LÄN</t>
        </is>
      </c>
      <c r="E581" t="inlineStr">
        <is>
          <t>LEKSAND</t>
        </is>
      </c>
      <c r="G581" t="n">
        <v>1.5</v>
      </c>
      <c r="H581" t="n">
        <v>0</v>
      </c>
      <c r="I581" t="n">
        <v>0</v>
      </c>
      <c r="J581" t="n">
        <v>0</v>
      </c>
      <c r="K581" t="n">
        <v>0</v>
      </c>
      <c r="L581" t="n">
        <v>0</v>
      </c>
      <c r="M581" t="n">
        <v>0</v>
      </c>
      <c r="N581" t="n">
        <v>0</v>
      </c>
      <c r="O581" t="n">
        <v>0</v>
      </c>
      <c r="P581" t="n">
        <v>0</v>
      </c>
      <c r="Q581" t="n">
        <v>0</v>
      </c>
      <c r="R581" s="2" t="inlineStr"/>
    </row>
    <row r="582" ht="15" customHeight="1">
      <c r="A582" t="inlineStr">
        <is>
          <t>A 27323-2025</t>
        </is>
      </c>
      <c r="B582" s="1" t="n">
        <v>45812.60392361111</v>
      </c>
      <c r="C582" s="1" t="n">
        <v>45881</v>
      </c>
      <c r="D582" t="inlineStr">
        <is>
          <t>DALARNAS LÄN</t>
        </is>
      </c>
      <c r="E582" t="inlineStr">
        <is>
          <t>LEKSAND</t>
        </is>
      </c>
      <c r="F582" t="inlineStr">
        <is>
          <t>Bergvik skog väst AB</t>
        </is>
      </c>
      <c r="G582" t="n">
        <v>1.2</v>
      </c>
      <c r="H582" t="n">
        <v>0</v>
      </c>
      <c r="I582" t="n">
        <v>0</v>
      </c>
      <c r="J582" t="n">
        <v>0</v>
      </c>
      <c r="K582" t="n">
        <v>0</v>
      </c>
      <c r="L582" t="n">
        <v>0</v>
      </c>
      <c r="M582" t="n">
        <v>0</v>
      </c>
      <c r="N582" t="n">
        <v>0</v>
      </c>
      <c r="O582" t="n">
        <v>0</v>
      </c>
      <c r="P582" t="n">
        <v>0</v>
      </c>
      <c r="Q582" t="n">
        <v>0</v>
      </c>
      <c r="R582" s="2" t="inlineStr"/>
    </row>
    <row r="583" ht="15" customHeight="1">
      <c r="A583" t="inlineStr">
        <is>
          <t>A 51377-2023</t>
        </is>
      </c>
      <c r="B583" s="1" t="n">
        <v>45219</v>
      </c>
      <c r="C583" s="1" t="n">
        <v>45881</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59859-2023</t>
        </is>
      </c>
      <c r="B584" s="1" t="n">
        <v>45257</v>
      </c>
      <c r="C584" s="1" t="n">
        <v>45881</v>
      </c>
      <c r="D584" t="inlineStr">
        <is>
          <t>DALARNAS LÄN</t>
        </is>
      </c>
      <c r="E584" t="inlineStr">
        <is>
          <t>LEKSAND</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2158-2024</t>
        </is>
      </c>
      <c r="B585" s="1" t="n">
        <v>45309</v>
      </c>
      <c r="C585" s="1" t="n">
        <v>45881</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19330-2025</t>
        </is>
      </c>
      <c r="B586" s="1" t="n">
        <v>45769</v>
      </c>
      <c r="C586" s="1" t="n">
        <v>45881</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45943-2022</t>
        </is>
      </c>
      <c r="B587" s="1" t="n">
        <v>44846.64418981481</v>
      </c>
      <c r="C587" s="1" t="n">
        <v>45881</v>
      </c>
      <c r="D587" t="inlineStr">
        <is>
          <t>DALARNAS LÄN</t>
        </is>
      </c>
      <c r="E587" t="inlineStr">
        <is>
          <t>LEKSAND</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35094-2025</t>
        </is>
      </c>
      <c r="B588" s="1" t="n">
        <v>45852</v>
      </c>
      <c r="C588" s="1" t="n">
        <v>45881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27183-2025</t>
        </is>
      </c>
      <c r="B589" s="1" t="n">
        <v>45812.36097222222</v>
      </c>
      <c r="C589" s="1" t="n">
        <v>45881</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27262-2025</t>
        </is>
      </c>
      <c r="B590" s="1" t="n">
        <v>45812</v>
      </c>
      <c r="C590" s="1" t="n">
        <v>45881</v>
      </c>
      <c r="D590" t="inlineStr">
        <is>
          <t>DALARNAS LÄN</t>
        </is>
      </c>
      <c r="E590" t="inlineStr">
        <is>
          <t>LEKSAND</t>
        </is>
      </c>
      <c r="F590" t="inlineStr">
        <is>
          <t>Bergvik skog väst AB</t>
        </is>
      </c>
      <c r="G590" t="n">
        <v>7.7</v>
      </c>
      <c r="H590" t="n">
        <v>0</v>
      </c>
      <c r="I590" t="n">
        <v>0</v>
      </c>
      <c r="J590" t="n">
        <v>0</v>
      </c>
      <c r="K590" t="n">
        <v>0</v>
      </c>
      <c r="L590" t="n">
        <v>0</v>
      </c>
      <c r="M590" t="n">
        <v>0</v>
      </c>
      <c r="N590" t="n">
        <v>0</v>
      </c>
      <c r="O590" t="n">
        <v>0</v>
      </c>
      <c r="P590" t="n">
        <v>0</v>
      </c>
      <c r="Q590" t="n">
        <v>0</v>
      </c>
      <c r="R590" s="2" t="inlineStr"/>
    </row>
    <row r="591" ht="15" customHeight="1">
      <c r="A591" t="inlineStr">
        <is>
          <t>A 27329-2025</t>
        </is>
      </c>
      <c r="B591" s="1" t="n">
        <v>45812.60864583333</v>
      </c>
      <c r="C591" s="1" t="n">
        <v>45881</v>
      </c>
      <c r="D591" t="inlineStr">
        <is>
          <t>DALARNAS LÄN</t>
        </is>
      </c>
      <c r="E591" t="inlineStr">
        <is>
          <t>LEKSAND</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27332-2025</t>
        </is>
      </c>
      <c r="B592" s="1" t="n">
        <v>45812.61265046296</v>
      </c>
      <c r="C592" s="1" t="n">
        <v>45881</v>
      </c>
      <c r="D592" t="inlineStr">
        <is>
          <t>DALARNAS LÄN</t>
        </is>
      </c>
      <c r="E592" t="inlineStr">
        <is>
          <t>LEKSAND</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27682-2025</t>
        </is>
      </c>
      <c r="B593" s="1" t="n">
        <v>45813.64782407408</v>
      </c>
      <c r="C593" s="1" t="n">
        <v>45881</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60878-2023</t>
        </is>
      </c>
      <c r="B594" s="1" t="n">
        <v>45259</v>
      </c>
      <c r="C594" s="1" t="n">
        <v>45881</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61502-2023</t>
        </is>
      </c>
      <c r="B595" s="1" t="n">
        <v>45264</v>
      </c>
      <c r="C595" s="1" t="n">
        <v>45881</v>
      </c>
      <c r="D595" t="inlineStr">
        <is>
          <t>DALARNAS LÄN</t>
        </is>
      </c>
      <c r="E595" t="inlineStr">
        <is>
          <t>LEKSAND</t>
        </is>
      </c>
      <c r="G595" t="n">
        <v>5.2</v>
      </c>
      <c r="H595" t="n">
        <v>0</v>
      </c>
      <c r="I595" t="n">
        <v>0</v>
      </c>
      <c r="J595" t="n">
        <v>0</v>
      </c>
      <c r="K595" t="n">
        <v>0</v>
      </c>
      <c r="L595" t="n">
        <v>0</v>
      </c>
      <c r="M595" t="n">
        <v>0</v>
      </c>
      <c r="N595" t="n">
        <v>0</v>
      </c>
      <c r="O595" t="n">
        <v>0</v>
      </c>
      <c r="P595" t="n">
        <v>0</v>
      </c>
      <c r="Q595" t="n">
        <v>0</v>
      </c>
      <c r="R595" s="2" t="inlineStr"/>
    </row>
    <row r="596" ht="15" customHeight="1">
      <c r="A596" t="inlineStr">
        <is>
          <t>A 28965-2023</t>
        </is>
      </c>
      <c r="B596" s="1" t="n">
        <v>45104</v>
      </c>
      <c r="C596" s="1" t="n">
        <v>45881</v>
      </c>
      <c r="D596" t="inlineStr">
        <is>
          <t>DALARNAS LÄN</t>
        </is>
      </c>
      <c r="E596" t="inlineStr">
        <is>
          <t>LEKSAND</t>
        </is>
      </c>
      <c r="F596" t="inlineStr">
        <is>
          <t>Bergvik skog väst AB</t>
        </is>
      </c>
      <c r="G596" t="n">
        <v>0.9</v>
      </c>
      <c r="H596" t="n">
        <v>0</v>
      </c>
      <c r="I596" t="n">
        <v>0</v>
      </c>
      <c r="J596" t="n">
        <v>0</v>
      </c>
      <c r="K596" t="n">
        <v>0</v>
      </c>
      <c r="L596" t="n">
        <v>0</v>
      </c>
      <c r="M596" t="n">
        <v>0</v>
      </c>
      <c r="N596" t="n">
        <v>0</v>
      </c>
      <c r="O596" t="n">
        <v>0</v>
      </c>
      <c r="P596" t="n">
        <v>0</v>
      </c>
      <c r="Q596" t="n">
        <v>0</v>
      </c>
      <c r="R596" s="2" t="inlineStr"/>
    </row>
    <row r="597" ht="15" customHeight="1">
      <c r="A597" t="inlineStr">
        <is>
          <t>A 1719-2024</t>
        </is>
      </c>
      <c r="B597" s="1" t="n">
        <v>45307</v>
      </c>
      <c r="C597" s="1" t="n">
        <v>45881</v>
      </c>
      <c r="D597" t="inlineStr">
        <is>
          <t>DALARNAS LÄN</t>
        </is>
      </c>
      <c r="E597" t="inlineStr">
        <is>
          <t>LEKSAND</t>
        </is>
      </c>
      <c r="G597" t="n">
        <v>2.8</v>
      </c>
      <c r="H597" t="n">
        <v>0</v>
      </c>
      <c r="I597" t="n">
        <v>0</v>
      </c>
      <c r="J597" t="n">
        <v>0</v>
      </c>
      <c r="K597" t="n">
        <v>0</v>
      </c>
      <c r="L597" t="n">
        <v>0</v>
      </c>
      <c r="M597" t="n">
        <v>0</v>
      </c>
      <c r="N597" t="n">
        <v>0</v>
      </c>
      <c r="O597" t="n">
        <v>0</v>
      </c>
      <c r="P597" t="n">
        <v>0</v>
      </c>
      <c r="Q597" t="n">
        <v>0</v>
      </c>
      <c r="R597" s="2" t="inlineStr"/>
    </row>
    <row r="598" ht="15" customHeight="1">
      <c r="A598" t="inlineStr">
        <is>
          <t>A 16744-2025</t>
        </is>
      </c>
      <c r="B598" s="1" t="n">
        <v>45754</v>
      </c>
      <c r="C598" s="1" t="n">
        <v>45881</v>
      </c>
      <c r="D598" t="inlineStr">
        <is>
          <t>DALARNAS LÄN</t>
        </is>
      </c>
      <c r="E598" t="inlineStr">
        <is>
          <t>LEKSAND</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22349-2024</t>
        </is>
      </c>
      <c r="B599" s="1" t="n">
        <v>45446</v>
      </c>
      <c r="C599" s="1" t="n">
        <v>45881</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11617-2024</t>
        </is>
      </c>
      <c r="B600" s="1" t="n">
        <v>45373.42898148148</v>
      </c>
      <c r="C600" s="1" t="n">
        <v>45881</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25253-2024</t>
        </is>
      </c>
      <c r="B601" s="1" t="n">
        <v>45462.61121527778</v>
      </c>
      <c r="C601" s="1" t="n">
        <v>45881</v>
      </c>
      <c r="D601" t="inlineStr">
        <is>
          <t>DALARNAS LÄN</t>
        </is>
      </c>
      <c r="E601" t="inlineStr">
        <is>
          <t>LEKSAND</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61953-2023</t>
        </is>
      </c>
      <c r="B602" s="1" t="n">
        <v>45266</v>
      </c>
      <c r="C602" s="1" t="n">
        <v>45881</v>
      </c>
      <c r="D602" t="inlineStr">
        <is>
          <t>DALARNAS LÄN</t>
        </is>
      </c>
      <c r="E602" t="inlineStr">
        <is>
          <t>LEKSAND</t>
        </is>
      </c>
      <c r="G602" t="n">
        <v>0.1</v>
      </c>
      <c r="H602" t="n">
        <v>0</v>
      </c>
      <c r="I602" t="n">
        <v>0</v>
      </c>
      <c r="J602" t="n">
        <v>0</v>
      </c>
      <c r="K602" t="n">
        <v>0</v>
      </c>
      <c r="L602" t="n">
        <v>0</v>
      </c>
      <c r="M602" t="n">
        <v>0</v>
      </c>
      <c r="N602" t="n">
        <v>0</v>
      </c>
      <c r="O602" t="n">
        <v>0</v>
      </c>
      <c r="P602" t="n">
        <v>0</v>
      </c>
      <c r="Q602" t="n">
        <v>0</v>
      </c>
      <c r="R602" s="2" t="inlineStr"/>
    </row>
    <row r="603" ht="15" customHeight="1">
      <c r="A603" t="inlineStr">
        <is>
          <t>A 58619-2022</t>
        </is>
      </c>
      <c r="B603" s="1" t="n">
        <v>44902.59579861111</v>
      </c>
      <c r="C603" s="1" t="n">
        <v>45881</v>
      </c>
      <c r="D603" t="inlineStr">
        <is>
          <t>DALARNAS LÄN</t>
        </is>
      </c>
      <c r="E603" t="inlineStr">
        <is>
          <t>LEKSAND</t>
        </is>
      </c>
      <c r="G603" t="n">
        <v>0.9</v>
      </c>
      <c r="H603" t="n">
        <v>0</v>
      </c>
      <c r="I603" t="n">
        <v>0</v>
      </c>
      <c r="J603" t="n">
        <v>0</v>
      </c>
      <c r="K603" t="n">
        <v>0</v>
      </c>
      <c r="L603" t="n">
        <v>0</v>
      </c>
      <c r="M603" t="n">
        <v>0</v>
      </c>
      <c r="N603" t="n">
        <v>0</v>
      </c>
      <c r="O603" t="n">
        <v>0</v>
      </c>
      <c r="P603" t="n">
        <v>0</v>
      </c>
      <c r="Q603" t="n">
        <v>0</v>
      </c>
      <c r="R603" s="2" t="inlineStr"/>
    </row>
    <row r="604" ht="15" customHeight="1">
      <c r="A604" t="inlineStr">
        <is>
          <t>A 20946-2023</t>
        </is>
      </c>
      <c r="B604" s="1" t="n">
        <v>45061</v>
      </c>
      <c r="C604" s="1" t="n">
        <v>45881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61225-2023</t>
        </is>
      </c>
      <c r="B605" s="1" t="n">
        <v>45264</v>
      </c>
      <c r="C605" s="1" t="n">
        <v>45881</v>
      </c>
      <c r="D605" t="inlineStr">
        <is>
          <t>DALARNAS LÄN</t>
        </is>
      </c>
      <c r="E605" t="inlineStr">
        <is>
          <t>LEKSAND</t>
        </is>
      </c>
      <c r="G605" t="n">
        <v>7</v>
      </c>
      <c r="H605" t="n">
        <v>0</v>
      </c>
      <c r="I605" t="n">
        <v>0</v>
      </c>
      <c r="J605" t="n">
        <v>0</v>
      </c>
      <c r="K605" t="n">
        <v>0</v>
      </c>
      <c r="L605" t="n">
        <v>0</v>
      </c>
      <c r="M605" t="n">
        <v>0</v>
      </c>
      <c r="N605" t="n">
        <v>0</v>
      </c>
      <c r="O605" t="n">
        <v>0</v>
      </c>
      <c r="P605" t="n">
        <v>0</v>
      </c>
      <c r="Q605" t="n">
        <v>0</v>
      </c>
      <c r="R605" s="2" t="inlineStr"/>
    </row>
    <row r="606" ht="15" customHeight="1">
      <c r="A606" t="inlineStr">
        <is>
          <t>A 61252-2023</t>
        </is>
      </c>
      <c r="B606" s="1" t="n">
        <v>45261</v>
      </c>
      <c r="C606" s="1" t="n">
        <v>45881</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19417-2025</t>
        </is>
      </c>
      <c r="B607" s="1" t="n">
        <v>45769.7234837963</v>
      </c>
      <c r="C607" s="1" t="n">
        <v>45881</v>
      </c>
      <c r="D607" t="inlineStr">
        <is>
          <t>DALARNAS LÄN</t>
        </is>
      </c>
      <c r="E607" t="inlineStr">
        <is>
          <t>LEKSAND</t>
        </is>
      </c>
      <c r="G607" t="n">
        <v>3.3</v>
      </c>
      <c r="H607" t="n">
        <v>0</v>
      </c>
      <c r="I607" t="n">
        <v>0</v>
      </c>
      <c r="J607" t="n">
        <v>0</v>
      </c>
      <c r="K607" t="n">
        <v>0</v>
      </c>
      <c r="L607" t="n">
        <v>0</v>
      </c>
      <c r="M607" t="n">
        <v>0</v>
      </c>
      <c r="N607" t="n">
        <v>0</v>
      </c>
      <c r="O607" t="n">
        <v>0</v>
      </c>
      <c r="P607" t="n">
        <v>0</v>
      </c>
      <c r="Q607" t="n">
        <v>0</v>
      </c>
      <c r="R607" s="2" t="inlineStr"/>
    </row>
    <row r="608" ht="15" customHeight="1">
      <c r="A608" t="inlineStr">
        <is>
          <t>A 14617-2024</t>
        </is>
      </c>
      <c r="B608" s="1" t="n">
        <v>45397</v>
      </c>
      <c r="C608" s="1" t="n">
        <v>45881</v>
      </c>
      <c r="D608" t="inlineStr">
        <is>
          <t>DALARNAS LÄN</t>
        </is>
      </c>
      <c r="E608" t="inlineStr">
        <is>
          <t>LEKSAND</t>
        </is>
      </c>
      <c r="G608" t="n">
        <v>0.2</v>
      </c>
      <c r="H608" t="n">
        <v>0</v>
      </c>
      <c r="I608" t="n">
        <v>0</v>
      </c>
      <c r="J608" t="n">
        <v>0</v>
      </c>
      <c r="K608" t="n">
        <v>0</v>
      </c>
      <c r="L608" t="n">
        <v>0</v>
      </c>
      <c r="M608" t="n">
        <v>0</v>
      </c>
      <c r="N608" t="n">
        <v>0</v>
      </c>
      <c r="O608" t="n">
        <v>0</v>
      </c>
      <c r="P608" t="n">
        <v>0</v>
      </c>
      <c r="Q608" t="n">
        <v>0</v>
      </c>
      <c r="R608" s="2" t="inlineStr"/>
    </row>
    <row r="609" ht="15" customHeight="1">
      <c r="A609" t="inlineStr">
        <is>
          <t>A 27705-2025</t>
        </is>
      </c>
      <c r="B609" s="1" t="n">
        <v>45813</v>
      </c>
      <c r="C609" s="1" t="n">
        <v>45881</v>
      </c>
      <c r="D609" t="inlineStr">
        <is>
          <t>DALARNAS LÄN</t>
        </is>
      </c>
      <c r="E609" t="inlineStr">
        <is>
          <t>LEKSAND</t>
        </is>
      </c>
      <c r="G609" t="n">
        <v>0.8</v>
      </c>
      <c r="H609" t="n">
        <v>0</v>
      </c>
      <c r="I609" t="n">
        <v>0</v>
      </c>
      <c r="J609" t="n">
        <v>0</v>
      </c>
      <c r="K609" t="n">
        <v>0</v>
      </c>
      <c r="L609" t="n">
        <v>0</v>
      </c>
      <c r="M609" t="n">
        <v>0</v>
      </c>
      <c r="N609" t="n">
        <v>0</v>
      </c>
      <c r="O609" t="n">
        <v>0</v>
      </c>
      <c r="P609" t="n">
        <v>0</v>
      </c>
      <c r="Q609" t="n">
        <v>0</v>
      </c>
      <c r="R609" s="2" t="inlineStr"/>
    </row>
    <row r="610" ht="15" customHeight="1">
      <c r="A610" t="inlineStr">
        <is>
          <t>A 46141-2022</t>
        </is>
      </c>
      <c r="B610" s="1" t="n">
        <v>44846</v>
      </c>
      <c r="C610" s="1" t="n">
        <v>45881</v>
      </c>
      <c r="D610" t="inlineStr">
        <is>
          <t>DALARNAS LÄN</t>
        </is>
      </c>
      <c r="E610" t="inlineStr">
        <is>
          <t>LEKSAND</t>
        </is>
      </c>
      <c r="G610" t="n">
        <v>2.8</v>
      </c>
      <c r="H610" t="n">
        <v>0</v>
      </c>
      <c r="I610" t="n">
        <v>0</v>
      </c>
      <c r="J610" t="n">
        <v>0</v>
      </c>
      <c r="K610" t="n">
        <v>0</v>
      </c>
      <c r="L610" t="n">
        <v>0</v>
      </c>
      <c r="M610" t="n">
        <v>0</v>
      </c>
      <c r="N610" t="n">
        <v>0</v>
      </c>
      <c r="O610" t="n">
        <v>0</v>
      </c>
      <c r="P610" t="n">
        <v>0</v>
      </c>
      <c r="Q610" t="n">
        <v>0</v>
      </c>
      <c r="R610" s="2" t="inlineStr"/>
    </row>
    <row r="611" ht="15" customHeight="1">
      <c r="A611" t="inlineStr">
        <is>
          <t>A 62993-2023</t>
        </is>
      </c>
      <c r="B611" s="1" t="n">
        <v>45272</v>
      </c>
      <c r="C611" s="1" t="n">
        <v>45881</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61933-2023</t>
        </is>
      </c>
      <c r="B612" s="1" t="n">
        <v>45266</v>
      </c>
      <c r="C612" s="1" t="n">
        <v>45881</v>
      </c>
      <c r="D612" t="inlineStr">
        <is>
          <t>DALARNAS LÄN</t>
        </is>
      </c>
      <c r="E612" t="inlineStr">
        <is>
          <t>LEKSAND</t>
        </is>
      </c>
      <c r="G612" t="n">
        <v>0.2</v>
      </c>
      <c r="H612" t="n">
        <v>0</v>
      </c>
      <c r="I612" t="n">
        <v>0</v>
      </c>
      <c r="J612" t="n">
        <v>0</v>
      </c>
      <c r="K612" t="n">
        <v>0</v>
      </c>
      <c r="L612" t="n">
        <v>0</v>
      </c>
      <c r="M612" t="n">
        <v>0</v>
      </c>
      <c r="N612" t="n">
        <v>0</v>
      </c>
      <c r="O612" t="n">
        <v>0</v>
      </c>
      <c r="P612" t="n">
        <v>0</v>
      </c>
      <c r="Q612" t="n">
        <v>0</v>
      </c>
      <c r="R612" s="2" t="inlineStr"/>
    </row>
    <row r="613" ht="15" customHeight="1">
      <c r="A613" t="inlineStr">
        <is>
          <t>A 33198-2022</t>
        </is>
      </c>
      <c r="B613" s="1" t="n">
        <v>44785.68597222222</v>
      </c>
      <c r="C613" s="1" t="n">
        <v>45881</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27680-2025</t>
        </is>
      </c>
      <c r="B614" s="1" t="n">
        <v>45813.64618055556</v>
      </c>
      <c r="C614" s="1" t="n">
        <v>45881</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15619-2025</t>
        </is>
      </c>
      <c r="B615" s="1" t="n">
        <v>45747</v>
      </c>
      <c r="C615" s="1" t="n">
        <v>45881</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46931-2023</t>
        </is>
      </c>
      <c r="B616" s="1" t="n">
        <v>45201</v>
      </c>
      <c r="C616" s="1" t="n">
        <v>45881</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28483-2025</t>
        </is>
      </c>
      <c r="B617" s="1" t="n">
        <v>45818</v>
      </c>
      <c r="C617" s="1" t="n">
        <v>45881</v>
      </c>
      <c r="D617" t="inlineStr">
        <is>
          <t>DALARNAS LÄN</t>
        </is>
      </c>
      <c r="E617" t="inlineStr">
        <is>
          <t>LEKSAND</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17483-2025</t>
        </is>
      </c>
      <c r="B618" s="1" t="n">
        <v>45757.49408564815</v>
      </c>
      <c r="C618" s="1" t="n">
        <v>45881</v>
      </c>
      <c r="D618" t="inlineStr">
        <is>
          <t>DALARNAS LÄN</t>
        </is>
      </c>
      <c r="E618" t="inlineStr">
        <is>
          <t>LEKSAND</t>
        </is>
      </c>
      <c r="G618" t="n">
        <v>4.1</v>
      </c>
      <c r="H618" t="n">
        <v>0</v>
      </c>
      <c r="I618" t="n">
        <v>0</v>
      </c>
      <c r="J618" t="n">
        <v>0</v>
      </c>
      <c r="K618" t="n">
        <v>0</v>
      </c>
      <c r="L618" t="n">
        <v>0</v>
      </c>
      <c r="M618" t="n">
        <v>0</v>
      </c>
      <c r="N618" t="n">
        <v>0</v>
      </c>
      <c r="O618" t="n">
        <v>0</v>
      </c>
      <c r="P618" t="n">
        <v>0</v>
      </c>
      <c r="Q618" t="n">
        <v>0</v>
      </c>
      <c r="R618" s="2" t="inlineStr"/>
    </row>
    <row r="619" ht="15" customHeight="1">
      <c r="A619" t="inlineStr">
        <is>
          <t>A 17759-2023</t>
        </is>
      </c>
      <c r="B619" s="1" t="n">
        <v>45037.48765046296</v>
      </c>
      <c r="C619" s="1" t="n">
        <v>45881</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43220-2024</t>
        </is>
      </c>
      <c r="B620" s="1" t="n">
        <v>45567.86112268519</v>
      </c>
      <c r="C620" s="1" t="n">
        <v>45881</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55015-2024</t>
        </is>
      </c>
      <c r="B621" s="1" t="n">
        <v>45621.35554398148</v>
      </c>
      <c r="C621" s="1" t="n">
        <v>45881</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34039-2024</t>
        </is>
      </c>
      <c r="B622" s="1" t="n">
        <v>45523.5974537037</v>
      </c>
      <c r="C622" s="1" t="n">
        <v>45881</v>
      </c>
      <c r="D622" t="inlineStr">
        <is>
          <t>DALARNAS LÄN</t>
        </is>
      </c>
      <c r="E622" t="inlineStr">
        <is>
          <t>LEKSAND</t>
        </is>
      </c>
      <c r="G622" t="n">
        <v>7.1</v>
      </c>
      <c r="H622" t="n">
        <v>0</v>
      </c>
      <c r="I622" t="n">
        <v>0</v>
      </c>
      <c r="J622" t="n">
        <v>0</v>
      </c>
      <c r="K622" t="n">
        <v>0</v>
      </c>
      <c r="L622" t="n">
        <v>0</v>
      </c>
      <c r="M622" t="n">
        <v>0</v>
      </c>
      <c r="N622" t="n">
        <v>0</v>
      </c>
      <c r="O622" t="n">
        <v>0</v>
      </c>
      <c r="P622" t="n">
        <v>0</v>
      </c>
      <c r="Q622" t="n">
        <v>0</v>
      </c>
      <c r="R622" s="2" t="inlineStr"/>
    </row>
    <row r="623" ht="15" customHeight="1">
      <c r="A623" t="inlineStr">
        <is>
          <t>A 46505-2023</t>
        </is>
      </c>
      <c r="B623" s="1" t="n">
        <v>45197</v>
      </c>
      <c r="C623" s="1" t="n">
        <v>45881</v>
      </c>
      <c r="D623" t="inlineStr">
        <is>
          <t>DALARNAS LÄN</t>
        </is>
      </c>
      <c r="E623" t="inlineStr">
        <is>
          <t>LEKSAND</t>
        </is>
      </c>
      <c r="G623" t="n">
        <v>2.3</v>
      </c>
      <c r="H623" t="n">
        <v>0</v>
      </c>
      <c r="I623" t="n">
        <v>0</v>
      </c>
      <c r="J623" t="n">
        <v>0</v>
      </c>
      <c r="K623" t="n">
        <v>0</v>
      </c>
      <c r="L623" t="n">
        <v>0</v>
      </c>
      <c r="M623" t="n">
        <v>0</v>
      </c>
      <c r="N623" t="n">
        <v>0</v>
      </c>
      <c r="O623" t="n">
        <v>0</v>
      </c>
      <c r="P623" t="n">
        <v>0</v>
      </c>
      <c r="Q623" t="n">
        <v>0</v>
      </c>
      <c r="R623" s="2" t="inlineStr"/>
    </row>
    <row r="624" ht="15" customHeight="1">
      <c r="A624" t="inlineStr">
        <is>
          <t>A 481-2024</t>
        </is>
      </c>
      <c r="B624" s="1" t="n">
        <v>45298</v>
      </c>
      <c r="C624" s="1" t="n">
        <v>45881</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28505-2025</t>
        </is>
      </c>
      <c r="B625" s="1" t="n">
        <v>45818</v>
      </c>
      <c r="C625" s="1" t="n">
        <v>45881</v>
      </c>
      <c r="D625" t="inlineStr">
        <is>
          <t>DALARNAS LÄN</t>
        </is>
      </c>
      <c r="E625" t="inlineStr">
        <is>
          <t>LEKSAND</t>
        </is>
      </c>
      <c r="G625" t="n">
        <v>0.8</v>
      </c>
      <c r="H625" t="n">
        <v>0</v>
      </c>
      <c r="I625" t="n">
        <v>0</v>
      </c>
      <c r="J625" t="n">
        <v>0</v>
      </c>
      <c r="K625" t="n">
        <v>0</v>
      </c>
      <c r="L625" t="n">
        <v>0</v>
      </c>
      <c r="M625" t="n">
        <v>0</v>
      </c>
      <c r="N625" t="n">
        <v>0</v>
      </c>
      <c r="O625" t="n">
        <v>0</v>
      </c>
      <c r="P625" t="n">
        <v>0</v>
      </c>
      <c r="Q625" t="n">
        <v>0</v>
      </c>
      <c r="R625" s="2" t="inlineStr"/>
    </row>
    <row r="626" ht="15" customHeight="1">
      <c r="A626" t="inlineStr">
        <is>
          <t>A 28499-2025</t>
        </is>
      </c>
      <c r="B626" s="1" t="n">
        <v>45818</v>
      </c>
      <c r="C626" s="1" t="n">
        <v>45881</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50278-2023</t>
        </is>
      </c>
      <c r="B627" s="1" t="n">
        <v>45216.43444444444</v>
      </c>
      <c r="C627" s="1" t="n">
        <v>45881</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27984-2025</t>
        </is>
      </c>
      <c r="B628" s="1" t="n">
        <v>45817.57710648148</v>
      </c>
      <c r="C628" s="1" t="n">
        <v>45881</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28488-2025</t>
        </is>
      </c>
      <c r="B629" s="1" t="n">
        <v>45818</v>
      </c>
      <c r="C629" s="1" t="n">
        <v>45881</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35746-2025</t>
        </is>
      </c>
      <c r="B630" s="1" t="n">
        <v>45860.55237268518</v>
      </c>
      <c r="C630" s="1" t="n">
        <v>45881</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16197-2024</t>
        </is>
      </c>
      <c r="B631" s="1" t="n">
        <v>45406.70356481482</v>
      </c>
      <c r="C631" s="1" t="n">
        <v>45881</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5453-2025</t>
        </is>
      </c>
      <c r="B632" s="1" t="n">
        <v>45692.95231481481</v>
      </c>
      <c r="C632" s="1" t="n">
        <v>45881</v>
      </c>
      <c r="D632" t="inlineStr">
        <is>
          <t>DALARNAS LÄN</t>
        </is>
      </c>
      <c r="E632" t="inlineStr">
        <is>
          <t>LEKSAND</t>
        </is>
      </c>
      <c r="G632" t="n">
        <v>2.2</v>
      </c>
      <c r="H632" t="n">
        <v>0</v>
      </c>
      <c r="I632" t="n">
        <v>0</v>
      </c>
      <c r="J632" t="n">
        <v>0</v>
      </c>
      <c r="K632" t="n">
        <v>0</v>
      </c>
      <c r="L632" t="n">
        <v>0</v>
      </c>
      <c r="M632" t="n">
        <v>0</v>
      </c>
      <c r="N632" t="n">
        <v>0</v>
      </c>
      <c r="O632" t="n">
        <v>0</v>
      </c>
      <c r="P632" t="n">
        <v>0</v>
      </c>
      <c r="Q632" t="n">
        <v>0</v>
      </c>
      <c r="R632" s="2" t="inlineStr"/>
    </row>
    <row r="633" ht="15" customHeight="1">
      <c r="A633" t="inlineStr">
        <is>
          <t>A 57925-2024</t>
        </is>
      </c>
      <c r="B633" s="1" t="n">
        <v>45630</v>
      </c>
      <c r="C633" s="1" t="n">
        <v>45881</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28770-2025</t>
        </is>
      </c>
      <c r="B634" s="1" t="n">
        <v>45820</v>
      </c>
      <c r="C634" s="1" t="n">
        <v>45881</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28458-2025</t>
        </is>
      </c>
      <c r="B635" s="1" t="n">
        <v>45819.413125</v>
      </c>
      <c r="C635" s="1" t="n">
        <v>45881</v>
      </c>
      <c r="D635" t="inlineStr">
        <is>
          <t>DALARNAS LÄN</t>
        </is>
      </c>
      <c r="E635" t="inlineStr">
        <is>
          <t>LEKSAND</t>
        </is>
      </c>
      <c r="G635" t="n">
        <v>3</v>
      </c>
      <c r="H635" t="n">
        <v>0</v>
      </c>
      <c r="I635" t="n">
        <v>0</v>
      </c>
      <c r="J635" t="n">
        <v>0</v>
      </c>
      <c r="K635" t="n">
        <v>0</v>
      </c>
      <c r="L635" t="n">
        <v>0</v>
      </c>
      <c r="M635" t="n">
        <v>0</v>
      </c>
      <c r="N635" t="n">
        <v>0</v>
      </c>
      <c r="O635" t="n">
        <v>0</v>
      </c>
      <c r="P635" t="n">
        <v>0</v>
      </c>
      <c r="Q635" t="n">
        <v>0</v>
      </c>
      <c r="R635" s="2" t="inlineStr"/>
    </row>
    <row r="636" ht="15" customHeight="1">
      <c r="A636" t="inlineStr">
        <is>
          <t>A 29005-2025</t>
        </is>
      </c>
      <c r="B636" s="1" t="n">
        <v>45821.39326388889</v>
      </c>
      <c r="C636" s="1" t="n">
        <v>45881</v>
      </c>
      <c r="D636" t="inlineStr">
        <is>
          <t>DALARNAS LÄN</t>
        </is>
      </c>
      <c r="E636" t="inlineStr">
        <is>
          <t>LEKSAND</t>
        </is>
      </c>
      <c r="G636" t="n">
        <v>2.1</v>
      </c>
      <c r="H636" t="n">
        <v>0</v>
      </c>
      <c r="I636" t="n">
        <v>0</v>
      </c>
      <c r="J636" t="n">
        <v>0</v>
      </c>
      <c r="K636" t="n">
        <v>0</v>
      </c>
      <c r="L636" t="n">
        <v>0</v>
      </c>
      <c r="M636" t="n">
        <v>0</v>
      </c>
      <c r="N636" t="n">
        <v>0</v>
      </c>
      <c r="O636" t="n">
        <v>0</v>
      </c>
      <c r="P636" t="n">
        <v>0</v>
      </c>
      <c r="Q636" t="n">
        <v>0</v>
      </c>
      <c r="R636" s="2" t="inlineStr"/>
    </row>
    <row r="637" ht="15" customHeight="1">
      <c r="A637" t="inlineStr">
        <is>
          <t>A 27445-2024</t>
        </is>
      </c>
      <c r="B637" s="1" t="n">
        <v>45474.42474537037</v>
      </c>
      <c r="C637" s="1" t="n">
        <v>45881</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27446-2024</t>
        </is>
      </c>
      <c r="B638" s="1" t="n">
        <v>45474.42671296297</v>
      </c>
      <c r="C638" s="1" t="n">
        <v>45881</v>
      </c>
      <c r="D638" t="inlineStr">
        <is>
          <t>DALARNAS LÄN</t>
        </is>
      </c>
      <c r="E638" t="inlineStr">
        <is>
          <t>LEKSAND</t>
        </is>
      </c>
      <c r="G638" t="n">
        <v>2.9</v>
      </c>
      <c r="H638" t="n">
        <v>0</v>
      </c>
      <c r="I638" t="n">
        <v>0</v>
      </c>
      <c r="J638" t="n">
        <v>0</v>
      </c>
      <c r="K638" t="n">
        <v>0</v>
      </c>
      <c r="L638" t="n">
        <v>0</v>
      </c>
      <c r="M638" t="n">
        <v>0</v>
      </c>
      <c r="N638" t="n">
        <v>0</v>
      </c>
      <c r="O638" t="n">
        <v>0</v>
      </c>
      <c r="P638" t="n">
        <v>0</v>
      </c>
      <c r="Q638" t="n">
        <v>0</v>
      </c>
      <c r="R638" s="2" t="inlineStr"/>
    </row>
    <row r="639" ht="15" customHeight="1">
      <c r="A639" t="inlineStr">
        <is>
          <t>A 28985-2025</t>
        </is>
      </c>
      <c r="B639" s="1" t="n">
        <v>45821.36862268519</v>
      </c>
      <c r="C639" s="1" t="n">
        <v>45881</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18837-2023</t>
        </is>
      </c>
      <c r="B640" s="1" t="n">
        <v>45044.42940972222</v>
      </c>
      <c r="C640" s="1" t="n">
        <v>45881</v>
      </c>
      <c r="D640" t="inlineStr">
        <is>
          <t>DALARNAS LÄN</t>
        </is>
      </c>
      <c r="E640" t="inlineStr">
        <is>
          <t>LEKSAND</t>
        </is>
      </c>
      <c r="G640" t="n">
        <v>1.5</v>
      </c>
      <c r="H640" t="n">
        <v>0</v>
      </c>
      <c r="I640" t="n">
        <v>0</v>
      </c>
      <c r="J640" t="n">
        <v>0</v>
      </c>
      <c r="K640" t="n">
        <v>0</v>
      </c>
      <c r="L640" t="n">
        <v>0</v>
      </c>
      <c r="M640" t="n">
        <v>0</v>
      </c>
      <c r="N640" t="n">
        <v>0</v>
      </c>
      <c r="O640" t="n">
        <v>0</v>
      </c>
      <c r="P640" t="n">
        <v>0</v>
      </c>
      <c r="Q640" t="n">
        <v>0</v>
      </c>
      <c r="R640" s="2" t="inlineStr"/>
    </row>
    <row r="641" ht="15" customHeight="1">
      <c r="A641" t="inlineStr">
        <is>
          <t>A 12646-2025</t>
        </is>
      </c>
      <c r="B641" s="1" t="n">
        <v>45733.39496527778</v>
      </c>
      <c r="C641" s="1" t="n">
        <v>45881</v>
      </c>
      <c r="D641" t="inlineStr">
        <is>
          <t>DALARNAS LÄN</t>
        </is>
      </c>
      <c r="E641" t="inlineStr">
        <is>
          <t>LEKSAND</t>
        </is>
      </c>
      <c r="G641" t="n">
        <v>2.3</v>
      </c>
      <c r="H641" t="n">
        <v>0</v>
      </c>
      <c r="I641" t="n">
        <v>0</v>
      </c>
      <c r="J641" t="n">
        <v>0</v>
      </c>
      <c r="K641" t="n">
        <v>0</v>
      </c>
      <c r="L641" t="n">
        <v>0</v>
      </c>
      <c r="M641" t="n">
        <v>0</v>
      </c>
      <c r="N641" t="n">
        <v>0</v>
      </c>
      <c r="O641" t="n">
        <v>0</v>
      </c>
      <c r="P641" t="n">
        <v>0</v>
      </c>
      <c r="Q641" t="n">
        <v>0</v>
      </c>
      <c r="R641" s="2" t="inlineStr"/>
    </row>
    <row r="642" ht="15" customHeight="1">
      <c r="A642" t="inlineStr">
        <is>
          <t>A 17730-2024</t>
        </is>
      </c>
      <c r="B642" s="1" t="n">
        <v>45418</v>
      </c>
      <c r="C642" s="1" t="n">
        <v>45881</v>
      </c>
      <c r="D642" t="inlineStr">
        <is>
          <t>DALARNAS LÄN</t>
        </is>
      </c>
      <c r="E642" t="inlineStr">
        <is>
          <t>LEKSAND</t>
        </is>
      </c>
      <c r="G642" t="n">
        <v>2.4</v>
      </c>
      <c r="H642" t="n">
        <v>0</v>
      </c>
      <c r="I642" t="n">
        <v>0</v>
      </c>
      <c r="J642" t="n">
        <v>0</v>
      </c>
      <c r="K642" t="n">
        <v>0</v>
      </c>
      <c r="L642" t="n">
        <v>0</v>
      </c>
      <c r="M642" t="n">
        <v>0</v>
      </c>
      <c r="N642" t="n">
        <v>0</v>
      </c>
      <c r="O642" t="n">
        <v>0</v>
      </c>
      <c r="P642" t="n">
        <v>0</v>
      </c>
      <c r="Q642" t="n">
        <v>0</v>
      </c>
      <c r="R642" s="2" t="inlineStr"/>
    </row>
    <row r="643" ht="15" customHeight="1">
      <c r="A643" t="inlineStr">
        <is>
          <t>A 64933-2023</t>
        </is>
      </c>
      <c r="B643" s="1" t="n">
        <v>45282</v>
      </c>
      <c r="C643" s="1" t="n">
        <v>45881</v>
      </c>
      <c r="D643" t="inlineStr">
        <is>
          <t>DALARNAS LÄN</t>
        </is>
      </c>
      <c r="E643" t="inlineStr">
        <is>
          <t>LEKSAND</t>
        </is>
      </c>
      <c r="G643" t="n">
        <v>2.3</v>
      </c>
      <c r="H643" t="n">
        <v>0</v>
      </c>
      <c r="I643" t="n">
        <v>0</v>
      </c>
      <c r="J643" t="n">
        <v>0</v>
      </c>
      <c r="K643" t="n">
        <v>0</v>
      </c>
      <c r="L643" t="n">
        <v>0</v>
      </c>
      <c r="M643" t="n">
        <v>0</v>
      </c>
      <c r="N643" t="n">
        <v>0</v>
      </c>
      <c r="O643" t="n">
        <v>0</v>
      </c>
      <c r="P643" t="n">
        <v>0</v>
      </c>
      <c r="Q643" t="n">
        <v>0</v>
      </c>
      <c r="R643" s="2" t="inlineStr"/>
    </row>
    <row r="644" ht="15" customHeight="1">
      <c r="A644" t="inlineStr">
        <is>
          <t>A 36021-2025</t>
        </is>
      </c>
      <c r="B644" s="1" t="n">
        <v>45863.72346064815</v>
      </c>
      <c r="C644" s="1" t="n">
        <v>45881</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35998-2025</t>
        </is>
      </c>
      <c r="B645" s="1" t="n">
        <v>45863.51550925926</v>
      </c>
      <c r="C645" s="1" t="n">
        <v>45881</v>
      </c>
      <c r="D645" t="inlineStr">
        <is>
          <t>DALARNAS LÄN</t>
        </is>
      </c>
      <c r="E645" t="inlineStr">
        <is>
          <t>LEKSAND</t>
        </is>
      </c>
      <c r="G645" t="n">
        <v>2</v>
      </c>
      <c r="H645" t="n">
        <v>0</v>
      </c>
      <c r="I645" t="n">
        <v>0</v>
      </c>
      <c r="J645" t="n">
        <v>0</v>
      </c>
      <c r="K645" t="n">
        <v>0</v>
      </c>
      <c r="L645" t="n">
        <v>0</v>
      </c>
      <c r="M645" t="n">
        <v>0</v>
      </c>
      <c r="N645" t="n">
        <v>0</v>
      </c>
      <c r="O645" t="n">
        <v>0</v>
      </c>
      <c r="P645" t="n">
        <v>0</v>
      </c>
      <c r="Q645" t="n">
        <v>0</v>
      </c>
      <c r="R645" s="2" t="inlineStr"/>
    </row>
    <row r="646" ht="15" customHeight="1">
      <c r="A646" t="inlineStr">
        <is>
          <t>A 39620-2024</t>
        </is>
      </c>
      <c r="B646" s="1" t="n">
        <v>45552.43163194445</v>
      </c>
      <c r="C646" s="1" t="n">
        <v>45881</v>
      </c>
      <c r="D646" t="inlineStr">
        <is>
          <t>DALARNAS LÄN</t>
        </is>
      </c>
      <c r="E646" t="inlineStr">
        <is>
          <t>LEKSAND</t>
        </is>
      </c>
      <c r="G646" t="n">
        <v>2.3</v>
      </c>
      <c r="H646" t="n">
        <v>0</v>
      </c>
      <c r="I646" t="n">
        <v>0</v>
      </c>
      <c r="J646" t="n">
        <v>0</v>
      </c>
      <c r="K646" t="n">
        <v>0</v>
      </c>
      <c r="L646" t="n">
        <v>0</v>
      </c>
      <c r="M646" t="n">
        <v>0</v>
      </c>
      <c r="N646" t="n">
        <v>0</v>
      </c>
      <c r="O646" t="n">
        <v>0</v>
      </c>
      <c r="P646" t="n">
        <v>0</v>
      </c>
      <c r="Q646" t="n">
        <v>0</v>
      </c>
      <c r="R646" s="2" t="inlineStr"/>
    </row>
    <row r="647" ht="15" customHeight="1">
      <c r="A647" t="inlineStr">
        <is>
          <t>A 57907-2024</t>
        </is>
      </c>
      <c r="B647" s="1" t="n">
        <v>45630</v>
      </c>
      <c r="C647" s="1" t="n">
        <v>45881</v>
      </c>
      <c r="D647" t="inlineStr">
        <is>
          <t>DALARNAS LÄN</t>
        </is>
      </c>
      <c r="E647" t="inlineStr">
        <is>
          <t>LEKSAND</t>
        </is>
      </c>
      <c r="G647" t="n">
        <v>1.4</v>
      </c>
      <c r="H647" t="n">
        <v>0</v>
      </c>
      <c r="I647" t="n">
        <v>0</v>
      </c>
      <c r="J647" t="n">
        <v>0</v>
      </c>
      <c r="K647" t="n">
        <v>0</v>
      </c>
      <c r="L647" t="n">
        <v>0</v>
      </c>
      <c r="M647" t="n">
        <v>0</v>
      </c>
      <c r="N647" t="n">
        <v>0</v>
      </c>
      <c r="O647" t="n">
        <v>0</v>
      </c>
      <c r="P647" t="n">
        <v>0</v>
      </c>
      <c r="Q647" t="n">
        <v>0</v>
      </c>
      <c r="R647" s="2" t="inlineStr"/>
    </row>
    <row r="648" ht="15" customHeight="1">
      <c r="A648" t="inlineStr">
        <is>
          <t>A 36190-2025</t>
        </is>
      </c>
      <c r="B648" s="1" t="n">
        <v>45867</v>
      </c>
      <c r="C648" s="1" t="n">
        <v>45881</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29729-2025</t>
        </is>
      </c>
      <c r="B649" s="1" t="n">
        <v>45825.58077546296</v>
      </c>
      <c r="C649" s="1" t="n">
        <v>45881</v>
      </c>
      <c r="D649" t="inlineStr">
        <is>
          <t>DALARNAS LÄN</t>
        </is>
      </c>
      <c r="E649" t="inlineStr">
        <is>
          <t>LEKSAND</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59236-2024</t>
        </is>
      </c>
      <c r="B650" s="1" t="n">
        <v>45637.58795138889</v>
      </c>
      <c r="C650" s="1" t="n">
        <v>45881</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29553-2025</t>
        </is>
      </c>
      <c r="B651" s="1" t="n">
        <v>45825.35315972222</v>
      </c>
      <c r="C651" s="1" t="n">
        <v>45881</v>
      </c>
      <c r="D651" t="inlineStr">
        <is>
          <t>DALARNAS LÄN</t>
        </is>
      </c>
      <c r="E651" t="inlineStr">
        <is>
          <t>LEKSAND</t>
        </is>
      </c>
      <c r="G651" t="n">
        <v>1.8</v>
      </c>
      <c r="H651" t="n">
        <v>0</v>
      </c>
      <c r="I651" t="n">
        <v>0</v>
      </c>
      <c r="J651" t="n">
        <v>0</v>
      </c>
      <c r="K651" t="n">
        <v>0</v>
      </c>
      <c r="L651" t="n">
        <v>0</v>
      </c>
      <c r="M651" t="n">
        <v>0</v>
      </c>
      <c r="N651" t="n">
        <v>0</v>
      </c>
      <c r="O651" t="n">
        <v>0</v>
      </c>
      <c r="P651" t="n">
        <v>0</v>
      </c>
      <c r="Q651" t="n">
        <v>0</v>
      </c>
      <c r="R651" s="2" t="inlineStr"/>
    </row>
    <row r="652" ht="15" customHeight="1">
      <c r="A652" t="inlineStr">
        <is>
          <t>A 56749-2024</t>
        </is>
      </c>
      <c r="B652" s="1" t="n">
        <v>45628.37487268518</v>
      </c>
      <c r="C652" s="1" t="n">
        <v>45881</v>
      </c>
      <c r="D652" t="inlineStr">
        <is>
          <t>DALARNAS LÄN</t>
        </is>
      </c>
      <c r="E652" t="inlineStr">
        <is>
          <t>LEKSAND</t>
        </is>
      </c>
      <c r="G652" t="n">
        <v>5</v>
      </c>
      <c r="H652" t="n">
        <v>0</v>
      </c>
      <c r="I652" t="n">
        <v>0</v>
      </c>
      <c r="J652" t="n">
        <v>0</v>
      </c>
      <c r="K652" t="n">
        <v>0</v>
      </c>
      <c r="L652" t="n">
        <v>0</v>
      </c>
      <c r="M652" t="n">
        <v>0</v>
      </c>
      <c r="N652" t="n">
        <v>0</v>
      </c>
      <c r="O652" t="n">
        <v>0</v>
      </c>
      <c r="P652" t="n">
        <v>0</v>
      </c>
      <c r="Q652" t="n">
        <v>0</v>
      </c>
      <c r="R652" s="2" t="inlineStr"/>
    </row>
    <row r="653" ht="15" customHeight="1">
      <c r="A653" t="inlineStr">
        <is>
          <t>A 34038-2024</t>
        </is>
      </c>
      <c r="B653" s="1" t="n">
        <v>45523.59578703704</v>
      </c>
      <c r="C653" s="1" t="n">
        <v>45881</v>
      </c>
      <c r="D653" t="inlineStr">
        <is>
          <t>DALARNAS LÄN</t>
        </is>
      </c>
      <c r="E653" t="inlineStr">
        <is>
          <t>LEKSAND</t>
        </is>
      </c>
      <c r="G653" t="n">
        <v>0.3</v>
      </c>
      <c r="H653" t="n">
        <v>0</v>
      </c>
      <c r="I653" t="n">
        <v>0</v>
      </c>
      <c r="J653" t="n">
        <v>0</v>
      </c>
      <c r="K653" t="n">
        <v>0</v>
      </c>
      <c r="L653" t="n">
        <v>0</v>
      </c>
      <c r="M653" t="n">
        <v>0</v>
      </c>
      <c r="N653" t="n">
        <v>0</v>
      </c>
      <c r="O653" t="n">
        <v>0</v>
      </c>
      <c r="P653" t="n">
        <v>0</v>
      </c>
      <c r="Q653" t="n">
        <v>0</v>
      </c>
      <c r="R653" s="2" t="inlineStr"/>
    </row>
    <row r="654" ht="15" customHeight="1">
      <c r="A654" t="inlineStr">
        <is>
          <t>A 34041-2024</t>
        </is>
      </c>
      <c r="B654" s="1" t="n">
        <v>45523.59895833334</v>
      </c>
      <c r="C654" s="1" t="n">
        <v>45881</v>
      </c>
      <c r="D654" t="inlineStr">
        <is>
          <t>DALARNAS LÄN</t>
        </is>
      </c>
      <c r="E654" t="inlineStr">
        <is>
          <t>LEKSAND</t>
        </is>
      </c>
      <c r="G654" t="n">
        <v>4</v>
      </c>
      <c r="H654" t="n">
        <v>0</v>
      </c>
      <c r="I654" t="n">
        <v>0</v>
      </c>
      <c r="J654" t="n">
        <v>0</v>
      </c>
      <c r="K654" t="n">
        <v>0</v>
      </c>
      <c r="L654" t="n">
        <v>0</v>
      </c>
      <c r="M654" t="n">
        <v>0</v>
      </c>
      <c r="N654" t="n">
        <v>0</v>
      </c>
      <c r="O654" t="n">
        <v>0</v>
      </c>
      <c r="P654" t="n">
        <v>0</v>
      </c>
      <c r="Q654" t="n">
        <v>0</v>
      </c>
      <c r="R654" s="2" t="inlineStr"/>
    </row>
    <row r="655" ht="15" customHeight="1">
      <c r="A655" t="inlineStr">
        <is>
          <t>A 41093-2020</t>
        </is>
      </c>
      <c r="B655" s="1" t="n">
        <v>44071</v>
      </c>
      <c r="C655" s="1" t="n">
        <v>45881</v>
      </c>
      <c r="D655" t="inlineStr">
        <is>
          <t>DALARNAS LÄN</t>
        </is>
      </c>
      <c r="E655" t="inlineStr">
        <is>
          <t>LEKSAND</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30254-2025</t>
        </is>
      </c>
      <c r="B656" s="1" t="n">
        <v>45827.42336805556</v>
      </c>
      <c r="C656" s="1" t="n">
        <v>45881</v>
      </c>
      <c r="D656" t="inlineStr">
        <is>
          <t>DALARNAS LÄN</t>
        </is>
      </c>
      <c r="E656" t="inlineStr">
        <is>
          <t>LEKSAND</t>
        </is>
      </c>
      <c r="G656" t="n">
        <v>3.5</v>
      </c>
      <c r="H656" t="n">
        <v>0</v>
      </c>
      <c r="I656" t="n">
        <v>0</v>
      </c>
      <c r="J656" t="n">
        <v>0</v>
      </c>
      <c r="K656" t="n">
        <v>0</v>
      </c>
      <c r="L656" t="n">
        <v>0</v>
      </c>
      <c r="M656" t="n">
        <v>0</v>
      </c>
      <c r="N656" t="n">
        <v>0</v>
      </c>
      <c r="O656" t="n">
        <v>0</v>
      </c>
      <c r="P656" t="n">
        <v>0</v>
      </c>
      <c r="Q656" t="n">
        <v>0</v>
      </c>
      <c r="R656" s="2" t="inlineStr"/>
    </row>
    <row r="657" ht="15" customHeight="1">
      <c r="A657" t="inlineStr">
        <is>
          <t>A 23892-2025</t>
        </is>
      </c>
      <c r="B657" s="1" t="n">
        <v>45793</v>
      </c>
      <c r="C657" s="1" t="n">
        <v>45881</v>
      </c>
      <c r="D657" t="inlineStr">
        <is>
          <t>DALARNAS LÄN</t>
        </is>
      </c>
      <c r="E657" t="inlineStr">
        <is>
          <t>LEKSAND</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36540-2025</t>
        </is>
      </c>
      <c r="B658" s="1" t="n">
        <v>45869.63885416667</v>
      </c>
      <c r="C658" s="1" t="n">
        <v>45881</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30917-2025</t>
        </is>
      </c>
      <c r="B659" s="1" t="n">
        <v>45832.37989583334</v>
      </c>
      <c r="C659" s="1" t="n">
        <v>45881</v>
      </c>
      <c r="D659" t="inlineStr">
        <is>
          <t>DALARNAS LÄN</t>
        </is>
      </c>
      <c r="E659" t="inlineStr">
        <is>
          <t>LEKSAND</t>
        </is>
      </c>
      <c r="G659" t="n">
        <v>1.2</v>
      </c>
      <c r="H659" t="n">
        <v>0</v>
      </c>
      <c r="I659" t="n">
        <v>0</v>
      </c>
      <c r="J659" t="n">
        <v>0</v>
      </c>
      <c r="K659" t="n">
        <v>0</v>
      </c>
      <c r="L659" t="n">
        <v>0</v>
      </c>
      <c r="M659" t="n">
        <v>0</v>
      </c>
      <c r="N659" t="n">
        <v>0</v>
      </c>
      <c r="O659" t="n">
        <v>0</v>
      </c>
      <c r="P659" t="n">
        <v>0</v>
      </c>
      <c r="Q659" t="n">
        <v>0</v>
      </c>
      <c r="R659" s="2" t="inlineStr"/>
    </row>
    <row r="660" ht="15" customHeight="1">
      <c r="A660" t="inlineStr">
        <is>
          <t>A 31179-2025</t>
        </is>
      </c>
      <c r="B660" s="1" t="n">
        <v>45832.67648148148</v>
      </c>
      <c r="C660" s="1" t="n">
        <v>45881</v>
      </c>
      <c r="D660" t="inlineStr">
        <is>
          <t>DALARNAS LÄN</t>
        </is>
      </c>
      <c r="E660" t="inlineStr">
        <is>
          <t>LEKSAND</t>
        </is>
      </c>
      <c r="G660" t="n">
        <v>4.7</v>
      </c>
      <c r="H660" t="n">
        <v>0</v>
      </c>
      <c r="I660" t="n">
        <v>0</v>
      </c>
      <c r="J660" t="n">
        <v>0</v>
      </c>
      <c r="K660" t="n">
        <v>0</v>
      </c>
      <c r="L660" t="n">
        <v>0</v>
      </c>
      <c r="M660" t="n">
        <v>0</v>
      </c>
      <c r="N660" t="n">
        <v>0</v>
      </c>
      <c r="O660" t="n">
        <v>0</v>
      </c>
      <c r="P660" t="n">
        <v>0</v>
      </c>
      <c r="Q660" t="n">
        <v>0</v>
      </c>
      <c r="R660" s="2" t="inlineStr"/>
    </row>
    <row r="661" ht="15" customHeight="1">
      <c r="A661" t="inlineStr">
        <is>
          <t>A 10833-2023</t>
        </is>
      </c>
      <c r="B661" s="1" t="n">
        <v>44990</v>
      </c>
      <c r="C661" s="1" t="n">
        <v>45881</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30969-2025</t>
        </is>
      </c>
      <c r="B662" s="1" t="n">
        <v>45832.45914351852</v>
      </c>
      <c r="C662" s="1" t="n">
        <v>45881</v>
      </c>
      <c r="D662" t="inlineStr">
        <is>
          <t>DALARNAS LÄN</t>
        </is>
      </c>
      <c r="E662" t="inlineStr">
        <is>
          <t>LEKSAND</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30911-2025</t>
        </is>
      </c>
      <c r="B663" s="1" t="n">
        <v>45832.37547453704</v>
      </c>
      <c r="C663" s="1" t="n">
        <v>45881</v>
      </c>
      <c r="D663" t="inlineStr">
        <is>
          <t>DALARNAS LÄN</t>
        </is>
      </c>
      <c r="E663" t="inlineStr">
        <is>
          <t>LEKSAND</t>
        </is>
      </c>
      <c r="G663" t="n">
        <v>0.5</v>
      </c>
      <c r="H663" t="n">
        <v>0</v>
      </c>
      <c r="I663" t="n">
        <v>0</v>
      </c>
      <c r="J663" t="n">
        <v>0</v>
      </c>
      <c r="K663" t="n">
        <v>0</v>
      </c>
      <c r="L663" t="n">
        <v>0</v>
      </c>
      <c r="M663" t="n">
        <v>0</v>
      </c>
      <c r="N663" t="n">
        <v>0</v>
      </c>
      <c r="O663" t="n">
        <v>0</v>
      </c>
      <c r="P663" t="n">
        <v>0</v>
      </c>
      <c r="Q663" t="n">
        <v>0</v>
      </c>
      <c r="R663" s="2" t="inlineStr"/>
    </row>
    <row r="664" ht="15" customHeight="1">
      <c r="A664" t="inlineStr">
        <is>
          <t>A 30920-2025</t>
        </is>
      </c>
      <c r="B664" s="1" t="n">
        <v>45832.38484953704</v>
      </c>
      <c r="C664" s="1" t="n">
        <v>45881</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17233-2023</t>
        </is>
      </c>
      <c r="B665" s="1" t="n">
        <v>45035</v>
      </c>
      <c r="C665" s="1" t="n">
        <v>45881</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30916-2025</t>
        </is>
      </c>
      <c r="B666" s="1" t="n">
        <v>45832.37885416667</v>
      </c>
      <c r="C666" s="1" t="n">
        <v>45881</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16231-2021</t>
        </is>
      </c>
      <c r="B667" s="1" t="n">
        <v>44292</v>
      </c>
      <c r="C667" s="1" t="n">
        <v>45881</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30973-2025</t>
        </is>
      </c>
      <c r="B668" s="1" t="n">
        <v>45832.46300925926</v>
      </c>
      <c r="C668" s="1" t="n">
        <v>45881</v>
      </c>
      <c r="D668" t="inlineStr">
        <is>
          <t>DALARNAS LÄN</t>
        </is>
      </c>
      <c r="E668" t="inlineStr">
        <is>
          <t>LEKSAND</t>
        </is>
      </c>
      <c r="F668" t="inlineStr">
        <is>
          <t>Bergvik skog väst AB</t>
        </is>
      </c>
      <c r="G668" t="n">
        <v>3.1</v>
      </c>
      <c r="H668" t="n">
        <v>0</v>
      </c>
      <c r="I668" t="n">
        <v>0</v>
      </c>
      <c r="J668" t="n">
        <v>0</v>
      </c>
      <c r="K668" t="n">
        <v>0</v>
      </c>
      <c r="L668" t="n">
        <v>0</v>
      </c>
      <c r="M668" t="n">
        <v>0</v>
      </c>
      <c r="N668" t="n">
        <v>0</v>
      </c>
      <c r="O668" t="n">
        <v>0</v>
      </c>
      <c r="P668" t="n">
        <v>0</v>
      </c>
      <c r="Q668" t="n">
        <v>0</v>
      </c>
      <c r="R668" s="2" t="inlineStr"/>
    </row>
    <row r="669" ht="15" customHeight="1">
      <c r="A669" t="inlineStr">
        <is>
          <t>A 12857-2023</t>
        </is>
      </c>
      <c r="B669" s="1" t="n">
        <v>45001.5000462963</v>
      </c>
      <c r="C669" s="1" t="n">
        <v>45881</v>
      </c>
      <c r="D669" t="inlineStr">
        <is>
          <t>DALARNAS LÄN</t>
        </is>
      </c>
      <c r="E669" t="inlineStr">
        <is>
          <t>LEKSAND</t>
        </is>
      </c>
      <c r="G669" t="n">
        <v>0.2</v>
      </c>
      <c r="H669" t="n">
        <v>0</v>
      </c>
      <c r="I669" t="n">
        <v>0</v>
      </c>
      <c r="J669" t="n">
        <v>0</v>
      </c>
      <c r="K669" t="n">
        <v>0</v>
      </c>
      <c r="L669" t="n">
        <v>0</v>
      </c>
      <c r="M669" t="n">
        <v>0</v>
      </c>
      <c r="N669" t="n">
        <v>0</v>
      </c>
      <c r="O669" t="n">
        <v>0</v>
      </c>
      <c r="P669" t="n">
        <v>0</v>
      </c>
      <c r="Q669" t="n">
        <v>0</v>
      </c>
      <c r="R669" s="2" t="inlineStr"/>
    </row>
    <row r="670" ht="15" customHeight="1">
      <c r="A670" t="inlineStr">
        <is>
          <t>A 31189-2025</t>
        </is>
      </c>
      <c r="B670" s="1" t="n">
        <v>45832.6799537037</v>
      </c>
      <c r="C670" s="1" t="n">
        <v>45881</v>
      </c>
      <c r="D670" t="inlineStr">
        <is>
          <t>DALARNAS LÄN</t>
        </is>
      </c>
      <c r="E670" t="inlineStr">
        <is>
          <t>LEKSAND</t>
        </is>
      </c>
      <c r="G670" t="n">
        <v>5</v>
      </c>
      <c r="H670" t="n">
        <v>0</v>
      </c>
      <c r="I670" t="n">
        <v>0</v>
      </c>
      <c r="J670" t="n">
        <v>0</v>
      </c>
      <c r="K670" t="n">
        <v>0</v>
      </c>
      <c r="L670" t="n">
        <v>0</v>
      </c>
      <c r="M670" t="n">
        <v>0</v>
      </c>
      <c r="N670" t="n">
        <v>0</v>
      </c>
      <c r="O670" t="n">
        <v>0</v>
      </c>
      <c r="P670" t="n">
        <v>0</v>
      </c>
      <c r="Q670" t="n">
        <v>0</v>
      </c>
      <c r="R670" s="2" t="inlineStr"/>
    </row>
    <row r="671" ht="15" customHeight="1">
      <c r="A671" t="inlineStr">
        <is>
          <t>A 28674-2024</t>
        </is>
      </c>
      <c r="B671" s="1" t="n">
        <v>45478.47863425926</v>
      </c>
      <c r="C671" s="1" t="n">
        <v>45881</v>
      </c>
      <c r="D671" t="inlineStr">
        <is>
          <t>DALARNAS LÄN</t>
        </is>
      </c>
      <c r="E671" t="inlineStr">
        <is>
          <t>LEKSAND</t>
        </is>
      </c>
      <c r="G671" t="n">
        <v>4.9</v>
      </c>
      <c r="H671" t="n">
        <v>0</v>
      </c>
      <c r="I671" t="n">
        <v>0</v>
      </c>
      <c r="J671" t="n">
        <v>0</v>
      </c>
      <c r="K671" t="n">
        <v>0</v>
      </c>
      <c r="L671" t="n">
        <v>0</v>
      </c>
      <c r="M671" t="n">
        <v>0</v>
      </c>
      <c r="N671" t="n">
        <v>0</v>
      </c>
      <c r="O671" t="n">
        <v>0</v>
      </c>
      <c r="P671" t="n">
        <v>0</v>
      </c>
      <c r="Q671" t="n">
        <v>0</v>
      </c>
      <c r="R671" s="2" t="inlineStr"/>
    </row>
    <row r="672" ht="15" customHeight="1">
      <c r="A672" t="inlineStr">
        <is>
          <t>A 37044-2025</t>
        </is>
      </c>
      <c r="B672" s="1" t="n">
        <v>45875.3437037037</v>
      </c>
      <c r="C672" s="1" t="n">
        <v>45881</v>
      </c>
      <c r="D672" t="inlineStr">
        <is>
          <t>DALARNAS LÄN</t>
        </is>
      </c>
      <c r="E672" t="inlineStr">
        <is>
          <t>LEKSAND</t>
        </is>
      </c>
      <c r="G672" t="n">
        <v>5.7</v>
      </c>
      <c r="H672" t="n">
        <v>0</v>
      </c>
      <c r="I672" t="n">
        <v>0</v>
      </c>
      <c r="J672" t="n">
        <v>0</v>
      </c>
      <c r="K672" t="n">
        <v>0</v>
      </c>
      <c r="L672" t="n">
        <v>0</v>
      </c>
      <c r="M672" t="n">
        <v>0</v>
      </c>
      <c r="N672" t="n">
        <v>0</v>
      </c>
      <c r="O672" t="n">
        <v>0</v>
      </c>
      <c r="P672" t="n">
        <v>0</v>
      </c>
      <c r="Q672" t="n">
        <v>0</v>
      </c>
      <c r="R672" s="2" t="inlineStr"/>
    </row>
    <row r="673" ht="15" customHeight="1">
      <c r="A673" t="inlineStr">
        <is>
          <t>A 31619-2025</t>
        </is>
      </c>
      <c r="B673" s="1" t="n">
        <v>45833</v>
      </c>
      <c r="C673" s="1" t="n">
        <v>45881</v>
      </c>
      <c r="D673" t="inlineStr">
        <is>
          <t>DALARNAS LÄN</t>
        </is>
      </c>
      <c r="E673" t="inlineStr">
        <is>
          <t>LEKSAND</t>
        </is>
      </c>
      <c r="G673" t="n">
        <v>2.5</v>
      </c>
      <c r="H673" t="n">
        <v>0</v>
      </c>
      <c r="I673" t="n">
        <v>0</v>
      </c>
      <c r="J673" t="n">
        <v>0</v>
      </c>
      <c r="K673" t="n">
        <v>0</v>
      </c>
      <c r="L673" t="n">
        <v>0</v>
      </c>
      <c r="M673" t="n">
        <v>0</v>
      </c>
      <c r="N673" t="n">
        <v>0</v>
      </c>
      <c r="O673" t="n">
        <v>0</v>
      </c>
      <c r="P673" t="n">
        <v>0</v>
      </c>
      <c r="Q673" t="n">
        <v>0</v>
      </c>
      <c r="R673" s="2" t="inlineStr"/>
    </row>
    <row r="674" ht="15" customHeight="1">
      <c r="A674" t="inlineStr">
        <is>
          <t>A 19622-2024</t>
        </is>
      </c>
      <c r="B674" s="1" t="n">
        <v>45432.33592592592</v>
      </c>
      <c r="C674" s="1" t="n">
        <v>45881</v>
      </c>
      <c r="D674" t="inlineStr">
        <is>
          <t>DALARNAS LÄN</t>
        </is>
      </c>
      <c r="E674" t="inlineStr">
        <is>
          <t>LEKSAND</t>
        </is>
      </c>
      <c r="G674" t="n">
        <v>1.3</v>
      </c>
      <c r="H674" t="n">
        <v>0</v>
      </c>
      <c r="I674" t="n">
        <v>0</v>
      </c>
      <c r="J674" t="n">
        <v>0</v>
      </c>
      <c r="K674" t="n">
        <v>0</v>
      </c>
      <c r="L674" t="n">
        <v>0</v>
      </c>
      <c r="M674" t="n">
        <v>0</v>
      </c>
      <c r="N674" t="n">
        <v>0</v>
      </c>
      <c r="O674" t="n">
        <v>0</v>
      </c>
      <c r="P674" t="n">
        <v>0</v>
      </c>
      <c r="Q674" t="n">
        <v>0</v>
      </c>
      <c r="R674" s="2" t="inlineStr"/>
    </row>
    <row r="675" ht="15" customHeight="1">
      <c r="A675" t="inlineStr">
        <is>
          <t>A 31446-2025</t>
        </is>
      </c>
      <c r="B675" s="1" t="n">
        <v>45833</v>
      </c>
      <c r="C675" s="1" t="n">
        <v>45881</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31787-2025</t>
        </is>
      </c>
      <c r="B676" s="1" t="n">
        <v>45834</v>
      </c>
      <c r="C676" s="1" t="n">
        <v>45881</v>
      </c>
      <c r="D676" t="inlineStr">
        <is>
          <t>DALARNAS LÄN</t>
        </is>
      </c>
      <c r="E676" t="inlineStr">
        <is>
          <t>LEKSAND</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31493-2025</t>
        </is>
      </c>
      <c r="B677" s="1" t="n">
        <v>45833</v>
      </c>
      <c r="C677" s="1" t="n">
        <v>45881</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32104-2025</t>
        </is>
      </c>
      <c r="B678" s="1" t="n">
        <v>45835</v>
      </c>
      <c r="C678" s="1" t="n">
        <v>45881</v>
      </c>
      <c r="D678" t="inlineStr">
        <is>
          <t>DALARNAS LÄN</t>
        </is>
      </c>
      <c r="E678" t="inlineStr">
        <is>
          <t>LEKSAND</t>
        </is>
      </c>
      <c r="G678" t="n">
        <v>3.1</v>
      </c>
      <c r="H678" t="n">
        <v>0</v>
      </c>
      <c r="I678" t="n">
        <v>0</v>
      </c>
      <c r="J678" t="n">
        <v>0</v>
      </c>
      <c r="K678" t="n">
        <v>0</v>
      </c>
      <c r="L678" t="n">
        <v>0</v>
      </c>
      <c r="M678" t="n">
        <v>0</v>
      </c>
      <c r="N678" t="n">
        <v>0</v>
      </c>
      <c r="O678" t="n">
        <v>0</v>
      </c>
      <c r="P678" t="n">
        <v>0</v>
      </c>
      <c r="Q678" t="n">
        <v>0</v>
      </c>
      <c r="R678" s="2" t="inlineStr"/>
    </row>
    <row r="679" ht="15" customHeight="1">
      <c r="A679" t="inlineStr">
        <is>
          <t>A 27317-2021</t>
        </is>
      </c>
      <c r="B679" s="1" t="n">
        <v>44351</v>
      </c>
      <c r="C679" s="1" t="n">
        <v>45881</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61055-2023</t>
        </is>
      </c>
      <c r="B680" s="1" t="n">
        <v>45261</v>
      </c>
      <c r="C680" s="1" t="n">
        <v>45881</v>
      </c>
      <c r="D680" t="inlineStr">
        <is>
          <t>DALARNAS LÄN</t>
        </is>
      </c>
      <c r="E680" t="inlineStr">
        <is>
          <t>LEKSAND</t>
        </is>
      </c>
      <c r="G680" t="n">
        <v>0.3</v>
      </c>
      <c r="H680" t="n">
        <v>0</v>
      </c>
      <c r="I680" t="n">
        <v>0</v>
      </c>
      <c r="J680" t="n">
        <v>0</v>
      </c>
      <c r="K680" t="n">
        <v>0</v>
      </c>
      <c r="L680" t="n">
        <v>0</v>
      </c>
      <c r="M680" t="n">
        <v>0</v>
      </c>
      <c r="N680" t="n">
        <v>0</v>
      </c>
      <c r="O680" t="n">
        <v>0</v>
      </c>
      <c r="P680" t="n">
        <v>0</v>
      </c>
      <c r="Q680" t="n">
        <v>0</v>
      </c>
      <c r="R680" s="2" t="inlineStr"/>
    </row>
    <row r="681" ht="15" customHeight="1">
      <c r="A681" t="inlineStr">
        <is>
          <t>A 10743-2024</t>
        </is>
      </c>
      <c r="B681" s="1" t="n">
        <v>45369.52167824074</v>
      </c>
      <c r="C681" s="1" t="n">
        <v>45881</v>
      </c>
      <c r="D681" t="inlineStr">
        <is>
          <t>DALARNAS LÄN</t>
        </is>
      </c>
      <c r="E681" t="inlineStr">
        <is>
          <t>LEKSAND</t>
        </is>
      </c>
      <c r="G681" t="n">
        <v>2.7</v>
      </c>
      <c r="H681" t="n">
        <v>0</v>
      </c>
      <c r="I681" t="n">
        <v>0</v>
      </c>
      <c r="J681" t="n">
        <v>0</v>
      </c>
      <c r="K681" t="n">
        <v>0</v>
      </c>
      <c r="L681" t="n">
        <v>0</v>
      </c>
      <c r="M681" t="n">
        <v>0</v>
      </c>
      <c r="N681" t="n">
        <v>0</v>
      </c>
      <c r="O681" t="n">
        <v>0</v>
      </c>
      <c r="P681" t="n">
        <v>0</v>
      </c>
      <c r="Q681" t="n">
        <v>0</v>
      </c>
      <c r="R681" s="2" t="inlineStr"/>
    </row>
    <row r="682" ht="15" customHeight="1">
      <c r="A682" t="inlineStr">
        <is>
          <t>A 32593-2025</t>
        </is>
      </c>
      <c r="B682" s="1" t="n">
        <v>45838</v>
      </c>
      <c r="C682" s="1" t="n">
        <v>45881</v>
      </c>
      <c r="D682" t="inlineStr">
        <is>
          <t>DALARNAS LÄN</t>
        </is>
      </c>
      <c r="E682" t="inlineStr">
        <is>
          <t>LEKSAND</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32661-2025</t>
        </is>
      </c>
      <c r="B683" s="1" t="n">
        <v>45838.67953703704</v>
      </c>
      <c r="C683" s="1" t="n">
        <v>45881</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32274-2025</t>
        </is>
      </c>
      <c r="B684" s="1" t="n">
        <v>45835</v>
      </c>
      <c r="C684" s="1" t="n">
        <v>45881</v>
      </c>
      <c r="D684" t="inlineStr">
        <is>
          <t>DALARNAS LÄN</t>
        </is>
      </c>
      <c r="E684" t="inlineStr">
        <is>
          <t>LEKSAND</t>
        </is>
      </c>
      <c r="G684" t="n">
        <v>4.5</v>
      </c>
      <c r="H684" t="n">
        <v>0</v>
      </c>
      <c r="I684" t="n">
        <v>0</v>
      </c>
      <c r="J684" t="n">
        <v>0</v>
      </c>
      <c r="K684" t="n">
        <v>0</v>
      </c>
      <c r="L684" t="n">
        <v>0</v>
      </c>
      <c r="M684" t="n">
        <v>0</v>
      </c>
      <c r="N684" t="n">
        <v>0</v>
      </c>
      <c r="O684" t="n">
        <v>0</v>
      </c>
      <c r="P684" t="n">
        <v>0</v>
      </c>
      <c r="Q684" t="n">
        <v>0</v>
      </c>
      <c r="R684" s="2" t="inlineStr"/>
    </row>
    <row r="685" ht="15" customHeight="1">
      <c r="A685" t="inlineStr">
        <is>
          <t>A 32301-2025</t>
        </is>
      </c>
      <c r="B685" s="1" t="n">
        <v>45835</v>
      </c>
      <c r="C685" s="1" t="n">
        <v>45881</v>
      </c>
      <c r="D685" t="inlineStr">
        <is>
          <t>DALARNAS LÄN</t>
        </is>
      </c>
      <c r="E685" t="inlineStr">
        <is>
          <t>LEKSAND</t>
        </is>
      </c>
      <c r="G685" t="n">
        <v>2.2</v>
      </c>
      <c r="H685" t="n">
        <v>0</v>
      </c>
      <c r="I685" t="n">
        <v>0</v>
      </c>
      <c r="J685" t="n">
        <v>0</v>
      </c>
      <c r="K685" t="n">
        <v>0</v>
      </c>
      <c r="L685" t="n">
        <v>0</v>
      </c>
      <c r="M685" t="n">
        <v>0</v>
      </c>
      <c r="N685" t="n">
        <v>0</v>
      </c>
      <c r="O685" t="n">
        <v>0</v>
      </c>
      <c r="P685" t="n">
        <v>0</v>
      </c>
      <c r="Q685" t="n">
        <v>0</v>
      </c>
      <c r="R685" s="2" t="inlineStr"/>
    </row>
    <row r="686" ht="15" customHeight="1">
      <c r="A686" t="inlineStr">
        <is>
          <t>A 37508-2025</t>
        </is>
      </c>
      <c r="B686" s="1" t="n">
        <v>45877.66282407408</v>
      </c>
      <c r="C686" s="1" t="n">
        <v>45881</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32653-2025</t>
        </is>
      </c>
      <c r="B687" s="1" t="n">
        <v>45838</v>
      </c>
      <c r="C687" s="1" t="n">
        <v>45881</v>
      </c>
      <c r="D687" t="inlineStr">
        <is>
          <t>DALARNAS LÄN</t>
        </is>
      </c>
      <c r="E687" t="inlineStr">
        <is>
          <t>LEKSAND</t>
        </is>
      </c>
      <c r="G687" t="n">
        <v>5.6</v>
      </c>
      <c r="H687" t="n">
        <v>0</v>
      </c>
      <c r="I687" t="n">
        <v>0</v>
      </c>
      <c r="J687" t="n">
        <v>0</v>
      </c>
      <c r="K687" t="n">
        <v>0</v>
      </c>
      <c r="L687" t="n">
        <v>0</v>
      </c>
      <c r="M687" t="n">
        <v>0</v>
      </c>
      <c r="N687" t="n">
        <v>0</v>
      </c>
      <c r="O687" t="n">
        <v>0</v>
      </c>
      <c r="P687" t="n">
        <v>0</v>
      </c>
      <c r="Q687" t="n">
        <v>0</v>
      </c>
      <c r="R687" s="2" t="inlineStr"/>
    </row>
    <row r="688" ht="15" customHeight="1">
      <c r="A688" t="inlineStr">
        <is>
          <t>A 31945-2025</t>
        </is>
      </c>
      <c r="B688" s="1" t="n">
        <v>45835</v>
      </c>
      <c r="C688" s="1" t="n">
        <v>45881</v>
      </c>
      <c r="D688" t="inlineStr">
        <is>
          <t>DALARNAS LÄN</t>
        </is>
      </c>
      <c r="E688" t="inlineStr">
        <is>
          <t>LEKSAND</t>
        </is>
      </c>
      <c r="G688" t="n">
        <v>0.8</v>
      </c>
      <c r="H688" t="n">
        <v>0</v>
      </c>
      <c r="I688" t="n">
        <v>0</v>
      </c>
      <c r="J688" t="n">
        <v>0</v>
      </c>
      <c r="K688" t="n">
        <v>0</v>
      </c>
      <c r="L688" t="n">
        <v>0</v>
      </c>
      <c r="M688" t="n">
        <v>0</v>
      </c>
      <c r="N688" t="n">
        <v>0</v>
      </c>
      <c r="O688" t="n">
        <v>0</v>
      </c>
      <c r="P688" t="n">
        <v>0</v>
      </c>
      <c r="Q688" t="n">
        <v>0</v>
      </c>
      <c r="R688" s="2" t="inlineStr"/>
    </row>
    <row r="689" ht="15" customHeight="1">
      <c r="A689" t="inlineStr">
        <is>
          <t>A 10367-2023</t>
        </is>
      </c>
      <c r="B689" s="1" t="n">
        <v>44987</v>
      </c>
      <c r="C689" s="1" t="n">
        <v>45881</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25251-2024</t>
        </is>
      </c>
      <c r="B690" s="1" t="n">
        <v>45462.60913194445</v>
      </c>
      <c r="C690" s="1" t="n">
        <v>45881</v>
      </c>
      <c r="D690" t="inlineStr">
        <is>
          <t>DALARNAS LÄN</t>
        </is>
      </c>
      <c r="E690" t="inlineStr">
        <is>
          <t>LEKSAND</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1946-2024</t>
        </is>
      </c>
      <c r="B691" s="1" t="n">
        <v>45308</v>
      </c>
      <c r="C691" s="1" t="n">
        <v>45881</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59763-2023</t>
        </is>
      </c>
      <c r="B692" s="1" t="n">
        <v>45257</v>
      </c>
      <c r="C692" s="1" t="n">
        <v>45881</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17533-2023</t>
        </is>
      </c>
      <c r="B693" s="1" t="n">
        <v>45036</v>
      </c>
      <c r="C693" s="1" t="n">
        <v>45881</v>
      </c>
      <c r="D693" t="inlineStr">
        <is>
          <t>DALARNAS LÄN</t>
        </is>
      </c>
      <c r="E693" t="inlineStr">
        <is>
          <t>LEKSAND</t>
        </is>
      </c>
      <c r="G693" t="n">
        <v>3</v>
      </c>
      <c r="H693" t="n">
        <v>0</v>
      </c>
      <c r="I693" t="n">
        <v>0</v>
      </c>
      <c r="J693" t="n">
        <v>0</v>
      </c>
      <c r="K693" t="n">
        <v>0</v>
      </c>
      <c r="L693" t="n">
        <v>0</v>
      </c>
      <c r="M693" t="n">
        <v>0</v>
      </c>
      <c r="N693" t="n">
        <v>0</v>
      </c>
      <c r="O693" t="n">
        <v>0</v>
      </c>
      <c r="P693" t="n">
        <v>0</v>
      </c>
      <c r="Q693" t="n">
        <v>0</v>
      </c>
      <c r="R693" s="2" t="inlineStr"/>
    </row>
    <row r="694" ht="15" customHeight="1">
      <c r="A694" t="inlineStr">
        <is>
          <t>A 49397-2024</t>
        </is>
      </c>
      <c r="B694" s="1" t="n">
        <v>45595</v>
      </c>
      <c r="C694" s="1" t="n">
        <v>45881</v>
      </c>
      <c r="D694" t="inlineStr">
        <is>
          <t>DALARNAS LÄN</t>
        </is>
      </c>
      <c r="E694" t="inlineStr">
        <is>
          <t>LEKSAND</t>
        </is>
      </c>
      <c r="G694" t="n">
        <v>4.3</v>
      </c>
      <c r="H694" t="n">
        <v>0</v>
      </c>
      <c r="I694" t="n">
        <v>0</v>
      </c>
      <c r="J694" t="n">
        <v>0</v>
      </c>
      <c r="K694" t="n">
        <v>0</v>
      </c>
      <c r="L694" t="n">
        <v>0</v>
      </c>
      <c r="M694" t="n">
        <v>0</v>
      </c>
      <c r="N694" t="n">
        <v>0</v>
      </c>
      <c r="O694" t="n">
        <v>0</v>
      </c>
      <c r="P694" t="n">
        <v>0</v>
      </c>
      <c r="Q694" t="n">
        <v>0</v>
      </c>
      <c r="R694" s="2" t="inlineStr"/>
    </row>
    <row r="695" ht="15" customHeight="1">
      <c r="A695" t="inlineStr">
        <is>
          <t>A 14661-2024</t>
        </is>
      </c>
      <c r="B695" s="1" t="n">
        <v>45397.41141203704</v>
      </c>
      <c r="C695" s="1" t="n">
        <v>45881</v>
      </c>
      <c r="D695" t="inlineStr">
        <is>
          <t>DALARNAS LÄN</t>
        </is>
      </c>
      <c r="E695" t="inlineStr">
        <is>
          <t>LEKSAND</t>
        </is>
      </c>
      <c r="G695" t="n">
        <v>1</v>
      </c>
      <c r="H695" t="n">
        <v>0</v>
      </c>
      <c r="I695" t="n">
        <v>0</v>
      </c>
      <c r="J695" t="n">
        <v>0</v>
      </c>
      <c r="K695" t="n">
        <v>0</v>
      </c>
      <c r="L695" t="n">
        <v>0</v>
      </c>
      <c r="M695" t="n">
        <v>0</v>
      </c>
      <c r="N695" t="n">
        <v>0</v>
      </c>
      <c r="O695" t="n">
        <v>0</v>
      </c>
      <c r="P695" t="n">
        <v>0</v>
      </c>
      <c r="Q695" t="n">
        <v>0</v>
      </c>
      <c r="R695" s="2" t="inlineStr"/>
    </row>
    <row r="696">
      <c r="A696" t="inlineStr">
        <is>
          <t>A 6027-2025</t>
        </is>
      </c>
      <c r="B696" s="1" t="n">
        <v>45695</v>
      </c>
      <c r="C696" s="1" t="n">
        <v>45881</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2025-08-12T08:28:02Z</dcterms:created>
  <dcterms:modified xmlns:dcterms="http://purl.org/dc/terms/" xmlns:xsi="http://www.w3.org/2001/XMLSchema-instance" xsi:type="dcterms:W3CDTF">2025-08-12T08:28:03Z</dcterms:modified>
</cp:coreProperties>
</file>