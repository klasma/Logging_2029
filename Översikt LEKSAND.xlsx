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45844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45844</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45844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45844</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45844</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45844</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45844</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45844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45844</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45844</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45844</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45844</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45844</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45844</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45844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45844</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45844</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45844</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45844</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45844</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45844</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45844</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45844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45844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45844</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45844</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45844</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45844</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45844</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45844</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45844</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45844</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45844</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45844</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45844</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45844</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45844</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45844</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45844</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45844</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45844</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45844</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45844</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45844</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45844</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45844</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45844</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45844</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45844</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45844</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45844</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45844</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45844</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45844</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45844</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45844</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45844</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45844</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45844</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45844</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45844</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45844</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45844</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45844</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45844</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45844</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45844</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45844</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45844</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45844</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45844</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45844</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45844</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17822-2019</t>
        </is>
      </c>
      <c r="B75" s="1" t="n">
        <v>43556</v>
      </c>
      <c r="C75" s="1" t="n">
        <v>45844</v>
      </c>
      <c r="D75" t="inlineStr">
        <is>
          <t>DALARNAS LÄN</t>
        </is>
      </c>
      <c r="E75" t="inlineStr">
        <is>
          <t>LEKSAND</t>
        </is>
      </c>
      <c r="G75" t="n">
        <v>0.8</v>
      </c>
      <c r="H75" t="n">
        <v>0</v>
      </c>
      <c r="I75" t="n">
        <v>0</v>
      </c>
      <c r="J75" t="n">
        <v>0</v>
      </c>
      <c r="K75" t="n">
        <v>0</v>
      </c>
      <c r="L75" t="n">
        <v>0</v>
      </c>
      <c r="M75" t="n">
        <v>0</v>
      </c>
      <c r="N75" t="n">
        <v>0</v>
      </c>
      <c r="O75" t="n">
        <v>0</v>
      </c>
      <c r="P75" t="n">
        <v>0</v>
      </c>
      <c r="Q75" t="n">
        <v>0</v>
      </c>
      <c r="R75" s="2" t="inlineStr"/>
    </row>
    <row r="76" ht="15" customHeight="1">
      <c r="A76" t="inlineStr">
        <is>
          <t>A 17967-2019</t>
        </is>
      </c>
      <c r="B76" s="1" t="n">
        <v>43557</v>
      </c>
      <c r="C76" s="1" t="n">
        <v>45844</v>
      </c>
      <c r="D76" t="inlineStr">
        <is>
          <t>DALARNAS LÄN</t>
        </is>
      </c>
      <c r="E76" t="inlineStr">
        <is>
          <t>LEKSAND</t>
        </is>
      </c>
      <c r="G76" t="n">
        <v>0.6</v>
      </c>
      <c r="H76" t="n">
        <v>0</v>
      </c>
      <c r="I76" t="n">
        <v>0</v>
      </c>
      <c r="J76" t="n">
        <v>0</v>
      </c>
      <c r="K76" t="n">
        <v>0</v>
      </c>
      <c r="L76" t="n">
        <v>0</v>
      </c>
      <c r="M76" t="n">
        <v>0</v>
      </c>
      <c r="N76" t="n">
        <v>0</v>
      </c>
      <c r="O76" t="n">
        <v>0</v>
      </c>
      <c r="P76" t="n">
        <v>0</v>
      </c>
      <c r="Q76" t="n">
        <v>0</v>
      </c>
      <c r="R76" s="2" t="inlineStr"/>
    </row>
    <row r="77" ht="15" customHeight="1">
      <c r="A77" t="inlineStr">
        <is>
          <t>A 17970-2019</t>
        </is>
      </c>
      <c r="B77" s="1" t="n">
        <v>43557</v>
      </c>
      <c r="C77" s="1" t="n">
        <v>45844</v>
      </c>
      <c r="D77" t="inlineStr">
        <is>
          <t>DALARNAS LÄN</t>
        </is>
      </c>
      <c r="E77" t="inlineStr">
        <is>
          <t>LEKSAND</t>
        </is>
      </c>
      <c r="G77" t="n">
        <v>2.5</v>
      </c>
      <c r="H77" t="n">
        <v>0</v>
      </c>
      <c r="I77" t="n">
        <v>0</v>
      </c>
      <c r="J77" t="n">
        <v>0</v>
      </c>
      <c r="K77" t="n">
        <v>0</v>
      </c>
      <c r="L77" t="n">
        <v>0</v>
      </c>
      <c r="M77" t="n">
        <v>0</v>
      </c>
      <c r="N77" t="n">
        <v>0</v>
      </c>
      <c r="O77" t="n">
        <v>0</v>
      </c>
      <c r="P77" t="n">
        <v>0</v>
      </c>
      <c r="Q77" t="n">
        <v>0</v>
      </c>
      <c r="R77" s="2" t="inlineStr"/>
    </row>
    <row r="78" ht="15" customHeight="1">
      <c r="A78" t="inlineStr">
        <is>
          <t>A 18238-2019</t>
        </is>
      </c>
      <c r="B78" s="1" t="n">
        <v>43558</v>
      </c>
      <c r="C78" s="1" t="n">
        <v>45844</v>
      </c>
      <c r="D78" t="inlineStr">
        <is>
          <t>DALARNAS LÄN</t>
        </is>
      </c>
      <c r="E78" t="inlineStr">
        <is>
          <t>LEKSAND</t>
        </is>
      </c>
      <c r="G78" t="n">
        <v>3.3</v>
      </c>
      <c r="H78" t="n">
        <v>0</v>
      </c>
      <c r="I78" t="n">
        <v>0</v>
      </c>
      <c r="J78" t="n">
        <v>0</v>
      </c>
      <c r="K78" t="n">
        <v>0</v>
      </c>
      <c r="L78" t="n">
        <v>0</v>
      </c>
      <c r="M78" t="n">
        <v>0</v>
      </c>
      <c r="N78" t="n">
        <v>0</v>
      </c>
      <c r="O78" t="n">
        <v>0</v>
      </c>
      <c r="P78" t="n">
        <v>0</v>
      </c>
      <c r="Q78" t="n">
        <v>0</v>
      </c>
      <c r="R78" s="2" t="inlineStr"/>
    </row>
    <row r="79" ht="15" customHeight="1">
      <c r="A79" t="inlineStr">
        <is>
          <t>A 19703-2019</t>
        </is>
      </c>
      <c r="B79" s="1" t="n">
        <v>43566</v>
      </c>
      <c r="C79" s="1" t="n">
        <v>45844</v>
      </c>
      <c r="D79" t="inlineStr">
        <is>
          <t>DALARNAS LÄN</t>
        </is>
      </c>
      <c r="E79" t="inlineStr">
        <is>
          <t>LEKSAND</t>
        </is>
      </c>
      <c r="G79" t="n">
        <v>0.4</v>
      </c>
      <c r="H79" t="n">
        <v>0</v>
      </c>
      <c r="I79" t="n">
        <v>0</v>
      </c>
      <c r="J79" t="n">
        <v>0</v>
      </c>
      <c r="K79" t="n">
        <v>0</v>
      </c>
      <c r="L79" t="n">
        <v>0</v>
      </c>
      <c r="M79" t="n">
        <v>0</v>
      </c>
      <c r="N79" t="n">
        <v>0</v>
      </c>
      <c r="O79" t="n">
        <v>0</v>
      </c>
      <c r="P79" t="n">
        <v>0</v>
      </c>
      <c r="Q79" t="n">
        <v>0</v>
      </c>
      <c r="R79" s="2" t="inlineStr"/>
    </row>
    <row r="80" ht="15" customHeight="1">
      <c r="A80" t="inlineStr">
        <is>
          <t>A 19790-2019</t>
        </is>
      </c>
      <c r="B80" s="1" t="n">
        <v>43566</v>
      </c>
      <c r="C80" s="1" t="n">
        <v>45844</v>
      </c>
      <c r="D80" t="inlineStr">
        <is>
          <t>DALARNAS LÄN</t>
        </is>
      </c>
      <c r="E80" t="inlineStr">
        <is>
          <t>LEKSAND</t>
        </is>
      </c>
      <c r="G80" t="n">
        <v>11.4</v>
      </c>
      <c r="H80" t="n">
        <v>0</v>
      </c>
      <c r="I80" t="n">
        <v>0</v>
      </c>
      <c r="J80" t="n">
        <v>0</v>
      </c>
      <c r="K80" t="n">
        <v>0</v>
      </c>
      <c r="L80" t="n">
        <v>0</v>
      </c>
      <c r="M80" t="n">
        <v>0</v>
      </c>
      <c r="N80" t="n">
        <v>0</v>
      </c>
      <c r="O80" t="n">
        <v>0</v>
      </c>
      <c r="P80" t="n">
        <v>0</v>
      </c>
      <c r="Q80" t="n">
        <v>0</v>
      </c>
      <c r="R80" s="2" t="inlineStr"/>
    </row>
    <row r="81" ht="15" customHeight="1">
      <c r="A81" t="inlineStr">
        <is>
          <t>A 22975-2019</t>
        </is>
      </c>
      <c r="B81" s="1" t="n">
        <v>43591</v>
      </c>
      <c r="C81" s="1" t="n">
        <v>45844</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24300-2019</t>
        </is>
      </c>
      <c r="B82" s="1" t="n">
        <v>43598</v>
      </c>
      <c r="C82" s="1" t="n">
        <v>45844</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24051-2019</t>
        </is>
      </c>
      <c r="B83" s="1" t="n">
        <v>43598</v>
      </c>
      <c r="C83" s="1" t="n">
        <v>45844</v>
      </c>
      <c r="D83" t="inlineStr">
        <is>
          <t>DALARNAS LÄN</t>
        </is>
      </c>
      <c r="E83" t="inlineStr">
        <is>
          <t>LEKSAND</t>
        </is>
      </c>
      <c r="G83" t="n">
        <v>5.4</v>
      </c>
      <c r="H83" t="n">
        <v>0</v>
      </c>
      <c r="I83" t="n">
        <v>0</v>
      </c>
      <c r="J83" t="n">
        <v>0</v>
      </c>
      <c r="K83" t="n">
        <v>0</v>
      </c>
      <c r="L83" t="n">
        <v>0</v>
      </c>
      <c r="M83" t="n">
        <v>0</v>
      </c>
      <c r="N83" t="n">
        <v>0</v>
      </c>
      <c r="O83" t="n">
        <v>0</v>
      </c>
      <c r="P83" t="n">
        <v>0</v>
      </c>
      <c r="Q83" t="n">
        <v>0</v>
      </c>
      <c r="R83" s="2" t="inlineStr"/>
    </row>
    <row r="84" ht="15" customHeight="1">
      <c r="A84" t="inlineStr">
        <is>
          <t>A 24542-2019</t>
        </is>
      </c>
      <c r="B84" s="1" t="n">
        <v>43600</v>
      </c>
      <c r="C84" s="1" t="n">
        <v>45844</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32532-2019</t>
        </is>
      </c>
      <c r="B85" s="1" t="n">
        <v>43646</v>
      </c>
      <c r="C85" s="1" t="n">
        <v>45844</v>
      </c>
      <c r="D85" t="inlineStr">
        <is>
          <t>DALARNAS LÄN</t>
        </is>
      </c>
      <c r="E85" t="inlineStr">
        <is>
          <t>LEKSAND</t>
        </is>
      </c>
      <c r="G85" t="n">
        <v>3.1</v>
      </c>
      <c r="H85" t="n">
        <v>0</v>
      </c>
      <c r="I85" t="n">
        <v>0</v>
      </c>
      <c r="J85" t="n">
        <v>0</v>
      </c>
      <c r="K85" t="n">
        <v>0</v>
      </c>
      <c r="L85" t="n">
        <v>0</v>
      </c>
      <c r="M85" t="n">
        <v>0</v>
      </c>
      <c r="N85" t="n">
        <v>0</v>
      </c>
      <c r="O85" t="n">
        <v>0</v>
      </c>
      <c r="P85" t="n">
        <v>0</v>
      </c>
      <c r="Q85" t="n">
        <v>0</v>
      </c>
      <c r="R85" s="2" t="inlineStr"/>
    </row>
    <row r="86" ht="15" customHeight="1">
      <c r="A86" t="inlineStr">
        <is>
          <t>A 33903-2019</t>
        </is>
      </c>
      <c r="B86" s="1" t="n">
        <v>43654</v>
      </c>
      <c r="C86" s="1" t="n">
        <v>45844</v>
      </c>
      <c r="D86" t="inlineStr">
        <is>
          <t>DALARNAS LÄN</t>
        </is>
      </c>
      <c r="E86" t="inlineStr">
        <is>
          <t>LEKSAND</t>
        </is>
      </c>
      <c r="G86" t="n">
        <v>1.7</v>
      </c>
      <c r="H86" t="n">
        <v>0</v>
      </c>
      <c r="I86" t="n">
        <v>0</v>
      </c>
      <c r="J86" t="n">
        <v>0</v>
      </c>
      <c r="K86" t="n">
        <v>0</v>
      </c>
      <c r="L86" t="n">
        <v>0</v>
      </c>
      <c r="M86" t="n">
        <v>0</v>
      </c>
      <c r="N86" t="n">
        <v>0</v>
      </c>
      <c r="O86" t="n">
        <v>0</v>
      </c>
      <c r="P86" t="n">
        <v>0</v>
      </c>
      <c r="Q86" t="n">
        <v>0</v>
      </c>
      <c r="R86" s="2" t="inlineStr"/>
    </row>
    <row r="87" ht="15" customHeight="1">
      <c r="A87" t="inlineStr">
        <is>
          <t>A 36014-2019</t>
        </is>
      </c>
      <c r="B87" s="1" t="n">
        <v>43657</v>
      </c>
      <c r="C87" s="1" t="n">
        <v>45844</v>
      </c>
      <c r="D87" t="inlineStr">
        <is>
          <t>DALARNAS LÄN</t>
        </is>
      </c>
      <c r="E87" t="inlineStr">
        <is>
          <t>LEKSAND</t>
        </is>
      </c>
      <c r="G87" t="n">
        <v>1.8</v>
      </c>
      <c r="H87" t="n">
        <v>0</v>
      </c>
      <c r="I87" t="n">
        <v>0</v>
      </c>
      <c r="J87" t="n">
        <v>0</v>
      </c>
      <c r="K87" t="n">
        <v>0</v>
      </c>
      <c r="L87" t="n">
        <v>0</v>
      </c>
      <c r="M87" t="n">
        <v>0</v>
      </c>
      <c r="N87" t="n">
        <v>0</v>
      </c>
      <c r="O87" t="n">
        <v>0</v>
      </c>
      <c r="P87" t="n">
        <v>0</v>
      </c>
      <c r="Q87" t="n">
        <v>0</v>
      </c>
      <c r="R87" s="2" t="inlineStr"/>
    </row>
    <row r="88" ht="15" customHeight="1">
      <c r="A88" t="inlineStr">
        <is>
          <t>A 36023-2019</t>
        </is>
      </c>
      <c r="B88" s="1" t="n">
        <v>43657</v>
      </c>
      <c r="C88" s="1" t="n">
        <v>45844</v>
      </c>
      <c r="D88" t="inlineStr">
        <is>
          <t>DALARNAS LÄN</t>
        </is>
      </c>
      <c r="E88" t="inlineStr">
        <is>
          <t>LEKSAND</t>
        </is>
      </c>
      <c r="G88" t="n">
        <v>1.5</v>
      </c>
      <c r="H88" t="n">
        <v>0</v>
      </c>
      <c r="I88" t="n">
        <v>0</v>
      </c>
      <c r="J88" t="n">
        <v>0</v>
      </c>
      <c r="K88" t="n">
        <v>0</v>
      </c>
      <c r="L88" t="n">
        <v>0</v>
      </c>
      <c r="M88" t="n">
        <v>0</v>
      </c>
      <c r="N88" t="n">
        <v>0</v>
      </c>
      <c r="O88" t="n">
        <v>0</v>
      </c>
      <c r="P88" t="n">
        <v>0</v>
      </c>
      <c r="Q88" t="n">
        <v>0</v>
      </c>
      <c r="R88" s="2" t="inlineStr"/>
    </row>
    <row r="89" ht="15" customHeight="1">
      <c r="A89" t="inlineStr">
        <is>
          <t>A 36287-2019</t>
        </is>
      </c>
      <c r="B89" s="1" t="n">
        <v>43669</v>
      </c>
      <c r="C89" s="1" t="n">
        <v>45844</v>
      </c>
      <c r="D89" t="inlineStr">
        <is>
          <t>DALARNAS LÄN</t>
        </is>
      </c>
      <c r="E89" t="inlineStr">
        <is>
          <t>LEKSAND</t>
        </is>
      </c>
      <c r="G89" t="n">
        <v>1.1</v>
      </c>
      <c r="H89" t="n">
        <v>0</v>
      </c>
      <c r="I89" t="n">
        <v>0</v>
      </c>
      <c r="J89" t="n">
        <v>0</v>
      </c>
      <c r="K89" t="n">
        <v>0</v>
      </c>
      <c r="L89" t="n">
        <v>0</v>
      </c>
      <c r="M89" t="n">
        <v>0</v>
      </c>
      <c r="N89" t="n">
        <v>0</v>
      </c>
      <c r="O89" t="n">
        <v>0</v>
      </c>
      <c r="P89" t="n">
        <v>0</v>
      </c>
      <c r="Q89" t="n">
        <v>0</v>
      </c>
      <c r="R89" s="2" t="inlineStr"/>
    </row>
    <row r="90" ht="15" customHeight="1">
      <c r="A90" t="inlineStr">
        <is>
          <t>A 37733-2019</t>
        </is>
      </c>
      <c r="B90" s="1" t="n">
        <v>43682</v>
      </c>
      <c r="C90" s="1" t="n">
        <v>45844</v>
      </c>
      <c r="D90" t="inlineStr">
        <is>
          <t>DALARNAS LÄN</t>
        </is>
      </c>
      <c r="E90" t="inlineStr">
        <is>
          <t>LEKSAND</t>
        </is>
      </c>
      <c r="G90" t="n">
        <v>1.4</v>
      </c>
      <c r="H90" t="n">
        <v>0</v>
      </c>
      <c r="I90" t="n">
        <v>0</v>
      </c>
      <c r="J90" t="n">
        <v>0</v>
      </c>
      <c r="K90" t="n">
        <v>0</v>
      </c>
      <c r="L90" t="n">
        <v>0</v>
      </c>
      <c r="M90" t="n">
        <v>0</v>
      </c>
      <c r="N90" t="n">
        <v>0</v>
      </c>
      <c r="O90" t="n">
        <v>0</v>
      </c>
      <c r="P90" t="n">
        <v>0</v>
      </c>
      <c r="Q90" t="n">
        <v>0</v>
      </c>
      <c r="R90" s="2" t="inlineStr"/>
    </row>
    <row r="91" ht="15" customHeight="1">
      <c r="A91" t="inlineStr">
        <is>
          <t>A 37822-2019</t>
        </is>
      </c>
      <c r="B91" s="1" t="n">
        <v>43682</v>
      </c>
      <c r="C91" s="1" t="n">
        <v>45844</v>
      </c>
      <c r="D91" t="inlineStr">
        <is>
          <t>DALARNAS LÄN</t>
        </is>
      </c>
      <c r="E91" t="inlineStr">
        <is>
          <t>LEKSAND</t>
        </is>
      </c>
      <c r="G91" t="n">
        <v>8.9</v>
      </c>
      <c r="H91" t="n">
        <v>0</v>
      </c>
      <c r="I91" t="n">
        <v>0</v>
      </c>
      <c r="J91" t="n">
        <v>0</v>
      </c>
      <c r="K91" t="n">
        <v>0</v>
      </c>
      <c r="L91" t="n">
        <v>0</v>
      </c>
      <c r="M91" t="n">
        <v>0</v>
      </c>
      <c r="N91" t="n">
        <v>0</v>
      </c>
      <c r="O91" t="n">
        <v>0</v>
      </c>
      <c r="P91" t="n">
        <v>0</v>
      </c>
      <c r="Q91" t="n">
        <v>0</v>
      </c>
      <c r="R91" s="2" t="inlineStr"/>
    </row>
    <row r="92" ht="15" customHeight="1">
      <c r="A92" t="inlineStr">
        <is>
          <t>A 38350-2019</t>
        </is>
      </c>
      <c r="B92" s="1" t="n">
        <v>43685</v>
      </c>
      <c r="C92" s="1" t="n">
        <v>45844</v>
      </c>
      <c r="D92" t="inlineStr">
        <is>
          <t>DALARNAS LÄN</t>
        </is>
      </c>
      <c r="E92" t="inlineStr">
        <is>
          <t>LEKSAND</t>
        </is>
      </c>
      <c r="G92" t="n">
        <v>0.5</v>
      </c>
      <c r="H92" t="n">
        <v>0</v>
      </c>
      <c r="I92" t="n">
        <v>0</v>
      </c>
      <c r="J92" t="n">
        <v>0</v>
      </c>
      <c r="K92" t="n">
        <v>0</v>
      </c>
      <c r="L92" t="n">
        <v>0</v>
      </c>
      <c r="M92" t="n">
        <v>0</v>
      </c>
      <c r="N92" t="n">
        <v>0</v>
      </c>
      <c r="O92" t="n">
        <v>0</v>
      </c>
      <c r="P92" t="n">
        <v>0</v>
      </c>
      <c r="Q92" t="n">
        <v>0</v>
      </c>
      <c r="R92" s="2" t="inlineStr"/>
    </row>
    <row r="93" ht="15" customHeight="1">
      <c r="A93" t="inlineStr">
        <is>
          <t>A 39025-2019</t>
        </is>
      </c>
      <c r="B93" s="1" t="n">
        <v>43689</v>
      </c>
      <c r="C93" s="1" t="n">
        <v>45844</v>
      </c>
      <c r="D93" t="inlineStr">
        <is>
          <t>DALARNAS LÄN</t>
        </is>
      </c>
      <c r="E93" t="inlineStr">
        <is>
          <t>LEKSAND</t>
        </is>
      </c>
      <c r="F93" t="inlineStr">
        <is>
          <t>Bergvik skog väst AB</t>
        </is>
      </c>
      <c r="G93" t="n">
        <v>10.1</v>
      </c>
      <c r="H93" t="n">
        <v>0</v>
      </c>
      <c r="I93" t="n">
        <v>0</v>
      </c>
      <c r="J93" t="n">
        <v>0</v>
      </c>
      <c r="K93" t="n">
        <v>0</v>
      </c>
      <c r="L93" t="n">
        <v>0</v>
      </c>
      <c r="M93" t="n">
        <v>0</v>
      </c>
      <c r="N93" t="n">
        <v>0</v>
      </c>
      <c r="O93" t="n">
        <v>0</v>
      </c>
      <c r="P93" t="n">
        <v>0</v>
      </c>
      <c r="Q93" t="n">
        <v>0</v>
      </c>
      <c r="R93" s="2" t="inlineStr"/>
    </row>
    <row r="94" ht="15" customHeight="1">
      <c r="A94" t="inlineStr">
        <is>
          <t>A 41329-2019</t>
        </is>
      </c>
      <c r="B94" s="1" t="n">
        <v>43698</v>
      </c>
      <c r="C94" s="1" t="n">
        <v>45844</v>
      </c>
      <c r="D94" t="inlineStr">
        <is>
          <t>DALARNAS LÄN</t>
        </is>
      </c>
      <c r="E94" t="inlineStr">
        <is>
          <t>LEKSAND</t>
        </is>
      </c>
      <c r="G94" t="n">
        <v>2</v>
      </c>
      <c r="H94" t="n">
        <v>0</v>
      </c>
      <c r="I94" t="n">
        <v>0</v>
      </c>
      <c r="J94" t="n">
        <v>0</v>
      </c>
      <c r="K94" t="n">
        <v>0</v>
      </c>
      <c r="L94" t="n">
        <v>0</v>
      </c>
      <c r="M94" t="n">
        <v>0</v>
      </c>
      <c r="N94" t="n">
        <v>0</v>
      </c>
      <c r="O94" t="n">
        <v>0</v>
      </c>
      <c r="P94" t="n">
        <v>0</v>
      </c>
      <c r="Q94" t="n">
        <v>0</v>
      </c>
      <c r="R94" s="2" t="inlineStr"/>
    </row>
    <row r="95" ht="15" customHeight="1">
      <c r="A95" t="inlineStr">
        <is>
          <t>A 43082-2019</t>
        </is>
      </c>
      <c r="B95" s="1" t="n">
        <v>43705</v>
      </c>
      <c r="C95" s="1" t="n">
        <v>45844</v>
      </c>
      <c r="D95" t="inlineStr">
        <is>
          <t>DALARNAS LÄN</t>
        </is>
      </c>
      <c r="E95" t="inlineStr">
        <is>
          <t>LEKSAND</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43887-2019</t>
        </is>
      </c>
      <c r="B96" s="1" t="n">
        <v>43707</v>
      </c>
      <c r="C96" s="1" t="n">
        <v>45844</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43884-2019</t>
        </is>
      </c>
      <c r="B97" s="1" t="n">
        <v>43707</v>
      </c>
      <c r="C97" s="1" t="n">
        <v>45844</v>
      </c>
      <c r="D97" t="inlineStr">
        <is>
          <t>DALARNAS LÄN</t>
        </is>
      </c>
      <c r="E97" t="inlineStr">
        <is>
          <t>LEKSAND</t>
        </is>
      </c>
      <c r="F97" t="inlineStr">
        <is>
          <t>Övriga Aktiebolag</t>
        </is>
      </c>
      <c r="G97" t="n">
        <v>1.4</v>
      </c>
      <c r="H97" t="n">
        <v>0</v>
      </c>
      <c r="I97" t="n">
        <v>0</v>
      </c>
      <c r="J97" t="n">
        <v>0</v>
      </c>
      <c r="K97" t="n">
        <v>0</v>
      </c>
      <c r="L97" t="n">
        <v>0</v>
      </c>
      <c r="M97" t="n">
        <v>0</v>
      </c>
      <c r="N97" t="n">
        <v>0</v>
      </c>
      <c r="O97" t="n">
        <v>0</v>
      </c>
      <c r="P97" t="n">
        <v>0</v>
      </c>
      <c r="Q97" t="n">
        <v>0</v>
      </c>
      <c r="R97" s="2" t="inlineStr"/>
    </row>
    <row r="98" ht="15" customHeight="1">
      <c r="A98" t="inlineStr">
        <is>
          <t>A 44058-2019</t>
        </is>
      </c>
      <c r="B98" s="1" t="n">
        <v>43710</v>
      </c>
      <c r="C98" s="1" t="n">
        <v>45844</v>
      </c>
      <c r="D98" t="inlineStr">
        <is>
          <t>DALARNAS LÄN</t>
        </is>
      </c>
      <c r="E98" t="inlineStr">
        <is>
          <t>LEKSAND</t>
        </is>
      </c>
      <c r="F98" t="inlineStr">
        <is>
          <t>Kyrkan</t>
        </is>
      </c>
      <c r="G98" t="n">
        <v>1.3</v>
      </c>
      <c r="H98" t="n">
        <v>0</v>
      </c>
      <c r="I98" t="n">
        <v>0</v>
      </c>
      <c r="J98" t="n">
        <v>0</v>
      </c>
      <c r="K98" t="n">
        <v>0</v>
      </c>
      <c r="L98" t="n">
        <v>0</v>
      </c>
      <c r="M98" t="n">
        <v>0</v>
      </c>
      <c r="N98" t="n">
        <v>0</v>
      </c>
      <c r="O98" t="n">
        <v>0</v>
      </c>
      <c r="P98" t="n">
        <v>0</v>
      </c>
      <c r="Q98" t="n">
        <v>0</v>
      </c>
      <c r="R98" s="2" t="inlineStr"/>
    </row>
    <row r="99" ht="15" customHeight="1">
      <c r="A99" t="inlineStr">
        <is>
          <t>A 45526-2019</t>
        </is>
      </c>
      <c r="B99" s="1" t="n">
        <v>43714</v>
      </c>
      <c r="C99" s="1" t="n">
        <v>45844</v>
      </c>
      <c r="D99" t="inlineStr">
        <is>
          <t>DALARNAS LÄN</t>
        </is>
      </c>
      <c r="E99" t="inlineStr">
        <is>
          <t>LEKSAND</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45572-2019</t>
        </is>
      </c>
      <c r="B100" s="1" t="n">
        <v>43716</v>
      </c>
      <c r="C100" s="1" t="n">
        <v>45844</v>
      </c>
      <c r="D100" t="inlineStr">
        <is>
          <t>DALARNAS LÄN</t>
        </is>
      </c>
      <c r="E100" t="inlineStr">
        <is>
          <t>LEKSAND</t>
        </is>
      </c>
      <c r="G100" t="n">
        <v>1.2</v>
      </c>
      <c r="H100" t="n">
        <v>0</v>
      </c>
      <c r="I100" t="n">
        <v>0</v>
      </c>
      <c r="J100" t="n">
        <v>0</v>
      </c>
      <c r="K100" t="n">
        <v>0</v>
      </c>
      <c r="L100" t="n">
        <v>0</v>
      </c>
      <c r="M100" t="n">
        <v>0</v>
      </c>
      <c r="N100" t="n">
        <v>0</v>
      </c>
      <c r="O100" t="n">
        <v>0</v>
      </c>
      <c r="P100" t="n">
        <v>0</v>
      </c>
      <c r="Q100" t="n">
        <v>0</v>
      </c>
      <c r="R100" s="2" t="inlineStr"/>
    </row>
    <row r="101" ht="15" customHeight="1">
      <c r="A101" t="inlineStr">
        <is>
          <t>A 46739-2019</t>
        </is>
      </c>
      <c r="B101" s="1" t="n">
        <v>43719</v>
      </c>
      <c r="C101" s="1" t="n">
        <v>45844</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46740-2019</t>
        </is>
      </c>
      <c r="B102" s="1" t="n">
        <v>43719</v>
      </c>
      <c r="C102" s="1" t="n">
        <v>45844</v>
      </c>
      <c r="D102" t="inlineStr">
        <is>
          <t>DALARNAS LÄN</t>
        </is>
      </c>
      <c r="E102" t="inlineStr">
        <is>
          <t>LEKSAND</t>
        </is>
      </c>
      <c r="G102" t="n">
        <v>0.3</v>
      </c>
      <c r="H102" t="n">
        <v>0</v>
      </c>
      <c r="I102" t="n">
        <v>0</v>
      </c>
      <c r="J102" t="n">
        <v>0</v>
      </c>
      <c r="K102" t="n">
        <v>0</v>
      </c>
      <c r="L102" t="n">
        <v>0</v>
      </c>
      <c r="M102" t="n">
        <v>0</v>
      </c>
      <c r="N102" t="n">
        <v>0</v>
      </c>
      <c r="O102" t="n">
        <v>0</v>
      </c>
      <c r="P102" t="n">
        <v>0</v>
      </c>
      <c r="Q102" t="n">
        <v>0</v>
      </c>
      <c r="R102" s="2" t="inlineStr"/>
    </row>
    <row r="103" ht="15" customHeight="1">
      <c r="A103" t="inlineStr">
        <is>
          <t>A 47532-2019</t>
        </is>
      </c>
      <c r="B103" s="1" t="n">
        <v>43724</v>
      </c>
      <c r="C103" s="1" t="n">
        <v>45844</v>
      </c>
      <c r="D103" t="inlineStr">
        <is>
          <t>DALARNAS LÄN</t>
        </is>
      </c>
      <c r="E103" t="inlineStr">
        <is>
          <t>LEKSAND</t>
        </is>
      </c>
      <c r="G103" t="n">
        <v>2.3</v>
      </c>
      <c r="H103" t="n">
        <v>0</v>
      </c>
      <c r="I103" t="n">
        <v>0</v>
      </c>
      <c r="J103" t="n">
        <v>0</v>
      </c>
      <c r="K103" t="n">
        <v>0</v>
      </c>
      <c r="L103" t="n">
        <v>0</v>
      </c>
      <c r="M103" t="n">
        <v>0</v>
      </c>
      <c r="N103" t="n">
        <v>0</v>
      </c>
      <c r="O103" t="n">
        <v>0</v>
      </c>
      <c r="P103" t="n">
        <v>0</v>
      </c>
      <c r="Q103" t="n">
        <v>0</v>
      </c>
      <c r="R103" s="2" t="inlineStr"/>
    </row>
    <row r="104" ht="15" customHeight="1">
      <c r="A104" t="inlineStr">
        <is>
          <t>A 49132-2019</t>
        </is>
      </c>
      <c r="B104" s="1" t="n">
        <v>43728</v>
      </c>
      <c r="C104" s="1" t="n">
        <v>45844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51390-2019</t>
        </is>
      </c>
      <c r="B105" s="1" t="n">
        <v>43733</v>
      </c>
      <c r="C105" s="1" t="n">
        <v>45844</v>
      </c>
      <c r="D105" t="inlineStr">
        <is>
          <t>DALARNAS LÄN</t>
        </is>
      </c>
      <c r="E105" t="inlineStr">
        <is>
          <t>LEKSAND</t>
        </is>
      </c>
      <c r="G105" t="n">
        <v>4.7</v>
      </c>
      <c r="H105" t="n">
        <v>0</v>
      </c>
      <c r="I105" t="n">
        <v>0</v>
      </c>
      <c r="J105" t="n">
        <v>0</v>
      </c>
      <c r="K105" t="n">
        <v>0</v>
      </c>
      <c r="L105" t="n">
        <v>0</v>
      </c>
      <c r="M105" t="n">
        <v>0</v>
      </c>
      <c r="N105" t="n">
        <v>0</v>
      </c>
      <c r="O105" t="n">
        <v>0</v>
      </c>
      <c r="P105" t="n">
        <v>0</v>
      </c>
      <c r="Q105" t="n">
        <v>0</v>
      </c>
      <c r="R105" s="2" t="inlineStr"/>
    </row>
    <row r="106" ht="15" customHeight="1">
      <c r="A106" t="inlineStr">
        <is>
          <t>A 50532-2019</t>
        </is>
      </c>
      <c r="B106" s="1" t="n">
        <v>43735</v>
      </c>
      <c r="C106" s="1" t="n">
        <v>45844</v>
      </c>
      <c r="D106" t="inlineStr">
        <is>
          <t>DALARNAS LÄN</t>
        </is>
      </c>
      <c r="E106" t="inlineStr">
        <is>
          <t>LEKSAND</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52130-2019</t>
        </is>
      </c>
      <c r="B107" s="1" t="n">
        <v>43735</v>
      </c>
      <c r="C107" s="1" t="n">
        <v>45844</v>
      </c>
      <c r="D107" t="inlineStr">
        <is>
          <t>DALARNAS LÄN</t>
        </is>
      </c>
      <c r="E107" t="inlineStr">
        <is>
          <t>LEKSAND</t>
        </is>
      </c>
      <c r="G107" t="n">
        <v>0.8</v>
      </c>
      <c r="H107" t="n">
        <v>0</v>
      </c>
      <c r="I107" t="n">
        <v>0</v>
      </c>
      <c r="J107" t="n">
        <v>0</v>
      </c>
      <c r="K107" t="n">
        <v>0</v>
      </c>
      <c r="L107" t="n">
        <v>0</v>
      </c>
      <c r="M107" t="n">
        <v>0</v>
      </c>
      <c r="N107" t="n">
        <v>0</v>
      </c>
      <c r="O107" t="n">
        <v>0</v>
      </c>
      <c r="P107" t="n">
        <v>0</v>
      </c>
      <c r="Q107" t="n">
        <v>0</v>
      </c>
      <c r="R107" s="2" t="inlineStr"/>
    </row>
    <row r="108" ht="15" customHeight="1">
      <c r="A108" t="inlineStr">
        <is>
          <t>A 52827-2019</t>
        </is>
      </c>
      <c r="B108" s="1" t="n">
        <v>43746</v>
      </c>
      <c r="C108" s="1" t="n">
        <v>45844</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52957-2019</t>
        </is>
      </c>
      <c r="B109" s="1" t="n">
        <v>43747</v>
      </c>
      <c r="C109" s="1" t="n">
        <v>45844</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53553-2019</t>
        </is>
      </c>
      <c r="B110" s="1" t="n">
        <v>43749</v>
      </c>
      <c r="C110" s="1" t="n">
        <v>45844</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56844-2019</t>
        </is>
      </c>
      <c r="B111" s="1" t="n">
        <v>43765</v>
      </c>
      <c r="C111" s="1" t="n">
        <v>45844</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57221-2019</t>
        </is>
      </c>
      <c r="B112" s="1" t="n">
        <v>43767</v>
      </c>
      <c r="C112" s="1" t="n">
        <v>45844</v>
      </c>
      <c r="D112" t="inlineStr">
        <is>
          <t>DALARNAS LÄN</t>
        </is>
      </c>
      <c r="E112" t="inlineStr">
        <is>
          <t>LEKSAND</t>
        </is>
      </c>
      <c r="G112" t="n">
        <v>1</v>
      </c>
      <c r="H112" t="n">
        <v>0</v>
      </c>
      <c r="I112" t="n">
        <v>0</v>
      </c>
      <c r="J112" t="n">
        <v>0</v>
      </c>
      <c r="K112" t="n">
        <v>0</v>
      </c>
      <c r="L112" t="n">
        <v>0</v>
      </c>
      <c r="M112" t="n">
        <v>0</v>
      </c>
      <c r="N112" t="n">
        <v>0</v>
      </c>
      <c r="O112" t="n">
        <v>0</v>
      </c>
      <c r="P112" t="n">
        <v>0</v>
      </c>
      <c r="Q112" t="n">
        <v>0</v>
      </c>
      <c r="R112" s="2" t="inlineStr"/>
    </row>
    <row r="113" ht="15" customHeight="1">
      <c r="A113" t="inlineStr">
        <is>
          <t>A 58237-2019</t>
        </is>
      </c>
      <c r="B113" s="1" t="n">
        <v>43770</v>
      </c>
      <c r="C113" s="1" t="n">
        <v>45844</v>
      </c>
      <c r="D113" t="inlineStr">
        <is>
          <t>DALARNAS LÄN</t>
        </is>
      </c>
      <c r="E113" t="inlineStr">
        <is>
          <t>LEKSAND</t>
        </is>
      </c>
      <c r="G113" t="n">
        <v>2.5</v>
      </c>
      <c r="H113" t="n">
        <v>0</v>
      </c>
      <c r="I113" t="n">
        <v>0</v>
      </c>
      <c r="J113" t="n">
        <v>0</v>
      </c>
      <c r="K113" t="n">
        <v>0</v>
      </c>
      <c r="L113" t="n">
        <v>0</v>
      </c>
      <c r="M113" t="n">
        <v>0</v>
      </c>
      <c r="N113" t="n">
        <v>0</v>
      </c>
      <c r="O113" t="n">
        <v>0</v>
      </c>
      <c r="P113" t="n">
        <v>0</v>
      </c>
      <c r="Q113" t="n">
        <v>0</v>
      </c>
      <c r="R113" s="2" t="inlineStr"/>
    </row>
    <row r="114" ht="15" customHeight="1">
      <c r="A114" t="inlineStr">
        <is>
          <t>A 59714-2019</t>
        </is>
      </c>
      <c r="B114" s="1" t="n">
        <v>43776</v>
      </c>
      <c r="C114" s="1" t="n">
        <v>45844</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59721-2019</t>
        </is>
      </c>
      <c r="B115" s="1" t="n">
        <v>43776</v>
      </c>
      <c r="C115" s="1" t="n">
        <v>45844</v>
      </c>
      <c r="D115" t="inlineStr">
        <is>
          <t>DALARNAS LÄN</t>
        </is>
      </c>
      <c r="E115" t="inlineStr">
        <is>
          <t>LEKSAND</t>
        </is>
      </c>
      <c r="F115" t="inlineStr">
        <is>
          <t>Bergvik skog väst AB</t>
        </is>
      </c>
      <c r="G115" t="n">
        <v>4.8</v>
      </c>
      <c r="H115" t="n">
        <v>0</v>
      </c>
      <c r="I115" t="n">
        <v>0</v>
      </c>
      <c r="J115" t="n">
        <v>0</v>
      </c>
      <c r="K115" t="n">
        <v>0</v>
      </c>
      <c r="L115" t="n">
        <v>0</v>
      </c>
      <c r="M115" t="n">
        <v>0</v>
      </c>
      <c r="N115" t="n">
        <v>0</v>
      </c>
      <c r="O115" t="n">
        <v>0</v>
      </c>
      <c r="P115" t="n">
        <v>0</v>
      </c>
      <c r="Q115" t="n">
        <v>0</v>
      </c>
      <c r="R115" s="2" t="inlineStr"/>
    </row>
    <row r="116" ht="15" customHeight="1">
      <c r="A116" t="inlineStr">
        <is>
          <t>A 60809-2019</t>
        </is>
      </c>
      <c r="B116" s="1" t="n">
        <v>43780</v>
      </c>
      <c r="C116" s="1" t="n">
        <v>45844</v>
      </c>
      <c r="D116" t="inlineStr">
        <is>
          <t>DALARNAS LÄN</t>
        </is>
      </c>
      <c r="E116" t="inlineStr">
        <is>
          <t>LEKSAND</t>
        </is>
      </c>
      <c r="G116" t="n">
        <v>1.9</v>
      </c>
      <c r="H116" t="n">
        <v>0</v>
      </c>
      <c r="I116" t="n">
        <v>0</v>
      </c>
      <c r="J116" t="n">
        <v>0</v>
      </c>
      <c r="K116" t="n">
        <v>0</v>
      </c>
      <c r="L116" t="n">
        <v>0</v>
      </c>
      <c r="M116" t="n">
        <v>0</v>
      </c>
      <c r="N116" t="n">
        <v>0</v>
      </c>
      <c r="O116" t="n">
        <v>0</v>
      </c>
      <c r="P116" t="n">
        <v>0</v>
      </c>
      <c r="Q116" t="n">
        <v>0</v>
      </c>
      <c r="R116" s="2" t="inlineStr"/>
    </row>
    <row r="117" ht="15" customHeight="1">
      <c r="A117" t="inlineStr">
        <is>
          <t>A 61111-2019</t>
        </is>
      </c>
      <c r="B117" s="1" t="n">
        <v>43782</v>
      </c>
      <c r="C117" s="1" t="n">
        <v>45844</v>
      </c>
      <c r="D117" t="inlineStr">
        <is>
          <t>DALARNAS LÄN</t>
        </is>
      </c>
      <c r="E117" t="inlineStr">
        <is>
          <t>LEKSAND</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61113-2019</t>
        </is>
      </c>
      <c r="B118" s="1" t="n">
        <v>43782</v>
      </c>
      <c r="C118" s="1" t="n">
        <v>45844</v>
      </c>
      <c r="D118" t="inlineStr">
        <is>
          <t>DALARNAS LÄN</t>
        </is>
      </c>
      <c r="E118" t="inlineStr">
        <is>
          <t>LEKSAND</t>
        </is>
      </c>
      <c r="F118" t="inlineStr">
        <is>
          <t>Bergvik skog väst AB</t>
        </is>
      </c>
      <c r="G118" t="n">
        <v>0.2</v>
      </c>
      <c r="H118" t="n">
        <v>0</v>
      </c>
      <c r="I118" t="n">
        <v>0</v>
      </c>
      <c r="J118" t="n">
        <v>0</v>
      </c>
      <c r="K118" t="n">
        <v>0</v>
      </c>
      <c r="L118" t="n">
        <v>0</v>
      </c>
      <c r="M118" t="n">
        <v>0</v>
      </c>
      <c r="N118" t="n">
        <v>0</v>
      </c>
      <c r="O118" t="n">
        <v>0</v>
      </c>
      <c r="P118" t="n">
        <v>0</v>
      </c>
      <c r="Q118" t="n">
        <v>0</v>
      </c>
      <c r="R118" s="2" t="inlineStr"/>
    </row>
    <row r="119" ht="15" customHeight="1">
      <c r="A119" t="inlineStr">
        <is>
          <t>A 64635-2019</t>
        </is>
      </c>
      <c r="B119" s="1" t="n">
        <v>43794</v>
      </c>
      <c r="C119" s="1" t="n">
        <v>45844</v>
      </c>
      <c r="D119" t="inlineStr">
        <is>
          <t>DALARNAS LÄN</t>
        </is>
      </c>
      <c r="E119" t="inlineStr">
        <is>
          <t>LEKSAND</t>
        </is>
      </c>
      <c r="G119" t="n">
        <v>5.4</v>
      </c>
      <c r="H119" t="n">
        <v>0</v>
      </c>
      <c r="I119" t="n">
        <v>0</v>
      </c>
      <c r="J119" t="n">
        <v>0</v>
      </c>
      <c r="K119" t="n">
        <v>0</v>
      </c>
      <c r="L119" t="n">
        <v>0</v>
      </c>
      <c r="M119" t="n">
        <v>0</v>
      </c>
      <c r="N119" t="n">
        <v>0</v>
      </c>
      <c r="O119" t="n">
        <v>0</v>
      </c>
      <c r="P119" t="n">
        <v>0</v>
      </c>
      <c r="Q119" t="n">
        <v>0</v>
      </c>
      <c r="R119" s="2" t="inlineStr"/>
    </row>
    <row r="120" ht="15" customHeight="1">
      <c r="A120" t="inlineStr">
        <is>
          <t>A 66288-2019</t>
        </is>
      </c>
      <c r="B120" s="1" t="n">
        <v>43808</v>
      </c>
      <c r="C120" s="1" t="n">
        <v>45844</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66822-2019</t>
        </is>
      </c>
      <c r="B121" s="1" t="n">
        <v>43810</v>
      </c>
      <c r="C121" s="1" t="n">
        <v>45844</v>
      </c>
      <c r="D121" t="inlineStr">
        <is>
          <t>DALARNAS LÄN</t>
        </is>
      </c>
      <c r="E121" t="inlineStr">
        <is>
          <t>LEKSAND</t>
        </is>
      </c>
      <c r="G121" t="n">
        <v>5.2</v>
      </c>
      <c r="H121" t="n">
        <v>0</v>
      </c>
      <c r="I121" t="n">
        <v>0</v>
      </c>
      <c r="J121" t="n">
        <v>0</v>
      </c>
      <c r="K121" t="n">
        <v>0</v>
      </c>
      <c r="L121" t="n">
        <v>0</v>
      </c>
      <c r="M121" t="n">
        <v>0</v>
      </c>
      <c r="N121" t="n">
        <v>0</v>
      </c>
      <c r="O121" t="n">
        <v>0</v>
      </c>
      <c r="P121" t="n">
        <v>0</v>
      </c>
      <c r="Q121" t="n">
        <v>0</v>
      </c>
      <c r="R121" s="2" t="inlineStr"/>
    </row>
    <row r="122" ht="15" customHeight="1">
      <c r="A122" t="inlineStr">
        <is>
          <t>A 67123-2019</t>
        </is>
      </c>
      <c r="B122" s="1" t="n">
        <v>43811</v>
      </c>
      <c r="C122" s="1" t="n">
        <v>45844</v>
      </c>
      <c r="D122" t="inlineStr">
        <is>
          <t>DALARNAS LÄN</t>
        </is>
      </c>
      <c r="E122" t="inlineStr">
        <is>
          <t>LEKSAND</t>
        </is>
      </c>
      <c r="G122" t="n">
        <v>2.1</v>
      </c>
      <c r="H122" t="n">
        <v>0</v>
      </c>
      <c r="I122" t="n">
        <v>0</v>
      </c>
      <c r="J122" t="n">
        <v>0</v>
      </c>
      <c r="K122" t="n">
        <v>0</v>
      </c>
      <c r="L122" t="n">
        <v>0</v>
      </c>
      <c r="M122" t="n">
        <v>0</v>
      </c>
      <c r="N122" t="n">
        <v>0</v>
      </c>
      <c r="O122" t="n">
        <v>0</v>
      </c>
      <c r="P122" t="n">
        <v>0</v>
      </c>
      <c r="Q122" t="n">
        <v>0</v>
      </c>
      <c r="R122" s="2" t="inlineStr"/>
    </row>
    <row r="123" ht="15" customHeight="1">
      <c r="A123" t="inlineStr">
        <is>
          <t>A 68808-2019</t>
        </is>
      </c>
      <c r="B123" s="1" t="n">
        <v>43815</v>
      </c>
      <c r="C123" s="1" t="n">
        <v>45844</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1604-2020</t>
        </is>
      </c>
      <c r="B124" s="1" t="n">
        <v>43829</v>
      </c>
      <c r="C124" s="1" t="n">
        <v>45844</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1915-2020</t>
        </is>
      </c>
      <c r="B125" s="1" t="n">
        <v>43837</v>
      </c>
      <c r="C125" s="1" t="n">
        <v>45844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1778-2020</t>
        </is>
      </c>
      <c r="B126" s="1" t="n">
        <v>43844</v>
      </c>
      <c r="C126" s="1" t="n">
        <v>45844</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2670-2020</t>
        </is>
      </c>
      <c r="B127" s="1" t="n">
        <v>43849</v>
      </c>
      <c r="C127" s="1" t="n">
        <v>45844</v>
      </c>
      <c r="D127" t="inlineStr">
        <is>
          <t>DALARNAS LÄN</t>
        </is>
      </c>
      <c r="E127" t="inlineStr">
        <is>
          <t>LEKSAND</t>
        </is>
      </c>
      <c r="G127" t="n">
        <v>2.4</v>
      </c>
      <c r="H127" t="n">
        <v>0</v>
      </c>
      <c r="I127" t="n">
        <v>0</v>
      </c>
      <c r="J127" t="n">
        <v>0</v>
      </c>
      <c r="K127" t="n">
        <v>0</v>
      </c>
      <c r="L127" t="n">
        <v>0</v>
      </c>
      <c r="M127" t="n">
        <v>0</v>
      </c>
      <c r="N127" t="n">
        <v>0</v>
      </c>
      <c r="O127" t="n">
        <v>0</v>
      </c>
      <c r="P127" t="n">
        <v>0</v>
      </c>
      <c r="Q127" t="n">
        <v>0</v>
      </c>
      <c r="R127" s="2" t="inlineStr"/>
    </row>
    <row r="128" ht="15" customHeight="1">
      <c r="A128" t="inlineStr">
        <is>
          <t>A 4479-2020</t>
        </is>
      </c>
      <c r="B128" s="1" t="n">
        <v>43850</v>
      </c>
      <c r="C128" s="1" t="n">
        <v>45844</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4004-2020</t>
        </is>
      </c>
      <c r="B129" s="1" t="n">
        <v>43856</v>
      </c>
      <c r="C129" s="1" t="n">
        <v>45844</v>
      </c>
      <c r="D129" t="inlineStr">
        <is>
          <t>DALARNAS LÄN</t>
        </is>
      </c>
      <c r="E129" t="inlineStr">
        <is>
          <t>LEKSAND</t>
        </is>
      </c>
      <c r="G129" t="n">
        <v>6</v>
      </c>
      <c r="H129" t="n">
        <v>0</v>
      </c>
      <c r="I129" t="n">
        <v>0</v>
      </c>
      <c r="J129" t="n">
        <v>0</v>
      </c>
      <c r="K129" t="n">
        <v>0</v>
      </c>
      <c r="L129" t="n">
        <v>0</v>
      </c>
      <c r="M129" t="n">
        <v>0</v>
      </c>
      <c r="N129" t="n">
        <v>0</v>
      </c>
      <c r="O129" t="n">
        <v>0</v>
      </c>
      <c r="P129" t="n">
        <v>0</v>
      </c>
      <c r="Q129" t="n">
        <v>0</v>
      </c>
      <c r="R129" s="2" t="inlineStr"/>
    </row>
    <row r="130" ht="15" customHeight="1">
      <c r="A130" t="inlineStr">
        <is>
          <t>A 6002-2020</t>
        </is>
      </c>
      <c r="B130" s="1" t="n">
        <v>43864</v>
      </c>
      <c r="C130" s="1" t="n">
        <v>45844</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6017-2020</t>
        </is>
      </c>
      <c r="B131" s="1" t="n">
        <v>43864</v>
      </c>
      <c r="C131" s="1" t="n">
        <v>45844</v>
      </c>
      <c r="D131" t="inlineStr">
        <is>
          <t>DALARNAS LÄN</t>
        </is>
      </c>
      <c r="E131" t="inlineStr">
        <is>
          <t>LEKSAND</t>
        </is>
      </c>
      <c r="G131" t="n">
        <v>2.6</v>
      </c>
      <c r="H131" t="n">
        <v>0</v>
      </c>
      <c r="I131" t="n">
        <v>0</v>
      </c>
      <c r="J131" t="n">
        <v>0</v>
      </c>
      <c r="K131" t="n">
        <v>0</v>
      </c>
      <c r="L131" t="n">
        <v>0</v>
      </c>
      <c r="M131" t="n">
        <v>0</v>
      </c>
      <c r="N131" t="n">
        <v>0</v>
      </c>
      <c r="O131" t="n">
        <v>0</v>
      </c>
      <c r="P131" t="n">
        <v>0</v>
      </c>
      <c r="Q131" t="n">
        <v>0</v>
      </c>
      <c r="R131" s="2" t="inlineStr"/>
    </row>
    <row r="132" ht="15" customHeight="1">
      <c r="A132" t="inlineStr">
        <is>
          <t>A 6751-2020</t>
        </is>
      </c>
      <c r="B132" s="1" t="n">
        <v>43866</v>
      </c>
      <c r="C132" s="1" t="n">
        <v>45844</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7351-2020</t>
        </is>
      </c>
      <c r="B133" s="1" t="n">
        <v>43871</v>
      </c>
      <c r="C133" s="1" t="n">
        <v>45844</v>
      </c>
      <c r="D133" t="inlineStr">
        <is>
          <t>DALARNAS LÄN</t>
        </is>
      </c>
      <c r="E133" t="inlineStr">
        <is>
          <t>LEKSAND</t>
        </is>
      </c>
      <c r="F133" t="inlineStr">
        <is>
          <t>Bergvik skog väst AB</t>
        </is>
      </c>
      <c r="G133" t="n">
        <v>5.4</v>
      </c>
      <c r="H133" t="n">
        <v>0</v>
      </c>
      <c r="I133" t="n">
        <v>0</v>
      </c>
      <c r="J133" t="n">
        <v>0</v>
      </c>
      <c r="K133" t="n">
        <v>0</v>
      </c>
      <c r="L133" t="n">
        <v>0</v>
      </c>
      <c r="M133" t="n">
        <v>0</v>
      </c>
      <c r="N133" t="n">
        <v>0</v>
      </c>
      <c r="O133" t="n">
        <v>0</v>
      </c>
      <c r="P133" t="n">
        <v>0</v>
      </c>
      <c r="Q133" t="n">
        <v>0</v>
      </c>
      <c r="R133" s="2" t="inlineStr"/>
    </row>
    <row r="134" ht="15" customHeight="1">
      <c r="A134" t="inlineStr">
        <is>
          <t>A 7868-2020</t>
        </is>
      </c>
      <c r="B134" s="1" t="n">
        <v>43873</v>
      </c>
      <c r="C134" s="1" t="n">
        <v>45844</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9710-2020</t>
        </is>
      </c>
      <c r="B135" s="1" t="n">
        <v>43881</v>
      </c>
      <c r="C135" s="1" t="n">
        <v>45844</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11372-2020</t>
        </is>
      </c>
      <c r="B136" s="1" t="n">
        <v>43892</v>
      </c>
      <c r="C136" s="1" t="n">
        <v>45844</v>
      </c>
      <c r="D136" t="inlineStr">
        <is>
          <t>DALARNAS LÄN</t>
        </is>
      </c>
      <c r="E136" t="inlineStr">
        <is>
          <t>LEKSAND</t>
        </is>
      </c>
      <c r="F136" t="inlineStr">
        <is>
          <t>Bergvik skog väst AB</t>
        </is>
      </c>
      <c r="G136" t="n">
        <v>2.1</v>
      </c>
      <c r="H136" t="n">
        <v>0</v>
      </c>
      <c r="I136" t="n">
        <v>0</v>
      </c>
      <c r="J136" t="n">
        <v>0</v>
      </c>
      <c r="K136" t="n">
        <v>0</v>
      </c>
      <c r="L136" t="n">
        <v>0</v>
      </c>
      <c r="M136" t="n">
        <v>0</v>
      </c>
      <c r="N136" t="n">
        <v>0</v>
      </c>
      <c r="O136" t="n">
        <v>0</v>
      </c>
      <c r="P136" t="n">
        <v>0</v>
      </c>
      <c r="Q136" t="n">
        <v>0</v>
      </c>
      <c r="R136" s="2" t="inlineStr"/>
    </row>
    <row r="137" ht="15" customHeight="1">
      <c r="A137" t="inlineStr">
        <is>
          <t>A 12176-2020</t>
        </is>
      </c>
      <c r="B137" s="1" t="n">
        <v>43895</v>
      </c>
      <c r="C137" s="1" t="n">
        <v>45844</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12247-2020</t>
        </is>
      </c>
      <c r="B138" s="1" t="n">
        <v>43895</v>
      </c>
      <c r="C138" s="1" t="n">
        <v>45844</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13340-2020</t>
        </is>
      </c>
      <c r="B139" s="1" t="n">
        <v>43902</v>
      </c>
      <c r="C139" s="1" t="n">
        <v>45844</v>
      </c>
      <c r="D139" t="inlineStr">
        <is>
          <t>DALARNAS LÄN</t>
        </is>
      </c>
      <c r="E139" t="inlineStr">
        <is>
          <t>LEKSAND</t>
        </is>
      </c>
      <c r="G139" t="n">
        <v>1.4</v>
      </c>
      <c r="H139" t="n">
        <v>0</v>
      </c>
      <c r="I139" t="n">
        <v>0</v>
      </c>
      <c r="J139" t="n">
        <v>0</v>
      </c>
      <c r="K139" t="n">
        <v>0</v>
      </c>
      <c r="L139" t="n">
        <v>0</v>
      </c>
      <c r="M139" t="n">
        <v>0</v>
      </c>
      <c r="N139" t="n">
        <v>0</v>
      </c>
      <c r="O139" t="n">
        <v>0</v>
      </c>
      <c r="P139" t="n">
        <v>0</v>
      </c>
      <c r="Q139" t="n">
        <v>0</v>
      </c>
      <c r="R139" s="2" t="inlineStr"/>
    </row>
    <row r="140" ht="15" customHeight="1">
      <c r="A140" t="inlineStr">
        <is>
          <t>A 13356-2020</t>
        </is>
      </c>
      <c r="B140" s="1" t="n">
        <v>43902</v>
      </c>
      <c r="C140" s="1" t="n">
        <v>45844</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13352-2020</t>
        </is>
      </c>
      <c r="B141" s="1" t="n">
        <v>43902</v>
      </c>
      <c r="C141" s="1" t="n">
        <v>45844</v>
      </c>
      <c r="D141" t="inlineStr">
        <is>
          <t>DALARNAS LÄN</t>
        </is>
      </c>
      <c r="E141" t="inlineStr">
        <is>
          <t>LEKSAND</t>
        </is>
      </c>
      <c r="G141" t="n">
        <v>0.6</v>
      </c>
      <c r="H141" t="n">
        <v>0</v>
      </c>
      <c r="I141" t="n">
        <v>0</v>
      </c>
      <c r="J141" t="n">
        <v>0</v>
      </c>
      <c r="K141" t="n">
        <v>0</v>
      </c>
      <c r="L141" t="n">
        <v>0</v>
      </c>
      <c r="M141" t="n">
        <v>0</v>
      </c>
      <c r="N141" t="n">
        <v>0</v>
      </c>
      <c r="O141" t="n">
        <v>0</v>
      </c>
      <c r="P141" t="n">
        <v>0</v>
      </c>
      <c r="Q141" t="n">
        <v>0</v>
      </c>
      <c r="R141" s="2" t="inlineStr"/>
    </row>
    <row r="142" ht="15" customHeight="1">
      <c r="A142" t="inlineStr">
        <is>
          <t>A 15165-2020</t>
        </is>
      </c>
      <c r="B142" s="1" t="n">
        <v>43912</v>
      </c>
      <c r="C142" s="1" t="n">
        <v>45844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16288-2020</t>
        </is>
      </c>
      <c r="B143" s="1" t="n">
        <v>43917</v>
      </c>
      <c r="C143" s="1" t="n">
        <v>45844</v>
      </c>
      <c r="D143" t="inlineStr">
        <is>
          <t>DALARNAS LÄN</t>
        </is>
      </c>
      <c r="E143" t="inlineStr">
        <is>
          <t>LEKSAND</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18803-2020</t>
        </is>
      </c>
      <c r="B144" s="1" t="n">
        <v>43933</v>
      </c>
      <c r="C144" s="1" t="n">
        <v>45844</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19361-2020</t>
        </is>
      </c>
      <c r="B145" s="1" t="n">
        <v>43938</v>
      </c>
      <c r="C145" s="1" t="n">
        <v>45844</v>
      </c>
      <c r="D145" t="inlineStr">
        <is>
          <t>DALARNAS LÄN</t>
        </is>
      </c>
      <c r="E145" t="inlineStr">
        <is>
          <t>LEKSAND</t>
        </is>
      </c>
      <c r="G145" t="n">
        <v>1.1</v>
      </c>
      <c r="H145" t="n">
        <v>0</v>
      </c>
      <c r="I145" t="n">
        <v>0</v>
      </c>
      <c r="J145" t="n">
        <v>0</v>
      </c>
      <c r="K145" t="n">
        <v>0</v>
      </c>
      <c r="L145" t="n">
        <v>0</v>
      </c>
      <c r="M145" t="n">
        <v>0</v>
      </c>
      <c r="N145" t="n">
        <v>0</v>
      </c>
      <c r="O145" t="n">
        <v>0</v>
      </c>
      <c r="P145" t="n">
        <v>0</v>
      </c>
      <c r="Q145" t="n">
        <v>0</v>
      </c>
      <c r="R145" s="2" t="inlineStr"/>
    </row>
    <row r="146" ht="15" customHeight="1">
      <c r="A146" t="inlineStr">
        <is>
          <t>A 21141-2020</t>
        </is>
      </c>
      <c r="B146" s="1" t="n">
        <v>43951</v>
      </c>
      <c r="C146" s="1" t="n">
        <v>45844</v>
      </c>
      <c r="D146" t="inlineStr">
        <is>
          <t>DALARNAS LÄN</t>
        </is>
      </c>
      <c r="E146" t="inlineStr">
        <is>
          <t>LEKSAND</t>
        </is>
      </c>
      <c r="F146" t="inlineStr">
        <is>
          <t>Bergvik skog väst AB</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22718-2020</t>
        </is>
      </c>
      <c r="B147" s="1" t="n">
        <v>43964</v>
      </c>
      <c r="C147" s="1" t="n">
        <v>45844</v>
      </c>
      <c r="D147" t="inlineStr">
        <is>
          <t>DALARNAS LÄN</t>
        </is>
      </c>
      <c r="E147" t="inlineStr">
        <is>
          <t>LEKSAND</t>
        </is>
      </c>
      <c r="G147" t="n">
        <v>1.7</v>
      </c>
      <c r="H147" t="n">
        <v>0</v>
      </c>
      <c r="I147" t="n">
        <v>0</v>
      </c>
      <c r="J147" t="n">
        <v>0</v>
      </c>
      <c r="K147" t="n">
        <v>0</v>
      </c>
      <c r="L147" t="n">
        <v>0</v>
      </c>
      <c r="M147" t="n">
        <v>0</v>
      </c>
      <c r="N147" t="n">
        <v>0</v>
      </c>
      <c r="O147" t="n">
        <v>0</v>
      </c>
      <c r="P147" t="n">
        <v>0</v>
      </c>
      <c r="Q147" t="n">
        <v>0</v>
      </c>
      <c r="R147" s="2" t="inlineStr"/>
    </row>
    <row r="148" ht="15" customHeight="1">
      <c r="A148" t="inlineStr">
        <is>
          <t>A 24207-2020</t>
        </is>
      </c>
      <c r="B148" s="1" t="n">
        <v>43973</v>
      </c>
      <c r="C148" s="1" t="n">
        <v>45844</v>
      </c>
      <c r="D148" t="inlineStr">
        <is>
          <t>DALARNAS LÄN</t>
        </is>
      </c>
      <c r="E148" t="inlineStr">
        <is>
          <t>LEKSAND</t>
        </is>
      </c>
      <c r="G148" t="n">
        <v>2.2</v>
      </c>
      <c r="H148" t="n">
        <v>0</v>
      </c>
      <c r="I148" t="n">
        <v>0</v>
      </c>
      <c r="J148" t="n">
        <v>0</v>
      </c>
      <c r="K148" t="n">
        <v>0</v>
      </c>
      <c r="L148" t="n">
        <v>0</v>
      </c>
      <c r="M148" t="n">
        <v>0</v>
      </c>
      <c r="N148" t="n">
        <v>0</v>
      </c>
      <c r="O148" t="n">
        <v>0</v>
      </c>
      <c r="P148" t="n">
        <v>0</v>
      </c>
      <c r="Q148" t="n">
        <v>0</v>
      </c>
      <c r="R148" s="2" t="inlineStr"/>
    </row>
    <row r="149" ht="15" customHeight="1">
      <c r="A149" t="inlineStr">
        <is>
          <t>A 25156-2020</t>
        </is>
      </c>
      <c r="B149" s="1" t="n">
        <v>43978</v>
      </c>
      <c r="C149" s="1" t="n">
        <v>45844</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25720-2020</t>
        </is>
      </c>
      <c r="B150" s="1" t="n">
        <v>43984</v>
      </c>
      <c r="C150" s="1" t="n">
        <v>45844</v>
      </c>
      <c r="D150" t="inlineStr">
        <is>
          <t>DALARNAS LÄN</t>
        </is>
      </c>
      <c r="E150" t="inlineStr">
        <is>
          <t>LEKSAND</t>
        </is>
      </c>
      <c r="G150" t="n">
        <v>3.5</v>
      </c>
      <c r="H150" t="n">
        <v>0</v>
      </c>
      <c r="I150" t="n">
        <v>0</v>
      </c>
      <c r="J150" t="n">
        <v>0</v>
      </c>
      <c r="K150" t="n">
        <v>0</v>
      </c>
      <c r="L150" t="n">
        <v>0</v>
      </c>
      <c r="M150" t="n">
        <v>0</v>
      </c>
      <c r="N150" t="n">
        <v>0</v>
      </c>
      <c r="O150" t="n">
        <v>0</v>
      </c>
      <c r="P150" t="n">
        <v>0</v>
      </c>
      <c r="Q150" t="n">
        <v>0</v>
      </c>
      <c r="R150" s="2" t="inlineStr"/>
    </row>
    <row r="151" ht="15" customHeight="1">
      <c r="A151" t="inlineStr">
        <is>
          <t>A 25989-2020</t>
        </is>
      </c>
      <c r="B151" s="1" t="n">
        <v>43985</v>
      </c>
      <c r="C151" s="1" t="n">
        <v>45844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26456-2020</t>
        </is>
      </c>
      <c r="B152" s="1" t="n">
        <v>43986</v>
      </c>
      <c r="C152" s="1" t="n">
        <v>45844</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26560-2020</t>
        </is>
      </c>
      <c r="B153" s="1" t="n">
        <v>43987</v>
      </c>
      <c r="C153" s="1" t="n">
        <v>45844</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28161-2020</t>
        </is>
      </c>
      <c r="B154" s="1" t="n">
        <v>43997</v>
      </c>
      <c r="C154" s="1" t="n">
        <v>45844</v>
      </c>
      <c r="D154" t="inlineStr">
        <is>
          <t>DALARNAS LÄN</t>
        </is>
      </c>
      <c r="E154" t="inlineStr">
        <is>
          <t>LEKSAND</t>
        </is>
      </c>
      <c r="G154" t="n">
        <v>1.2</v>
      </c>
      <c r="H154" t="n">
        <v>0</v>
      </c>
      <c r="I154" t="n">
        <v>0</v>
      </c>
      <c r="J154" t="n">
        <v>0</v>
      </c>
      <c r="K154" t="n">
        <v>0</v>
      </c>
      <c r="L154" t="n">
        <v>0</v>
      </c>
      <c r="M154" t="n">
        <v>0</v>
      </c>
      <c r="N154" t="n">
        <v>0</v>
      </c>
      <c r="O154" t="n">
        <v>0</v>
      </c>
      <c r="P154" t="n">
        <v>0</v>
      </c>
      <c r="Q154" t="n">
        <v>0</v>
      </c>
      <c r="R154" s="2" t="inlineStr"/>
    </row>
    <row r="155" ht="15" customHeight="1">
      <c r="A155" t="inlineStr">
        <is>
          <t>A 28796-2020</t>
        </is>
      </c>
      <c r="B155" s="1" t="n">
        <v>44000</v>
      </c>
      <c r="C155" s="1" t="n">
        <v>45844</v>
      </c>
      <c r="D155" t="inlineStr">
        <is>
          <t>DALARNAS LÄN</t>
        </is>
      </c>
      <c r="E155" t="inlineStr">
        <is>
          <t>LEKSAND</t>
        </is>
      </c>
      <c r="F155" t="inlineStr">
        <is>
          <t>Bergvik skog väst AB</t>
        </is>
      </c>
      <c r="G155" t="n">
        <v>4.7</v>
      </c>
      <c r="H155" t="n">
        <v>0</v>
      </c>
      <c r="I155" t="n">
        <v>0</v>
      </c>
      <c r="J155" t="n">
        <v>0</v>
      </c>
      <c r="K155" t="n">
        <v>0</v>
      </c>
      <c r="L155" t="n">
        <v>0</v>
      </c>
      <c r="M155" t="n">
        <v>0</v>
      </c>
      <c r="N155" t="n">
        <v>0</v>
      </c>
      <c r="O155" t="n">
        <v>0</v>
      </c>
      <c r="P155" t="n">
        <v>0</v>
      </c>
      <c r="Q155" t="n">
        <v>0</v>
      </c>
      <c r="R155" s="2" t="inlineStr"/>
    </row>
    <row r="156" ht="15" customHeight="1">
      <c r="A156" t="inlineStr">
        <is>
          <t>A 29089-2020</t>
        </is>
      </c>
      <c r="B156" s="1" t="n">
        <v>44002</v>
      </c>
      <c r="C156" s="1" t="n">
        <v>45844</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29088-2020</t>
        </is>
      </c>
      <c r="B157" s="1" t="n">
        <v>44002</v>
      </c>
      <c r="C157" s="1" t="n">
        <v>45844</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29672-2020</t>
        </is>
      </c>
      <c r="B158" s="1" t="n">
        <v>44005</v>
      </c>
      <c r="C158" s="1" t="n">
        <v>45844</v>
      </c>
      <c r="D158" t="inlineStr">
        <is>
          <t>DALARNAS LÄN</t>
        </is>
      </c>
      <c r="E158" t="inlineStr">
        <is>
          <t>LEKSAND</t>
        </is>
      </c>
      <c r="G158" t="n">
        <v>0.4</v>
      </c>
      <c r="H158" t="n">
        <v>0</v>
      </c>
      <c r="I158" t="n">
        <v>0</v>
      </c>
      <c r="J158" t="n">
        <v>0</v>
      </c>
      <c r="K158" t="n">
        <v>0</v>
      </c>
      <c r="L158" t="n">
        <v>0</v>
      </c>
      <c r="M158" t="n">
        <v>0</v>
      </c>
      <c r="N158" t="n">
        <v>0</v>
      </c>
      <c r="O158" t="n">
        <v>0</v>
      </c>
      <c r="P158" t="n">
        <v>0</v>
      </c>
      <c r="Q158" t="n">
        <v>0</v>
      </c>
      <c r="R158" s="2" t="inlineStr"/>
    </row>
    <row r="159" ht="15" customHeight="1">
      <c r="A159" t="inlineStr">
        <is>
          <t>A 31629-2020</t>
        </is>
      </c>
      <c r="B159" s="1" t="n">
        <v>44013</v>
      </c>
      <c r="C159" s="1" t="n">
        <v>45844</v>
      </c>
      <c r="D159" t="inlineStr">
        <is>
          <t>DALARNAS LÄN</t>
        </is>
      </c>
      <c r="E159" t="inlineStr">
        <is>
          <t>LEKSAND</t>
        </is>
      </c>
      <c r="G159" t="n">
        <v>5.4</v>
      </c>
      <c r="H159" t="n">
        <v>0</v>
      </c>
      <c r="I159" t="n">
        <v>0</v>
      </c>
      <c r="J159" t="n">
        <v>0</v>
      </c>
      <c r="K159" t="n">
        <v>0</v>
      </c>
      <c r="L159" t="n">
        <v>0</v>
      </c>
      <c r="M159" t="n">
        <v>0</v>
      </c>
      <c r="N159" t="n">
        <v>0</v>
      </c>
      <c r="O159" t="n">
        <v>0</v>
      </c>
      <c r="P159" t="n">
        <v>0</v>
      </c>
      <c r="Q159" t="n">
        <v>0</v>
      </c>
      <c r="R159" s="2" t="inlineStr"/>
    </row>
    <row r="160" ht="15" customHeight="1">
      <c r="A160" t="inlineStr">
        <is>
          <t>A 37568-2020</t>
        </is>
      </c>
      <c r="B160" s="1" t="n">
        <v>44056</v>
      </c>
      <c r="C160" s="1" t="n">
        <v>45844</v>
      </c>
      <c r="D160" t="inlineStr">
        <is>
          <t>DALARNAS LÄN</t>
        </is>
      </c>
      <c r="E160" t="inlineStr">
        <is>
          <t>LEKSAND</t>
        </is>
      </c>
      <c r="G160" t="n">
        <v>3.4</v>
      </c>
      <c r="H160" t="n">
        <v>0</v>
      </c>
      <c r="I160" t="n">
        <v>0</v>
      </c>
      <c r="J160" t="n">
        <v>0</v>
      </c>
      <c r="K160" t="n">
        <v>0</v>
      </c>
      <c r="L160" t="n">
        <v>0</v>
      </c>
      <c r="M160" t="n">
        <v>0</v>
      </c>
      <c r="N160" t="n">
        <v>0</v>
      </c>
      <c r="O160" t="n">
        <v>0</v>
      </c>
      <c r="P160" t="n">
        <v>0</v>
      </c>
      <c r="Q160" t="n">
        <v>0</v>
      </c>
      <c r="R160" s="2" t="inlineStr"/>
    </row>
    <row r="161" ht="15" customHeight="1">
      <c r="A161" t="inlineStr">
        <is>
          <t>A 41093-2020</t>
        </is>
      </c>
      <c r="B161" s="1" t="n">
        <v>44071</v>
      </c>
      <c r="C161" s="1" t="n">
        <v>45844</v>
      </c>
      <c r="D161" t="inlineStr">
        <is>
          <t>DALARNAS LÄN</t>
        </is>
      </c>
      <c r="E161" t="inlineStr">
        <is>
          <t>LEKSAND</t>
        </is>
      </c>
      <c r="F161" t="inlineStr">
        <is>
          <t>Bergvik skog väst AB</t>
        </is>
      </c>
      <c r="G161" t="n">
        <v>0.8</v>
      </c>
      <c r="H161" t="n">
        <v>0</v>
      </c>
      <c r="I161" t="n">
        <v>0</v>
      </c>
      <c r="J161" t="n">
        <v>0</v>
      </c>
      <c r="K161" t="n">
        <v>0</v>
      </c>
      <c r="L161" t="n">
        <v>0</v>
      </c>
      <c r="M161" t="n">
        <v>0</v>
      </c>
      <c r="N161" t="n">
        <v>0</v>
      </c>
      <c r="O161" t="n">
        <v>0</v>
      </c>
      <c r="P161" t="n">
        <v>0</v>
      </c>
      <c r="Q161" t="n">
        <v>0</v>
      </c>
      <c r="R161" s="2" t="inlineStr"/>
    </row>
    <row r="162" ht="15" customHeight="1">
      <c r="A162" t="inlineStr">
        <is>
          <t>A 41200-2020</t>
        </is>
      </c>
      <c r="B162" s="1" t="n">
        <v>44071</v>
      </c>
      <c r="C162" s="1" t="n">
        <v>45844</v>
      </c>
      <c r="D162" t="inlineStr">
        <is>
          <t>DALARNAS LÄN</t>
        </is>
      </c>
      <c r="E162" t="inlineStr">
        <is>
          <t>LEKSAND</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41432-2020</t>
        </is>
      </c>
      <c r="B163" s="1" t="n">
        <v>44073</v>
      </c>
      <c r="C163" s="1" t="n">
        <v>45844</v>
      </c>
      <c r="D163" t="inlineStr">
        <is>
          <t>DALARNAS LÄN</t>
        </is>
      </c>
      <c r="E163" t="inlineStr">
        <is>
          <t>LEKSAND</t>
        </is>
      </c>
      <c r="G163" t="n">
        <v>0.9</v>
      </c>
      <c r="H163" t="n">
        <v>0</v>
      </c>
      <c r="I163" t="n">
        <v>0</v>
      </c>
      <c r="J163" t="n">
        <v>0</v>
      </c>
      <c r="K163" t="n">
        <v>0</v>
      </c>
      <c r="L163" t="n">
        <v>0</v>
      </c>
      <c r="M163" t="n">
        <v>0</v>
      </c>
      <c r="N163" t="n">
        <v>0</v>
      </c>
      <c r="O163" t="n">
        <v>0</v>
      </c>
      <c r="P163" t="n">
        <v>0</v>
      </c>
      <c r="Q163" t="n">
        <v>0</v>
      </c>
      <c r="R163" s="2" t="inlineStr"/>
    </row>
    <row r="164" ht="15" customHeight="1">
      <c r="A164" t="inlineStr">
        <is>
          <t>A 42890-2020</t>
        </is>
      </c>
      <c r="B164" s="1" t="n">
        <v>44078</v>
      </c>
      <c r="C164" s="1" t="n">
        <v>45844</v>
      </c>
      <c r="D164" t="inlineStr">
        <is>
          <t>DALARNAS LÄN</t>
        </is>
      </c>
      <c r="E164" t="inlineStr">
        <is>
          <t>LEKSAND</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44665-2020</t>
        </is>
      </c>
      <c r="B165" s="1" t="n">
        <v>44085</v>
      </c>
      <c r="C165" s="1" t="n">
        <v>45844</v>
      </c>
      <c r="D165" t="inlineStr">
        <is>
          <t>DALARNAS LÄN</t>
        </is>
      </c>
      <c r="E165" t="inlineStr">
        <is>
          <t>LEKSAND</t>
        </is>
      </c>
      <c r="F165" t="inlineStr">
        <is>
          <t>Bergvik skog väst AB</t>
        </is>
      </c>
      <c r="G165" t="n">
        <v>5.1</v>
      </c>
      <c r="H165" t="n">
        <v>0</v>
      </c>
      <c r="I165" t="n">
        <v>0</v>
      </c>
      <c r="J165" t="n">
        <v>0</v>
      </c>
      <c r="K165" t="n">
        <v>0</v>
      </c>
      <c r="L165" t="n">
        <v>0</v>
      </c>
      <c r="M165" t="n">
        <v>0</v>
      </c>
      <c r="N165" t="n">
        <v>0</v>
      </c>
      <c r="O165" t="n">
        <v>0</v>
      </c>
      <c r="P165" t="n">
        <v>0</v>
      </c>
      <c r="Q165" t="n">
        <v>0</v>
      </c>
      <c r="R165" s="2" t="inlineStr"/>
    </row>
    <row r="166" ht="15" customHeight="1">
      <c r="A166" t="inlineStr">
        <is>
          <t>A 45995-2020</t>
        </is>
      </c>
      <c r="B166" s="1" t="n">
        <v>44088</v>
      </c>
      <c r="C166" s="1" t="n">
        <v>45844</v>
      </c>
      <c r="D166" t="inlineStr">
        <is>
          <t>DALARNAS LÄN</t>
        </is>
      </c>
      <c r="E166" t="inlineStr">
        <is>
          <t>LEKSAND</t>
        </is>
      </c>
      <c r="G166" t="n">
        <v>7.8</v>
      </c>
      <c r="H166" t="n">
        <v>0</v>
      </c>
      <c r="I166" t="n">
        <v>0</v>
      </c>
      <c r="J166" t="n">
        <v>0</v>
      </c>
      <c r="K166" t="n">
        <v>0</v>
      </c>
      <c r="L166" t="n">
        <v>0</v>
      </c>
      <c r="M166" t="n">
        <v>0</v>
      </c>
      <c r="N166" t="n">
        <v>0</v>
      </c>
      <c r="O166" t="n">
        <v>0</v>
      </c>
      <c r="P166" t="n">
        <v>0</v>
      </c>
      <c r="Q166" t="n">
        <v>0</v>
      </c>
      <c r="R166" s="2" t="inlineStr"/>
    </row>
    <row r="167" ht="15" customHeight="1">
      <c r="A167" t="inlineStr">
        <is>
          <t>A 45950-2020</t>
        </is>
      </c>
      <c r="B167" s="1" t="n">
        <v>44088</v>
      </c>
      <c r="C167" s="1" t="n">
        <v>45844</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45991-2020</t>
        </is>
      </c>
      <c r="B168" s="1" t="n">
        <v>44088</v>
      </c>
      <c r="C168" s="1" t="n">
        <v>45844</v>
      </c>
      <c r="D168" t="inlineStr">
        <is>
          <t>DALARNAS LÄN</t>
        </is>
      </c>
      <c r="E168" t="inlineStr">
        <is>
          <t>LEKSAND</t>
        </is>
      </c>
      <c r="G168" t="n">
        <v>9.9</v>
      </c>
      <c r="H168" t="n">
        <v>0</v>
      </c>
      <c r="I168" t="n">
        <v>0</v>
      </c>
      <c r="J168" t="n">
        <v>0</v>
      </c>
      <c r="K168" t="n">
        <v>0</v>
      </c>
      <c r="L168" t="n">
        <v>0</v>
      </c>
      <c r="M168" t="n">
        <v>0</v>
      </c>
      <c r="N168" t="n">
        <v>0</v>
      </c>
      <c r="O168" t="n">
        <v>0</v>
      </c>
      <c r="P168" t="n">
        <v>0</v>
      </c>
      <c r="Q168" t="n">
        <v>0</v>
      </c>
      <c r="R168" s="2" t="inlineStr"/>
    </row>
    <row r="169" ht="15" customHeight="1">
      <c r="A169" t="inlineStr">
        <is>
          <t>A 46854-2020</t>
        </is>
      </c>
      <c r="B169" s="1" t="n">
        <v>44090</v>
      </c>
      <c r="C169" s="1" t="n">
        <v>45844</v>
      </c>
      <c r="D169" t="inlineStr">
        <is>
          <t>DALARNAS LÄN</t>
        </is>
      </c>
      <c r="E169" t="inlineStr">
        <is>
          <t>LEKSAND</t>
        </is>
      </c>
      <c r="G169" t="n">
        <v>1.6</v>
      </c>
      <c r="H169" t="n">
        <v>0</v>
      </c>
      <c r="I169" t="n">
        <v>0</v>
      </c>
      <c r="J169" t="n">
        <v>0</v>
      </c>
      <c r="K169" t="n">
        <v>0</v>
      </c>
      <c r="L169" t="n">
        <v>0</v>
      </c>
      <c r="M169" t="n">
        <v>0</v>
      </c>
      <c r="N169" t="n">
        <v>0</v>
      </c>
      <c r="O169" t="n">
        <v>0</v>
      </c>
      <c r="P169" t="n">
        <v>0</v>
      </c>
      <c r="Q169" t="n">
        <v>0</v>
      </c>
      <c r="R169" s="2" t="inlineStr"/>
    </row>
    <row r="170" ht="15" customHeight="1">
      <c r="A170" t="inlineStr">
        <is>
          <t>A 47004-2020</t>
        </is>
      </c>
      <c r="B170" s="1" t="n">
        <v>44091</v>
      </c>
      <c r="C170" s="1" t="n">
        <v>45844</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47069-2020</t>
        </is>
      </c>
      <c r="B171" s="1" t="n">
        <v>44096</v>
      </c>
      <c r="C171" s="1" t="n">
        <v>45844</v>
      </c>
      <c r="D171" t="inlineStr">
        <is>
          <t>DALARNAS LÄN</t>
        </is>
      </c>
      <c r="E171" t="inlineStr">
        <is>
          <t>LEKSAND</t>
        </is>
      </c>
      <c r="G171" t="n">
        <v>5.5</v>
      </c>
      <c r="H171" t="n">
        <v>0</v>
      </c>
      <c r="I171" t="n">
        <v>0</v>
      </c>
      <c r="J171" t="n">
        <v>0</v>
      </c>
      <c r="K171" t="n">
        <v>0</v>
      </c>
      <c r="L171" t="n">
        <v>0</v>
      </c>
      <c r="M171" t="n">
        <v>0</v>
      </c>
      <c r="N171" t="n">
        <v>0</v>
      </c>
      <c r="O171" t="n">
        <v>0</v>
      </c>
      <c r="P171" t="n">
        <v>0</v>
      </c>
      <c r="Q171" t="n">
        <v>0</v>
      </c>
      <c r="R171" s="2" t="inlineStr"/>
    </row>
    <row r="172" ht="15" customHeight="1">
      <c r="A172" t="inlineStr">
        <is>
          <t>A 50123-2020</t>
        </is>
      </c>
      <c r="B172" s="1" t="n">
        <v>44104</v>
      </c>
      <c r="C172" s="1" t="n">
        <v>45844</v>
      </c>
      <c r="D172" t="inlineStr">
        <is>
          <t>DALARNAS LÄN</t>
        </is>
      </c>
      <c r="E172" t="inlineStr">
        <is>
          <t>LEKSAND</t>
        </is>
      </c>
      <c r="F172" t="inlineStr">
        <is>
          <t>Övriga Aktiebolag</t>
        </is>
      </c>
      <c r="G172" t="n">
        <v>2.7</v>
      </c>
      <c r="H172" t="n">
        <v>0</v>
      </c>
      <c r="I172" t="n">
        <v>0</v>
      </c>
      <c r="J172" t="n">
        <v>0</v>
      </c>
      <c r="K172" t="n">
        <v>0</v>
      </c>
      <c r="L172" t="n">
        <v>0</v>
      </c>
      <c r="M172" t="n">
        <v>0</v>
      </c>
      <c r="N172" t="n">
        <v>0</v>
      </c>
      <c r="O172" t="n">
        <v>0</v>
      </c>
      <c r="P172" t="n">
        <v>0</v>
      </c>
      <c r="Q172" t="n">
        <v>0</v>
      </c>
      <c r="R172" s="2" t="inlineStr"/>
    </row>
    <row r="173" ht="15" customHeight="1">
      <c r="A173" t="inlineStr">
        <is>
          <t>A 50102-2020</t>
        </is>
      </c>
      <c r="B173" s="1" t="n">
        <v>44104</v>
      </c>
      <c r="C173" s="1" t="n">
        <v>45844</v>
      </c>
      <c r="D173" t="inlineStr">
        <is>
          <t>DALARNAS LÄN</t>
        </is>
      </c>
      <c r="E173" t="inlineStr">
        <is>
          <t>LEKSAND</t>
        </is>
      </c>
      <c r="G173" t="n">
        <v>2.4</v>
      </c>
      <c r="H173" t="n">
        <v>0</v>
      </c>
      <c r="I173" t="n">
        <v>0</v>
      </c>
      <c r="J173" t="n">
        <v>0</v>
      </c>
      <c r="K173" t="n">
        <v>0</v>
      </c>
      <c r="L173" t="n">
        <v>0</v>
      </c>
      <c r="M173" t="n">
        <v>0</v>
      </c>
      <c r="N173" t="n">
        <v>0</v>
      </c>
      <c r="O173" t="n">
        <v>0</v>
      </c>
      <c r="P173" t="n">
        <v>0</v>
      </c>
      <c r="Q173" t="n">
        <v>0</v>
      </c>
      <c r="R173" s="2" t="inlineStr"/>
    </row>
    <row r="174" ht="15" customHeight="1">
      <c r="A174" t="inlineStr">
        <is>
          <t>A 60920-2020</t>
        </is>
      </c>
      <c r="B174" s="1" t="n">
        <v>44153</v>
      </c>
      <c r="C174" s="1" t="n">
        <v>45844</v>
      </c>
      <c r="D174" t="inlineStr">
        <is>
          <t>DALARNAS LÄN</t>
        </is>
      </c>
      <c r="E174" t="inlineStr">
        <is>
          <t>LEKSAND</t>
        </is>
      </c>
      <c r="G174" t="n">
        <v>0.6</v>
      </c>
      <c r="H174" t="n">
        <v>0</v>
      </c>
      <c r="I174" t="n">
        <v>0</v>
      </c>
      <c r="J174" t="n">
        <v>0</v>
      </c>
      <c r="K174" t="n">
        <v>0</v>
      </c>
      <c r="L174" t="n">
        <v>0</v>
      </c>
      <c r="M174" t="n">
        <v>0</v>
      </c>
      <c r="N174" t="n">
        <v>0</v>
      </c>
      <c r="O174" t="n">
        <v>0</v>
      </c>
      <c r="P174" t="n">
        <v>0</v>
      </c>
      <c r="Q174" t="n">
        <v>0</v>
      </c>
      <c r="R174" s="2" t="inlineStr"/>
    </row>
    <row r="175" ht="15" customHeight="1">
      <c r="A175" t="inlineStr">
        <is>
          <t>A 60963-2020</t>
        </is>
      </c>
      <c r="B175" s="1" t="n">
        <v>44154</v>
      </c>
      <c r="C175" s="1" t="n">
        <v>45844</v>
      </c>
      <c r="D175" t="inlineStr">
        <is>
          <t>DALARNAS LÄN</t>
        </is>
      </c>
      <c r="E175" t="inlineStr">
        <is>
          <t>LEKSAND</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62118-2020</t>
        </is>
      </c>
      <c r="B176" s="1" t="n">
        <v>44159</v>
      </c>
      <c r="C176" s="1" t="n">
        <v>45844</v>
      </c>
      <c r="D176" t="inlineStr">
        <is>
          <t>DALARNAS LÄN</t>
        </is>
      </c>
      <c r="E176" t="inlineStr">
        <is>
          <t>LEKSAND</t>
        </is>
      </c>
      <c r="F176" t="inlineStr">
        <is>
          <t>Bergvik skog väst AB</t>
        </is>
      </c>
      <c r="G176" t="n">
        <v>3.9</v>
      </c>
      <c r="H176" t="n">
        <v>0</v>
      </c>
      <c r="I176" t="n">
        <v>0</v>
      </c>
      <c r="J176" t="n">
        <v>0</v>
      </c>
      <c r="K176" t="n">
        <v>0</v>
      </c>
      <c r="L176" t="n">
        <v>0</v>
      </c>
      <c r="M176" t="n">
        <v>0</v>
      </c>
      <c r="N176" t="n">
        <v>0</v>
      </c>
      <c r="O176" t="n">
        <v>0</v>
      </c>
      <c r="P176" t="n">
        <v>0</v>
      </c>
      <c r="Q176" t="n">
        <v>0</v>
      </c>
      <c r="R176" s="2" t="inlineStr"/>
    </row>
    <row r="177" ht="15" customHeight="1">
      <c r="A177" t="inlineStr">
        <is>
          <t>A 63481-2020</t>
        </is>
      </c>
      <c r="B177" s="1" t="n">
        <v>44161</v>
      </c>
      <c r="C177" s="1" t="n">
        <v>45844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64109-2020</t>
        </is>
      </c>
      <c r="B178" s="1" t="n">
        <v>44167</v>
      </c>
      <c r="C178" s="1" t="n">
        <v>45844</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64449-2020</t>
        </is>
      </c>
      <c r="B179" s="1" t="n">
        <v>44168</v>
      </c>
      <c r="C179" s="1" t="n">
        <v>45844</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64876-2020</t>
        </is>
      </c>
      <c r="B180" s="1" t="n">
        <v>44171</v>
      </c>
      <c r="C180" s="1" t="n">
        <v>45844</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65058-2020</t>
        </is>
      </c>
      <c r="B181" s="1" t="n">
        <v>44172</v>
      </c>
      <c r="C181" s="1" t="n">
        <v>45844</v>
      </c>
      <c r="D181" t="inlineStr">
        <is>
          <t>DALARNAS LÄN</t>
        </is>
      </c>
      <c r="E181" t="inlineStr">
        <is>
          <t>LEKSAND</t>
        </is>
      </c>
      <c r="G181" t="n">
        <v>1</v>
      </c>
      <c r="H181" t="n">
        <v>0</v>
      </c>
      <c r="I181" t="n">
        <v>0</v>
      </c>
      <c r="J181" t="n">
        <v>0</v>
      </c>
      <c r="K181" t="n">
        <v>0</v>
      </c>
      <c r="L181" t="n">
        <v>0</v>
      </c>
      <c r="M181" t="n">
        <v>0</v>
      </c>
      <c r="N181" t="n">
        <v>0</v>
      </c>
      <c r="O181" t="n">
        <v>0</v>
      </c>
      <c r="P181" t="n">
        <v>0</v>
      </c>
      <c r="Q181" t="n">
        <v>0</v>
      </c>
      <c r="R181" s="2" t="inlineStr"/>
    </row>
    <row r="182" ht="15" customHeight="1">
      <c r="A182" t="inlineStr">
        <is>
          <t>A 66169-2020</t>
        </is>
      </c>
      <c r="B182" s="1" t="n">
        <v>44174</v>
      </c>
      <c r="C182" s="1" t="n">
        <v>45844</v>
      </c>
      <c r="D182" t="inlineStr">
        <is>
          <t>DALARNAS LÄN</t>
        </is>
      </c>
      <c r="E182" t="inlineStr">
        <is>
          <t>LEKSAND</t>
        </is>
      </c>
      <c r="G182" t="n">
        <v>5.3</v>
      </c>
      <c r="H182" t="n">
        <v>0</v>
      </c>
      <c r="I182" t="n">
        <v>0</v>
      </c>
      <c r="J182" t="n">
        <v>0</v>
      </c>
      <c r="K182" t="n">
        <v>0</v>
      </c>
      <c r="L182" t="n">
        <v>0</v>
      </c>
      <c r="M182" t="n">
        <v>0</v>
      </c>
      <c r="N182" t="n">
        <v>0</v>
      </c>
      <c r="O182" t="n">
        <v>0</v>
      </c>
      <c r="P182" t="n">
        <v>0</v>
      </c>
      <c r="Q182" t="n">
        <v>0</v>
      </c>
      <c r="R182" s="2" t="inlineStr"/>
    </row>
    <row r="183" ht="15" customHeight="1">
      <c r="A183" t="inlineStr">
        <is>
          <t>A 67100-2020</t>
        </is>
      </c>
      <c r="B183" s="1" t="n">
        <v>44179</v>
      </c>
      <c r="C183" s="1" t="n">
        <v>45844</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67307-2020</t>
        </is>
      </c>
      <c r="B184" s="1" t="n">
        <v>44181</v>
      </c>
      <c r="C184" s="1" t="n">
        <v>45844</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68058-2020</t>
        </is>
      </c>
      <c r="B185" s="1" t="n">
        <v>44183</v>
      </c>
      <c r="C185" s="1" t="n">
        <v>45844</v>
      </c>
      <c r="D185" t="inlineStr">
        <is>
          <t>DALARNAS LÄN</t>
        </is>
      </c>
      <c r="E185" t="inlineStr">
        <is>
          <t>LEKSAND</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776-2021</t>
        </is>
      </c>
      <c r="B186" s="1" t="n">
        <v>44203</v>
      </c>
      <c r="C186" s="1" t="n">
        <v>45844</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1078-2021</t>
        </is>
      </c>
      <c r="B187" s="1" t="n">
        <v>44207</v>
      </c>
      <c r="C187" s="1" t="n">
        <v>45844</v>
      </c>
      <c r="D187" t="inlineStr">
        <is>
          <t>DALARNAS LÄN</t>
        </is>
      </c>
      <c r="E187" t="inlineStr">
        <is>
          <t>LEKSAND</t>
        </is>
      </c>
      <c r="G187" t="n">
        <v>4.9</v>
      </c>
      <c r="H187" t="n">
        <v>0</v>
      </c>
      <c r="I187" t="n">
        <v>0</v>
      </c>
      <c r="J187" t="n">
        <v>0</v>
      </c>
      <c r="K187" t="n">
        <v>0</v>
      </c>
      <c r="L187" t="n">
        <v>0</v>
      </c>
      <c r="M187" t="n">
        <v>0</v>
      </c>
      <c r="N187" t="n">
        <v>0</v>
      </c>
      <c r="O187" t="n">
        <v>0</v>
      </c>
      <c r="P187" t="n">
        <v>0</v>
      </c>
      <c r="Q187" t="n">
        <v>0</v>
      </c>
      <c r="R187" s="2" t="inlineStr"/>
    </row>
    <row r="188" ht="15" customHeight="1">
      <c r="A188" t="inlineStr">
        <is>
          <t>A 2311-2021</t>
        </is>
      </c>
      <c r="B188" s="1" t="n">
        <v>44213</v>
      </c>
      <c r="C188" s="1" t="n">
        <v>45844</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9131-2021</t>
        </is>
      </c>
      <c r="B189" s="1" t="n">
        <v>44249</v>
      </c>
      <c r="C189" s="1" t="n">
        <v>45844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9133-2021</t>
        </is>
      </c>
      <c r="B190" s="1" t="n">
        <v>44249</v>
      </c>
      <c r="C190" s="1" t="n">
        <v>45844</v>
      </c>
      <c r="D190" t="inlineStr">
        <is>
          <t>DALARNAS LÄN</t>
        </is>
      </c>
      <c r="E190" t="inlineStr">
        <is>
          <t>LEKSAND</t>
        </is>
      </c>
      <c r="G190" t="n">
        <v>2.5</v>
      </c>
      <c r="H190" t="n">
        <v>0</v>
      </c>
      <c r="I190" t="n">
        <v>0</v>
      </c>
      <c r="J190" t="n">
        <v>0</v>
      </c>
      <c r="K190" t="n">
        <v>0</v>
      </c>
      <c r="L190" t="n">
        <v>0</v>
      </c>
      <c r="M190" t="n">
        <v>0</v>
      </c>
      <c r="N190" t="n">
        <v>0</v>
      </c>
      <c r="O190" t="n">
        <v>0</v>
      </c>
      <c r="P190" t="n">
        <v>0</v>
      </c>
      <c r="Q190" t="n">
        <v>0</v>
      </c>
      <c r="R190" s="2" t="inlineStr"/>
    </row>
    <row r="191" ht="15" customHeight="1">
      <c r="A191" t="inlineStr">
        <is>
          <t>A 13705-2021</t>
        </is>
      </c>
      <c r="B191" s="1" t="n">
        <v>44274</v>
      </c>
      <c r="C191" s="1" t="n">
        <v>45844</v>
      </c>
      <c r="D191" t="inlineStr">
        <is>
          <t>DALARNAS LÄN</t>
        </is>
      </c>
      <c r="E191" t="inlineStr">
        <is>
          <t>LEKSAND</t>
        </is>
      </c>
      <c r="G191" t="n">
        <v>3.8</v>
      </c>
      <c r="H191" t="n">
        <v>0</v>
      </c>
      <c r="I191" t="n">
        <v>0</v>
      </c>
      <c r="J191" t="n">
        <v>0</v>
      </c>
      <c r="K191" t="n">
        <v>0</v>
      </c>
      <c r="L191" t="n">
        <v>0</v>
      </c>
      <c r="M191" t="n">
        <v>0</v>
      </c>
      <c r="N191" t="n">
        <v>0</v>
      </c>
      <c r="O191" t="n">
        <v>0</v>
      </c>
      <c r="P191" t="n">
        <v>0</v>
      </c>
      <c r="Q191" t="n">
        <v>0</v>
      </c>
      <c r="R191" s="2" t="inlineStr"/>
    </row>
    <row r="192" ht="15" customHeight="1">
      <c r="A192" t="inlineStr">
        <is>
          <t>A 16231-2021</t>
        </is>
      </c>
      <c r="B192" s="1" t="n">
        <v>44292</v>
      </c>
      <c r="C192" s="1" t="n">
        <v>45844</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17615-2021</t>
        </is>
      </c>
      <c r="B193" s="1" t="n">
        <v>44299</v>
      </c>
      <c r="C193" s="1" t="n">
        <v>45844</v>
      </c>
      <c r="D193" t="inlineStr">
        <is>
          <t>DALARNAS LÄN</t>
        </is>
      </c>
      <c r="E193" t="inlineStr">
        <is>
          <t>LEKSAND</t>
        </is>
      </c>
      <c r="G193" t="n">
        <v>0.6</v>
      </c>
      <c r="H193" t="n">
        <v>0</v>
      </c>
      <c r="I193" t="n">
        <v>0</v>
      </c>
      <c r="J193" t="n">
        <v>0</v>
      </c>
      <c r="K193" t="n">
        <v>0</v>
      </c>
      <c r="L193" t="n">
        <v>0</v>
      </c>
      <c r="M193" t="n">
        <v>0</v>
      </c>
      <c r="N193" t="n">
        <v>0</v>
      </c>
      <c r="O193" t="n">
        <v>0</v>
      </c>
      <c r="P193" t="n">
        <v>0</v>
      </c>
      <c r="Q193" t="n">
        <v>0</v>
      </c>
      <c r="R193" s="2" t="inlineStr"/>
    </row>
    <row r="194" ht="15" customHeight="1">
      <c r="A194" t="inlineStr">
        <is>
          <t>A 18267-2021</t>
        </is>
      </c>
      <c r="B194" s="1" t="n">
        <v>44305</v>
      </c>
      <c r="C194" s="1" t="n">
        <v>45844</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18706-2021</t>
        </is>
      </c>
      <c r="B195" s="1" t="n">
        <v>44307</v>
      </c>
      <c r="C195" s="1" t="n">
        <v>45844</v>
      </c>
      <c r="D195" t="inlineStr">
        <is>
          <t>DALARNAS LÄN</t>
        </is>
      </c>
      <c r="E195" t="inlineStr">
        <is>
          <t>LEKSAND</t>
        </is>
      </c>
      <c r="G195" t="n">
        <v>3.4</v>
      </c>
      <c r="H195" t="n">
        <v>0</v>
      </c>
      <c r="I195" t="n">
        <v>0</v>
      </c>
      <c r="J195" t="n">
        <v>0</v>
      </c>
      <c r="K195" t="n">
        <v>0</v>
      </c>
      <c r="L195" t="n">
        <v>0</v>
      </c>
      <c r="M195" t="n">
        <v>0</v>
      </c>
      <c r="N195" t="n">
        <v>0</v>
      </c>
      <c r="O195" t="n">
        <v>0</v>
      </c>
      <c r="P195" t="n">
        <v>0</v>
      </c>
      <c r="Q195" t="n">
        <v>0</v>
      </c>
      <c r="R195" s="2" t="inlineStr"/>
    </row>
    <row r="196" ht="15" customHeight="1">
      <c r="A196" t="inlineStr">
        <is>
          <t>A 19677-2021</t>
        </is>
      </c>
      <c r="B196" s="1" t="n">
        <v>44312</v>
      </c>
      <c r="C196" s="1" t="n">
        <v>45844</v>
      </c>
      <c r="D196" t="inlineStr">
        <is>
          <t>DALARNAS LÄN</t>
        </is>
      </c>
      <c r="E196" t="inlineStr">
        <is>
          <t>LEKSAND</t>
        </is>
      </c>
      <c r="F196" t="inlineStr">
        <is>
          <t>Bergvik skog väst AB</t>
        </is>
      </c>
      <c r="G196" t="n">
        <v>3.1</v>
      </c>
      <c r="H196" t="n">
        <v>0</v>
      </c>
      <c r="I196" t="n">
        <v>0</v>
      </c>
      <c r="J196" t="n">
        <v>0</v>
      </c>
      <c r="K196" t="n">
        <v>0</v>
      </c>
      <c r="L196" t="n">
        <v>0</v>
      </c>
      <c r="M196" t="n">
        <v>0</v>
      </c>
      <c r="N196" t="n">
        <v>0</v>
      </c>
      <c r="O196" t="n">
        <v>0</v>
      </c>
      <c r="P196" t="n">
        <v>0</v>
      </c>
      <c r="Q196" t="n">
        <v>0</v>
      </c>
      <c r="R196" s="2" t="inlineStr"/>
    </row>
    <row r="197" ht="15" customHeight="1">
      <c r="A197" t="inlineStr">
        <is>
          <t>A 21132-2021</t>
        </is>
      </c>
      <c r="B197" s="1" t="n">
        <v>44319</v>
      </c>
      <c r="C197" s="1" t="n">
        <v>45844</v>
      </c>
      <c r="D197" t="inlineStr">
        <is>
          <t>DALARNAS LÄN</t>
        </is>
      </c>
      <c r="E197" t="inlineStr">
        <is>
          <t>LEKSAND</t>
        </is>
      </c>
      <c r="G197" t="n">
        <v>6.8</v>
      </c>
      <c r="H197" t="n">
        <v>0</v>
      </c>
      <c r="I197" t="n">
        <v>0</v>
      </c>
      <c r="J197" t="n">
        <v>0</v>
      </c>
      <c r="K197" t="n">
        <v>0</v>
      </c>
      <c r="L197" t="n">
        <v>0</v>
      </c>
      <c r="M197" t="n">
        <v>0</v>
      </c>
      <c r="N197" t="n">
        <v>0</v>
      </c>
      <c r="O197" t="n">
        <v>0</v>
      </c>
      <c r="P197" t="n">
        <v>0</v>
      </c>
      <c r="Q197" t="n">
        <v>0</v>
      </c>
      <c r="R197" s="2" t="inlineStr"/>
    </row>
    <row r="198" ht="15" customHeight="1">
      <c r="A198" t="inlineStr">
        <is>
          <t>A 21968-2021</t>
        </is>
      </c>
      <c r="B198" s="1" t="n">
        <v>44323</v>
      </c>
      <c r="C198" s="1" t="n">
        <v>45844</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21969-2021</t>
        </is>
      </c>
      <c r="B199" s="1" t="n">
        <v>44323</v>
      </c>
      <c r="C199" s="1" t="n">
        <v>45844</v>
      </c>
      <c r="D199" t="inlineStr">
        <is>
          <t>DALARNAS LÄN</t>
        </is>
      </c>
      <c r="E199" t="inlineStr">
        <is>
          <t>LEKSAND</t>
        </is>
      </c>
      <c r="G199" t="n">
        <v>3.8</v>
      </c>
      <c r="H199" t="n">
        <v>0</v>
      </c>
      <c r="I199" t="n">
        <v>0</v>
      </c>
      <c r="J199" t="n">
        <v>0</v>
      </c>
      <c r="K199" t="n">
        <v>0</v>
      </c>
      <c r="L199" t="n">
        <v>0</v>
      </c>
      <c r="M199" t="n">
        <v>0</v>
      </c>
      <c r="N199" t="n">
        <v>0</v>
      </c>
      <c r="O199" t="n">
        <v>0</v>
      </c>
      <c r="P199" t="n">
        <v>0</v>
      </c>
      <c r="Q199" t="n">
        <v>0</v>
      </c>
      <c r="R199" s="2" t="inlineStr"/>
    </row>
    <row r="200" ht="15" customHeight="1">
      <c r="A200" t="inlineStr">
        <is>
          <t>A 21965-2021</t>
        </is>
      </c>
      <c r="B200" s="1" t="n">
        <v>44323</v>
      </c>
      <c r="C200" s="1" t="n">
        <v>45844</v>
      </c>
      <c r="D200" t="inlineStr">
        <is>
          <t>DALARNAS LÄN</t>
        </is>
      </c>
      <c r="E200" t="inlineStr">
        <is>
          <t>LEKSAND</t>
        </is>
      </c>
      <c r="G200" t="n">
        <v>0.5</v>
      </c>
      <c r="H200" t="n">
        <v>0</v>
      </c>
      <c r="I200" t="n">
        <v>0</v>
      </c>
      <c r="J200" t="n">
        <v>0</v>
      </c>
      <c r="K200" t="n">
        <v>0</v>
      </c>
      <c r="L200" t="n">
        <v>0</v>
      </c>
      <c r="M200" t="n">
        <v>0</v>
      </c>
      <c r="N200" t="n">
        <v>0</v>
      </c>
      <c r="O200" t="n">
        <v>0</v>
      </c>
      <c r="P200" t="n">
        <v>0</v>
      </c>
      <c r="Q200" t="n">
        <v>0</v>
      </c>
      <c r="R200" s="2" t="inlineStr"/>
    </row>
    <row r="201" ht="15" customHeight="1">
      <c r="A201" t="inlineStr">
        <is>
          <t>A 22431-2021</t>
        </is>
      </c>
      <c r="B201" s="1" t="n">
        <v>44326</v>
      </c>
      <c r="C201" s="1" t="n">
        <v>45844</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22684-2021</t>
        </is>
      </c>
      <c r="B202" s="1" t="n">
        <v>44327</v>
      </c>
      <c r="C202" s="1" t="n">
        <v>45844</v>
      </c>
      <c r="D202" t="inlineStr">
        <is>
          <t>DALARNAS LÄN</t>
        </is>
      </c>
      <c r="E202" t="inlineStr">
        <is>
          <t>LEKSAND</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22999-2021</t>
        </is>
      </c>
      <c r="B203" s="1" t="n">
        <v>44328</v>
      </c>
      <c r="C203" s="1" t="n">
        <v>45844</v>
      </c>
      <c r="D203" t="inlineStr">
        <is>
          <t>DALARNAS LÄN</t>
        </is>
      </c>
      <c r="E203" t="inlineStr">
        <is>
          <t>LEKSAND</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23824-2021</t>
        </is>
      </c>
      <c r="B204" s="1" t="n">
        <v>44335</v>
      </c>
      <c r="C204" s="1" t="n">
        <v>45844</v>
      </c>
      <c r="D204" t="inlineStr">
        <is>
          <t>DALARNAS LÄN</t>
        </is>
      </c>
      <c r="E204" t="inlineStr">
        <is>
          <t>LEKSAND</t>
        </is>
      </c>
      <c r="G204" t="n">
        <v>0.9</v>
      </c>
      <c r="H204" t="n">
        <v>0</v>
      </c>
      <c r="I204" t="n">
        <v>0</v>
      </c>
      <c r="J204" t="n">
        <v>0</v>
      </c>
      <c r="K204" t="n">
        <v>0</v>
      </c>
      <c r="L204" t="n">
        <v>0</v>
      </c>
      <c r="M204" t="n">
        <v>0</v>
      </c>
      <c r="N204" t="n">
        <v>0</v>
      </c>
      <c r="O204" t="n">
        <v>0</v>
      </c>
      <c r="P204" t="n">
        <v>0</v>
      </c>
      <c r="Q204" t="n">
        <v>0</v>
      </c>
      <c r="R204" s="2" t="inlineStr"/>
    </row>
    <row r="205" ht="15" customHeight="1">
      <c r="A205" t="inlineStr">
        <is>
          <t>A 24142-2021</t>
        </is>
      </c>
      <c r="B205" s="1" t="n">
        <v>44336</v>
      </c>
      <c r="C205" s="1" t="n">
        <v>45844</v>
      </c>
      <c r="D205" t="inlineStr">
        <is>
          <t>DALARNAS LÄN</t>
        </is>
      </c>
      <c r="E205" t="inlineStr">
        <is>
          <t>LEKSAND</t>
        </is>
      </c>
      <c r="F205" t="inlineStr">
        <is>
          <t>Bergvik skog väst AB</t>
        </is>
      </c>
      <c r="G205" t="n">
        <v>18.9</v>
      </c>
      <c r="H205" t="n">
        <v>0</v>
      </c>
      <c r="I205" t="n">
        <v>0</v>
      </c>
      <c r="J205" t="n">
        <v>0</v>
      </c>
      <c r="K205" t="n">
        <v>0</v>
      </c>
      <c r="L205" t="n">
        <v>0</v>
      </c>
      <c r="M205" t="n">
        <v>0</v>
      </c>
      <c r="N205" t="n">
        <v>0</v>
      </c>
      <c r="O205" t="n">
        <v>0</v>
      </c>
      <c r="P205" t="n">
        <v>0</v>
      </c>
      <c r="Q205" t="n">
        <v>0</v>
      </c>
      <c r="R205" s="2" t="inlineStr"/>
    </row>
    <row r="206" ht="15" customHeight="1">
      <c r="A206" t="inlineStr">
        <is>
          <t>A 24479-2021</t>
        </is>
      </c>
      <c r="B206" s="1" t="n">
        <v>44337</v>
      </c>
      <c r="C206" s="1" t="n">
        <v>45844</v>
      </c>
      <c r="D206" t="inlineStr">
        <is>
          <t>DALARNAS LÄN</t>
        </is>
      </c>
      <c r="E206" t="inlineStr">
        <is>
          <t>LEKSAND</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26738-2021</t>
        </is>
      </c>
      <c r="B207" s="1" t="n">
        <v>44349</v>
      </c>
      <c r="C207" s="1" t="n">
        <v>45844</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27154-2021</t>
        </is>
      </c>
      <c r="B208" s="1" t="n">
        <v>44350</v>
      </c>
      <c r="C208" s="1" t="n">
        <v>45844</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27317-2021</t>
        </is>
      </c>
      <c r="B209" s="1" t="n">
        <v>44351</v>
      </c>
      <c r="C209" s="1" t="n">
        <v>45844</v>
      </c>
      <c r="D209" t="inlineStr">
        <is>
          <t>DALARNAS LÄN</t>
        </is>
      </c>
      <c r="E209" t="inlineStr">
        <is>
          <t>LEKSAND</t>
        </is>
      </c>
      <c r="G209" t="n">
        <v>1</v>
      </c>
      <c r="H209" t="n">
        <v>0</v>
      </c>
      <c r="I209" t="n">
        <v>0</v>
      </c>
      <c r="J209" t="n">
        <v>0</v>
      </c>
      <c r="K209" t="n">
        <v>0</v>
      </c>
      <c r="L209" t="n">
        <v>0</v>
      </c>
      <c r="M209" t="n">
        <v>0</v>
      </c>
      <c r="N209" t="n">
        <v>0</v>
      </c>
      <c r="O209" t="n">
        <v>0</v>
      </c>
      <c r="P209" t="n">
        <v>0</v>
      </c>
      <c r="Q209" t="n">
        <v>0</v>
      </c>
      <c r="R209" s="2" t="inlineStr"/>
    </row>
    <row r="210" ht="15" customHeight="1">
      <c r="A210" t="inlineStr">
        <is>
          <t>A 32152-2021</t>
        </is>
      </c>
      <c r="B210" s="1" t="n">
        <v>44371</v>
      </c>
      <c r="C210" s="1" t="n">
        <v>45844</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32635-2021</t>
        </is>
      </c>
      <c r="B211" s="1" t="n">
        <v>44374</v>
      </c>
      <c r="C211" s="1" t="n">
        <v>45844</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33072-2021</t>
        </is>
      </c>
      <c r="B212" s="1" t="n">
        <v>44375</v>
      </c>
      <c r="C212" s="1" t="n">
        <v>45844</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33170-2021</t>
        </is>
      </c>
      <c r="B213" s="1" t="n">
        <v>44376</v>
      </c>
      <c r="C213" s="1" t="n">
        <v>45844</v>
      </c>
      <c r="D213" t="inlineStr">
        <is>
          <t>DALARNAS LÄN</t>
        </is>
      </c>
      <c r="E213" t="inlineStr">
        <is>
          <t>LEKSAND</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34869-2021</t>
        </is>
      </c>
      <c r="B214" s="1" t="n">
        <v>44383</v>
      </c>
      <c r="C214" s="1" t="n">
        <v>45844</v>
      </c>
      <c r="D214" t="inlineStr">
        <is>
          <t>DALARNAS LÄN</t>
        </is>
      </c>
      <c r="E214" t="inlineStr">
        <is>
          <t>LEKSAND</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34867-2021</t>
        </is>
      </c>
      <c r="B215" s="1" t="n">
        <v>44383</v>
      </c>
      <c r="C215" s="1" t="n">
        <v>45844</v>
      </c>
      <c r="D215" t="inlineStr">
        <is>
          <t>DALARNAS LÄN</t>
        </is>
      </c>
      <c r="E215" t="inlineStr">
        <is>
          <t>LEKSAND</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34911-2021</t>
        </is>
      </c>
      <c r="B216" s="1" t="n">
        <v>44383</v>
      </c>
      <c r="C216" s="1" t="n">
        <v>45844</v>
      </c>
      <c r="D216" t="inlineStr">
        <is>
          <t>DALARNAS LÄN</t>
        </is>
      </c>
      <c r="E216" t="inlineStr">
        <is>
          <t>LEKSAND</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36438-2021</t>
        </is>
      </c>
      <c r="B217" s="1" t="n">
        <v>44390</v>
      </c>
      <c r="C217" s="1" t="n">
        <v>45844</v>
      </c>
      <c r="D217" t="inlineStr">
        <is>
          <t>DALARNAS LÄN</t>
        </is>
      </c>
      <c r="E217" t="inlineStr">
        <is>
          <t>LEKSAND</t>
        </is>
      </c>
      <c r="G217" t="n">
        <v>5</v>
      </c>
      <c r="H217" t="n">
        <v>0</v>
      </c>
      <c r="I217" t="n">
        <v>0</v>
      </c>
      <c r="J217" t="n">
        <v>0</v>
      </c>
      <c r="K217" t="n">
        <v>0</v>
      </c>
      <c r="L217" t="n">
        <v>0</v>
      </c>
      <c r="M217" t="n">
        <v>0</v>
      </c>
      <c r="N217" t="n">
        <v>0</v>
      </c>
      <c r="O217" t="n">
        <v>0</v>
      </c>
      <c r="P217" t="n">
        <v>0</v>
      </c>
      <c r="Q217" t="n">
        <v>0</v>
      </c>
      <c r="R217" s="2" t="inlineStr"/>
    </row>
    <row r="218" ht="15" customHeight="1">
      <c r="A218" t="inlineStr">
        <is>
          <t>A 36956-2021</t>
        </is>
      </c>
      <c r="B218" s="1" t="n">
        <v>44393</v>
      </c>
      <c r="C218" s="1" t="n">
        <v>45844</v>
      </c>
      <c r="D218" t="inlineStr">
        <is>
          <t>DALARNAS LÄN</t>
        </is>
      </c>
      <c r="E218" t="inlineStr">
        <is>
          <t>LEKSAND</t>
        </is>
      </c>
      <c r="G218" t="n">
        <v>4.1</v>
      </c>
      <c r="H218" t="n">
        <v>0</v>
      </c>
      <c r="I218" t="n">
        <v>0</v>
      </c>
      <c r="J218" t="n">
        <v>0</v>
      </c>
      <c r="K218" t="n">
        <v>0</v>
      </c>
      <c r="L218" t="n">
        <v>0</v>
      </c>
      <c r="M218" t="n">
        <v>0</v>
      </c>
      <c r="N218" t="n">
        <v>0</v>
      </c>
      <c r="O218" t="n">
        <v>0</v>
      </c>
      <c r="P218" t="n">
        <v>0</v>
      </c>
      <c r="Q218" t="n">
        <v>0</v>
      </c>
      <c r="R218" s="2" t="inlineStr"/>
    </row>
    <row r="219" ht="15" customHeight="1">
      <c r="A219" t="inlineStr">
        <is>
          <t>A 37073-2021</t>
        </is>
      </c>
      <c r="B219" s="1" t="n">
        <v>44394</v>
      </c>
      <c r="C219" s="1" t="n">
        <v>45844</v>
      </c>
      <c r="D219" t="inlineStr">
        <is>
          <t>DALARNAS LÄN</t>
        </is>
      </c>
      <c r="E219" t="inlineStr">
        <is>
          <t>LEKSAND</t>
        </is>
      </c>
      <c r="F219" t="inlineStr">
        <is>
          <t>Bergvik skog väst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37283-2021</t>
        </is>
      </c>
      <c r="B220" s="1" t="n">
        <v>44397</v>
      </c>
      <c r="C220" s="1" t="n">
        <v>45844</v>
      </c>
      <c r="D220" t="inlineStr">
        <is>
          <t>DALARNAS LÄN</t>
        </is>
      </c>
      <c r="E220" t="inlineStr">
        <is>
          <t>LEKSAND</t>
        </is>
      </c>
      <c r="G220" t="n">
        <v>2.9</v>
      </c>
      <c r="H220" t="n">
        <v>0</v>
      </c>
      <c r="I220" t="n">
        <v>0</v>
      </c>
      <c r="J220" t="n">
        <v>0</v>
      </c>
      <c r="K220" t="n">
        <v>0</v>
      </c>
      <c r="L220" t="n">
        <v>0</v>
      </c>
      <c r="M220" t="n">
        <v>0</v>
      </c>
      <c r="N220" t="n">
        <v>0</v>
      </c>
      <c r="O220" t="n">
        <v>0</v>
      </c>
      <c r="P220" t="n">
        <v>0</v>
      </c>
      <c r="Q220" t="n">
        <v>0</v>
      </c>
      <c r="R220" s="2" t="inlineStr"/>
    </row>
    <row r="221" ht="15" customHeight="1">
      <c r="A221" t="inlineStr">
        <is>
          <t>A 37531-2021</t>
        </is>
      </c>
      <c r="B221" s="1" t="n">
        <v>44399</v>
      </c>
      <c r="C221" s="1" t="n">
        <v>45844</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38192-2021</t>
        </is>
      </c>
      <c r="B222" s="1" t="n">
        <v>44405</v>
      </c>
      <c r="C222" s="1" t="n">
        <v>45844</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38619-2021</t>
        </is>
      </c>
      <c r="B223" s="1" t="n">
        <v>44409</v>
      </c>
      <c r="C223" s="1" t="n">
        <v>45844</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39203-2021</t>
        </is>
      </c>
      <c r="B224" s="1" t="n">
        <v>44413</v>
      </c>
      <c r="C224" s="1" t="n">
        <v>45844</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40584-2021</t>
        </is>
      </c>
      <c r="B225" s="1" t="n">
        <v>44420</v>
      </c>
      <c r="C225" s="1" t="n">
        <v>45844</v>
      </c>
      <c r="D225" t="inlineStr">
        <is>
          <t>DALARNAS LÄN</t>
        </is>
      </c>
      <c r="E225" t="inlineStr">
        <is>
          <t>LEKSAND</t>
        </is>
      </c>
      <c r="G225" t="n">
        <v>6</v>
      </c>
      <c r="H225" t="n">
        <v>0</v>
      </c>
      <c r="I225" t="n">
        <v>0</v>
      </c>
      <c r="J225" t="n">
        <v>0</v>
      </c>
      <c r="K225" t="n">
        <v>0</v>
      </c>
      <c r="L225" t="n">
        <v>0</v>
      </c>
      <c r="M225" t="n">
        <v>0</v>
      </c>
      <c r="N225" t="n">
        <v>0</v>
      </c>
      <c r="O225" t="n">
        <v>0</v>
      </c>
      <c r="P225" t="n">
        <v>0</v>
      </c>
      <c r="Q225" t="n">
        <v>0</v>
      </c>
      <c r="R225" s="2" t="inlineStr"/>
    </row>
    <row r="226" ht="15" customHeight="1">
      <c r="A226" t="inlineStr">
        <is>
          <t>A 42952-2021</t>
        </is>
      </c>
      <c r="B226" s="1" t="n">
        <v>44431</v>
      </c>
      <c r="C226" s="1" t="n">
        <v>45844</v>
      </c>
      <c r="D226" t="inlineStr">
        <is>
          <t>DALARNAS LÄN</t>
        </is>
      </c>
      <c r="E226" t="inlineStr">
        <is>
          <t>LEKSAND</t>
        </is>
      </c>
      <c r="G226" t="n">
        <v>5.4</v>
      </c>
      <c r="H226" t="n">
        <v>0</v>
      </c>
      <c r="I226" t="n">
        <v>0</v>
      </c>
      <c r="J226" t="n">
        <v>0</v>
      </c>
      <c r="K226" t="n">
        <v>0</v>
      </c>
      <c r="L226" t="n">
        <v>0</v>
      </c>
      <c r="M226" t="n">
        <v>0</v>
      </c>
      <c r="N226" t="n">
        <v>0</v>
      </c>
      <c r="O226" t="n">
        <v>0</v>
      </c>
      <c r="P226" t="n">
        <v>0</v>
      </c>
      <c r="Q226" t="n">
        <v>0</v>
      </c>
      <c r="R226" s="2" t="inlineStr"/>
    </row>
    <row r="227" ht="15" customHeight="1">
      <c r="A227" t="inlineStr">
        <is>
          <t>A 43410-2021</t>
        </is>
      </c>
      <c r="B227" s="1" t="n">
        <v>44432</v>
      </c>
      <c r="C227" s="1" t="n">
        <v>45844</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44922-2021</t>
        </is>
      </c>
      <c r="B228" s="1" t="n">
        <v>44438</v>
      </c>
      <c r="C228" s="1" t="n">
        <v>45844</v>
      </c>
      <c r="D228" t="inlineStr">
        <is>
          <t>DALARNAS LÄN</t>
        </is>
      </c>
      <c r="E228" t="inlineStr">
        <is>
          <t>LEKSAND</t>
        </is>
      </c>
      <c r="G228" t="n">
        <v>0.8</v>
      </c>
      <c r="H228" t="n">
        <v>0</v>
      </c>
      <c r="I228" t="n">
        <v>0</v>
      </c>
      <c r="J228" t="n">
        <v>0</v>
      </c>
      <c r="K228" t="n">
        <v>0</v>
      </c>
      <c r="L228" t="n">
        <v>0</v>
      </c>
      <c r="M228" t="n">
        <v>0</v>
      </c>
      <c r="N228" t="n">
        <v>0</v>
      </c>
      <c r="O228" t="n">
        <v>0</v>
      </c>
      <c r="P228" t="n">
        <v>0</v>
      </c>
      <c r="Q228" t="n">
        <v>0</v>
      </c>
      <c r="R228" s="2" t="inlineStr"/>
    </row>
    <row r="229" ht="15" customHeight="1">
      <c r="A229" t="inlineStr">
        <is>
          <t>A 45155-2021</t>
        </is>
      </c>
      <c r="B229" s="1" t="n">
        <v>44439</v>
      </c>
      <c r="C229" s="1" t="n">
        <v>45844</v>
      </c>
      <c r="D229" t="inlineStr">
        <is>
          <t>DALARNAS LÄN</t>
        </is>
      </c>
      <c r="E229" t="inlineStr">
        <is>
          <t>LEKSAND</t>
        </is>
      </c>
      <c r="G229" t="n">
        <v>0.6</v>
      </c>
      <c r="H229" t="n">
        <v>0</v>
      </c>
      <c r="I229" t="n">
        <v>0</v>
      </c>
      <c r="J229" t="n">
        <v>0</v>
      </c>
      <c r="K229" t="n">
        <v>0</v>
      </c>
      <c r="L229" t="n">
        <v>0</v>
      </c>
      <c r="M229" t="n">
        <v>0</v>
      </c>
      <c r="N229" t="n">
        <v>0</v>
      </c>
      <c r="O229" t="n">
        <v>0</v>
      </c>
      <c r="P229" t="n">
        <v>0</v>
      </c>
      <c r="Q229" t="n">
        <v>0</v>
      </c>
      <c r="R229" s="2" t="inlineStr"/>
    </row>
    <row r="230" ht="15" customHeight="1">
      <c r="A230" t="inlineStr">
        <is>
          <t>A 45788-2021</t>
        </is>
      </c>
      <c r="B230" s="1" t="n">
        <v>44441</v>
      </c>
      <c r="C230" s="1" t="n">
        <v>45844</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47121-2021</t>
        </is>
      </c>
      <c r="B231" s="1" t="n">
        <v>44446</v>
      </c>
      <c r="C231" s="1" t="n">
        <v>45844</v>
      </c>
      <c r="D231" t="inlineStr">
        <is>
          <t>DALARNAS LÄN</t>
        </is>
      </c>
      <c r="E231" t="inlineStr">
        <is>
          <t>LEKSAND</t>
        </is>
      </c>
      <c r="G231" t="n">
        <v>3.5</v>
      </c>
      <c r="H231" t="n">
        <v>0</v>
      </c>
      <c r="I231" t="n">
        <v>0</v>
      </c>
      <c r="J231" t="n">
        <v>0</v>
      </c>
      <c r="K231" t="n">
        <v>0</v>
      </c>
      <c r="L231" t="n">
        <v>0</v>
      </c>
      <c r="M231" t="n">
        <v>0</v>
      </c>
      <c r="N231" t="n">
        <v>0</v>
      </c>
      <c r="O231" t="n">
        <v>0</v>
      </c>
      <c r="P231" t="n">
        <v>0</v>
      </c>
      <c r="Q231" t="n">
        <v>0</v>
      </c>
      <c r="R231" s="2" t="inlineStr"/>
    </row>
    <row r="232" ht="15" customHeight="1">
      <c r="A232" t="inlineStr">
        <is>
          <t>A 48949-2021</t>
        </is>
      </c>
      <c r="B232" s="1" t="n">
        <v>44453</v>
      </c>
      <c r="C232" s="1" t="n">
        <v>45844</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53625-2021</t>
        </is>
      </c>
      <c r="B233" s="1" t="n">
        <v>44469</v>
      </c>
      <c r="C233" s="1" t="n">
        <v>45844</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56153-2021</t>
        </is>
      </c>
      <c r="B234" s="1" t="n">
        <v>44477</v>
      </c>
      <c r="C234" s="1" t="n">
        <v>45844</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58569-2021</t>
        </is>
      </c>
      <c r="B235" s="1" t="n">
        <v>44488</v>
      </c>
      <c r="C235" s="1" t="n">
        <v>45844</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59422-2021</t>
        </is>
      </c>
      <c r="B236" s="1" t="n">
        <v>44491</v>
      </c>
      <c r="C236" s="1" t="n">
        <v>45844</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61546-2021</t>
        </is>
      </c>
      <c r="B237" s="1" t="n">
        <v>44501</v>
      </c>
      <c r="C237" s="1" t="n">
        <v>45844</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61669-2021</t>
        </is>
      </c>
      <c r="B238" s="1" t="n">
        <v>44501</v>
      </c>
      <c r="C238" s="1" t="n">
        <v>45844</v>
      </c>
      <c r="D238" t="inlineStr">
        <is>
          <t>DALARNAS LÄN</t>
        </is>
      </c>
      <c r="E238" t="inlineStr">
        <is>
          <t>LEKSAND</t>
        </is>
      </c>
      <c r="G238" t="n">
        <v>3.6</v>
      </c>
      <c r="H238" t="n">
        <v>0</v>
      </c>
      <c r="I238" t="n">
        <v>0</v>
      </c>
      <c r="J238" t="n">
        <v>0</v>
      </c>
      <c r="K238" t="n">
        <v>0</v>
      </c>
      <c r="L238" t="n">
        <v>0</v>
      </c>
      <c r="M238" t="n">
        <v>0</v>
      </c>
      <c r="N238" t="n">
        <v>0</v>
      </c>
      <c r="O238" t="n">
        <v>0</v>
      </c>
      <c r="P238" t="n">
        <v>0</v>
      </c>
      <c r="Q238" t="n">
        <v>0</v>
      </c>
      <c r="R238" s="2" t="inlineStr"/>
    </row>
    <row r="239" ht="15" customHeight="1">
      <c r="A239" t="inlineStr">
        <is>
          <t>A 61676-2021</t>
        </is>
      </c>
      <c r="B239" s="1" t="n">
        <v>44501</v>
      </c>
      <c r="C239" s="1" t="n">
        <v>45844</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62279-2021</t>
        </is>
      </c>
      <c r="B240" s="1" t="n">
        <v>44503</v>
      </c>
      <c r="C240" s="1" t="n">
        <v>45844</v>
      </c>
      <c r="D240" t="inlineStr">
        <is>
          <t>DALARNAS LÄN</t>
        </is>
      </c>
      <c r="E240" t="inlineStr">
        <is>
          <t>LEKSAND</t>
        </is>
      </c>
      <c r="G240" t="n">
        <v>1.8</v>
      </c>
      <c r="H240" t="n">
        <v>0</v>
      </c>
      <c r="I240" t="n">
        <v>0</v>
      </c>
      <c r="J240" t="n">
        <v>0</v>
      </c>
      <c r="K240" t="n">
        <v>0</v>
      </c>
      <c r="L240" t="n">
        <v>0</v>
      </c>
      <c r="M240" t="n">
        <v>0</v>
      </c>
      <c r="N240" t="n">
        <v>0</v>
      </c>
      <c r="O240" t="n">
        <v>0</v>
      </c>
      <c r="P240" t="n">
        <v>0</v>
      </c>
      <c r="Q240" t="n">
        <v>0</v>
      </c>
      <c r="R240" s="2" t="inlineStr"/>
    </row>
    <row r="241" ht="15" customHeight="1">
      <c r="A241" t="inlineStr">
        <is>
          <t>A 64718-2021</t>
        </is>
      </c>
      <c r="B241" s="1" t="n">
        <v>44512</v>
      </c>
      <c r="C241" s="1" t="n">
        <v>45844</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68573-2021</t>
        </is>
      </c>
      <c r="B242" s="1" t="n">
        <v>44529</v>
      </c>
      <c r="C242" s="1" t="n">
        <v>45844</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68617-2021</t>
        </is>
      </c>
      <c r="B243" s="1" t="n">
        <v>44529</v>
      </c>
      <c r="C243" s="1" t="n">
        <v>45844</v>
      </c>
      <c r="D243" t="inlineStr">
        <is>
          <t>DALARNAS LÄN</t>
        </is>
      </c>
      <c r="E243" t="inlineStr">
        <is>
          <t>LEKSAND</t>
        </is>
      </c>
      <c r="G243" t="n">
        <v>0.4</v>
      </c>
      <c r="H243" t="n">
        <v>0</v>
      </c>
      <c r="I243" t="n">
        <v>0</v>
      </c>
      <c r="J243" t="n">
        <v>0</v>
      </c>
      <c r="K243" t="n">
        <v>0</v>
      </c>
      <c r="L243" t="n">
        <v>0</v>
      </c>
      <c r="M243" t="n">
        <v>0</v>
      </c>
      <c r="N243" t="n">
        <v>0</v>
      </c>
      <c r="O243" t="n">
        <v>0</v>
      </c>
      <c r="P243" t="n">
        <v>0</v>
      </c>
      <c r="Q243" t="n">
        <v>0</v>
      </c>
      <c r="R243" s="2" t="inlineStr"/>
    </row>
    <row r="244" ht="15" customHeight="1">
      <c r="A244" t="inlineStr">
        <is>
          <t>A 69525-2021</t>
        </is>
      </c>
      <c r="B244" s="1" t="n">
        <v>44531</v>
      </c>
      <c r="C244" s="1" t="n">
        <v>45844</v>
      </c>
      <c r="D244" t="inlineStr">
        <is>
          <t>DALARNAS LÄN</t>
        </is>
      </c>
      <c r="E244" t="inlineStr">
        <is>
          <t>LEKSAND</t>
        </is>
      </c>
      <c r="G244" t="n">
        <v>2.9</v>
      </c>
      <c r="H244" t="n">
        <v>0</v>
      </c>
      <c r="I244" t="n">
        <v>0</v>
      </c>
      <c r="J244" t="n">
        <v>0</v>
      </c>
      <c r="K244" t="n">
        <v>0</v>
      </c>
      <c r="L244" t="n">
        <v>0</v>
      </c>
      <c r="M244" t="n">
        <v>0</v>
      </c>
      <c r="N244" t="n">
        <v>0</v>
      </c>
      <c r="O244" t="n">
        <v>0</v>
      </c>
      <c r="P244" t="n">
        <v>0</v>
      </c>
      <c r="Q244" t="n">
        <v>0</v>
      </c>
      <c r="R244" s="2" t="inlineStr"/>
    </row>
    <row r="245" ht="15" customHeight="1">
      <c r="A245" t="inlineStr">
        <is>
          <t>A 70098-2021</t>
        </is>
      </c>
      <c r="B245" s="1" t="n">
        <v>44533</v>
      </c>
      <c r="C245" s="1" t="n">
        <v>45844</v>
      </c>
      <c r="D245" t="inlineStr">
        <is>
          <t>DALARNAS LÄN</t>
        </is>
      </c>
      <c r="E245" t="inlineStr">
        <is>
          <t>LEKSAND</t>
        </is>
      </c>
      <c r="G245" t="n">
        <v>0.8</v>
      </c>
      <c r="H245" t="n">
        <v>0</v>
      </c>
      <c r="I245" t="n">
        <v>0</v>
      </c>
      <c r="J245" t="n">
        <v>0</v>
      </c>
      <c r="K245" t="n">
        <v>0</v>
      </c>
      <c r="L245" t="n">
        <v>0</v>
      </c>
      <c r="M245" t="n">
        <v>0</v>
      </c>
      <c r="N245" t="n">
        <v>0</v>
      </c>
      <c r="O245" t="n">
        <v>0</v>
      </c>
      <c r="P245" t="n">
        <v>0</v>
      </c>
      <c r="Q245" t="n">
        <v>0</v>
      </c>
      <c r="R245" s="2" t="inlineStr"/>
    </row>
    <row r="246" ht="15" customHeight="1">
      <c r="A246" t="inlineStr">
        <is>
          <t>A 70099-2021</t>
        </is>
      </c>
      <c r="B246" s="1" t="n">
        <v>44533</v>
      </c>
      <c r="C246" s="1" t="n">
        <v>45844</v>
      </c>
      <c r="D246" t="inlineStr">
        <is>
          <t>DALARNAS LÄN</t>
        </is>
      </c>
      <c r="E246" t="inlineStr">
        <is>
          <t>LEKSAND</t>
        </is>
      </c>
      <c r="G246" t="n">
        <v>2.8</v>
      </c>
      <c r="H246" t="n">
        <v>0</v>
      </c>
      <c r="I246" t="n">
        <v>0</v>
      </c>
      <c r="J246" t="n">
        <v>0</v>
      </c>
      <c r="K246" t="n">
        <v>0</v>
      </c>
      <c r="L246" t="n">
        <v>0</v>
      </c>
      <c r="M246" t="n">
        <v>0</v>
      </c>
      <c r="N246" t="n">
        <v>0</v>
      </c>
      <c r="O246" t="n">
        <v>0</v>
      </c>
      <c r="P246" t="n">
        <v>0</v>
      </c>
      <c r="Q246" t="n">
        <v>0</v>
      </c>
      <c r="R246" s="2" t="inlineStr"/>
    </row>
    <row r="247" ht="15" customHeight="1">
      <c r="A247" t="inlineStr">
        <is>
          <t>A 70026-2021</t>
        </is>
      </c>
      <c r="B247" s="1" t="n">
        <v>44533</v>
      </c>
      <c r="C247" s="1" t="n">
        <v>45844</v>
      </c>
      <c r="D247" t="inlineStr">
        <is>
          <t>DALARNAS LÄN</t>
        </is>
      </c>
      <c r="E247" t="inlineStr">
        <is>
          <t>LEKSAND</t>
        </is>
      </c>
      <c r="G247" t="n">
        <v>0.9</v>
      </c>
      <c r="H247" t="n">
        <v>0</v>
      </c>
      <c r="I247" t="n">
        <v>0</v>
      </c>
      <c r="J247" t="n">
        <v>0</v>
      </c>
      <c r="K247" t="n">
        <v>0</v>
      </c>
      <c r="L247" t="n">
        <v>0</v>
      </c>
      <c r="M247" t="n">
        <v>0</v>
      </c>
      <c r="N247" t="n">
        <v>0</v>
      </c>
      <c r="O247" t="n">
        <v>0</v>
      </c>
      <c r="P247" t="n">
        <v>0</v>
      </c>
      <c r="Q247" t="n">
        <v>0</v>
      </c>
      <c r="R247" s="2" t="inlineStr"/>
    </row>
    <row r="248" ht="15" customHeight="1">
      <c r="A248" t="inlineStr">
        <is>
          <t>A 70296-2021</t>
        </is>
      </c>
      <c r="B248" s="1" t="n">
        <v>44536</v>
      </c>
      <c r="C248" s="1" t="n">
        <v>45844</v>
      </c>
      <c r="D248" t="inlineStr">
        <is>
          <t>DALARNAS LÄN</t>
        </is>
      </c>
      <c r="E248" t="inlineStr">
        <is>
          <t>LEKSAND</t>
        </is>
      </c>
      <c r="G248" t="n">
        <v>2.7</v>
      </c>
      <c r="H248" t="n">
        <v>0</v>
      </c>
      <c r="I248" t="n">
        <v>0</v>
      </c>
      <c r="J248" t="n">
        <v>0</v>
      </c>
      <c r="K248" t="n">
        <v>0</v>
      </c>
      <c r="L248" t="n">
        <v>0</v>
      </c>
      <c r="M248" t="n">
        <v>0</v>
      </c>
      <c r="N248" t="n">
        <v>0</v>
      </c>
      <c r="O248" t="n">
        <v>0</v>
      </c>
      <c r="P248" t="n">
        <v>0</v>
      </c>
      <c r="Q248" t="n">
        <v>0</v>
      </c>
      <c r="R248" s="2" t="inlineStr"/>
    </row>
    <row r="249" ht="15" customHeight="1">
      <c r="A249" t="inlineStr">
        <is>
          <t>A 70451-2021</t>
        </is>
      </c>
      <c r="B249" s="1" t="n">
        <v>44536</v>
      </c>
      <c r="C249" s="1" t="n">
        <v>45844</v>
      </c>
      <c r="D249" t="inlineStr">
        <is>
          <t>DALARNAS LÄN</t>
        </is>
      </c>
      <c r="E249" t="inlineStr">
        <is>
          <t>LEKSAND</t>
        </is>
      </c>
      <c r="G249" t="n">
        <v>3.7</v>
      </c>
      <c r="H249" t="n">
        <v>0</v>
      </c>
      <c r="I249" t="n">
        <v>0</v>
      </c>
      <c r="J249" t="n">
        <v>0</v>
      </c>
      <c r="K249" t="n">
        <v>0</v>
      </c>
      <c r="L249" t="n">
        <v>0</v>
      </c>
      <c r="M249" t="n">
        <v>0</v>
      </c>
      <c r="N249" t="n">
        <v>0</v>
      </c>
      <c r="O249" t="n">
        <v>0</v>
      </c>
      <c r="P249" t="n">
        <v>0</v>
      </c>
      <c r="Q249" t="n">
        <v>0</v>
      </c>
      <c r="R249" s="2" t="inlineStr"/>
    </row>
    <row r="250" ht="15" customHeight="1">
      <c r="A250" t="inlineStr">
        <is>
          <t>A 71311-2021</t>
        </is>
      </c>
      <c r="B250" s="1" t="n">
        <v>44539</v>
      </c>
      <c r="C250" s="1" t="n">
        <v>45844</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71754-2021</t>
        </is>
      </c>
      <c r="B251" s="1" t="n">
        <v>44543</v>
      </c>
      <c r="C251" s="1" t="n">
        <v>45844</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71817-2021</t>
        </is>
      </c>
      <c r="B252" s="1" t="n">
        <v>44543</v>
      </c>
      <c r="C252" s="1" t="n">
        <v>45844</v>
      </c>
      <c r="D252" t="inlineStr">
        <is>
          <t>DALARNAS LÄN</t>
        </is>
      </c>
      <c r="E252" t="inlineStr">
        <is>
          <t>LEKSAND</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72155-2021</t>
        </is>
      </c>
      <c r="B253" s="1" t="n">
        <v>44543</v>
      </c>
      <c r="C253" s="1" t="n">
        <v>45844</v>
      </c>
      <c r="D253" t="inlineStr">
        <is>
          <t>DALARNAS LÄN</t>
        </is>
      </c>
      <c r="E253" t="inlineStr">
        <is>
          <t>LEKSAND</t>
        </is>
      </c>
      <c r="G253" t="n">
        <v>2.5</v>
      </c>
      <c r="H253" t="n">
        <v>0</v>
      </c>
      <c r="I253" t="n">
        <v>0</v>
      </c>
      <c r="J253" t="n">
        <v>0</v>
      </c>
      <c r="K253" t="n">
        <v>0</v>
      </c>
      <c r="L253" t="n">
        <v>0</v>
      </c>
      <c r="M253" t="n">
        <v>0</v>
      </c>
      <c r="N253" t="n">
        <v>0</v>
      </c>
      <c r="O253" t="n">
        <v>0</v>
      </c>
      <c r="P253" t="n">
        <v>0</v>
      </c>
      <c r="Q253" t="n">
        <v>0</v>
      </c>
      <c r="R253" s="2" t="inlineStr"/>
    </row>
    <row r="254" ht="15" customHeight="1">
      <c r="A254" t="inlineStr">
        <is>
          <t>A 72000-2021</t>
        </is>
      </c>
      <c r="B254" s="1" t="n">
        <v>44544</v>
      </c>
      <c r="C254" s="1" t="n">
        <v>45844</v>
      </c>
      <c r="D254" t="inlineStr">
        <is>
          <t>DALARNAS LÄN</t>
        </is>
      </c>
      <c r="E254" t="inlineStr">
        <is>
          <t>LEKSAND</t>
        </is>
      </c>
      <c r="F254" t="inlineStr">
        <is>
          <t>Bergvik skog väst AB</t>
        </is>
      </c>
      <c r="G254" t="n">
        <v>2</v>
      </c>
      <c r="H254" t="n">
        <v>0</v>
      </c>
      <c r="I254" t="n">
        <v>0</v>
      </c>
      <c r="J254" t="n">
        <v>0</v>
      </c>
      <c r="K254" t="n">
        <v>0</v>
      </c>
      <c r="L254" t="n">
        <v>0</v>
      </c>
      <c r="M254" t="n">
        <v>0</v>
      </c>
      <c r="N254" t="n">
        <v>0</v>
      </c>
      <c r="O254" t="n">
        <v>0</v>
      </c>
      <c r="P254" t="n">
        <v>0</v>
      </c>
      <c r="Q254" t="n">
        <v>0</v>
      </c>
      <c r="R254" s="2" t="inlineStr"/>
    </row>
    <row r="255" ht="15" customHeight="1">
      <c r="A255" t="inlineStr">
        <is>
          <t>A 72001-2021</t>
        </is>
      </c>
      <c r="B255" s="1" t="n">
        <v>44544</v>
      </c>
      <c r="C255" s="1" t="n">
        <v>45844</v>
      </c>
      <c r="D255" t="inlineStr">
        <is>
          <t>DALARNAS LÄN</t>
        </is>
      </c>
      <c r="E255" t="inlineStr">
        <is>
          <t>LEKSAND</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72581-2021</t>
        </is>
      </c>
      <c r="B256" s="1" t="n">
        <v>44546</v>
      </c>
      <c r="C256" s="1" t="n">
        <v>45844</v>
      </c>
      <c r="D256" t="inlineStr">
        <is>
          <t>DALARNAS LÄN</t>
        </is>
      </c>
      <c r="E256" t="inlineStr">
        <is>
          <t>LEKSAND</t>
        </is>
      </c>
      <c r="G256" t="n">
        <v>0.6</v>
      </c>
      <c r="H256" t="n">
        <v>0</v>
      </c>
      <c r="I256" t="n">
        <v>0</v>
      </c>
      <c r="J256" t="n">
        <v>0</v>
      </c>
      <c r="K256" t="n">
        <v>0</v>
      </c>
      <c r="L256" t="n">
        <v>0</v>
      </c>
      <c r="M256" t="n">
        <v>0</v>
      </c>
      <c r="N256" t="n">
        <v>0</v>
      </c>
      <c r="O256" t="n">
        <v>0</v>
      </c>
      <c r="P256" t="n">
        <v>0</v>
      </c>
      <c r="Q256" t="n">
        <v>0</v>
      </c>
      <c r="R256" s="2" t="inlineStr"/>
    </row>
    <row r="257" ht="15" customHeight="1">
      <c r="A257" t="inlineStr">
        <is>
          <t>A 72531-2021</t>
        </is>
      </c>
      <c r="B257" s="1" t="n">
        <v>44546</v>
      </c>
      <c r="C257" s="1" t="n">
        <v>45844</v>
      </c>
      <c r="D257" t="inlineStr">
        <is>
          <t>DALARNAS LÄN</t>
        </is>
      </c>
      <c r="E257" t="inlineStr">
        <is>
          <t>LEKSAND</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72575-2021</t>
        </is>
      </c>
      <c r="B258" s="1" t="n">
        <v>44546</v>
      </c>
      <c r="C258" s="1" t="n">
        <v>45844</v>
      </c>
      <c r="D258" t="inlineStr">
        <is>
          <t>DALARNAS LÄN</t>
        </is>
      </c>
      <c r="E258" t="inlineStr">
        <is>
          <t>LEKSAND</t>
        </is>
      </c>
      <c r="G258" t="n">
        <v>0.7</v>
      </c>
      <c r="H258" t="n">
        <v>0</v>
      </c>
      <c r="I258" t="n">
        <v>0</v>
      </c>
      <c r="J258" t="n">
        <v>0</v>
      </c>
      <c r="K258" t="n">
        <v>0</v>
      </c>
      <c r="L258" t="n">
        <v>0</v>
      </c>
      <c r="M258" t="n">
        <v>0</v>
      </c>
      <c r="N258" t="n">
        <v>0</v>
      </c>
      <c r="O258" t="n">
        <v>0</v>
      </c>
      <c r="P258" t="n">
        <v>0</v>
      </c>
      <c r="Q258" t="n">
        <v>0</v>
      </c>
      <c r="R258" s="2" t="inlineStr"/>
    </row>
    <row r="259" ht="15" customHeight="1">
      <c r="A259" t="inlineStr">
        <is>
          <t>A 74067-2021</t>
        </is>
      </c>
      <c r="B259" s="1" t="n">
        <v>44553</v>
      </c>
      <c r="C259" s="1" t="n">
        <v>45844</v>
      </c>
      <c r="D259" t="inlineStr">
        <is>
          <t>DALARNAS LÄN</t>
        </is>
      </c>
      <c r="E259" t="inlineStr">
        <is>
          <t>LEKSAND</t>
        </is>
      </c>
      <c r="G259" t="n">
        <v>1.8</v>
      </c>
      <c r="H259" t="n">
        <v>0</v>
      </c>
      <c r="I259" t="n">
        <v>0</v>
      </c>
      <c r="J259" t="n">
        <v>0</v>
      </c>
      <c r="K259" t="n">
        <v>0</v>
      </c>
      <c r="L259" t="n">
        <v>0</v>
      </c>
      <c r="M259" t="n">
        <v>0</v>
      </c>
      <c r="N259" t="n">
        <v>0</v>
      </c>
      <c r="O259" t="n">
        <v>0</v>
      </c>
      <c r="P259" t="n">
        <v>0</v>
      </c>
      <c r="Q259" t="n">
        <v>0</v>
      </c>
      <c r="R259" s="2" t="inlineStr"/>
    </row>
    <row r="260" ht="15" customHeight="1">
      <c r="A260" t="inlineStr">
        <is>
          <t>A 791-2022</t>
        </is>
      </c>
      <c r="B260" s="1" t="n">
        <v>44570</v>
      </c>
      <c r="C260" s="1" t="n">
        <v>45844</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1775-2022</t>
        </is>
      </c>
      <c r="B261" s="1" t="n">
        <v>44574</v>
      </c>
      <c r="C261" s="1" t="n">
        <v>45844</v>
      </c>
      <c r="D261" t="inlineStr">
        <is>
          <t>DALARNAS LÄN</t>
        </is>
      </c>
      <c r="E261" t="inlineStr">
        <is>
          <t>LEKSAND</t>
        </is>
      </c>
      <c r="G261" t="n">
        <v>2</v>
      </c>
      <c r="H261" t="n">
        <v>0</v>
      </c>
      <c r="I261" t="n">
        <v>0</v>
      </c>
      <c r="J261" t="n">
        <v>0</v>
      </c>
      <c r="K261" t="n">
        <v>0</v>
      </c>
      <c r="L261" t="n">
        <v>0</v>
      </c>
      <c r="M261" t="n">
        <v>0</v>
      </c>
      <c r="N261" t="n">
        <v>0</v>
      </c>
      <c r="O261" t="n">
        <v>0</v>
      </c>
      <c r="P261" t="n">
        <v>0</v>
      </c>
      <c r="Q261" t="n">
        <v>0</v>
      </c>
      <c r="R261" s="2" t="inlineStr"/>
    </row>
    <row r="262" ht="15" customHeight="1">
      <c r="A262" t="inlineStr">
        <is>
          <t>A 2579-2022</t>
        </is>
      </c>
      <c r="B262" s="1" t="n">
        <v>44580</v>
      </c>
      <c r="C262" s="1" t="n">
        <v>45844</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4257-2022</t>
        </is>
      </c>
      <c r="B263" s="1" t="n">
        <v>44588</v>
      </c>
      <c r="C263" s="1" t="n">
        <v>45844</v>
      </c>
      <c r="D263" t="inlineStr">
        <is>
          <t>DALARNAS LÄN</t>
        </is>
      </c>
      <c r="E263" t="inlineStr">
        <is>
          <t>LEKSAND</t>
        </is>
      </c>
      <c r="G263" t="n">
        <v>6.8</v>
      </c>
      <c r="H263" t="n">
        <v>0</v>
      </c>
      <c r="I263" t="n">
        <v>0</v>
      </c>
      <c r="J263" t="n">
        <v>0</v>
      </c>
      <c r="K263" t="n">
        <v>0</v>
      </c>
      <c r="L263" t="n">
        <v>0</v>
      </c>
      <c r="M263" t="n">
        <v>0</v>
      </c>
      <c r="N263" t="n">
        <v>0</v>
      </c>
      <c r="O263" t="n">
        <v>0</v>
      </c>
      <c r="P263" t="n">
        <v>0</v>
      </c>
      <c r="Q263" t="n">
        <v>0</v>
      </c>
      <c r="R263" s="2" t="inlineStr"/>
    </row>
    <row r="264" ht="15" customHeight="1">
      <c r="A264" t="inlineStr">
        <is>
          <t>A 4609-2022</t>
        </is>
      </c>
      <c r="B264" s="1" t="n">
        <v>44592</v>
      </c>
      <c r="C264" s="1" t="n">
        <v>45844</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8501-2022</t>
        </is>
      </c>
      <c r="B265" s="1" t="n">
        <v>44613</v>
      </c>
      <c r="C265" s="1" t="n">
        <v>45844</v>
      </c>
      <c r="D265" t="inlineStr">
        <is>
          <t>DALARNAS LÄN</t>
        </is>
      </c>
      <c r="E265" t="inlineStr">
        <is>
          <t>LEKSAND</t>
        </is>
      </c>
      <c r="G265" t="n">
        <v>3</v>
      </c>
      <c r="H265" t="n">
        <v>0</v>
      </c>
      <c r="I265" t="n">
        <v>0</v>
      </c>
      <c r="J265" t="n">
        <v>0</v>
      </c>
      <c r="K265" t="n">
        <v>0</v>
      </c>
      <c r="L265" t="n">
        <v>0</v>
      </c>
      <c r="M265" t="n">
        <v>0</v>
      </c>
      <c r="N265" t="n">
        <v>0</v>
      </c>
      <c r="O265" t="n">
        <v>0</v>
      </c>
      <c r="P265" t="n">
        <v>0</v>
      </c>
      <c r="Q265" t="n">
        <v>0</v>
      </c>
      <c r="R265" s="2" t="inlineStr"/>
    </row>
    <row r="266" ht="15" customHeight="1">
      <c r="A266" t="inlineStr">
        <is>
          <t>A 11015-2022</t>
        </is>
      </c>
      <c r="B266" s="1" t="n">
        <v>44628</v>
      </c>
      <c r="C266" s="1" t="n">
        <v>45844</v>
      </c>
      <c r="D266" t="inlineStr">
        <is>
          <t>DALARNAS LÄN</t>
        </is>
      </c>
      <c r="E266" t="inlineStr">
        <is>
          <t>LEKSAND</t>
        </is>
      </c>
      <c r="G266" t="n">
        <v>1.4</v>
      </c>
      <c r="H266" t="n">
        <v>0</v>
      </c>
      <c r="I266" t="n">
        <v>0</v>
      </c>
      <c r="J266" t="n">
        <v>0</v>
      </c>
      <c r="K266" t="n">
        <v>0</v>
      </c>
      <c r="L266" t="n">
        <v>0</v>
      </c>
      <c r="M266" t="n">
        <v>0</v>
      </c>
      <c r="N266" t="n">
        <v>0</v>
      </c>
      <c r="O266" t="n">
        <v>0</v>
      </c>
      <c r="P266" t="n">
        <v>0</v>
      </c>
      <c r="Q266" t="n">
        <v>0</v>
      </c>
      <c r="R266" s="2" t="inlineStr"/>
    </row>
    <row r="267" ht="15" customHeight="1">
      <c r="A267" t="inlineStr">
        <is>
          <t>A 11412-2022</t>
        </is>
      </c>
      <c r="B267" s="1" t="n">
        <v>44630</v>
      </c>
      <c r="C267" s="1" t="n">
        <v>45844</v>
      </c>
      <c r="D267" t="inlineStr">
        <is>
          <t>DALARNAS LÄN</t>
        </is>
      </c>
      <c r="E267" t="inlineStr">
        <is>
          <t>LEKSAND</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12992-2022</t>
        </is>
      </c>
      <c r="B268" s="1" t="n">
        <v>44643</v>
      </c>
      <c r="C268" s="1" t="n">
        <v>45844</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14140-2022</t>
        </is>
      </c>
      <c r="B269" s="1" t="n">
        <v>44651</v>
      </c>
      <c r="C269" s="1" t="n">
        <v>45844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14806-2022</t>
        </is>
      </c>
      <c r="B270" s="1" t="n">
        <v>44656</v>
      </c>
      <c r="C270" s="1" t="n">
        <v>45844</v>
      </c>
      <c r="D270" t="inlineStr">
        <is>
          <t>DALARNAS LÄN</t>
        </is>
      </c>
      <c r="E270" t="inlineStr">
        <is>
          <t>LEKSAND</t>
        </is>
      </c>
      <c r="F270" t="inlineStr">
        <is>
          <t>Bergvik skog väst AB</t>
        </is>
      </c>
      <c r="G270" t="n">
        <v>1</v>
      </c>
      <c r="H270" t="n">
        <v>0</v>
      </c>
      <c r="I270" t="n">
        <v>0</v>
      </c>
      <c r="J270" t="n">
        <v>0</v>
      </c>
      <c r="K270" t="n">
        <v>0</v>
      </c>
      <c r="L270" t="n">
        <v>0</v>
      </c>
      <c r="M270" t="n">
        <v>0</v>
      </c>
      <c r="N270" t="n">
        <v>0</v>
      </c>
      <c r="O270" t="n">
        <v>0</v>
      </c>
      <c r="P270" t="n">
        <v>0</v>
      </c>
      <c r="Q270" t="n">
        <v>0</v>
      </c>
      <c r="R270" s="2" t="inlineStr"/>
    </row>
    <row r="271" ht="15" customHeight="1">
      <c r="A271" t="inlineStr">
        <is>
          <t>A 16353-2022</t>
        </is>
      </c>
      <c r="B271" s="1" t="n">
        <v>44670</v>
      </c>
      <c r="C271" s="1" t="n">
        <v>45844</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16375-2022</t>
        </is>
      </c>
      <c r="B272" s="1" t="n">
        <v>44671</v>
      </c>
      <c r="C272" s="1" t="n">
        <v>45844</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16976-2022</t>
        </is>
      </c>
      <c r="B273" s="1" t="n">
        <v>44676</v>
      </c>
      <c r="C273" s="1" t="n">
        <v>45844</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17455-2022</t>
        </is>
      </c>
      <c r="B274" s="1" t="n">
        <v>44679</v>
      </c>
      <c r="C274" s="1" t="n">
        <v>45844</v>
      </c>
      <c r="D274" t="inlineStr">
        <is>
          <t>DALARNAS LÄN</t>
        </is>
      </c>
      <c r="E274" t="inlineStr">
        <is>
          <t>LEKSAND</t>
        </is>
      </c>
      <c r="F274" t="inlineStr">
        <is>
          <t>Bergvik skog väst AB</t>
        </is>
      </c>
      <c r="G274" t="n">
        <v>1.8</v>
      </c>
      <c r="H274" t="n">
        <v>0</v>
      </c>
      <c r="I274" t="n">
        <v>0</v>
      </c>
      <c r="J274" t="n">
        <v>0</v>
      </c>
      <c r="K274" t="n">
        <v>0</v>
      </c>
      <c r="L274" t="n">
        <v>0</v>
      </c>
      <c r="M274" t="n">
        <v>0</v>
      </c>
      <c r="N274" t="n">
        <v>0</v>
      </c>
      <c r="O274" t="n">
        <v>0</v>
      </c>
      <c r="P274" t="n">
        <v>0</v>
      </c>
      <c r="Q274" t="n">
        <v>0</v>
      </c>
      <c r="R274" s="2" t="inlineStr"/>
    </row>
    <row r="275" ht="15" customHeight="1">
      <c r="A275" t="inlineStr">
        <is>
          <t>A 18140-2022</t>
        </is>
      </c>
      <c r="B275" s="1" t="n">
        <v>44684</v>
      </c>
      <c r="C275" s="1" t="n">
        <v>45844</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18866-2022</t>
        </is>
      </c>
      <c r="B276" s="1" t="n">
        <v>44690</v>
      </c>
      <c r="C276" s="1" t="n">
        <v>45844</v>
      </c>
      <c r="D276" t="inlineStr">
        <is>
          <t>DALARNAS LÄN</t>
        </is>
      </c>
      <c r="E276" t="inlineStr">
        <is>
          <t>LEKSAND</t>
        </is>
      </c>
      <c r="F276" t="inlineStr">
        <is>
          <t>Övriga Aktiebolag</t>
        </is>
      </c>
      <c r="G276" t="n">
        <v>5.1</v>
      </c>
      <c r="H276" t="n">
        <v>0</v>
      </c>
      <c r="I276" t="n">
        <v>0</v>
      </c>
      <c r="J276" t="n">
        <v>0</v>
      </c>
      <c r="K276" t="n">
        <v>0</v>
      </c>
      <c r="L276" t="n">
        <v>0</v>
      </c>
      <c r="M276" t="n">
        <v>0</v>
      </c>
      <c r="N276" t="n">
        <v>0</v>
      </c>
      <c r="O276" t="n">
        <v>0</v>
      </c>
      <c r="P276" t="n">
        <v>0</v>
      </c>
      <c r="Q276" t="n">
        <v>0</v>
      </c>
      <c r="R276" s="2" t="inlineStr"/>
    </row>
    <row r="277" ht="15" customHeight="1">
      <c r="A277" t="inlineStr">
        <is>
          <t>A 18870-2022</t>
        </is>
      </c>
      <c r="B277" s="1" t="n">
        <v>44690</v>
      </c>
      <c r="C277" s="1" t="n">
        <v>45844</v>
      </c>
      <c r="D277" t="inlineStr">
        <is>
          <t>DALARNAS LÄN</t>
        </is>
      </c>
      <c r="E277" t="inlineStr">
        <is>
          <t>LEKSAND</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19467-2022</t>
        </is>
      </c>
      <c r="B278" s="1" t="n">
        <v>44693</v>
      </c>
      <c r="C278" s="1" t="n">
        <v>45844</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19480-2022</t>
        </is>
      </c>
      <c r="B279" s="1" t="n">
        <v>44693</v>
      </c>
      <c r="C279" s="1" t="n">
        <v>45844</v>
      </c>
      <c r="D279" t="inlineStr">
        <is>
          <t>DALARNAS LÄN</t>
        </is>
      </c>
      <c r="E279" t="inlineStr">
        <is>
          <t>LEKSAND</t>
        </is>
      </c>
      <c r="G279" t="n">
        <v>0.8</v>
      </c>
      <c r="H279" t="n">
        <v>0</v>
      </c>
      <c r="I279" t="n">
        <v>0</v>
      </c>
      <c r="J279" t="n">
        <v>0</v>
      </c>
      <c r="K279" t="n">
        <v>0</v>
      </c>
      <c r="L279" t="n">
        <v>0</v>
      </c>
      <c r="M279" t="n">
        <v>0</v>
      </c>
      <c r="N279" t="n">
        <v>0</v>
      </c>
      <c r="O279" t="n">
        <v>0</v>
      </c>
      <c r="P279" t="n">
        <v>0</v>
      </c>
      <c r="Q279" t="n">
        <v>0</v>
      </c>
      <c r="R279" s="2" t="inlineStr"/>
    </row>
    <row r="280" ht="15" customHeight="1">
      <c r="A280" t="inlineStr">
        <is>
          <t>A 19993-2022</t>
        </is>
      </c>
      <c r="B280" s="1" t="n">
        <v>44697</v>
      </c>
      <c r="C280" s="1" t="n">
        <v>45844</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20274-2022</t>
        </is>
      </c>
      <c r="B281" s="1" t="n">
        <v>44698</v>
      </c>
      <c r="C281" s="1" t="n">
        <v>45844</v>
      </c>
      <c r="D281" t="inlineStr">
        <is>
          <t>DALARNAS LÄN</t>
        </is>
      </c>
      <c r="E281" t="inlineStr">
        <is>
          <t>LEKSAND</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21565-2022</t>
        </is>
      </c>
      <c r="B282" s="1" t="n">
        <v>44704</v>
      </c>
      <c r="C282" s="1" t="n">
        <v>45844</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21841-2022</t>
        </is>
      </c>
      <c r="B283" s="1" t="n">
        <v>44711</v>
      </c>
      <c r="C283" s="1" t="n">
        <v>45844</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21839-2022</t>
        </is>
      </c>
      <c r="B284" s="1" t="n">
        <v>44711</v>
      </c>
      <c r="C284" s="1" t="n">
        <v>45844</v>
      </c>
      <c r="D284" t="inlineStr">
        <is>
          <t>DALARNAS LÄN</t>
        </is>
      </c>
      <c r="E284" t="inlineStr">
        <is>
          <t>LEKSAND</t>
        </is>
      </c>
      <c r="F284" t="inlineStr">
        <is>
          <t>Bergvik skog väst AB</t>
        </is>
      </c>
      <c r="G284" t="n">
        <v>3</v>
      </c>
      <c r="H284" t="n">
        <v>0</v>
      </c>
      <c r="I284" t="n">
        <v>0</v>
      </c>
      <c r="J284" t="n">
        <v>0</v>
      </c>
      <c r="K284" t="n">
        <v>0</v>
      </c>
      <c r="L284" t="n">
        <v>0</v>
      </c>
      <c r="M284" t="n">
        <v>0</v>
      </c>
      <c r="N284" t="n">
        <v>0</v>
      </c>
      <c r="O284" t="n">
        <v>0</v>
      </c>
      <c r="P284" t="n">
        <v>0</v>
      </c>
      <c r="Q284" t="n">
        <v>0</v>
      </c>
      <c r="R284" s="2" t="inlineStr"/>
    </row>
    <row r="285" ht="15" customHeight="1">
      <c r="A285" t="inlineStr">
        <is>
          <t>A 21840-2022</t>
        </is>
      </c>
      <c r="B285" s="1" t="n">
        <v>44711</v>
      </c>
      <c r="C285" s="1" t="n">
        <v>45844</v>
      </c>
      <c r="D285" t="inlineStr">
        <is>
          <t>DALARNAS LÄN</t>
        </is>
      </c>
      <c r="E285" t="inlineStr">
        <is>
          <t>LEKSAND</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22683-2022</t>
        </is>
      </c>
      <c r="B286" s="1" t="n">
        <v>44714</v>
      </c>
      <c r="C286" s="1" t="n">
        <v>45844</v>
      </c>
      <c r="D286" t="inlineStr">
        <is>
          <t>DALARNAS LÄN</t>
        </is>
      </c>
      <c r="E286" t="inlineStr">
        <is>
          <t>LEKSAND</t>
        </is>
      </c>
      <c r="F286" t="inlineStr">
        <is>
          <t>Bergvik skog väst AB</t>
        </is>
      </c>
      <c r="G286" t="n">
        <v>3.4</v>
      </c>
      <c r="H286" t="n">
        <v>0</v>
      </c>
      <c r="I286" t="n">
        <v>0</v>
      </c>
      <c r="J286" t="n">
        <v>0</v>
      </c>
      <c r="K286" t="n">
        <v>0</v>
      </c>
      <c r="L286" t="n">
        <v>0</v>
      </c>
      <c r="M286" t="n">
        <v>0</v>
      </c>
      <c r="N286" t="n">
        <v>0</v>
      </c>
      <c r="O286" t="n">
        <v>0</v>
      </c>
      <c r="P286" t="n">
        <v>0</v>
      </c>
      <c r="Q286" t="n">
        <v>0</v>
      </c>
      <c r="R286" s="2" t="inlineStr"/>
    </row>
    <row r="287" ht="15" customHeight="1">
      <c r="A287" t="inlineStr">
        <is>
          <t>A 22681-2022</t>
        </is>
      </c>
      <c r="B287" s="1" t="n">
        <v>44714</v>
      </c>
      <c r="C287" s="1" t="n">
        <v>45844</v>
      </c>
      <c r="D287" t="inlineStr">
        <is>
          <t>DALARNAS LÄN</t>
        </is>
      </c>
      <c r="E287" t="inlineStr">
        <is>
          <t>LEKSAND</t>
        </is>
      </c>
      <c r="F287" t="inlineStr">
        <is>
          <t>Bergvik skog väst AB</t>
        </is>
      </c>
      <c r="G287" t="n">
        <v>2.8</v>
      </c>
      <c r="H287" t="n">
        <v>0</v>
      </c>
      <c r="I287" t="n">
        <v>0</v>
      </c>
      <c r="J287" t="n">
        <v>0</v>
      </c>
      <c r="K287" t="n">
        <v>0</v>
      </c>
      <c r="L287" t="n">
        <v>0</v>
      </c>
      <c r="M287" t="n">
        <v>0</v>
      </c>
      <c r="N287" t="n">
        <v>0</v>
      </c>
      <c r="O287" t="n">
        <v>0</v>
      </c>
      <c r="P287" t="n">
        <v>0</v>
      </c>
      <c r="Q287" t="n">
        <v>0</v>
      </c>
      <c r="R287" s="2" t="inlineStr"/>
    </row>
    <row r="288" ht="15" customHeight="1">
      <c r="A288" t="inlineStr">
        <is>
          <t>A 22684-2022</t>
        </is>
      </c>
      <c r="B288" s="1" t="n">
        <v>44714</v>
      </c>
      <c r="C288" s="1" t="n">
        <v>45844</v>
      </c>
      <c r="D288" t="inlineStr">
        <is>
          <t>DALARNAS LÄN</t>
        </is>
      </c>
      <c r="E288" t="inlineStr">
        <is>
          <t>LEKSAND</t>
        </is>
      </c>
      <c r="F288" t="inlineStr">
        <is>
          <t>Bergvik skog väst AB</t>
        </is>
      </c>
      <c r="G288" t="n">
        <v>1.3</v>
      </c>
      <c r="H288" t="n">
        <v>0</v>
      </c>
      <c r="I288" t="n">
        <v>0</v>
      </c>
      <c r="J288" t="n">
        <v>0</v>
      </c>
      <c r="K288" t="n">
        <v>0</v>
      </c>
      <c r="L288" t="n">
        <v>0</v>
      </c>
      <c r="M288" t="n">
        <v>0</v>
      </c>
      <c r="N288" t="n">
        <v>0</v>
      </c>
      <c r="O288" t="n">
        <v>0</v>
      </c>
      <c r="P288" t="n">
        <v>0</v>
      </c>
      <c r="Q288" t="n">
        <v>0</v>
      </c>
      <c r="R288" s="2" t="inlineStr"/>
    </row>
    <row r="289" ht="15" customHeight="1">
      <c r="A289" t="inlineStr">
        <is>
          <t>A 25329-2022</t>
        </is>
      </c>
      <c r="B289" s="1" t="n">
        <v>44731</v>
      </c>
      <c r="C289" s="1" t="n">
        <v>45844</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26289-2022</t>
        </is>
      </c>
      <c r="B290" s="1" t="n">
        <v>44735</v>
      </c>
      <c r="C290" s="1" t="n">
        <v>45844</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26882-2022</t>
        </is>
      </c>
      <c r="B291" s="1" t="n">
        <v>44740</v>
      </c>
      <c r="C291" s="1" t="n">
        <v>45844</v>
      </c>
      <c r="D291" t="inlineStr">
        <is>
          <t>DALARNAS LÄN</t>
        </is>
      </c>
      <c r="E291" t="inlineStr">
        <is>
          <t>LEKSAND</t>
        </is>
      </c>
      <c r="G291" t="n">
        <v>2.2</v>
      </c>
      <c r="H291" t="n">
        <v>0</v>
      </c>
      <c r="I291" t="n">
        <v>0</v>
      </c>
      <c r="J291" t="n">
        <v>0</v>
      </c>
      <c r="K291" t="n">
        <v>0</v>
      </c>
      <c r="L291" t="n">
        <v>0</v>
      </c>
      <c r="M291" t="n">
        <v>0</v>
      </c>
      <c r="N291" t="n">
        <v>0</v>
      </c>
      <c r="O291" t="n">
        <v>0</v>
      </c>
      <c r="P291" t="n">
        <v>0</v>
      </c>
      <c r="Q291" t="n">
        <v>0</v>
      </c>
      <c r="R291" s="2" t="inlineStr"/>
    </row>
    <row r="292" ht="15" customHeight="1">
      <c r="A292" t="inlineStr">
        <is>
          <t>A 28128-2022</t>
        </is>
      </c>
      <c r="B292" s="1" t="n">
        <v>44746</v>
      </c>
      <c r="C292" s="1" t="n">
        <v>45844</v>
      </c>
      <c r="D292" t="inlineStr">
        <is>
          <t>DALARNAS LÄN</t>
        </is>
      </c>
      <c r="E292" t="inlineStr">
        <is>
          <t>LEKSAND</t>
        </is>
      </c>
      <c r="G292" t="n">
        <v>3.5</v>
      </c>
      <c r="H292" t="n">
        <v>0</v>
      </c>
      <c r="I292" t="n">
        <v>0</v>
      </c>
      <c r="J292" t="n">
        <v>0</v>
      </c>
      <c r="K292" t="n">
        <v>0</v>
      </c>
      <c r="L292" t="n">
        <v>0</v>
      </c>
      <c r="M292" t="n">
        <v>0</v>
      </c>
      <c r="N292" t="n">
        <v>0</v>
      </c>
      <c r="O292" t="n">
        <v>0</v>
      </c>
      <c r="P292" t="n">
        <v>0</v>
      </c>
      <c r="Q292" t="n">
        <v>0</v>
      </c>
      <c r="R292" s="2" t="inlineStr"/>
    </row>
    <row r="293" ht="15" customHeight="1">
      <c r="A293" t="inlineStr">
        <is>
          <t>A 28911-2022</t>
        </is>
      </c>
      <c r="B293" s="1" t="n">
        <v>44749</v>
      </c>
      <c r="C293" s="1" t="n">
        <v>45844</v>
      </c>
      <c r="D293" t="inlineStr">
        <is>
          <t>DALARNAS LÄN</t>
        </is>
      </c>
      <c r="E293" t="inlineStr">
        <is>
          <t>LEKSAND</t>
        </is>
      </c>
      <c r="F293" t="inlineStr">
        <is>
          <t>Bergvik skog väst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28892-2022</t>
        </is>
      </c>
      <c r="B294" s="1" t="n">
        <v>44749</v>
      </c>
      <c r="C294" s="1" t="n">
        <v>45844</v>
      </c>
      <c r="D294" t="inlineStr">
        <is>
          <t>DALARNAS LÄN</t>
        </is>
      </c>
      <c r="E294" t="inlineStr">
        <is>
          <t>LEKSAND</t>
        </is>
      </c>
      <c r="F294" t="inlineStr">
        <is>
          <t>Bergvik skog väst AB</t>
        </is>
      </c>
      <c r="G294" t="n">
        <v>9.1</v>
      </c>
      <c r="H294" t="n">
        <v>0</v>
      </c>
      <c r="I294" t="n">
        <v>0</v>
      </c>
      <c r="J294" t="n">
        <v>0</v>
      </c>
      <c r="K294" t="n">
        <v>0</v>
      </c>
      <c r="L294" t="n">
        <v>0</v>
      </c>
      <c r="M294" t="n">
        <v>0</v>
      </c>
      <c r="N294" t="n">
        <v>0</v>
      </c>
      <c r="O294" t="n">
        <v>0</v>
      </c>
      <c r="P294" t="n">
        <v>0</v>
      </c>
      <c r="Q294" t="n">
        <v>0</v>
      </c>
      <c r="R294" s="2" t="inlineStr"/>
    </row>
    <row r="295" ht="15" customHeight="1">
      <c r="A295" t="inlineStr">
        <is>
          <t>A 28912-2022</t>
        </is>
      </c>
      <c r="B295" s="1" t="n">
        <v>44749</v>
      </c>
      <c r="C295" s="1" t="n">
        <v>45844</v>
      </c>
      <c r="D295" t="inlineStr">
        <is>
          <t>DALARNAS LÄN</t>
        </is>
      </c>
      <c r="E295" t="inlineStr">
        <is>
          <t>LEKSAND</t>
        </is>
      </c>
      <c r="G295" t="n">
        <v>2.5</v>
      </c>
      <c r="H295" t="n">
        <v>0</v>
      </c>
      <c r="I295" t="n">
        <v>0</v>
      </c>
      <c r="J295" t="n">
        <v>0</v>
      </c>
      <c r="K295" t="n">
        <v>0</v>
      </c>
      <c r="L295" t="n">
        <v>0</v>
      </c>
      <c r="M295" t="n">
        <v>0</v>
      </c>
      <c r="N295" t="n">
        <v>0</v>
      </c>
      <c r="O295" t="n">
        <v>0</v>
      </c>
      <c r="P295" t="n">
        <v>0</v>
      </c>
      <c r="Q295" t="n">
        <v>0</v>
      </c>
      <c r="R295" s="2" t="inlineStr"/>
    </row>
    <row r="296" ht="15" customHeight="1">
      <c r="A296" t="inlineStr">
        <is>
          <t>A 29205-2022</t>
        </is>
      </c>
      <c r="B296" s="1" t="n">
        <v>44750</v>
      </c>
      <c r="C296" s="1" t="n">
        <v>45844</v>
      </c>
      <c r="D296" t="inlineStr">
        <is>
          <t>DALARNAS LÄN</t>
        </is>
      </c>
      <c r="E296" t="inlineStr">
        <is>
          <t>LEKSAND</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29157-2022</t>
        </is>
      </c>
      <c r="B297" s="1" t="n">
        <v>44750</v>
      </c>
      <c r="C297" s="1" t="n">
        <v>45844</v>
      </c>
      <c r="D297" t="inlineStr">
        <is>
          <t>DALARNAS LÄN</t>
        </is>
      </c>
      <c r="E297" t="inlineStr">
        <is>
          <t>LEKSAND</t>
        </is>
      </c>
      <c r="F297" t="inlineStr">
        <is>
          <t>Bergvik skog väst AB</t>
        </is>
      </c>
      <c r="G297" t="n">
        <v>2.7</v>
      </c>
      <c r="H297" t="n">
        <v>0</v>
      </c>
      <c r="I297" t="n">
        <v>0</v>
      </c>
      <c r="J297" t="n">
        <v>0</v>
      </c>
      <c r="K297" t="n">
        <v>0</v>
      </c>
      <c r="L297" t="n">
        <v>0</v>
      </c>
      <c r="M297" t="n">
        <v>0</v>
      </c>
      <c r="N297" t="n">
        <v>0</v>
      </c>
      <c r="O297" t="n">
        <v>0</v>
      </c>
      <c r="P297" t="n">
        <v>0</v>
      </c>
      <c r="Q297" t="n">
        <v>0</v>
      </c>
      <c r="R297" s="2" t="inlineStr"/>
    </row>
    <row r="298" ht="15" customHeight="1">
      <c r="A298" t="inlineStr">
        <is>
          <t>A 30449-2022</t>
        </is>
      </c>
      <c r="B298" s="1" t="n">
        <v>44761</v>
      </c>
      <c r="C298" s="1" t="n">
        <v>45844</v>
      </c>
      <c r="D298" t="inlineStr">
        <is>
          <t>DALARNAS LÄN</t>
        </is>
      </c>
      <c r="E298" t="inlineStr">
        <is>
          <t>LEKSAND</t>
        </is>
      </c>
      <c r="G298" t="n">
        <v>5.7</v>
      </c>
      <c r="H298" t="n">
        <v>0</v>
      </c>
      <c r="I298" t="n">
        <v>0</v>
      </c>
      <c r="J298" t="n">
        <v>0</v>
      </c>
      <c r="K298" t="n">
        <v>0</v>
      </c>
      <c r="L298" t="n">
        <v>0</v>
      </c>
      <c r="M298" t="n">
        <v>0</v>
      </c>
      <c r="N298" t="n">
        <v>0</v>
      </c>
      <c r="O298" t="n">
        <v>0</v>
      </c>
      <c r="P298" t="n">
        <v>0</v>
      </c>
      <c r="Q298" t="n">
        <v>0</v>
      </c>
      <c r="R298" s="2" t="inlineStr"/>
    </row>
    <row r="299" ht="15" customHeight="1">
      <c r="A299" t="inlineStr">
        <is>
          <t>A 31746-2022</t>
        </is>
      </c>
      <c r="B299" s="1" t="n">
        <v>44776</v>
      </c>
      <c r="C299" s="1" t="n">
        <v>45844</v>
      </c>
      <c r="D299" t="inlineStr">
        <is>
          <t>DALARNAS LÄN</t>
        </is>
      </c>
      <c r="E299" t="inlineStr">
        <is>
          <t>LEKSAND</t>
        </is>
      </c>
      <c r="G299" t="n">
        <v>3.3</v>
      </c>
      <c r="H299" t="n">
        <v>0</v>
      </c>
      <c r="I299" t="n">
        <v>0</v>
      </c>
      <c r="J299" t="n">
        <v>0</v>
      </c>
      <c r="K299" t="n">
        <v>0</v>
      </c>
      <c r="L299" t="n">
        <v>0</v>
      </c>
      <c r="M299" t="n">
        <v>0</v>
      </c>
      <c r="N299" t="n">
        <v>0</v>
      </c>
      <c r="O299" t="n">
        <v>0</v>
      </c>
      <c r="P299" t="n">
        <v>0</v>
      </c>
      <c r="Q299" t="n">
        <v>0</v>
      </c>
      <c r="R299" s="2" t="inlineStr"/>
    </row>
    <row r="300" ht="15" customHeight="1">
      <c r="A300" t="inlineStr">
        <is>
          <t>A 31871-2022</t>
        </is>
      </c>
      <c r="B300" s="1" t="n">
        <v>44777</v>
      </c>
      <c r="C300" s="1" t="n">
        <v>45844</v>
      </c>
      <c r="D300" t="inlineStr">
        <is>
          <t>DALARNAS LÄN</t>
        </is>
      </c>
      <c r="E300" t="inlineStr">
        <is>
          <t>LEKSAND</t>
        </is>
      </c>
      <c r="G300" t="n">
        <v>4.1</v>
      </c>
      <c r="H300" t="n">
        <v>0</v>
      </c>
      <c r="I300" t="n">
        <v>0</v>
      </c>
      <c r="J300" t="n">
        <v>0</v>
      </c>
      <c r="K300" t="n">
        <v>0</v>
      </c>
      <c r="L300" t="n">
        <v>0</v>
      </c>
      <c r="M300" t="n">
        <v>0</v>
      </c>
      <c r="N300" t="n">
        <v>0</v>
      </c>
      <c r="O300" t="n">
        <v>0</v>
      </c>
      <c r="P300" t="n">
        <v>0</v>
      </c>
      <c r="Q300" t="n">
        <v>0</v>
      </c>
      <c r="R300" s="2" t="inlineStr"/>
    </row>
    <row r="301" ht="15" customHeight="1">
      <c r="A301" t="inlineStr">
        <is>
          <t>A 32225-2022</t>
        </is>
      </c>
      <c r="B301" s="1" t="n">
        <v>44781</v>
      </c>
      <c r="C301" s="1" t="n">
        <v>45844</v>
      </c>
      <c r="D301" t="inlineStr">
        <is>
          <t>DALARNAS LÄN</t>
        </is>
      </c>
      <c r="E301" t="inlineStr">
        <is>
          <t>LEKSAND</t>
        </is>
      </c>
      <c r="F301" t="inlineStr">
        <is>
          <t>Bergvik skog väst AB</t>
        </is>
      </c>
      <c r="G301" t="n">
        <v>3.2</v>
      </c>
      <c r="H301" t="n">
        <v>0</v>
      </c>
      <c r="I301" t="n">
        <v>0</v>
      </c>
      <c r="J301" t="n">
        <v>0</v>
      </c>
      <c r="K301" t="n">
        <v>0</v>
      </c>
      <c r="L301" t="n">
        <v>0</v>
      </c>
      <c r="M301" t="n">
        <v>0</v>
      </c>
      <c r="N301" t="n">
        <v>0</v>
      </c>
      <c r="O301" t="n">
        <v>0</v>
      </c>
      <c r="P301" t="n">
        <v>0</v>
      </c>
      <c r="Q301" t="n">
        <v>0</v>
      </c>
      <c r="R301" s="2" t="inlineStr"/>
    </row>
    <row r="302" ht="15" customHeight="1">
      <c r="A302" t="inlineStr">
        <is>
          <t>A 32476-2022</t>
        </is>
      </c>
      <c r="B302" s="1" t="n">
        <v>44782</v>
      </c>
      <c r="C302" s="1" t="n">
        <v>45844</v>
      </c>
      <c r="D302" t="inlineStr">
        <is>
          <t>DALARNAS LÄN</t>
        </is>
      </c>
      <c r="E302" t="inlineStr">
        <is>
          <t>LEKSAND</t>
        </is>
      </c>
      <c r="G302" t="n">
        <v>5.6</v>
      </c>
      <c r="H302" t="n">
        <v>0</v>
      </c>
      <c r="I302" t="n">
        <v>0</v>
      </c>
      <c r="J302" t="n">
        <v>0</v>
      </c>
      <c r="K302" t="n">
        <v>0</v>
      </c>
      <c r="L302" t="n">
        <v>0</v>
      </c>
      <c r="M302" t="n">
        <v>0</v>
      </c>
      <c r="N302" t="n">
        <v>0</v>
      </c>
      <c r="O302" t="n">
        <v>0</v>
      </c>
      <c r="P302" t="n">
        <v>0</v>
      </c>
      <c r="Q302" t="n">
        <v>0</v>
      </c>
      <c r="R302" s="2" t="inlineStr"/>
    </row>
    <row r="303" ht="15" customHeight="1">
      <c r="A303" t="inlineStr">
        <is>
          <t>A 32791-2022</t>
        </is>
      </c>
      <c r="B303" s="1" t="n">
        <v>44784</v>
      </c>
      <c r="C303" s="1" t="n">
        <v>45844</v>
      </c>
      <c r="D303" t="inlineStr">
        <is>
          <t>DALARNAS LÄN</t>
        </is>
      </c>
      <c r="E303" t="inlineStr">
        <is>
          <t>LEKSAND</t>
        </is>
      </c>
      <c r="G303" t="n">
        <v>1.1</v>
      </c>
      <c r="H303" t="n">
        <v>0</v>
      </c>
      <c r="I303" t="n">
        <v>0</v>
      </c>
      <c r="J303" t="n">
        <v>0</v>
      </c>
      <c r="K303" t="n">
        <v>0</v>
      </c>
      <c r="L303" t="n">
        <v>0</v>
      </c>
      <c r="M303" t="n">
        <v>0</v>
      </c>
      <c r="N303" t="n">
        <v>0</v>
      </c>
      <c r="O303" t="n">
        <v>0</v>
      </c>
      <c r="P303" t="n">
        <v>0</v>
      </c>
      <c r="Q303" t="n">
        <v>0</v>
      </c>
      <c r="R303" s="2" t="inlineStr"/>
    </row>
    <row r="304" ht="15" customHeight="1">
      <c r="A304" t="inlineStr">
        <is>
          <t>A 33198-2022</t>
        </is>
      </c>
      <c r="B304" s="1" t="n">
        <v>44785</v>
      </c>
      <c r="C304" s="1" t="n">
        <v>45844</v>
      </c>
      <c r="D304" t="inlineStr">
        <is>
          <t>DALARNAS LÄN</t>
        </is>
      </c>
      <c r="E304" t="inlineStr">
        <is>
          <t>LEKSAND</t>
        </is>
      </c>
      <c r="G304" t="n">
        <v>1.5</v>
      </c>
      <c r="H304" t="n">
        <v>0</v>
      </c>
      <c r="I304" t="n">
        <v>0</v>
      </c>
      <c r="J304" t="n">
        <v>0</v>
      </c>
      <c r="K304" t="n">
        <v>0</v>
      </c>
      <c r="L304" t="n">
        <v>0</v>
      </c>
      <c r="M304" t="n">
        <v>0</v>
      </c>
      <c r="N304" t="n">
        <v>0</v>
      </c>
      <c r="O304" t="n">
        <v>0</v>
      </c>
      <c r="P304" t="n">
        <v>0</v>
      </c>
      <c r="Q304" t="n">
        <v>0</v>
      </c>
      <c r="R304" s="2" t="inlineStr"/>
    </row>
    <row r="305" ht="15" customHeight="1">
      <c r="A305" t="inlineStr">
        <is>
          <t>A 34317-2022</t>
        </is>
      </c>
      <c r="B305" s="1" t="n">
        <v>44792</v>
      </c>
      <c r="C305" s="1" t="n">
        <v>45844</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34482-2022</t>
        </is>
      </c>
      <c r="B306" s="1" t="n">
        <v>44792</v>
      </c>
      <c r="C306" s="1" t="n">
        <v>45844</v>
      </c>
      <c r="D306" t="inlineStr">
        <is>
          <t>DALARNAS LÄN</t>
        </is>
      </c>
      <c r="E306" t="inlineStr">
        <is>
          <t>LEKSAND</t>
        </is>
      </c>
      <c r="G306" t="n">
        <v>2.6</v>
      </c>
      <c r="H306" t="n">
        <v>0</v>
      </c>
      <c r="I306" t="n">
        <v>0</v>
      </c>
      <c r="J306" t="n">
        <v>0</v>
      </c>
      <c r="K306" t="n">
        <v>0</v>
      </c>
      <c r="L306" t="n">
        <v>0</v>
      </c>
      <c r="M306" t="n">
        <v>0</v>
      </c>
      <c r="N306" t="n">
        <v>0</v>
      </c>
      <c r="O306" t="n">
        <v>0</v>
      </c>
      <c r="P306" t="n">
        <v>0</v>
      </c>
      <c r="Q306" t="n">
        <v>0</v>
      </c>
      <c r="R306" s="2" t="inlineStr"/>
    </row>
    <row r="307" ht="15" customHeight="1">
      <c r="A307" t="inlineStr">
        <is>
          <t>A 35080-2022</t>
        </is>
      </c>
      <c r="B307" s="1" t="n">
        <v>44797</v>
      </c>
      <c r="C307" s="1" t="n">
        <v>45844</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35087-2022</t>
        </is>
      </c>
      <c r="B308" s="1" t="n">
        <v>44797</v>
      </c>
      <c r="C308" s="1" t="n">
        <v>45844</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35801-2022</t>
        </is>
      </c>
      <c r="B309" s="1" t="n">
        <v>44802</v>
      </c>
      <c r="C309" s="1" t="n">
        <v>45844</v>
      </c>
      <c r="D309" t="inlineStr">
        <is>
          <t>DALARNAS LÄN</t>
        </is>
      </c>
      <c r="E309" t="inlineStr">
        <is>
          <t>LEKSAND</t>
        </is>
      </c>
      <c r="F309" t="inlineStr">
        <is>
          <t>Bergvik skog väst AB</t>
        </is>
      </c>
      <c r="G309" t="n">
        <v>6.4</v>
      </c>
      <c r="H309" t="n">
        <v>0</v>
      </c>
      <c r="I309" t="n">
        <v>0</v>
      </c>
      <c r="J309" t="n">
        <v>0</v>
      </c>
      <c r="K309" t="n">
        <v>0</v>
      </c>
      <c r="L309" t="n">
        <v>0</v>
      </c>
      <c r="M309" t="n">
        <v>0</v>
      </c>
      <c r="N309" t="n">
        <v>0</v>
      </c>
      <c r="O309" t="n">
        <v>0</v>
      </c>
      <c r="P309" t="n">
        <v>0</v>
      </c>
      <c r="Q309" t="n">
        <v>0</v>
      </c>
      <c r="R309" s="2" t="inlineStr"/>
    </row>
    <row r="310" ht="15" customHeight="1">
      <c r="A310" t="inlineStr">
        <is>
          <t>A 35952-2022</t>
        </is>
      </c>
      <c r="B310" s="1" t="n">
        <v>44802</v>
      </c>
      <c r="C310" s="1" t="n">
        <v>45844</v>
      </c>
      <c r="D310" t="inlineStr">
        <is>
          <t>DALARNAS LÄN</t>
        </is>
      </c>
      <c r="E310" t="inlineStr">
        <is>
          <t>LEKSAND</t>
        </is>
      </c>
      <c r="G310" t="n">
        <v>4.6</v>
      </c>
      <c r="H310" t="n">
        <v>0</v>
      </c>
      <c r="I310" t="n">
        <v>0</v>
      </c>
      <c r="J310" t="n">
        <v>0</v>
      </c>
      <c r="K310" t="n">
        <v>0</v>
      </c>
      <c r="L310" t="n">
        <v>0</v>
      </c>
      <c r="M310" t="n">
        <v>0</v>
      </c>
      <c r="N310" t="n">
        <v>0</v>
      </c>
      <c r="O310" t="n">
        <v>0</v>
      </c>
      <c r="P310" t="n">
        <v>0</v>
      </c>
      <c r="Q310" t="n">
        <v>0</v>
      </c>
      <c r="R310" s="2" t="inlineStr"/>
    </row>
    <row r="311" ht="15" customHeight="1">
      <c r="A311" t="inlineStr">
        <is>
          <t>A 37300-2022</t>
        </is>
      </c>
      <c r="B311" s="1" t="n">
        <v>44808</v>
      </c>
      <c r="C311" s="1" t="n">
        <v>45844</v>
      </c>
      <c r="D311" t="inlineStr">
        <is>
          <t>DALARNAS LÄN</t>
        </is>
      </c>
      <c r="E311" t="inlineStr">
        <is>
          <t>LEKSAND</t>
        </is>
      </c>
      <c r="G311" t="n">
        <v>6.3</v>
      </c>
      <c r="H311" t="n">
        <v>0</v>
      </c>
      <c r="I311" t="n">
        <v>0</v>
      </c>
      <c r="J311" t="n">
        <v>0</v>
      </c>
      <c r="K311" t="n">
        <v>0</v>
      </c>
      <c r="L311" t="n">
        <v>0</v>
      </c>
      <c r="M311" t="n">
        <v>0</v>
      </c>
      <c r="N311" t="n">
        <v>0</v>
      </c>
      <c r="O311" t="n">
        <v>0</v>
      </c>
      <c r="P311" t="n">
        <v>0</v>
      </c>
      <c r="Q311" t="n">
        <v>0</v>
      </c>
      <c r="R311" s="2" t="inlineStr"/>
    </row>
    <row r="312" ht="15" customHeight="1">
      <c r="A312" t="inlineStr">
        <is>
          <t>A 37928-2022</t>
        </is>
      </c>
      <c r="B312" s="1" t="n">
        <v>44811</v>
      </c>
      <c r="C312" s="1" t="n">
        <v>45844</v>
      </c>
      <c r="D312" t="inlineStr">
        <is>
          <t>DALARNAS LÄN</t>
        </is>
      </c>
      <c r="E312" t="inlineStr">
        <is>
          <t>LEKSAND</t>
        </is>
      </c>
      <c r="G312" t="n">
        <v>1.8</v>
      </c>
      <c r="H312" t="n">
        <v>0</v>
      </c>
      <c r="I312" t="n">
        <v>0</v>
      </c>
      <c r="J312" t="n">
        <v>0</v>
      </c>
      <c r="K312" t="n">
        <v>0</v>
      </c>
      <c r="L312" t="n">
        <v>0</v>
      </c>
      <c r="M312" t="n">
        <v>0</v>
      </c>
      <c r="N312" t="n">
        <v>0</v>
      </c>
      <c r="O312" t="n">
        <v>0</v>
      </c>
      <c r="P312" t="n">
        <v>0</v>
      </c>
      <c r="Q312" t="n">
        <v>0</v>
      </c>
      <c r="R312" s="2" t="inlineStr"/>
    </row>
    <row r="313" ht="15" customHeight="1">
      <c r="A313" t="inlineStr">
        <is>
          <t>A 38236-2022</t>
        </is>
      </c>
      <c r="B313" s="1" t="n">
        <v>44812</v>
      </c>
      <c r="C313" s="1" t="n">
        <v>45844</v>
      </c>
      <c r="D313" t="inlineStr">
        <is>
          <t>DALARNAS LÄN</t>
        </is>
      </c>
      <c r="E313" t="inlineStr">
        <is>
          <t>LEKSAND</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38258-2022</t>
        </is>
      </c>
      <c r="B314" s="1" t="n">
        <v>44812</v>
      </c>
      <c r="C314" s="1" t="n">
        <v>45844</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38764-2022</t>
        </is>
      </c>
      <c r="B315" s="1" t="n">
        <v>44816</v>
      </c>
      <c r="C315" s="1" t="n">
        <v>45844</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39658-2022</t>
        </is>
      </c>
      <c r="B316" s="1" t="n">
        <v>44818</v>
      </c>
      <c r="C316" s="1" t="n">
        <v>45844</v>
      </c>
      <c r="D316" t="inlineStr">
        <is>
          <t>DALARNAS LÄN</t>
        </is>
      </c>
      <c r="E316" t="inlineStr">
        <is>
          <t>LEKSAND</t>
        </is>
      </c>
      <c r="G316" t="n">
        <v>5.4</v>
      </c>
      <c r="H316" t="n">
        <v>0</v>
      </c>
      <c r="I316" t="n">
        <v>0</v>
      </c>
      <c r="J316" t="n">
        <v>0</v>
      </c>
      <c r="K316" t="n">
        <v>0</v>
      </c>
      <c r="L316" t="n">
        <v>0</v>
      </c>
      <c r="M316" t="n">
        <v>0</v>
      </c>
      <c r="N316" t="n">
        <v>0</v>
      </c>
      <c r="O316" t="n">
        <v>0</v>
      </c>
      <c r="P316" t="n">
        <v>0</v>
      </c>
      <c r="Q316" t="n">
        <v>0</v>
      </c>
      <c r="R316" s="2" t="inlineStr"/>
    </row>
    <row r="317" ht="15" customHeight="1">
      <c r="A317" t="inlineStr">
        <is>
          <t>A 40165-2022</t>
        </is>
      </c>
      <c r="B317" s="1" t="n">
        <v>44820</v>
      </c>
      <c r="C317" s="1" t="n">
        <v>45844</v>
      </c>
      <c r="D317" t="inlineStr">
        <is>
          <t>DALARNAS LÄN</t>
        </is>
      </c>
      <c r="E317" t="inlineStr">
        <is>
          <t>LEKSAND</t>
        </is>
      </c>
      <c r="G317" t="n">
        <v>1.9</v>
      </c>
      <c r="H317" t="n">
        <v>0</v>
      </c>
      <c r="I317" t="n">
        <v>0</v>
      </c>
      <c r="J317" t="n">
        <v>0</v>
      </c>
      <c r="K317" t="n">
        <v>0</v>
      </c>
      <c r="L317" t="n">
        <v>0</v>
      </c>
      <c r="M317" t="n">
        <v>0</v>
      </c>
      <c r="N317" t="n">
        <v>0</v>
      </c>
      <c r="O317" t="n">
        <v>0</v>
      </c>
      <c r="P317" t="n">
        <v>0</v>
      </c>
      <c r="Q317" t="n">
        <v>0</v>
      </c>
      <c r="R317" s="2" t="inlineStr"/>
    </row>
    <row r="318" ht="15" customHeight="1">
      <c r="A318" t="inlineStr">
        <is>
          <t>A 41351-2022</t>
        </is>
      </c>
      <c r="B318" s="1" t="n">
        <v>44824</v>
      </c>
      <c r="C318" s="1" t="n">
        <v>45844</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43275-2022</t>
        </is>
      </c>
      <c r="B319" s="1" t="n">
        <v>44824</v>
      </c>
      <c r="C319" s="1" t="n">
        <v>45844</v>
      </c>
      <c r="D319" t="inlineStr">
        <is>
          <t>DALARNAS LÄN</t>
        </is>
      </c>
      <c r="E319" t="inlineStr">
        <is>
          <t>LEKSAND</t>
        </is>
      </c>
      <c r="G319" t="n">
        <v>2.1</v>
      </c>
      <c r="H319" t="n">
        <v>0</v>
      </c>
      <c r="I319" t="n">
        <v>0</v>
      </c>
      <c r="J319" t="n">
        <v>0</v>
      </c>
      <c r="K319" t="n">
        <v>0</v>
      </c>
      <c r="L319" t="n">
        <v>0</v>
      </c>
      <c r="M319" t="n">
        <v>0</v>
      </c>
      <c r="N319" t="n">
        <v>0</v>
      </c>
      <c r="O319" t="n">
        <v>0</v>
      </c>
      <c r="P319" t="n">
        <v>0</v>
      </c>
      <c r="Q319" t="n">
        <v>0</v>
      </c>
      <c r="R319" s="2" t="inlineStr"/>
    </row>
    <row r="320" ht="15" customHeight="1">
      <c r="A320" t="inlineStr">
        <is>
          <t>A 41869-2022</t>
        </is>
      </c>
      <c r="B320" s="1" t="n">
        <v>44829</v>
      </c>
      <c r="C320" s="1" t="n">
        <v>45844</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43300-2022</t>
        </is>
      </c>
      <c r="B321" s="1" t="n">
        <v>44834</v>
      </c>
      <c r="C321" s="1" t="n">
        <v>45844</v>
      </c>
      <c r="D321" t="inlineStr">
        <is>
          <t>DALARNAS LÄN</t>
        </is>
      </c>
      <c r="E321" t="inlineStr">
        <is>
          <t>LEKSAND</t>
        </is>
      </c>
      <c r="G321" t="n">
        <v>1.4</v>
      </c>
      <c r="H321" t="n">
        <v>0</v>
      </c>
      <c r="I321" t="n">
        <v>0</v>
      </c>
      <c r="J321" t="n">
        <v>0</v>
      </c>
      <c r="K321" t="n">
        <v>0</v>
      </c>
      <c r="L321" t="n">
        <v>0</v>
      </c>
      <c r="M321" t="n">
        <v>0</v>
      </c>
      <c r="N321" t="n">
        <v>0</v>
      </c>
      <c r="O321" t="n">
        <v>0</v>
      </c>
      <c r="P321" t="n">
        <v>0</v>
      </c>
      <c r="Q321" t="n">
        <v>0</v>
      </c>
      <c r="R321" s="2" t="inlineStr"/>
    </row>
    <row r="322" ht="15" customHeight="1">
      <c r="A322" t="inlineStr">
        <is>
          <t>A 43304-2022</t>
        </is>
      </c>
      <c r="B322" s="1" t="n">
        <v>44834</v>
      </c>
      <c r="C322" s="1" t="n">
        <v>45844</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43604-2022</t>
        </is>
      </c>
      <c r="B323" s="1" t="n">
        <v>44837</v>
      </c>
      <c r="C323" s="1" t="n">
        <v>45844</v>
      </c>
      <c r="D323" t="inlineStr">
        <is>
          <t>DALARNAS LÄN</t>
        </is>
      </c>
      <c r="E323" t="inlineStr">
        <is>
          <t>LEKSAND</t>
        </is>
      </c>
      <c r="F323" t="inlineStr">
        <is>
          <t>Bergvik skog väst AB</t>
        </is>
      </c>
      <c r="G323" t="n">
        <v>8</v>
      </c>
      <c r="H323" t="n">
        <v>0</v>
      </c>
      <c r="I323" t="n">
        <v>0</v>
      </c>
      <c r="J323" t="n">
        <v>0</v>
      </c>
      <c r="K323" t="n">
        <v>0</v>
      </c>
      <c r="L323" t="n">
        <v>0</v>
      </c>
      <c r="M323" t="n">
        <v>0</v>
      </c>
      <c r="N323" t="n">
        <v>0</v>
      </c>
      <c r="O323" t="n">
        <v>0</v>
      </c>
      <c r="P323" t="n">
        <v>0</v>
      </c>
      <c r="Q323" t="n">
        <v>0</v>
      </c>
      <c r="R323" s="2" t="inlineStr"/>
    </row>
    <row r="324" ht="15" customHeight="1">
      <c r="A324" t="inlineStr">
        <is>
          <t>A 43693-2022</t>
        </is>
      </c>
      <c r="B324" s="1" t="n">
        <v>44837</v>
      </c>
      <c r="C324" s="1" t="n">
        <v>45844</v>
      </c>
      <c r="D324" t="inlineStr">
        <is>
          <t>DALARNAS LÄN</t>
        </is>
      </c>
      <c r="E324" t="inlineStr">
        <is>
          <t>LEKSAND</t>
        </is>
      </c>
      <c r="G324" t="n">
        <v>2.7</v>
      </c>
      <c r="H324" t="n">
        <v>0</v>
      </c>
      <c r="I324" t="n">
        <v>0</v>
      </c>
      <c r="J324" t="n">
        <v>0</v>
      </c>
      <c r="K324" t="n">
        <v>0</v>
      </c>
      <c r="L324" t="n">
        <v>0</v>
      </c>
      <c r="M324" t="n">
        <v>0</v>
      </c>
      <c r="N324" t="n">
        <v>0</v>
      </c>
      <c r="O324" t="n">
        <v>0</v>
      </c>
      <c r="P324" t="n">
        <v>0</v>
      </c>
      <c r="Q324" t="n">
        <v>0</v>
      </c>
      <c r="R324" s="2" t="inlineStr"/>
    </row>
    <row r="325" ht="15" customHeight="1">
      <c r="A325" t="inlineStr">
        <is>
          <t>A 43735-2022</t>
        </is>
      </c>
      <c r="B325" s="1" t="n">
        <v>44837</v>
      </c>
      <c r="C325" s="1" t="n">
        <v>45844</v>
      </c>
      <c r="D325" t="inlineStr">
        <is>
          <t>DALARNAS LÄN</t>
        </is>
      </c>
      <c r="E325" t="inlineStr">
        <is>
          <t>LEKSAND</t>
        </is>
      </c>
      <c r="G325" t="n">
        <v>2.9</v>
      </c>
      <c r="H325" t="n">
        <v>0</v>
      </c>
      <c r="I325" t="n">
        <v>0</v>
      </c>
      <c r="J325" t="n">
        <v>0</v>
      </c>
      <c r="K325" t="n">
        <v>0</v>
      </c>
      <c r="L325" t="n">
        <v>0</v>
      </c>
      <c r="M325" t="n">
        <v>0</v>
      </c>
      <c r="N325" t="n">
        <v>0</v>
      </c>
      <c r="O325" t="n">
        <v>0</v>
      </c>
      <c r="P325" t="n">
        <v>0</v>
      </c>
      <c r="Q325" t="n">
        <v>0</v>
      </c>
      <c r="R325" s="2" t="inlineStr"/>
    </row>
    <row r="326" ht="15" customHeight="1">
      <c r="A326" t="inlineStr">
        <is>
          <t>A 44124-2022</t>
        </is>
      </c>
      <c r="B326" s="1" t="n">
        <v>44839</v>
      </c>
      <c r="C326" s="1" t="n">
        <v>45844</v>
      </c>
      <c r="D326" t="inlineStr">
        <is>
          <t>DALARNAS LÄN</t>
        </is>
      </c>
      <c r="E326" t="inlineStr">
        <is>
          <t>LEKSAND</t>
        </is>
      </c>
      <c r="G326" t="n">
        <v>8</v>
      </c>
      <c r="H326" t="n">
        <v>0</v>
      </c>
      <c r="I326" t="n">
        <v>0</v>
      </c>
      <c r="J326" t="n">
        <v>0</v>
      </c>
      <c r="K326" t="n">
        <v>0</v>
      </c>
      <c r="L326" t="n">
        <v>0</v>
      </c>
      <c r="M326" t="n">
        <v>0</v>
      </c>
      <c r="N326" t="n">
        <v>0</v>
      </c>
      <c r="O326" t="n">
        <v>0</v>
      </c>
      <c r="P326" t="n">
        <v>0</v>
      </c>
      <c r="Q326" t="n">
        <v>0</v>
      </c>
      <c r="R326" s="2" t="inlineStr"/>
    </row>
    <row r="327" ht="15" customHeight="1">
      <c r="A327" t="inlineStr">
        <is>
          <t>A 44700-2022</t>
        </is>
      </c>
      <c r="B327" s="1" t="n">
        <v>44840</v>
      </c>
      <c r="C327" s="1" t="n">
        <v>45844</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45943-2022</t>
        </is>
      </c>
      <c r="B328" s="1" t="n">
        <v>44846</v>
      </c>
      <c r="C328" s="1" t="n">
        <v>45844</v>
      </c>
      <c r="D328" t="inlineStr">
        <is>
          <t>DALARNAS LÄN</t>
        </is>
      </c>
      <c r="E328" t="inlineStr">
        <is>
          <t>LEKSAND</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46141-2022</t>
        </is>
      </c>
      <c r="B329" s="1" t="n">
        <v>44846</v>
      </c>
      <c r="C329" s="1" t="n">
        <v>45844</v>
      </c>
      <c r="D329" t="inlineStr">
        <is>
          <t>DALARNAS LÄN</t>
        </is>
      </c>
      <c r="E329" t="inlineStr">
        <is>
          <t>LEKSAND</t>
        </is>
      </c>
      <c r="G329" t="n">
        <v>2.8</v>
      </c>
      <c r="H329" t="n">
        <v>0</v>
      </c>
      <c r="I329" t="n">
        <v>0</v>
      </c>
      <c r="J329" t="n">
        <v>0</v>
      </c>
      <c r="K329" t="n">
        <v>0</v>
      </c>
      <c r="L329" t="n">
        <v>0</v>
      </c>
      <c r="M329" t="n">
        <v>0</v>
      </c>
      <c r="N329" t="n">
        <v>0</v>
      </c>
      <c r="O329" t="n">
        <v>0</v>
      </c>
      <c r="P329" t="n">
        <v>0</v>
      </c>
      <c r="Q329" t="n">
        <v>0</v>
      </c>
      <c r="R329" s="2" t="inlineStr"/>
    </row>
    <row r="330" ht="15" customHeight="1">
      <c r="A330" t="inlineStr">
        <is>
          <t>A 46672-2022</t>
        </is>
      </c>
      <c r="B330" s="1" t="n">
        <v>44851</v>
      </c>
      <c r="C330" s="1" t="n">
        <v>45844</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46916-2022</t>
        </is>
      </c>
      <c r="B331" s="1" t="n">
        <v>44851</v>
      </c>
      <c r="C331" s="1" t="n">
        <v>45844</v>
      </c>
      <c r="D331" t="inlineStr">
        <is>
          <t>DALARNAS LÄN</t>
        </is>
      </c>
      <c r="E331" t="inlineStr">
        <is>
          <t>LEKSAND</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47441-2022</t>
        </is>
      </c>
      <c r="B332" s="1" t="n">
        <v>44853</v>
      </c>
      <c r="C332" s="1" t="n">
        <v>45844</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49342-2022</t>
        </is>
      </c>
      <c r="B333" s="1" t="n">
        <v>44861</v>
      </c>
      <c r="C333" s="1" t="n">
        <v>45844</v>
      </c>
      <c r="D333" t="inlineStr">
        <is>
          <t>DALARNAS LÄN</t>
        </is>
      </c>
      <c r="E333" t="inlineStr">
        <is>
          <t>LEKSAND</t>
        </is>
      </c>
      <c r="F333" t="inlineStr">
        <is>
          <t>Bergvik skog väst AB</t>
        </is>
      </c>
      <c r="G333" t="n">
        <v>4.2</v>
      </c>
      <c r="H333" t="n">
        <v>0</v>
      </c>
      <c r="I333" t="n">
        <v>0</v>
      </c>
      <c r="J333" t="n">
        <v>0</v>
      </c>
      <c r="K333" t="n">
        <v>0</v>
      </c>
      <c r="L333" t="n">
        <v>0</v>
      </c>
      <c r="M333" t="n">
        <v>0</v>
      </c>
      <c r="N333" t="n">
        <v>0</v>
      </c>
      <c r="O333" t="n">
        <v>0</v>
      </c>
      <c r="P333" t="n">
        <v>0</v>
      </c>
      <c r="Q333" t="n">
        <v>0</v>
      </c>
      <c r="R333" s="2" t="inlineStr"/>
    </row>
    <row r="334" ht="15" customHeight="1">
      <c r="A334" t="inlineStr">
        <is>
          <t>A 49345-2022</t>
        </is>
      </c>
      <c r="B334" s="1" t="n">
        <v>44861</v>
      </c>
      <c r="C334" s="1" t="n">
        <v>45844</v>
      </c>
      <c r="D334" t="inlineStr">
        <is>
          <t>DALARNAS LÄN</t>
        </is>
      </c>
      <c r="E334" t="inlineStr">
        <is>
          <t>LEKSAND</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49581-2022</t>
        </is>
      </c>
      <c r="B335" s="1" t="n">
        <v>44862</v>
      </c>
      <c r="C335" s="1" t="n">
        <v>45844</v>
      </c>
      <c r="D335" t="inlineStr">
        <is>
          <t>DALARNAS LÄN</t>
        </is>
      </c>
      <c r="E335" t="inlineStr">
        <is>
          <t>LEKSAND</t>
        </is>
      </c>
      <c r="G335" t="n">
        <v>1.8</v>
      </c>
      <c r="H335" t="n">
        <v>0</v>
      </c>
      <c r="I335" t="n">
        <v>0</v>
      </c>
      <c r="J335" t="n">
        <v>0</v>
      </c>
      <c r="K335" t="n">
        <v>0</v>
      </c>
      <c r="L335" t="n">
        <v>0</v>
      </c>
      <c r="M335" t="n">
        <v>0</v>
      </c>
      <c r="N335" t="n">
        <v>0</v>
      </c>
      <c r="O335" t="n">
        <v>0</v>
      </c>
      <c r="P335" t="n">
        <v>0</v>
      </c>
      <c r="Q335" t="n">
        <v>0</v>
      </c>
      <c r="R335" s="2" t="inlineStr"/>
    </row>
    <row r="336" ht="15" customHeight="1">
      <c r="A336" t="inlineStr">
        <is>
          <t>A 50219-2022</t>
        </is>
      </c>
      <c r="B336" s="1" t="n">
        <v>44865</v>
      </c>
      <c r="C336" s="1" t="n">
        <v>45844</v>
      </c>
      <c r="D336" t="inlineStr">
        <is>
          <t>DALARNAS LÄN</t>
        </is>
      </c>
      <c r="E336" t="inlineStr">
        <is>
          <t>LEKSAND</t>
        </is>
      </c>
      <c r="F336" t="inlineStr">
        <is>
          <t>Bergvik skog väst AB</t>
        </is>
      </c>
      <c r="G336" t="n">
        <v>0.8</v>
      </c>
      <c r="H336" t="n">
        <v>0</v>
      </c>
      <c r="I336" t="n">
        <v>0</v>
      </c>
      <c r="J336" t="n">
        <v>0</v>
      </c>
      <c r="K336" t="n">
        <v>0</v>
      </c>
      <c r="L336" t="n">
        <v>0</v>
      </c>
      <c r="M336" t="n">
        <v>0</v>
      </c>
      <c r="N336" t="n">
        <v>0</v>
      </c>
      <c r="O336" t="n">
        <v>0</v>
      </c>
      <c r="P336" t="n">
        <v>0</v>
      </c>
      <c r="Q336" t="n">
        <v>0</v>
      </c>
      <c r="R336" s="2" t="inlineStr"/>
    </row>
    <row r="337" ht="15" customHeight="1">
      <c r="A337" t="inlineStr">
        <is>
          <t>A 50353-2022</t>
        </is>
      </c>
      <c r="B337" s="1" t="n">
        <v>44866</v>
      </c>
      <c r="C337" s="1" t="n">
        <v>45844</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50352-2022</t>
        </is>
      </c>
      <c r="B338" s="1" t="n">
        <v>44866</v>
      </c>
      <c r="C338" s="1" t="n">
        <v>45844</v>
      </c>
      <c r="D338" t="inlineStr">
        <is>
          <t>DALARNAS LÄN</t>
        </is>
      </c>
      <c r="E338" t="inlineStr">
        <is>
          <t>LEKSAND</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50354-2022</t>
        </is>
      </c>
      <c r="B339" s="1" t="n">
        <v>44866</v>
      </c>
      <c r="C339" s="1" t="n">
        <v>45844</v>
      </c>
      <c r="D339" t="inlineStr">
        <is>
          <t>DALARNAS LÄN</t>
        </is>
      </c>
      <c r="E339" t="inlineStr">
        <is>
          <t>LEKSAND</t>
        </is>
      </c>
      <c r="F339" t="inlineStr">
        <is>
          <t>Bergvik skog väst AB</t>
        </is>
      </c>
      <c r="G339" t="n">
        <v>7.4</v>
      </c>
      <c r="H339" t="n">
        <v>0</v>
      </c>
      <c r="I339" t="n">
        <v>0</v>
      </c>
      <c r="J339" t="n">
        <v>0</v>
      </c>
      <c r="K339" t="n">
        <v>0</v>
      </c>
      <c r="L339" t="n">
        <v>0</v>
      </c>
      <c r="M339" t="n">
        <v>0</v>
      </c>
      <c r="N339" t="n">
        <v>0</v>
      </c>
      <c r="O339" t="n">
        <v>0</v>
      </c>
      <c r="P339" t="n">
        <v>0</v>
      </c>
      <c r="Q339" t="n">
        <v>0</v>
      </c>
      <c r="R339" s="2" t="inlineStr"/>
    </row>
    <row r="340" ht="15" customHeight="1">
      <c r="A340" t="inlineStr">
        <is>
          <t>A 51857-2022</t>
        </is>
      </c>
      <c r="B340" s="1" t="n">
        <v>44867</v>
      </c>
      <c r="C340" s="1" t="n">
        <v>45844</v>
      </c>
      <c r="D340" t="inlineStr">
        <is>
          <t>DALARNAS LÄN</t>
        </is>
      </c>
      <c r="E340" t="inlineStr">
        <is>
          <t>LEKSAND</t>
        </is>
      </c>
      <c r="G340" t="n">
        <v>1.2</v>
      </c>
      <c r="H340" t="n">
        <v>0</v>
      </c>
      <c r="I340" t="n">
        <v>0</v>
      </c>
      <c r="J340" t="n">
        <v>0</v>
      </c>
      <c r="K340" t="n">
        <v>0</v>
      </c>
      <c r="L340" t="n">
        <v>0</v>
      </c>
      <c r="M340" t="n">
        <v>0</v>
      </c>
      <c r="N340" t="n">
        <v>0</v>
      </c>
      <c r="O340" t="n">
        <v>0</v>
      </c>
      <c r="P340" t="n">
        <v>0</v>
      </c>
      <c r="Q340" t="n">
        <v>0</v>
      </c>
      <c r="R340" s="2" t="inlineStr"/>
    </row>
    <row r="341" ht="15" customHeight="1">
      <c r="A341" t="inlineStr">
        <is>
          <t>A 51449-2022</t>
        </is>
      </c>
      <c r="B341" s="1" t="n">
        <v>44869</v>
      </c>
      <c r="C341" s="1" t="n">
        <v>45844</v>
      </c>
      <c r="D341" t="inlineStr">
        <is>
          <t>DALARNAS LÄN</t>
        </is>
      </c>
      <c r="E341" t="inlineStr">
        <is>
          <t>LEKSAND</t>
        </is>
      </c>
      <c r="F341" t="inlineStr">
        <is>
          <t>Bergvik skog väst AB</t>
        </is>
      </c>
      <c r="G341" t="n">
        <v>5</v>
      </c>
      <c r="H341" t="n">
        <v>0</v>
      </c>
      <c r="I341" t="n">
        <v>0</v>
      </c>
      <c r="J341" t="n">
        <v>0</v>
      </c>
      <c r="K341" t="n">
        <v>0</v>
      </c>
      <c r="L341" t="n">
        <v>0</v>
      </c>
      <c r="M341" t="n">
        <v>0</v>
      </c>
      <c r="N341" t="n">
        <v>0</v>
      </c>
      <c r="O341" t="n">
        <v>0</v>
      </c>
      <c r="P341" t="n">
        <v>0</v>
      </c>
      <c r="Q341" t="n">
        <v>0</v>
      </c>
      <c r="R341" s="2" t="inlineStr"/>
    </row>
    <row r="342" ht="15" customHeight="1">
      <c r="A342" t="inlineStr">
        <is>
          <t>A 51480-2022</t>
        </is>
      </c>
      <c r="B342" s="1" t="n">
        <v>44869</v>
      </c>
      <c r="C342" s="1" t="n">
        <v>45844</v>
      </c>
      <c r="D342" t="inlineStr">
        <is>
          <t>DALARNAS LÄN</t>
        </is>
      </c>
      <c r="E342" t="inlineStr">
        <is>
          <t>LEKSAND</t>
        </is>
      </c>
      <c r="F342" t="inlineStr">
        <is>
          <t>Bergvik skog väst AB</t>
        </is>
      </c>
      <c r="G342" t="n">
        <v>1.7</v>
      </c>
      <c r="H342" t="n">
        <v>0</v>
      </c>
      <c r="I342" t="n">
        <v>0</v>
      </c>
      <c r="J342" t="n">
        <v>0</v>
      </c>
      <c r="K342" t="n">
        <v>0</v>
      </c>
      <c r="L342" t="n">
        <v>0</v>
      </c>
      <c r="M342" t="n">
        <v>0</v>
      </c>
      <c r="N342" t="n">
        <v>0</v>
      </c>
      <c r="O342" t="n">
        <v>0</v>
      </c>
      <c r="P342" t="n">
        <v>0</v>
      </c>
      <c r="Q342" t="n">
        <v>0</v>
      </c>
      <c r="R342" s="2" t="inlineStr"/>
    </row>
    <row r="343" ht="15" customHeight="1">
      <c r="A343" t="inlineStr">
        <is>
          <t>A 51502-2022</t>
        </is>
      </c>
      <c r="B343" s="1" t="n">
        <v>44869</v>
      </c>
      <c r="C343" s="1" t="n">
        <v>45844</v>
      </c>
      <c r="D343" t="inlineStr">
        <is>
          <t>DALARNAS LÄN</t>
        </is>
      </c>
      <c r="E343" t="inlineStr">
        <is>
          <t>LEKSAND</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51498-2022</t>
        </is>
      </c>
      <c r="B344" s="1" t="n">
        <v>44869</v>
      </c>
      <c r="C344" s="1" t="n">
        <v>45844</v>
      </c>
      <c r="D344" t="inlineStr">
        <is>
          <t>DALARNAS LÄN</t>
        </is>
      </c>
      <c r="E344" t="inlineStr">
        <is>
          <t>LEKSAND</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51842-2022</t>
        </is>
      </c>
      <c r="B345" s="1" t="n">
        <v>44872</v>
      </c>
      <c r="C345" s="1" t="n">
        <v>45844</v>
      </c>
      <c r="D345" t="inlineStr">
        <is>
          <t>DALARNAS LÄN</t>
        </is>
      </c>
      <c r="E345" t="inlineStr">
        <is>
          <t>LEKSAND</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52977-2022</t>
        </is>
      </c>
      <c r="B346" s="1" t="n">
        <v>44875</v>
      </c>
      <c r="C346" s="1" t="n">
        <v>45844</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53293-2022</t>
        </is>
      </c>
      <c r="B347" s="1" t="n">
        <v>44877</v>
      </c>
      <c r="C347" s="1" t="n">
        <v>45844</v>
      </c>
      <c r="D347" t="inlineStr">
        <is>
          <t>DALARNAS LÄN</t>
        </is>
      </c>
      <c r="E347" t="inlineStr">
        <is>
          <t>LEKSAND</t>
        </is>
      </c>
      <c r="G347" t="n">
        <v>0.4</v>
      </c>
      <c r="H347" t="n">
        <v>0</v>
      </c>
      <c r="I347" t="n">
        <v>0</v>
      </c>
      <c r="J347" t="n">
        <v>0</v>
      </c>
      <c r="K347" t="n">
        <v>0</v>
      </c>
      <c r="L347" t="n">
        <v>0</v>
      </c>
      <c r="M347" t="n">
        <v>0</v>
      </c>
      <c r="N347" t="n">
        <v>0</v>
      </c>
      <c r="O347" t="n">
        <v>0</v>
      </c>
      <c r="P347" t="n">
        <v>0</v>
      </c>
      <c r="Q347" t="n">
        <v>0</v>
      </c>
      <c r="R347" s="2" t="inlineStr"/>
    </row>
    <row r="348" ht="15" customHeight="1">
      <c r="A348" t="inlineStr">
        <is>
          <t>A 53787-2022</t>
        </is>
      </c>
      <c r="B348" s="1" t="n">
        <v>44880</v>
      </c>
      <c r="C348" s="1" t="n">
        <v>45844</v>
      </c>
      <c r="D348" t="inlineStr">
        <is>
          <t>DALARNAS LÄN</t>
        </is>
      </c>
      <c r="E348" t="inlineStr">
        <is>
          <t>LEKSAND</t>
        </is>
      </c>
      <c r="G348" t="n">
        <v>7.6</v>
      </c>
      <c r="H348" t="n">
        <v>0</v>
      </c>
      <c r="I348" t="n">
        <v>0</v>
      </c>
      <c r="J348" t="n">
        <v>0</v>
      </c>
      <c r="K348" t="n">
        <v>0</v>
      </c>
      <c r="L348" t="n">
        <v>0</v>
      </c>
      <c r="M348" t="n">
        <v>0</v>
      </c>
      <c r="N348" t="n">
        <v>0</v>
      </c>
      <c r="O348" t="n">
        <v>0</v>
      </c>
      <c r="P348" t="n">
        <v>0</v>
      </c>
      <c r="Q348" t="n">
        <v>0</v>
      </c>
      <c r="R348" s="2" t="inlineStr"/>
    </row>
    <row r="349" ht="15" customHeight="1">
      <c r="A349" t="inlineStr">
        <is>
          <t>A 54070-2022</t>
        </is>
      </c>
      <c r="B349" s="1" t="n">
        <v>44881</v>
      </c>
      <c r="C349" s="1" t="n">
        <v>45844</v>
      </c>
      <c r="D349" t="inlineStr">
        <is>
          <t>DALARNAS LÄN</t>
        </is>
      </c>
      <c r="E349" t="inlineStr">
        <is>
          <t>LEKSAND</t>
        </is>
      </c>
      <c r="G349" t="n">
        <v>4.7</v>
      </c>
      <c r="H349" t="n">
        <v>0</v>
      </c>
      <c r="I349" t="n">
        <v>0</v>
      </c>
      <c r="J349" t="n">
        <v>0</v>
      </c>
      <c r="K349" t="n">
        <v>0</v>
      </c>
      <c r="L349" t="n">
        <v>0</v>
      </c>
      <c r="M349" t="n">
        <v>0</v>
      </c>
      <c r="N349" t="n">
        <v>0</v>
      </c>
      <c r="O349" t="n">
        <v>0</v>
      </c>
      <c r="P349" t="n">
        <v>0</v>
      </c>
      <c r="Q349" t="n">
        <v>0</v>
      </c>
      <c r="R349" s="2" t="inlineStr"/>
    </row>
    <row r="350" ht="15" customHeight="1">
      <c r="A350" t="inlineStr">
        <is>
          <t>A 56330-2022</t>
        </is>
      </c>
      <c r="B350" s="1" t="n">
        <v>44890</v>
      </c>
      <c r="C350" s="1" t="n">
        <v>45844</v>
      </c>
      <c r="D350" t="inlineStr">
        <is>
          <t>DALARNAS LÄN</t>
        </is>
      </c>
      <c r="E350" t="inlineStr">
        <is>
          <t>LEKSAND</t>
        </is>
      </c>
      <c r="G350" t="n">
        <v>4.9</v>
      </c>
      <c r="H350" t="n">
        <v>0</v>
      </c>
      <c r="I350" t="n">
        <v>0</v>
      </c>
      <c r="J350" t="n">
        <v>0</v>
      </c>
      <c r="K350" t="n">
        <v>0</v>
      </c>
      <c r="L350" t="n">
        <v>0</v>
      </c>
      <c r="M350" t="n">
        <v>0</v>
      </c>
      <c r="N350" t="n">
        <v>0</v>
      </c>
      <c r="O350" t="n">
        <v>0</v>
      </c>
      <c r="P350" t="n">
        <v>0</v>
      </c>
      <c r="Q350" t="n">
        <v>0</v>
      </c>
      <c r="R350" s="2" t="inlineStr"/>
    </row>
    <row r="351" ht="15" customHeight="1">
      <c r="A351" t="inlineStr">
        <is>
          <t>A 57415-2022</t>
        </is>
      </c>
      <c r="B351" s="1" t="n">
        <v>44896</v>
      </c>
      <c r="C351" s="1" t="n">
        <v>45844</v>
      </c>
      <c r="D351" t="inlineStr">
        <is>
          <t>DALARNAS LÄN</t>
        </is>
      </c>
      <c r="E351" t="inlineStr">
        <is>
          <t>LEKSAND</t>
        </is>
      </c>
      <c r="G351" t="n">
        <v>2.1</v>
      </c>
      <c r="H351" t="n">
        <v>0</v>
      </c>
      <c r="I351" t="n">
        <v>0</v>
      </c>
      <c r="J351" t="n">
        <v>0</v>
      </c>
      <c r="K351" t="n">
        <v>0</v>
      </c>
      <c r="L351" t="n">
        <v>0</v>
      </c>
      <c r="M351" t="n">
        <v>0</v>
      </c>
      <c r="N351" t="n">
        <v>0</v>
      </c>
      <c r="O351" t="n">
        <v>0</v>
      </c>
      <c r="P351" t="n">
        <v>0</v>
      </c>
      <c r="Q351" t="n">
        <v>0</v>
      </c>
      <c r="R351" s="2" t="inlineStr"/>
    </row>
    <row r="352" ht="15" customHeight="1">
      <c r="A352" t="inlineStr">
        <is>
          <t>A 57438-2022</t>
        </is>
      </c>
      <c r="B352" s="1" t="n">
        <v>44896</v>
      </c>
      <c r="C352" s="1" t="n">
        <v>45844</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58619-2022</t>
        </is>
      </c>
      <c r="B353" s="1" t="n">
        <v>44902</v>
      </c>
      <c r="C353" s="1" t="n">
        <v>45844</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60300-2022</t>
        </is>
      </c>
      <c r="B354" s="1" t="n">
        <v>44903</v>
      </c>
      <c r="C354" s="1" t="n">
        <v>45844</v>
      </c>
      <c r="D354" t="inlineStr">
        <is>
          <t>DALARNAS LÄN</t>
        </is>
      </c>
      <c r="E354" t="inlineStr">
        <is>
          <t>LEKSAND</t>
        </is>
      </c>
      <c r="G354" t="n">
        <v>2.7</v>
      </c>
      <c r="H354" t="n">
        <v>0</v>
      </c>
      <c r="I354" t="n">
        <v>0</v>
      </c>
      <c r="J354" t="n">
        <v>0</v>
      </c>
      <c r="K354" t="n">
        <v>0</v>
      </c>
      <c r="L354" t="n">
        <v>0</v>
      </c>
      <c r="M354" t="n">
        <v>0</v>
      </c>
      <c r="N354" t="n">
        <v>0</v>
      </c>
      <c r="O354" t="n">
        <v>0</v>
      </c>
      <c r="P354" t="n">
        <v>0</v>
      </c>
      <c r="Q354" t="n">
        <v>0</v>
      </c>
      <c r="R354" s="2" t="inlineStr"/>
    </row>
    <row r="355" ht="15" customHeight="1">
      <c r="A355" t="inlineStr">
        <is>
          <t>A 60095-2022</t>
        </is>
      </c>
      <c r="B355" s="1" t="n">
        <v>44909</v>
      </c>
      <c r="C355" s="1" t="n">
        <v>45844</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60113-2022</t>
        </is>
      </c>
      <c r="B356" s="1" t="n">
        <v>44909</v>
      </c>
      <c r="C356" s="1" t="n">
        <v>45844</v>
      </c>
      <c r="D356" t="inlineStr">
        <is>
          <t>DALARNAS LÄN</t>
        </is>
      </c>
      <c r="E356" t="inlineStr">
        <is>
          <t>LEKSAND</t>
        </is>
      </c>
      <c r="G356" t="n">
        <v>3.7</v>
      </c>
      <c r="H356" t="n">
        <v>0</v>
      </c>
      <c r="I356" t="n">
        <v>0</v>
      </c>
      <c r="J356" t="n">
        <v>0</v>
      </c>
      <c r="K356" t="n">
        <v>0</v>
      </c>
      <c r="L356" t="n">
        <v>0</v>
      </c>
      <c r="M356" t="n">
        <v>0</v>
      </c>
      <c r="N356" t="n">
        <v>0</v>
      </c>
      <c r="O356" t="n">
        <v>0</v>
      </c>
      <c r="P356" t="n">
        <v>0</v>
      </c>
      <c r="Q356" t="n">
        <v>0</v>
      </c>
      <c r="R356" s="2" t="inlineStr"/>
    </row>
    <row r="357" ht="15" customHeight="1">
      <c r="A357" t="inlineStr">
        <is>
          <t>A 61269-2022</t>
        </is>
      </c>
      <c r="B357" s="1" t="n">
        <v>44909</v>
      </c>
      <c r="C357" s="1" t="n">
        <v>45844</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60550-2022</t>
        </is>
      </c>
      <c r="B358" s="1" t="n">
        <v>44911</v>
      </c>
      <c r="C358" s="1" t="n">
        <v>45844</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60715-2022</t>
        </is>
      </c>
      <c r="B359" s="1" t="n">
        <v>44912</v>
      </c>
      <c r="C359" s="1" t="n">
        <v>45844</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60913-2022</t>
        </is>
      </c>
      <c r="B360" s="1" t="n">
        <v>44914</v>
      </c>
      <c r="C360" s="1" t="n">
        <v>45844</v>
      </c>
      <c r="D360" t="inlineStr">
        <is>
          <t>DALARNAS LÄN</t>
        </is>
      </c>
      <c r="E360" t="inlineStr">
        <is>
          <t>LEKSAND</t>
        </is>
      </c>
      <c r="G360" t="n">
        <v>4.2</v>
      </c>
      <c r="H360" t="n">
        <v>0</v>
      </c>
      <c r="I360" t="n">
        <v>0</v>
      </c>
      <c r="J360" t="n">
        <v>0</v>
      </c>
      <c r="K360" t="n">
        <v>0</v>
      </c>
      <c r="L360" t="n">
        <v>0</v>
      </c>
      <c r="M360" t="n">
        <v>0</v>
      </c>
      <c r="N360" t="n">
        <v>0</v>
      </c>
      <c r="O360" t="n">
        <v>0</v>
      </c>
      <c r="P360" t="n">
        <v>0</v>
      </c>
      <c r="Q360" t="n">
        <v>0</v>
      </c>
      <c r="R360" s="2" t="inlineStr"/>
    </row>
    <row r="361" ht="15" customHeight="1">
      <c r="A361" t="inlineStr">
        <is>
          <t>A 61288-2022</t>
        </is>
      </c>
      <c r="B361" s="1" t="n">
        <v>44915</v>
      </c>
      <c r="C361" s="1" t="n">
        <v>45844</v>
      </c>
      <c r="D361" t="inlineStr">
        <is>
          <t>DALARNAS LÄN</t>
        </is>
      </c>
      <c r="E361" t="inlineStr">
        <is>
          <t>LEKSAND</t>
        </is>
      </c>
      <c r="G361" t="n">
        <v>1.7</v>
      </c>
      <c r="H361" t="n">
        <v>0</v>
      </c>
      <c r="I361" t="n">
        <v>0</v>
      </c>
      <c r="J361" t="n">
        <v>0</v>
      </c>
      <c r="K361" t="n">
        <v>0</v>
      </c>
      <c r="L361" t="n">
        <v>0</v>
      </c>
      <c r="M361" t="n">
        <v>0</v>
      </c>
      <c r="N361" t="n">
        <v>0</v>
      </c>
      <c r="O361" t="n">
        <v>0</v>
      </c>
      <c r="P361" t="n">
        <v>0</v>
      </c>
      <c r="Q361" t="n">
        <v>0</v>
      </c>
      <c r="R361" s="2" t="inlineStr"/>
    </row>
    <row r="362" ht="15" customHeight="1">
      <c r="A362" t="inlineStr">
        <is>
          <t>A 61786-2022</t>
        </is>
      </c>
      <c r="B362" s="1" t="n">
        <v>44917</v>
      </c>
      <c r="C362" s="1" t="n">
        <v>45844</v>
      </c>
      <c r="D362" t="inlineStr">
        <is>
          <t>DALARNAS LÄN</t>
        </is>
      </c>
      <c r="E362" t="inlineStr">
        <is>
          <t>LEKSAND</t>
        </is>
      </c>
      <c r="G362" t="n">
        <v>4.3</v>
      </c>
      <c r="H362" t="n">
        <v>0</v>
      </c>
      <c r="I362" t="n">
        <v>0</v>
      </c>
      <c r="J362" t="n">
        <v>0</v>
      </c>
      <c r="K362" t="n">
        <v>0</v>
      </c>
      <c r="L362" t="n">
        <v>0</v>
      </c>
      <c r="M362" t="n">
        <v>0</v>
      </c>
      <c r="N362" t="n">
        <v>0</v>
      </c>
      <c r="O362" t="n">
        <v>0</v>
      </c>
      <c r="P362" t="n">
        <v>0</v>
      </c>
      <c r="Q362" t="n">
        <v>0</v>
      </c>
      <c r="R362" s="2" t="inlineStr"/>
    </row>
    <row r="363" ht="15" customHeight="1">
      <c r="A363" t="inlineStr">
        <is>
          <t>A 61787-2022</t>
        </is>
      </c>
      <c r="B363" s="1" t="n">
        <v>44917</v>
      </c>
      <c r="C363" s="1" t="n">
        <v>45844</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164-2023</t>
        </is>
      </c>
      <c r="B364" s="1" t="n">
        <v>44918</v>
      </c>
      <c r="C364" s="1" t="n">
        <v>45844</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151-2023</t>
        </is>
      </c>
      <c r="B365" s="1" t="n">
        <v>44918</v>
      </c>
      <c r="C365" s="1" t="n">
        <v>45844</v>
      </c>
      <c r="D365" t="inlineStr">
        <is>
          <t>DALARNAS LÄN</t>
        </is>
      </c>
      <c r="E365" t="inlineStr">
        <is>
          <t>LEKSAND</t>
        </is>
      </c>
      <c r="F365" t="inlineStr">
        <is>
          <t>Kommuner</t>
        </is>
      </c>
      <c r="G365" t="n">
        <v>0.6</v>
      </c>
      <c r="H365" t="n">
        <v>0</v>
      </c>
      <c r="I365" t="n">
        <v>0</v>
      </c>
      <c r="J365" t="n">
        <v>0</v>
      </c>
      <c r="K365" t="n">
        <v>0</v>
      </c>
      <c r="L365" t="n">
        <v>0</v>
      </c>
      <c r="M365" t="n">
        <v>0</v>
      </c>
      <c r="N365" t="n">
        <v>0</v>
      </c>
      <c r="O365" t="n">
        <v>0</v>
      </c>
      <c r="P365" t="n">
        <v>0</v>
      </c>
      <c r="Q365" t="n">
        <v>0</v>
      </c>
      <c r="R365" s="2" t="inlineStr"/>
    </row>
    <row r="366" ht="15" customHeight="1">
      <c r="A366" t="inlineStr">
        <is>
          <t>A 167-2023</t>
        </is>
      </c>
      <c r="B366" s="1" t="n">
        <v>44918</v>
      </c>
      <c r="C366" s="1" t="n">
        <v>45844</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325-2023</t>
        </is>
      </c>
      <c r="B367" s="1" t="n">
        <v>44929</v>
      </c>
      <c r="C367" s="1" t="n">
        <v>45844</v>
      </c>
      <c r="D367" t="inlineStr">
        <is>
          <t>DALARNAS LÄN</t>
        </is>
      </c>
      <c r="E367" t="inlineStr">
        <is>
          <t>LEKSAND</t>
        </is>
      </c>
      <c r="F367" t="inlineStr">
        <is>
          <t>Övriga Aktiebolag</t>
        </is>
      </c>
      <c r="G367" t="n">
        <v>7.1</v>
      </c>
      <c r="H367" t="n">
        <v>0</v>
      </c>
      <c r="I367" t="n">
        <v>0</v>
      </c>
      <c r="J367" t="n">
        <v>0</v>
      </c>
      <c r="K367" t="n">
        <v>0</v>
      </c>
      <c r="L367" t="n">
        <v>0</v>
      </c>
      <c r="M367" t="n">
        <v>0</v>
      </c>
      <c r="N367" t="n">
        <v>0</v>
      </c>
      <c r="O367" t="n">
        <v>0</v>
      </c>
      <c r="P367" t="n">
        <v>0</v>
      </c>
      <c r="Q367" t="n">
        <v>0</v>
      </c>
      <c r="R367" s="2" t="inlineStr"/>
    </row>
    <row r="368" ht="15" customHeight="1">
      <c r="A368" t="inlineStr">
        <is>
          <t>A 315-2023</t>
        </is>
      </c>
      <c r="B368" s="1" t="n">
        <v>44929</v>
      </c>
      <c r="C368" s="1" t="n">
        <v>45844</v>
      </c>
      <c r="D368" t="inlineStr">
        <is>
          <t>DALARNAS LÄN</t>
        </is>
      </c>
      <c r="E368" t="inlineStr">
        <is>
          <t>LEKSAND</t>
        </is>
      </c>
      <c r="F368" t="inlineStr">
        <is>
          <t>Övriga Aktiebolag</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320-2023</t>
        </is>
      </c>
      <c r="B369" s="1" t="n">
        <v>44929</v>
      </c>
      <c r="C369" s="1" t="n">
        <v>45844</v>
      </c>
      <c r="D369" t="inlineStr">
        <is>
          <t>DALARNAS LÄN</t>
        </is>
      </c>
      <c r="E369" t="inlineStr">
        <is>
          <t>LEKSAND</t>
        </is>
      </c>
      <c r="F369" t="inlineStr">
        <is>
          <t>Övriga Aktiebolag</t>
        </is>
      </c>
      <c r="G369" t="n">
        <v>5.4</v>
      </c>
      <c r="H369" t="n">
        <v>0</v>
      </c>
      <c r="I369" t="n">
        <v>0</v>
      </c>
      <c r="J369" t="n">
        <v>0</v>
      </c>
      <c r="K369" t="n">
        <v>0</v>
      </c>
      <c r="L369" t="n">
        <v>0</v>
      </c>
      <c r="M369" t="n">
        <v>0</v>
      </c>
      <c r="N369" t="n">
        <v>0</v>
      </c>
      <c r="O369" t="n">
        <v>0</v>
      </c>
      <c r="P369" t="n">
        <v>0</v>
      </c>
      <c r="Q369" t="n">
        <v>0</v>
      </c>
      <c r="R369" s="2" t="inlineStr"/>
    </row>
    <row r="370" ht="15" customHeight="1">
      <c r="A370" t="inlineStr">
        <is>
          <t>A 391-2023</t>
        </is>
      </c>
      <c r="B370" s="1" t="n">
        <v>44929</v>
      </c>
      <c r="C370" s="1" t="n">
        <v>45844</v>
      </c>
      <c r="D370" t="inlineStr">
        <is>
          <t>DALARNAS LÄN</t>
        </is>
      </c>
      <c r="E370" t="inlineStr">
        <is>
          <t>LEKSAND</t>
        </is>
      </c>
      <c r="F370" t="inlineStr">
        <is>
          <t>Övriga Aktiebolag</t>
        </is>
      </c>
      <c r="G370" t="n">
        <v>10</v>
      </c>
      <c r="H370" t="n">
        <v>0</v>
      </c>
      <c r="I370" t="n">
        <v>0</v>
      </c>
      <c r="J370" t="n">
        <v>0</v>
      </c>
      <c r="K370" t="n">
        <v>0</v>
      </c>
      <c r="L370" t="n">
        <v>0</v>
      </c>
      <c r="M370" t="n">
        <v>0</v>
      </c>
      <c r="N370" t="n">
        <v>0</v>
      </c>
      <c r="O370" t="n">
        <v>0</v>
      </c>
      <c r="P370" t="n">
        <v>0</v>
      </c>
      <c r="Q370" t="n">
        <v>0</v>
      </c>
      <c r="R370" s="2" t="inlineStr"/>
    </row>
    <row r="371" ht="15" customHeight="1">
      <c r="A371" t="inlineStr">
        <is>
          <t>A 784-2023</t>
        </is>
      </c>
      <c r="B371" s="1" t="n">
        <v>44931</v>
      </c>
      <c r="C371" s="1" t="n">
        <v>45844</v>
      </c>
      <c r="D371" t="inlineStr">
        <is>
          <t>DALARNAS LÄN</t>
        </is>
      </c>
      <c r="E371" t="inlineStr">
        <is>
          <t>LEKSAND</t>
        </is>
      </c>
      <c r="G371" t="n">
        <v>2.3</v>
      </c>
      <c r="H371" t="n">
        <v>0</v>
      </c>
      <c r="I371" t="n">
        <v>0</v>
      </c>
      <c r="J371" t="n">
        <v>0</v>
      </c>
      <c r="K371" t="n">
        <v>0</v>
      </c>
      <c r="L371" t="n">
        <v>0</v>
      </c>
      <c r="M371" t="n">
        <v>0</v>
      </c>
      <c r="N371" t="n">
        <v>0</v>
      </c>
      <c r="O371" t="n">
        <v>0</v>
      </c>
      <c r="P371" t="n">
        <v>0</v>
      </c>
      <c r="Q371" t="n">
        <v>0</v>
      </c>
      <c r="R371" s="2" t="inlineStr"/>
    </row>
    <row r="372" ht="15" customHeight="1">
      <c r="A372" t="inlineStr">
        <is>
          <t>A 1510-2023</t>
        </is>
      </c>
      <c r="B372" s="1" t="n">
        <v>44937</v>
      </c>
      <c r="C372" s="1" t="n">
        <v>45844</v>
      </c>
      <c r="D372" t="inlineStr">
        <is>
          <t>DALARNAS LÄN</t>
        </is>
      </c>
      <c r="E372" t="inlineStr">
        <is>
          <t>LEKSAND</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3262-2023</t>
        </is>
      </c>
      <c r="B373" s="1" t="n">
        <v>44948</v>
      </c>
      <c r="C373" s="1" t="n">
        <v>45844</v>
      </c>
      <c r="D373" t="inlineStr">
        <is>
          <t>DALARNAS LÄN</t>
        </is>
      </c>
      <c r="E373" t="inlineStr">
        <is>
          <t>LEKSAND</t>
        </is>
      </c>
      <c r="G373" t="n">
        <v>1.3</v>
      </c>
      <c r="H373" t="n">
        <v>0</v>
      </c>
      <c r="I373" t="n">
        <v>0</v>
      </c>
      <c r="J373" t="n">
        <v>0</v>
      </c>
      <c r="K373" t="n">
        <v>0</v>
      </c>
      <c r="L373" t="n">
        <v>0</v>
      </c>
      <c r="M373" t="n">
        <v>0</v>
      </c>
      <c r="N373" t="n">
        <v>0</v>
      </c>
      <c r="O373" t="n">
        <v>0</v>
      </c>
      <c r="P373" t="n">
        <v>0</v>
      </c>
      <c r="Q373" t="n">
        <v>0</v>
      </c>
      <c r="R373" s="2" t="inlineStr"/>
    </row>
    <row r="374" ht="15" customHeight="1">
      <c r="A374" t="inlineStr">
        <is>
          <t>A 3445-2023</t>
        </is>
      </c>
      <c r="B374" s="1" t="n">
        <v>44949</v>
      </c>
      <c r="C374" s="1" t="n">
        <v>45844</v>
      </c>
      <c r="D374" t="inlineStr">
        <is>
          <t>DALARNAS LÄN</t>
        </is>
      </c>
      <c r="E374" t="inlineStr">
        <is>
          <t>LEKSAND</t>
        </is>
      </c>
      <c r="G374" t="n">
        <v>2.8</v>
      </c>
      <c r="H374" t="n">
        <v>0</v>
      </c>
      <c r="I374" t="n">
        <v>0</v>
      </c>
      <c r="J374" t="n">
        <v>0</v>
      </c>
      <c r="K374" t="n">
        <v>0</v>
      </c>
      <c r="L374" t="n">
        <v>0</v>
      </c>
      <c r="M374" t="n">
        <v>0</v>
      </c>
      <c r="N374" t="n">
        <v>0</v>
      </c>
      <c r="O374" t="n">
        <v>0</v>
      </c>
      <c r="P374" t="n">
        <v>0</v>
      </c>
      <c r="Q374" t="n">
        <v>0</v>
      </c>
      <c r="R374" s="2" t="inlineStr"/>
    </row>
    <row r="375" ht="15" customHeight="1">
      <c r="A375" t="inlineStr">
        <is>
          <t>A 3737-2023</t>
        </is>
      </c>
      <c r="B375" s="1" t="n">
        <v>44951</v>
      </c>
      <c r="C375" s="1" t="n">
        <v>45844</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4182-2023</t>
        </is>
      </c>
      <c r="B376" s="1" t="n">
        <v>44951</v>
      </c>
      <c r="C376" s="1" t="n">
        <v>45844</v>
      </c>
      <c r="D376" t="inlineStr">
        <is>
          <t>DALARNAS LÄN</t>
        </is>
      </c>
      <c r="E376" t="inlineStr">
        <is>
          <t>LEKSAND</t>
        </is>
      </c>
      <c r="G376" t="n">
        <v>3.1</v>
      </c>
      <c r="H376" t="n">
        <v>0</v>
      </c>
      <c r="I376" t="n">
        <v>0</v>
      </c>
      <c r="J376" t="n">
        <v>0</v>
      </c>
      <c r="K376" t="n">
        <v>0</v>
      </c>
      <c r="L376" t="n">
        <v>0</v>
      </c>
      <c r="M376" t="n">
        <v>0</v>
      </c>
      <c r="N376" t="n">
        <v>0</v>
      </c>
      <c r="O376" t="n">
        <v>0</v>
      </c>
      <c r="P376" t="n">
        <v>0</v>
      </c>
      <c r="Q376" t="n">
        <v>0</v>
      </c>
      <c r="R376" s="2" t="inlineStr"/>
    </row>
    <row r="377" ht="15" customHeight="1">
      <c r="A377" t="inlineStr">
        <is>
          <t>A 4217-2023</t>
        </is>
      </c>
      <c r="B377" s="1" t="n">
        <v>44953</v>
      </c>
      <c r="C377" s="1" t="n">
        <v>45844</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6057-2023</t>
        </is>
      </c>
      <c r="B378" s="1" t="n">
        <v>44959</v>
      </c>
      <c r="C378" s="1" t="n">
        <v>45844</v>
      </c>
      <c r="D378" t="inlineStr">
        <is>
          <t>DALARNAS LÄN</t>
        </is>
      </c>
      <c r="E378" t="inlineStr">
        <is>
          <t>LEKSAND</t>
        </is>
      </c>
      <c r="G378" t="n">
        <v>1.4</v>
      </c>
      <c r="H378" t="n">
        <v>0</v>
      </c>
      <c r="I378" t="n">
        <v>0</v>
      </c>
      <c r="J378" t="n">
        <v>0</v>
      </c>
      <c r="K378" t="n">
        <v>0</v>
      </c>
      <c r="L378" t="n">
        <v>0</v>
      </c>
      <c r="M378" t="n">
        <v>0</v>
      </c>
      <c r="N378" t="n">
        <v>0</v>
      </c>
      <c r="O378" t="n">
        <v>0</v>
      </c>
      <c r="P378" t="n">
        <v>0</v>
      </c>
      <c r="Q378" t="n">
        <v>0</v>
      </c>
      <c r="R378" s="2" t="inlineStr"/>
    </row>
    <row r="379" ht="15" customHeight="1">
      <c r="A379" t="inlineStr">
        <is>
          <t>A 6039-2023</t>
        </is>
      </c>
      <c r="B379" s="1" t="n">
        <v>44959</v>
      </c>
      <c r="C379" s="1" t="n">
        <v>45844</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6079-2023</t>
        </is>
      </c>
      <c r="B380" s="1" t="n">
        <v>44959</v>
      </c>
      <c r="C380" s="1" t="n">
        <v>45844</v>
      </c>
      <c r="D380" t="inlineStr">
        <is>
          <t>DALARNAS LÄN</t>
        </is>
      </c>
      <c r="E380" t="inlineStr">
        <is>
          <t>LEKSAND</t>
        </is>
      </c>
      <c r="G380" t="n">
        <v>4.1</v>
      </c>
      <c r="H380" t="n">
        <v>0</v>
      </c>
      <c r="I380" t="n">
        <v>0</v>
      </c>
      <c r="J380" t="n">
        <v>0</v>
      </c>
      <c r="K380" t="n">
        <v>0</v>
      </c>
      <c r="L380" t="n">
        <v>0</v>
      </c>
      <c r="M380" t="n">
        <v>0</v>
      </c>
      <c r="N380" t="n">
        <v>0</v>
      </c>
      <c r="O380" t="n">
        <v>0</v>
      </c>
      <c r="P380" t="n">
        <v>0</v>
      </c>
      <c r="Q380" t="n">
        <v>0</v>
      </c>
      <c r="R380" s="2" t="inlineStr"/>
    </row>
    <row r="381" ht="15" customHeight="1">
      <c r="A381" t="inlineStr">
        <is>
          <t>A 6050-2023</t>
        </is>
      </c>
      <c r="B381" s="1" t="n">
        <v>44959</v>
      </c>
      <c r="C381" s="1" t="n">
        <v>45844</v>
      </c>
      <c r="D381" t="inlineStr">
        <is>
          <t>DALARNAS LÄN</t>
        </is>
      </c>
      <c r="E381" t="inlineStr">
        <is>
          <t>LEKSAND</t>
        </is>
      </c>
      <c r="G381" t="n">
        <v>6.2</v>
      </c>
      <c r="H381" t="n">
        <v>0</v>
      </c>
      <c r="I381" t="n">
        <v>0</v>
      </c>
      <c r="J381" t="n">
        <v>0</v>
      </c>
      <c r="K381" t="n">
        <v>0</v>
      </c>
      <c r="L381" t="n">
        <v>0</v>
      </c>
      <c r="M381" t="n">
        <v>0</v>
      </c>
      <c r="N381" t="n">
        <v>0</v>
      </c>
      <c r="O381" t="n">
        <v>0</v>
      </c>
      <c r="P381" t="n">
        <v>0</v>
      </c>
      <c r="Q381" t="n">
        <v>0</v>
      </c>
      <c r="R381" s="2" t="inlineStr"/>
    </row>
    <row r="382" ht="15" customHeight="1">
      <c r="A382" t="inlineStr">
        <is>
          <t>A 5738-2023</t>
        </is>
      </c>
      <c r="B382" s="1" t="n">
        <v>44962</v>
      </c>
      <c r="C382" s="1" t="n">
        <v>45844</v>
      </c>
      <c r="D382" t="inlineStr">
        <is>
          <t>DALARNAS LÄN</t>
        </is>
      </c>
      <c r="E382" t="inlineStr">
        <is>
          <t>LEKSAND</t>
        </is>
      </c>
      <c r="G382" t="n">
        <v>0.2</v>
      </c>
      <c r="H382" t="n">
        <v>0</v>
      </c>
      <c r="I382" t="n">
        <v>0</v>
      </c>
      <c r="J382" t="n">
        <v>0</v>
      </c>
      <c r="K382" t="n">
        <v>0</v>
      </c>
      <c r="L382" t="n">
        <v>0</v>
      </c>
      <c r="M382" t="n">
        <v>0</v>
      </c>
      <c r="N382" t="n">
        <v>0</v>
      </c>
      <c r="O382" t="n">
        <v>0</v>
      </c>
      <c r="P382" t="n">
        <v>0</v>
      </c>
      <c r="Q382" t="n">
        <v>0</v>
      </c>
      <c r="R382" s="2" t="inlineStr"/>
    </row>
    <row r="383" ht="15" customHeight="1">
      <c r="A383" t="inlineStr">
        <is>
          <t>A 6074-2023</t>
        </is>
      </c>
      <c r="B383" s="1" t="n">
        <v>44964</v>
      </c>
      <c r="C383" s="1" t="n">
        <v>45844</v>
      </c>
      <c r="D383" t="inlineStr">
        <is>
          <t>DALARNAS LÄN</t>
        </is>
      </c>
      <c r="E383" t="inlineStr">
        <is>
          <t>LEKSAND</t>
        </is>
      </c>
      <c r="G383" t="n">
        <v>0.7</v>
      </c>
      <c r="H383" t="n">
        <v>0</v>
      </c>
      <c r="I383" t="n">
        <v>0</v>
      </c>
      <c r="J383" t="n">
        <v>0</v>
      </c>
      <c r="K383" t="n">
        <v>0</v>
      </c>
      <c r="L383" t="n">
        <v>0</v>
      </c>
      <c r="M383" t="n">
        <v>0</v>
      </c>
      <c r="N383" t="n">
        <v>0</v>
      </c>
      <c r="O383" t="n">
        <v>0</v>
      </c>
      <c r="P383" t="n">
        <v>0</v>
      </c>
      <c r="Q383" t="n">
        <v>0</v>
      </c>
      <c r="R383" s="2" t="inlineStr"/>
    </row>
    <row r="384" ht="15" customHeight="1">
      <c r="A384" t="inlineStr">
        <is>
          <t>A 7441-2023</t>
        </is>
      </c>
      <c r="B384" s="1" t="n">
        <v>44966</v>
      </c>
      <c r="C384" s="1" t="n">
        <v>45844</v>
      </c>
      <c r="D384" t="inlineStr">
        <is>
          <t>DALARNAS LÄN</t>
        </is>
      </c>
      <c r="E384" t="inlineStr">
        <is>
          <t>LEKSAND</t>
        </is>
      </c>
      <c r="G384" t="n">
        <v>18</v>
      </c>
      <c r="H384" t="n">
        <v>0</v>
      </c>
      <c r="I384" t="n">
        <v>0</v>
      </c>
      <c r="J384" t="n">
        <v>0</v>
      </c>
      <c r="K384" t="n">
        <v>0</v>
      </c>
      <c r="L384" t="n">
        <v>0</v>
      </c>
      <c r="M384" t="n">
        <v>0</v>
      </c>
      <c r="N384" t="n">
        <v>0</v>
      </c>
      <c r="O384" t="n">
        <v>0</v>
      </c>
      <c r="P384" t="n">
        <v>0</v>
      </c>
      <c r="Q384" t="n">
        <v>0</v>
      </c>
      <c r="R384" s="2" t="inlineStr"/>
    </row>
    <row r="385" ht="15" customHeight="1">
      <c r="A385" t="inlineStr">
        <is>
          <t>A 7467-2023</t>
        </is>
      </c>
      <c r="B385" s="1" t="n">
        <v>44966</v>
      </c>
      <c r="C385" s="1" t="n">
        <v>45844</v>
      </c>
      <c r="D385" t="inlineStr">
        <is>
          <t>DALARNAS LÄN</t>
        </is>
      </c>
      <c r="E385" t="inlineStr">
        <is>
          <t>LEKSAND</t>
        </is>
      </c>
      <c r="G385" t="n">
        <v>2.4</v>
      </c>
      <c r="H385" t="n">
        <v>0</v>
      </c>
      <c r="I385" t="n">
        <v>0</v>
      </c>
      <c r="J385" t="n">
        <v>0</v>
      </c>
      <c r="K385" t="n">
        <v>0</v>
      </c>
      <c r="L385" t="n">
        <v>0</v>
      </c>
      <c r="M385" t="n">
        <v>0</v>
      </c>
      <c r="N385" t="n">
        <v>0</v>
      </c>
      <c r="O385" t="n">
        <v>0</v>
      </c>
      <c r="P385" t="n">
        <v>0</v>
      </c>
      <c r="Q385" t="n">
        <v>0</v>
      </c>
      <c r="R385" s="2" t="inlineStr"/>
    </row>
    <row r="386" ht="15" customHeight="1">
      <c r="A386" t="inlineStr">
        <is>
          <t>A 6846-2023</t>
        </is>
      </c>
      <c r="B386" s="1" t="n">
        <v>44967</v>
      </c>
      <c r="C386" s="1" t="n">
        <v>45844</v>
      </c>
      <c r="D386" t="inlineStr">
        <is>
          <t>DALARNAS LÄN</t>
        </is>
      </c>
      <c r="E386" t="inlineStr">
        <is>
          <t>LEKSAND</t>
        </is>
      </c>
      <c r="F386" t="inlineStr">
        <is>
          <t>Bergvik skog väst AB</t>
        </is>
      </c>
      <c r="G386" t="n">
        <v>1</v>
      </c>
      <c r="H386" t="n">
        <v>0</v>
      </c>
      <c r="I386" t="n">
        <v>0</v>
      </c>
      <c r="J386" t="n">
        <v>0</v>
      </c>
      <c r="K386" t="n">
        <v>0</v>
      </c>
      <c r="L386" t="n">
        <v>0</v>
      </c>
      <c r="M386" t="n">
        <v>0</v>
      </c>
      <c r="N386" t="n">
        <v>0</v>
      </c>
      <c r="O386" t="n">
        <v>0</v>
      </c>
      <c r="P386" t="n">
        <v>0</v>
      </c>
      <c r="Q386" t="n">
        <v>0</v>
      </c>
      <c r="R386" s="2" t="inlineStr"/>
    </row>
    <row r="387" ht="15" customHeight="1">
      <c r="A387" t="inlineStr">
        <is>
          <t>A 8170-2023</t>
        </is>
      </c>
      <c r="B387" s="1" t="n">
        <v>44971</v>
      </c>
      <c r="C387" s="1" t="n">
        <v>45844</v>
      </c>
      <c r="D387" t="inlineStr">
        <is>
          <t>DALARNAS LÄN</t>
        </is>
      </c>
      <c r="E387" t="inlineStr">
        <is>
          <t>LEKSAND</t>
        </is>
      </c>
      <c r="G387" t="n">
        <v>2.6</v>
      </c>
      <c r="H387" t="n">
        <v>0</v>
      </c>
      <c r="I387" t="n">
        <v>0</v>
      </c>
      <c r="J387" t="n">
        <v>0</v>
      </c>
      <c r="K387" t="n">
        <v>0</v>
      </c>
      <c r="L387" t="n">
        <v>0</v>
      </c>
      <c r="M387" t="n">
        <v>0</v>
      </c>
      <c r="N387" t="n">
        <v>0</v>
      </c>
      <c r="O387" t="n">
        <v>0</v>
      </c>
      <c r="P387" t="n">
        <v>0</v>
      </c>
      <c r="Q387" t="n">
        <v>0</v>
      </c>
      <c r="R387" s="2" t="inlineStr"/>
    </row>
    <row r="388" ht="15" customHeight="1">
      <c r="A388" t="inlineStr">
        <is>
          <t>A 7450-2023</t>
        </is>
      </c>
      <c r="B388" s="1" t="n">
        <v>44971</v>
      </c>
      <c r="C388" s="1" t="n">
        <v>45844</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7928-2023</t>
        </is>
      </c>
      <c r="B389" s="1" t="n">
        <v>44973</v>
      </c>
      <c r="C389" s="1" t="n">
        <v>45844</v>
      </c>
      <c r="D389" t="inlineStr">
        <is>
          <t>DALARNAS LÄN</t>
        </is>
      </c>
      <c r="E389" t="inlineStr">
        <is>
          <t>LEKSAND</t>
        </is>
      </c>
      <c r="G389" t="n">
        <v>1.9</v>
      </c>
      <c r="H389" t="n">
        <v>0</v>
      </c>
      <c r="I389" t="n">
        <v>0</v>
      </c>
      <c r="J389" t="n">
        <v>0</v>
      </c>
      <c r="K389" t="n">
        <v>0</v>
      </c>
      <c r="L389" t="n">
        <v>0</v>
      </c>
      <c r="M389" t="n">
        <v>0</v>
      </c>
      <c r="N389" t="n">
        <v>0</v>
      </c>
      <c r="O389" t="n">
        <v>0</v>
      </c>
      <c r="P389" t="n">
        <v>0</v>
      </c>
      <c r="Q389" t="n">
        <v>0</v>
      </c>
      <c r="R389" s="2" t="inlineStr"/>
    </row>
    <row r="390" ht="15" customHeight="1">
      <c r="A390" t="inlineStr">
        <is>
          <t>A 8211-2023</t>
        </is>
      </c>
      <c r="B390" s="1" t="n">
        <v>44974</v>
      </c>
      <c r="C390" s="1" t="n">
        <v>45844</v>
      </c>
      <c r="D390" t="inlineStr">
        <is>
          <t>DALARNAS LÄN</t>
        </is>
      </c>
      <c r="E390" t="inlineStr">
        <is>
          <t>LEKSAND</t>
        </is>
      </c>
      <c r="G390" t="n">
        <v>5.2</v>
      </c>
      <c r="H390" t="n">
        <v>0</v>
      </c>
      <c r="I390" t="n">
        <v>0</v>
      </c>
      <c r="J390" t="n">
        <v>0</v>
      </c>
      <c r="K390" t="n">
        <v>0</v>
      </c>
      <c r="L390" t="n">
        <v>0</v>
      </c>
      <c r="M390" t="n">
        <v>0</v>
      </c>
      <c r="N390" t="n">
        <v>0</v>
      </c>
      <c r="O390" t="n">
        <v>0</v>
      </c>
      <c r="P390" t="n">
        <v>0</v>
      </c>
      <c r="Q390" t="n">
        <v>0</v>
      </c>
      <c r="R390" s="2" t="inlineStr"/>
    </row>
    <row r="391" ht="15" customHeight="1">
      <c r="A391" t="inlineStr">
        <is>
          <t>A 8936-2023</t>
        </is>
      </c>
      <c r="B391" s="1" t="n">
        <v>44974</v>
      </c>
      <c r="C391" s="1" t="n">
        <v>45844</v>
      </c>
      <c r="D391" t="inlineStr">
        <is>
          <t>DALARNAS LÄN</t>
        </is>
      </c>
      <c r="E391" t="inlineStr">
        <is>
          <t>LEKSAND</t>
        </is>
      </c>
      <c r="G391" t="n">
        <v>7</v>
      </c>
      <c r="H391" t="n">
        <v>0</v>
      </c>
      <c r="I391" t="n">
        <v>0</v>
      </c>
      <c r="J391" t="n">
        <v>0</v>
      </c>
      <c r="K391" t="n">
        <v>0</v>
      </c>
      <c r="L391" t="n">
        <v>0</v>
      </c>
      <c r="M391" t="n">
        <v>0</v>
      </c>
      <c r="N391" t="n">
        <v>0</v>
      </c>
      <c r="O391" t="n">
        <v>0</v>
      </c>
      <c r="P391" t="n">
        <v>0</v>
      </c>
      <c r="Q391" t="n">
        <v>0</v>
      </c>
      <c r="R391" s="2" t="inlineStr"/>
    </row>
    <row r="392" ht="15" customHeight="1">
      <c r="A392" t="inlineStr">
        <is>
          <t>A 9143-2023</t>
        </is>
      </c>
      <c r="B392" s="1" t="n">
        <v>44974</v>
      </c>
      <c r="C392" s="1" t="n">
        <v>45844</v>
      </c>
      <c r="D392" t="inlineStr">
        <is>
          <t>DALARNAS LÄN</t>
        </is>
      </c>
      <c r="E392" t="inlineStr">
        <is>
          <t>LEKSAND</t>
        </is>
      </c>
      <c r="G392" t="n">
        <v>4.3</v>
      </c>
      <c r="H392" t="n">
        <v>0</v>
      </c>
      <c r="I392" t="n">
        <v>0</v>
      </c>
      <c r="J392" t="n">
        <v>0</v>
      </c>
      <c r="K392" t="n">
        <v>0</v>
      </c>
      <c r="L392" t="n">
        <v>0</v>
      </c>
      <c r="M392" t="n">
        <v>0</v>
      </c>
      <c r="N392" t="n">
        <v>0</v>
      </c>
      <c r="O392" t="n">
        <v>0</v>
      </c>
      <c r="P392" t="n">
        <v>0</v>
      </c>
      <c r="Q392" t="n">
        <v>0</v>
      </c>
      <c r="R392" s="2" t="inlineStr"/>
    </row>
    <row r="393" ht="15" customHeight="1">
      <c r="A393" t="inlineStr">
        <is>
          <t>A 8940-2023</t>
        </is>
      </c>
      <c r="B393" s="1" t="n">
        <v>44974</v>
      </c>
      <c r="C393" s="1" t="n">
        <v>45844</v>
      </c>
      <c r="D393" t="inlineStr">
        <is>
          <t>DALARNAS LÄN</t>
        </is>
      </c>
      <c r="E393" t="inlineStr">
        <is>
          <t>LEKSAND</t>
        </is>
      </c>
      <c r="G393" t="n">
        <v>1.5</v>
      </c>
      <c r="H393" t="n">
        <v>0</v>
      </c>
      <c r="I393" t="n">
        <v>0</v>
      </c>
      <c r="J393" t="n">
        <v>0</v>
      </c>
      <c r="K393" t="n">
        <v>0</v>
      </c>
      <c r="L393" t="n">
        <v>0</v>
      </c>
      <c r="M393" t="n">
        <v>0</v>
      </c>
      <c r="N393" t="n">
        <v>0</v>
      </c>
      <c r="O393" t="n">
        <v>0</v>
      </c>
      <c r="P393" t="n">
        <v>0</v>
      </c>
      <c r="Q393" t="n">
        <v>0</v>
      </c>
      <c r="R393" s="2" t="inlineStr"/>
    </row>
    <row r="394" ht="15" customHeight="1">
      <c r="A394" t="inlineStr">
        <is>
          <t>A 9138-2023</t>
        </is>
      </c>
      <c r="B394" s="1" t="n">
        <v>44974</v>
      </c>
      <c r="C394" s="1" t="n">
        <v>45844</v>
      </c>
      <c r="D394" t="inlineStr">
        <is>
          <t>DALARNAS LÄN</t>
        </is>
      </c>
      <c r="E394" t="inlineStr">
        <is>
          <t>LEKSAND</t>
        </is>
      </c>
      <c r="G394" t="n">
        <v>4.6</v>
      </c>
      <c r="H394" t="n">
        <v>0</v>
      </c>
      <c r="I394" t="n">
        <v>0</v>
      </c>
      <c r="J394" t="n">
        <v>0</v>
      </c>
      <c r="K394" t="n">
        <v>0</v>
      </c>
      <c r="L394" t="n">
        <v>0</v>
      </c>
      <c r="M394" t="n">
        <v>0</v>
      </c>
      <c r="N394" t="n">
        <v>0</v>
      </c>
      <c r="O394" t="n">
        <v>0</v>
      </c>
      <c r="P394" t="n">
        <v>0</v>
      </c>
      <c r="Q394" t="n">
        <v>0</v>
      </c>
      <c r="R394" s="2" t="inlineStr"/>
    </row>
    <row r="395" ht="15" customHeight="1">
      <c r="A395" t="inlineStr">
        <is>
          <t>A 9141-2023</t>
        </is>
      </c>
      <c r="B395" s="1" t="n">
        <v>44974</v>
      </c>
      <c r="C395" s="1" t="n">
        <v>45844</v>
      </c>
      <c r="D395" t="inlineStr">
        <is>
          <t>DALARNAS LÄN</t>
        </is>
      </c>
      <c r="E395" t="inlineStr">
        <is>
          <t>LEKSAND</t>
        </is>
      </c>
      <c r="G395" t="n">
        <v>1.9</v>
      </c>
      <c r="H395" t="n">
        <v>0</v>
      </c>
      <c r="I395" t="n">
        <v>0</v>
      </c>
      <c r="J395" t="n">
        <v>0</v>
      </c>
      <c r="K395" t="n">
        <v>0</v>
      </c>
      <c r="L395" t="n">
        <v>0</v>
      </c>
      <c r="M395" t="n">
        <v>0</v>
      </c>
      <c r="N395" t="n">
        <v>0</v>
      </c>
      <c r="O395" t="n">
        <v>0</v>
      </c>
      <c r="P395" t="n">
        <v>0</v>
      </c>
      <c r="Q395" t="n">
        <v>0</v>
      </c>
      <c r="R395" s="2" t="inlineStr"/>
    </row>
    <row r="396" ht="15" customHeight="1">
      <c r="A396" t="inlineStr">
        <is>
          <t>A 9459-2023</t>
        </is>
      </c>
      <c r="B396" s="1" t="n">
        <v>44977</v>
      </c>
      <c r="C396" s="1" t="n">
        <v>45844</v>
      </c>
      <c r="D396" t="inlineStr">
        <is>
          <t>DALARNAS LÄN</t>
        </is>
      </c>
      <c r="E396" t="inlineStr">
        <is>
          <t>LEKSAND</t>
        </is>
      </c>
      <c r="G396" t="n">
        <v>1.1</v>
      </c>
      <c r="H396" t="n">
        <v>0</v>
      </c>
      <c r="I396" t="n">
        <v>0</v>
      </c>
      <c r="J396" t="n">
        <v>0</v>
      </c>
      <c r="K396" t="n">
        <v>0</v>
      </c>
      <c r="L396" t="n">
        <v>0</v>
      </c>
      <c r="M396" t="n">
        <v>0</v>
      </c>
      <c r="N396" t="n">
        <v>0</v>
      </c>
      <c r="O396" t="n">
        <v>0</v>
      </c>
      <c r="P396" t="n">
        <v>0</v>
      </c>
      <c r="Q396" t="n">
        <v>0</v>
      </c>
      <c r="R396" s="2" t="inlineStr"/>
    </row>
    <row r="397" ht="15" customHeight="1">
      <c r="A397" t="inlineStr">
        <is>
          <t>A 8773-2023</t>
        </is>
      </c>
      <c r="B397" s="1" t="n">
        <v>44978</v>
      </c>
      <c r="C397" s="1" t="n">
        <v>45844</v>
      </c>
      <c r="D397" t="inlineStr">
        <is>
          <t>DALARNAS LÄN</t>
        </is>
      </c>
      <c r="E397" t="inlineStr">
        <is>
          <t>LEKSAND</t>
        </is>
      </c>
      <c r="G397" t="n">
        <v>2.2</v>
      </c>
      <c r="H397" t="n">
        <v>0</v>
      </c>
      <c r="I397" t="n">
        <v>0</v>
      </c>
      <c r="J397" t="n">
        <v>0</v>
      </c>
      <c r="K397" t="n">
        <v>0</v>
      </c>
      <c r="L397" t="n">
        <v>0</v>
      </c>
      <c r="M397" t="n">
        <v>0</v>
      </c>
      <c r="N397" t="n">
        <v>0</v>
      </c>
      <c r="O397" t="n">
        <v>0</v>
      </c>
      <c r="P397" t="n">
        <v>0</v>
      </c>
      <c r="Q397" t="n">
        <v>0</v>
      </c>
      <c r="R397" s="2" t="inlineStr"/>
    </row>
    <row r="398" ht="15" customHeight="1">
      <c r="A398" t="inlineStr">
        <is>
          <t>A 8695-2023</t>
        </is>
      </c>
      <c r="B398" s="1" t="n">
        <v>44978</v>
      </c>
      <c r="C398" s="1" t="n">
        <v>45844</v>
      </c>
      <c r="D398" t="inlineStr">
        <is>
          <t>DALARNAS LÄN</t>
        </is>
      </c>
      <c r="E398" t="inlineStr">
        <is>
          <t>LEKSAND</t>
        </is>
      </c>
      <c r="G398" t="n">
        <v>0.9</v>
      </c>
      <c r="H398" t="n">
        <v>0</v>
      </c>
      <c r="I398" t="n">
        <v>0</v>
      </c>
      <c r="J398" t="n">
        <v>0</v>
      </c>
      <c r="K398" t="n">
        <v>0</v>
      </c>
      <c r="L398" t="n">
        <v>0</v>
      </c>
      <c r="M398" t="n">
        <v>0</v>
      </c>
      <c r="N398" t="n">
        <v>0</v>
      </c>
      <c r="O398" t="n">
        <v>0</v>
      </c>
      <c r="P398" t="n">
        <v>0</v>
      </c>
      <c r="Q398" t="n">
        <v>0</v>
      </c>
      <c r="R398" s="2" t="inlineStr"/>
    </row>
    <row r="399" ht="15" customHeight="1">
      <c r="A399" t="inlineStr">
        <is>
          <t>A 8743-2023</t>
        </is>
      </c>
      <c r="B399" s="1" t="n">
        <v>44978</v>
      </c>
      <c r="C399" s="1" t="n">
        <v>45844</v>
      </c>
      <c r="D399" t="inlineStr">
        <is>
          <t>DALARNAS LÄN</t>
        </is>
      </c>
      <c r="E399" t="inlineStr">
        <is>
          <t>LEKSAND</t>
        </is>
      </c>
      <c r="G399" t="n">
        <v>3</v>
      </c>
      <c r="H399" t="n">
        <v>0</v>
      </c>
      <c r="I399" t="n">
        <v>0</v>
      </c>
      <c r="J399" t="n">
        <v>0</v>
      </c>
      <c r="K399" t="n">
        <v>0</v>
      </c>
      <c r="L399" t="n">
        <v>0</v>
      </c>
      <c r="M399" t="n">
        <v>0</v>
      </c>
      <c r="N399" t="n">
        <v>0</v>
      </c>
      <c r="O399" t="n">
        <v>0</v>
      </c>
      <c r="P399" t="n">
        <v>0</v>
      </c>
      <c r="Q399" t="n">
        <v>0</v>
      </c>
      <c r="R399" s="2" t="inlineStr"/>
    </row>
    <row r="400" ht="15" customHeight="1">
      <c r="A400" t="inlineStr">
        <is>
          <t>A 8755-2023</t>
        </is>
      </c>
      <c r="B400" s="1" t="n">
        <v>44978</v>
      </c>
      <c r="C400" s="1" t="n">
        <v>45844</v>
      </c>
      <c r="D400" t="inlineStr">
        <is>
          <t>DALARNAS LÄN</t>
        </is>
      </c>
      <c r="E400" t="inlineStr">
        <is>
          <t>LEKSAND</t>
        </is>
      </c>
      <c r="G400" t="n">
        <v>2.3</v>
      </c>
      <c r="H400" t="n">
        <v>0</v>
      </c>
      <c r="I400" t="n">
        <v>0</v>
      </c>
      <c r="J400" t="n">
        <v>0</v>
      </c>
      <c r="K400" t="n">
        <v>0</v>
      </c>
      <c r="L400" t="n">
        <v>0</v>
      </c>
      <c r="M400" t="n">
        <v>0</v>
      </c>
      <c r="N400" t="n">
        <v>0</v>
      </c>
      <c r="O400" t="n">
        <v>0</v>
      </c>
      <c r="P400" t="n">
        <v>0</v>
      </c>
      <c r="Q400" t="n">
        <v>0</v>
      </c>
      <c r="R400" s="2" t="inlineStr"/>
    </row>
    <row r="401" ht="15" customHeight="1">
      <c r="A401" t="inlineStr">
        <is>
          <t>A 9324-2023</t>
        </is>
      </c>
      <c r="B401" s="1" t="n">
        <v>44980</v>
      </c>
      <c r="C401" s="1" t="n">
        <v>45844</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9336-2023</t>
        </is>
      </c>
      <c r="B402" s="1" t="n">
        <v>44980</v>
      </c>
      <c r="C402" s="1" t="n">
        <v>45844</v>
      </c>
      <c r="D402" t="inlineStr">
        <is>
          <t>DALARNAS LÄN</t>
        </is>
      </c>
      <c r="E402" t="inlineStr">
        <is>
          <t>LEKSAND</t>
        </is>
      </c>
      <c r="G402" t="n">
        <v>0.6</v>
      </c>
      <c r="H402" t="n">
        <v>0</v>
      </c>
      <c r="I402" t="n">
        <v>0</v>
      </c>
      <c r="J402" t="n">
        <v>0</v>
      </c>
      <c r="K402" t="n">
        <v>0</v>
      </c>
      <c r="L402" t="n">
        <v>0</v>
      </c>
      <c r="M402" t="n">
        <v>0</v>
      </c>
      <c r="N402" t="n">
        <v>0</v>
      </c>
      <c r="O402" t="n">
        <v>0</v>
      </c>
      <c r="P402" t="n">
        <v>0</v>
      </c>
      <c r="Q402" t="n">
        <v>0</v>
      </c>
      <c r="R402" s="2" t="inlineStr"/>
    </row>
    <row r="403" ht="15" customHeight="1">
      <c r="A403" t="inlineStr">
        <is>
          <t>A 9938-2023</t>
        </is>
      </c>
      <c r="B403" s="1" t="n">
        <v>44985</v>
      </c>
      <c r="C403" s="1" t="n">
        <v>45844</v>
      </c>
      <c r="D403" t="inlineStr">
        <is>
          <t>DALARNAS LÄN</t>
        </is>
      </c>
      <c r="E403" t="inlineStr">
        <is>
          <t>LEKSAND</t>
        </is>
      </c>
      <c r="G403" t="n">
        <v>3.1</v>
      </c>
      <c r="H403" t="n">
        <v>0</v>
      </c>
      <c r="I403" t="n">
        <v>0</v>
      </c>
      <c r="J403" t="n">
        <v>0</v>
      </c>
      <c r="K403" t="n">
        <v>0</v>
      </c>
      <c r="L403" t="n">
        <v>0</v>
      </c>
      <c r="M403" t="n">
        <v>0</v>
      </c>
      <c r="N403" t="n">
        <v>0</v>
      </c>
      <c r="O403" t="n">
        <v>0</v>
      </c>
      <c r="P403" t="n">
        <v>0</v>
      </c>
      <c r="Q403" t="n">
        <v>0</v>
      </c>
      <c r="R403" s="2" t="inlineStr"/>
    </row>
    <row r="404" ht="15" customHeight="1">
      <c r="A404" t="inlineStr">
        <is>
          <t>A 9947-2023</t>
        </is>
      </c>
      <c r="B404" s="1" t="n">
        <v>44985</v>
      </c>
      <c r="C404" s="1" t="n">
        <v>45844</v>
      </c>
      <c r="D404" t="inlineStr">
        <is>
          <t>DALARNAS LÄN</t>
        </is>
      </c>
      <c r="E404" t="inlineStr">
        <is>
          <t>LEKSAND</t>
        </is>
      </c>
      <c r="G404" t="n">
        <v>2.3</v>
      </c>
      <c r="H404" t="n">
        <v>0</v>
      </c>
      <c r="I404" t="n">
        <v>0</v>
      </c>
      <c r="J404" t="n">
        <v>0</v>
      </c>
      <c r="K404" t="n">
        <v>0</v>
      </c>
      <c r="L404" t="n">
        <v>0</v>
      </c>
      <c r="M404" t="n">
        <v>0</v>
      </c>
      <c r="N404" t="n">
        <v>0</v>
      </c>
      <c r="O404" t="n">
        <v>0</v>
      </c>
      <c r="P404" t="n">
        <v>0</v>
      </c>
      <c r="Q404" t="n">
        <v>0</v>
      </c>
      <c r="R404" s="2" t="inlineStr"/>
    </row>
    <row r="405" ht="15" customHeight="1">
      <c r="A405" t="inlineStr">
        <is>
          <t>A 11010-2023</t>
        </is>
      </c>
      <c r="B405" s="1" t="n">
        <v>44986</v>
      </c>
      <c r="C405" s="1" t="n">
        <v>45844</v>
      </c>
      <c r="D405" t="inlineStr">
        <is>
          <t>DALARNAS LÄN</t>
        </is>
      </c>
      <c r="E405" t="inlineStr">
        <is>
          <t>LEKSAND</t>
        </is>
      </c>
      <c r="G405" t="n">
        <v>3.7</v>
      </c>
      <c r="H405" t="n">
        <v>0</v>
      </c>
      <c r="I405" t="n">
        <v>0</v>
      </c>
      <c r="J405" t="n">
        <v>0</v>
      </c>
      <c r="K405" t="n">
        <v>0</v>
      </c>
      <c r="L405" t="n">
        <v>0</v>
      </c>
      <c r="M405" t="n">
        <v>0</v>
      </c>
      <c r="N405" t="n">
        <v>0</v>
      </c>
      <c r="O405" t="n">
        <v>0</v>
      </c>
      <c r="P405" t="n">
        <v>0</v>
      </c>
      <c r="Q405" t="n">
        <v>0</v>
      </c>
      <c r="R405" s="2" t="inlineStr"/>
    </row>
    <row r="406" ht="15" customHeight="1">
      <c r="A406" t="inlineStr">
        <is>
          <t>A 11004-2023</t>
        </is>
      </c>
      <c r="B406" s="1" t="n">
        <v>44986</v>
      </c>
      <c r="C406" s="1" t="n">
        <v>45844</v>
      </c>
      <c r="D406" t="inlineStr">
        <is>
          <t>DALARNAS LÄN</t>
        </is>
      </c>
      <c r="E406" t="inlineStr">
        <is>
          <t>LEKSAND</t>
        </is>
      </c>
      <c r="G406" t="n">
        <v>1.3</v>
      </c>
      <c r="H406" t="n">
        <v>0</v>
      </c>
      <c r="I406" t="n">
        <v>0</v>
      </c>
      <c r="J406" t="n">
        <v>0</v>
      </c>
      <c r="K406" t="n">
        <v>0</v>
      </c>
      <c r="L406" t="n">
        <v>0</v>
      </c>
      <c r="M406" t="n">
        <v>0</v>
      </c>
      <c r="N406" t="n">
        <v>0</v>
      </c>
      <c r="O406" t="n">
        <v>0</v>
      </c>
      <c r="P406" t="n">
        <v>0</v>
      </c>
      <c r="Q406" t="n">
        <v>0</v>
      </c>
      <c r="R406" s="2" t="inlineStr"/>
    </row>
    <row r="407" ht="15" customHeight="1">
      <c r="A407" t="inlineStr">
        <is>
          <t>A 10367-2023</t>
        </is>
      </c>
      <c r="B407" s="1" t="n">
        <v>44987</v>
      </c>
      <c r="C407" s="1" t="n">
        <v>45844</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10373-2023</t>
        </is>
      </c>
      <c r="B408" s="1" t="n">
        <v>44987</v>
      </c>
      <c r="C408" s="1" t="n">
        <v>45844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10368-2023</t>
        </is>
      </c>
      <c r="B409" s="1" t="n">
        <v>44987</v>
      </c>
      <c r="C409" s="1" t="n">
        <v>45844</v>
      </c>
      <c r="D409" t="inlineStr">
        <is>
          <t>DALARNAS LÄN</t>
        </is>
      </c>
      <c r="E409" t="inlineStr">
        <is>
          <t>LEKSAND</t>
        </is>
      </c>
      <c r="G409" t="n">
        <v>0.8</v>
      </c>
      <c r="H409" t="n">
        <v>0</v>
      </c>
      <c r="I409" t="n">
        <v>0</v>
      </c>
      <c r="J409" t="n">
        <v>0</v>
      </c>
      <c r="K409" t="n">
        <v>0</v>
      </c>
      <c r="L409" t="n">
        <v>0</v>
      </c>
      <c r="M409" t="n">
        <v>0</v>
      </c>
      <c r="N409" t="n">
        <v>0</v>
      </c>
      <c r="O409" t="n">
        <v>0</v>
      </c>
      <c r="P409" t="n">
        <v>0</v>
      </c>
      <c r="Q409" t="n">
        <v>0</v>
      </c>
      <c r="R409" s="2" t="inlineStr"/>
    </row>
    <row r="410" ht="15" customHeight="1">
      <c r="A410" t="inlineStr">
        <is>
          <t>A 11398-2023</t>
        </is>
      </c>
      <c r="B410" s="1" t="n">
        <v>44988</v>
      </c>
      <c r="C410" s="1" t="n">
        <v>45844</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11423-2023</t>
        </is>
      </c>
      <c r="B411" s="1" t="n">
        <v>44988</v>
      </c>
      <c r="C411" s="1" t="n">
        <v>45844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11420-2023</t>
        </is>
      </c>
      <c r="B412" s="1" t="n">
        <v>44988</v>
      </c>
      <c r="C412" s="1" t="n">
        <v>45844</v>
      </c>
      <c r="D412" t="inlineStr">
        <is>
          <t>DALARNAS LÄN</t>
        </is>
      </c>
      <c r="E412" t="inlineStr">
        <is>
          <t>LEKSAND</t>
        </is>
      </c>
      <c r="G412" t="n">
        <v>6.5</v>
      </c>
      <c r="H412" t="n">
        <v>0</v>
      </c>
      <c r="I412" t="n">
        <v>0</v>
      </c>
      <c r="J412" t="n">
        <v>0</v>
      </c>
      <c r="K412" t="n">
        <v>0</v>
      </c>
      <c r="L412" t="n">
        <v>0</v>
      </c>
      <c r="M412" t="n">
        <v>0</v>
      </c>
      <c r="N412" t="n">
        <v>0</v>
      </c>
      <c r="O412" t="n">
        <v>0</v>
      </c>
      <c r="P412" t="n">
        <v>0</v>
      </c>
      <c r="Q412" t="n">
        <v>0</v>
      </c>
      <c r="R412" s="2" t="inlineStr"/>
    </row>
    <row r="413" ht="15" customHeight="1">
      <c r="A413" t="inlineStr">
        <is>
          <t>A 10828-2023</t>
        </is>
      </c>
      <c r="B413" s="1" t="n">
        <v>44990</v>
      </c>
      <c r="C413" s="1" t="n">
        <v>45844</v>
      </c>
      <c r="D413" t="inlineStr">
        <is>
          <t>DALARNAS LÄN</t>
        </is>
      </c>
      <c r="E413" t="inlineStr">
        <is>
          <t>LEKSAND</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10833-2023</t>
        </is>
      </c>
      <c r="B414" s="1" t="n">
        <v>44990</v>
      </c>
      <c r="C414" s="1" t="n">
        <v>45844</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10967-2023</t>
        </is>
      </c>
      <c r="B415" s="1" t="n">
        <v>44991</v>
      </c>
      <c r="C415" s="1" t="n">
        <v>45844</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10987-2023</t>
        </is>
      </c>
      <c r="B416" s="1" t="n">
        <v>44991</v>
      </c>
      <c r="C416" s="1" t="n">
        <v>45844</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10869-2023</t>
        </is>
      </c>
      <c r="B417" s="1" t="n">
        <v>44991</v>
      </c>
      <c r="C417" s="1" t="n">
        <v>45844</v>
      </c>
      <c r="D417" t="inlineStr">
        <is>
          <t>DALARNAS LÄN</t>
        </is>
      </c>
      <c r="E417" t="inlineStr">
        <is>
          <t>LEKSAND</t>
        </is>
      </c>
      <c r="G417" t="n">
        <v>2.1</v>
      </c>
      <c r="H417" t="n">
        <v>0</v>
      </c>
      <c r="I417" t="n">
        <v>0</v>
      </c>
      <c r="J417" t="n">
        <v>0</v>
      </c>
      <c r="K417" t="n">
        <v>0</v>
      </c>
      <c r="L417" t="n">
        <v>0</v>
      </c>
      <c r="M417" t="n">
        <v>0</v>
      </c>
      <c r="N417" t="n">
        <v>0</v>
      </c>
      <c r="O417" t="n">
        <v>0</v>
      </c>
      <c r="P417" t="n">
        <v>0</v>
      </c>
      <c r="Q417" t="n">
        <v>0</v>
      </c>
      <c r="R417" s="2" t="inlineStr"/>
    </row>
    <row r="418" ht="15" customHeight="1">
      <c r="A418" t="inlineStr">
        <is>
          <t>A 10974-2023</t>
        </is>
      </c>
      <c r="B418" s="1" t="n">
        <v>44991</v>
      </c>
      <c r="C418" s="1" t="n">
        <v>45844</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10896-2023</t>
        </is>
      </c>
      <c r="B419" s="1" t="n">
        <v>44991</v>
      </c>
      <c r="C419" s="1" t="n">
        <v>45844</v>
      </c>
      <c r="D419" t="inlineStr">
        <is>
          <t>DALARNAS LÄN</t>
        </is>
      </c>
      <c r="E419" t="inlineStr">
        <is>
          <t>LEKSAND</t>
        </is>
      </c>
      <c r="G419" t="n">
        <v>4.1</v>
      </c>
      <c r="H419" t="n">
        <v>0</v>
      </c>
      <c r="I419" t="n">
        <v>0</v>
      </c>
      <c r="J419" t="n">
        <v>0</v>
      </c>
      <c r="K419" t="n">
        <v>0</v>
      </c>
      <c r="L419" t="n">
        <v>0</v>
      </c>
      <c r="M419" t="n">
        <v>0</v>
      </c>
      <c r="N419" t="n">
        <v>0</v>
      </c>
      <c r="O419" t="n">
        <v>0</v>
      </c>
      <c r="P419" t="n">
        <v>0</v>
      </c>
      <c r="Q419" t="n">
        <v>0</v>
      </c>
      <c r="R419" s="2" t="inlineStr"/>
    </row>
    <row r="420" ht="15" customHeight="1">
      <c r="A420" t="inlineStr">
        <is>
          <t>A 11233-2023</t>
        </is>
      </c>
      <c r="B420" s="1" t="n">
        <v>44992</v>
      </c>
      <c r="C420" s="1" t="n">
        <v>45844</v>
      </c>
      <c r="D420" t="inlineStr">
        <is>
          <t>DALARNAS LÄN</t>
        </is>
      </c>
      <c r="E420" t="inlineStr">
        <is>
          <t>LEKSAND</t>
        </is>
      </c>
      <c r="G420" t="n">
        <v>4.2</v>
      </c>
      <c r="H420" t="n">
        <v>0</v>
      </c>
      <c r="I420" t="n">
        <v>0</v>
      </c>
      <c r="J420" t="n">
        <v>0</v>
      </c>
      <c r="K420" t="n">
        <v>0</v>
      </c>
      <c r="L420" t="n">
        <v>0</v>
      </c>
      <c r="M420" t="n">
        <v>0</v>
      </c>
      <c r="N420" t="n">
        <v>0</v>
      </c>
      <c r="O420" t="n">
        <v>0</v>
      </c>
      <c r="P420" t="n">
        <v>0</v>
      </c>
      <c r="Q420" t="n">
        <v>0</v>
      </c>
      <c r="R420" s="2" t="inlineStr"/>
    </row>
    <row r="421" ht="15" customHeight="1">
      <c r="A421" t="inlineStr">
        <is>
          <t>A 11238-2023</t>
        </is>
      </c>
      <c r="B421" s="1" t="n">
        <v>44992</v>
      </c>
      <c r="C421" s="1" t="n">
        <v>45844</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11092-2023</t>
        </is>
      </c>
      <c r="B422" s="1" t="n">
        <v>44992</v>
      </c>
      <c r="C422" s="1" t="n">
        <v>45844</v>
      </c>
      <c r="D422" t="inlineStr">
        <is>
          <t>DALARNAS LÄN</t>
        </is>
      </c>
      <c r="E422" t="inlineStr">
        <is>
          <t>LEKSAND</t>
        </is>
      </c>
      <c r="G422" t="n">
        <v>0.5</v>
      </c>
      <c r="H422" t="n">
        <v>0</v>
      </c>
      <c r="I422" t="n">
        <v>0</v>
      </c>
      <c r="J422" t="n">
        <v>0</v>
      </c>
      <c r="K422" t="n">
        <v>0</v>
      </c>
      <c r="L422" t="n">
        <v>0</v>
      </c>
      <c r="M422" t="n">
        <v>0</v>
      </c>
      <c r="N422" t="n">
        <v>0</v>
      </c>
      <c r="O422" t="n">
        <v>0</v>
      </c>
      <c r="P422" t="n">
        <v>0</v>
      </c>
      <c r="Q422" t="n">
        <v>0</v>
      </c>
      <c r="R422" s="2" t="inlineStr"/>
    </row>
    <row r="423" ht="15" customHeight="1">
      <c r="A423" t="inlineStr">
        <is>
          <t>A 11248-2023</t>
        </is>
      </c>
      <c r="B423" s="1" t="n">
        <v>44992</v>
      </c>
      <c r="C423" s="1" t="n">
        <v>45844</v>
      </c>
      <c r="D423" t="inlineStr">
        <is>
          <t>DALARNAS LÄN</t>
        </is>
      </c>
      <c r="E423" t="inlineStr">
        <is>
          <t>LEKSAND</t>
        </is>
      </c>
      <c r="G423" t="n">
        <v>3.5</v>
      </c>
      <c r="H423" t="n">
        <v>0</v>
      </c>
      <c r="I423" t="n">
        <v>0</v>
      </c>
      <c r="J423" t="n">
        <v>0</v>
      </c>
      <c r="K423" t="n">
        <v>0</v>
      </c>
      <c r="L423" t="n">
        <v>0</v>
      </c>
      <c r="M423" t="n">
        <v>0</v>
      </c>
      <c r="N423" t="n">
        <v>0</v>
      </c>
      <c r="O423" t="n">
        <v>0</v>
      </c>
      <c r="P423" t="n">
        <v>0</v>
      </c>
      <c r="Q423" t="n">
        <v>0</v>
      </c>
      <c r="R423" s="2" t="inlineStr"/>
    </row>
    <row r="424" ht="15" customHeight="1">
      <c r="A424" t="inlineStr">
        <is>
          <t>A 11128-2023</t>
        </is>
      </c>
      <c r="B424" s="1" t="n">
        <v>44992</v>
      </c>
      <c r="C424" s="1" t="n">
        <v>45844</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11080-2023</t>
        </is>
      </c>
      <c r="B425" s="1" t="n">
        <v>44992</v>
      </c>
      <c r="C425" s="1" t="n">
        <v>45844</v>
      </c>
      <c r="D425" t="inlineStr">
        <is>
          <t>DALARNAS LÄN</t>
        </is>
      </c>
      <c r="E425" t="inlineStr">
        <is>
          <t>LEKSAND</t>
        </is>
      </c>
      <c r="G425" t="n">
        <v>6.9</v>
      </c>
      <c r="H425" t="n">
        <v>0</v>
      </c>
      <c r="I425" t="n">
        <v>0</v>
      </c>
      <c r="J425" t="n">
        <v>0</v>
      </c>
      <c r="K425" t="n">
        <v>0</v>
      </c>
      <c r="L425" t="n">
        <v>0</v>
      </c>
      <c r="M425" t="n">
        <v>0</v>
      </c>
      <c r="N425" t="n">
        <v>0</v>
      </c>
      <c r="O425" t="n">
        <v>0</v>
      </c>
      <c r="P425" t="n">
        <v>0</v>
      </c>
      <c r="Q425" t="n">
        <v>0</v>
      </c>
      <c r="R425" s="2" t="inlineStr"/>
    </row>
    <row r="426" ht="15" customHeight="1">
      <c r="A426" t="inlineStr">
        <is>
          <t>A 11110-2023</t>
        </is>
      </c>
      <c r="B426" s="1" t="n">
        <v>44992</v>
      </c>
      <c r="C426" s="1" t="n">
        <v>45844</v>
      </c>
      <c r="D426" t="inlineStr">
        <is>
          <t>DALARNAS LÄN</t>
        </is>
      </c>
      <c r="E426" t="inlineStr">
        <is>
          <t>LEKSAND</t>
        </is>
      </c>
      <c r="G426" t="n">
        <v>11.2</v>
      </c>
      <c r="H426" t="n">
        <v>0</v>
      </c>
      <c r="I426" t="n">
        <v>0</v>
      </c>
      <c r="J426" t="n">
        <v>0</v>
      </c>
      <c r="K426" t="n">
        <v>0</v>
      </c>
      <c r="L426" t="n">
        <v>0</v>
      </c>
      <c r="M426" t="n">
        <v>0</v>
      </c>
      <c r="N426" t="n">
        <v>0</v>
      </c>
      <c r="O426" t="n">
        <v>0</v>
      </c>
      <c r="P426" t="n">
        <v>0</v>
      </c>
      <c r="Q426" t="n">
        <v>0</v>
      </c>
      <c r="R426" s="2" t="inlineStr"/>
    </row>
    <row r="427" ht="15" customHeight="1">
      <c r="A427" t="inlineStr">
        <is>
          <t>A 11218-2023</t>
        </is>
      </c>
      <c r="B427" s="1" t="n">
        <v>44992</v>
      </c>
      <c r="C427" s="1" t="n">
        <v>45844</v>
      </c>
      <c r="D427" t="inlineStr">
        <is>
          <t>DALARNAS LÄN</t>
        </is>
      </c>
      <c r="E427" t="inlineStr">
        <is>
          <t>LEKSAND</t>
        </is>
      </c>
      <c r="G427" t="n">
        <v>2.6</v>
      </c>
      <c r="H427" t="n">
        <v>0</v>
      </c>
      <c r="I427" t="n">
        <v>0</v>
      </c>
      <c r="J427" t="n">
        <v>0</v>
      </c>
      <c r="K427" t="n">
        <v>0</v>
      </c>
      <c r="L427" t="n">
        <v>0</v>
      </c>
      <c r="M427" t="n">
        <v>0</v>
      </c>
      <c r="N427" t="n">
        <v>0</v>
      </c>
      <c r="O427" t="n">
        <v>0</v>
      </c>
      <c r="P427" t="n">
        <v>0</v>
      </c>
      <c r="Q427" t="n">
        <v>0</v>
      </c>
      <c r="R427" s="2" t="inlineStr"/>
    </row>
    <row r="428" ht="15" customHeight="1">
      <c r="A428" t="inlineStr">
        <is>
          <t>A 11225-2023</t>
        </is>
      </c>
      <c r="B428" s="1" t="n">
        <v>44992</v>
      </c>
      <c r="C428" s="1" t="n">
        <v>45844</v>
      </c>
      <c r="D428" t="inlineStr">
        <is>
          <t>DALARNAS LÄN</t>
        </is>
      </c>
      <c r="E428" t="inlineStr">
        <is>
          <t>LEKSAND</t>
        </is>
      </c>
      <c r="G428" t="n">
        <v>6.1</v>
      </c>
      <c r="H428" t="n">
        <v>0</v>
      </c>
      <c r="I428" t="n">
        <v>0</v>
      </c>
      <c r="J428" t="n">
        <v>0</v>
      </c>
      <c r="K428" t="n">
        <v>0</v>
      </c>
      <c r="L428" t="n">
        <v>0</v>
      </c>
      <c r="M428" t="n">
        <v>0</v>
      </c>
      <c r="N428" t="n">
        <v>0</v>
      </c>
      <c r="O428" t="n">
        <v>0</v>
      </c>
      <c r="P428" t="n">
        <v>0</v>
      </c>
      <c r="Q428" t="n">
        <v>0</v>
      </c>
      <c r="R428" s="2" t="inlineStr"/>
    </row>
    <row r="429" ht="15" customHeight="1">
      <c r="A429" t="inlineStr">
        <is>
          <t>A 11347-2023</t>
        </is>
      </c>
      <c r="B429" s="1" t="n">
        <v>44993</v>
      </c>
      <c r="C429" s="1" t="n">
        <v>45844</v>
      </c>
      <c r="D429" t="inlineStr">
        <is>
          <t>DALARNAS LÄN</t>
        </is>
      </c>
      <c r="E429" t="inlineStr">
        <is>
          <t>LEKSAND</t>
        </is>
      </c>
      <c r="G429" t="n">
        <v>6.7</v>
      </c>
      <c r="H429" t="n">
        <v>0</v>
      </c>
      <c r="I429" t="n">
        <v>0</v>
      </c>
      <c r="J429" t="n">
        <v>0</v>
      </c>
      <c r="K429" t="n">
        <v>0</v>
      </c>
      <c r="L429" t="n">
        <v>0</v>
      </c>
      <c r="M429" t="n">
        <v>0</v>
      </c>
      <c r="N429" t="n">
        <v>0</v>
      </c>
      <c r="O429" t="n">
        <v>0</v>
      </c>
      <c r="P429" t="n">
        <v>0</v>
      </c>
      <c r="Q429" t="n">
        <v>0</v>
      </c>
      <c r="R429" s="2" t="inlineStr"/>
    </row>
    <row r="430" ht="15" customHeight="1">
      <c r="A430" t="inlineStr">
        <is>
          <t>A 11392-2023</t>
        </is>
      </c>
      <c r="B430" s="1" t="n">
        <v>44993</v>
      </c>
      <c r="C430" s="1" t="n">
        <v>45844</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45844</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11418-2023</t>
        </is>
      </c>
      <c r="B432" s="1" t="n">
        <v>44993</v>
      </c>
      <c r="C432" s="1" t="n">
        <v>45844</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11747-2023</t>
        </is>
      </c>
      <c r="B433" s="1" t="n">
        <v>44993</v>
      </c>
      <c r="C433" s="1" t="n">
        <v>45844</v>
      </c>
      <c r="D433" t="inlineStr">
        <is>
          <t>DALARNAS LÄN</t>
        </is>
      </c>
      <c r="E433" t="inlineStr">
        <is>
          <t>LEKSAND</t>
        </is>
      </c>
      <c r="G433" t="n">
        <v>5.2</v>
      </c>
      <c r="H433" t="n">
        <v>0</v>
      </c>
      <c r="I433" t="n">
        <v>0</v>
      </c>
      <c r="J433" t="n">
        <v>0</v>
      </c>
      <c r="K433" t="n">
        <v>0</v>
      </c>
      <c r="L433" t="n">
        <v>0</v>
      </c>
      <c r="M433" t="n">
        <v>0</v>
      </c>
      <c r="N433" t="n">
        <v>0</v>
      </c>
      <c r="O433" t="n">
        <v>0</v>
      </c>
      <c r="P433" t="n">
        <v>0</v>
      </c>
      <c r="Q433" t="n">
        <v>0</v>
      </c>
      <c r="R433" s="2" t="inlineStr"/>
    </row>
    <row r="434" ht="15" customHeight="1">
      <c r="A434" t="inlineStr">
        <is>
          <t>A 11913-2023</t>
        </is>
      </c>
      <c r="B434" s="1" t="n">
        <v>44993</v>
      </c>
      <c r="C434" s="1" t="n">
        <v>45844</v>
      </c>
      <c r="D434" t="inlineStr">
        <is>
          <t>DALARNAS LÄN</t>
        </is>
      </c>
      <c r="E434" t="inlineStr">
        <is>
          <t>LEKSAND</t>
        </is>
      </c>
      <c r="G434" t="n">
        <v>7</v>
      </c>
      <c r="H434" t="n">
        <v>0</v>
      </c>
      <c r="I434" t="n">
        <v>0</v>
      </c>
      <c r="J434" t="n">
        <v>0</v>
      </c>
      <c r="K434" t="n">
        <v>0</v>
      </c>
      <c r="L434" t="n">
        <v>0</v>
      </c>
      <c r="M434" t="n">
        <v>0</v>
      </c>
      <c r="N434" t="n">
        <v>0</v>
      </c>
      <c r="O434" t="n">
        <v>0</v>
      </c>
      <c r="P434" t="n">
        <v>0</v>
      </c>
      <c r="Q434" t="n">
        <v>0</v>
      </c>
      <c r="R434" s="2" t="inlineStr"/>
    </row>
    <row r="435" ht="15" customHeight="1">
      <c r="A435" t="inlineStr">
        <is>
          <t>A 11582-2023</t>
        </is>
      </c>
      <c r="B435" s="1" t="n">
        <v>44994</v>
      </c>
      <c r="C435" s="1" t="n">
        <v>45844</v>
      </c>
      <c r="D435" t="inlineStr">
        <is>
          <t>DALARNAS LÄN</t>
        </is>
      </c>
      <c r="E435" t="inlineStr">
        <is>
          <t>LEKSAND</t>
        </is>
      </c>
      <c r="G435" t="n">
        <v>2.4</v>
      </c>
      <c r="H435" t="n">
        <v>0</v>
      </c>
      <c r="I435" t="n">
        <v>0</v>
      </c>
      <c r="J435" t="n">
        <v>0</v>
      </c>
      <c r="K435" t="n">
        <v>0</v>
      </c>
      <c r="L435" t="n">
        <v>0</v>
      </c>
      <c r="M435" t="n">
        <v>0</v>
      </c>
      <c r="N435" t="n">
        <v>0</v>
      </c>
      <c r="O435" t="n">
        <v>0</v>
      </c>
      <c r="P435" t="n">
        <v>0</v>
      </c>
      <c r="Q435" t="n">
        <v>0</v>
      </c>
      <c r="R435" s="2" t="inlineStr"/>
    </row>
    <row r="436" ht="15" customHeight="1">
      <c r="A436" t="inlineStr">
        <is>
          <t>A 11592-2023</t>
        </is>
      </c>
      <c r="B436" s="1" t="n">
        <v>44994</v>
      </c>
      <c r="C436" s="1" t="n">
        <v>45844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11678-2023</t>
        </is>
      </c>
      <c r="B437" s="1" t="n">
        <v>44994</v>
      </c>
      <c r="C437" s="1" t="n">
        <v>45844</v>
      </c>
      <c r="D437" t="inlineStr">
        <is>
          <t>DALARNAS LÄN</t>
        </is>
      </c>
      <c r="E437" t="inlineStr">
        <is>
          <t>LEKSAND</t>
        </is>
      </c>
      <c r="G437" t="n">
        <v>0.9</v>
      </c>
      <c r="H437" t="n">
        <v>0</v>
      </c>
      <c r="I437" t="n">
        <v>0</v>
      </c>
      <c r="J437" t="n">
        <v>0</v>
      </c>
      <c r="K437" t="n">
        <v>0</v>
      </c>
      <c r="L437" t="n">
        <v>0</v>
      </c>
      <c r="M437" t="n">
        <v>0</v>
      </c>
      <c r="N437" t="n">
        <v>0</v>
      </c>
      <c r="O437" t="n">
        <v>0</v>
      </c>
      <c r="P437" t="n">
        <v>0</v>
      </c>
      <c r="Q437" t="n">
        <v>0</v>
      </c>
      <c r="R437" s="2" t="inlineStr"/>
    </row>
    <row r="438" ht="15" customHeight="1">
      <c r="A438" t="inlineStr">
        <is>
          <t>A 12144-2023</t>
        </is>
      </c>
      <c r="B438" s="1" t="n">
        <v>44998</v>
      </c>
      <c r="C438" s="1" t="n">
        <v>45844</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12117-2023</t>
        </is>
      </c>
      <c r="B439" s="1" t="n">
        <v>44998</v>
      </c>
      <c r="C439" s="1" t="n">
        <v>45844</v>
      </c>
      <c r="D439" t="inlineStr">
        <is>
          <t>DALARNAS LÄN</t>
        </is>
      </c>
      <c r="E439" t="inlineStr">
        <is>
          <t>LEKSAND</t>
        </is>
      </c>
      <c r="G439" t="n">
        <v>2.5</v>
      </c>
      <c r="H439" t="n">
        <v>0</v>
      </c>
      <c r="I439" t="n">
        <v>0</v>
      </c>
      <c r="J439" t="n">
        <v>0</v>
      </c>
      <c r="K439" t="n">
        <v>0</v>
      </c>
      <c r="L439" t="n">
        <v>0</v>
      </c>
      <c r="M439" t="n">
        <v>0</v>
      </c>
      <c r="N439" t="n">
        <v>0</v>
      </c>
      <c r="O439" t="n">
        <v>0</v>
      </c>
      <c r="P439" t="n">
        <v>0</v>
      </c>
      <c r="Q439" t="n">
        <v>0</v>
      </c>
      <c r="R439" s="2" t="inlineStr"/>
    </row>
    <row r="440" ht="15" customHeight="1">
      <c r="A440" t="inlineStr">
        <is>
          <t>A 12120-2023</t>
        </is>
      </c>
      <c r="B440" s="1" t="n">
        <v>44998</v>
      </c>
      <c r="C440" s="1" t="n">
        <v>45844</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12356-2023</t>
        </is>
      </c>
      <c r="B441" s="1" t="n">
        <v>44998</v>
      </c>
      <c r="C441" s="1" t="n">
        <v>45844</v>
      </c>
      <c r="D441" t="inlineStr">
        <is>
          <t>DALARNAS LÄN</t>
        </is>
      </c>
      <c r="E441" t="inlineStr">
        <is>
          <t>LEKSAND</t>
        </is>
      </c>
      <c r="G441" t="n">
        <v>1.6</v>
      </c>
      <c r="H441" t="n">
        <v>0</v>
      </c>
      <c r="I441" t="n">
        <v>0</v>
      </c>
      <c r="J441" t="n">
        <v>0</v>
      </c>
      <c r="K441" t="n">
        <v>0</v>
      </c>
      <c r="L441" t="n">
        <v>0</v>
      </c>
      <c r="M441" t="n">
        <v>0</v>
      </c>
      <c r="N441" t="n">
        <v>0</v>
      </c>
      <c r="O441" t="n">
        <v>0</v>
      </c>
      <c r="P441" t="n">
        <v>0</v>
      </c>
      <c r="Q441" t="n">
        <v>0</v>
      </c>
      <c r="R441" s="2" t="inlineStr"/>
    </row>
    <row r="442" ht="15" customHeight="1">
      <c r="A442" t="inlineStr">
        <is>
          <t>A 12363-2023</t>
        </is>
      </c>
      <c r="B442" s="1" t="n">
        <v>44998</v>
      </c>
      <c r="C442" s="1" t="n">
        <v>45844</v>
      </c>
      <c r="D442" t="inlineStr">
        <is>
          <t>DALARNAS LÄN</t>
        </is>
      </c>
      <c r="E442" t="inlineStr">
        <is>
          <t>LEKSAND</t>
        </is>
      </c>
      <c r="G442" t="n">
        <v>10</v>
      </c>
      <c r="H442" t="n">
        <v>0</v>
      </c>
      <c r="I442" t="n">
        <v>0</v>
      </c>
      <c r="J442" t="n">
        <v>0</v>
      </c>
      <c r="K442" t="n">
        <v>0</v>
      </c>
      <c r="L442" t="n">
        <v>0</v>
      </c>
      <c r="M442" t="n">
        <v>0</v>
      </c>
      <c r="N442" t="n">
        <v>0</v>
      </c>
      <c r="O442" t="n">
        <v>0</v>
      </c>
      <c r="P442" t="n">
        <v>0</v>
      </c>
      <c r="Q442" t="n">
        <v>0</v>
      </c>
      <c r="R442" s="2" t="inlineStr"/>
    </row>
    <row r="443" ht="15" customHeight="1">
      <c r="A443" t="inlineStr">
        <is>
          <t>A 12414-2023</t>
        </is>
      </c>
      <c r="B443" s="1" t="n">
        <v>44999</v>
      </c>
      <c r="C443" s="1" t="n">
        <v>45844</v>
      </c>
      <c r="D443" t="inlineStr">
        <is>
          <t>DALARNAS LÄN</t>
        </is>
      </c>
      <c r="E443" t="inlineStr">
        <is>
          <t>LEKSAND</t>
        </is>
      </c>
      <c r="G443" t="n">
        <v>1.7</v>
      </c>
      <c r="H443" t="n">
        <v>0</v>
      </c>
      <c r="I443" t="n">
        <v>0</v>
      </c>
      <c r="J443" t="n">
        <v>0</v>
      </c>
      <c r="K443" t="n">
        <v>0</v>
      </c>
      <c r="L443" t="n">
        <v>0</v>
      </c>
      <c r="M443" t="n">
        <v>0</v>
      </c>
      <c r="N443" t="n">
        <v>0</v>
      </c>
      <c r="O443" t="n">
        <v>0</v>
      </c>
      <c r="P443" t="n">
        <v>0</v>
      </c>
      <c r="Q443" t="n">
        <v>0</v>
      </c>
      <c r="R443" s="2" t="inlineStr"/>
    </row>
    <row r="444" ht="15" customHeight="1">
      <c r="A444" t="inlineStr">
        <is>
          <t>A 12857-2023</t>
        </is>
      </c>
      <c r="B444" s="1" t="n">
        <v>45001</v>
      </c>
      <c r="C444" s="1" t="n">
        <v>45844</v>
      </c>
      <c r="D444" t="inlineStr">
        <is>
          <t>DALARNAS LÄN</t>
        </is>
      </c>
      <c r="E444" t="inlineStr">
        <is>
          <t>LEKSAND</t>
        </is>
      </c>
      <c r="G444" t="n">
        <v>0.2</v>
      </c>
      <c r="H444" t="n">
        <v>0</v>
      </c>
      <c r="I444" t="n">
        <v>0</v>
      </c>
      <c r="J444" t="n">
        <v>0</v>
      </c>
      <c r="K444" t="n">
        <v>0</v>
      </c>
      <c r="L444" t="n">
        <v>0</v>
      </c>
      <c r="M444" t="n">
        <v>0</v>
      </c>
      <c r="N444" t="n">
        <v>0</v>
      </c>
      <c r="O444" t="n">
        <v>0</v>
      </c>
      <c r="P444" t="n">
        <v>0</v>
      </c>
      <c r="Q444" t="n">
        <v>0</v>
      </c>
      <c r="R444" s="2" t="inlineStr"/>
    </row>
    <row r="445" ht="15" customHeight="1">
      <c r="A445" t="inlineStr">
        <is>
          <t>A 12851-2023</t>
        </is>
      </c>
      <c r="B445" s="1" t="n">
        <v>45001</v>
      </c>
      <c r="C445" s="1" t="n">
        <v>45844</v>
      </c>
      <c r="D445" t="inlineStr">
        <is>
          <t>DALARNAS LÄN</t>
        </is>
      </c>
      <c r="E445" t="inlineStr">
        <is>
          <t>LEKSAND</t>
        </is>
      </c>
      <c r="G445" t="n">
        <v>1.9</v>
      </c>
      <c r="H445" t="n">
        <v>0</v>
      </c>
      <c r="I445" t="n">
        <v>0</v>
      </c>
      <c r="J445" t="n">
        <v>0</v>
      </c>
      <c r="K445" t="n">
        <v>0</v>
      </c>
      <c r="L445" t="n">
        <v>0</v>
      </c>
      <c r="M445" t="n">
        <v>0</v>
      </c>
      <c r="N445" t="n">
        <v>0</v>
      </c>
      <c r="O445" t="n">
        <v>0</v>
      </c>
      <c r="P445" t="n">
        <v>0</v>
      </c>
      <c r="Q445" t="n">
        <v>0</v>
      </c>
      <c r="R445" s="2" t="inlineStr"/>
    </row>
    <row r="446" ht="15" customHeight="1">
      <c r="A446" t="inlineStr">
        <is>
          <t>A 13024-2023</t>
        </is>
      </c>
      <c r="B446" s="1" t="n">
        <v>45001</v>
      </c>
      <c r="C446" s="1" t="n">
        <v>45844</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13063-2023</t>
        </is>
      </c>
      <c r="B447" s="1" t="n">
        <v>45001</v>
      </c>
      <c r="C447" s="1" t="n">
        <v>45844</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13027-2023</t>
        </is>
      </c>
      <c r="B448" s="1" t="n">
        <v>45001</v>
      </c>
      <c r="C448" s="1" t="n">
        <v>45844</v>
      </c>
      <c r="D448" t="inlineStr">
        <is>
          <t>DALARNAS LÄN</t>
        </is>
      </c>
      <c r="E448" t="inlineStr">
        <is>
          <t>LEKSAND</t>
        </is>
      </c>
      <c r="G448" t="n">
        <v>2.8</v>
      </c>
      <c r="H448" t="n">
        <v>0</v>
      </c>
      <c r="I448" t="n">
        <v>0</v>
      </c>
      <c r="J448" t="n">
        <v>0</v>
      </c>
      <c r="K448" t="n">
        <v>0</v>
      </c>
      <c r="L448" t="n">
        <v>0</v>
      </c>
      <c r="M448" t="n">
        <v>0</v>
      </c>
      <c r="N448" t="n">
        <v>0</v>
      </c>
      <c r="O448" t="n">
        <v>0</v>
      </c>
      <c r="P448" t="n">
        <v>0</v>
      </c>
      <c r="Q448" t="n">
        <v>0</v>
      </c>
      <c r="R448" s="2" t="inlineStr"/>
    </row>
    <row r="449" ht="15" customHeight="1">
      <c r="A449" t="inlineStr">
        <is>
          <t>A 13079-2023</t>
        </is>
      </c>
      <c r="B449" s="1" t="n">
        <v>45001</v>
      </c>
      <c r="C449" s="1" t="n">
        <v>45844</v>
      </c>
      <c r="D449" t="inlineStr">
        <is>
          <t>DALARNAS LÄN</t>
        </is>
      </c>
      <c r="E449" t="inlineStr">
        <is>
          <t>LEKSAND</t>
        </is>
      </c>
      <c r="G449" t="n">
        <v>1.1</v>
      </c>
      <c r="H449" t="n">
        <v>0</v>
      </c>
      <c r="I449" t="n">
        <v>0</v>
      </c>
      <c r="J449" t="n">
        <v>0</v>
      </c>
      <c r="K449" t="n">
        <v>0</v>
      </c>
      <c r="L449" t="n">
        <v>0</v>
      </c>
      <c r="M449" t="n">
        <v>0</v>
      </c>
      <c r="N449" t="n">
        <v>0</v>
      </c>
      <c r="O449" t="n">
        <v>0</v>
      </c>
      <c r="P449" t="n">
        <v>0</v>
      </c>
      <c r="Q449" t="n">
        <v>0</v>
      </c>
      <c r="R449" s="2" t="inlineStr"/>
    </row>
    <row r="450" ht="15" customHeight="1">
      <c r="A450" t="inlineStr">
        <is>
          <t>A 13165-2023</t>
        </is>
      </c>
      <c r="B450" s="1" t="n">
        <v>45002</v>
      </c>
      <c r="C450" s="1" t="n">
        <v>45844</v>
      </c>
      <c r="D450" t="inlineStr">
        <is>
          <t>DALARNAS LÄN</t>
        </is>
      </c>
      <c r="E450" t="inlineStr">
        <is>
          <t>LEKSAND</t>
        </is>
      </c>
      <c r="G450" t="n">
        <v>2.4</v>
      </c>
      <c r="H450" t="n">
        <v>0</v>
      </c>
      <c r="I450" t="n">
        <v>0</v>
      </c>
      <c r="J450" t="n">
        <v>0</v>
      </c>
      <c r="K450" t="n">
        <v>0</v>
      </c>
      <c r="L450" t="n">
        <v>0</v>
      </c>
      <c r="M450" t="n">
        <v>0</v>
      </c>
      <c r="N450" t="n">
        <v>0</v>
      </c>
      <c r="O450" t="n">
        <v>0</v>
      </c>
      <c r="P450" t="n">
        <v>0</v>
      </c>
      <c r="Q450" t="n">
        <v>0</v>
      </c>
      <c r="R450" s="2" t="inlineStr"/>
    </row>
    <row r="451" ht="15" customHeight="1">
      <c r="A451" t="inlineStr">
        <is>
          <t>A 13288-2023</t>
        </is>
      </c>
      <c r="B451" s="1" t="n">
        <v>45004</v>
      </c>
      <c r="C451" s="1" t="n">
        <v>45844</v>
      </c>
      <c r="D451" t="inlineStr">
        <is>
          <t>DALARNAS LÄN</t>
        </is>
      </c>
      <c r="E451" t="inlineStr">
        <is>
          <t>LEKSAND</t>
        </is>
      </c>
      <c r="G451" t="n">
        <v>1.3</v>
      </c>
      <c r="H451" t="n">
        <v>0</v>
      </c>
      <c r="I451" t="n">
        <v>0</v>
      </c>
      <c r="J451" t="n">
        <v>0</v>
      </c>
      <c r="K451" t="n">
        <v>0</v>
      </c>
      <c r="L451" t="n">
        <v>0</v>
      </c>
      <c r="M451" t="n">
        <v>0</v>
      </c>
      <c r="N451" t="n">
        <v>0</v>
      </c>
      <c r="O451" t="n">
        <v>0</v>
      </c>
      <c r="P451" t="n">
        <v>0</v>
      </c>
      <c r="Q451" t="n">
        <v>0</v>
      </c>
      <c r="R451" s="2" t="inlineStr"/>
    </row>
    <row r="452" ht="15" customHeight="1">
      <c r="A452" t="inlineStr">
        <is>
          <t>A 13397-2023</t>
        </is>
      </c>
      <c r="B452" s="1" t="n">
        <v>45005</v>
      </c>
      <c r="C452" s="1" t="n">
        <v>45844</v>
      </c>
      <c r="D452" t="inlineStr">
        <is>
          <t>DALARNAS LÄN</t>
        </is>
      </c>
      <c r="E452" t="inlineStr">
        <is>
          <t>LEKSAND</t>
        </is>
      </c>
      <c r="G452" t="n">
        <v>2.6</v>
      </c>
      <c r="H452" t="n">
        <v>0</v>
      </c>
      <c r="I452" t="n">
        <v>0</v>
      </c>
      <c r="J452" t="n">
        <v>0</v>
      </c>
      <c r="K452" t="n">
        <v>0</v>
      </c>
      <c r="L452" t="n">
        <v>0</v>
      </c>
      <c r="M452" t="n">
        <v>0</v>
      </c>
      <c r="N452" t="n">
        <v>0</v>
      </c>
      <c r="O452" t="n">
        <v>0</v>
      </c>
      <c r="P452" t="n">
        <v>0</v>
      </c>
      <c r="Q452" t="n">
        <v>0</v>
      </c>
      <c r="R452" s="2" t="inlineStr"/>
    </row>
    <row r="453" ht="15" customHeight="1">
      <c r="A453" t="inlineStr">
        <is>
          <t>A 13401-2023</t>
        </is>
      </c>
      <c r="B453" s="1" t="n">
        <v>45005</v>
      </c>
      <c r="C453" s="1" t="n">
        <v>45844</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13376-2023</t>
        </is>
      </c>
      <c r="B454" s="1" t="n">
        <v>45005</v>
      </c>
      <c r="C454" s="1" t="n">
        <v>45844</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13760-2023</t>
        </is>
      </c>
      <c r="B455" s="1" t="n">
        <v>45007</v>
      </c>
      <c r="C455" s="1" t="n">
        <v>45844</v>
      </c>
      <c r="D455" t="inlineStr">
        <is>
          <t>DALARNAS LÄN</t>
        </is>
      </c>
      <c r="E455" t="inlineStr">
        <is>
          <t>LEKSAND</t>
        </is>
      </c>
      <c r="G455" t="n">
        <v>7.9</v>
      </c>
      <c r="H455" t="n">
        <v>0</v>
      </c>
      <c r="I455" t="n">
        <v>0</v>
      </c>
      <c r="J455" t="n">
        <v>0</v>
      </c>
      <c r="K455" t="n">
        <v>0</v>
      </c>
      <c r="L455" t="n">
        <v>0</v>
      </c>
      <c r="M455" t="n">
        <v>0</v>
      </c>
      <c r="N455" t="n">
        <v>0</v>
      </c>
      <c r="O455" t="n">
        <v>0</v>
      </c>
      <c r="P455" t="n">
        <v>0</v>
      </c>
      <c r="Q455" t="n">
        <v>0</v>
      </c>
      <c r="R455" s="2" t="inlineStr"/>
    </row>
    <row r="456" ht="15" customHeight="1">
      <c r="A456" t="inlineStr">
        <is>
          <t>A 14339-2023</t>
        </is>
      </c>
      <c r="B456" s="1" t="n">
        <v>45012</v>
      </c>
      <c r="C456" s="1" t="n">
        <v>45844</v>
      </c>
      <c r="D456" t="inlineStr">
        <is>
          <t>DALARNAS LÄN</t>
        </is>
      </c>
      <c r="E456" t="inlineStr">
        <is>
          <t>LEKSAND</t>
        </is>
      </c>
      <c r="G456" t="n">
        <v>5.3</v>
      </c>
      <c r="H456" t="n">
        <v>0</v>
      </c>
      <c r="I456" t="n">
        <v>0</v>
      </c>
      <c r="J456" t="n">
        <v>0</v>
      </c>
      <c r="K456" t="n">
        <v>0</v>
      </c>
      <c r="L456" t="n">
        <v>0</v>
      </c>
      <c r="M456" t="n">
        <v>0</v>
      </c>
      <c r="N456" t="n">
        <v>0</v>
      </c>
      <c r="O456" t="n">
        <v>0</v>
      </c>
      <c r="P456" t="n">
        <v>0</v>
      </c>
      <c r="Q456" t="n">
        <v>0</v>
      </c>
      <c r="R456" s="2" t="inlineStr"/>
    </row>
    <row r="457" ht="15" customHeight="1">
      <c r="A457" t="inlineStr">
        <is>
          <t>A 14558-2023</t>
        </is>
      </c>
      <c r="B457" s="1" t="n">
        <v>45013</v>
      </c>
      <c r="C457" s="1" t="n">
        <v>45844</v>
      </c>
      <c r="D457" t="inlineStr">
        <is>
          <t>DALARNAS LÄN</t>
        </is>
      </c>
      <c r="E457" t="inlineStr">
        <is>
          <t>LEKSAND</t>
        </is>
      </c>
      <c r="G457" t="n">
        <v>3.9</v>
      </c>
      <c r="H457" t="n">
        <v>0</v>
      </c>
      <c r="I457" t="n">
        <v>0</v>
      </c>
      <c r="J457" t="n">
        <v>0</v>
      </c>
      <c r="K457" t="n">
        <v>0</v>
      </c>
      <c r="L457" t="n">
        <v>0</v>
      </c>
      <c r="M457" t="n">
        <v>0</v>
      </c>
      <c r="N457" t="n">
        <v>0</v>
      </c>
      <c r="O457" t="n">
        <v>0</v>
      </c>
      <c r="P457" t="n">
        <v>0</v>
      </c>
      <c r="Q457" t="n">
        <v>0</v>
      </c>
      <c r="R457" s="2" t="inlineStr"/>
    </row>
    <row r="458" ht="15" customHeight="1">
      <c r="A458" t="inlineStr">
        <is>
          <t>A 14809-2023</t>
        </is>
      </c>
      <c r="B458" s="1" t="n">
        <v>45014</v>
      </c>
      <c r="C458" s="1" t="n">
        <v>45844</v>
      </c>
      <c r="D458" t="inlineStr">
        <is>
          <t>DALARNAS LÄN</t>
        </is>
      </c>
      <c r="E458" t="inlineStr">
        <is>
          <t>LEKSAND</t>
        </is>
      </c>
      <c r="G458" t="n">
        <v>4.9</v>
      </c>
      <c r="H458" t="n">
        <v>0</v>
      </c>
      <c r="I458" t="n">
        <v>0</v>
      </c>
      <c r="J458" t="n">
        <v>0</v>
      </c>
      <c r="K458" t="n">
        <v>0</v>
      </c>
      <c r="L458" t="n">
        <v>0</v>
      </c>
      <c r="M458" t="n">
        <v>0</v>
      </c>
      <c r="N458" t="n">
        <v>0</v>
      </c>
      <c r="O458" t="n">
        <v>0</v>
      </c>
      <c r="P458" t="n">
        <v>0</v>
      </c>
      <c r="Q458" t="n">
        <v>0</v>
      </c>
      <c r="R458" s="2" t="inlineStr"/>
    </row>
    <row r="459" ht="15" customHeight="1">
      <c r="A459" t="inlineStr">
        <is>
          <t>A 14943-2023</t>
        </is>
      </c>
      <c r="B459" s="1" t="n">
        <v>45015</v>
      </c>
      <c r="C459" s="1" t="n">
        <v>45844</v>
      </c>
      <c r="D459" t="inlineStr">
        <is>
          <t>DALARNAS LÄN</t>
        </is>
      </c>
      <c r="E459" t="inlineStr">
        <is>
          <t>LEKSAND</t>
        </is>
      </c>
      <c r="G459" t="n">
        <v>1.7</v>
      </c>
      <c r="H459" t="n">
        <v>0</v>
      </c>
      <c r="I459" t="n">
        <v>0</v>
      </c>
      <c r="J459" t="n">
        <v>0</v>
      </c>
      <c r="K459" t="n">
        <v>0</v>
      </c>
      <c r="L459" t="n">
        <v>0</v>
      </c>
      <c r="M459" t="n">
        <v>0</v>
      </c>
      <c r="N459" t="n">
        <v>0</v>
      </c>
      <c r="O459" t="n">
        <v>0</v>
      </c>
      <c r="P459" t="n">
        <v>0</v>
      </c>
      <c r="Q459" t="n">
        <v>0</v>
      </c>
      <c r="R459" s="2" t="inlineStr"/>
    </row>
    <row r="460" ht="15" customHeight="1">
      <c r="A460" t="inlineStr">
        <is>
          <t>A 14967-2023</t>
        </is>
      </c>
      <c r="B460" s="1" t="n">
        <v>45015</v>
      </c>
      <c r="C460" s="1" t="n">
        <v>45844</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15020-2023</t>
        </is>
      </c>
      <c r="B461" s="1" t="n">
        <v>45015</v>
      </c>
      <c r="C461" s="1" t="n">
        <v>45844</v>
      </c>
      <c r="D461" t="inlineStr">
        <is>
          <t>DALARNAS LÄN</t>
        </is>
      </c>
      <c r="E461" t="inlineStr">
        <is>
          <t>LEKSAND</t>
        </is>
      </c>
      <c r="G461" t="n">
        <v>2.6</v>
      </c>
      <c r="H461" t="n">
        <v>0</v>
      </c>
      <c r="I461" t="n">
        <v>0</v>
      </c>
      <c r="J461" t="n">
        <v>0</v>
      </c>
      <c r="K461" t="n">
        <v>0</v>
      </c>
      <c r="L461" t="n">
        <v>0</v>
      </c>
      <c r="M461" t="n">
        <v>0</v>
      </c>
      <c r="N461" t="n">
        <v>0</v>
      </c>
      <c r="O461" t="n">
        <v>0</v>
      </c>
      <c r="P461" t="n">
        <v>0</v>
      </c>
      <c r="Q461" t="n">
        <v>0</v>
      </c>
      <c r="R461" s="2" t="inlineStr"/>
    </row>
    <row r="462" ht="15" customHeight="1">
      <c r="A462" t="inlineStr">
        <is>
          <t>A 15025-2023</t>
        </is>
      </c>
      <c r="B462" s="1" t="n">
        <v>45015</v>
      </c>
      <c r="C462" s="1" t="n">
        <v>45844</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15120-2023</t>
        </is>
      </c>
      <c r="B463" s="1" t="n">
        <v>45016</v>
      </c>
      <c r="C463" s="1" t="n">
        <v>45844</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15261-2023</t>
        </is>
      </c>
      <c r="B464" s="1" t="n">
        <v>45019</v>
      </c>
      <c r="C464" s="1" t="n">
        <v>45844</v>
      </c>
      <c r="D464" t="inlineStr">
        <is>
          <t>DALARNAS LÄN</t>
        </is>
      </c>
      <c r="E464" t="inlineStr">
        <is>
          <t>LEKSAND</t>
        </is>
      </c>
      <c r="G464" t="n">
        <v>1.8</v>
      </c>
      <c r="H464" t="n">
        <v>0</v>
      </c>
      <c r="I464" t="n">
        <v>0</v>
      </c>
      <c r="J464" t="n">
        <v>0</v>
      </c>
      <c r="K464" t="n">
        <v>0</v>
      </c>
      <c r="L464" t="n">
        <v>0</v>
      </c>
      <c r="M464" t="n">
        <v>0</v>
      </c>
      <c r="N464" t="n">
        <v>0</v>
      </c>
      <c r="O464" t="n">
        <v>0</v>
      </c>
      <c r="P464" t="n">
        <v>0</v>
      </c>
      <c r="Q464" t="n">
        <v>0</v>
      </c>
      <c r="R464" s="2" t="inlineStr"/>
    </row>
    <row r="465" ht="15" customHeight="1">
      <c r="A465" t="inlineStr">
        <is>
          <t>A 15271-2023</t>
        </is>
      </c>
      <c r="B465" s="1" t="n">
        <v>45019</v>
      </c>
      <c r="C465" s="1" t="n">
        <v>45844</v>
      </c>
      <c r="D465" t="inlineStr">
        <is>
          <t>DALARNAS LÄN</t>
        </is>
      </c>
      <c r="E465" t="inlineStr">
        <is>
          <t>LEKSAND</t>
        </is>
      </c>
      <c r="G465" t="n">
        <v>5.5</v>
      </c>
      <c r="H465" t="n">
        <v>0</v>
      </c>
      <c r="I465" t="n">
        <v>0</v>
      </c>
      <c r="J465" t="n">
        <v>0</v>
      </c>
      <c r="K465" t="n">
        <v>0</v>
      </c>
      <c r="L465" t="n">
        <v>0</v>
      </c>
      <c r="M465" t="n">
        <v>0</v>
      </c>
      <c r="N465" t="n">
        <v>0</v>
      </c>
      <c r="O465" t="n">
        <v>0</v>
      </c>
      <c r="P465" t="n">
        <v>0</v>
      </c>
      <c r="Q465" t="n">
        <v>0</v>
      </c>
      <c r="R465" s="2" t="inlineStr"/>
    </row>
    <row r="466" ht="15" customHeight="1">
      <c r="A466" t="inlineStr">
        <is>
          <t>A 15435-2023</t>
        </is>
      </c>
      <c r="B466" s="1" t="n">
        <v>45020</v>
      </c>
      <c r="C466" s="1" t="n">
        <v>45844</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15436-2023</t>
        </is>
      </c>
      <c r="B467" s="1" t="n">
        <v>45020</v>
      </c>
      <c r="C467" s="1" t="n">
        <v>45844</v>
      </c>
      <c r="D467" t="inlineStr">
        <is>
          <t>DALARNAS LÄN</t>
        </is>
      </c>
      <c r="E467" t="inlineStr">
        <is>
          <t>LEKSAND</t>
        </is>
      </c>
      <c r="G467" t="n">
        <v>2.1</v>
      </c>
      <c r="H467" t="n">
        <v>0</v>
      </c>
      <c r="I467" t="n">
        <v>0</v>
      </c>
      <c r="J467" t="n">
        <v>0</v>
      </c>
      <c r="K467" t="n">
        <v>0</v>
      </c>
      <c r="L467" t="n">
        <v>0</v>
      </c>
      <c r="M467" t="n">
        <v>0</v>
      </c>
      <c r="N467" t="n">
        <v>0</v>
      </c>
      <c r="O467" t="n">
        <v>0</v>
      </c>
      <c r="P467" t="n">
        <v>0</v>
      </c>
      <c r="Q467" t="n">
        <v>0</v>
      </c>
      <c r="R467" s="2" t="inlineStr"/>
    </row>
    <row r="468" ht="15" customHeight="1">
      <c r="A468" t="inlineStr">
        <is>
          <t>A 15433-2023</t>
        </is>
      </c>
      <c r="B468" s="1" t="n">
        <v>45020</v>
      </c>
      <c r="C468" s="1" t="n">
        <v>45844</v>
      </c>
      <c r="D468" t="inlineStr">
        <is>
          <t>DALARNAS LÄN</t>
        </is>
      </c>
      <c r="E468" t="inlineStr">
        <is>
          <t>LEKSAND</t>
        </is>
      </c>
      <c r="G468" t="n">
        <v>3</v>
      </c>
      <c r="H468" t="n">
        <v>0</v>
      </c>
      <c r="I468" t="n">
        <v>0</v>
      </c>
      <c r="J468" t="n">
        <v>0</v>
      </c>
      <c r="K468" t="n">
        <v>0</v>
      </c>
      <c r="L468" t="n">
        <v>0</v>
      </c>
      <c r="M468" t="n">
        <v>0</v>
      </c>
      <c r="N468" t="n">
        <v>0</v>
      </c>
      <c r="O468" t="n">
        <v>0</v>
      </c>
      <c r="P468" t="n">
        <v>0</v>
      </c>
      <c r="Q468" t="n">
        <v>0</v>
      </c>
      <c r="R468" s="2" t="inlineStr"/>
    </row>
    <row r="469" ht="15" customHeight="1">
      <c r="A469" t="inlineStr">
        <is>
          <t>A 15882-2023</t>
        </is>
      </c>
      <c r="B469" s="1" t="n">
        <v>45022</v>
      </c>
      <c r="C469" s="1" t="n">
        <v>45844</v>
      </c>
      <c r="D469" t="inlineStr">
        <is>
          <t>DALARNAS LÄN</t>
        </is>
      </c>
      <c r="E469" t="inlineStr">
        <is>
          <t>LEKSAND</t>
        </is>
      </c>
      <c r="G469" t="n">
        <v>0.1</v>
      </c>
      <c r="H469" t="n">
        <v>0</v>
      </c>
      <c r="I469" t="n">
        <v>0</v>
      </c>
      <c r="J469" t="n">
        <v>0</v>
      </c>
      <c r="K469" t="n">
        <v>0</v>
      </c>
      <c r="L469" t="n">
        <v>0</v>
      </c>
      <c r="M469" t="n">
        <v>0</v>
      </c>
      <c r="N469" t="n">
        <v>0</v>
      </c>
      <c r="O469" t="n">
        <v>0</v>
      </c>
      <c r="P469" t="n">
        <v>0</v>
      </c>
      <c r="Q469" t="n">
        <v>0</v>
      </c>
      <c r="R469" s="2" t="inlineStr"/>
    </row>
    <row r="470" ht="15" customHeight="1">
      <c r="A470" t="inlineStr">
        <is>
          <t>A 16051-2023</t>
        </is>
      </c>
      <c r="B470" s="1" t="n">
        <v>45027</v>
      </c>
      <c r="C470" s="1" t="n">
        <v>45844</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16139-2023</t>
        </is>
      </c>
      <c r="B471" s="1" t="n">
        <v>45027</v>
      </c>
      <c r="C471" s="1" t="n">
        <v>45844</v>
      </c>
      <c r="D471" t="inlineStr">
        <is>
          <t>DALARNAS LÄN</t>
        </is>
      </c>
      <c r="E471" t="inlineStr">
        <is>
          <t>LEKSAND</t>
        </is>
      </c>
      <c r="G471" t="n">
        <v>1</v>
      </c>
      <c r="H471" t="n">
        <v>0</v>
      </c>
      <c r="I471" t="n">
        <v>0</v>
      </c>
      <c r="J471" t="n">
        <v>0</v>
      </c>
      <c r="K471" t="n">
        <v>0</v>
      </c>
      <c r="L471" t="n">
        <v>0</v>
      </c>
      <c r="M471" t="n">
        <v>0</v>
      </c>
      <c r="N471" t="n">
        <v>0</v>
      </c>
      <c r="O471" t="n">
        <v>0</v>
      </c>
      <c r="P471" t="n">
        <v>0</v>
      </c>
      <c r="Q471" t="n">
        <v>0</v>
      </c>
      <c r="R471" s="2" t="inlineStr"/>
    </row>
    <row r="472" ht="15" customHeight="1">
      <c r="A472" t="inlineStr">
        <is>
          <t>A 16143-2023</t>
        </is>
      </c>
      <c r="B472" s="1" t="n">
        <v>45027</v>
      </c>
      <c r="C472" s="1" t="n">
        <v>45844</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16137-2023</t>
        </is>
      </c>
      <c r="B473" s="1" t="n">
        <v>45027</v>
      </c>
      <c r="C473" s="1" t="n">
        <v>45844</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16135-2023</t>
        </is>
      </c>
      <c r="B474" s="1" t="n">
        <v>45027</v>
      </c>
      <c r="C474" s="1" t="n">
        <v>45844</v>
      </c>
      <c r="D474" t="inlineStr">
        <is>
          <t>DALARNAS LÄN</t>
        </is>
      </c>
      <c r="E474" t="inlineStr">
        <is>
          <t>LEKSAND</t>
        </is>
      </c>
      <c r="G474" t="n">
        <v>4.9</v>
      </c>
      <c r="H474" t="n">
        <v>0</v>
      </c>
      <c r="I474" t="n">
        <v>0</v>
      </c>
      <c r="J474" t="n">
        <v>0</v>
      </c>
      <c r="K474" t="n">
        <v>0</v>
      </c>
      <c r="L474" t="n">
        <v>0</v>
      </c>
      <c r="M474" t="n">
        <v>0</v>
      </c>
      <c r="N474" t="n">
        <v>0</v>
      </c>
      <c r="O474" t="n">
        <v>0</v>
      </c>
      <c r="P474" t="n">
        <v>0</v>
      </c>
      <c r="Q474" t="n">
        <v>0</v>
      </c>
      <c r="R474" s="2" t="inlineStr"/>
    </row>
    <row r="475" ht="15" customHeight="1">
      <c r="A475" t="inlineStr">
        <is>
          <t>A 16332-2023</t>
        </is>
      </c>
      <c r="B475" s="1" t="n">
        <v>45028</v>
      </c>
      <c r="C475" s="1" t="n">
        <v>45844</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16592-2023</t>
        </is>
      </c>
      <c r="B476" s="1" t="n">
        <v>45030</v>
      </c>
      <c r="C476" s="1" t="n">
        <v>45844</v>
      </c>
      <c r="D476" t="inlineStr">
        <is>
          <t>DALARNAS LÄN</t>
        </is>
      </c>
      <c r="E476" t="inlineStr">
        <is>
          <t>LEKSAND</t>
        </is>
      </c>
      <c r="G476" t="n">
        <v>11.5</v>
      </c>
      <c r="H476" t="n">
        <v>0</v>
      </c>
      <c r="I476" t="n">
        <v>0</v>
      </c>
      <c r="J476" t="n">
        <v>0</v>
      </c>
      <c r="K476" t="n">
        <v>0</v>
      </c>
      <c r="L476" t="n">
        <v>0</v>
      </c>
      <c r="M476" t="n">
        <v>0</v>
      </c>
      <c r="N476" t="n">
        <v>0</v>
      </c>
      <c r="O476" t="n">
        <v>0</v>
      </c>
      <c r="P476" t="n">
        <v>0</v>
      </c>
      <c r="Q476" t="n">
        <v>0</v>
      </c>
      <c r="R476" s="2" t="inlineStr"/>
    </row>
    <row r="477" ht="15" customHeight="1">
      <c r="A477" t="inlineStr">
        <is>
          <t>A 16818-2023</t>
        </is>
      </c>
      <c r="B477" s="1" t="n">
        <v>45033</v>
      </c>
      <c r="C477" s="1" t="n">
        <v>45844</v>
      </c>
      <c r="D477" t="inlineStr">
        <is>
          <t>DALARNAS LÄN</t>
        </is>
      </c>
      <c r="E477" t="inlineStr">
        <is>
          <t>LEKSAND</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16882-2023</t>
        </is>
      </c>
      <c r="B478" s="1" t="n">
        <v>45033</v>
      </c>
      <c r="C478" s="1" t="n">
        <v>45844</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16926-2023</t>
        </is>
      </c>
      <c r="B479" s="1" t="n">
        <v>45033</v>
      </c>
      <c r="C479" s="1" t="n">
        <v>45844</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17078-2023</t>
        </is>
      </c>
      <c r="B480" s="1" t="n">
        <v>45034</v>
      </c>
      <c r="C480" s="1" t="n">
        <v>45844</v>
      </c>
      <c r="D480" t="inlineStr">
        <is>
          <t>DALARNAS LÄN</t>
        </is>
      </c>
      <c r="E480" t="inlineStr">
        <is>
          <t>LEKSAND</t>
        </is>
      </c>
      <c r="G480" t="n">
        <v>0.5</v>
      </c>
      <c r="H480" t="n">
        <v>0</v>
      </c>
      <c r="I480" t="n">
        <v>0</v>
      </c>
      <c r="J480" t="n">
        <v>0</v>
      </c>
      <c r="K480" t="n">
        <v>0</v>
      </c>
      <c r="L480" t="n">
        <v>0</v>
      </c>
      <c r="M480" t="n">
        <v>0</v>
      </c>
      <c r="N480" t="n">
        <v>0</v>
      </c>
      <c r="O480" t="n">
        <v>0</v>
      </c>
      <c r="P480" t="n">
        <v>0</v>
      </c>
      <c r="Q480" t="n">
        <v>0</v>
      </c>
      <c r="R480" s="2" t="inlineStr"/>
    </row>
    <row r="481" ht="15" customHeight="1">
      <c r="A481" t="inlineStr">
        <is>
          <t>A 17070-2023</t>
        </is>
      </c>
      <c r="B481" s="1" t="n">
        <v>45034</v>
      </c>
      <c r="C481" s="1" t="n">
        <v>45844</v>
      </c>
      <c r="D481" t="inlineStr">
        <is>
          <t>DALARNAS LÄN</t>
        </is>
      </c>
      <c r="E481" t="inlineStr">
        <is>
          <t>LEKSAND</t>
        </is>
      </c>
      <c r="G481" t="n">
        <v>5.9</v>
      </c>
      <c r="H481" t="n">
        <v>0</v>
      </c>
      <c r="I481" t="n">
        <v>0</v>
      </c>
      <c r="J481" t="n">
        <v>0</v>
      </c>
      <c r="K481" t="n">
        <v>0</v>
      </c>
      <c r="L481" t="n">
        <v>0</v>
      </c>
      <c r="M481" t="n">
        <v>0</v>
      </c>
      <c r="N481" t="n">
        <v>0</v>
      </c>
      <c r="O481" t="n">
        <v>0</v>
      </c>
      <c r="P481" t="n">
        <v>0</v>
      </c>
      <c r="Q481" t="n">
        <v>0</v>
      </c>
      <c r="R481" s="2" t="inlineStr"/>
    </row>
    <row r="482" ht="15" customHeight="1">
      <c r="A482" t="inlineStr">
        <is>
          <t>A 17076-2023</t>
        </is>
      </c>
      <c r="B482" s="1" t="n">
        <v>45034</v>
      </c>
      <c r="C482" s="1" t="n">
        <v>45844</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17072-2023</t>
        </is>
      </c>
      <c r="B483" s="1" t="n">
        <v>45034</v>
      </c>
      <c r="C483" s="1" t="n">
        <v>45844</v>
      </c>
      <c r="D483" t="inlineStr">
        <is>
          <t>DALARNAS LÄN</t>
        </is>
      </c>
      <c r="E483" t="inlineStr">
        <is>
          <t>LEKSAND</t>
        </is>
      </c>
      <c r="G483" t="n">
        <v>5.3</v>
      </c>
      <c r="H483" t="n">
        <v>0</v>
      </c>
      <c r="I483" t="n">
        <v>0</v>
      </c>
      <c r="J483" t="n">
        <v>0</v>
      </c>
      <c r="K483" t="n">
        <v>0</v>
      </c>
      <c r="L483" t="n">
        <v>0</v>
      </c>
      <c r="M483" t="n">
        <v>0</v>
      </c>
      <c r="N483" t="n">
        <v>0</v>
      </c>
      <c r="O483" t="n">
        <v>0</v>
      </c>
      <c r="P483" t="n">
        <v>0</v>
      </c>
      <c r="Q483" t="n">
        <v>0</v>
      </c>
      <c r="R483" s="2" t="inlineStr"/>
    </row>
    <row r="484" ht="15" customHeight="1">
      <c r="A484" t="inlineStr">
        <is>
          <t>A 17084-2023</t>
        </is>
      </c>
      <c r="B484" s="1" t="n">
        <v>45034</v>
      </c>
      <c r="C484" s="1" t="n">
        <v>45844</v>
      </c>
      <c r="D484" t="inlineStr">
        <is>
          <t>DALARNAS LÄN</t>
        </is>
      </c>
      <c r="E484" t="inlineStr">
        <is>
          <t>LEKSAND</t>
        </is>
      </c>
      <c r="G484" t="n">
        <v>3.1</v>
      </c>
      <c r="H484" t="n">
        <v>0</v>
      </c>
      <c r="I484" t="n">
        <v>0</v>
      </c>
      <c r="J484" t="n">
        <v>0</v>
      </c>
      <c r="K484" t="n">
        <v>0</v>
      </c>
      <c r="L484" t="n">
        <v>0</v>
      </c>
      <c r="M484" t="n">
        <v>0</v>
      </c>
      <c r="N484" t="n">
        <v>0</v>
      </c>
      <c r="O484" t="n">
        <v>0</v>
      </c>
      <c r="P484" t="n">
        <v>0</v>
      </c>
      <c r="Q484" t="n">
        <v>0</v>
      </c>
      <c r="R484" s="2" t="inlineStr"/>
    </row>
    <row r="485" ht="15" customHeight="1">
      <c r="A485" t="inlineStr">
        <is>
          <t>A 17089-2023</t>
        </is>
      </c>
      <c r="B485" s="1" t="n">
        <v>45034</v>
      </c>
      <c r="C485" s="1" t="n">
        <v>45844</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17233-2023</t>
        </is>
      </c>
      <c r="B486" s="1" t="n">
        <v>45035</v>
      </c>
      <c r="C486" s="1" t="n">
        <v>45844</v>
      </c>
      <c r="D486" t="inlineStr">
        <is>
          <t>DALARNAS LÄN</t>
        </is>
      </c>
      <c r="E486" t="inlineStr">
        <is>
          <t>LEKSAND</t>
        </is>
      </c>
      <c r="G486" t="n">
        <v>1.6</v>
      </c>
      <c r="H486" t="n">
        <v>0</v>
      </c>
      <c r="I486" t="n">
        <v>0</v>
      </c>
      <c r="J486" t="n">
        <v>0</v>
      </c>
      <c r="K486" t="n">
        <v>0</v>
      </c>
      <c r="L486" t="n">
        <v>0</v>
      </c>
      <c r="M486" t="n">
        <v>0</v>
      </c>
      <c r="N486" t="n">
        <v>0</v>
      </c>
      <c r="O486" t="n">
        <v>0</v>
      </c>
      <c r="P486" t="n">
        <v>0</v>
      </c>
      <c r="Q486" t="n">
        <v>0</v>
      </c>
      <c r="R486" s="2" t="inlineStr"/>
    </row>
    <row r="487" ht="15" customHeight="1">
      <c r="A487" t="inlineStr">
        <is>
          <t>A 17231-2023</t>
        </is>
      </c>
      <c r="B487" s="1" t="n">
        <v>45035</v>
      </c>
      <c r="C487" s="1" t="n">
        <v>45844</v>
      </c>
      <c r="D487" t="inlineStr">
        <is>
          <t>DALARNAS LÄN</t>
        </is>
      </c>
      <c r="E487" t="inlineStr">
        <is>
          <t>LEKSAND</t>
        </is>
      </c>
      <c r="G487" t="n">
        <v>0.6</v>
      </c>
      <c r="H487" t="n">
        <v>0</v>
      </c>
      <c r="I487" t="n">
        <v>0</v>
      </c>
      <c r="J487" t="n">
        <v>0</v>
      </c>
      <c r="K487" t="n">
        <v>0</v>
      </c>
      <c r="L487" t="n">
        <v>0</v>
      </c>
      <c r="M487" t="n">
        <v>0</v>
      </c>
      <c r="N487" t="n">
        <v>0</v>
      </c>
      <c r="O487" t="n">
        <v>0</v>
      </c>
      <c r="P487" t="n">
        <v>0</v>
      </c>
      <c r="Q487" t="n">
        <v>0</v>
      </c>
      <c r="R487" s="2" t="inlineStr"/>
    </row>
    <row r="488" ht="15" customHeight="1">
      <c r="A488" t="inlineStr">
        <is>
          <t>A 17331-2023</t>
        </is>
      </c>
      <c r="B488" s="1" t="n">
        <v>45035</v>
      </c>
      <c r="C488" s="1" t="n">
        <v>45844</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17413-2023</t>
        </is>
      </c>
      <c r="B489" s="1" t="n">
        <v>45035</v>
      </c>
      <c r="C489" s="1" t="n">
        <v>45844</v>
      </c>
      <c r="D489" t="inlineStr">
        <is>
          <t>DALARNAS LÄN</t>
        </is>
      </c>
      <c r="E489" t="inlineStr">
        <is>
          <t>LEKSAND</t>
        </is>
      </c>
      <c r="G489" t="n">
        <v>1.7</v>
      </c>
      <c r="H489" t="n">
        <v>0</v>
      </c>
      <c r="I489" t="n">
        <v>0</v>
      </c>
      <c r="J489" t="n">
        <v>0</v>
      </c>
      <c r="K489" t="n">
        <v>0</v>
      </c>
      <c r="L489" t="n">
        <v>0</v>
      </c>
      <c r="M489" t="n">
        <v>0</v>
      </c>
      <c r="N489" t="n">
        <v>0</v>
      </c>
      <c r="O489" t="n">
        <v>0</v>
      </c>
      <c r="P489" t="n">
        <v>0</v>
      </c>
      <c r="Q489" t="n">
        <v>0</v>
      </c>
      <c r="R489" s="2" t="inlineStr"/>
    </row>
    <row r="490" ht="15" customHeight="1">
      <c r="A490" t="inlineStr">
        <is>
          <t>A 17533-2023</t>
        </is>
      </c>
      <c r="B490" s="1" t="n">
        <v>45036</v>
      </c>
      <c r="C490" s="1" t="n">
        <v>45844</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17759-2023</t>
        </is>
      </c>
      <c r="B491" s="1" t="n">
        <v>45037</v>
      </c>
      <c r="C491" s="1" t="n">
        <v>45844</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17947-2023</t>
        </is>
      </c>
      <c r="B492" s="1" t="n">
        <v>45040</v>
      </c>
      <c r="C492" s="1" t="n">
        <v>45844</v>
      </c>
      <c r="D492" t="inlineStr">
        <is>
          <t>DALARNAS LÄN</t>
        </is>
      </c>
      <c r="E492" t="inlineStr">
        <is>
          <t>LEKSAND</t>
        </is>
      </c>
      <c r="F492" t="inlineStr">
        <is>
          <t>Bergvik skog väst AB</t>
        </is>
      </c>
      <c r="G492" t="n">
        <v>0.7</v>
      </c>
      <c r="H492" t="n">
        <v>0</v>
      </c>
      <c r="I492" t="n">
        <v>0</v>
      </c>
      <c r="J492" t="n">
        <v>0</v>
      </c>
      <c r="K492" t="n">
        <v>0</v>
      </c>
      <c r="L492" t="n">
        <v>0</v>
      </c>
      <c r="M492" t="n">
        <v>0</v>
      </c>
      <c r="N492" t="n">
        <v>0</v>
      </c>
      <c r="O492" t="n">
        <v>0</v>
      </c>
      <c r="P492" t="n">
        <v>0</v>
      </c>
      <c r="Q492" t="n">
        <v>0</v>
      </c>
      <c r="R492" s="2" t="inlineStr"/>
    </row>
    <row r="493" ht="15" customHeight="1">
      <c r="A493" t="inlineStr">
        <is>
          <t>A 18351-2023</t>
        </is>
      </c>
      <c r="B493" s="1" t="n">
        <v>45041</v>
      </c>
      <c r="C493" s="1" t="n">
        <v>45844</v>
      </c>
      <c r="D493" t="inlineStr">
        <is>
          <t>DALARNAS LÄN</t>
        </is>
      </c>
      <c r="E493" t="inlineStr">
        <is>
          <t>LEKSAND</t>
        </is>
      </c>
      <c r="G493" t="n">
        <v>1.4</v>
      </c>
      <c r="H493" t="n">
        <v>0</v>
      </c>
      <c r="I493" t="n">
        <v>0</v>
      </c>
      <c r="J493" t="n">
        <v>0</v>
      </c>
      <c r="K493" t="n">
        <v>0</v>
      </c>
      <c r="L493" t="n">
        <v>0</v>
      </c>
      <c r="M493" t="n">
        <v>0</v>
      </c>
      <c r="N493" t="n">
        <v>0</v>
      </c>
      <c r="O493" t="n">
        <v>0</v>
      </c>
      <c r="P493" t="n">
        <v>0</v>
      </c>
      <c r="Q493" t="n">
        <v>0</v>
      </c>
      <c r="R493" s="2" t="inlineStr"/>
    </row>
    <row r="494" ht="15" customHeight="1">
      <c r="A494" t="inlineStr">
        <is>
          <t>A 18383-2023</t>
        </is>
      </c>
      <c r="B494" s="1" t="n">
        <v>45042</v>
      </c>
      <c r="C494" s="1" t="n">
        <v>45844</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18407-2023</t>
        </is>
      </c>
      <c r="B495" s="1" t="n">
        <v>45042</v>
      </c>
      <c r="C495" s="1" t="n">
        <v>45844</v>
      </c>
      <c r="D495" t="inlineStr">
        <is>
          <t>DALARNAS LÄN</t>
        </is>
      </c>
      <c r="E495" t="inlineStr">
        <is>
          <t>LEKSAND</t>
        </is>
      </c>
      <c r="G495" t="n">
        <v>4.2</v>
      </c>
      <c r="H495" t="n">
        <v>0</v>
      </c>
      <c r="I495" t="n">
        <v>0</v>
      </c>
      <c r="J495" t="n">
        <v>0</v>
      </c>
      <c r="K495" t="n">
        <v>0</v>
      </c>
      <c r="L495" t="n">
        <v>0</v>
      </c>
      <c r="M495" t="n">
        <v>0</v>
      </c>
      <c r="N495" t="n">
        <v>0</v>
      </c>
      <c r="O495" t="n">
        <v>0</v>
      </c>
      <c r="P495" t="n">
        <v>0</v>
      </c>
      <c r="Q495" t="n">
        <v>0</v>
      </c>
      <c r="R495" s="2" t="inlineStr"/>
    </row>
    <row r="496" ht="15" customHeight="1">
      <c r="A496" t="inlineStr">
        <is>
          <t>A 18677-2023</t>
        </is>
      </c>
      <c r="B496" s="1" t="n">
        <v>45043</v>
      </c>
      <c r="C496" s="1" t="n">
        <v>45844</v>
      </c>
      <c r="D496" t="inlineStr">
        <is>
          <t>DALARNAS LÄN</t>
        </is>
      </c>
      <c r="E496" t="inlineStr">
        <is>
          <t>LEKSAND</t>
        </is>
      </c>
      <c r="G496" t="n">
        <v>2.2</v>
      </c>
      <c r="H496" t="n">
        <v>0</v>
      </c>
      <c r="I496" t="n">
        <v>0</v>
      </c>
      <c r="J496" t="n">
        <v>0</v>
      </c>
      <c r="K496" t="n">
        <v>0</v>
      </c>
      <c r="L496" t="n">
        <v>0</v>
      </c>
      <c r="M496" t="n">
        <v>0</v>
      </c>
      <c r="N496" t="n">
        <v>0</v>
      </c>
      <c r="O496" t="n">
        <v>0</v>
      </c>
      <c r="P496" t="n">
        <v>0</v>
      </c>
      <c r="Q496" t="n">
        <v>0</v>
      </c>
      <c r="R496" s="2" t="inlineStr"/>
    </row>
    <row r="497" ht="15" customHeight="1">
      <c r="A497" t="inlineStr">
        <is>
          <t>A 18632-2023</t>
        </is>
      </c>
      <c r="B497" s="1" t="n">
        <v>45043</v>
      </c>
      <c r="C497" s="1" t="n">
        <v>45844</v>
      </c>
      <c r="D497" t="inlineStr">
        <is>
          <t>DALARNAS LÄN</t>
        </is>
      </c>
      <c r="E497" t="inlineStr">
        <is>
          <t>LEKSAND</t>
        </is>
      </c>
      <c r="G497" t="n">
        <v>6.8</v>
      </c>
      <c r="H497" t="n">
        <v>0</v>
      </c>
      <c r="I497" t="n">
        <v>0</v>
      </c>
      <c r="J497" t="n">
        <v>0</v>
      </c>
      <c r="K497" t="n">
        <v>0</v>
      </c>
      <c r="L497" t="n">
        <v>0</v>
      </c>
      <c r="M497" t="n">
        <v>0</v>
      </c>
      <c r="N497" t="n">
        <v>0</v>
      </c>
      <c r="O497" t="n">
        <v>0</v>
      </c>
      <c r="P497" t="n">
        <v>0</v>
      </c>
      <c r="Q497" t="n">
        <v>0</v>
      </c>
      <c r="R497" s="2" t="inlineStr"/>
    </row>
    <row r="498" ht="15" customHeight="1">
      <c r="A498" t="inlineStr">
        <is>
          <t>A 18666-2023</t>
        </is>
      </c>
      <c r="B498" s="1" t="n">
        <v>45043</v>
      </c>
      <c r="C498" s="1" t="n">
        <v>45844</v>
      </c>
      <c r="D498" t="inlineStr">
        <is>
          <t>DALARNAS LÄN</t>
        </is>
      </c>
      <c r="E498" t="inlineStr">
        <is>
          <t>LEKSAND</t>
        </is>
      </c>
      <c r="G498" t="n">
        <v>3.3</v>
      </c>
      <c r="H498" t="n">
        <v>0</v>
      </c>
      <c r="I498" t="n">
        <v>0</v>
      </c>
      <c r="J498" t="n">
        <v>0</v>
      </c>
      <c r="K498" t="n">
        <v>0</v>
      </c>
      <c r="L498" t="n">
        <v>0</v>
      </c>
      <c r="M498" t="n">
        <v>0</v>
      </c>
      <c r="N498" t="n">
        <v>0</v>
      </c>
      <c r="O498" t="n">
        <v>0</v>
      </c>
      <c r="P498" t="n">
        <v>0</v>
      </c>
      <c r="Q498" t="n">
        <v>0</v>
      </c>
      <c r="R498" s="2" t="inlineStr"/>
    </row>
    <row r="499" ht="15" customHeight="1">
      <c r="A499" t="inlineStr">
        <is>
          <t>A 18909-2023</t>
        </is>
      </c>
      <c r="B499" s="1" t="n">
        <v>45044</v>
      </c>
      <c r="C499" s="1" t="n">
        <v>45844</v>
      </c>
      <c r="D499" t="inlineStr">
        <is>
          <t>DALARNAS LÄN</t>
        </is>
      </c>
      <c r="E499" t="inlineStr">
        <is>
          <t>LEKSAND</t>
        </is>
      </c>
      <c r="G499" t="n">
        <v>10.7</v>
      </c>
      <c r="H499" t="n">
        <v>0</v>
      </c>
      <c r="I499" t="n">
        <v>0</v>
      </c>
      <c r="J499" t="n">
        <v>0</v>
      </c>
      <c r="K499" t="n">
        <v>0</v>
      </c>
      <c r="L499" t="n">
        <v>0</v>
      </c>
      <c r="M499" t="n">
        <v>0</v>
      </c>
      <c r="N499" t="n">
        <v>0</v>
      </c>
      <c r="O499" t="n">
        <v>0</v>
      </c>
      <c r="P499" t="n">
        <v>0</v>
      </c>
      <c r="Q499" t="n">
        <v>0</v>
      </c>
      <c r="R499" s="2" t="inlineStr"/>
    </row>
    <row r="500" ht="15" customHeight="1">
      <c r="A500" t="inlineStr">
        <is>
          <t>A 18837-2023</t>
        </is>
      </c>
      <c r="B500" s="1" t="n">
        <v>45044</v>
      </c>
      <c r="C500" s="1" t="n">
        <v>45844</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19103-2023</t>
        </is>
      </c>
      <c r="B501" s="1" t="n">
        <v>45048</v>
      </c>
      <c r="C501" s="1" t="n">
        <v>45844</v>
      </c>
      <c r="D501" t="inlineStr">
        <is>
          <t>DALARNAS LÄN</t>
        </is>
      </c>
      <c r="E501" t="inlineStr">
        <is>
          <t>LEKSAND</t>
        </is>
      </c>
      <c r="G501" t="n">
        <v>7.1</v>
      </c>
      <c r="H501" t="n">
        <v>0</v>
      </c>
      <c r="I501" t="n">
        <v>0</v>
      </c>
      <c r="J501" t="n">
        <v>0</v>
      </c>
      <c r="K501" t="n">
        <v>0</v>
      </c>
      <c r="L501" t="n">
        <v>0</v>
      </c>
      <c r="M501" t="n">
        <v>0</v>
      </c>
      <c r="N501" t="n">
        <v>0</v>
      </c>
      <c r="O501" t="n">
        <v>0</v>
      </c>
      <c r="P501" t="n">
        <v>0</v>
      </c>
      <c r="Q501" t="n">
        <v>0</v>
      </c>
      <c r="R501" s="2" t="inlineStr"/>
    </row>
    <row r="502" ht="15" customHeight="1">
      <c r="A502" t="inlineStr">
        <is>
          <t>A 19316-2023</t>
        </is>
      </c>
      <c r="B502" s="1" t="n">
        <v>45049</v>
      </c>
      <c r="C502" s="1" t="n">
        <v>45844</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19331-2023</t>
        </is>
      </c>
      <c r="B503" s="1" t="n">
        <v>45049</v>
      </c>
      <c r="C503" s="1" t="n">
        <v>45844</v>
      </c>
      <c r="D503" t="inlineStr">
        <is>
          <t>DALARNAS LÄN</t>
        </is>
      </c>
      <c r="E503" t="inlineStr">
        <is>
          <t>LEKSAND</t>
        </is>
      </c>
      <c r="G503" t="n">
        <v>2.3</v>
      </c>
      <c r="H503" t="n">
        <v>0</v>
      </c>
      <c r="I503" t="n">
        <v>0</v>
      </c>
      <c r="J503" t="n">
        <v>0</v>
      </c>
      <c r="K503" t="n">
        <v>0</v>
      </c>
      <c r="L503" t="n">
        <v>0</v>
      </c>
      <c r="M503" t="n">
        <v>0</v>
      </c>
      <c r="N503" t="n">
        <v>0</v>
      </c>
      <c r="O503" t="n">
        <v>0</v>
      </c>
      <c r="P503" t="n">
        <v>0</v>
      </c>
      <c r="Q503" t="n">
        <v>0</v>
      </c>
      <c r="R503" s="2" t="inlineStr"/>
    </row>
    <row r="504" ht="15" customHeight="1">
      <c r="A504" t="inlineStr">
        <is>
          <t>A 19550-2023</t>
        </is>
      </c>
      <c r="B504" s="1" t="n">
        <v>45049</v>
      </c>
      <c r="C504" s="1" t="n">
        <v>45844</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19590-2023</t>
        </is>
      </c>
      <c r="B505" s="1" t="n">
        <v>45049</v>
      </c>
      <c r="C505" s="1" t="n">
        <v>45844</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19559-2023</t>
        </is>
      </c>
      <c r="B506" s="1" t="n">
        <v>45050</v>
      </c>
      <c r="C506" s="1" t="n">
        <v>45844</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19689-2023</t>
        </is>
      </c>
      <c r="B507" s="1" t="n">
        <v>45051</v>
      </c>
      <c r="C507" s="1" t="n">
        <v>45844</v>
      </c>
      <c r="D507" t="inlineStr">
        <is>
          <t>DALARNAS LÄN</t>
        </is>
      </c>
      <c r="E507" t="inlineStr">
        <is>
          <t>LEKSAND</t>
        </is>
      </c>
      <c r="G507" t="n">
        <v>15.9</v>
      </c>
      <c r="H507" t="n">
        <v>0</v>
      </c>
      <c r="I507" t="n">
        <v>0</v>
      </c>
      <c r="J507" t="n">
        <v>0</v>
      </c>
      <c r="K507" t="n">
        <v>0</v>
      </c>
      <c r="L507" t="n">
        <v>0</v>
      </c>
      <c r="M507" t="n">
        <v>0</v>
      </c>
      <c r="N507" t="n">
        <v>0</v>
      </c>
      <c r="O507" t="n">
        <v>0</v>
      </c>
      <c r="P507" t="n">
        <v>0</v>
      </c>
      <c r="Q507" t="n">
        <v>0</v>
      </c>
      <c r="R507" s="2" t="inlineStr"/>
    </row>
    <row r="508" ht="15" customHeight="1">
      <c r="A508" t="inlineStr">
        <is>
          <t>A 20150-2023</t>
        </is>
      </c>
      <c r="B508" s="1" t="n">
        <v>45051</v>
      </c>
      <c r="C508" s="1" t="n">
        <v>45844</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20514-2023</t>
        </is>
      </c>
      <c r="B509" s="1" t="n">
        <v>45054</v>
      </c>
      <c r="C509" s="1" t="n">
        <v>45844</v>
      </c>
      <c r="D509" t="inlineStr">
        <is>
          <t>DALARNAS LÄN</t>
        </is>
      </c>
      <c r="E509" t="inlineStr">
        <is>
          <t>LEKSAND</t>
        </is>
      </c>
      <c r="G509" t="n">
        <v>3.2</v>
      </c>
      <c r="H509" t="n">
        <v>0</v>
      </c>
      <c r="I509" t="n">
        <v>0</v>
      </c>
      <c r="J509" t="n">
        <v>0</v>
      </c>
      <c r="K509" t="n">
        <v>0</v>
      </c>
      <c r="L509" t="n">
        <v>0</v>
      </c>
      <c r="M509" t="n">
        <v>0</v>
      </c>
      <c r="N509" t="n">
        <v>0</v>
      </c>
      <c r="O509" t="n">
        <v>0</v>
      </c>
      <c r="P509" t="n">
        <v>0</v>
      </c>
      <c r="Q509" t="n">
        <v>0</v>
      </c>
      <c r="R509" s="2" t="inlineStr"/>
    </row>
    <row r="510" ht="15" customHeight="1">
      <c r="A510" t="inlineStr">
        <is>
          <t>A 20222-2023</t>
        </is>
      </c>
      <c r="B510" s="1" t="n">
        <v>45055</v>
      </c>
      <c r="C510" s="1" t="n">
        <v>45844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20114-2023</t>
        </is>
      </c>
      <c r="B511" s="1" t="n">
        <v>45055</v>
      </c>
      <c r="C511" s="1" t="n">
        <v>45844</v>
      </c>
      <c r="D511" t="inlineStr">
        <is>
          <t>DALARNAS LÄN</t>
        </is>
      </c>
      <c r="E511" t="inlineStr">
        <is>
          <t>LEKSAND</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20936-2023</t>
        </is>
      </c>
      <c r="B512" s="1" t="n">
        <v>45061</v>
      </c>
      <c r="C512" s="1" t="n">
        <v>45844</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20946-2023</t>
        </is>
      </c>
      <c r="B513" s="1" t="n">
        <v>45061</v>
      </c>
      <c r="C513" s="1" t="n">
        <v>45844</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21402-2023</t>
        </is>
      </c>
      <c r="B514" s="1" t="n">
        <v>45061</v>
      </c>
      <c r="C514" s="1" t="n">
        <v>45844</v>
      </c>
      <c r="D514" t="inlineStr">
        <is>
          <t>DALARNAS LÄN</t>
        </is>
      </c>
      <c r="E514" t="inlineStr">
        <is>
          <t>LEKSAND</t>
        </is>
      </c>
      <c r="G514" t="n">
        <v>0.7</v>
      </c>
      <c r="H514" t="n">
        <v>0</v>
      </c>
      <c r="I514" t="n">
        <v>0</v>
      </c>
      <c r="J514" t="n">
        <v>0</v>
      </c>
      <c r="K514" t="n">
        <v>0</v>
      </c>
      <c r="L514" t="n">
        <v>0</v>
      </c>
      <c r="M514" t="n">
        <v>0</v>
      </c>
      <c r="N514" t="n">
        <v>0</v>
      </c>
      <c r="O514" t="n">
        <v>0</v>
      </c>
      <c r="P514" t="n">
        <v>0</v>
      </c>
      <c r="Q514" t="n">
        <v>0</v>
      </c>
      <c r="R514" s="2" t="inlineStr"/>
    </row>
    <row r="515" ht="15" customHeight="1">
      <c r="A515" t="inlineStr">
        <is>
          <t>A 21299-2023</t>
        </is>
      </c>
      <c r="B515" s="1" t="n">
        <v>45062</v>
      </c>
      <c r="C515" s="1" t="n">
        <v>45844</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21817-2023</t>
        </is>
      </c>
      <c r="B516" s="1" t="n">
        <v>45068</v>
      </c>
      <c r="C516" s="1" t="n">
        <v>45844</v>
      </c>
      <c r="D516" t="inlineStr">
        <is>
          <t>DALARNAS LÄN</t>
        </is>
      </c>
      <c r="E516" t="inlineStr">
        <is>
          <t>LEKSAND</t>
        </is>
      </c>
      <c r="G516" t="n">
        <v>3.5</v>
      </c>
      <c r="H516" t="n">
        <v>0</v>
      </c>
      <c r="I516" t="n">
        <v>0</v>
      </c>
      <c r="J516" t="n">
        <v>0</v>
      </c>
      <c r="K516" t="n">
        <v>0</v>
      </c>
      <c r="L516" t="n">
        <v>0</v>
      </c>
      <c r="M516" t="n">
        <v>0</v>
      </c>
      <c r="N516" t="n">
        <v>0</v>
      </c>
      <c r="O516" t="n">
        <v>0</v>
      </c>
      <c r="P516" t="n">
        <v>0</v>
      </c>
      <c r="Q516" t="n">
        <v>0</v>
      </c>
      <c r="R516" s="2" t="inlineStr"/>
    </row>
    <row r="517" ht="15" customHeight="1">
      <c r="A517" t="inlineStr">
        <is>
          <t>A 21910-2023</t>
        </is>
      </c>
      <c r="B517" s="1" t="n">
        <v>45068</v>
      </c>
      <c r="C517" s="1" t="n">
        <v>45844</v>
      </c>
      <c r="D517" t="inlineStr">
        <is>
          <t>DALARNAS LÄN</t>
        </is>
      </c>
      <c r="E517" t="inlineStr">
        <is>
          <t>LEKSAND</t>
        </is>
      </c>
      <c r="F517" t="inlineStr">
        <is>
          <t>Bergvik skog väst AB</t>
        </is>
      </c>
      <c r="G517" t="n">
        <v>9.4</v>
      </c>
      <c r="H517" t="n">
        <v>0</v>
      </c>
      <c r="I517" t="n">
        <v>0</v>
      </c>
      <c r="J517" t="n">
        <v>0</v>
      </c>
      <c r="K517" t="n">
        <v>0</v>
      </c>
      <c r="L517" t="n">
        <v>0</v>
      </c>
      <c r="M517" t="n">
        <v>0</v>
      </c>
      <c r="N517" t="n">
        <v>0</v>
      </c>
      <c r="O517" t="n">
        <v>0</v>
      </c>
      <c r="P517" t="n">
        <v>0</v>
      </c>
      <c r="Q517" t="n">
        <v>0</v>
      </c>
      <c r="R517" s="2" t="inlineStr"/>
    </row>
    <row r="518" ht="15" customHeight="1">
      <c r="A518" t="inlineStr">
        <is>
          <t>A 21849-2023</t>
        </is>
      </c>
      <c r="B518" s="1" t="n">
        <v>45068</v>
      </c>
      <c r="C518" s="1" t="n">
        <v>45844</v>
      </c>
      <c r="D518" t="inlineStr">
        <is>
          <t>DALARNAS LÄN</t>
        </is>
      </c>
      <c r="E518" t="inlineStr">
        <is>
          <t>LEKSAND</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21954-2023</t>
        </is>
      </c>
      <c r="B519" s="1" t="n">
        <v>45068</v>
      </c>
      <c r="C519" s="1" t="n">
        <v>45844</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22196-2023</t>
        </is>
      </c>
      <c r="B520" s="1" t="n">
        <v>45069</v>
      </c>
      <c r="C520" s="1" t="n">
        <v>45844</v>
      </c>
      <c r="D520" t="inlineStr">
        <is>
          <t>DALARNAS LÄN</t>
        </is>
      </c>
      <c r="E520" t="inlineStr">
        <is>
          <t>LEKSAND</t>
        </is>
      </c>
      <c r="F520" t="inlineStr">
        <is>
          <t>Bergvik skog väst AB</t>
        </is>
      </c>
      <c r="G520" t="n">
        <v>1.3</v>
      </c>
      <c r="H520" t="n">
        <v>0</v>
      </c>
      <c r="I520" t="n">
        <v>0</v>
      </c>
      <c r="J520" t="n">
        <v>0</v>
      </c>
      <c r="K520" t="n">
        <v>0</v>
      </c>
      <c r="L520" t="n">
        <v>0</v>
      </c>
      <c r="M520" t="n">
        <v>0</v>
      </c>
      <c r="N520" t="n">
        <v>0</v>
      </c>
      <c r="O520" t="n">
        <v>0</v>
      </c>
      <c r="P520" t="n">
        <v>0</v>
      </c>
      <c r="Q520" t="n">
        <v>0</v>
      </c>
      <c r="R520" s="2" t="inlineStr"/>
    </row>
    <row r="521" ht="15" customHeight="1">
      <c r="A521" t="inlineStr">
        <is>
          <t>A 22197-2023</t>
        </is>
      </c>
      <c r="B521" s="1" t="n">
        <v>45069</v>
      </c>
      <c r="C521" s="1" t="n">
        <v>45844</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22570-2023</t>
        </is>
      </c>
      <c r="B522" s="1" t="n">
        <v>45071</v>
      </c>
      <c r="C522" s="1" t="n">
        <v>45844</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22684-2023</t>
        </is>
      </c>
      <c r="B523" s="1" t="n">
        <v>45071</v>
      </c>
      <c r="C523" s="1" t="n">
        <v>45844</v>
      </c>
      <c r="D523" t="inlineStr">
        <is>
          <t>DALARNAS LÄN</t>
        </is>
      </c>
      <c r="E523" t="inlineStr">
        <is>
          <t>LEKSAND</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23226-2023</t>
        </is>
      </c>
      <c r="B524" s="1" t="n">
        <v>45075</v>
      </c>
      <c r="C524" s="1" t="n">
        <v>45844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23323-2023</t>
        </is>
      </c>
      <c r="B525" s="1" t="n">
        <v>45076</v>
      </c>
      <c r="C525" s="1" t="n">
        <v>45844</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23348-2023</t>
        </is>
      </c>
      <c r="B526" s="1" t="n">
        <v>45076</v>
      </c>
      <c r="C526" s="1" t="n">
        <v>45844</v>
      </c>
      <c r="D526" t="inlineStr">
        <is>
          <t>DALARNAS LÄN</t>
        </is>
      </c>
      <c r="E526" t="inlineStr">
        <is>
          <t>LEKSAND</t>
        </is>
      </c>
      <c r="G526" t="n">
        <v>1.6</v>
      </c>
      <c r="H526" t="n">
        <v>0</v>
      </c>
      <c r="I526" t="n">
        <v>0</v>
      </c>
      <c r="J526" t="n">
        <v>0</v>
      </c>
      <c r="K526" t="n">
        <v>0</v>
      </c>
      <c r="L526" t="n">
        <v>0</v>
      </c>
      <c r="M526" t="n">
        <v>0</v>
      </c>
      <c r="N526" t="n">
        <v>0</v>
      </c>
      <c r="O526" t="n">
        <v>0</v>
      </c>
      <c r="P526" t="n">
        <v>0</v>
      </c>
      <c r="Q526" t="n">
        <v>0</v>
      </c>
      <c r="R526" s="2" t="inlineStr"/>
    </row>
    <row r="527" ht="15" customHeight="1">
      <c r="A527" t="inlineStr">
        <is>
          <t>A 23509-2023</t>
        </is>
      </c>
      <c r="B527" s="1" t="n">
        <v>45076</v>
      </c>
      <c r="C527" s="1" t="n">
        <v>45844</v>
      </c>
      <c r="D527" t="inlineStr">
        <is>
          <t>DALARNAS LÄN</t>
        </is>
      </c>
      <c r="E527" t="inlineStr">
        <is>
          <t>LEKSAND</t>
        </is>
      </c>
      <c r="G527" t="n">
        <v>2.1</v>
      </c>
      <c r="H527" t="n">
        <v>0</v>
      </c>
      <c r="I527" t="n">
        <v>0</v>
      </c>
      <c r="J527" t="n">
        <v>0</v>
      </c>
      <c r="K527" t="n">
        <v>0</v>
      </c>
      <c r="L527" t="n">
        <v>0</v>
      </c>
      <c r="M527" t="n">
        <v>0</v>
      </c>
      <c r="N527" t="n">
        <v>0</v>
      </c>
      <c r="O527" t="n">
        <v>0</v>
      </c>
      <c r="P527" t="n">
        <v>0</v>
      </c>
      <c r="Q527" t="n">
        <v>0</v>
      </c>
      <c r="R527" s="2" t="inlineStr"/>
    </row>
    <row r="528" ht="15" customHeight="1">
      <c r="A528" t="inlineStr">
        <is>
          <t>A 23882-2023</t>
        </is>
      </c>
      <c r="B528" s="1" t="n">
        <v>45078</v>
      </c>
      <c r="C528" s="1" t="n">
        <v>45844</v>
      </c>
      <c r="D528" t="inlineStr">
        <is>
          <t>DALARNAS LÄN</t>
        </is>
      </c>
      <c r="E528" t="inlineStr">
        <is>
          <t>LEKSAND</t>
        </is>
      </c>
      <c r="F528" t="inlineStr">
        <is>
          <t>Bergvik skog väst AB</t>
        </is>
      </c>
      <c r="G528" t="n">
        <v>2.6</v>
      </c>
      <c r="H528" t="n">
        <v>0</v>
      </c>
      <c r="I528" t="n">
        <v>0</v>
      </c>
      <c r="J528" t="n">
        <v>0</v>
      </c>
      <c r="K528" t="n">
        <v>0</v>
      </c>
      <c r="L528" t="n">
        <v>0</v>
      </c>
      <c r="M528" t="n">
        <v>0</v>
      </c>
      <c r="N528" t="n">
        <v>0</v>
      </c>
      <c r="O528" t="n">
        <v>0</v>
      </c>
      <c r="P528" t="n">
        <v>0</v>
      </c>
      <c r="Q528" t="n">
        <v>0</v>
      </c>
      <c r="R528" s="2" t="inlineStr"/>
    </row>
    <row r="529" ht="15" customHeight="1">
      <c r="A529" t="inlineStr">
        <is>
          <t>A 23910-2023</t>
        </is>
      </c>
      <c r="B529" s="1" t="n">
        <v>45078</v>
      </c>
      <c r="C529" s="1" t="n">
        <v>45844</v>
      </c>
      <c r="D529" t="inlineStr">
        <is>
          <t>DALARNAS LÄN</t>
        </is>
      </c>
      <c r="E529" t="inlineStr">
        <is>
          <t>LEKSAND</t>
        </is>
      </c>
      <c r="G529" t="n">
        <v>3.8</v>
      </c>
      <c r="H529" t="n">
        <v>0</v>
      </c>
      <c r="I529" t="n">
        <v>0</v>
      </c>
      <c r="J529" t="n">
        <v>0</v>
      </c>
      <c r="K529" t="n">
        <v>0</v>
      </c>
      <c r="L529" t="n">
        <v>0</v>
      </c>
      <c r="M529" t="n">
        <v>0</v>
      </c>
      <c r="N529" t="n">
        <v>0</v>
      </c>
      <c r="O529" t="n">
        <v>0</v>
      </c>
      <c r="P529" t="n">
        <v>0</v>
      </c>
      <c r="Q529" t="n">
        <v>0</v>
      </c>
      <c r="R529" s="2" t="inlineStr"/>
    </row>
    <row r="530" ht="15" customHeight="1">
      <c r="A530" t="inlineStr">
        <is>
          <t>A 24728-2023</t>
        </is>
      </c>
      <c r="B530" s="1" t="n">
        <v>45084</v>
      </c>
      <c r="C530" s="1" t="n">
        <v>45844</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24823-2023</t>
        </is>
      </c>
      <c r="B531" s="1" t="n">
        <v>45084</v>
      </c>
      <c r="C531" s="1" t="n">
        <v>45844</v>
      </c>
      <c r="D531" t="inlineStr">
        <is>
          <t>DALARNAS LÄN</t>
        </is>
      </c>
      <c r="E531" t="inlineStr">
        <is>
          <t>LEKSAND</t>
        </is>
      </c>
      <c r="G531" t="n">
        <v>2.9</v>
      </c>
      <c r="H531" t="n">
        <v>0</v>
      </c>
      <c r="I531" t="n">
        <v>0</v>
      </c>
      <c r="J531" t="n">
        <v>0</v>
      </c>
      <c r="K531" t="n">
        <v>0</v>
      </c>
      <c r="L531" t="n">
        <v>0</v>
      </c>
      <c r="M531" t="n">
        <v>0</v>
      </c>
      <c r="N531" t="n">
        <v>0</v>
      </c>
      <c r="O531" t="n">
        <v>0</v>
      </c>
      <c r="P531" t="n">
        <v>0</v>
      </c>
      <c r="Q531" t="n">
        <v>0</v>
      </c>
      <c r="R531" s="2" t="inlineStr"/>
    </row>
    <row r="532" ht="15" customHeight="1">
      <c r="A532" t="inlineStr">
        <is>
          <t>A 24814-2023</t>
        </is>
      </c>
      <c r="B532" s="1" t="n">
        <v>45084</v>
      </c>
      <c r="C532" s="1" t="n">
        <v>45844</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25025-2023</t>
        </is>
      </c>
      <c r="B533" s="1" t="n">
        <v>45086</v>
      </c>
      <c r="C533" s="1" t="n">
        <v>45844</v>
      </c>
      <c r="D533" t="inlineStr">
        <is>
          <t>DALARNAS LÄN</t>
        </is>
      </c>
      <c r="E533" t="inlineStr">
        <is>
          <t>LEKSAND</t>
        </is>
      </c>
      <c r="G533" t="n">
        <v>3</v>
      </c>
      <c r="H533" t="n">
        <v>0</v>
      </c>
      <c r="I533" t="n">
        <v>0</v>
      </c>
      <c r="J533" t="n">
        <v>0</v>
      </c>
      <c r="K533" t="n">
        <v>0</v>
      </c>
      <c r="L533" t="n">
        <v>0</v>
      </c>
      <c r="M533" t="n">
        <v>0</v>
      </c>
      <c r="N533" t="n">
        <v>0</v>
      </c>
      <c r="O533" t="n">
        <v>0</v>
      </c>
      <c r="P533" t="n">
        <v>0</v>
      </c>
      <c r="Q533" t="n">
        <v>0</v>
      </c>
      <c r="R533" s="2" t="inlineStr"/>
    </row>
    <row r="534" ht="15" customHeight="1">
      <c r="A534" t="inlineStr">
        <is>
          <t>A 25067-2023</t>
        </is>
      </c>
      <c r="B534" s="1" t="n">
        <v>45086</v>
      </c>
      <c r="C534" s="1" t="n">
        <v>45844</v>
      </c>
      <c r="D534" t="inlineStr">
        <is>
          <t>DALARNAS LÄN</t>
        </is>
      </c>
      <c r="E534" t="inlineStr">
        <is>
          <t>LEKSAND</t>
        </is>
      </c>
      <c r="G534" t="n">
        <v>2</v>
      </c>
      <c r="H534" t="n">
        <v>0</v>
      </c>
      <c r="I534" t="n">
        <v>0</v>
      </c>
      <c r="J534" t="n">
        <v>0</v>
      </c>
      <c r="K534" t="n">
        <v>0</v>
      </c>
      <c r="L534" t="n">
        <v>0</v>
      </c>
      <c r="M534" t="n">
        <v>0</v>
      </c>
      <c r="N534" t="n">
        <v>0</v>
      </c>
      <c r="O534" t="n">
        <v>0</v>
      </c>
      <c r="P534" t="n">
        <v>0</v>
      </c>
      <c r="Q534" t="n">
        <v>0</v>
      </c>
      <c r="R534" s="2" t="inlineStr"/>
    </row>
    <row r="535" ht="15" customHeight="1">
      <c r="A535" t="inlineStr">
        <is>
          <t>A 25038-2023</t>
        </is>
      </c>
      <c r="B535" s="1" t="n">
        <v>45085</v>
      </c>
      <c r="C535" s="1" t="n">
        <v>45844</v>
      </c>
      <c r="D535" t="inlineStr">
        <is>
          <t>DALARNAS LÄN</t>
        </is>
      </c>
      <c r="E535" t="inlineStr">
        <is>
          <t>LEKSAND</t>
        </is>
      </c>
      <c r="G535" t="n">
        <v>0.7</v>
      </c>
      <c r="H535" t="n">
        <v>0</v>
      </c>
      <c r="I535" t="n">
        <v>0</v>
      </c>
      <c r="J535" t="n">
        <v>0</v>
      </c>
      <c r="K535" t="n">
        <v>0</v>
      </c>
      <c r="L535" t="n">
        <v>0</v>
      </c>
      <c r="M535" t="n">
        <v>0</v>
      </c>
      <c r="N535" t="n">
        <v>0</v>
      </c>
      <c r="O535" t="n">
        <v>0</v>
      </c>
      <c r="P535" t="n">
        <v>0</v>
      </c>
      <c r="Q535" t="n">
        <v>0</v>
      </c>
      <c r="R535" s="2" t="inlineStr"/>
    </row>
    <row r="536" ht="15" customHeight="1">
      <c r="A536" t="inlineStr">
        <is>
          <t>A 25627-2023</t>
        </is>
      </c>
      <c r="B536" s="1" t="n">
        <v>45089</v>
      </c>
      <c r="C536" s="1" t="n">
        <v>45844</v>
      </c>
      <c r="D536" t="inlineStr">
        <is>
          <t>DALARNAS LÄN</t>
        </is>
      </c>
      <c r="E536" t="inlineStr">
        <is>
          <t>LEKSAND</t>
        </is>
      </c>
      <c r="F536" t="inlineStr">
        <is>
          <t>Bergvik skog väst AB</t>
        </is>
      </c>
      <c r="G536" t="n">
        <v>8.4</v>
      </c>
      <c r="H536" t="n">
        <v>0</v>
      </c>
      <c r="I536" t="n">
        <v>0</v>
      </c>
      <c r="J536" t="n">
        <v>0</v>
      </c>
      <c r="K536" t="n">
        <v>0</v>
      </c>
      <c r="L536" t="n">
        <v>0</v>
      </c>
      <c r="M536" t="n">
        <v>0</v>
      </c>
      <c r="N536" t="n">
        <v>0</v>
      </c>
      <c r="O536" t="n">
        <v>0</v>
      </c>
      <c r="P536" t="n">
        <v>0</v>
      </c>
      <c r="Q536" t="n">
        <v>0</v>
      </c>
      <c r="R536" s="2" t="inlineStr"/>
    </row>
    <row r="537" ht="15" customHeight="1">
      <c r="A537" t="inlineStr">
        <is>
          <t>A 25637-2023</t>
        </is>
      </c>
      <c r="B537" s="1" t="n">
        <v>45089</v>
      </c>
      <c r="C537" s="1" t="n">
        <v>45844</v>
      </c>
      <c r="D537" t="inlineStr">
        <is>
          <t>DALARNAS LÄN</t>
        </is>
      </c>
      <c r="E537" t="inlineStr">
        <is>
          <t>LEKSAND</t>
        </is>
      </c>
      <c r="G537" t="n">
        <v>1.3</v>
      </c>
      <c r="H537" t="n">
        <v>0</v>
      </c>
      <c r="I537" t="n">
        <v>0</v>
      </c>
      <c r="J537" t="n">
        <v>0</v>
      </c>
      <c r="K537" t="n">
        <v>0</v>
      </c>
      <c r="L537" t="n">
        <v>0</v>
      </c>
      <c r="M537" t="n">
        <v>0</v>
      </c>
      <c r="N537" t="n">
        <v>0</v>
      </c>
      <c r="O537" t="n">
        <v>0</v>
      </c>
      <c r="P537" t="n">
        <v>0</v>
      </c>
      <c r="Q537" t="n">
        <v>0</v>
      </c>
      <c r="R537" s="2" t="inlineStr"/>
    </row>
    <row r="538" ht="15" customHeight="1">
      <c r="A538" t="inlineStr">
        <is>
          <t>A 25652-2023</t>
        </is>
      </c>
      <c r="B538" s="1" t="n">
        <v>45089</v>
      </c>
      <c r="C538" s="1" t="n">
        <v>45844</v>
      </c>
      <c r="D538" t="inlineStr">
        <is>
          <t>DALARNAS LÄN</t>
        </is>
      </c>
      <c r="E538" t="inlineStr">
        <is>
          <t>LEKSAND</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25715-2023</t>
        </is>
      </c>
      <c r="B539" s="1" t="n">
        <v>45090</v>
      </c>
      <c r="C539" s="1" t="n">
        <v>45844</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25907-2023</t>
        </is>
      </c>
      <c r="B540" s="1" t="n">
        <v>45090</v>
      </c>
      <c r="C540" s="1" t="n">
        <v>45844</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26742-2023</t>
        </is>
      </c>
      <c r="B541" s="1" t="n">
        <v>45090</v>
      </c>
      <c r="C541" s="1" t="n">
        <v>45844</v>
      </c>
      <c r="D541" t="inlineStr">
        <is>
          <t>DALARNAS LÄN</t>
        </is>
      </c>
      <c r="E541" t="inlineStr">
        <is>
          <t>LEKSAND</t>
        </is>
      </c>
      <c r="G541" t="n">
        <v>1.8</v>
      </c>
      <c r="H541" t="n">
        <v>0</v>
      </c>
      <c r="I541" t="n">
        <v>0</v>
      </c>
      <c r="J541" t="n">
        <v>0</v>
      </c>
      <c r="K541" t="n">
        <v>0</v>
      </c>
      <c r="L541" t="n">
        <v>0</v>
      </c>
      <c r="M541" t="n">
        <v>0</v>
      </c>
      <c r="N541" t="n">
        <v>0</v>
      </c>
      <c r="O541" t="n">
        <v>0</v>
      </c>
      <c r="P541" t="n">
        <v>0</v>
      </c>
      <c r="Q541" t="n">
        <v>0</v>
      </c>
      <c r="R541" s="2" t="inlineStr"/>
    </row>
    <row r="542" ht="15" customHeight="1">
      <c r="A542" t="inlineStr">
        <is>
          <t>A 26038-2023</t>
        </is>
      </c>
      <c r="B542" s="1" t="n">
        <v>45091</v>
      </c>
      <c r="C542" s="1" t="n">
        <v>45844</v>
      </c>
      <c r="D542" t="inlineStr">
        <is>
          <t>DALARNAS LÄN</t>
        </is>
      </c>
      <c r="E542" t="inlineStr">
        <is>
          <t>LEKSAND</t>
        </is>
      </c>
      <c r="G542" t="n">
        <v>6.8</v>
      </c>
      <c r="H542" t="n">
        <v>0</v>
      </c>
      <c r="I542" t="n">
        <v>0</v>
      </c>
      <c r="J542" t="n">
        <v>0</v>
      </c>
      <c r="K542" t="n">
        <v>0</v>
      </c>
      <c r="L542" t="n">
        <v>0</v>
      </c>
      <c r="M542" t="n">
        <v>0</v>
      </c>
      <c r="N542" t="n">
        <v>0</v>
      </c>
      <c r="O542" t="n">
        <v>0</v>
      </c>
      <c r="P542" t="n">
        <v>0</v>
      </c>
      <c r="Q542" t="n">
        <v>0</v>
      </c>
      <c r="R542" s="2" t="inlineStr"/>
    </row>
    <row r="543" ht="15" customHeight="1">
      <c r="A543" t="inlineStr">
        <is>
          <t>A 26044-2023</t>
        </is>
      </c>
      <c r="B543" s="1" t="n">
        <v>45091</v>
      </c>
      <c r="C543" s="1" t="n">
        <v>45844</v>
      </c>
      <c r="D543" t="inlineStr">
        <is>
          <t>DALARNAS LÄN</t>
        </is>
      </c>
      <c r="E543" t="inlineStr">
        <is>
          <t>LEKSAND</t>
        </is>
      </c>
      <c r="G543" t="n">
        <v>5.3</v>
      </c>
      <c r="H543" t="n">
        <v>0</v>
      </c>
      <c r="I543" t="n">
        <v>0</v>
      </c>
      <c r="J543" t="n">
        <v>0</v>
      </c>
      <c r="K543" t="n">
        <v>0</v>
      </c>
      <c r="L543" t="n">
        <v>0</v>
      </c>
      <c r="M543" t="n">
        <v>0</v>
      </c>
      <c r="N543" t="n">
        <v>0</v>
      </c>
      <c r="O543" t="n">
        <v>0</v>
      </c>
      <c r="P543" t="n">
        <v>0</v>
      </c>
      <c r="Q543" t="n">
        <v>0</v>
      </c>
      <c r="R543" s="2" t="inlineStr"/>
    </row>
    <row r="544" ht="15" customHeight="1">
      <c r="A544" t="inlineStr">
        <is>
          <t>A 26107-2023</t>
        </is>
      </c>
      <c r="B544" s="1" t="n">
        <v>45091</v>
      </c>
      <c r="C544" s="1" t="n">
        <v>45844</v>
      </c>
      <c r="D544" t="inlineStr">
        <is>
          <t>DALARNAS LÄN</t>
        </is>
      </c>
      <c r="E544" t="inlineStr">
        <is>
          <t>LEKSAND</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26847-2023</t>
        </is>
      </c>
      <c r="B545" s="1" t="n">
        <v>45093</v>
      </c>
      <c r="C545" s="1" t="n">
        <v>45844</v>
      </c>
      <c r="D545" t="inlineStr">
        <is>
          <t>DALARNAS LÄN</t>
        </is>
      </c>
      <c r="E545" t="inlineStr">
        <is>
          <t>LEKSAND</t>
        </is>
      </c>
      <c r="G545" t="n">
        <v>3.9</v>
      </c>
      <c r="H545" t="n">
        <v>0</v>
      </c>
      <c r="I545" t="n">
        <v>0</v>
      </c>
      <c r="J545" t="n">
        <v>0</v>
      </c>
      <c r="K545" t="n">
        <v>0</v>
      </c>
      <c r="L545" t="n">
        <v>0</v>
      </c>
      <c r="M545" t="n">
        <v>0</v>
      </c>
      <c r="N545" t="n">
        <v>0</v>
      </c>
      <c r="O545" t="n">
        <v>0</v>
      </c>
      <c r="P545" t="n">
        <v>0</v>
      </c>
      <c r="Q545" t="n">
        <v>0</v>
      </c>
      <c r="R545" s="2" t="inlineStr"/>
    </row>
    <row r="546" ht="15" customHeight="1">
      <c r="A546" t="inlineStr">
        <is>
          <t>A 26957-2023</t>
        </is>
      </c>
      <c r="B546" s="1" t="n">
        <v>45093</v>
      </c>
      <c r="C546" s="1" t="n">
        <v>45844</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26924-2023</t>
        </is>
      </c>
      <c r="B547" s="1" t="n">
        <v>45093</v>
      </c>
      <c r="C547" s="1" t="n">
        <v>45844</v>
      </c>
      <c r="D547" t="inlineStr">
        <is>
          <t>DALARNAS LÄN</t>
        </is>
      </c>
      <c r="E547" t="inlineStr">
        <is>
          <t>LEKSAND</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26959-2023</t>
        </is>
      </c>
      <c r="B548" s="1" t="n">
        <v>45093</v>
      </c>
      <c r="C548" s="1" t="n">
        <v>45844</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26931-2023</t>
        </is>
      </c>
      <c r="B549" s="1" t="n">
        <v>45093</v>
      </c>
      <c r="C549" s="1" t="n">
        <v>45844</v>
      </c>
      <c r="D549" t="inlineStr">
        <is>
          <t>DALARNAS LÄN</t>
        </is>
      </c>
      <c r="E549" t="inlineStr">
        <is>
          <t>LEKSAND</t>
        </is>
      </c>
      <c r="F549" t="inlineStr">
        <is>
          <t>Bergvik skog väst AB</t>
        </is>
      </c>
      <c r="G549" t="n">
        <v>2.1</v>
      </c>
      <c r="H549" t="n">
        <v>0</v>
      </c>
      <c r="I549" t="n">
        <v>0</v>
      </c>
      <c r="J549" t="n">
        <v>0</v>
      </c>
      <c r="K549" t="n">
        <v>0</v>
      </c>
      <c r="L549" t="n">
        <v>0</v>
      </c>
      <c r="M549" t="n">
        <v>0</v>
      </c>
      <c r="N549" t="n">
        <v>0</v>
      </c>
      <c r="O549" t="n">
        <v>0</v>
      </c>
      <c r="P549" t="n">
        <v>0</v>
      </c>
      <c r="Q549" t="n">
        <v>0</v>
      </c>
      <c r="R549" s="2" t="inlineStr"/>
    </row>
    <row r="550" ht="15" customHeight="1">
      <c r="A550" t="inlineStr">
        <is>
          <t>A 26946-2023</t>
        </is>
      </c>
      <c r="B550" s="1" t="n">
        <v>45093</v>
      </c>
      <c r="C550" s="1" t="n">
        <v>45844</v>
      </c>
      <c r="D550" t="inlineStr">
        <is>
          <t>DALARNAS LÄN</t>
        </is>
      </c>
      <c r="E550" t="inlineStr">
        <is>
          <t>LEKSAND</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27047-2023</t>
        </is>
      </c>
      <c r="B551" s="1" t="n">
        <v>45095</v>
      </c>
      <c r="C551" s="1" t="n">
        <v>45844</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27055-2023</t>
        </is>
      </c>
      <c r="B552" s="1" t="n">
        <v>45095</v>
      </c>
      <c r="C552" s="1" t="n">
        <v>45844</v>
      </c>
      <c r="D552" t="inlineStr">
        <is>
          <t>DALARNAS LÄN</t>
        </is>
      </c>
      <c r="E552" t="inlineStr">
        <is>
          <t>LEKSAND</t>
        </is>
      </c>
      <c r="G552" t="n">
        <v>1.4</v>
      </c>
      <c r="H552" t="n">
        <v>0</v>
      </c>
      <c r="I552" t="n">
        <v>0</v>
      </c>
      <c r="J552" t="n">
        <v>0</v>
      </c>
      <c r="K552" t="n">
        <v>0</v>
      </c>
      <c r="L552" t="n">
        <v>0</v>
      </c>
      <c r="M552" t="n">
        <v>0</v>
      </c>
      <c r="N552" t="n">
        <v>0</v>
      </c>
      <c r="O552" t="n">
        <v>0</v>
      </c>
      <c r="P552" t="n">
        <v>0</v>
      </c>
      <c r="Q552" t="n">
        <v>0</v>
      </c>
      <c r="R552" s="2" t="inlineStr"/>
      <c r="U552">
        <f>HYPERLINK("https://klasma.github.io/Logging_2029/knärot/A 27055-2023 karta knärot.png", "A 27055-2023")</f>
        <v/>
      </c>
      <c r="V552">
        <f>HYPERLINK("https://klasma.github.io/Logging_2029/klagomål/A 27055-2023 FSC-klagomål.docx", "A 27055-2023")</f>
        <v/>
      </c>
      <c r="W552">
        <f>HYPERLINK("https://klasma.github.io/Logging_2029/klagomålsmail/A 27055-2023 FSC-klagomål mail.docx", "A 27055-2023")</f>
        <v/>
      </c>
      <c r="X552">
        <f>HYPERLINK("https://klasma.github.io/Logging_2029/tillsyn/A 27055-2023 tillsynsbegäran.docx", "A 27055-2023")</f>
        <v/>
      </c>
      <c r="Y552">
        <f>HYPERLINK("https://klasma.github.io/Logging_2029/tillsynsmail/A 27055-2023 tillsynsbegäran mail.docx", "A 27055-2023")</f>
        <v/>
      </c>
    </row>
    <row r="553" ht="15" customHeight="1">
      <c r="A553" t="inlineStr">
        <is>
          <t>A 27048-2023</t>
        </is>
      </c>
      <c r="B553" s="1" t="n">
        <v>45095</v>
      </c>
      <c r="C553" s="1" t="n">
        <v>45844</v>
      </c>
      <c r="D553" t="inlineStr">
        <is>
          <t>DALARNAS LÄN</t>
        </is>
      </c>
      <c r="E553" t="inlineStr">
        <is>
          <t>LEKSAND</t>
        </is>
      </c>
      <c r="G553" t="n">
        <v>1.3</v>
      </c>
      <c r="H553" t="n">
        <v>0</v>
      </c>
      <c r="I553" t="n">
        <v>0</v>
      </c>
      <c r="J553" t="n">
        <v>0</v>
      </c>
      <c r="K553" t="n">
        <v>0</v>
      </c>
      <c r="L553" t="n">
        <v>0</v>
      </c>
      <c r="M553" t="n">
        <v>0</v>
      </c>
      <c r="N553" t="n">
        <v>0</v>
      </c>
      <c r="O553" t="n">
        <v>0</v>
      </c>
      <c r="P553" t="n">
        <v>0</v>
      </c>
      <c r="Q553" t="n">
        <v>0</v>
      </c>
      <c r="R553" s="2" t="inlineStr"/>
    </row>
    <row r="554" ht="15" customHeight="1">
      <c r="A554" t="inlineStr">
        <is>
          <t>A 27046-2023</t>
        </is>
      </c>
      <c r="B554" s="1" t="n">
        <v>45095</v>
      </c>
      <c r="C554" s="1" t="n">
        <v>45844</v>
      </c>
      <c r="D554" t="inlineStr">
        <is>
          <t>DALARNAS LÄN</t>
        </is>
      </c>
      <c r="E554" t="inlineStr">
        <is>
          <t>LEKSAND</t>
        </is>
      </c>
      <c r="G554" t="n">
        <v>4</v>
      </c>
      <c r="H554" t="n">
        <v>0</v>
      </c>
      <c r="I554" t="n">
        <v>0</v>
      </c>
      <c r="J554" t="n">
        <v>0</v>
      </c>
      <c r="K554" t="n">
        <v>0</v>
      </c>
      <c r="L554" t="n">
        <v>0</v>
      </c>
      <c r="M554" t="n">
        <v>0</v>
      </c>
      <c r="N554" t="n">
        <v>0</v>
      </c>
      <c r="O554" t="n">
        <v>0</v>
      </c>
      <c r="P554" t="n">
        <v>0</v>
      </c>
      <c r="Q554" t="n">
        <v>0</v>
      </c>
      <c r="R554" s="2" t="inlineStr"/>
    </row>
    <row r="555" ht="15" customHeight="1">
      <c r="A555" t="inlineStr">
        <is>
          <t>A 27054-2023</t>
        </is>
      </c>
      <c r="B555" s="1" t="n">
        <v>45095</v>
      </c>
      <c r="C555" s="1" t="n">
        <v>45844</v>
      </c>
      <c r="D555" t="inlineStr">
        <is>
          <t>DALARNAS LÄN</t>
        </is>
      </c>
      <c r="E555" t="inlineStr">
        <is>
          <t>LEKSAND</t>
        </is>
      </c>
      <c r="G555" t="n">
        <v>1.1</v>
      </c>
      <c r="H555" t="n">
        <v>0</v>
      </c>
      <c r="I555" t="n">
        <v>0</v>
      </c>
      <c r="J555" t="n">
        <v>0</v>
      </c>
      <c r="K555" t="n">
        <v>0</v>
      </c>
      <c r="L555" t="n">
        <v>0</v>
      </c>
      <c r="M555" t="n">
        <v>0</v>
      </c>
      <c r="N555" t="n">
        <v>0</v>
      </c>
      <c r="O555" t="n">
        <v>0</v>
      </c>
      <c r="P555" t="n">
        <v>0</v>
      </c>
      <c r="Q555" t="n">
        <v>0</v>
      </c>
      <c r="R555" s="2" t="inlineStr"/>
    </row>
    <row r="556" ht="15" customHeight="1">
      <c r="A556" t="inlineStr">
        <is>
          <t>A 27244-2023</t>
        </is>
      </c>
      <c r="B556" s="1" t="n">
        <v>45096</v>
      </c>
      <c r="C556" s="1" t="n">
        <v>45844</v>
      </c>
      <c r="D556" t="inlineStr">
        <is>
          <t>DALARNAS LÄN</t>
        </is>
      </c>
      <c r="E556" t="inlineStr">
        <is>
          <t>LEKSAND</t>
        </is>
      </c>
      <c r="G556" t="n">
        <v>5</v>
      </c>
      <c r="H556" t="n">
        <v>0</v>
      </c>
      <c r="I556" t="n">
        <v>0</v>
      </c>
      <c r="J556" t="n">
        <v>0</v>
      </c>
      <c r="K556" t="n">
        <v>0</v>
      </c>
      <c r="L556" t="n">
        <v>0</v>
      </c>
      <c r="M556" t="n">
        <v>0</v>
      </c>
      <c r="N556" t="n">
        <v>0</v>
      </c>
      <c r="O556" t="n">
        <v>0</v>
      </c>
      <c r="P556" t="n">
        <v>0</v>
      </c>
      <c r="Q556" t="n">
        <v>0</v>
      </c>
      <c r="R556" s="2" t="inlineStr"/>
    </row>
    <row r="557" ht="15" customHeight="1">
      <c r="A557" t="inlineStr">
        <is>
          <t>A 27348-2023</t>
        </is>
      </c>
      <c r="B557" s="1" t="n">
        <v>45096</v>
      </c>
      <c r="C557" s="1" t="n">
        <v>45844</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27511-2023</t>
        </is>
      </c>
      <c r="B558" s="1" t="n">
        <v>45097</v>
      </c>
      <c r="C558" s="1" t="n">
        <v>45844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27520-2023</t>
        </is>
      </c>
      <c r="B559" s="1" t="n">
        <v>45097</v>
      </c>
      <c r="C559" s="1" t="n">
        <v>45844</v>
      </c>
      <c r="D559" t="inlineStr">
        <is>
          <t>DALARNAS LÄN</t>
        </is>
      </c>
      <c r="E559" t="inlineStr">
        <is>
          <t>LEKSAND</t>
        </is>
      </c>
      <c r="G559" t="n">
        <v>0.7</v>
      </c>
      <c r="H559" t="n">
        <v>0</v>
      </c>
      <c r="I559" t="n">
        <v>0</v>
      </c>
      <c r="J559" t="n">
        <v>0</v>
      </c>
      <c r="K559" t="n">
        <v>0</v>
      </c>
      <c r="L559" t="n">
        <v>0</v>
      </c>
      <c r="M559" t="n">
        <v>0</v>
      </c>
      <c r="N559" t="n">
        <v>0</v>
      </c>
      <c r="O559" t="n">
        <v>0</v>
      </c>
      <c r="P559" t="n">
        <v>0</v>
      </c>
      <c r="Q559" t="n">
        <v>0</v>
      </c>
      <c r="R559" s="2" t="inlineStr"/>
    </row>
    <row r="560" ht="15" customHeight="1">
      <c r="A560" t="inlineStr">
        <is>
          <t>A 27543-2023</t>
        </is>
      </c>
      <c r="B560" s="1" t="n">
        <v>45097</v>
      </c>
      <c r="C560" s="1" t="n">
        <v>45844</v>
      </c>
      <c r="D560" t="inlineStr">
        <is>
          <t>DALARNAS LÄN</t>
        </is>
      </c>
      <c r="E560" t="inlineStr">
        <is>
          <t>LEKSAND</t>
        </is>
      </c>
      <c r="G560" t="n">
        <v>3.4</v>
      </c>
      <c r="H560" t="n">
        <v>0</v>
      </c>
      <c r="I560" t="n">
        <v>0</v>
      </c>
      <c r="J560" t="n">
        <v>0</v>
      </c>
      <c r="K560" t="n">
        <v>0</v>
      </c>
      <c r="L560" t="n">
        <v>0</v>
      </c>
      <c r="M560" t="n">
        <v>0</v>
      </c>
      <c r="N560" t="n">
        <v>0</v>
      </c>
      <c r="O560" t="n">
        <v>0</v>
      </c>
      <c r="P560" t="n">
        <v>0</v>
      </c>
      <c r="Q560" t="n">
        <v>0</v>
      </c>
      <c r="R560" s="2" t="inlineStr"/>
    </row>
    <row r="561" ht="15" customHeight="1">
      <c r="A561" t="inlineStr">
        <is>
          <t>A 27791-2023</t>
        </is>
      </c>
      <c r="B561" s="1" t="n">
        <v>45098</v>
      </c>
      <c r="C561" s="1" t="n">
        <v>45844</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28103-2023</t>
        </is>
      </c>
      <c r="B562" s="1" t="n">
        <v>45099</v>
      </c>
      <c r="C562" s="1" t="n">
        <v>45844</v>
      </c>
      <c r="D562" t="inlineStr">
        <is>
          <t>DALARNAS LÄN</t>
        </is>
      </c>
      <c r="E562" t="inlineStr">
        <is>
          <t>LEKSAND</t>
        </is>
      </c>
      <c r="F562" t="inlineStr">
        <is>
          <t>Bergvik skog väst AB</t>
        </is>
      </c>
      <c r="G562" t="n">
        <v>15.3</v>
      </c>
      <c r="H562" t="n">
        <v>0</v>
      </c>
      <c r="I562" t="n">
        <v>0</v>
      </c>
      <c r="J562" t="n">
        <v>0</v>
      </c>
      <c r="K562" t="n">
        <v>0</v>
      </c>
      <c r="L562" t="n">
        <v>0</v>
      </c>
      <c r="M562" t="n">
        <v>0</v>
      </c>
      <c r="N562" t="n">
        <v>0</v>
      </c>
      <c r="O562" t="n">
        <v>0</v>
      </c>
      <c r="P562" t="n">
        <v>0</v>
      </c>
      <c r="Q562" t="n">
        <v>0</v>
      </c>
      <c r="R562" s="2" t="inlineStr"/>
    </row>
    <row r="563" ht="15" customHeight="1">
      <c r="A563" t="inlineStr">
        <is>
          <t>A 28108-2023</t>
        </is>
      </c>
      <c r="B563" s="1" t="n">
        <v>45099</v>
      </c>
      <c r="C563" s="1" t="n">
        <v>45844</v>
      </c>
      <c r="D563" t="inlineStr">
        <is>
          <t>DALARNAS LÄN</t>
        </is>
      </c>
      <c r="E563" t="inlineStr">
        <is>
          <t>LEKSAND</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28578-2023</t>
        </is>
      </c>
      <c r="B564" s="1" t="n">
        <v>45103</v>
      </c>
      <c r="C564" s="1" t="n">
        <v>45844</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45844</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28633-2023</t>
        </is>
      </c>
      <c r="B566" s="1" t="n">
        <v>45103</v>
      </c>
      <c r="C566" s="1" t="n">
        <v>45844</v>
      </c>
      <c r="D566" t="inlineStr">
        <is>
          <t>DALARNAS LÄN</t>
        </is>
      </c>
      <c r="E566" t="inlineStr">
        <is>
          <t>LEKSAND</t>
        </is>
      </c>
      <c r="F566" t="inlineStr">
        <is>
          <t>Bergvik skog väst AB</t>
        </is>
      </c>
      <c r="G566" t="n">
        <v>0.5</v>
      </c>
      <c r="H566" t="n">
        <v>0</v>
      </c>
      <c r="I566" t="n">
        <v>0</v>
      </c>
      <c r="J566" t="n">
        <v>0</v>
      </c>
      <c r="K566" t="n">
        <v>0</v>
      </c>
      <c r="L566" t="n">
        <v>0</v>
      </c>
      <c r="M566" t="n">
        <v>0</v>
      </c>
      <c r="N566" t="n">
        <v>0</v>
      </c>
      <c r="O566" t="n">
        <v>0</v>
      </c>
      <c r="P566" t="n">
        <v>0</v>
      </c>
      <c r="Q566" t="n">
        <v>0</v>
      </c>
      <c r="R566" s="2" t="inlineStr"/>
    </row>
    <row r="567" ht="15" customHeight="1">
      <c r="A567" t="inlineStr">
        <is>
          <t>A 28630-2023</t>
        </is>
      </c>
      <c r="B567" s="1" t="n">
        <v>45103</v>
      </c>
      <c r="C567" s="1" t="n">
        <v>45844</v>
      </c>
      <c r="D567" t="inlineStr">
        <is>
          <t>DALARNAS LÄN</t>
        </is>
      </c>
      <c r="E567" t="inlineStr">
        <is>
          <t>LEKSAND</t>
        </is>
      </c>
      <c r="F567" t="inlineStr">
        <is>
          <t>Bergvik skog väst AB</t>
        </is>
      </c>
      <c r="G567" t="n">
        <v>0.3</v>
      </c>
      <c r="H567" t="n">
        <v>0</v>
      </c>
      <c r="I567" t="n">
        <v>0</v>
      </c>
      <c r="J567" t="n">
        <v>0</v>
      </c>
      <c r="K567" t="n">
        <v>0</v>
      </c>
      <c r="L567" t="n">
        <v>0</v>
      </c>
      <c r="M567" t="n">
        <v>0</v>
      </c>
      <c r="N567" t="n">
        <v>0</v>
      </c>
      <c r="O567" t="n">
        <v>0</v>
      </c>
      <c r="P567" t="n">
        <v>0</v>
      </c>
      <c r="Q567" t="n">
        <v>0</v>
      </c>
      <c r="R567" s="2" t="inlineStr"/>
    </row>
    <row r="568" ht="15" customHeight="1">
      <c r="A568" t="inlineStr">
        <is>
          <t>A 28946-2023</t>
        </is>
      </c>
      <c r="B568" s="1" t="n">
        <v>45104</v>
      </c>
      <c r="C568" s="1" t="n">
        <v>45844</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28935-2023</t>
        </is>
      </c>
      <c r="B569" s="1" t="n">
        <v>45104</v>
      </c>
      <c r="C569" s="1" t="n">
        <v>45844</v>
      </c>
      <c r="D569" t="inlineStr">
        <is>
          <t>DALARNAS LÄN</t>
        </is>
      </c>
      <c r="E569" t="inlineStr">
        <is>
          <t>LEKSAND</t>
        </is>
      </c>
      <c r="G569" t="n">
        <v>2.6</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45844</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31401-2023</t>
        </is>
      </c>
      <c r="B571" s="1" t="n">
        <v>45104</v>
      </c>
      <c r="C571" s="1" t="n">
        <v>45844</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28921-2023</t>
        </is>
      </c>
      <c r="B572" s="1" t="n">
        <v>45104</v>
      </c>
      <c r="C572" s="1" t="n">
        <v>45844</v>
      </c>
      <c r="D572" t="inlineStr">
        <is>
          <t>DALARNAS LÄN</t>
        </is>
      </c>
      <c r="E572" t="inlineStr">
        <is>
          <t>LEKSAND</t>
        </is>
      </c>
      <c r="G572" t="n">
        <v>4.4</v>
      </c>
      <c r="H572" t="n">
        <v>0</v>
      </c>
      <c r="I572" t="n">
        <v>0</v>
      </c>
      <c r="J572" t="n">
        <v>0</v>
      </c>
      <c r="K572" t="n">
        <v>0</v>
      </c>
      <c r="L572" t="n">
        <v>0</v>
      </c>
      <c r="M572" t="n">
        <v>0</v>
      </c>
      <c r="N572" t="n">
        <v>0</v>
      </c>
      <c r="O572" t="n">
        <v>0</v>
      </c>
      <c r="P572" t="n">
        <v>0</v>
      </c>
      <c r="Q572" t="n">
        <v>0</v>
      </c>
      <c r="R572" s="2" t="inlineStr"/>
    </row>
    <row r="573" ht="15" customHeight="1">
      <c r="A573" t="inlineStr">
        <is>
          <t>A 31422-2023</t>
        </is>
      </c>
      <c r="B573" s="1" t="n">
        <v>45104</v>
      </c>
      <c r="C573" s="1" t="n">
        <v>45844</v>
      </c>
      <c r="D573" t="inlineStr">
        <is>
          <t>DALARNAS LÄN</t>
        </is>
      </c>
      <c r="E573" t="inlineStr">
        <is>
          <t>LEKSAND</t>
        </is>
      </c>
      <c r="G573" t="n">
        <v>1.5</v>
      </c>
      <c r="H573" t="n">
        <v>0</v>
      </c>
      <c r="I573" t="n">
        <v>0</v>
      </c>
      <c r="J573" t="n">
        <v>0</v>
      </c>
      <c r="K573" t="n">
        <v>0</v>
      </c>
      <c r="L573" t="n">
        <v>0</v>
      </c>
      <c r="M573" t="n">
        <v>0</v>
      </c>
      <c r="N573" t="n">
        <v>0</v>
      </c>
      <c r="O573" t="n">
        <v>0</v>
      </c>
      <c r="P573" t="n">
        <v>0</v>
      </c>
      <c r="Q573" t="n">
        <v>0</v>
      </c>
      <c r="R573" s="2" t="inlineStr"/>
    </row>
    <row r="574" ht="15" customHeight="1">
      <c r="A574" t="inlineStr">
        <is>
          <t>A 29122-2023</t>
        </is>
      </c>
      <c r="B574" s="1" t="n">
        <v>45105</v>
      </c>
      <c r="C574" s="1" t="n">
        <v>45844</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29139-2023</t>
        </is>
      </c>
      <c r="B575" s="1" t="n">
        <v>45105</v>
      </c>
      <c r="C575" s="1" t="n">
        <v>45844</v>
      </c>
      <c r="D575" t="inlineStr">
        <is>
          <t>DALARNAS LÄN</t>
        </is>
      </c>
      <c r="E575" t="inlineStr">
        <is>
          <t>LEKSAND</t>
        </is>
      </c>
      <c r="G575" t="n">
        <v>3.5</v>
      </c>
      <c r="H575" t="n">
        <v>0</v>
      </c>
      <c r="I575" t="n">
        <v>0</v>
      </c>
      <c r="J575" t="n">
        <v>0</v>
      </c>
      <c r="K575" t="n">
        <v>0</v>
      </c>
      <c r="L575" t="n">
        <v>0</v>
      </c>
      <c r="M575" t="n">
        <v>0</v>
      </c>
      <c r="N575" t="n">
        <v>0</v>
      </c>
      <c r="O575" t="n">
        <v>0</v>
      </c>
      <c r="P575" t="n">
        <v>0</v>
      </c>
      <c r="Q575" t="n">
        <v>0</v>
      </c>
      <c r="R575" s="2" t="inlineStr"/>
    </row>
    <row r="576" ht="15" customHeight="1">
      <c r="A576" t="inlineStr">
        <is>
          <t>A 29222-2023</t>
        </is>
      </c>
      <c r="B576" s="1" t="n">
        <v>45105</v>
      </c>
      <c r="C576" s="1" t="n">
        <v>45844</v>
      </c>
      <c r="D576" t="inlineStr">
        <is>
          <t>DALARNAS LÄN</t>
        </is>
      </c>
      <c r="E576" t="inlineStr">
        <is>
          <t>LEKSAND</t>
        </is>
      </c>
      <c r="G576" t="n">
        <v>5</v>
      </c>
      <c r="H576" t="n">
        <v>0</v>
      </c>
      <c r="I576" t="n">
        <v>0</v>
      </c>
      <c r="J576" t="n">
        <v>0</v>
      </c>
      <c r="K576" t="n">
        <v>0</v>
      </c>
      <c r="L576" t="n">
        <v>0</v>
      </c>
      <c r="M576" t="n">
        <v>0</v>
      </c>
      <c r="N576" t="n">
        <v>0</v>
      </c>
      <c r="O576" t="n">
        <v>0</v>
      </c>
      <c r="P576" t="n">
        <v>0</v>
      </c>
      <c r="Q576" t="n">
        <v>0</v>
      </c>
      <c r="R576" s="2" t="inlineStr"/>
    </row>
    <row r="577" ht="15" customHeight="1">
      <c r="A577" t="inlineStr">
        <is>
          <t>A 29916-2023</t>
        </is>
      </c>
      <c r="B577" s="1" t="n">
        <v>45107</v>
      </c>
      <c r="C577" s="1" t="n">
        <v>45844</v>
      </c>
      <c r="D577" t="inlineStr">
        <is>
          <t>DALARNAS LÄN</t>
        </is>
      </c>
      <c r="E577" t="inlineStr">
        <is>
          <t>LEKSAND</t>
        </is>
      </c>
      <c r="F577" t="inlineStr">
        <is>
          <t>Bergvik skog väst AB</t>
        </is>
      </c>
      <c r="G577" t="n">
        <v>9.4</v>
      </c>
      <c r="H577" t="n">
        <v>0</v>
      </c>
      <c r="I577" t="n">
        <v>0</v>
      </c>
      <c r="J577" t="n">
        <v>0</v>
      </c>
      <c r="K577" t="n">
        <v>0</v>
      </c>
      <c r="L577" t="n">
        <v>0</v>
      </c>
      <c r="M577" t="n">
        <v>0</v>
      </c>
      <c r="N577" t="n">
        <v>0</v>
      </c>
      <c r="O577" t="n">
        <v>0</v>
      </c>
      <c r="P577" t="n">
        <v>0</v>
      </c>
      <c r="Q577" t="n">
        <v>0</v>
      </c>
      <c r="R577" s="2" t="inlineStr"/>
    </row>
    <row r="578" ht="15" customHeight="1">
      <c r="A578" t="inlineStr">
        <is>
          <t>A 29881-2023</t>
        </is>
      </c>
      <c r="B578" s="1" t="n">
        <v>45107</v>
      </c>
      <c r="C578" s="1" t="n">
        <v>45844</v>
      </c>
      <c r="D578" t="inlineStr">
        <is>
          <t>DALARNAS LÄN</t>
        </is>
      </c>
      <c r="E578" t="inlineStr">
        <is>
          <t>LEKSAND</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29694-2023</t>
        </is>
      </c>
      <c r="B579" s="1" t="n">
        <v>45107</v>
      </c>
      <c r="C579" s="1" t="n">
        <v>45844</v>
      </c>
      <c r="D579" t="inlineStr">
        <is>
          <t>DALARNAS LÄN</t>
        </is>
      </c>
      <c r="E579" t="inlineStr">
        <is>
          <t>LEKSAND</t>
        </is>
      </c>
      <c r="G579" t="n">
        <v>4.8</v>
      </c>
      <c r="H579" t="n">
        <v>0</v>
      </c>
      <c r="I579" t="n">
        <v>0</v>
      </c>
      <c r="J579" t="n">
        <v>0</v>
      </c>
      <c r="K579" t="n">
        <v>0</v>
      </c>
      <c r="L579" t="n">
        <v>0</v>
      </c>
      <c r="M579" t="n">
        <v>0</v>
      </c>
      <c r="N579" t="n">
        <v>0</v>
      </c>
      <c r="O579" t="n">
        <v>0</v>
      </c>
      <c r="P579" t="n">
        <v>0</v>
      </c>
      <c r="Q579" t="n">
        <v>0</v>
      </c>
      <c r="R579" s="2" t="inlineStr"/>
    </row>
    <row r="580" ht="15" customHeight="1">
      <c r="A580" t="inlineStr">
        <is>
          <t>A 32261-2023</t>
        </is>
      </c>
      <c r="B580" s="1" t="n">
        <v>45108</v>
      </c>
      <c r="C580" s="1" t="n">
        <v>45844</v>
      </c>
      <c r="D580" t="inlineStr">
        <is>
          <t>DALARNAS LÄN</t>
        </is>
      </c>
      <c r="E580" t="inlineStr">
        <is>
          <t>LEKSAND</t>
        </is>
      </c>
      <c r="G580" t="n">
        <v>2.9</v>
      </c>
      <c r="H580" t="n">
        <v>0</v>
      </c>
      <c r="I580" t="n">
        <v>0</v>
      </c>
      <c r="J580" t="n">
        <v>0</v>
      </c>
      <c r="K580" t="n">
        <v>0</v>
      </c>
      <c r="L580" t="n">
        <v>0</v>
      </c>
      <c r="M580" t="n">
        <v>0</v>
      </c>
      <c r="N580" t="n">
        <v>0</v>
      </c>
      <c r="O580" t="n">
        <v>0</v>
      </c>
      <c r="P580" t="n">
        <v>0</v>
      </c>
      <c r="Q580" t="n">
        <v>0</v>
      </c>
      <c r="R580" s="2" t="inlineStr"/>
    </row>
    <row r="581" ht="15" customHeight="1">
      <c r="A581" t="inlineStr">
        <is>
          <t>A 30000-2023</t>
        </is>
      </c>
      <c r="B581" s="1" t="n">
        <v>45109</v>
      </c>
      <c r="C581" s="1" t="n">
        <v>45844</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30082-2023</t>
        </is>
      </c>
      <c r="B582" s="1" t="n">
        <v>45110</v>
      </c>
      <c r="C582" s="1" t="n">
        <v>45844</v>
      </c>
      <c r="D582" t="inlineStr">
        <is>
          <t>DALARNAS LÄN</t>
        </is>
      </c>
      <c r="E582" t="inlineStr">
        <is>
          <t>LEKSAND</t>
        </is>
      </c>
      <c r="G582" t="n">
        <v>1.2</v>
      </c>
      <c r="H582" t="n">
        <v>0</v>
      </c>
      <c r="I582" t="n">
        <v>0</v>
      </c>
      <c r="J582" t="n">
        <v>0</v>
      </c>
      <c r="K582" t="n">
        <v>0</v>
      </c>
      <c r="L582" t="n">
        <v>0</v>
      </c>
      <c r="M582" t="n">
        <v>0</v>
      </c>
      <c r="N582" t="n">
        <v>0</v>
      </c>
      <c r="O582" t="n">
        <v>0</v>
      </c>
      <c r="P582" t="n">
        <v>0</v>
      </c>
      <c r="Q582" t="n">
        <v>0</v>
      </c>
      <c r="R582" s="2" t="inlineStr"/>
    </row>
    <row r="583" ht="15" customHeight="1">
      <c r="A583" t="inlineStr">
        <is>
          <t>A 30169-2023</t>
        </is>
      </c>
      <c r="B583" s="1" t="n">
        <v>45110</v>
      </c>
      <c r="C583" s="1" t="n">
        <v>45844</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30135-2023</t>
        </is>
      </c>
      <c r="B584" s="1" t="n">
        <v>45110</v>
      </c>
      <c r="C584" s="1" t="n">
        <v>45844</v>
      </c>
      <c r="D584" t="inlineStr">
        <is>
          <t>DALARNAS LÄN</t>
        </is>
      </c>
      <c r="E584" t="inlineStr">
        <is>
          <t>LEKSAND</t>
        </is>
      </c>
      <c r="F584" t="inlineStr">
        <is>
          <t>Bergvik skog väst AB</t>
        </is>
      </c>
      <c r="G584" t="n">
        <v>8.4</v>
      </c>
      <c r="H584" t="n">
        <v>0</v>
      </c>
      <c r="I584" t="n">
        <v>0</v>
      </c>
      <c r="J584" t="n">
        <v>0</v>
      </c>
      <c r="K584" t="n">
        <v>0</v>
      </c>
      <c r="L584" t="n">
        <v>0</v>
      </c>
      <c r="M584" t="n">
        <v>0</v>
      </c>
      <c r="N584" t="n">
        <v>0</v>
      </c>
      <c r="O584" t="n">
        <v>0</v>
      </c>
      <c r="P584" t="n">
        <v>0</v>
      </c>
      <c r="Q584" t="n">
        <v>0</v>
      </c>
      <c r="R584" s="2" t="inlineStr"/>
    </row>
    <row r="585" ht="15" customHeight="1">
      <c r="A585" t="inlineStr">
        <is>
          <t>A 30195-2023</t>
        </is>
      </c>
      <c r="B585" s="1" t="n">
        <v>45110</v>
      </c>
      <c r="C585" s="1" t="n">
        <v>45844</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30196-2023</t>
        </is>
      </c>
      <c r="B586" s="1" t="n">
        <v>45110</v>
      </c>
      <c r="C586" s="1" t="n">
        <v>45844</v>
      </c>
      <c r="D586" t="inlineStr">
        <is>
          <t>DALARNAS LÄN</t>
        </is>
      </c>
      <c r="E586" t="inlineStr">
        <is>
          <t>LEKSAND</t>
        </is>
      </c>
      <c r="G586" t="n">
        <v>1.2</v>
      </c>
      <c r="H586" t="n">
        <v>0</v>
      </c>
      <c r="I586" t="n">
        <v>0</v>
      </c>
      <c r="J586" t="n">
        <v>0</v>
      </c>
      <c r="K586" t="n">
        <v>0</v>
      </c>
      <c r="L586" t="n">
        <v>0</v>
      </c>
      <c r="M586" t="n">
        <v>0</v>
      </c>
      <c r="N586" t="n">
        <v>0</v>
      </c>
      <c r="O586" t="n">
        <v>0</v>
      </c>
      <c r="P586" t="n">
        <v>0</v>
      </c>
      <c r="Q586" t="n">
        <v>0</v>
      </c>
      <c r="R586" s="2" t="inlineStr"/>
    </row>
    <row r="587" ht="15" customHeight="1">
      <c r="A587" t="inlineStr">
        <is>
          <t>A 30175-2023</t>
        </is>
      </c>
      <c r="B587" s="1" t="n">
        <v>45110</v>
      </c>
      <c r="C587" s="1" t="n">
        <v>45844</v>
      </c>
      <c r="D587" t="inlineStr">
        <is>
          <t>DALARNAS LÄN</t>
        </is>
      </c>
      <c r="E587" t="inlineStr">
        <is>
          <t>LEKSAND</t>
        </is>
      </c>
      <c r="G587" t="n">
        <v>0.5</v>
      </c>
      <c r="H587" t="n">
        <v>0</v>
      </c>
      <c r="I587" t="n">
        <v>0</v>
      </c>
      <c r="J587" t="n">
        <v>0</v>
      </c>
      <c r="K587" t="n">
        <v>0</v>
      </c>
      <c r="L587" t="n">
        <v>0</v>
      </c>
      <c r="M587" t="n">
        <v>0</v>
      </c>
      <c r="N587" t="n">
        <v>0</v>
      </c>
      <c r="O587" t="n">
        <v>0</v>
      </c>
      <c r="P587" t="n">
        <v>0</v>
      </c>
      <c r="Q587" t="n">
        <v>0</v>
      </c>
      <c r="R587" s="2" t="inlineStr"/>
    </row>
    <row r="588" ht="15" customHeight="1">
      <c r="A588" t="inlineStr">
        <is>
          <t>A 30523-2023</t>
        </is>
      </c>
      <c r="B588" s="1" t="n">
        <v>45111</v>
      </c>
      <c r="C588" s="1" t="n">
        <v>45844</v>
      </c>
      <c r="D588" t="inlineStr">
        <is>
          <t>DALARNAS LÄN</t>
        </is>
      </c>
      <c r="E588" t="inlineStr">
        <is>
          <t>LEKSAND</t>
        </is>
      </c>
      <c r="G588" t="n">
        <v>5.6</v>
      </c>
      <c r="H588" t="n">
        <v>0</v>
      </c>
      <c r="I588" t="n">
        <v>0</v>
      </c>
      <c r="J588" t="n">
        <v>0</v>
      </c>
      <c r="K588" t="n">
        <v>0</v>
      </c>
      <c r="L588" t="n">
        <v>0</v>
      </c>
      <c r="M588" t="n">
        <v>0</v>
      </c>
      <c r="N588" t="n">
        <v>0</v>
      </c>
      <c r="O588" t="n">
        <v>0</v>
      </c>
      <c r="P588" t="n">
        <v>0</v>
      </c>
      <c r="Q588" t="n">
        <v>0</v>
      </c>
      <c r="R588" s="2" t="inlineStr"/>
    </row>
    <row r="589" ht="15" customHeight="1">
      <c r="A589" t="inlineStr">
        <is>
          <t>A 30595-2023</t>
        </is>
      </c>
      <c r="B589" s="1" t="n">
        <v>45112</v>
      </c>
      <c r="C589" s="1" t="n">
        <v>45844</v>
      </c>
      <c r="D589" t="inlineStr">
        <is>
          <t>DALARNAS LÄN</t>
        </is>
      </c>
      <c r="E589" t="inlineStr">
        <is>
          <t>LEKSAND</t>
        </is>
      </c>
      <c r="G589" t="n">
        <v>1.1</v>
      </c>
      <c r="H589" t="n">
        <v>0</v>
      </c>
      <c r="I589" t="n">
        <v>0</v>
      </c>
      <c r="J589" t="n">
        <v>0</v>
      </c>
      <c r="K589" t="n">
        <v>0</v>
      </c>
      <c r="L589" t="n">
        <v>0</v>
      </c>
      <c r="M589" t="n">
        <v>0</v>
      </c>
      <c r="N589" t="n">
        <v>0</v>
      </c>
      <c r="O589" t="n">
        <v>0</v>
      </c>
      <c r="P589" t="n">
        <v>0</v>
      </c>
      <c r="Q589" t="n">
        <v>0</v>
      </c>
      <c r="R589" s="2" t="inlineStr"/>
    </row>
    <row r="590" ht="15" customHeight="1">
      <c r="A590" t="inlineStr">
        <is>
          <t>A 30611-2023</t>
        </is>
      </c>
      <c r="B590" s="1" t="n">
        <v>45112</v>
      </c>
      <c r="C590" s="1" t="n">
        <v>45844</v>
      </c>
      <c r="D590" t="inlineStr">
        <is>
          <t>DALARNAS LÄN</t>
        </is>
      </c>
      <c r="E590" t="inlineStr">
        <is>
          <t>LEKSAND</t>
        </is>
      </c>
      <c r="G590" t="n">
        <v>3.1</v>
      </c>
      <c r="H590" t="n">
        <v>0</v>
      </c>
      <c r="I590" t="n">
        <v>0</v>
      </c>
      <c r="J590" t="n">
        <v>0</v>
      </c>
      <c r="K590" t="n">
        <v>0</v>
      </c>
      <c r="L590" t="n">
        <v>0</v>
      </c>
      <c r="M590" t="n">
        <v>0</v>
      </c>
      <c r="N590" t="n">
        <v>0</v>
      </c>
      <c r="O590" t="n">
        <v>0</v>
      </c>
      <c r="P590" t="n">
        <v>0</v>
      </c>
      <c r="Q590" t="n">
        <v>0</v>
      </c>
      <c r="R590" s="2" t="inlineStr"/>
    </row>
    <row r="591" ht="15" customHeight="1">
      <c r="A591" t="inlineStr">
        <is>
          <t>A 30700-2023</t>
        </is>
      </c>
      <c r="B591" s="1" t="n">
        <v>45112</v>
      </c>
      <c r="C591" s="1" t="n">
        <v>45844</v>
      </c>
      <c r="D591" t="inlineStr">
        <is>
          <t>DALARNAS LÄN</t>
        </is>
      </c>
      <c r="E591" t="inlineStr">
        <is>
          <t>LEKSAND</t>
        </is>
      </c>
      <c r="G591" t="n">
        <v>2.1</v>
      </c>
      <c r="H591" t="n">
        <v>0</v>
      </c>
      <c r="I591" t="n">
        <v>0</v>
      </c>
      <c r="J591" t="n">
        <v>0</v>
      </c>
      <c r="K591" t="n">
        <v>0</v>
      </c>
      <c r="L591" t="n">
        <v>0</v>
      </c>
      <c r="M591" t="n">
        <v>0</v>
      </c>
      <c r="N591" t="n">
        <v>0</v>
      </c>
      <c r="O591" t="n">
        <v>0</v>
      </c>
      <c r="P591" t="n">
        <v>0</v>
      </c>
      <c r="Q591" t="n">
        <v>0</v>
      </c>
      <c r="R591" s="2" t="inlineStr"/>
    </row>
    <row r="592" ht="15" customHeight="1">
      <c r="A592" t="inlineStr">
        <is>
          <t>A 30654-2023</t>
        </is>
      </c>
      <c r="B592" s="1" t="n">
        <v>45112</v>
      </c>
      <c r="C592" s="1" t="n">
        <v>45844</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30880-2023</t>
        </is>
      </c>
      <c r="B593" s="1" t="n">
        <v>45113</v>
      </c>
      <c r="C593" s="1" t="n">
        <v>45844</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30992-2023</t>
        </is>
      </c>
      <c r="B594" s="1" t="n">
        <v>45113</v>
      </c>
      <c r="C594" s="1" t="n">
        <v>45844</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30994-2023</t>
        </is>
      </c>
      <c r="B595" s="1" t="n">
        <v>45113</v>
      </c>
      <c r="C595" s="1" t="n">
        <v>45844</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30998-2023</t>
        </is>
      </c>
      <c r="B596" s="1" t="n">
        <v>45113</v>
      </c>
      <c r="C596" s="1" t="n">
        <v>45844</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32989-2023</t>
        </is>
      </c>
      <c r="B597" s="1" t="n">
        <v>45113</v>
      </c>
      <c r="C597" s="1" t="n">
        <v>45844</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31255-2023</t>
        </is>
      </c>
      <c r="B598" s="1" t="n">
        <v>45114</v>
      </c>
      <c r="C598" s="1" t="n">
        <v>45844</v>
      </c>
      <c r="D598" t="inlineStr">
        <is>
          <t>DALARNAS LÄN</t>
        </is>
      </c>
      <c r="E598" t="inlineStr">
        <is>
          <t>LEKSAND</t>
        </is>
      </c>
      <c r="G598" t="n">
        <v>1.3</v>
      </c>
      <c r="H598" t="n">
        <v>0</v>
      </c>
      <c r="I598" t="n">
        <v>0</v>
      </c>
      <c r="J598" t="n">
        <v>0</v>
      </c>
      <c r="K598" t="n">
        <v>0</v>
      </c>
      <c r="L598" t="n">
        <v>0</v>
      </c>
      <c r="M598" t="n">
        <v>0</v>
      </c>
      <c r="N598" t="n">
        <v>0</v>
      </c>
      <c r="O598" t="n">
        <v>0</v>
      </c>
      <c r="P598" t="n">
        <v>0</v>
      </c>
      <c r="Q598" t="n">
        <v>0</v>
      </c>
      <c r="R598" s="2" t="inlineStr"/>
    </row>
    <row r="599" ht="15" customHeight="1">
      <c r="A599" t="inlineStr">
        <is>
          <t>A 31250-2023</t>
        </is>
      </c>
      <c r="B599" s="1" t="n">
        <v>45114</v>
      </c>
      <c r="C599" s="1" t="n">
        <v>45844</v>
      </c>
      <c r="D599" t="inlineStr">
        <is>
          <t>DALARNAS LÄN</t>
        </is>
      </c>
      <c r="E599" t="inlineStr">
        <is>
          <t>LEKSAND</t>
        </is>
      </c>
      <c r="G599" t="n">
        <v>2</v>
      </c>
      <c r="H599" t="n">
        <v>0</v>
      </c>
      <c r="I599" t="n">
        <v>0</v>
      </c>
      <c r="J599" t="n">
        <v>0</v>
      </c>
      <c r="K599" t="n">
        <v>0</v>
      </c>
      <c r="L599" t="n">
        <v>0</v>
      </c>
      <c r="M599" t="n">
        <v>0</v>
      </c>
      <c r="N599" t="n">
        <v>0</v>
      </c>
      <c r="O599" t="n">
        <v>0</v>
      </c>
      <c r="P599" t="n">
        <v>0</v>
      </c>
      <c r="Q599" t="n">
        <v>0</v>
      </c>
      <c r="R599" s="2" t="inlineStr"/>
    </row>
    <row r="600" ht="15" customHeight="1">
      <c r="A600" t="inlineStr">
        <is>
          <t>A 31254-2023</t>
        </is>
      </c>
      <c r="B600" s="1" t="n">
        <v>45114</v>
      </c>
      <c r="C600" s="1" t="n">
        <v>45844</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31761-2023</t>
        </is>
      </c>
      <c r="B601" s="1" t="n">
        <v>45118</v>
      </c>
      <c r="C601" s="1" t="n">
        <v>45844</v>
      </c>
      <c r="D601" t="inlineStr">
        <is>
          <t>DALARNAS LÄN</t>
        </is>
      </c>
      <c r="E601" t="inlineStr">
        <is>
          <t>LEKSAND</t>
        </is>
      </c>
      <c r="G601" t="n">
        <v>6</v>
      </c>
      <c r="H601" t="n">
        <v>0</v>
      </c>
      <c r="I601" t="n">
        <v>0</v>
      </c>
      <c r="J601" t="n">
        <v>0</v>
      </c>
      <c r="K601" t="n">
        <v>0</v>
      </c>
      <c r="L601" t="n">
        <v>0</v>
      </c>
      <c r="M601" t="n">
        <v>0</v>
      </c>
      <c r="N601" t="n">
        <v>0</v>
      </c>
      <c r="O601" t="n">
        <v>0</v>
      </c>
      <c r="P601" t="n">
        <v>0</v>
      </c>
      <c r="Q601" t="n">
        <v>0</v>
      </c>
      <c r="R601" s="2" t="inlineStr"/>
    </row>
    <row r="602" ht="15" customHeight="1">
      <c r="A602" t="inlineStr">
        <is>
          <t>A 32307-2023</t>
        </is>
      </c>
      <c r="B602" s="1" t="n">
        <v>45120</v>
      </c>
      <c r="C602" s="1" t="n">
        <v>45844</v>
      </c>
      <c r="D602" t="inlineStr">
        <is>
          <t>DALARNAS LÄN</t>
        </is>
      </c>
      <c r="E602" t="inlineStr">
        <is>
          <t>LEKSAND</t>
        </is>
      </c>
      <c r="G602" t="n">
        <v>1</v>
      </c>
      <c r="H602" t="n">
        <v>0</v>
      </c>
      <c r="I602" t="n">
        <v>0</v>
      </c>
      <c r="J602" t="n">
        <v>0</v>
      </c>
      <c r="K602" t="n">
        <v>0</v>
      </c>
      <c r="L602" t="n">
        <v>0</v>
      </c>
      <c r="M602" t="n">
        <v>0</v>
      </c>
      <c r="N602" t="n">
        <v>0</v>
      </c>
      <c r="O602" t="n">
        <v>0</v>
      </c>
      <c r="P602" t="n">
        <v>0</v>
      </c>
      <c r="Q602" t="n">
        <v>0</v>
      </c>
      <c r="R602" s="2" t="inlineStr"/>
    </row>
    <row r="603" ht="15" customHeight="1">
      <c r="A603" t="inlineStr">
        <is>
          <t>A 32311-2023</t>
        </is>
      </c>
      <c r="B603" s="1" t="n">
        <v>45120</v>
      </c>
      <c r="C603" s="1" t="n">
        <v>45844</v>
      </c>
      <c r="D603" t="inlineStr">
        <is>
          <t>DALARNAS LÄN</t>
        </is>
      </c>
      <c r="E603" t="inlineStr">
        <is>
          <t>LEKSAND</t>
        </is>
      </c>
      <c r="G603" t="n">
        <v>0.5</v>
      </c>
      <c r="H603" t="n">
        <v>0</v>
      </c>
      <c r="I603" t="n">
        <v>0</v>
      </c>
      <c r="J603" t="n">
        <v>0</v>
      </c>
      <c r="K603" t="n">
        <v>0</v>
      </c>
      <c r="L603" t="n">
        <v>0</v>
      </c>
      <c r="M603" t="n">
        <v>0</v>
      </c>
      <c r="N603" t="n">
        <v>0</v>
      </c>
      <c r="O603" t="n">
        <v>0</v>
      </c>
      <c r="P603" t="n">
        <v>0</v>
      </c>
      <c r="Q603" t="n">
        <v>0</v>
      </c>
      <c r="R603" s="2" t="inlineStr"/>
    </row>
    <row r="604" ht="15" customHeight="1">
      <c r="A604" t="inlineStr">
        <is>
          <t>A 32544-2023</t>
        </is>
      </c>
      <c r="B604" s="1" t="n">
        <v>45121</v>
      </c>
      <c r="C604" s="1" t="n">
        <v>45844</v>
      </c>
      <c r="D604" t="inlineStr">
        <is>
          <t>DALARNAS LÄN</t>
        </is>
      </c>
      <c r="E604" t="inlineStr">
        <is>
          <t>LEKSAND</t>
        </is>
      </c>
      <c r="G604" t="n">
        <v>1.5</v>
      </c>
      <c r="H604" t="n">
        <v>0</v>
      </c>
      <c r="I604" t="n">
        <v>0</v>
      </c>
      <c r="J604" t="n">
        <v>0</v>
      </c>
      <c r="K604" t="n">
        <v>0</v>
      </c>
      <c r="L604" t="n">
        <v>0</v>
      </c>
      <c r="M604" t="n">
        <v>0</v>
      </c>
      <c r="N604" t="n">
        <v>0</v>
      </c>
      <c r="O604" t="n">
        <v>0</v>
      </c>
      <c r="P604" t="n">
        <v>0</v>
      </c>
      <c r="Q604" t="n">
        <v>0</v>
      </c>
      <c r="R604" s="2" t="inlineStr"/>
    </row>
    <row r="605" ht="15" customHeight="1">
      <c r="A605" t="inlineStr">
        <is>
          <t>A 32666-2023</t>
        </is>
      </c>
      <c r="B605" s="1" t="n">
        <v>45121</v>
      </c>
      <c r="C605" s="1" t="n">
        <v>45844</v>
      </c>
      <c r="D605" t="inlineStr">
        <is>
          <t>DALARNAS LÄN</t>
        </is>
      </c>
      <c r="E605" t="inlineStr">
        <is>
          <t>LEKSAND</t>
        </is>
      </c>
      <c r="G605" t="n">
        <v>9.9</v>
      </c>
      <c r="H605" t="n">
        <v>0</v>
      </c>
      <c r="I605" t="n">
        <v>0</v>
      </c>
      <c r="J605" t="n">
        <v>0</v>
      </c>
      <c r="K605" t="n">
        <v>0</v>
      </c>
      <c r="L605" t="n">
        <v>0</v>
      </c>
      <c r="M605" t="n">
        <v>0</v>
      </c>
      <c r="N605" t="n">
        <v>0</v>
      </c>
      <c r="O605" t="n">
        <v>0</v>
      </c>
      <c r="P605" t="n">
        <v>0</v>
      </c>
      <c r="Q605" t="n">
        <v>0</v>
      </c>
      <c r="R605" s="2" t="inlineStr"/>
    </row>
    <row r="606" ht="15" customHeight="1">
      <c r="A606" t="inlineStr">
        <is>
          <t>A 33788-2023</t>
        </is>
      </c>
      <c r="B606" s="1" t="n">
        <v>45121</v>
      </c>
      <c r="C606" s="1" t="n">
        <v>45844</v>
      </c>
      <c r="D606" t="inlineStr">
        <is>
          <t>DALARNAS LÄN</t>
        </is>
      </c>
      <c r="E606" t="inlineStr">
        <is>
          <t>LEKSAND</t>
        </is>
      </c>
      <c r="G606" t="n">
        <v>2.5</v>
      </c>
      <c r="H606" t="n">
        <v>0</v>
      </c>
      <c r="I606" t="n">
        <v>0</v>
      </c>
      <c r="J606" t="n">
        <v>0</v>
      </c>
      <c r="K606" t="n">
        <v>0</v>
      </c>
      <c r="L606" t="n">
        <v>0</v>
      </c>
      <c r="M606" t="n">
        <v>0</v>
      </c>
      <c r="N606" t="n">
        <v>0</v>
      </c>
      <c r="O606" t="n">
        <v>0</v>
      </c>
      <c r="P606" t="n">
        <v>0</v>
      </c>
      <c r="Q606" t="n">
        <v>0</v>
      </c>
      <c r="R606" s="2" t="inlineStr"/>
    </row>
    <row r="607" ht="15" customHeight="1">
      <c r="A607" t="inlineStr">
        <is>
          <t>A 33001-2023</t>
        </is>
      </c>
      <c r="B607" s="1" t="n">
        <v>45125</v>
      </c>
      <c r="C607" s="1" t="n">
        <v>45844</v>
      </c>
      <c r="D607" t="inlineStr">
        <is>
          <t>DALARNAS LÄN</t>
        </is>
      </c>
      <c r="E607" t="inlineStr">
        <is>
          <t>LEKSAND</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33308-2023</t>
        </is>
      </c>
      <c r="B608" s="1" t="n">
        <v>45127</v>
      </c>
      <c r="C608" s="1" t="n">
        <v>45844</v>
      </c>
      <c r="D608" t="inlineStr">
        <is>
          <t>DALARNAS LÄN</t>
        </is>
      </c>
      <c r="E608" t="inlineStr">
        <is>
          <t>LEKSAND</t>
        </is>
      </c>
      <c r="G608" t="n">
        <v>3.2</v>
      </c>
      <c r="H608" t="n">
        <v>0</v>
      </c>
      <c r="I608" t="n">
        <v>0</v>
      </c>
      <c r="J608" t="n">
        <v>0</v>
      </c>
      <c r="K608" t="n">
        <v>0</v>
      </c>
      <c r="L608" t="n">
        <v>0</v>
      </c>
      <c r="M608" t="n">
        <v>0</v>
      </c>
      <c r="N608" t="n">
        <v>0</v>
      </c>
      <c r="O608" t="n">
        <v>0</v>
      </c>
      <c r="P608" t="n">
        <v>0</v>
      </c>
      <c r="Q608" t="n">
        <v>0</v>
      </c>
      <c r="R608" s="2" t="inlineStr"/>
    </row>
    <row r="609" ht="15" customHeight="1">
      <c r="A609" t="inlineStr">
        <is>
          <t>A 33318-2023</t>
        </is>
      </c>
      <c r="B609" s="1" t="n">
        <v>45127</v>
      </c>
      <c r="C609" s="1" t="n">
        <v>45844</v>
      </c>
      <c r="D609" t="inlineStr">
        <is>
          <t>DALARNAS LÄN</t>
        </is>
      </c>
      <c r="E609" t="inlineStr">
        <is>
          <t>LEKSAND</t>
        </is>
      </c>
      <c r="G609" t="n">
        <v>5.5</v>
      </c>
      <c r="H609" t="n">
        <v>0</v>
      </c>
      <c r="I609" t="n">
        <v>0</v>
      </c>
      <c r="J609" t="n">
        <v>0</v>
      </c>
      <c r="K609" t="n">
        <v>0</v>
      </c>
      <c r="L609" t="n">
        <v>0</v>
      </c>
      <c r="M609" t="n">
        <v>0</v>
      </c>
      <c r="N609" t="n">
        <v>0</v>
      </c>
      <c r="O609" t="n">
        <v>0</v>
      </c>
      <c r="P609" t="n">
        <v>0</v>
      </c>
      <c r="Q609" t="n">
        <v>0</v>
      </c>
      <c r="R609" s="2" t="inlineStr"/>
    </row>
    <row r="610" ht="15" customHeight="1">
      <c r="A610" t="inlineStr">
        <is>
          <t>A 33306-2023</t>
        </is>
      </c>
      <c r="B610" s="1" t="n">
        <v>45127</v>
      </c>
      <c r="C610" s="1" t="n">
        <v>45844</v>
      </c>
      <c r="D610" t="inlineStr">
        <is>
          <t>DALARNAS LÄN</t>
        </is>
      </c>
      <c r="E610" t="inlineStr">
        <is>
          <t>LEKSAND</t>
        </is>
      </c>
      <c r="G610" t="n">
        <v>2.2</v>
      </c>
      <c r="H610" t="n">
        <v>0</v>
      </c>
      <c r="I610" t="n">
        <v>0</v>
      </c>
      <c r="J610" t="n">
        <v>0</v>
      </c>
      <c r="K610" t="n">
        <v>0</v>
      </c>
      <c r="L610" t="n">
        <v>0</v>
      </c>
      <c r="M610" t="n">
        <v>0</v>
      </c>
      <c r="N610" t="n">
        <v>0</v>
      </c>
      <c r="O610" t="n">
        <v>0</v>
      </c>
      <c r="P610" t="n">
        <v>0</v>
      </c>
      <c r="Q610" t="n">
        <v>0</v>
      </c>
      <c r="R610" s="2" t="inlineStr"/>
    </row>
    <row r="611" ht="15" customHeight="1">
      <c r="A611" t="inlineStr">
        <is>
          <t>A 33312-2023</t>
        </is>
      </c>
      <c r="B611" s="1" t="n">
        <v>45127</v>
      </c>
      <c r="C611" s="1" t="n">
        <v>45844</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33316-2023</t>
        </is>
      </c>
      <c r="B612" s="1" t="n">
        <v>45127</v>
      </c>
      <c r="C612" s="1" t="n">
        <v>45844</v>
      </c>
      <c r="D612" t="inlineStr">
        <is>
          <t>DALARNAS LÄN</t>
        </is>
      </c>
      <c r="E612" t="inlineStr">
        <is>
          <t>LEKSAND</t>
        </is>
      </c>
      <c r="G612" t="n">
        <v>8.9</v>
      </c>
      <c r="H612" t="n">
        <v>0</v>
      </c>
      <c r="I612" t="n">
        <v>0</v>
      </c>
      <c r="J612" t="n">
        <v>0</v>
      </c>
      <c r="K612" t="n">
        <v>0</v>
      </c>
      <c r="L612" t="n">
        <v>0</v>
      </c>
      <c r="M612" t="n">
        <v>0</v>
      </c>
      <c r="N612" t="n">
        <v>0</v>
      </c>
      <c r="O612" t="n">
        <v>0</v>
      </c>
      <c r="P612" t="n">
        <v>0</v>
      </c>
      <c r="Q612" t="n">
        <v>0</v>
      </c>
      <c r="R612" s="2" t="inlineStr"/>
    </row>
    <row r="613" ht="15" customHeight="1">
      <c r="A613" t="inlineStr">
        <is>
          <t>A 33310-2023</t>
        </is>
      </c>
      <c r="B613" s="1" t="n">
        <v>45127</v>
      </c>
      <c r="C613" s="1" t="n">
        <v>45844</v>
      </c>
      <c r="D613" t="inlineStr">
        <is>
          <t>DALARNAS LÄN</t>
        </is>
      </c>
      <c r="E613" t="inlineStr">
        <is>
          <t>LEKSAND</t>
        </is>
      </c>
      <c r="G613" t="n">
        <v>0.7</v>
      </c>
      <c r="H613" t="n">
        <v>0</v>
      </c>
      <c r="I613" t="n">
        <v>0</v>
      </c>
      <c r="J613" t="n">
        <v>0</v>
      </c>
      <c r="K613" t="n">
        <v>0</v>
      </c>
      <c r="L613" t="n">
        <v>0</v>
      </c>
      <c r="M613" t="n">
        <v>0</v>
      </c>
      <c r="N613" t="n">
        <v>0</v>
      </c>
      <c r="O613" t="n">
        <v>0</v>
      </c>
      <c r="P613" t="n">
        <v>0</v>
      </c>
      <c r="Q613" t="n">
        <v>0</v>
      </c>
      <c r="R613" s="2" t="inlineStr"/>
    </row>
    <row r="614" ht="15" customHeight="1">
      <c r="A614" t="inlineStr">
        <is>
          <t>A 33317-2023</t>
        </is>
      </c>
      <c r="B614" s="1" t="n">
        <v>45127</v>
      </c>
      <c r="C614" s="1" t="n">
        <v>45844</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33480-2023</t>
        </is>
      </c>
      <c r="B615" s="1" t="n">
        <v>45131</v>
      </c>
      <c r="C615" s="1" t="n">
        <v>45844</v>
      </c>
      <c r="D615" t="inlineStr">
        <is>
          <t>DALARNAS LÄN</t>
        </is>
      </c>
      <c r="E615" t="inlineStr">
        <is>
          <t>LEKSAND</t>
        </is>
      </c>
      <c r="G615" t="n">
        <v>1.8</v>
      </c>
      <c r="H615" t="n">
        <v>0</v>
      </c>
      <c r="I615" t="n">
        <v>0</v>
      </c>
      <c r="J615" t="n">
        <v>0</v>
      </c>
      <c r="K615" t="n">
        <v>0</v>
      </c>
      <c r="L615" t="n">
        <v>0</v>
      </c>
      <c r="M615" t="n">
        <v>0</v>
      </c>
      <c r="N615" t="n">
        <v>0</v>
      </c>
      <c r="O615" t="n">
        <v>0</v>
      </c>
      <c r="P615" t="n">
        <v>0</v>
      </c>
      <c r="Q615" t="n">
        <v>0</v>
      </c>
      <c r="R615" s="2" t="inlineStr"/>
    </row>
    <row r="616" ht="15" customHeight="1">
      <c r="A616" t="inlineStr">
        <is>
          <t>A 33462-2023</t>
        </is>
      </c>
      <c r="B616" s="1" t="n">
        <v>45131</v>
      </c>
      <c r="C616" s="1" t="n">
        <v>45844</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33463-2023</t>
        </is>
      </c>
      <c r="B617" s="1" t="n">
        <v>45131</v>
      </c>
      <c r="C617" s="1" t="n">
        <v>45844</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33566-2023</t>
        </is>
      </c>
      <c r="B618" s="1" t="n">
        <v>45131</v>
      </c>
      <c r="C618" s="1" t="n">
        <v>45844</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33674-2023</t>
        </is>
      </c>
      <c r="B619" s="1" t="n">
        <v>45132</v>
      </c>
      <c r="C619" s="1" t="n">
        <v>45844</v>
      </c>
      <c r="D619" t="inlineStr">
        <is>
          <t>DALARNAS LÄN</t>
        </is>
      </c>
      <c r="E619" t="inlineStr">
        <is>
          <t>LEKSAND</t>
        </is>
      </c>
      <c r="G619" t="n">
        <v>0.6</v>
      </c>
      <c r="H619" t="n">
        <v>0</v>
      </c>
      <c r="I619" t="n">
        <v>0</v>
      </c>
      <c r="J619" t="n">
        <v>0</v>
      </c>
      <c r="K619" t="n">
        <v>0</v>
      </c>
      <c r="L619" t="n">
        <v>0</v>
      </c>
      <c r="M619" t="n">
        <v>0</v>
      </c>
      <c r="N619" t="n">
        <v>0</v>
      </c>
      <c r="O619" t="n">
        <v>0</v>
      </c>
      <c r="P619" t="n">
        <v>0</v>
      </c>
      <c r="Q619" t="n">
        <v>0</v>
      </c>
      <c r="R619" s="2" t="inlineStr"/>
    </row>
    <row r="620" ht="15" customHeight="1">
      <c r="A620" t="inlineStr">
        <is>
          <t>A 34294-2023</t>
        </is>
      </c>
      <c r="B620" s="1" t="n">
        <v>45138</v>
      </c>
      <c r="C620" s="1" t="n">
        <v>45844</v>
      </c>
      <c r="D620" t="inlineStr">
        <is>
          <t>DALARNAS LÄN</t>
        </is>
      </c>
      <c r="E620" t="inlineStr">
        <is>
          <t>LEKSAND</t>
        </is>
      </c>
      <c r="G620" t="n">
        <v>6.1</v>
      </c>
      <c r="H620" t="n">
        <v>0</v>
      </c>
      <c r="I620" t="n">
        <v>0</v>
      </c>
      <c r="J620" t="n">
        <v>0</v>
      </c>
      <c r="K620" t="n">
        <v>0</v>
      </c>
      <c r="L620" t="n">
        <v>0</v>
      </c>
      <c r="M620" t="n">
        <v>0</v>
      </c>
      <c r="N620" t="n">
        <v>0</v>
      </c>
      <c r="O620" t="n">
        <v>0</v>
      </c>
      <c r="P620" t="n">
        <v>0</v>
      </c>
      <c r="Q620" t="n">
        <v>0</v>
      </c>
      <c r="R620" s="2" t="inlineStr"/>
    </row>
    <row r="621" ht="15" customHeight="1">
      <c r="A621" t="inlineStr">
        <is>
          <t>A 35228-2023</t>
        </is>
      </c>
      <c r="B621" s="1" t="n">
        <v>45145</v>
      </c>
      <c r="C621" s="1" t="n">
        <v>45844</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35173-2023</t>
        </is>
      </c>
      <c r="B622" s="1" t="n">
        <v>45145</v>
      </c>
      <c r="C622" s="1" t="n">
        <v>45844</v>
      </c>
      <c r="D622" t="inlineStr">
        <is>
          <t>DALARNAS LÄN</t>
        </is>
      </c>
      <c r="E622" t="inlineStr">
        <is>
          <t>LEKSAND</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35189-2023</t>
        </is>
      </c>
      <c r="B623" s="1" t="n">
        <v>45145</v>
      </c>
      <c r="C623" s="1" t="n">
        <v>45844</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36261-2023</t>
        </is>
      </c>
      <c r="B624" s="1" t="n">
        <v>45151</v>
      </c>
      <c r="C624" s="1" t="n">
        <v>45844</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36262-2023</t>
        </is>
      </c>
      <c r="B625" s="1" t="n">
        <v>45151</v>
      </c>
      <c r="C625" s="1" t="n">
        <v>45844</v>
      </c>
      <c r="D625" t="inlineStr">
        <is>
          <t>DALARNAS LÄN</t>
        </is>
      </c>
      <c r="E625" t="inlineStr">
        <is>
          <t>LEKSAND</t>
        </is>
      </c>
      <c r="G625" t="n">
        <v>1.2</v>
      </c>
      <c r="H625" t="n">
        <v>0</v>
      </c>
      <c r="I625" t="n">
        <v>0</v>
      </c>
      <c r="J625" t="n">
        <v>0</v>
      </c>
      <c r="K625" t="n">
        <v>0</v>
      </c>
      <c r="L625" t="n">
        <v>0</v>
      </c>
      <c r="M625" t="n">
        <v>0</v>
      </c>
      <c r="N625" t="n">
        <v>0</v>
      </c>
      <c r="O625" t="n">
        <v>0</v>
      </c>
      <c r="P625" t="n">
        <v>0</v>
      </c>
      <c r="Q625" t="n">
        <v>0</v>
      </c>
      <c r="R625" s="2" t="inlineStr"/>
    </row>
    <row r="626" ht="15" customHeight="1">
      <c r="A626" t="inlineStr">
        <is>
          <t>A 36444-2023</t>
        </is>
      </c>
      <c r="B626" s="1" t="n">
        <v>45152</v>
      </c>
      <c r="C626" s="1" t="n">
        <v>45844</v>
      </c>
      <c r="D626" t="inlineStr">
        <is>
          <t>DALARNAS LÄN</t>
        </is>
      </c>
      <c r="E626" t="inlineStr">
        <is>
          <t>LEKSAND</t>
        </is>
      </c>
      <c r="G626" t="n">
        <v>0.5</v>
      </c>
      <c r="H626" t="n">
        <v>0</v>
      </c>
      <c r="I626" t="n">
        <v>0</v>
      </c>
      <c r="J626" t="n">
        <v>0</v>
      </c>
      <c r="K626" t="n">
        <v>0</v>
      </c>
      <c r="L626" t="n">
        <v>0</v>
      </c>
      <c r="M626" t="n">
        <v>0</v>
      </c>
      <c r="N626" t="n">
        <v>0</v>
      </c>
      <c r="O626" t="n">
        <v>0</v>
      </c>
      <c r="P626" t="n">
        <v>0</v>
      </c>
      <c r="Q626" t="n">
        <v>0</v>
      </c>
      <c r="R626" s="2" t="inlineStr"/>
    </row>
    <row r="627" ht="15" customHeight="1">
      <c r="A627" t="inlineStr">
        <is>
          <t>A 36450-2023</t>
        </is>
      </c>
      <c r="B627" s="1" t="n">
        <v>45152</v>
      </c>
      <c r="C627" s="1" t="n">
        <v>45844</v>
      </c>
      <c r="D627" t="inlineStr">
        <is>
          <t>DALARNAS LÄN</t>
        </is>
      </c>
      <c r="E627" t="inlineStr">
        <is>
          <t>LEKSAND</t>
        </is>
      </c>
      <c r="G627" t="n">
        <v>2.4</v>
      </c>
      <c r="H627" t="n">
        <v>0</v>
      </c>
      <c r="I627" t="n">
        <v>0</v>
      </c>
      <c r="J627" t="n">
        <v>0</v>
      </c>
      <c r="K627" t="n">
        <v>0</v>
      </c>
      <c r="L627" t="n">
        <v>0</v>
      </c>
      <c r="M627" t="n">
        <v>0</v>
      </c>
      <c r="N627" t="n">
        <v>0</v>
      </c>
      <c r="O627" t="n">
        <v>0</v>
      </c>
      <c r="P627" t="n">
        <v>0</v>
      </c>
      <c r="Q627" t="n">
        <v>0</v>
      </c>
      <c r="R627" s="2" t="inlineStr"/>
    </row>
    <row r="628" ht="15" customHeight="1">
      <c r="A628" t="inlineStr">
        <is>
          <t>A 36515-2023</t>
        </is>
      </c>
      <c r="B628" s="1" t="n">
        <v>45153</v>
      </c>
      <c r="C628" s="1" t="n">
        <v>45844</v>
      </c>
      <c r="D628" t="inlineStr">
        <is>
          <t>DALARNAS LÄN</t>
        </is>
      </c>
      <c r="E628" t="inlineStr">
        <is>
          <t>LEKSAND</t>
        </is>
      </c>
      <c r="G628" t="n">
        <v>0.6</v>
      </c>
      <c r="H628" t="n">
        <v>0</v>
      </c>
      <c r="I628" t="n">
        <v>0</v>
      </c>
      <c r="J628" t="n">
        <v>0</v>
      </c>
      <c r="K628" t="n">
        <v>0</v>
      </c>
      <c r="L628" t="n">
        <v>0</v>
      </c>
      <c r="M628" t="n">
        <v>0</v>
      </c>
      <c r="N628" t="n">
        <v>0</v>
      </c>
      <c r="O628" t="n">
        <v>0</v>
      </c>
      <c r="P628" t="n">
        <v>0</v>
      </c>
      <c r="Q628" t="n">
        <v>0</v>
      </c>
      <c r="R628" s="2" t="inlineStr"/>
    </row>
    <row r="629" ht="15" customHeight="1">
      <c r="A629" t="inlineStr">
        <is>
          <t>A 36932-2023</t>
        </is>
      </c>
      <c r="B629" s="1" t="n">
        <v>45154</v>
      </c>
      <c r="C629" s="1" t="n">
        <v>45844</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37397-2023</t>
        </is>
      </c>
      <c r="B630" s="1" t="n">
        <v>45156</v>
      </c>
      <c r="C630" s="1" t="n">
        <v>45844</v>
      </c>
      <c r="D630" t="inlineStr">
        <is>
          <t>DALARNAS LÄN</t>
        </is>
      </c>
      <c r="E630" t="inlineStr">
        <is>
          <t>LEKSAND</t>
        </is>
      </c>
      <c r="F630" t="inlineStr">
        <is>
          <t>Kommuner</t>
        </is>
      </c>
      <c r="G630" t="n">
        <v>2.9</v>
      </c>
      <c r="H630" t="n">
        <v>0</v>
      </c>
      <c r="I630" t="n">
        <v>0</v>
      </c>
      <c r="J630" t="n">
        <v>0</v>
      </c>
      <c r="K630" t="n">
        <v>0</v>
      </c>
      <c r="L630" t="n">
        <v>0</v>
      </c>
      <c r="M630" t="n">
        <v>0</v>
      </c>
      <c r="N630" t="n">
        <v>0</v>
      </c>
      <c r="O630" t="n">
        <v>0</v>
      </c>
      <c r="P630" t="n">
        <v>0</v>
      </c>
      <c r="Q630" t="n">
        <v>0</v>
      </c>
      <c r="R630" s="2" t="inlineStr"/>
    </row>
    <row r="631" ht="15" customHeight="1">
      <c r="A631" t="inlineStr">
        <is>
          <t>A 37516-2023</t>
        </is>
      </c>
      <c r="B631" s="1" t="n">
        <v>45158</v>
      </c>
      <c r="C631" s="1" t="n">
        <v>45844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37832-2023</t>
        </is>
      </c>
      <c r="B632" s="1" t="n">
        <v>45160</v>
      </c>
      <c r="C632" s="1" t="n">
        <v>45844</v>
      </c>
      <c r="D632" t="inlineStr">
        <is>
          <t>DALARNAS LÄN</t>
        </is>
      </c>
      <c r="E632" t="inlineStr">
        <is>
          <t>LEKSAND</t>
        </is>
      </c>
      <c r="G632" t="n">
        <v>2</v>
      </c>
      <c r="H632" t="n">
        <v>0</v>
      </c>
      <c r="I632" t="n">
        <v>0</v>
      </c>
      <c r="J632" t="n">
        <v>0</v>
      </c>
      <c r="K632" t="n">
        <v>0</v>
      </c>
      <c r="L632" t="n">
        <v>0</v>
      </c>
      <c r="M632" t="n">
        <v>0</v>
      </c>
      <c r="N632" t="n">
        <v>0</v>
      </c>
      <c r="O632" t="n">
        <v>0</v>
      </c>
      <c r="P632" t="n">
        <v>0</v>
      </c>
      <c r="Q632" t="n">
        <v>0</v>
      </c>
      <c r="R632" s="2" t="inlineStr"/>
    </row>
    <row r="633" ht="15" customHeight="1">
      <c r="A633" t="inlineStr">
        <is>
          <t>A 37919-2023</t>
        </is>
      </c>
      <c r="B633" s="1" t="n">
        <v>45160</v>
      </c>
      <c r="C633" s="1" t="n">
        <v>45844</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38058-2023</t>
        </is>
      </c>
      <c r="B634" s="1" t="n">
        <v>45160</v>
      </c>
      <c r="C634" s="1" t="n">
        <v>45844</v>
      </c>
      <c r="D634" t="inlineStr">
        <is>
          <t>DALARNAS LÄN</t>
        </is>
      </c>
      <c r="E634" t="inlineStr">
        <is>
          <t>LEKSAND</t>
        </is>
      </c>
      <c r="G634" t="n">
        <v>4.2</v>
      </c>
      <c r="H634" t="n">
        <v>0</v>
      </c>
      <c r="I634" t="n">
        <v>0</v>
      </c>
      <c r="J634" t="n">
        <v>0</v>
      </c>
      <c r="K634" t="n">
        <v>0</v>
      </c>
      <c r="L634" t="n">
        <v>0</v>
      </c>
      <c r="M634" t="n">
        <v>0</v>
      </c>
      <c r="N634" t="n">
        <v>0</v>
      </c>
      <c r="O634" t="n">
        <v>0</v>
      </c>
      <c r="P634" t="n">
        <v>0</v>
      </c>
      <c r="Q634" t="n">
        <v>0</v>
      </c>
      <c r="R634" s="2" t="inlineStr"/>
    </row>
    <row r="635" ht="15" customHeight="1">
      <c r="A635" t="inlineStr">
        <is>
          <t>A 38001-2023</t>
        </is>
      </c>
      <c r="B635" s="1" t="n">
        <v>45160</v>
      </c>
      <c r="C635" s="1" t="n">
        <v>45844</v>
      </c>
      <c r="D635" t="inlineStr">
        <is>
          <t>DALARNAS LÄN</t>
        </is>
      </c>
      <c r="E635" t="inlineStr">
        <is>
          <t>LEKSAND</t>
        </is>
      </c>
      <c r="G635" t="n">
        <v>3.6</v>
      </c>
      <c r="H635" t="n">
        <v>0</v>
      </c>
      <c r="I635" t="n">
        <v>0</v>
      </c>
      <c r="J635" t="n">
        <v>0</v>
      </c>
      <c r="K635" t="n">
        <v>0</v>
      </c>
      <c r="L635" t="n">
        <v>0</v>
      </c>
      <c r="M635" t="n">
        <v>0</v>
      </c>
      <c r="N635" t="n">
        <v>0</v>
      </c>
      <c r="O635" t="n">
        <v>0</v>
      </c>
      <c r="P635" t="n">
        <v>0</v>
      </c>
      <c r="Q635" t="n">
        <v>0</v>
      </c>
      <c r="R635" s="2" t="inlineStr"/>
    </row>
    <row r="636" ht="15" customHeight="1">
      <c r="A636" t="inlineStr">
        <is>
          <t>A 38145-2023</t>
        </is>
      </c>
      <c r="B636" s="1" t="n">
        <v>45160</v>
      </c>
      <c r="C636" s="1" t="n">
        <v>45844</v>
      </c>
      <c r="D636" t="inlineStr">
        <is>
          <t>DALARNAS LÄN</t>
        </is>
      </c>
      <c r="E636" t="inlineStr">
        <is>
          <t>LEKSAND</t>
        </is>
      </c>
      <c r="F636" t="inlineStr">
        <is>
          <t>Kommuner</t>
        </is>
      </c>
      <c r="G636" t="n">
        <v>0.8</v>
      </c>
      <c r="H636" t="n">
        <v>0</v>
      </c>
      <c r="I636" t="n">
        <v>0</v>
      </c>
      <c r="J636" t="n">
        <v>0</v>
      </c>
      <c r="K636" t="n">
        <v>0</v>
      </c>
      <c r="L636" t="n">
        <v>0</v>
      </c>
      <c r="M636" t="n">
        <v>0</v>
      </c>
      <c r="N636" t="n">
        <v>0</v>
      </c>
      <c r="O636" t="n">
        <v>0</v>
      </c>
      <c r="P636" t="n">
        <v>0</v>
      </c>
      <c r="Q636" t="n">
        <v>0</v>
      </c>
      <c r="R636" s="2" t="inlineStr"/>
    </row>
    <row r="637" ht="15" customHeight="1">
      <c r="A637" t="inlineStr">
        <is>
          <t>A 38273-2023</t>
        </is>
      </c>
      <c r="B637" s="1" t="n">
        <v>45161</v>
      </c>
      <c r="C637" s="1" t="n">
        <v>45844</v>
      </c>
      <c r="D637" t="inlineStr">
        <is>
          <t>DALARNAS LÄN</t>
        </is>
      </c>
      <c r="E637" t="inlineStr">
        <is>
          <t>LEKSAND</t>
        </is>
      </c>
      <c r="F637" t="inlineStr">
        <is>
          <t>Bergvik skog väst AB</t>
        </is>
      </c>
      <c r="G637" t="n">
        <v>4.1</v>
      </c>
      <c r="H637" t="n">
        <v>0</v>
      </c>
      <c r="I637" t="n">
        <v>0</v>
      </c>
      <c r="J637" t="n">
        <v>0</v>
      </c>
      <c r="K637" t="n">
        <v>0</v>
      </c>
      <c r="L637" t="n">
        <v>0</v>
      </c>
      <c r="M637" t="n">
        <v>0</v>
      </c>
      <c r="N637" t="n">
        <v>0</v>
      </c>
      <c r="O637" t="n">
        <v>0</v>
      </c>
      <c r="P637" t="n">
        <v>0</v>
      </c>
      <c r="Q637" t="n">
        <v>0</v>
      </c>
      <c r="R637" s="2" t="inlineStr"/>
    </row>
    <row r="638" ht="15" customHeight="1">
      <c r="A638" t="inlineStr">
        <is>
          <t>A 38277-2023</t>
        </is>
      </c>
      <c r="B638" s="1" t="n">
        <v>45161</v>
      </c>
      <c r="C638" s="1" t="n">
        <v>45844</v>
      </c>
      <c r="D638" t="inlineStr">
        <is>
          <t>DALARNAS LÄN</t>
        </is>
      </c>
      <c r="E638" t="inlineStr">
        <is>
          <t>LEKSAND</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38117-2023</t>
        </is>
      </c>
      <c r="B639" s="1" t="n">
        <v>45161</v>
      </c>
      <c r="C639" s="1" t="n">
        <v>45844</v>
      </c>
      <c r="D639" t="inlineStr">
        <is>
          <t>DALARNAS LÄN</t>
        </is>
      </c>
      <c r="E639" t="inlineStr">
        <is>
          <t>LEKSAND</t>
        </is>
      </c>
      <c r="G639" t="n">
        <v>1.5</v>
      </c>
      <c r="H639" t="n">
        <v>0</v>
      </c>
      <c r="I639" t="n">
        <v>0</v>
      </c>
      <c r="J639" t="n">
        <v>0</v>
      </c>
      <c r="K639" t="n">
        <v>0</v>
      </c>
      <c r="L639" t="n">
        <v>0</v>
      </c>
      <c r="M639" t="n">
        <v>0</v>
      </c>
      <c r="N639" t="n">
        <v>0</v>
      </c>
      <c r="O639" t="n">
        <v>0</v>
      </c>
      <c r="P639" t="n">
        <v>0</v>
      </c>
      <c r="Q639" t="n">
        <v>0</v>
      </c>
      <c r="R639" s="2" t="inlineStr"/>
    </row>
    <row r="640" ht="15" customHeight="1">
      <c r="A640" t="inlineStr">
        <is>
          <t>A 39136-2023</t>
        </is>
      </c>
      <c r="B640" s="1" t="n">
        <v>45165</v>
      </c>
      <c r="C640" s="1" t="n">
        <v>45844</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39387-2023</t>
        </is>
      </c>
      <c r="B641" s="1" t="n">
        <v>45166</v>
      </c>
      <c r="C641" s="1" t="n">
        <v>45844</v>
      </c>
      <c r="D641" t="inlineStr">
        <is>
          <t>DALARNAS LÄN</t>
        </is>
      </c>
      <c r="E641" t="inlineStr">
        <is>
          <t>LEKSAND</t>
        </is>
      </c>
      <c r="G641" t="n">
        <v>2.5</v>
      </c>
      <c r="H641" t="n">
        <v>0</v>
      </c>
      <c r="I641" t="n">
        <v>0</v>
      </c>
      <c r="J641" t="n">
        <v>0</v>
      </c>
      <c r="K641" t="n">
        <v>0</v>
      </c>
      <c r="L641" t="n">
        <v>0</v>
      </c>
      <c r="M641" t="n">
        <v>0</v>
      </c>
      <c r="N641" t="n">
        <v>0</v>
      </c>
      <c r="O641" t="n">
        <v>0</v>
      </c>
      <c r="P641" t="n">
        <v>0</v>
      </c>
      <c r="Q641" t="n">
        <v>0</v>
      </c>
      <c r="R641" s="2" t="inlineStr"/>
    </row>
    <row r="642" ht="15" customHeight="1">
      <c r="A642" t="inlineStr">
        <is>
          <t>A 39332-2023</t>
        </is>
      </c>
      <c r="B642" s="1" t="n">
        <v>45166</v>
      </c>
      <c r="C642" s="1" t="n">
        <v>45844</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39354-2023</t>
        </is>
      </c>
      <c r="B643" s="1" t="n">
        <v>45166</v>
      </c>
      <c r="C643" s="1" t="n">
        <v>45844</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39595-2023</t>
        </is>
      </c>
      <c r="B644" s="1" t="n">
        <v>45167</v>
      </c>
      <c r="C644" s="1" t="n">
        <v>45844</v>
      </c>
      <c r="D644" t="inlineStr">
        <is>
          <t>DALARNAS LÄN</t>
        </is>
      </c>
      <c r="E644" t="inlineStr">
        <is>
          <t>LEKSAND</t>
        </is>
      </c>
      <c r="G644" t="n">
        <v>0.9</v>
      </c>
      <c r="H644" t="n">
        <v>0</v>
      </c>
      <c r="I644" t="n">
        <v>0</v>
      </c>
      <c r="J644" t="n">
        <v>0</v>
      </c>
      <c r="K644" t="n">
        <v>0</v>
      </c>
      <c r="L644" t="n">
        <v>0</v>
      </c>
      <c r="M644" t="n">
        <v>0</v>
      </c>
      <c r="N644" t="n">
        <v>0</v>
      </c>
      <c r="O644" t="n">
        <v>0</v>
      </c>
      <c r="P644" t="n">
        <v>0</v>
      </c>
      <c r="Q644" t="n">
        <v>0</v>
      </c>
      <c r="R644" s="2" t="inlineStr"/>
    </row>
    <row r="645" ht="15" customHeight="1">
      <c r="A645" t="inlineStr">
        <is>
          <t>A 39558-2023</t>
        </is>
      </c>
      <c r="B645" s="1" t="n">
        <v>45167</v>
      </c>
      <c r="C645" s="1" t="n">
        <v>45844</v>
      </c>
      <c r="D645" t="inlineStr">
        <is>
          <t>DALARNAS LÄN</t>
        </is>
      </c>
      <c r="E645" t="inlineStr">
        <is>
          <t>LEKSAND</t>
        </is>
      </c>
      <c r="G645" t="n">
        <v>39.9</v>
      </c>
      <c r="H645" t="n">
        <v>0</v>
      </c>
      <c r="I645" t="n">
        <v>0</v>
      </c>
      <c r="J645" t="n">
        <v>0</v>
      </c>
      <c r="K645" t="n">
        <v>0</v>
      </c>
      <c r="L645" t="n">
        <v>0</v>
      </c>
      <c r="M645" t="n">
        <v>0</v>
      </c>
      <c r="N645" t="n">
        <v>0</v>
      </c>
      <c r="O645" t="n">
        <v>0</v>
      </c>
      <c r="P645" t="n">
        <v>0</v>
      </c>
      <c r="Q645" t="n">
        <v>0</v>
      </c>
      <c r="R645" s="2" t="inlineStr"/>
    </row>
    <row r="646" ht="15" customHeight="1">
      <c r="A646" t="inlineStr">
        <is>
          <t>A 39577-2023</t>
        </is>
      </c>
      <c r="B646" s="1" t="n">
        <v>45167</v>
      </c>
      <c r="C646" s="1" t="n">
        <v>45844</v>
      </c>
      <c r="D646" t="inlineStr">
        <is>
          <t>DALARNAS LÄN</t>
        </is>
      </c>
      <c r="E646" t="inlineStr">
        <is>
          <t>LEKSAND</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39665-2023</t>
        </is>
      </c>
      <c r="B647" s="1" t="n">
        <v>45167</v>
      </c>
      <c r="C647" s="1" t="n">
        <v>45844</v>
      </c>
      <c r="D647" t="inlineStr">
        <is>
          <t>DALARNAS LÄN</t>
        </is>
      </c>
      <c r="E647" t="inlineStr">
        <is>
          <t>LEKSAND</t>
        </is>
      </c>
      <c r="F647" t="inlineStr">
        <is>
          <t>Bergvik skog väst AB</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40201-2023</t>
        </is>
      </c>
      <c r="B648" s="1" t="n">
        <v>45169</v>
      </c>
      <c r="C648" s="1" t="n">
        <v>45844</v>
      </c>
      <c r="D648" t="inlineStr">
        <is>
          <t>DALARNAS LÄN</t>
        </is>
      </c>
      <c r="E648" t="inlineStr">
        <is>
          <t>LEKSAND</t>
        </is>
      </c>
      <c r="G648" t="n">
        <v>3.2</v>
      </c>
      <c r="H648" t="n">
        <v>0</v>
      </c>
      <c r="I648" t="n">
        <v>0</v>
      </c>
      <c r="J648" t="n">
        <v>0</v>
      </c>
      <c r="K648" t="n">
        <v>0</v>
      </c>
      <c r="L648" t="n">
        <v>0</v>
      </c>
      <c r="M648" t="n">
        <v>0</v>
      </c>
      <c r="N648" t="n">
        <v>0</v>
      </c>
      <c r="O648" t="n">
        <v>0</v>
      </c>
      <c r="P648" t="n">
        <v>0</v>
      </c>
      <c r="Q648" t="n">
        <v>0</v>
      </c>
      <c r="R648" s="2" t="inlineStr"/>
    </row>
    <row r="649" ht="15" customHeight="1">
      <c r="A649" t="inlineStr">
        <is>
          <t>A 40181-2023</t>
        </is>
      </c>
      <c r="B649" s="1" t="n">
        <v>45169</v>
      </c>
      <c r="C649" s="1" t="n">
        <v>45844</v>
      </c>
      <c r="D649" t="inlineStr">
        <is>
          <t>DALARNAS LÄN</t>
        </is>
      </c>
      <c r="E649" t="inlineStr">
        <is>
          <t>LEKSAND</t>
        </is>
      </c>
      <c r="G649" t="n">
        <v>2.8</v>
      </c>
      <c r="H649" t="n">
        <v>0</v>
      </c>
      <c r="I649" t="n">
        <v>0</v>
      </c>
      <c r="J649" t="n">
        <v>0</v>
      </c>
      <c r="K649" t="n">
        <v>0</v>
      </c>
      <c r="L649" t="n">
        <v>0</v>
      </c>
      <c r="M649" t="n">
        <v>0</v>
      </c>
      <c r="N649" t="n">
        <v>0</v>
      </c>
      <c r="O649" t="n">
        <v>0</v>
      </c>
      <c r="P649" t="n">
        <v>0</v>
      </c>
      <c r="Q649" t="n">
        <v>0</v>
      </c>
      <c r="R649" s="2" t="inlineStr"/>
    </row>
    <row r="650" ht="15" customHeight="1">
      <c r="A650" t="inlineStr">
        <is>
          <t>A 40230-2023</t>
        </is>
      </c>
      <c r="B650" s="1" t="n">
        <v>45169</v>
      </c>
      <c r="C650" s="1" t="n">
        <v>45844</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40642-2023</t>
        </is>
      </c>
      <c r="B651" s="1" t="n">
        <v>45169</v>
      </c>
      <c r="C651" s="1" t="n">
        <v>45844</v>
      </c>
      <c r="D651" t="inlineStr">
        <is>
          <t>DALARNAS LÄN</t>
        </is>
      </c>
      <c r="E651" t="inlineStr">
        <is>
          <t>LEKSAND</t>
        </is>
      </c>
      <c r="G651" t="n">
        <v>1.9</v>
      </c>
      <c r="H651" t="n">
        <v>0</v>
      </c>
      <c r="I651" t="n">
        <v>0</v>
      </c>
      <c r="J651" t="n">
        <v>0</v>
      </c>
      <c r="K651" t="n">
        <v>0</v>
      </c>
      <c r="L651" t="n">
        <v>0</v>
      </c>
      <c r="M651" t="n">
        <v>0</v>
      </c>
      <c r="N651" t="n">
        <v>0</v>
      </c>
      <c r="O651" t="n">
        <v>0</v>
      </c>
      <c r="P651" t="n">
        <v>0</v>
      </c>
      <c r="Q651" t="n">
        <v>0</v>
      </c>
      <c r="R651" s="2" t="inlineStr"/>
    </row>
    <row r="652" ht="15" customHeight="1">
      <c r="A652" t="inlineStr">
        <is>
          <t>A 40183-2023</t>
        </is>
      </c>
      <c r="B652" s="1" t="n">
        <v>45169</v>
      </c>
      <c r="C652" s="1" t="n">
        <v>45844</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40580-2023</t>
        </is>
      </c>
      <c r="B653" s="1" t="n">
        <v>45170</v>
      </c>
      <c r="C653" s="1" t="n">
        <v>45844</v>
      </c>
      <c r="D653" t="inlineStr">
        <is>
          <t>DALARNAS LÄN</t>
        </is>
      </c>
      <c r="E653" t="inlineStr">
        <is>
          <t>LEKSAND</t>
        </is>
      </c>
      <c r="F653" t="inlineStr">
        <is>
          <t>Bergvik skog väst AB</t>
        </is>
      </c>
      <c r="G653" t="n">
        <v>5.8</v>
      </c>
      <c r="H653" t="n">
        <v>0</v>
      </c>
      <c r="I653" t="n">
        <v>0</v>
      </c>
      <c r="J653" t="n">
        <v>0</v>
      </c>
      <c r="K653" t="n">
        <v>0</v>
      </c>
      <c r="L653" t="n">
        <v>0</v>
      </c>
      <c r="M653" t="n">
        <v>0</v>
      </c>
      <c r="N653" t="n">
        <v>0</v>
      </c>
      <c r="O653" t="n">
        <v>0</v>
      </c>
      <c r="P653" t="n">
        <v>0</v>
      </c>
      <c r="Q653" t="n">
        <v>0</v>
      </c>
      <c r="R653" s="2" t="inlineStr"/>
    </row>
    <row r="654" ht="15" customHeight="1">
      <c r="A654" t="inlineStr">
        <is>
          <t>A 40634-2023</t>
        </is>
      </c>
      <c r="B654" s="1" t="n">
        <v>45170</v>
      </c>
      <c r="C654" s="1" t="n">
        <v>45844</v>
      </c>
      <c r="D654" t="inlineStr">
        <is>
          <t>DALARNAS LÄN</t>
        </is>
      </c>
      <c r="E654" t="inlineStr">
        <is>
          <t>LEKSAND</t>
        </is>
      </c>
      <c r="F654" t="inlineStr">
        <is>
          <t>Bergvik skog väst AB</t>
        </is>
      </c>
      <c r="G654" t="n">
        <v>4.9</v>
      </c>
      <c r="H654" t="n">
        <v>0</v>
      </c>
      <c r="I654" t="n">
        <v>0</v>
      </c>
      <c r="J654" t="n">
        <v>0</v>
      </c>
      <c r="K654" t="n">
        <v>0</v>
      </c>
      <c r="L654" t="n">
        <v>0</v>
      </c>
      <c r="M654" t="n">
        <v>0</v>
      </c>
      <c r="N654" t="n">
        <v>0</v>
      </c>
      <c r="O654" t="n">
        <v>0</v>
      </c>
      <c r="P654" t="n">
        <v>0</v>
      </c>
      <c r="Q654" t="n">
        <v>0</v>
      </c>
      <c r="R654" s="2" t="inlineStr"/>
    </row>
    <row r="655" ht="15" customHeight="1">
      <c r="A655" t="inlineStr">
        <is>
          <t>A 40640-2023</t>
        </is>
      </c>
      <c r="B655" s="1" t="n">
        <v>45170</v>
      </c>
      <c r="C655" s="1" t="n">
        <v>45844</v>
      </c>
      <c r="D655" t="inlineStr">
        <is>
          <t>DALARNAS LÄN</t>
        </is>
      </c>
      <c r="E655" t="inlineStr">
        <is>
          <t>LEKSAND</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40577-2023</t>
        </is>
      </c>
      <c r="B656" s="1" t="n">
        <v>45170</v>
      </c>
      <c r="C656" s="1" t="n">
        <v>45844</v>
      </c>
      <c r="D656" t="inlineStr">
        <is>
          <t>DALARNAS LÄN</t>
        </is>
      </c>
      <c r="E656" t="inlineStr">
        <is>
          <t>LEKSAND</t>
        </is>
      </c>
      <c r="F656" t="inlineStr">
        <is>
          <t>Bergvik skog väst AB</t>
        </is>
      </c>
      <c r="G656" t="n">
        <v>20.6</v>
      </c>
      <c r="H656" t="n">
        <v>0</v>
      </c>
      <c r="I656" t="n">
        <v>0</v>
      </c>
      <c r="J656" t="n">
        <v>0</v>
      </c>
      <c r="K656" t="n">
        <v>0</v>
      </c>
      <c r="L656" t="n">
        <v>0</v>
      </c>
      <c r="M656" t="n">
        <v>0</v>
      </c>
      <c r="N656" t="n">
        <v>0</v>
      </c>
      <c r="O656" t="n">
        <v>0</v>
      </c>
      <c r="P656" t="n">
        <v>0</v>
      </c>
      <c r="Q656" t="n">
        <v>0</v>
      </c>
      <c r="R656" s="2" t="inlineStr"/>
    </row>
    <row r="657" ht="15" customHeight="1">
      <c r="A657" t="inlineStr">
        <is>
          <t>A 40627-2023</t>
        </is>
      </c>
      <c r="B657" s="1" t="n">
        <v>45170</v>
      </c>
      <c r="C657" s="1" t="n">
        <v>45844</v>
      </c>
      <c r="D657" t="inlineStr">
        <is>
          <t>DALARNAS LÄN</t>
        </is>
      </c>
      <c r="E657" t="inlineStr">
        <is>
          <t>LEKSAND</t>
        </is>
      </c>
      <c r="F657" t="inlineStr">
        <is>
          <t>Bergvik skog väst AB</t>
        </is>
      </c>
      <c r="G657" t="n">
        <v>3.3</v>
      </c>
      <c r="H657" t="n">
        <v>0</v>
      </c>
      <c r="I657" t="n">
        <v>0</v>
      </c>
      <c r="J657" t="n">
        <v>0</v>
      </c>
      <c r="K657" t="n">
        <v>0</v>
      </c>
      <c r="L657" t="n">
        <v>0</v>
      </c>
      <c r="M657" t="n">
        <v>0</v>
      </c>
      <c r="N657" t="n">
        <v>0</v>
      </c>
      <c r="O657" t="n">
        <v>0</v>
      </c>
      <c r="P657" t="n">
        <v>0</v>
      </c>
      <c r="Q657" t="n">
        <v>0</v>
      </c>
      <c r="R657" s="2" t="inlineStr"/>
    </row>
    <row r="658" ht="15" customHeight="1">
      <c r="A658" t="inlineStr">
        <is>
          <t>A 41853-2023</t>
        </is>
      </c>
      <c r="B658" s="1" t="n">
        <v>45176</v>
      </c>
      <c r="C658" s="1" t="n">
        <v>45844</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45844</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42305-2023</t>
        </is>
      </c>
      <c r="B660" s="1" t="n">
        <v>45180</v>
      </c>
      <c r="C660" s="1" t="n">
        <v>45844</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42290-2023</t>
        </is>
      </c>
      <c r="B661" s="1" t="n">
        <v>45180</v>
      </c>
      <c r="C661" s="1" t="n">
        <v>45844</v>
      </c>
      <c r="D661" t="inlineStr">
        <is>
          <t>DALARNAS LÄN</t>
        </is>
      </c>
      <c r="E661" t="inlineStr">
        <is>
          <t>LEKSAND</t>
        </is>
      </c>
      <c r="G661" t="n">
        <v>6.8</v>
      </c>
      <c r="H661" t="n">
        <v>0</v>
      </c>
      <c r="I661" t="n">
        <v>0</v>
      </c>
      <c r="J661" t="n">
        <v>0</v>
      </c>
      <c r="K661" t="n">
        <v>0</v>
      </c>
      <c r="L661" t="n">
        <v>0</v>
      </c>
      <c r="M661" t="n">
        <v>0</v>
      </c>
      <c r="N661" t="n">
        <v>0</v>
      </c>
      <c r="O661" t="n">
        <v>0</v>
      </c>
      <c r="P661" t="n">
        <v>0</v>
      </c>
      <c r="Q661" t="n">
        <v>0</v>
      </c>
      <c r="R661" s="2" t="inlineStr"/>
    </row>
    <row r="662" ht="15" customHeight="1">
      <c r="A662" t="inlineStr">
        <is>
          <t>A 42739-2023</t>
        </is>
      </c>
      <c r="B662" s="1" t="n">
        <v>45181</v>
      </c>
      <c r="C662" s="1" t="n">
        <v>45844</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42774-2023</t>
        </is>
      </c>
      <c r="B663" s="1" t="n">
        <v>45181</v>
      </c>
      <c r="C663" s="1" t="n">
        <v>45844</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42771-2023</t>
        </is>
      </c>
      <c r="B664" s="1" t="n">
        <v>45181</v>
      </c>
      <c r="C664" s="1" t="n">
        <v>45844</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44491-2023</t>
        </is>
      </c>
      <c r="B665" s="1" t="n">
        <v>45183</v>
      </c>
      <c r="C665" s="1" t="n">
        <v>45844</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43436-2023</t>
        </is>
      </c>
      <c r="B666" s="1" t="n">
        <v>45184</v>
      </c>
      <c r="C666" s="1" t="n">
        <v>45844</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43440-2023</t>
        </is>
      </c>
      <c r="B667" s="1" t="n">
        <v>45184</v>
      </c>
      <c r="C667" s="1" t="n">
        <v>45844</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43508-2023</t>
        </is>
      </c>
      <c r="B668" s="1" t="n">
        <v>45184</v>
      </c>
      <c r="C668" s="1" t="n">
        <v>45844</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43642-2023</t>
        </is>
      </c>
      <c r="B669" s="1" t="n">
        <v>45186</v>
      </c>
      <c r="C669" s="1" t="n">
        <v>45844</v>
      </c>
      <c r="D669" t="inlineStr">
        <is>
          <t>DALARNAS LÄN</t>
        </is>
      </c>
      <c r="E669" t="inlineStr">
        <is>
          <t>LEKSAND</t>
        </is>
      </c>
      <c r="G669" t="n">
        <v>1.3</v>
      </c>
      <c r="H669" t="n">
        <v>0</v>
      </c>
      <c r="I669" t="n">
        <v>0</v>
      </c>
      <c r="J669" t="n">
        <v>0</v>
      </c>
      <c r="K669" t="n">
        <v>0</v>
      </c>
      <c r="L669" t="n">
        <v>0</v>
      </c>
      <c r="M669" t="n">
        <v>0</v>
      </c>
      <c r="N669" t="n">
        <v>0</v>
      </c>
      <c r="O669" t="n">
        <v>0</v>
      </c>
      <c r="P669" t="n">
        <v>0</v>
      </c>
      <c r="Q669" t="n">
        <v>0</v>
      </c>
      <c r="R669" s="2" t="inlineStr"/>
    </row>
    <row r="670" ht="15" customHeight="1">
      <c r="A670" t="inlineStr">
        <is>
          <t>A 43650-2023</t>
        </is>
      </c>
      <c r="B670" s="1" t="n">
        <v>45187</v>
      </c>
      <c r="C670" s="1" t="n">
        <v>45844</v>
      </c>
      <c r="D670" t="inlineStr">
        <is>
          <t>DALARNAS LÄN</t>
        </is>
      </c>
      <c r="E670" t="inlineStr">
        <is>
          <t>LEKSAND</t>
        </is>
      </c>
      <c r="G670" t="n">
        <v>4.5</v>
      </c>
      <c r="H670" t="n">
        <v>0</v>
      </c>
      <c r="I670" t="n">
        <v>0</v>
      </c>
      <c r="J670" t="n">
        <v>0</v>
      </c>
      <c r="K670" t="n">
        <v>0</v>
      </c>
      <c r="L670" t="n">
        <v>0</v>
      </c>
      <c r="M670" t="n">
        <v>0</v>
      </c>
      <c r="N670" t="n">
        <v>0</v>
      </c>
      <c r="O670" t="n">
        <v>0</v>
      </c>
      <c r="P670" t="n">
        <v>0</v>
      </c>
      <c r="Q670" t="n">
        <v>0</v>
      </c>
      <c r="R670" s="2" t="inlineStr"/>
    </row>
    <row r="671" ht="15" customHeight="1">
      <c r="A671" t="inlineStr">
        <is>
          <t>A 44712-2023</t>
        </is>
      </c>
      <c r="B671" s="1" t="n">
        <v>45190</v>
      </c>
      <c r="C671" s="1" t="n">
        <v>45844</v>
      </c>
      <c r="D671" t="inlineStr">
        <is>
          <t>DALARNAS LÄN</t>
        </is>
      </c>
      <c r="E671" t="inlineStr">
        <is>
          <t>LEKSAND</t>
        </is>
      </c>
      <c r="F671" t="inlineStr">
        <is>
          <t>Bergvik skog väst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45254-2023</t>
        </is>
      </c>
      <c r="B672" s="1" t="n">
        <v>45191</v>
      </c>
      <c r="C672" s="1" t="n">
        <v>45844</v>
      </c>
      <c r="D672" t="inlineStr">
        <is>
          <t>DALARNAS LÄN</t>
        </is>
      </c>
      <c r="E672" t="inlineStr">
        <is>
          <t>LEKSAND</t>
        </is>
      </c>
      <c r="G672" t="n">
        <v>16.9</v>
      </c>
      <c r="H672" t="n">
        <v>0</v>
      </c>
      <c r="I672" t="n">
        <v>0</v>
      </c>
      <c r="J672" t="n">
        <v>0</v>
      </c>
      <c r="K672" t="n">
        <v>0</v>
      </c>
      <c r="L672" t="n">
        <v>0</v>
      </c>
      <c r="M672" t="n">
        <v>0</v>
      </c>
      <c r="N672" t="n">
        <v>0</v>
      </c>
      <c r="O672" t="n">
        <v>0</v>
      </c>
      <c r="P672" t="n">
        <v>0</v>
      </c>
      <c r="Q672" t="n">
        <v>0</v>
      </c>
      <c r="R672" s="2" t="inlineStr"/>
    </row>
    <row r="673" ht="15" customHeight="1">
      <c r="A673" t="inlineStr">
        <is>
          <t>A 45633-2023</t>
        </is>
      </c>
      <c r="B673" s="1" t="n">
        <v>45194</v>
      </c>
      <c r="C673" s="1" t="n">
        <v>45844</v>
      </c>
      <c r="D673" t="inlineStr">
        <is>
          <t>DALARNAS LÄN</t>
        </is>
      </c>
      <c r="E673" t="inlineStr">
        <is>
          <t>LEKSAND</t>
        </is>
      </c>
      <c r="G673" t="n">
        <v>1.2</v>
      </c>
      <c r="H673" t="n">
        <v>0</v>
      </c>
      <c r="I673" t="n">
        <v>0</v>
      </c>
      <c r="J673" t="n">
        <v>0</v>
      </c>
      <c r="K673" t="n">
        <v>0</v>
      </c>
      <c r="L673" t="n">
        <v>0</v>
      </c>
      <c r="M673" t="n">
        <v>0</v>
      </c>
      <c r="N673" t="n">
        <v>0</v>
      </c>
      <c r="O673" t="n">
        <v>0</v>
      </c>
      <c r="P673" t="n">
        <v>0</v>
      </c>
      <c r="Q673" t="n">
        <v>0</v>
      </c>
      <c r="R673" s="2" t="inlineStr"/>
    </row>
    <row r="674" ht="15" customHeight="1">
      <c r="A674" t="inlineStr">
        <is>
          <t>A 45512-2023</t>
        </is>
      </c>
      <c r="B674" s="1" t="n">
        <v>45194</v>
      </c>
      <c r="C674" s="1" t="n">
        <v>45844</v>
      </c>
      <c r="D674" t="inlineStr">
        <is>
          <t>DALARNAS LÄN</t>
        </is>
      </c>
      <c r="E674" t="inlineStr">
        <is>
          <t>LEKSAND</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45768-2023</t>
        </is>
      </c>
      <c r="B675" s="1" t="n">
        <v>45195</v>
      </c>
      <c r="C675" s="1" t="n">
        <v>45844</v>
      </c>
      <c r="D675" t="inlineStr">
        <is>
          <t>DALARNAS LÄN</t>
        </is>
      </c>
      <c r="E675" t="inlineStr">
        <is>
          <t>LEKSAND</t>
        </is>
      </c>
      <c r="G675" t="n">
        <v>0.4</v>
      </c>
      <c r="H675" t="n">
        <v>0</v>
      </c>
      <c r="I675" t="n">
        <v>0</v>
      </c>
      <c r="J675" t="n">
        <v>0</v>
      </c>
      <c r="K675" t="n">
        <v>0</v>
      </c>
      <c r="L675" t="n">
        <v>0</v>
      </c>
      <c r="M675" t="n">
        <v>0</v>
      </c>
      <c r="N675" t="n">
        <v>0</v>
      </c>
      <c r="O675" t="n">
        <v>0</v>
      </c>
      <c r="P675" t="n">
        <v>0</v>
      </c>
      <c r="Q675" t="n">
        <v>0</v>
      </c>
      <c r="R675" s="2" t="inlineStr"/>
    </row>
    <row r="676" ht="15" customHeight="1">
      <c r="A676" t="inlineStr">
        <is>
          <t>A 45679-2023</t>
        </is>
      </c>
      <c r="B676" s="1" t="n">
        <v>45195</v>
      </c>
      <c r="C676" s="1" t="n">
        <v>45844</v>
      </c>
      <c r="D676" t="inlineStr">
        <is>
          <t>DALARNAS LÄN</t>
        </is>
      </c>
      <c r="E676" t="inlineStr">
        <is>
          <t>LEKSAND</t>
        </is>
      </c>
      <c r="G676" t="n">
        <v>1.1</v>
      </c>
      <c r="H676" t="n">
        <v>0</v>
      </c>
      <c r="I676" t="n">
        <v>0</v>
      </c>
      <c r="J676" t="n">
        <v>0</v>
      </c>
      <c r="K676" t="n">
        <v>0</v>
      </c>
      <c r="L676" t="n">
        <v>0</v>
      </c>
      <c r="M676" t="n">
        <v>0</v>
      </c>
      <c r="N676" t="n">
        <v>0</v>
      </c>
      <c r="O676" t="n">
        <v>0</v>
      </c>
      <c r="P676" t="n">
        <v>0</v>
      </c>
      <c r="Q676" t="n">
        <v>0</v>
      </c>
      <c r="R676" s="2" t="inlineStr"/>
    </row>
    <row r="677" ht="15" customHeight="1">
      <c r="A677" t="inlineStr">
        <is>
          <t>A 45813-2023</t>
        </is>
      </c>
      <c r="B677" s="1" t="n">
        <v>45195</v>
      </c>
      <c r="C677" s="1" t="n">
        <v>45844</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46163-2023</t>
        </is>
      </c>
      <c r="B678" s="1" t="n">
        <v>45196</v>
      </c>
      <c r="C678" s="1" t="n">
        <v>45844</v>
      </c>
      <c r="D678" t="inlineStr">
        <is>
          <t>DALARNAS LÄN</t>
        </is>
      </c>
      <c r="E678" t="inlineStr">
        <is>
          <t>LEKSAND</t>
        </is>
      </c>
      <c r="G678" t="n">
        <v>7.3</v>
      </c>
      <c r="H678" t="n">
        <v>0</v>
      </c>
      <c r="I678" t="n">
        <v>0</v>
      </c>
      <c r="J678" t="n">
        <v>0</v>
      </c>
      <c r="K678" t="n">
        <v>0</v>
      </c>
      <c r="L678" t="n">
        <v>0</v>
      </c>
      <c r="M678" t="n">
        <v>0</v>
      </c>
      <c r="N678" t="n">
        <v>0</v>
      </c>
      <c r="O678" t="n">
        <v>0</v>
      </c>
      <c r="P678" t="n">
        <v>0</v>
      </c>
      <c r="Q678" t="n">
        <v>0</v>
      </c>
      <c r="R678" s="2" t="inlineStr"/>
    </row>
    <row r="679" ht="15" customHeight="1">
      <c r="A679" t="inlineStr">
        <is>
          <t>A 46446-2023</t>
        </is>
      </c>
      <c r="B679" s="1" t="n">
        <v>45197</v>
      </c>
      <c r="C679" s="1" t="n">
        <v>45844</v>
      </c>
      <c r="D679" t="inlineStr">
        <is>
          <t>DALARNAS LÄN</t>
        </is>
      </c>
      <c r="E679" t="inlineStr">
        <is>
          <t>LEKSAND</t>
        </is>
      </c>
      <c r="G679" t="n">
        <v>1</v>
      </c>
      <c r="H679" t="n">
        <v>0</v>
      </c>
      <c r="I679" t="n">
        <v>0</v>
      </c>
      <c r="J679" t="n">
        <v>0</v>
      </c>
      <c r="K679" t="n">
        <v>0</v>
      </c>
      <c r="L679" t="n">
        <v>0</v>
      </c>
      <c r="M679" t="n">
        <v>0</v>
      </c>
      <c r="N679" t="n">
        <v>0</v>
      </c>
      <c r="O679" t="n">
        <v>0</v>
      </c>
      <c r="P679" t="n">
        <v>0</v>
      </c>
      <c r="Q679" t="n">
        <v>0</v>
      </c>
      <c r="R679" s="2" t="inlineStr"/>
    </row>
    <row r="680" ht="15" customHeight="1">
      <c r="A680" t="inlineStr">
        <is>
          <t>A 46505-2023</t>
        </is>
      </c>
      <c r="B680" s="1" t="n">
        <v>45197</v>
      </c>
      <c r="C680" s="1" t="n">
        <v>45844</v>
      </c>
      <c r="D680" t="inlineStr">
        <is>
          <t>DALARNAS LÄN</t>
        </is>
      </c>
      <c r="E680" t="inlineStr">
        <is>
          <t>LEKSAND</t>
        </is>
      </c>
      <c r="G680" t="n">
        <v>2.3</v>
      </c>
      <c r="H680" t="n">
        <v>0</v>
      </c>
      <c r="I680" t="n">
        <v>0</v>
      </c>
      <c r="J680" t="n">
        <v>0</v>
      </c>
      <c r="K680" t="n">
        <v>0</v>
      </c>
      <c r="L680" t="n">
        <v>0</v>
      </c>
      <c r="M680" t="n">
        <v>0</v>
      </c>
      <c r="N680" t="n">
        <v>0</v>
      </c>
      <c r="O680" t="n">
        <v>0</v>
      </c>
      <c r="P680" t="n">
        <v>0</v>
      </c>
      <c r="Q680" t="n">
        <v>0</v>
      </c>
      <c r="R680" s="2" t="inlineStr"/>
    </row>
    <row r="681" ht="15" customHeight="1">
      <c r="A681" t="inlineStr">
        <is>
          <t>A 46593-2023</t>
        </is>
      </c>
      <c r="B681" s="1" t="n">
        <v>45198</v>
      </c>
      <c r="C681" s="1" t="n">
        <v>45844</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46669-2023</t>
        </is>
      </c>
      <c r="B682" s="1" t="n">
        <v>45198</v>
      </c>
      <c r="C682" s="1" t="n">
        <v>45844</v>
      </c>
      <c r="D682" t="inlineStr">
        <is>
          <t>DALARNAS LÄN</t>
        </is>
      </c>
      <c r="E682" t="inlineStr">
        <is>
          <t>LEKSAND</t>
        </is>
      </c>
      <c r="G682" t="n">
        <v>3.5</v>
      </c>
      <c r="H682" t="n">
        <v>0</v>
      </c>
      <c r="I682" t="n">
        <v>0</v>
      </c>
      <c r="J682" t="n">
        <v>0</v>
      </c>
      <c r="K682" t="n">
        <v>0</v>
      </c>
      <c r="L682" t="n">
        <v>0</v>
      </c>
      <c r="M682" t="n">
        <v>0</v>
      </c>
      <c r="N682" t="n">
        <v>0</v>
      </c>
      <c r="O682" t="n">
        <v>0</v>
      </c>
      <c r="P682" t="n">
        <v>0</v>
      </c>
      <c r="Q682" t="n">
        <v>0</v>
      </c>
      <c r="R682" s="2" t="inlineStr"/>
    </row>
    <row r="683" ht="15" customHeight="1">
      <c r="A683" t="inlineStr">
        <is>
          <t>A 46594-2023</t>
        </is>
      </c>
      <c r="B683" s="1" t="n">
        <v>45198</v>
      </c>
      <c r="C683" s="1" t="n">
        <v>45844</v>
      </c>
      <c r="D683" t="inlineStr">
        <is>
          <t>DALARNAS LÄN</t>
        </is>
      </c>
      <c r="E683" t="inlineStr">
        <is>
          <t>LEKSAND</t>
        </is>
      </c>
      <c r="G683" t="n">
        <v>0.7</v>
      </c>
      <c r="H683" t="n">
        <v>0</v>
      </c>
      <c r="I683" t="n">
        <v>0</v>
      </c>
      <c r="J683" t="n">
        <v>0</v>
      </c>
      <c r="K683" t="n">
        <v>0</v>
      </c>
      <c r="L683" t="n">
        <v>0</v>
      </c>
      <c r="M683" t="n">
        <v>0</v>
      </c>
      <c r="N683" t="n">
        <v>0</v>
      </c>
      <c r="O683" t="n">
        <v>0</v>
      </c>
      <c r="P683" t="n">
        <v>0</v>
      </c>
      <c r="Q683" t="n">
        <v>0</v>
      </c>
      <c r="R683" s="2" t="inlineStr"/>
    </row>
    <row r="684" ht="15" customHeight="1">
      <c r="A684" t="inlineStr">
        <is>
          <t>A 46600-2023</t>
        </is>
      </c>
      <c r="B684" s="1" t="n">
        <v>45198</v>
      </c>
      <c r="C684" s="1" t="n">
        <v>45844</v>
      </c>
      <c r="D684" t="inlineStr">
        <is>
          <t>DALARNAS LÄN</t>
        </is>
      </c>
      <c r="E684" t="inlineStr">
        <is>
          <t>LEKSAND</t>
        </is>
      </c>
      <c r="G684" t="n">
        <v>2.6</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v>
      </c>
      <c r="C685" s="1" t="n">
        <v>45844</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46635-2023</t>
        </is>
      </c>
      <c r="B686" s="1" t="n">
        <v>45198</v>
      </c>
      <c r="C686" s="1" t="n">
        <v>45844</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46834-2023</t>
        </is>
      </c>
      <c r="B687" s="1" t="n">
        <v>45199</v>
      </c>
      <c r="C687" s="1" t="n">
        <v>45844</v>
      </c>
      <c r="D687" t="inlineStr">
        <is>
          <t>DALARNAS LÄN</t>
        </is>
      </c>
      <c r="E687" t="inlineStr">
        <is>
          <t>LEKSAND</t>
        </is>
      </c>
      <c r="G687" t="n">
        <v>16.3</v>
      </c>
      <c r="H687" t="n">
        <v>0</v>
      </c>
      <c r="I687" t="n">
        <v>0</v>
      </c>
      <c r="J687" t="n">
        <v>0</v>
      </c>
      <c r="K687" t="n">
        <v>0</v>
      </c>
      <c r="L687" t="n">
        <v>0</v>
      </c>
      <c r="M687" t="n">
        <v>0</v>
      </c>
      <c r="N687" t="n">
        <v>0</v>
      </c>
      <c r="O687" t="n">
        <v>0</v>
      </c>
      <c r="P687" t="n">
        <v>0</v>
      </c>
      <c r="Q687" t="n">
        <v>0</v>
      </c>
      <c r="R687" s="2" t="inlineStr"/>
    </row>
    <row r="688" ht="15" customHeight="1">
      <c r="A688" t="inlineStr">
        <is>
          <t>A 46876-2023</t>
        </is>
      </c>
      <c r="B688" s="1" t="n">
        <v>45200</v>
      </c>
      <c r="C688" s="1" t="n">
        <v>45844</v>
      </c>
      <c r="D688" t="inlineStr">
        <is>
          <t>DALARNAS LÄN</t>
        </is>
      </c>
      <c r="E688" t="inlineStr">
        <is>
          <t>LEKSAND</t>
        </is>
      </c>
      <c r="G688" t="n">
        <v>2.4</v>
      </c>
      <c r="H688" t="n">
        <v>0</v>
      </c>
      <c r="I688" t="n">
        <v>0</v>
      </c>
      <c r="J688" t="n">
        <v>0</v>
      </c>
      <c r="K688" t="n">
        <v>0</v>
      </c>
      <c r="L688" t="n">
        <v>0</v>
      </c>
      <c r="M688" t="n">
        <v>0</v>
      </c>
      <c r="N688" t="n">
        <v>0</v>
      </c>
      <c r="O688" t="n">
        <v>0</v>
      </c>
      <c r="P688" t="n">
        <v>0</v>
      </c>
      <c r="Q688" t="n">
        <v>0</v>
      </c>
      <c r="R688" s="2" t="inlineStr"/>
    </row>
    <row r="689" ht="15" customHeight="1">
      <c r="A689" t="inlineStr">
        <is>
          <t>A 47039-2023</t>
        </is>
      </c>
      <c r="B689" s="1" t="n">
        <v>45201</v>
      </c>
      <c r="C689" s="1" t="n">
        <v>45844</v>
      </c>
      <c r="D689" t="inlineStr">
        <is>
          <t>DALARNAS LÄN</t>
        </is>
      </c>
      <c r="E689" t="inlineStr">
        <is>
          <t>LEKSAND</t>
        </is>
      </c>
      <c r="G689" t="n">
        <v>3.2</v>
      </c>
      <c r="H689" t="n">
        <v>0</v>
      </c>
      <c r="I689" t="n">
        <v>0</v>
      </c>
      <c r="J689" t="n">
        <v>0</v>
      </c>
      <c r="K689" t="n">
        <v>0</v>
      </c>
      <c r="L689" t="n">
        <v>0</v>
      </c>
      <c r="M689" t="n">
        <v>0</v>
      </c>
      <c r="N689" t="n">
        <v>0</v>
      </c>
      <c r="O689" t="n">
        <v>0</v>
      </c>
      <c r="P689" t="n">
        <v>0</v>
      </c>
      <c r="Q689" t="n">
        <v>0</v>
      </c>
      <c r="R689" s="2" t="inlineStr"/>
    </row>
    <row r="690" ht="15" customHeight="1">
      <c r="A690" t="inlineStr">
        <is>
          <t>A 46931-2023</t>
        </is>
      </c>
      <c r="B690" s="1" t="n">
        <v>45201</v>
      </c>
      <c r="C690" s="1" t="n">
        <v>45844</v>
      </c>
      <c r="D690" t="inlineStr">
        <is>
          <t>DALARNAS LÄN</t>
        </is>
      </c>
      <c r="E690" t="inlineStr">
        <is>
          <t>LEKSAND</t>
        </is>
      </c>
      <c r="G690" t="n">
        <v>1.4</v>
      </c>
      <c r="H690" t="n">
        <v>0</v>
      </c>
      <c r="I690" t="n">
        <v>0</v>
      </c>
      <c r="J690" t="n">
        <v>0</v>
      </c>
      <c r="K690" t="n">
        <v>0</v>
      </c>
      <c r="L690" t="n">
        <v>0</v>
      </c>
      <c r="M690" t="n">
        <v>0</v>
      </c>
      <c r="N690" t="n">
        <v>0</v>
      </c>
      <c r="O690" t="n">
        <v>0</v>
      </c>
      <c r="P690" t="n">
        <v>0</v>
      </c>
      <c r="Q690" t="n">
        <v>0</v>
      </c>
      <c r="R690" s="2" t="inlineStr"/>
    </row>
    <row r="691" ht="15" customHeight="1">
      <c r="A691" t="inlineStr">
        <is>
          <t>A 47011-2023</t>
        </is>
      </c>
      <c r="B691" s="1" t="n">
        <v>45201</v>
      </c>
      <c r="C691" s="1" t="n">
        <v>45844</v>
      </c>
      <c r="D691" t="inlineStr">
        <is>
          <t>DALARNAS LÄN</t>
        </is>
      </c>
      <c r="E691" t="inlineStr">
        <is>
          <t>LEKSAND</t>
        </is>
      </c>
      <c r="G691" t="n">
        <v>4</v>
      </c>
      <c r="H691" t="n">
        <v>0</v>
      </c>
      <c r="I691" t="n">
        <v>0</v>
      </c>
      <c r="J691" t="n">
        <v>0</v>
      </c>
      <c r="K691" t="n">
        <v>0</v>
      </c>
      <c r="L691" t="n">
        <v>0</v>
      </c>
      <c r="M691" t="n">
        <v>0</v>
      </c>
      <c r="N691" t="n">
        <v>0</v>
      </c>
      <c r="O691" t="n">
        <v>0</v>
      </c>
      <c r="P691" t="n">
        <v>0</v>
      </c>
      <c r="Q691" t="n">
        <v>0</v>
      </c>
      <c r="R691" s="2" t="inlineStr"/>
    </row>
    <row r="692" ht="15" customHeight="1">
      <c r="A692" t="inlineStr">
        <is>
          <t>A 47203-2023</t>
        </is>
      </c>
      <c r="B692" s="1" t="n">
        <v>45202</v>
      </c>
      <c r="C692" s="1" t="n">
        <v>45844</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47673-2023</t>
        </is>
      </c>
      <c r="B693" s="1" t="n">
        <v>45203</v>
      </c>
      <c r="C693" s="1" t="n">
        <v>45844</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47655-2023</t>
        </is>
      </c>
      <c r="B694" s="1" t="n">
        <v>45203</v>
      </c>
      <c r="C694" s="1" t="n">
        <v>45844</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48714-2023</t>
        </is>
      </c>
      <c r="B695" s="1" t="n">
        <v>45203</v>
      </c>
      <c r="C695" s="1" t="n">
        <v>45844</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48721-2023</t>
        </is>
      </c>
      <c r="B696" s="1" t="n">
        <v>45203</v>
      </c>
      <c r="C696" s="1" t="n">
        <v>45844</v>
      </c>
      <c r="D696" t="inlineStr">
        <is>
          <t>DALARNAS LÄN</t>
        </is>
      </c>
      <c r="E696" t="inlineStr">
        <is>
          <t>LEKSAND</t>
        </is>
      </c>
      <c r="G696" t="n">
        <v>2.9</v>
      </c>
      <c r="H696" t="n">
        <v>0</v>
      </c>
      <c r="I696" t="n">
        <v>0</v>
      </c>
      <c r="J696" t="n">
        <v>0</v>
      </c>
      <c r="K696" t="n">
        <v>0</v>
      </c>
      <c r="L696" t="n">
        <v>0</v>
      </c>
      <c r="M696" t="n">
        <v>0</v>
      </c>
      <c r="N696" t="n">
        <v>0</v>
      </c>
      <c r="O696" t="n">
        <v>0</v>
      </c>
      <c r="P696" t="n">
        <v>0</v>
      </c>
      <c r="Q696" t="n">
        <v>0</v>
      </c>
      <c r="R696" s="2" t="inlineStr"/>
    </row>
    <row r="697" ht="15" customHeight="1">
      <c r="A697" t="inlineStr">
        <is>
          <t>A 48029-2023</t>
        </is>
      </c>
      <c r="B697" s="1" t="n">
        <v>45204</v>
      </c>
      <c r="C697" s="1" t="n">
        <v>45844</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48644-2023</t>
        </is>
      </c>
      <c r="B698" s="1" t="n">
        <v>45208</v>
      </c>
      <c r="C698" s="1" t="n">
        <v>45844</v>
      </c>
      <c r="D698" t="inlineStr">
        <is>
          <t>DALARNAS LÄN</t>
        </is>
      </c>
      <c r="E698" t="inlineStr">
        <is>
          <t>LEKSAND</t>
        </is>
      </c>
      <c r="F698" t="inlineStr">
        <is>
          <t>Bergvik skog väst AB</t>
        </is>
      </c>
      <c r="G698" t="n">
        <v>1.3</v>
      </c>
      <c r="H698" t="n">
        <v>0</v>
      </c>
      <c r="I698" t="n">
        <v>0</v>
      </c>
      <c r="J698" t="n">
        <v>0</v>
      </c>
      <c r="K698" t="n">
        <v>0</v>
      </c>
      <c r="L698" t="n">
        <v>0</v>
      </c>
      <c r="M698" t="n">
        <v>0</v>
      </c>
      <c r="N698" t="n">
        <v>0</v>
      </c>
      <c r="O698" t="n">
        <v>0</v>
      </c>
      <c r="P698" t="n">
        <v>0</v>
      </c>
      <c r="Q698" t="n">
        <v>0</v>
      </c>
      <c r="R698" s="2" t="inlineStr"/>
    </row>
    <row r="699" ht="15" customHeight="1">
      <c r="A699" t="inlineStr">
        <is>
          <t>A 50374-2023</t>
        </is>
      </c>
      <c r="B699" s="1" t="n">
        <v>45209</v>
      </c>
      <c r="C699" s="1" t="n">
        <v>45844</v>
      </c>
      <c r="D699" t="inlineStr">
        <is>
          <t>DALARNAS LÄN</t>
        </is>
      </c>
      <c r="E699" t="inlineStr">
        <is>
          <t>LEKSAND</t>
        </is>
      </c>
      <c r="F699" t="inlineStr">
        <is>
          <t>Kommuner</t>
        </is>
      </c>
      <c r="G699" t="n">
        <v>0.8</v>
      </c>
      <c r="H699" t="n">
        <v>0</v>
      </c>
      <c r="I699" t="n">
        <v>0</v>
      </c>
      <c r="J699" t="n">
        <v>0</v>
      </c>
      <c r="K699" t="n">
        <v>0</v>
      </c>
      <c r="L699" t="n">
        <v>0</v>
      </c>
      <c r="M699" t="n">
        <v>0</v>
      </c>
      <c r="N699" t="n">
        <v>0</v>
      </c>
      <c r="O699" t="n">
        <v>0</v>
      </c>
      <c r="P699" t="n">
        <v>0</v>
      </c>
      <c r="Q699" t="n">
        <v>0</v>
      </c>
      <c r="R699" s="2" t="inlineStr"/>
    </row>
    <row r="700" ht="15" customHeight="1">
      <c r="A700" t="inlineStr">
        <is>
          <t>A 50082-2023</t>
        </is>
      </c>
      <c r="B700" s="1" t="n">
        <v>45215</v>
      </c>
      <c r="C700" s="1" t="n">
        <v>45844</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50447-2023</t>
        </is>
      </c>
      <c r="B701" s="1" t="n">
        <v>45216</v>
      </c>
      <c r="C701" s="1" t="n">
        <v>45844</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50278-2023</t>
        </is>
      </c>
      <c r="B702" s="1" t="n">
        <v>45216</v>
      </c>
      <c r="C702" s="1" t="n">
        <v>45844</v>
      </c>
      <c r="D702" t="inlineStr">
        <is>
          <t>DALARNAS LÄN</t>
        </is>
      </c>
      <c r="E702" t="inlineStr">
        <is>
          <t>LEKSAND</t>
        </is>
      </c>
      <c r="G702" t="n">
        <v>0.4</v>
      </c>
      <c r="H702" t="n">
        <v>0</v>
      </c>
      <c r="I702" t="n">
        <v>0</v>
      </c>
      <c r="J702" t="n">
        <v>0</v>
      </c>
      <c r="K702" t="n">
        <v>0</v>
      </c>
      <c r="L702" t="n">
        <v>0</v>
      </c>
      <c r="M702" t="n">
        <v>0</v>
      </c>
      <c r="N702" t="n">
        <v>0</v>
      </c>
      <c r="O702" t="n">
        <v>0</v>
      </c>
      <c r="P702" t="n">
        <v>0</v>
      </c>
      <c r="Q702" t="n">
        <v>0</v>
      </c>
      <c r="R702" s="2" t="inlineStr"/>
    </row>
    <row r="703" ht="15" customHeight="1">
      <c r="A703" t="inlineStr">
        <is>
          <t>A 50553-2023</t>
        </is>
      </c>
      <c r="B703" s="1" t="n">
        <v>45217</v>
      </c>
      <c r="C703" s="1" t="n">
        <v>45844</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51090-2023</t>
        </is>
      </c>
      <c r="B704" s="1" t="n">
        <v>45218</v>
      </c>
      <c r="C704" s="1" t="n">
        <v>45844</v>
      </c>
      <c r="D704" t="inlineStr">
        <is>
          <t>DALARNAS LÄN</t>
        </is>
      </c>
      <c r="E704" t="inlineStr">
        <is>
          <t>LEKSAND</t>
        </is>
      </c>
      <c r="G704" t="n">
        <v>1.4</v>
      </c>
      <c r="H704" t="n">
        <v>0</v>
      </c>
      <c r="I704" t="n">
        <v>0</v>
      </c>
      <c r="J704" t="n">
        <v>0</v>
      </c>
      <c r="K704" t="n">
        <v>0</v>
      </c>
      <c r="L704" t="n">
        <v>0</v>
      </c>
      <c r="M704" t="n">
        <v>0</v>
      </c>
      <c r="N704" t="n">
        <v>0</v>
      </c>
      <c r="O704" t="n">
        <v>0</v>
      </c>
      <c r="P704" t="n">
        <v>0</v>
      </c>
      <c r="Q704" t="n">
        <v>0</v>
      </c>
      <c r="R704" s="2" t="inlineStr"/>
    </row>
    <row r="705" ht="15" customHeight="1">
      <c r="A705" t="inlineStr">
        <is>
          <t>A 51377-2023</t>
        </is>
      </c>
      <c r="B705" s="1" t="n">
        <v>45219</v>
      </c>
      <c r="C705" s="1" t="n">
        <v>45844</v>
      </c>
      <c r="D705" t="inlineStr">
        <is>
          <t>DALARNAS LÄN</t>
        </is>
      </c>
      <c r="E705" t="inlineStr">
        <is>
          <t>LEKSAND</t>
        </is>
      </c>
      <c r="G705" t="n">
        <v>0.9</v>
      </c>
      <c r="H705" t="n">
        <v>0</v>
      </c>
      <c r="I705" t="n">
        <v>0</v>
      </c>
      <c r="J705" t="n">
        <v>0</v>
      </c>
      <c r="K705" t="n">
        <v>0</v>
      </c>
      <c r="L705" t="n">
        <v>0</v>
      </c>
      <c r="M705" t="n">
        <v>0</v>
      </c>
      <c r="N705" t="n">
        <v>0</v>
      </c>
      <c r="O705" t="n">
        <v>0</v>
      </c>
      <c r="P705" t="n">
        <v>0</v>
      </c>
      <c r="Q705" t="n">
        <v>0</v>
      </c>
      <c r="R705" s="2" t="inlineStr"/>
    </row>
    <row r="706" ht="15" customHeight="1">
      <c r="A706" t="inlineStr">
        <is>
          <t>A 52801-2023</t>
        </is>
      </c>
      <c r="B706" s="1" t="n">
        <v>45219</v>
      </c>
      <c r="C706" s="1" t="n">
        <v>45844</v>
      </c>
      <c r="D706" t="inlineStr">
        <is>
          <t>DALARNAS LÄN</t>
        </is>
      </c>
      <c r="E706" t="inlineStr">
        <is>
          <t>LEKSAND</t>
        </is>
      </c>
      <c r="G706" t="n">
        <v>4.9</v>
      </c>
      <c r="H706" t="n">
        <v>0</v>
      </c>
      <c r="I706" t="n">
        <v>0</v>
      </c>
      <c r="J706" t="n">
        <v>0</v>
      </c>
      <c r="K706" t="n">
        <v>0</v>
      </c>
      <c r="L706" t="n">
        <v>0</v>
      </c>
      <c r="M706" t="n">
        <v>0</v>
      </c>
      <c r="N706" t="n">
        <v>0</v>
      </c>
      <c r="O706" t="n">
        <v>0</v>
      </c>
      <c r="P706" t="n">
        <v>0</v>
      </c>
      <c r="Q706" t="n">
        <v>0</v>
      </c>
      <c r="R706" s="2" t="inlineStr"/>
    </row>
    <row r="707" ht="15" customHeight="1">
      <c r="A707" t="inlineStr">
        <is>
          <t>A 52216-2023</t>
        </is>
      </c>
      <c r="B707" s="1" t="n">
        <v>45219</v>
      </c>
      <c r="C707" s="1" t="n">
        <v>45844</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51320-2023</t>
        </is>
      </c>
      <c r="B708" s="1" t="n">
        <v>45219</v>
      </c>
      <c r="C708" s="1" t="n">
        <v>45844</v>
      </c>
      <c r="D708" t="inlineStr">
        <is>
          <t>DALARNAS LÄN</t>
        </is>
      </c>
      <c r="E708" t="inlineStr">
        <is>
          <t>LEKSAND</t>
        </is>
      </c>
      <c r="G708" t="n">
        <v>2.1</v>
      </c>
      <c r="H708" t="n">
        <v>0</v>
      </c>
      <c r="I708" t="n">
        <v>0</v>
      </c>
      <c r="J708" t="n">
        <v>0</v>
      </c>
      <c r="K708" t="n">
        <v>0</v>
      </c>
      <c r="L708" t="n">
        <v>0</v>
      </c>
      <c r="M708" t="n">
        <v>0</v>
      </c>
      <c r="N708" t="n">
        <v>0</v>
      </c>
      <c r="O708" t="n">
        <v>0</v>
      </c>
      <c r="P708" t="n">
        <v>0</v>
      </c>
      <c r="Q708" t="n">
        <v>0</v>
      </c>
      <c r="R708" s="2" t="inlineStr"/>
    </row>
    <row r="709" ht="15" customHeight="1">
      <c r="A709" t="inlineStr">
        <is>
          <t>A 51736-2023</t>
        </is>
      </c>
      <c r="B709" s="1" t="n">
        <v>45222</v>
      </c>
      <c r="C709" s="1" t="n">
        <v>45844</v>
      </c>
      <c r="D709" t="inlineStr">
        <is>
          <t>DALARNAS LÄN</t>
        </is>
      </c>
      <c r="E709" t="inlineStr">
        <is>
          <t>LEKSAND</t>
        </is>
      </c>
      <c r="G709" t="n">
        <v>2.8</v>
      </c>
      <c r="H709" t="n">
        <v>0</v>
      </c>
      <c r="I709" t="n">
        <v>0</v>
      </c>
      <c r="J709" t="n">
        <v>0</v>
      </c>
      <c r="K709" t="n">
        <v>0</v>
      </c>
      <c r="L709" t="n">
        <v>0</v>
      </c>
      <c r="M709" t="n">
        <v>0</v>
      </c>
      <c r="N709" t="n">
        <v>0</v>
      </c>
      <c r="O709" t="n">
        <v>0</v>
      </c>
      <c r="P709" t="n">
        <v>0</v>
      </c>
      <c r="Q709" t="n">
        <v>0</v>
      </c>
      <c r="R709" s="2" t="inlineStr"/>
    </row>
    <row r="710" ht="15" customHeight="1">
      <c r="A710" t="inlineStr">
        <is>
          <t>A 52959-2023</t>
        </is>
      </c>
      <c r="B710" s="1" t="n">
        <v>45222</v>
      </c>
      <c r="C710" s="1" t="n">
        <v>45844</v>
      </c>
      <c r="D710" t="inlineStr">
        <is>
          <t>DALARNAS LÄN</t>
        </is>
      </c>
      <c r="E710" t="inlineStr">
        <is>
          <t>LEKSAND</t>
        </is>
      </c>
      <c r="G710" t="n">
        <v>6.5</v>
      </c>
      <c r="H710" t="n">
        <v>0</v>
      </c>
      <c r="I710" t="n">
        <v>0</v>
      </c>
      <c r="J710" t="n">
        <v>0</v>
      </c>
      <c r="K710" t="n">
        <v>0</v>
      </c>
      <c r="L710" t="n">
        <v>0</v>
      </c>
      <c r="M710" t="n">
        <v>0</v>
      </c>
      <c r="N710" t="n">
        <v>0</v>
      </c>
      <c r="O710" t="n">
        <v>0</v>
      </c>
      <c r="P710" t="n">
        <v>0</v>
      </c>
      <c r="Q710" t="n">
        <v>0</v>
      </c>
      <c r="R710" s="2" t="inlineStr"/>
    </row>
    <row r="711" ht="15" customHeight="1">
      <c r="A711" t="inlineStr">
        <is>
          <t>A 52016-2023</t>
        </is>
      </c>
      <c r="B711" s="1" t="n">
        <v>45223</v>
      </c>
      <c r="C711" s="1" t="n">
        <v>45844</v>
      </c>
      <c r="D711" t="inlineStr">
        <is>
          <t>DALARNAS LÄN</t>
        </is>
      </c>
      <c r="E711" t="inlineStr">
        <is>
          <t>LEKSAND</t>
        </is>
      </c>
      <c r="F711" t="inlineStr">
        <is>
          <t>Bergvik skog väst AB</t>
        </is>
      </c>
      <c r="G711" t="n">
        <v>3.2</v>
      </c>
      <c r="H711" t="n">
        <v>0</v>
      </c>
      <c r="I711" t="n">
        <v>0</v>
      </c>
      <c r="J711" t="n">
        <v>0</v>
      </c>
      <c r="K711" t="n">
        <v>0</v>
      </c>
      <c r="L711" t="n">
        <v>0</v>
      </c>
      <c r="M711" t="n">
        <v>0</v>
      </c>
      <c r="N711" t="n">
        <v>0</v>
      </c>
      <c r="O711" t="n">
        <v>0</v>
      </c>
      <c r="P711" t="n">
        <v>0</v>
      </c>
      <c r="Q711" t="n">
        <v>0</v>
      </c>
      <c r="R711" s="2" t="inlineStr"/>
    </row>
    <row r="712" ht="15" customHeight="1">
      <c r="A712" t="inlineStr">
        <is>
          <t>A 52732-2023</t>
        </is>
      </c>
      <c r="B712" s="1" t="n">
        <v>45226</v>
      </c>
      <c r="C712" s="1" t="n">
        <v>45844</v>
      </c>
      <c r="D712" t="inlineStr">
        <is>
          <t>DALARNAS LÄN</t>
        </is>
      </c>
      <c r="E712" t="inlineStr">
        <is>
          <t>LEKSAND</t>
        </is>
      </c>
      <c r="G712" t="n">
        <v>1.1</v>
      </c>
      <c r="H712" t="n">
        <v>0</v>
      </c>
      <c r="I712" t="n">
        <v>0</v>
      </c>
      <c r="J712" t="n">
        <v>0</v>
      </c>
      <c r="K712" t="n">
        <v>0</v>
      </c>
      <c r="L712" t="n">
        <v>0</v>
      </c>
      <c r="M712" t="n">
        <v>0</v>
      </c>
      <c r="N712" t="n">
        <v>0</v>
      </c>
      <c r="O712" t="n">
        <v>0</v>
      </c>
      <c r="P712" t="n">
        <v>0</v>
      </c>
      <c r="Q712" t="n">
        <v>0</v>
      </c>
      <c r="R712" s="2" t="inlineStr"/>
    </row>
    <row r="713" ht="15" customHeight="1">
      <c r="A713" t="inlineStr">
        <is>
          <t>A 53120-2023</t>
        </is>
      </c>
      <c r="B713" s="1" t="n">
        <v>45228</v>
      </c>
      <c r="C713" s="1" t="n">
        <v>45844</v>
      </c>
      <c r="D713" t="inlineStr">
        <is>
          <t>DALARNAS LÄN</t>
        </is>
      </c>
      <c r="E713" t="inlineStr">
        <is>
          <t>LEKSAND</t>
        </is>
      </c>
      <c r="G713" t="n">
        <v>18</v>
      </c>
      <c r="H713" t="n">
        <v>0</v>
      </c>
      <c r="I713" t="n">
        <v>0</v>
      </c>
      <c r="J713" t="n">
        <v>0</v>
      </c>
      <c r="K713" t="n">
        <v>0</v>
      </c>
      <c r="L713" t="n">
        <v>0</v>
      </c>
      <c r="M713" t="n">
        <v>0</v>
      </c>
      <c r="N713" t="n">
        <v>0</v>
      </c>
      <c r="O713" t="n">
        <v>0</v>
      </c>
      <c r="P713" t="n">
        <v>0</v>
      </c>
      <c r="Q713" t="n">
        <v>0</v>
      </c>
      <c r="R713" s="2" t="inlineStr"/>
    </row>
    <row r="714" ht="15" customHeight="1">
      <c r="A714" t="inlineStr">
        <is>
          <t>A 53122-2023</t>
        </is>
      </c>
      <c r="B714" s="1" t="n">
        <v>45228</v>
      </c>
      <c r="C714" s="1" t="n">
        <v>45844</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53248-2023</t>
        </is>
      </c>
      <c r="B715" s="1" t="n">
        <v>45229</v>
      </c>
      <c r="C715" s="1" t="n">
        <v>45844</v>
      </c>
      <c r="D715" t="inlineStr">
        <is>
          <t>DALARNAS LÄN</t>
        </is>
      </c>
      <c r="E715" t="inlineStr">
        <is>
          <t>LEKSAND</t>
        </is>
      </c>
      <c r="G715" t="n">
        <v>2.2</v>
      </c>
      <c r="H715" t="n">
        <v>0</v>
      </c>
      <c r="I715" t="n">
        <v>0</v>
      </c>
      <c r="J715" t="n">
        <v>0</v>
      </c>
      <c r="K715" t="n">
        <v>0</v>
      </c>
      <c r="L715" t="n">
        <v>0</v>
      </c>
      <c r="M715" t="n">
        <v>0</v>
      </c>
      <c r="N715" t="n">
        <v>0</v>
      </c>
      <c r="O715" t="n">
        <v>0</v>
      </c>
      <c r="P715" t="n">
        <v>0</v>
      </c>
      <c r="Q715" t="n">
        <v>0</v>
      </c>
      <c r="R715" s="2" t="inlineStr"/>
    </row>
    <row r="716" ht="15" customHeight="1">
      <c r="A716" t="inlineStr">
        <is>
          <t>A 53128-2023</t>
        </is>
      </c>
      <c r="B716" s="1" t="n">
        <v>45229</v>
      </c>
      <c r="C716" s="1" t="n">
        <v>45844</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53291-2023</t>
        </is>
      </c>
      <c r="B717" s="1" t="n">
        <v>45229</v>
      </c>
      <c r="C717" s="1" t="n">
        <v>45844</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53621-2023</t>
        </is>
      </c>
      <c r="B718" s="1" t="n">
        <v>45230</v>
      </c>
      <c r="C718" s="1" t="n">
        <v>45844</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53636-2023</t>
        </is>
      </c>
      <c r="B719" s="1" t="n">
        <v>45230</v>
      </c>
      <c r="C719" s="1" t="n">
        <v>45844</v>
      </c>
      <c r="D719" t="inlineStr">
        <is>
          <t>DALARNAS LÄN</t>
        </is>
      </c>
      <c r="E719" t="inlineStr">
        <is>
          <t>LEKSAND</t>
        </is>
      </c>
      <c r="G719" t="n">
        <v>3.6</v>
      </c>
      <c r="H719" t="n">
        <v>0</v>
      </c>
      <c r="I719" t="n">
        <v>0</v>
      </c>
      <c r="J719" t="n">
        <v>0</v>
      </c>
      <c r="K719" t="n">
        <v>0</v>
      </c>
      <c r="L719" t="n">
        <v>0</v>
      </c>
      <c r="M719" t="n">
        <v>0</v>
      </c>
      <c r="N719" t="n">
        <v>0</v>
      </c>
      <c r="O719" t="n">
        <v>0</v>
      </c>
      <c r="P719" t="n">
        <v>0</v>
      </c>
      <c r="Q719" t="n">
        <v>0</v>
      </c>
      <c r="R719" s="2" t="inlineStr"/>
    </row>
    <row r="720" ht="15" customHeight="1">
      <c r="A720" t="inlineStr">
        <is>
          <t>A 53717-2023</t>
        </is>
      </c>
      <c r="B720" s="1" t="n">
        <v>45230</v>
      </c>
      <c r="C720" s="1" t="n">
        <v>45844</v>
      </c>
      <c r="D720" t="inlineStr">
        <is>
          <t>DALARNAS LÄN</t>
        </is>
      </c>
      <c r="E720" t="inlineStr">
        <is>
          <t>LEKSAND</t>
        </is>
      </c>
      <c r="G720" t="n">
        <v>2.4</v>
      </c>
      <c r="H720" t="n">
        <v>0</v>
      </c>
      <c r="I720" t="n">
        <v>0</v>
      </c>
      <c r="J720" t="n">
        <v>0</v>
      </c>
      <c r="K720" t="n">
        <v>0</v>
      </c>
      <c r="L720" t="n">
        <v>0</v>
      </c>
      <c r="M720" t="n">
        <v>0</v>
      </c>
      <c r="N720" t="n">
        <v>0</v>
      </c>
      <c r="O720" t="n">
        <v>0</v>
      </c>
      <c r="P720" t="n">
        <v>0</v>
      </c>
      <c r="Q720" t="n">
        <v>0</v>
      </c>
      <c r="R720" s="2" t="inlineStr"/>
    </row>
    <row r="721" ht="15" customHeight="1">
      <c r="A721" t="inlineStr">
        <is>
          <t>A 55196-2023</t>
        </is>
      </c>
      <c r="B721" s="1" t="n">
        <v>45230</v>
      </c>
      <c r="C721" s="1" t="n">
        <v>45844</v>
      </c>
      <c r="D721" t="inlineStr">
        <is>
          <t>DALARNAS LÄN</t>
        </is>
      </c>
      <c r="E721" t="inlineStr">
        <is>
          <t>LEKSAND</t>
        </is>
      </c>
      <c r="G721" t="n">
        <v>5.7</v>
      </c>
      <c r="H721" t="n">
        <v>0</v>
      </c>
      <c r="I721" t="n">
        <v>0</v>
      </c>
      <c r="J721" t="n">
        <v>0</v>
      </c>
      <c r="K721" t="n">
        <v>0</v>
      </c>
      <c r="L721" t="n">
        <v>0</v>
      </c>
      <c r="M721" t="n">
        <v>0</v>
      </c>
      <c r="N721" t="n">
        <v>0</v>
      </c>
      <c r="O721" t="n">
        <v>0</v>
      </c>
      <c r="P721" t="n">
        <v>0</v>
      </c>
      <c r="Q721" t="n">
        <v>0</v>
      </c>
      <c r="R721" s="2" t="inlineStr"/>
    </row>
    <row r="722" ht="15" customHeight="1">
      <c r="A722" t="inlineStr">
        <is>
          <t>A 53799-2023</t>
        </is>
      </c>
      <c r="B722" s="1" t="n">
        <v>45231</v>
      </c>
      <c r="C722" s="1" t="n">
        <v>45844</v>
      </c>
      <c r="D722" t="inlineStr">
        <is>
          <t>DALARNAS LÄN</t>
        </is>
      </c>
      <c r="E722" t="inlineStr">
        <is>
          <t>LEKSAND</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53823-2023</t>
        </is>
      </c>
      <c r="B723" s="1" t="n">
        <v>45231</v>
      </c>
      <c r="C723" s="1" t="n">
        <v>45844</v>
      </c>
      <c r="D723" t="inlineStr">
        <is>
          <t>DALARNAS LÄN</t>
        </is>
      </c>
      <c r="E723" t="inlineStr">
        <is>
          <t>LEKSAND</t>
        </is>
      </c>
      <c r="G723" t="n">
        <v>1</v>
      </c>
      <c r="H723" t="n">
        <v>0</v>
      </c>
      <c r="I723" t="n">
        <v>0</v>
      </c>
      <c r="J723" t="n">
        <v>0</v>
      </c>
      <c r="K723" t="n">
        <v>0</v>
      </c>
      <c r="L723" t="n">
        <v>0</v>
      </c>
      <c r="M723" t="n">
        <v>0</v>
      </c>
      <c r="N723" t="n">
        <v>0</v>
      </c>
      <c r="O723" t="n">
        <v>0</v>
      </c>
      <c r="P723" t="n">
        <v>0</v>
      </c>
      <c r="Q723" t="n">
        <v>0</v>
      </c>
      <c r="R723" s="2" t="inlineStr"/>
    </row>
    <row r="724" ht="15" customHeight="1">
      <c r="A724" t="inlineStr">
        <is>
          <t>A 53817-2023</t>
        </is>
      </c>
      <c r="B724" s="1" t="n">
        <v>45231</v>
      </c>
      <c r="C724" s="1" t="n">
        <v>45844</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54251-2023</t>
        </is>
      </c>
      <c r="B725" s="1" t="n">
        <v>45232</v>
      </c>
      <c r="C725" s="1" t="n">
        <v>45844</v>
      </c>
      <c r="D725" t="inlineStr">
        <is>
          <t>DALARNAS LÄN</t>
        </is>
      </c>
      <c r="E725" t="inlineStr">
        <is>
          <t>LEKSAND</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54289-2023</t>
        </is>
      </c>
      <c r="B726" s="1" t="n">
        <v>45232</v>
      </c>
      <c r="C726" s="1" t="n">
        <v>45844</v>
      </c>
      <c r="D726" t="inlineStr">
        <is>
          <t>DALARNAS LÄN</t>
        </is>
      </c>
      <c r="E726" t="inlineStr">
        <is>
          <t>LEKSAND</t>
        </is>
      </c>
      <c r="G726" t="n">
        <v>2</v>
      </c>
      <c r="H726" t="n">
        <v>0</v>
      </c>
      <c r="I726" t="n">
        <v>0</v>
      </c>
      <c r="J726" t="n">
        <v>0</v>
      </c>
      <c r="K726" t="n">
        <v>0</v>
      </c>
      <c r="L726" t="n">
        <v>0</v>
      </c>
      <c r="M726" t="n">
        <v>0</v>
      </c>
      <c r="N726" t="n">
        <v>0</v>
      </c>
      <c r="O726" t="n">
        <v>0</v>
      </c>
      <c r="P726" t="n">
        <v>0</v>
      </c>
      <c r="Q726" t="n">
        <v>0</v>
      </c>
      <c r="R726" s="2" t="inlineStr"/>
    </row>
    <row r="727" ht="15" customHeight="1">
      <c r="A727" t="inlineStr">
        <is>
          <t>A 54682-2023</t>
        </is>
      </c>
      <c r="B727" s="1" t="n">
        <v>45235</v>
      </c>
      <c r="C727" s="1" t="n">
        <v>45844</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54690-2023</t>
        </is>
      </c>
      <c r="B728" s="1" t="n">
        <v>45236</v>
      </c>
      <c r="C728" s="1" t="n">
        <v>45844</v>
      </c>
      <c r="D728" t="inlineStr">
        <is>
          <t>DALARNAS LÄN</t>
        </is>
      </c>
      <c r="E728" t="inlineStr">
        <is>
          <t>LEKSAND</t>
        </is>
      </c>
      <c r="G728" t="n">
        <v>2.5</v>
      </c>
      <c r="H728" t="n">
        <v>0</v>
      </c>
      <c r="I728" t="n">
        <v>0</v>
      </c>
      <c r="J728" t="n">
        <v>0</v>
      </c>
      <c r="K728" t="n">
        <v>0</v>
      </c>
      <c r="L728" t="n">
        <v>0</v>
      </c>
      <c r="M728" t="n">
        <v>0</v>
      </c>
      <c r="N728" t="n">
        <v>0</v>
      </c>
      <c r="O728" t="n">
        <v>0</v>
      </c>
      <c r="P728" t="n">
        <v>0</v>
      </c>
      <c r="Q728" t="n">
        <v>0</v>
      </c>
      <c r="R728" s="2" t="inlineStr"/>
    </row>
    <row r="729" ht="15" customHeight="1">
      <c r="A729" t="inlineStr">
        <is>
          <t>A 55418-2023</t>
        </is>
      </c>
      <c r="B729" s="1" t="n">
        <v>45238</v>
      </c>
      <c r="C729" s="1" t="n">
        <v>45844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55438-2023</t>
        </is>
      </c>
      <c r="B730" s="1" t="n">
        <v>45238</v>
      </c>
      <c r="C730" s="1" t="n">
        <v>45844</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55464-2023</t>
        </is>
      </c>
      <c r="B731" s="1" t="n">
        <v>45238</v>
      </c>
      <c r="C731" s="1" t="n">
        <v>45844</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55430-2023</t>
        </is>
      </c>
      <c r="B732" s="1" t="n">
        <v>45238</v>
      </c>
      <c r="C732" s="1" t="n">
        <v>45844</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56221-2023</t>
        </is>
      </c>
      <c r="B733" s="1" t="n">
        <v>45240</v>
      </c>
      <c r="C733" s="1" t="n">
        <v>45844</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56211-2023</t>
        </is>
      </c>
      <c r="B734" s="1" t="n">
        <v>45240</v>
      </c>
      <c r="C734" s="1" t="n">
        <v>45844</v>
      </c>
      <c r="D734" t="inlineStr">
        <is>
          <t>DALARNAS LÄN</t>
        </is>
      </c>
      <c r="E734" t="inlineStr">
        <is>
          <t>LEKSAND</t>
        </is>
      </c>
      <c r="G734" t="n">
        <v>1.5</v>
      </c>
      <c r="H734" t="n">
        <v>0</v>
      </c>
      <c r="I734" t="n">
        <v>0</v>
      </c>
      <c r="J734" t="n">
        <v>0</v>
      </c>
      <c r="K734" t="n">
        <v>0</v>
      </c>
      <c r="L734" t="n">
        <v>0</v>
      </c>
      <c r="M734" t="n">
        <v>0</v>
      </c>
      <c r="N734" t="n">
        <v>0</v>
      </c>
      <c r="O734" t="n">
        <v>0</v>
      </c>
      <c r="P734" t="n">
        <v>0</v>
      </c>
      <c r="Q734" t="n">
        <v>0</v>
      </c>
      <c r="R734" s="2" t="inlineStr"/>
    </row>
    <row r="735" ht="15" customHeight="1">
      <c r="A735" t="inlineStr">
        <is>
          <t>A 56099-2023</t>
        </is>
      </c>
      <c r="B735" s="1" t="n">
        <v>45240</v>
      </c>
      <c r="C735" s="1" t="n">
        <v>45844</v>
      </c>
      <c r="D735" t="inlineStr">
        <is>
          <t>DALARNAS LÄN</t>
        </is>
      </c>
      <c r="E735" t="inlineStr">
        <is>
          <t>LEKSAND</t>
        </is>
      </c>
      <c r="G735" t="n">
        <v>0.8</v>
      </c>
      <c r="H735" t="n">
        <v>0</v>
      </c>
      <c r="I735" t="n">
        <v>0</v>
      </c>
      <c r="J735" t="n">
        <v>0</v>
      </c>
      <c r="K735" t="n">
        <v>0</v>
      </c>
      <c r="L735" t="n">
        <v>0</v>
      </c>
      <c r="M735" t="n">
        <v>0</v>
      </c>
      <c r="N735" t="n">
        <v>0</v>
      </c>
      <c r="O735" t="n">
        <v>0</v>
      </c>
      <c r="P735" t="n">
        <v>0</v>
      </c>
      <c r="Q735" t="n">
        <v>0</v>
      </c>
      <c r="R735" s="2" t="inlineStr"/>
    </row>
    <row r="736" ht="15" customHeight="1">
      <c r="A736" t="inlineStr">
        <is>
          <t>A 56067-2023</t>
        </is>
      </c>
      <c r="B736" s="1" t="n">
        <v>45240</v>
      </c>
      <c r="C736" s="1" t="n">
        <v>45844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56065-2023</t>
        </is>
      </c>
      <c r="B737" s="1" t="n">
        <v>45240</v>
      </c>
      <c r="C737" s="1" t="n">
        <v>45844</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56350-2023</t>
        </is>
      </c>
      <c r="B738" s="1" t="n">
        <v>45243</v>
      </c>
      <c r="C738" s="1" t="n">
        <v>45844</v>
      </c>
      <c r="D738" t="inlineStr">
        <is>
          <t>DALARNAS LÄN</t>
        </is>
      </c>
      <c r="E738" t="inlineStr">
        <is>
          <t>LEKSAND</t>
        </is>
      </c>
      <c r="G738" t="n">
        <v>4</v>
      </c>
      <c r="H738" t="n">
        <v>0</v>
      </c>
      <c r="I738" t="n">
        <v>0</v>
      </c>
      <c r="J738" t="n">
        <v>0</v>
      </c>
      <c r="K738" t="n">
        <v>0</v>
      </c>
      <c r="L738" t="n">
        <v>0</v>
      </c>
      <c r="M738" t="n">
        <v>0</v>
      </c>
      <c r="N738" t="n">
        <v>0</v>
      </c>
      <c r="O738" t="n">
        <v>0</v>
      </c>
      <c r="P738" t="n">
        <v>0</v>
      </c>
      <c r="Q738" t="n">
        <v>0</v>
      </c>
      <c r="R738" s="2" t="inlineStr"/>
    </row>
    <row r="739" ht="15" customHeight="1">
      <c r="A739" t="inlineStr">
        <is>
          <t>A 56632-2023</t>
        </is>
      </c>
      <c r="B739" s="1" t="n">
        <v>45243</v>
      </c>
      <c r="C739" s="1" t="n">
        <v>45844</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56753-2023</t>
        </is>
      </c>
      <c r="B740" s="1" t="n">
        <v>45244</v>
      </c>
      <c r="C740" s="1" t="n">
        <v>45844</v>
      </c>
      <c r="D740" t="inlineStr">
        <is>
          <t>DALARNAS LÄN</t>
        </is>
      </c>
      <c r="E740" t="inlineStr">
        <is>
          <t>LEKSAND</t>
        </is>
      </c>
      <c r="G740" t="n">
        <v>0.5</v>
      </c>
      <c r="H740" t="n">
        <v>0</v>
      </c>
      <c r="I740" t="n">
        <v>0</v>
      </c>
      <c r="J740" t="n">
        <v>0</v>
      </c>
      <c r="K740" t="n">
        <v>0</v>
      </c>
      <c r="L740" t="n">
        <v>0</v>
      </c>
      <c r="M740" t="n">
        <v>0</v>
      </c>
      <c r="N740" t="n">
        <v>0</v>
      </c>
      <c r="O740" t="n">
        <v>0</v>
      </c>
      <c r="P740" t="n">
        <v>0</v>
      </c>
      <c r="Q740" t="n">
        <v>0</v>
      </c>
      <c r="R740" s="2" t="inlineStr"/>
    </row>
    <row r="741" ht="15" customHeight="1">
      <c r="A741" t="inlineStr">
        <is>
          <t>A 56810-2023</t>
        </is>
      </c>
      <c r="B741" s="1" t="n">
        <v>45244</v>
      </c>
      <c r="C741" s="1" t="n">
        <v>45844</v>
      </c>
      <c r="D741" t="inlineStr">
        <is>
          <t>DALARNAS LÄN</t>
        </is>
      </c>
      <c r="E741" t="inlineStr">
        <is>
          <t>LEKSAND</t>
        </is>
      </c>
      <c r="F741" t="inlineStr">
        <is>
          <t>Bergvik skog väst AB</t>
        </is>
      </c>
      <c r="G741" t="n">
        <v>1.4</v>
      </c>
      <c r="H741" t="n">
        <v>0</v>
      </c>
      <c r="I741" t="n">
        <v>0</v>
      </c>
      <c r="J741" t="n">
        <v>0</v>
      </c>
      <c r="K741" t="n">
        <v>0</v>
      </c>
      <c r="L741" t="n">
        <v>0</v>
      </c>
      <c r="M741" t="n">
        <v>0</v>
      </c>
      <c r="N741" t="n">
        <v>0</v>
      </c>
      <c r="O741" t="n">
        <v>0</v>
      </c>
      <c r="P741" t="n">
        <v>0</v>
      </c>
      <c r="Q741" t="n">
        <v>0</v>
      </c>
      <c r="R741" s="2" t="inlineStr"/>
    </row>
    <row r="742" ht="15" customHeight="1">
      <c r="A742" t="inlineStr">
        <is>
          <t>A 56812-2023</t>
        </is>
      </c>
      <c r="B742" s="1" t="n">
        <v>45244</v>
      </c>
      <c r="C742" s="1" t="n">
        <v>45844</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57013-2023</t>
        </is>
      </c>
      <c r="B743" s="1" t="n">
        <v>45244</v>
      </c>
      <c r="C743" s="1" t="n">
        <v>45844</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57323-2023</t>
        </is>
      </c>
      <c r="B744" s="1" t="n">
        <v>45245</v>
      </c>
      <c r="C744" s="1" t="n">
        <v>45844</v>
      </c>
      <c r="D744" t="inlineStr">
        <is>
          <t>DALARNAS LÄN</t>
        </is>
      </c>
      <c r="E744" t="inlineStr">
        <is>
          <t>LEKSAND</t>
        </is>
      </c>
      <c r="G744" t="n">
        <v>4.9</v>
      </c>
      <c r="H744" t="n">
        <v>0</v>
      </c>
      <c r="I744" t="n">
        <v>0</v>
      </c>
      <c r="J744" t="n">
        <v>0</v>
      </c>
      <c r="K744" t="n">
        <v>0</v>
      </c>
      <c r="L744" t="n">
        <v>0</v>
      </c>
      <c r="M744" t="n">
        <v>0</v>
      </c>
      <c r="N744" t="n">
        <v>0</v>
      </c>
      <c r="O744" t="n">
        <v>0</v>
      </c>
      <c r="P744" t="n">
        <v>0</v>
      </c>
      <c r="Q744" t="n">
        <v>0</v>
      </c>
      <c r="R744" s="2" t="inlineStr"/>
    </row>
    <row r="745" ht="15" customHeight="1">
      <c r="A745" t="inlineStr">
        <is>
          <t>A 57106-2023</t>
        </is>
      </c>
      <c r="B745" s="1" t="n">
        <v>45245</v>
      </c>
      <c r="C745" s="1" t="n">
        <v>45844</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57093-2023</t>
        </is>
      </c>
      <c r="B746" s="1" t="n">
        <v>45245</v>
      </c>
      <c r="C746" s="1" t="n">
        <v>45844</v>
      </c>
      <c r="D746" t="inlineStr">
        <is>
          <t>DALARNAS LÄN</t>
        </is>
      </c>
      <c r="E746" t="inlineStr">
        <is>
          <t>LEKSAND</t>
        </is>
      </c>
      <c r="G746" t="n">
        <v>3.3</v>
      </c>
      <c r="H746" t="n">
        <v>0</v>
      </c>
      <c r="I746" t="n">
        <v>0</v>
      </c>
      <c r="J746" t="n">
        <v>0</v>
      </c>
      <c r="K746" t="n">
        <v>0</v>
      </c>
      <c r="L746" t="n">
        <v>0</v>
      </c>
      <c r="M746" t="n">
        <v>0</v>
      </c>
      <c r="N746" t="n">
        <v>0</v>
      </c>
      <c r="O746" t="n">
        <v>0</v>
      </c>
      <c r="P746" t="n">
        <v>0</v>
      </c>
      <c r="Q746" t="n">
        <v>0</v>
      </c>
      <c r="R746" s="2" t="inlineStr"/>
    </row>
    <row r="747" ht="15" customHeight="1">
      <c r="A747" t="inlineStr">
        <is>
          <t>A 57468-2023</t>
        </is>
      </c>
      <c r="B747" s="1" t="n">
        <v>45246</v>
      </c>
      <c r="C747" s="1" t="n">
        <v>45844</v>
      </c>
      <c r="D747" t="inlineStr">
        <is>
          <t>DALARNAS LÄN</t>
        </is>
      </c>
      <c r="E747" t="inlineStr">
        <is>
          <t>LEKSAND</t>
        </is>
      </c>
      <c r="G747" t="n">
        <v>4.6</v>
      </c>
      <c r="H747" t="n">
        <v>0</v>
      </c>
      <c r="I747" t="n">
        <v>0</v>
      </c>
      <c r="J747" t="n">
        <v>0</v>
      </c>
      <c r="K747" t="n">
        <v>0</v>
      </c>
      <c r="L747" t="n">
        <v>0</v>
      </c>
      <c r="M747" t="n">
        <v>0</v>
      </c>
      <c r="N747" t="n">
        <v>0</v>
      </c>
      <c r="O747" t="n">
        <v>0</v>
      </c>
      <c r="P747" t="n">
        <v>0</v>
      </c>
      <c r="Q747" t="n">
        <v>0</v>
      </c>
      <c r="R747" s="2" t="inlineStr"/>
    </row>
    <row r="748" ht="15" customHeight="1">
      <c r="A748" t="inlineStr">
        <is>
          <t>A 57635-2023</t>
        </is>
      </c>
      <c r="B748" s="1" t="n">
        <v>45246</v>
      </c>
      <c r="C748" s="1" t="n">
        <v>45844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57681-2023</t>
        </is>
      </c>
      <c r="B749" s="1" t="n">
        <v>45246</v>
      </c>
      <c r="C749" s="1" t="n">
        <v>45844</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57665-2023</t>
        </is>
      </c>
      <c r="B750" s="1" t="n">
        <v>45246</v>
      </c>
      <c r="C750" s="1" t="n">
        <v>45844</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57852-2023</t>
        </is>
      </c>
      <c r="B751" s="1" t="n">
        <v>45247</v>
      </c>
      <c r="C751" s="1" t="n">
        <v>45844</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58405-2023</t>
        </is>
      </c>
      <c r="B752" s="1" t="n">
        <v>45250</v>
      </c>
      <c r="C752" s="1" t="n">
        <v>45844</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58402-2023</t>
        </is>
      </c>
      <c r="B753" s="1" t="n">
        <v>45250</v>
      </c>
      <c r="C753" s="1" t="n">
        <v>45844</v>
      </c>
      <c r="D753" t="inlineStr">
        <is>
          <t>DALARNAS LÄN</t>
        </is>
      </c>
      <c r="E753" t="inlineStr">
        <is>
          <t>LEKSAND</t>
        </is>
      </c>
      <c r="G753" t="n">
        <v>4.5</v>
      </c>
      <c r="H753" t="n">
        <v>0</v>
      </c>
      <c r="I753" t="n">
        <v>0</v>
      </c>
      <c r="J753" t="n">
        <v>0</v>
      </c>
      <c r="K753" t="n">
        <v>0</v>
      </c>
      <c r="L753" t="n">
        <v>0</v>
      </c>
      <c r="M753" t="n">
        <v>0</v>
      </c>
      <c r="N753" t="n">
        <v>0</v>
      </c>
      <c r="O753" t="n">
        <v>0</v>
      </c>
      <c r="P753" t="n">
        <v>0</v>
      </c>
      <c r="Q753" t="n">
        <v>0</v>
      </c>
      <c r="R753" s="2" t="inlineStr"/>
    </row>
    <row r="754" ht="15" customHeight="1">
      <c r="A754" t="inlineStr">
        <is>
          <t>A 58495-2023</t>
        </is>
      </c>
      <c r="B754" s="1" t="n">
        <v>45251</v>
      </c>
      <c r="C754" s="1" t="n">
        <v>45844</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58730-2023</t>
        </is>
      </c>
      <c r="B755" s="1" t="n">
        <v>45251</v>
      </c>
      <c r="C755" s="1" t="n">
        <v>45844</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45844</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58950-2023</t>
        </is>
      </c>
      <c r="B757" s="1" t="n">
        <v>45252</v>
      </c>
      <c r="C757" s="1" t="n">
        <v>45844</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58949-2023</t>
        </is>
      </c>
      <c r="B758" s="1" t="n">
        <v>45252</v>
      </c>
      <c r="C758" s="1" t="n">
        <v>45844</v>
      </c>
      <c r="D758" t="inlineStr">
        <is>
          <t>DALARNAS LÄN</t>
        </is>
      </c>
      <c r="E758" t="inlineStr">
        <is>
          <t>LEKSAND</t>
        </is>
      </c>
      <c r="G758" t="n">
        <v>0.7</v>
      </c>
      <c r="H758" t="n">
        <v>0</v>
      </c>
      <c r="I758" t="n">
        <v>0</v>
      </c>
      <c r="J758" t="n">
        <v>0</v>
      </c>
      <c r="K758" t="n">
        <v>0</v>
      </c>
      <c r="L758" t="n">
        <v>0</v>
      </c>
      <c r="M758" t="n">
        <v>0</v>
      </c>
      <c r="N758" t="n">
        <v>0</v>
      </c>
      <c r="O758" t="n">
        <v>0</v>
      </c>
      <c r="P758" t="n">
        <v>0</v>
      </c>
      <c r="Q758" t="n">
        <v>0</v>
      </c>
      <c r="R758" s="2" t="inlineStr"/>
    </row>
    <row r="759" ht="15" customHeight="1">
      <c r="A759" t="inlineStr">
        <is>
          <t>A 59011-2023</t>
        </is>
      </c>
      <c r="B759" s="1" t="n">
        <v>45252</v>
      </c>
      <c r="C759" s="1" t="n">
        <v>45844</v>
      </c>
      <c r="D759" t="inlineStr">
        <is>
          <t>DALARNAS LÄN</t>
        </is>
      </c>
      <c r="E759" t="inlineStr">
        <is>
          <t>LEKSAND</t>
        </is>
      </c>
      <c r="G759" t="n">
        <v>3.7</v>
      </c>
      <c r="H759" t="n">
        <v>0</v>
      </c>
      <c r="I759" t="n">
        <v>0</v>
      </c>
      <c r="J759" t="n">
        <v>0</v>
      </c>
      <c r="K759" t="n">
        <v>0</v>
      </c>
      <c r="L759" t="n">
        <v>0</v>
      </c>
      <c r="M759" t="n">
        <v>0</v>
      </c>
      <c r="N759" t="n">
        <v>0</v>
      </c>
      <c r="O759" t="n">
        <v>0</v>
      </c>
      <c r="P759" t="n">
        <v>0</v>
      </c>
      <c r="Q759" t="n">
        <v>0</v>
      </c>
      <c r="R759" s="2" t="inlineStr"/>
    </row>
    <row r="760" ht="15" customHeight="1">
      <c r="A760" t="inlineStr">
        <is>
          <t>A 58853-2023</t>
        </is>
      </c>
      <c r="B760" s="1" t="n">
        <v>45252</v>
      </c>
      <c r="C760" s="1" t="n">
        <v>45844</v>
      </c>
      <c r="D760" t="inlineStr">
        <is>
          <t>DALARNAS LÄN</t>
        </is>
      </c>
      <c r="E760" t="inlineStr">
        <is>
          <t>LEKSAND</t>
        </is>
      </c>
      <c r="G760" t="n">
        <v>2.4</v>
      </c>
      <c r="H760" t="n">
        <v>0</v>
      </c>
      <c r="I760" t="n">
        <v>0</v>
      </c>
      <c r="J760" t="n">
        <v>0</v>
      </c>
      <c r="K760" t="n">
        <v>0</v>
      </c>
      <c r="L760" t="n">
        <v>0</v>
      </c>
      <c r="M760" t="n">
        <v>0</v>
      </c>
      <c r="N760" t="n">
        <v>0</v>
      </c>
      <c r="O760" t="n">
        <v>0</v>
      </c>
      <c r="P760" t="n">
        <v>0</v>
      </c>
      <c r="Q760" t="n">
        <v>0</v>
      </c>
      <c r="R760" s="2" t="inlineStr"/>
    </row>
    <row r="761" ht="15" customHeight="1">
      <c r="A761" t="inlineStr">
        <is>
          <t>A 58880-2023</t>
        </is>
      </c>
      <c r="B761" s="1" t="n">
        <v>45252</v>
      </c>
      <c r="C761" s="1" t="n">
        <v>45844</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59222-2023</t>
        </is>
      </c>
      <c r="B762" s="1" t="n">
        <v>45252</v>
      </c>
      <c r="C762" s="1" t="n">
        <v>45844</v>
      </c>
      <c r="D762" t="inlineStr">
        <is>
          <t>DALARNAS LÄN</t>
        </is>
      </c>
      <c r="E762" t="inlineStr">
        <is>
          <t>LEKSAND</t>
        </is>
      </c>
      <c r="G762" t="n">
        <v>1.7</v>
      </c>
      <c r="H762" t="n">
        <v>0</v>
      </c>
      <c r="I762" t="n">
        <v>0</v>
      </c>
      <c r="J762" t="n">
        <v>0</v>
      </c>
      <c r="K762" t="n">
        <v>0</v>
      </c>
      <c r="L762" t="n">
        <v>0</v>
      </c>
      <c r="M762" t="n">
        <v>0</v>
      </c>
      <c r="N762" t="n">
        <v>0</v>
      </c>
      <c r="O762" t="n">
        <v>0</v>
      </c>
      <c r="P762" t="n">
        <v>0</v>
      </c>
      <c r="Q762" t="n">
        <v>0</v>
      </c>
      <c r="R762" s="2" t="inlineStr"/>
    </row>
    <row r="763" ht="15" customHeight="1">
      <c r="A763" t="inlineStr">
        <is>
          <t>A 59392-2023</t>
        </is>
      </c>
      <c r="B763" s="1" t="n">
        <v>45253</v>
      </c>
      <c r="C763" s="1" t="n">
        <v>45844</v>
      </c>
      <c r="D763" t="inlineStr">
        <is>
          <t>DALARNAS LÄN</t>
        </is>
      </c>
      <c r="E763" t="inlineStr">
        <is>
          <t>LEKSAND</t>
        </is>
      </c>
      <c r="G763" t="n">
        <v>1.6</v>
      </c>
      <c r="H763" t="n">
        <v>0</v>
      </c>
      <c r="I763" t="n">
        <v>0</v>
      </c>
      <c r="J763" t="n">
        <v>0</v>
      </c>
      <c r="K763" t="n">
        <v>0</v>
      </c>
      <c r="L763" t="n">
        <v>0</v>
      </c>
      <c r="M763" t="n">
        <v>0</v>
      </c>
      <c r="N763" t="n">
        <v>0</v>
      </c>
      <c r="O763" t="n">
        <v>0</v>
      </c>
      <c r="P763" t="n">
        <v>0</v>
      </c>
      <c r="Q763" t="n">
        <v>0</v>
      </c>
      <c r="R763" s="2" t="inlineStr"/>
    </row>
    <row r="764" ht="15" customHeight="1">
      <c r="A764" t="inlineStr">
        <is>
          <t>A 59562-2023</t>
        </is>
      </c>
      <c r="B764" s="1" t="n">
        <v>45253</v>
      </c>
      <c r="C764" s="1" t="n">
        <v>45844</v>
      </c>
      <c r="D764" t="inlineStr">
        <is>
          <t>DALARNAS LÄN</t>
        </is>
      </c>
      <c r="E764" t="inlineStr">
        <is>
          <t>LEKSAND</t>
        </is>
      </c>
      <c r="G764" t="n">
        <v>2.1</v>
      </c>
      <c r="H764" t="n">
        <v>0</v>
      </c>
      <c r="I764" t="n">
        <v>0</v>
      </c>
      <c r="J764" t="n">
        <v>0</v>
      </c>
      <c r="K764" t="n">
        <v>0</v>
      </c>
      <c r="L764" t="n">
        <v>0</v>
      </c>
      <c r="M764" t="n">
        <v>0</v>
      </c>
      <c r="N764" t="n">
        <v>0</v>
      </c>
      <c r="O764" t="n">
        <v>0</v>
      </c>
      <c r="P764" t="n">
        <v>0</v>
      </c>
      <c r="Q764" t="n">
        <v>0</v>
      </c>
      <c r="R764" s="2" t="inlineStr"/>
    </row>
    <row r="765" ht="15" customHeight="1">
      <c r="A765" t="inlineStr">
        <is>
          <t>A 59809-2023</t>
        </is>
      </c>
      <c r="B765" s="1" t="n">
        <v>45254</v>
      </c>
      <c r="C765" s="1" t="n">
        <v>45844</v>
      </c>
      <c r="D765" t="inlineStr">
        <is>
          <t>DALARNAS LÄN</t>
        </is>
      </c>
      <c r="E765" t="inlineStr">
        <is>
          <t>LEKSAND</t>
        </is>
      </c>
      <c r="G765" t="n">
        <v>3.9</v>
      </c>
      <c r="H765" t="n">
        <v>0</v>
      </c>
      <c r="I765" t="n">
        <v>0</v>
      </c>
      <c r="J765" t="n">
        <v>0</v>
      </c>
      <c r="K765" t="n">
        <v>0</v>
      </c>
      <c r="L765" t="n">
        <v>0</v>
      </c>
      <c r="M765" t="n">
        <v>0</v>
      </c>
      <c r="N765" t="n">
        <v>0</v>
      </c>
      <c r="O765" t="n">
        <v>0</v>
      </c>
      <c r="P765" t="n">
        <v>0</v>
      </c>
      <c r="Q765" t="n">
        <v>0</v>
      </c>
      <c r="R765" s="2" t="inlineStr"/>
    </row>
    <row r="766" ht="15" customHeight="1">
      <c r="A766" t="inlineStr">
        <is>
          <t>A 59803-2023</t>
        </is>
      </c>
      <c r="B766" s="1" t="n">
        <v>45254</v>
      </c>
      <c r="C766" s="1" t="n">
        <v>45844</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59826-2023</t>
        </is>
      </c>
      <c r="B767" s="1" t="n">
        <v>45254</v>
      </c>
      <c r="C767" s="1" t="n">
        <v>45844</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59673-2023</t>
        </is>
      </c>
      <c r="B768" s="1" t="n">
        <v>45255</v>
      </c>
      <c r="C768" s="1" t="n">
        <v>45844</v>
      </c>
      <c r="D768" t="inlineStr">
        <is>
          <t>DALARNAS LÄN</t>
        </is>
      </c>
      <c r="E768" t="inlineStr">
        <is>
          <t>LEKSAND</t>
        </is>
      </c>
      <c r="G768" t="n">
        <v>12.2</v>
      </c>
      <c r="H768" t="n">
        <v>0</v>
      </c>
      <c r="I768" t="n">
        <v>0</v>
      </c>
      <c r="J768" t="n">
        <v>0</v>
      </c>
      <c r="K768" t="n">
        <v>0</v>
      </c>
      <c r="L768" t="n">
        <v>0</v>
      </c>
      <c r="M768" t="n">
        <v>0</v>
      </c>
      <c r="N768" t="n">
        <v>0</v>
      </c>
      <c r="O768" t="n">
        <v>0</v>
      </c>
      <c r="P768" t="n">
        <v>0</v>
      </c>
      <c r="Q768" t="n">
        <v>0</v>
      </c>
      <c r="R768" s="2" t="inlineStr"/>
    </row>
    <row r="769" ht="15" customHeight="1">
      <c r="A769" t="inlineStr">
        <is>
          <t>A 60042-2023</t>
        </is>
      </c>
      <c r="B769" s="1" t="n">
        <v>45256</v>
      </c>
      <c r="C769" s="1" t="n">
        <v>45844</v>
      </c>
      <c r="D769" t="inlineStr">
        <is>
          <t>DALARNAS LÄN</t>
        </is>
      </c>
      <c r="E769" t="inlineStr">
        <is>
          <t>LEKSAND</t>
        </is>
      </c>
      <c r="G769" t="n">
        <v>2</v>
      </c>
      <c r="H769" t="n">
        <v>0</v>
      </c>
      <c r="I769" t="n">
        <v>0</v>
      </c>
      <c r="J769" t="n">
        <v>0</v>
      </c>
      <c r="K769" t="n">
        <v>0</v>
      </c>
      <c r="L769" t="n">
        <v>0</v>
      </c>
      <c r="M769" t="n">
        <v>0</v>
      </c>
      <c r="N769" t="n">
        <v>0</v>
      </c>
      <c r="O769" t="n">
        <v>0</v>
      </c>
      <c r="P769" t="n">
        <v>0</v>
      </c>
      <c r="Q769" t="n">
        <v>0</v>
      </c>
      <c r="R769" s="2" t="inlineStr"/>
    </row>
    <row r="770" ht="15" customHeight="1">
      <c r="A770" t="inlineStr">
        <is>
          <t>A 60040-2023</t>
        </is>
      </c>
      <c r="B770" s="1" t="n">
        <v>45256</v>
      </c>
      <c r="C770" s="1" t="n">
        <v>45844</v>
      </c>
      <c r="D770" t="inlineStr">
        <is>
          <t>DALARNAS LÄN</t>
        </is>
      </c>
      <c r="E770" t="inlineStr">
        <is>
          <t>LEKSAND</t>
        </is>
      </c>
      <c r="G770" t="n">
        <v>0.9</v>
      </c>
      <c r="H770" t="n">
        <v>0</v>
      </c>
      <c r="I770" t="n">
        <v>0</v>
      </c>
      <c r="J770" t="n">
        <v>0</v>
      </c>
      <c r="K770" t="n">
        <v>0</v>
      </c>
      <c r="L770" t="n">
        <v>0</v>
      </c>
      <c r="M770" t="n">
        <v>0</v>
      </c>
      <c r="N770" t="n">
        <v>0</v>
      </c>
      <c r="O770" t="n">
        <v>0</v>
      </c>
      <c r="P770" t="n">
        <v>0</v>
      </c>
      <c r="Q770" t="n">
        <v>0</v>
      </c>
      <c r="R770" s="2" t="inlineStr"/>
    </row>
    <row r="771" ht="15" customHeight="1">
      <c r="A771" t="inlineStr">
        <is>
          <t>A 59718-2023</t>
        </is>
      </c>
      <c r="B771" s="1" t="n">
        <v>45257</v>
      </c>
      <c r="C771" s="1" t="n">
        <v>45844</v>
      </c>
      <c r="D771" t="inlineStr">
        <is>
          <t>DALARNAS LÄN</t>
        </is>
      </c>
      <c r="E771" t="inlineStr">
        <is>
          <t>LEKSAND</t>
        </is>
      </c>
      <c r="G771" t="n">
        <v>2.2</v>
      </c>
      <c r="H771" t="n">
        <v>0</v>
      </c>
      <c r="I771" t="n">
        <v>0</v>
      </c>
      <c r="J771" t="n">
        <v>0</v>
      </c>
      <c r="K771" t="n">
        <v>0</v>
      </c>
      <c r="L771" t="n">
        <v>0</v>
      </c>
      <c r="M771" t="n">
        <v>0</v>
      </c>
      <c r="N771" t="n">
        <v>0</v>
      </c>
      <c r="O771" t="n">
        <v>0</v>
      </c>
      <c r="P771" t="n">
        <v>0</v>
      </c>
      <c r="Q771" t="n">
        <v>0</v>
      </c>
      <c r="R771" s="2" t="inlineStr"/>
    </row>
    <row r="772" ht="15" customHeight="1">
      <c r="A772" t="inlineStr">
        <is>
          <t>A 59763-2023</t>
        </is>
      </c>
      <c r="B772" s="1" t="n">
        <v>45257</v>
      </c>
      <c r="C772" s="1" t="n">
        <v>45844</v>
      </c>
      <c r="D772" t="inlineStr">
        <is>
          <t>DALARNAS LÄN</t>
        </is>
      </c>
      <c r="E772" t="inlineStr">
        <is>
          <t>LEKSAND</t>
        </is>
      </c>
      <c r="G772" t="n">
        <v>1.6</v>
      </c>
      <c r="H772" t="n">
        <v>0</v>
      </c>
      <c r="I772" t="n">
        <v>0</v>
      </c>
      <c r="J772" t="n">
        <v>0</v>
      </c>
      <c r="K772" t="n">
        <v>0</v>
      </c>
      <c r="L772" t="n">
        <v>0</v>
      </c>
      <c r="M772" t="n">
        <v>0</v>
      </c>
      <c r="N772" t="n">
        <v>0</v>
      </c>
      <c r="O772" t="n">
        <v>0</v>
      </c>
      <c r="P772" t="n">
        <v>0</v>
      </c>
      <c r="Q772" t="n">
        <v>0</v>
      </c>
      <c r="R772" s="2" t="inlineStr"/>
    </row>
    <row r="773" ht="15" customHeight="1">
      <c r="A773" t="inlineStr">
        <is>
          <t>A 59859-2023</t>
        </is>
      </c>
      <c r="B773" s="1" t="n">
        <v>45257</v>
      </c>
      <c r="C773" s="1" t="n">
        <v>45844</v>
      </c>
      <c r="D773" t="inlineStr">
        <is>
          <t>DALARNAS LÄN</t>
        </is>
      </c>
      <c r="E773" t="inlineStr">
        <is>
          <t>LEKSAND</t>
        </is>
      </c>
      <c r="F773" t="inlineStr">
        <is>
          <t>Bergvik skog väst AB</t>
        </is>
      </c>
      <c r="G773" t="n">
        <v>2.1</v>
      </c>
      <c r="H773" t="n">
        <v>0</v>
      </c>
      <c r="I773" t="n">
        <v>0</v>
      </c>
      <c r="J773" t="n">
        <v>0</v>
      </c>
      <c r="K773" t="n">
        <v>0</v>
      </c>
      <c r="L773" t="n">
        <v>0</v>
      </c>
      <c r="M773" t="n">
        <v>0</v>
      </c>
      <c r="N773" t="n">
        <v>0</v>
      </c>
      <c r="O773" t="n">
        <v>0</v>
      </c>
      <c r="P773" t="n">
        <v>0</v>
      </c>
      <c r="Q773" t="n">
        <v>0</v>
      </c>
      <c r="R773" s="2" t="inlineStr"/>
    </row>
    <row r="774" ht="15" customHeight="1">
      <c r="A774" t="inlineStr">
        <is>
          <t>A 60024-2023</t>
        </is>
      </c>
      <c r="B774" s="1" t="n">
        <v>45258</v>
      </c>
      <c r="C774" s="1" t="n">
        <v>45844</v>
      </c>
      <c r="D774" t="inlineStr">
        <is>
          <t>DALARNAS LÄN</t>
        </is>
      </c>
      <c r="E774" t="inlineStr">
        <is>
          <t>LEKSAND</t>
        </is>
      </c>
      <c r="G774" t="n">
        <v>4.2</v>
      </c>
      <c r="H774" t="n">
        <v>0</v>
      </c>
      <c r="I774" t="n">
        <v>0</v>
      </c>
      <c r="J774" t="n">
        <v>0</v>
      </c>
      <c r="K774" t="n">
        <v>0</v>
      </c>
      <c r="L774" t="n">
        <v>0</v>
      </c>
      <c r="M774" t="n">
        <v>0</v>
      </c>
      <c r="N774" t="n">
        <v>0</v>
      </c>
      <c r="O774" t="n">
        <v>0</v>
      </c>
      <c r="P774" t="n">
        <v>0</v>
      </c>
      <c r="Q774" t="n">
        <v>0</v>
      </c>
      <c r="R774" s="2" t="inlineStr"/>
    </row>
    <row r="775" ht="15" customHeight="1">
      <c r="A775" t="inlineStr">
        <is>
          <t>A 60028-2023</t>
        </is>
      </c>
      <c r="B775" s="1" t="n">
        <v>45258</v>
      </c>
      <c r="C775" s="1" t="n">
        <v>45844</v>
      </c>
      <c r="D775" t="inlineStr">
        <is>
          <t>DALARNAS LÄN</t>
        </is>
      </c>
      <c r="E775" t="inlineStr">
        <is>
          <t>LEKSAND</t>
        </is>
      </c>
      <c r="G775" t="n">
        <v>1.1</v>
      </c>
      <c r="H775" t="n">
        <v>0</v>
      </c>
      <c r="I775" t="n">
        <v>0</v>
      </c>
      <c r="J775" t="n">
        <v>0</v>
      </c>
      <c r="K775" t="n">
        <v>0</v>
      </c>
      <c r="L775" t="n">
        <v>0</v>
      </c>
      <c r="M775" t="n">
        <v>0</v>
      </c>
      <c r="N775" t="n">
        <v>0</v>
      </c>
      <c r="O775" t="n">
        <v>0</v>
      </c>
      <c r="P775" t="n">
        <v>0</v>
      </c>
      <c r="Q775" t="n">
        <v>0</v>
      </c>
      <c r="R775" s="2" t="inlineStr"/>
    </row>
    <row r="776" ht="15" customHeight="1">
      <c r="A776" t="inlineStr">
        <is>
          <t>A 60044-2023</t>
        </is>
      </c>
      <c r="B776" s="1" t="n">
        <v>45258</v>
      </c>
      <c r="C776" s="1" t="n">
        <v>45844</v>
      </c>
      <c r="D776" t="inlineStr">
        <is>
          <t>DALARNAS LÄN</t>
        </is>
      </c>
      <c r="E776" t="inlineStr">
        <is>
          <t>LEKSAND</t>
        </is>
      </c>
      <c r="F776" t="inlineStr">
        <is>
          <t>Bergvik skog väst AB</t>
        </is>
      </c>
      <c r="G776" t="n">
        <v>4.8</v>
      </c>
      <c r="H776" t="n">
        <v>0</v>
      </c>
      <c r="I776" t="n">
        <v>0</v>
      </c>
      <c r="J776" t="n">
        <v>0</v>
      </c>
      <c r="K776" t="n">
        <v>0</v>
      </c>
      <c r="L776" t="n">
        <v>0</v>
      </c>
      <c r="M776" t="n">
        <v>0</v>
      </c>
      <c r="N776" t="n">
        <v>0</v>
      </c>
      <c r="O776" t="n">
        <v>0</v>
      </c>
      <c r="P776" t="n">
        <v>0</v>
      </c>
      <c r="Q776" t="n">
        <v>0</v>
      </c>
      <c r="R776" s="2" t="inlineStr"/>
    </row>
    <row r="777" ht="15" customHeight="1">
      <c r="A777" t="inlineStr">
        <is>
          <t>A 60080-2023</t>
        </is>
      </c>
      <c r="B777" s="1" t="n">
        <v>45258</v>
      </c>
      <c r="C777" s="1" t="n">
        <v>45844</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60045-2023</t>
        </is>
      </c>
      <c r="B778" s="1" t="n">
        <v>45258</v>
      </c>
      <c r="C778" s="1" t="n">
        <v>45844</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60120-2023</t>
        </is>
      </c>
      <c r="B779" s="1" t="n">
        <v>45258</v>
      </c>
      <c r="C779" s="1" t="n">
        <v>45844</v>
      </c>
      <c r="D779" t="inlineStr">
        <is>
          <t>DALARNAS LÄN</t>
        </is>
      </c>
      <c r="E779" t="inlineStr">
        <is>
          <t>LEKSAND</t>
        </is>
      </c>
      <c r="F779" t="inlineStr">
        <is>
          <t>Bergvik skog väst AB</t>
        </is>
      </c>
      <c r="G779" t="n">
        <v>1</v>
      </c>
      <c r="H779" t="n">
        <v>0</v>
      </c>
      <c r="I779" t="n">
        <v>0</v>
      </c>
      <c r="J779" t="n">
        <v>0</v>
      </c>
      <c r="K779" t="n">
        <v>0</v>
      </c>
      <c r="L779" t="n">
        <v>0</v>
      </c>
      <c r="M779" t="n">
        <v>0</v>
      </c>
      <c r="N779" t="n">
        <v>0</v>
      </c>
      <c r="O779" t="n">
        <v>0</v>
      </c>
      <c r="P779" t="n">
        <v>0</v>
      </c>
      <c r="Q779" t="n">
        <v>0</v>
      </c>
      <c r="R779" s="2" t="inlineStr"/>
    </row>
    <row r="780" ht="15" customHeight="1">
      <c r="A780" t="inlineStr">
        <is>
          <t>A 60129-2023</t>
        </is>
      </c>
      <c r="B780" s="1" t="n">
        <v>45258</v>
      </c>
      <c r="C780" s="1" t="n">
        <v>45844</v>
      </c>
      <c r="D780" t="inlineStr">
        <is>
          <t>DALARNAS LÄN</t>
        </is>
      </c>
      <c r="E780" t="inlineStr">
        <is>
          <t>LEKSAND</t>
        </is>
      </c>
      <c r="F780" t="inlineStr">
        <is>
          <t>Bergvik skog väst AB</t>
        </is>
      </c>
      <c r="G780" t="n">
        <v>1.5</v>
      </c>
      <c r="H780" t="n">
        <v>0</v>
      </c>
      <c r="I780" t="n">
        <v>0</v>
      </c>
      <c r="J780" t="n">
        <v>0</v>
      </c>
      <c r="K780" t="n">
        <v>0</v>
      </c>
      <c r="L780" t="n">
        <v>0</v>
      </c>
      <c r="M780" t="n">
        <v>0</v>
      </c>
      <c r="N780" t="n">
        <v>0</v>
      </c>
      <c r="O780" t="n">
        <v>0</v>
      </c>
      <c r="P780" t="n">
        <v>0</v>
      </c>
      <c r="Q780" t="n">
        <v>0</v>
      </c>
      <c r="R780" s="2" t="inlineStr"/>
    </row>
    <row r="781" ht="15" customHeight="1">
      <c r="A781" t="inlineStr">
        <is>
          <t>A 60189-2023</t>
        </is>
      </c>
      <c r="B781" s="1" t="n">
        <v>45258</v>
      </c>
      <c r="C781" s="1" t="n">
        <v>45844</v>
      </c>
      <c r="D781" t="inlineStr">
        <is>
          <t>DALARNAS LÄN</t>
        </is>
      </c>
      <c r="E781" t="inlineStr">
        <is>
          <t>LEKSAND</t>
        </is>
      </c>
      <c r="G781" t="n">
        <v>0.7</v>
      </c>
      <c r="H781" t="n">
        <v>0</v>
      </c>
      <c r="I781" t="n">
        <v>0</v>
      </c>
      <c r="J781" t="n">
        <v>0</v>
      </c>
      <c r="K781" t="n">
        <v>0</v>
      </c>
      <c r="L781" t="n">
        <v>0</v>
      </c>
      <c r="M781" t="n">
        <v>0</v>
      </c>
      <c r="N781" t="n">
        <v>0</v>
      </c>
      <c r="O781" t="n">
        <v>0</v>
      </c>
      <c r="P781" t="n">
        <v>0</v>
      </c>
      <c r="Q781" t="n">
        <v>0</v>
      </c>
      <c r="R781" s="2" t="inlineStr"/>
    </row>
    <row r="782" ht="15" customHeight="1">
      <c r="A782" t="inlineStr">
        <is>
          <t>A 60310-2023</t>
        </is>
      </c>
      <c r="B782" s="1" t="n">
        <v>45258</v>
      </c>
      <c r="C782" s="1" t="n">
        <v>45844</v>
      </c>
      <c r="D782" t="inlineStr">
        <is>
          <t>DALARNAS LÄN</t>
        </is>
      </c>
      <c r="E782" t="inlineStr">
        <is>
          <t>LEKSAND</t>
        </is>
      </c>
      <c r="G782" t="n">
        <v>4.9</v>
      </c>
      <c r="H782" t="n">
        <v>0</v>
      </c>
      <c r="I782" t="n">
        <v>0</v>
      </c>
      <c r="J782" t="n">
        <v>0</v>
      </c>
      <c r="K782" t="n">
        <v>0</v>
      </c>
      <c r="L782" t="n">
        <v>0</v>
      </c>
      <c r="M782" t="n">
        <v>0</v>
      </c>
      <c r="N782" t="n">
        <v>0</v>
      </c>
      <c r="O782" t="n">
        <v>0</v>
      </c>
      <c r="P782" t="n">
        <v>0</v>
      </c>
      <c r="Q782" t="n">
        <v>0</v>
      </c>
      <c r="R782" s="2" t="inlineStr"/>
    </row>
    <row r="783" ht="15" customHeight="1">
      <c r="A783" t="inlineStr">
        <is>
          <t>A 60309-2023</t>
        </is>
      </c>
      <c r="B783" s="1" t="n">
        <v>45258</v>
      </c>
      <c r="C783" s="1" t="n">
        <v>45844</v>
      </c>
      <c r="D783" t="inlineStr">
        <is>
          <t>DALARNAS LÄN</t>
        </is>
      </c>
      <c r="E783" t="inlineStr">
        <is>
          <t>LEKSAND</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60315-2023</t>
        </is>
      </c>
      <c r="B784" s="1" t="n">
        <v>45258</v>
      </c>
      <c r="C784" s="1" t="n">
        <v>45844</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60546-2023</t>
        </is>
      </c>
      <c r="B785" s="1" t="n">
        <v>45259</v>
      </c>
      <c r="C785" s="1" t="n">
        <v>45844</v>
      </c>
      <c r="D785" t="inlineStr">
        <is>
          <t>DALARNAS LÄN</t>
        </is>
      </c>
      <c r="E785" t="inlineStr">
        <is>
          <t>LEKSAND</t>
        </is>
      </c>
      <c r="G785" t="n">
        <v>6.6</v>
      </c>
      <c r="H785" t="n">
        <v>0</v>
      </c>
      <c r="I785" t="n">
        <v>0</v>
      </c>
      <c r="J785" t="n">
        <v>0</v>
      </c>
      <c r="K785" t="n">
        <v>0</v>
      </c>
      <c r="L785" t="n">
        <v>0</v>
      </c>
      <c r="M785" t="n">
        <v>0</v>
      </c>
      <c r="N785" t="n">
        <v>0</v>
      </c>
      <c r="O785" t="n">
        <v>0</v>
      </c>
      <c r="P785" t="n">
        <v>0</v>
      </c>
      <c r="Q785" t="n">
        <v>0</v>
      </c>
      <c r="R785" s="2" t="inlineStr"/>
    </row>
    <row r="786" ht="15" customHeight="1">
      <c r="A786" t="inlineStr">
        <is>
          <t>A 60878-2023</t>
        </is>
      </c>
      <c r="B786" s="1" t="n">
        <v>45259</v>
      </c>
      <c r="C786" s="1" t="n">
        <v>45844</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60692-2023</t>
        </is>
      </c>
      <c r="B787" s="1" t="n">
        <v>45260</v>
      </c>
      <c r="C787" s="1" t="n">
        <v>45844</v>
      </c>
      <c r="D787" t="inlineStr">
        <is>
          <t>DALARNAS LÄN</t>
        </is>
      </c>
      <c r="E787" t="inlineStr">
        <is>
          <t>LEKSAND</t>
        </is>
      </c>
      <c r="G787" t="n">
        <v>1.2</v>
      </c>
      <c r="H787" t="n">
        <v>0</v>
      </c>
      <c r="I787" t="n">
        <v>0</v>
      </c>
      <c r="J787" t="n">
        <v>0</v>
      </c>
      <c r="K787" t="n">
        <v>0</v>
      </c>
      <c r="L787" t="n">
        <v>0</v>
      </c>
      <c r="M787" t="n">
        <v>0</v>
      </c>
      <c r="N787" t="n">
        <v>0</v>
      </c>
      <c r="O787" t="n">
        <v>0</v>
      </c>
      <c r="P787" t="n">
        <v>0</v>
      </c>
      <c r="Q787" t="n">
        <v>0</v>
      </c>
      <c r="R787" s="2" t="inlineStr"/>
    </row>
    <row r="788" ht="15" customHeight="1">
      <c r="A788" t="inlineStr">
        <is>
          <t>A 60755-2023</t>
        </is>
      </c>
      <c r="B788" s="1" t="n">
        <v>45260</v>
      </c>
      <c r="C788" s="1" t="n">
        <v>45844</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61208-2023</t>
        </is>
      </c>
      <c r="B789" s="1" t="n">
        <v>45260</v>
      </c>
      <c r="C789" s="1" t="n">
        <v>45844</v>
      </c>
      <c r="D789" t="inlineStr">
        <is>
          <t>DALARNAS LÄN</t>
        </is>
      </c>
      <c r="E789" t="inlineStr">
        <is>
          <t>LEKSAND</t>
        </is>
      </c>
      <c r="G789" t="n">
        <v>1.7</v>
      </c>
      <c r="H789" t="n">
        <v>0</v>
      </c>
      <c r="I789" t="n">
        <v>0</v>
      </c>
      <c r="J789" t="n">
        <v>0</v>
      </c>
      <c r="K789" t="n">
        <v>0</v>
      </c>
      <c r="L789" t="n">
        <v>0</v>
      </c>
      <c r="M789" t="n">
        <v>0</v>
      </c>
      <c r="N789" t="n">
        <v>0</v>
      </c>
      <c r="O789" t="n">
        <v>0</v>
      </c>
      <c r="P789" t="n">
        <v>0</v>
      </c>
      <c r="Q789" t="n">
        <v>0</v>
      </c>
      <c r="R789" s="2" t="inlineStr"/>
    </row>
    <row r="790" ht="15" customHeight="1">
      <c r="A790" t="inlineStr">
        <is>
          <t>A 61244-2023</t>
        </is>
      </c>
      <c r="B790" s="1" t="n">
        <v>45260</v>
      </c>
      <c r="C790" s="1" t="n">
        <v>45844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60873-2023</t>
        </is>
      </c>
      <c r="B791" s="1" t="n">
        <v>45261</v>
      </c>
      <c r="C791" s="1" t="n">
        <v>45844</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61052-2023</t>
        </is>
      </c>
      <c r="B792" s="1" t="n">
        <v>45261</v>
      </c>
      <c r="C792" s="1" t="n">
        <v>45844</v>
      </c>
      <c r="D792" t="inlineStr">
        <is>
          <t>DALARNAS LÄN</t>
        </is>
      </c>
      <c r="E792" t="inlineStr">
        <is>
          <t>LEKSAND</t>
        </is>
      </c>
      <c r="G792" t="n">
        <v>8.6</v>
      </c>
      <c r="H792" t="n">
        <v>0</v>
      </c>
      <c r="I792" t="n">
        <v>0</v>
      </c>
      <c r="J792" t="n">
        <v>0</v>
      </c>
      <c r="K792" t="n">
        <v>0</v>
      </c>
      <c r="L792" t="n">
        <v>0</v>
      </c>
      <c r="M792" t="n">
        <v>0</v>
      </c>
      <c r="N792" t="n">
        <v>0</v>
      </c>
      <c r="O792" t="n">
        <v>0</v>
      </c>
      <c r="P792" t="n">
        <v>0</v>
      </c>
      <c r="Q792" t="n">
        <v>0</v>
      </c>
      <c r="R792" s="2" t="inlineStr"/>
    </row>
    <row r="793" ht="15" customHeight="1">
      <c r="A793" t="inlineStr">
        <is>
          <t>A 61056-2023</t>
        </is>
      </c>
      <c r="B793" s="1" t="n">
        <v>45261</v>
      </c>
      <c r="C793" s="1" t="n">
        <v>45844</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61054-2023</t>
        </is>
      </c>
      <c r="B794" s="1" t="n">
        <v>45261</v>
      </c>
      <c r="C794" s="1" t="n">
        <v>45844</v>
      </c>
      <c r="D794" t="inlineStr">
        <is>
          <t>DALARNAS LÄN</t>
        </is>
      </c>
      <c r="E794" t="inlineStr">
        <is>
          <t>LEKSAND</t>
        </is>
      </c>
      <c r="G794" t="n">
        <v>0.4</v>
      </c>
      <c r="H794" t="n">
        <v>0</v>
      </c>
      <c r="I794" t="n">
        <v>0</v>
      </c>
      <c r="J794" t="n">
        <v>0</v>
      </c>
      <c r="K794" t="n">
        <v>0</v>
      </c>
      <c r="L794" t="n">
        <v>0</v>
      </c>
      <c r="M794" t="n">
        <v>0</v>
      </c>
      <c r="N794" t="n">
        <v>0</v>
      </c>
      <c r="O794" t="n">
        <v>0</v>
      </c>
      <c r="P794" t="n">
        <v>0</v>
      </c>
      <c r="Q794" t="n">
        <v>0</v>
      </c>
      <c r="R794" s="2" t="inlineStr"/>
    </row>
    <row r="795" ht="15" customHeight="1">
      <c r="A795" t="inlineStr">
        <is>
          <t>A 61055-2023</t>
        </is>
      </c>
      <c r="B795" s="1" t="n">
        <v>45261</v>
      </c>
      <c r="C795" s="1" t="n">
        <v>45844</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61252-2023</t>
        </is>
      </c>
      <c r="B796" s="1" t="n">
        <v>45261</v>
      </c>
      <c r="C796" s="1" t="n">
        <v>45844</v>
      </c>
      <c r="D796" t="inlineStr">
        <is>
          <t>DALARNAS LÄN</t>
        </is>
      </c>
      <c r="E796" t="inlineStr">
        <is>
          <t>LEKSAND</t>
        </is>
      </c>
      <c r="G796" t="n">
        <v>1.9</v>
      </c>
      <c r="H796" t="n">
        <v>0</v>
      </c>
      <c r="I796" t="n">
        <v>0</v>
      </c>
      <c r="J796" t="n">
        <v>0</v>
      </c>
      <c r="K796" t="n">
        <v>0</v>
      </c>
      <c r="L796" t="n">
        <v>0</v>
      </c>
      <c r="M796" t="n">
        <v>0</v>
      </c>
      <c r="N796" t="n">
        <v>0</v>
      </c>
      <c r="O796" t="n">
        <v>0</v>
      </c>
      <c r="P796" t="n">
        <v>0</v>
      </c>
      <c r="Q796" t="n">
        <v>0</v>
      </c>
      <c r="R796" s="2" t="inlineStr"/>
    </row>
    <row r="797" ht="15" customHeight="1">
      <c r="A797" t="inlineStr">
        <is>
          <t>A 61617-2023</t>
        </is>
      </c>
      <c r="B797" s="1" t="n">
        <v>45261</v>
      </c>
      <c r="C797" s="1" t="n">
        <v>45844</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61637-2023</t>
        </is>
      </c>
      <c r="B798" s="1" t="n">
        <v>45261</v>
      </c>
      <c r="C798" s="1" t="n">
        <v>45844</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61614-2023</t>
        </is>
      </c>
      <c r="B799" s="1" t="n">
        <v>45261</v>
      </c>
      <c r="C799" s="1" t="n">
        <v>45844</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61627-2023</t>
        </is>
      </c>
      <c r="B800" s="1" t="n">
        <v>45261</v>
      </c>
      <c r="C800" s="1" t="n">
        <v>45844</v>
      </c>
      <c r="D800" t="inlineStr">
        <is>
          <t>DALARNAS LÄN</t>
        </is>
      </c>
      <c r="E800" t="inlineStr">
        <is>
          <t>LEKSAND</t>
        </is>
      </c>
      <c r="G800" t="n">
        <v>1.4</v>
      </c>
      <c r="H800" t="n">
        <v>0</v>
      </c>
      <c r="I800" t="n">
        <v>0</v>
      </c>
      <c r="J800" t="n">
        <v>0</v>
      </c>
      <c r="K800" t="n">
        <v>0</v>
      </c>
      <c r="L800" t="n">
        <v>0</v>
      </c>
      <c r="M800" t="n">
        <v>0</v>
      </c>
      <c r="N800" t="n">
        <v>0</v>
      </c>
      <c r="O800" t="n">
        <v>0</v>
      </c>
      <c r="P800" t="n">
        <v>0</v>
      </c>
      <c r="Q800" t="n">
        <v>0</v>
      </c>
      <c r="R800" s="2" t="inlineStr"/>
    </row>
    <row r="801" ht="15" customHeight="1">
      <c r="A801" t="inlineStr">
        <is>
          <t>A 61225-2023</t>
        </is>
      </c>
      <c r="B801" s="1" t="n">
        <v>45264</v>
      </c>
      <c r="C801" s="1" t="n">
        <v>45844</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61502-2023</t>
        </is>
      </c>
      <c r="B802" s="1" t="n">
        <v>45264</v>
      </c>
      <c r="C802" s="1" t="n">
        <v>45844</v>
      </c>
      <c r="D802" t="inlineStr">
        <is>
          <t>DALARNAS LÄN</t>
        </is>
      </c>
      <c r="E802" t="inlineStr">
        <is>
          <t>LEKSAND</t>
        </is>
      </c>
      <c r="G802" t="n">
        <v>5.2</v>
      </c>
      <c r="H802" t="n">
        <v>0</v>
      </c>
      <c r="I802" t="n">
        <v>0</v>
      </c>
      <c r="J802" t="n">
        <v>0</v>
      </c>
      <c r="K802" t="n">
        <v>0</v>
      </c>
      <c r="L802" t="n">
        <v>0</v>
      </c>
      <c r="M802" t="n">
        <v>0</v>
      </c>
      <c r="N802" t="n">
        <v>0</v>
      </c>
      <c r="O802" t="n">
        <v>0</v>
      </c>
      <c r="P802" t="n">
        <v>0</v>
      </c>
      <c r="Q802" t="n">
        <v>0</v>
      </c>
      <c r="R802" s="2" t="inlineStr"/>
    </row>
    <row r="803" ht="15" customHeight="1">
      <c r="A803" t="inlineStr">
        <is>
          <t>A 61652-2023</t>
        </is>
      </c>
      <c r="B803" s="1" t="n">
        <v>45265</v>
      </c>
      <c r="C803" s="1" t="n">
        <v>45844</v>
      </c>
      <c r="D803" t="inlineStr">
        <is>
          <t>DALARNAS LÄN</t>
        </is>
      </c>
      <c r="E803" t="inlineStr">
        <is>
          <t>LEKSAND</t>
        </is>
      </c>
      <c r="G803" t="n">
        <v>1.1</v>
      </c>
      <c r="H803" t="n">
        <v>0</v>
      </c>
      <c r="I803" t="n">
        <v>0</v>
      </c>
      <c r="J803" t="n">
        <v>0</v>
      </c>
      <c r="K803" t="n">
        <v>0</v>
      </c>
      <c r="L803" t="n">
        <v>0</v>
      </c>
      <c r="M803" t="n">
        <v>0</v>
      </c>
      <c r="N803" t="n">
        <v>0</v>
      </c>
      <c r="O803" t="n">
        <v>0</v>
      </c>
      <c r="P803" t="n">
        <v>0</v>
      </c>
      <c r="Q803" t="n">
        <v>0</v>
      </c>
      <c r="R803" s="2" t="inlineStr"/>
    </row>
    <row r="804" ht="15" customHeight="1">
      <c r="A804" t="inlineStr">
        <is>
          <t>A 61598-2023</t>
        </is>
      </c>
      <c r="B804" s="1" t="n">
        <v>45265</v>
      </c>
      <c r="C804" s="1" t="n">
        <v>45844</v>
      </c>
      <c r="D804" t="inlineStr">
        <is>
          <t>DALARNAS LÄN</t>
        </is>
      </c>
      <c r="E804" t="inlineStr">
        <is>
          <t>LEKSAND</t>
        </is>
      </c>
      <c r="F804" t="inlineStr">
        <is>
          <t>Bergvik skog väst AB</t>
        </is>
      </c>
      <c r="G804" t="n">
        <v>5.8</v>
      </c>
      <c r="H804" t="n">
        <v>0</v>
      </c>
      <c r="I804" t="n">
        <v>0</v>
      </c>
      <c r="J804" t="n">
        <v>0</v>
      </c>
      <c r="K804" t="n">
        <v>0</v>
      </c>
      <c r="L804" t="n">
        <v>0</v>
      </c>
      <c r="M804" t="n">
        <v>0</v>
      </c>
      <c r="N804" t="n">
        <v>0</v>
      </c>
      <c r="O804" t="n">
        <v>0</v>
      </c>
      <c r="P804" t="n">
        <v>0</v>
      </c>
      <c r="Q804" t="n">
        <v>0</v>
      </c>
      <c r="R804" s="2" t="inlineStr"/>
    </row>
    <row r="805" ht="15" customHeight="1">
      <c r="A805" t="inlineStr">
        <is>
          <t>A 61633-2023</t>
        </is>
      </c>
      <c r="B805" s="1" t="n">
        <v>45265</v>
      </c>
      <c r="C805" s="1" t="n">
        <v>45844</v>
      </c>
      <c r="D805" t="inlineStr">
        <is>
          <t>DALARNAS LÄN</t>
        </is>
      </c>
      <c r="E805" t="inlineStr">
        <is>
          <t>LEKSAND</t>
        </is>
      </c>
      <c r="G805" t="n">
        <v>5.3</v>
      </c>
      <c r="H805" t="n">
        <v>0</v>
      </c>
      <c r="I805" t="n">
        <v>0</v>
      </c>
      <c r="J805" t="n">
        <v>0</v>
      </c>
      <c r="K805" t="n">
        <v>0</v>
      </c>
      <c r="L805" t="n">
        <v>0</v>
      </c>
      <c r="M805" t="n">
        <v>0</v>
      </c>
      <c r="N805" t="n">
        <v>0</v>
      </c>
      <c r="O805" t="n">
        <v>0</v>
      </c>
      <c r="P805" t="n">
        <v>0</v>
      </c>
      <c r="Q805" t="n">
        <v>0</v>
      </c>
      <c r="R805" s="2" t="inlineStr"/>
    </row>
    <row r="806" ht="15" customHeight="1">
      <c r="A806" t="inlineStr">
        <is>
          <t>A 61910-2023</t>
        </is>
      </c>
      <c r="B806" s="1" t="n">
        <v>45266</v>
      </c>
      <c r="C806" s="1" t="n">
        <v>45844</v>
      </c>
      <c r="D806" t="inlineStr">
        <is>
          <t>DALARNAS LÄN</t>
        </is>
      </c>
      <c r="E806" t="inlineStr">
        <is>
          <t>LEKSAND</t>
        </is>
      </c>
      <c r="G806" t="n">
        <v>7.3</v>
      </c>
      <c r="H806" t="n">
        <v>0</v>
      </c>
      <c r="I806" t="n">
        <v>0</v>
      </c>
      <c r="J806" t="n">
        <v>0</v>
      </c>
      <c r="K806" t="n">
        <v>0</v>
      </c>
      <c r="L806" t="n">
        <v>0</v>
      </c>
      <c r="M806" t="n">
        <v>0</v>
      </c>
      <c r="N806" t="n">
        <v>0</v>
      </c>
      <c r="O806" t="n">
        <v>0</v>
      </c>
      <c r="P806" t="n">
        <v>0</v>
      </c>
      <c r="Q806" t="n">
        <v>0</v>
      </c>
      <c r="R806" s="2" t="inlineStr"/>
    </row>
    <row r="807" ht="15" customHeight="1">
      <c r="A807" t="inlineStr">
        <is>
          <t>A 61933-2023</t>
        </is>
      </c>
      <c r="B807" s="1" t="n">
        <v>45266</v>
      </c>
      <c r="C807" s="1" t="n">
        <v>45844</v>
      </c>
      <c r="D807" t="inlineStr">
        <is>
          <t>DALARNAS LÄN</t>
        </is>
      </c>
      <c r="E807" t="inlineStr">
        <is>
          <t>LEKSAND</t>
        </is>
      </c>
      <c r="G807" t="n">
        <v>0.2</v>
      </c>
      <c r="H807" t="n">
        <v>0</v>
      </c>
      <c r="I807" t="n">
        <v>0</v>
      </c>
      <c r="J807" t="n">
        <v>0</v>
      </c>
      <c r="K807" t="n">
        <v>0</v>
      </c>
      <c r="L807" t="n">
        <v>0</v>
      </c>
      <c r="M807" t="n">
        <v>0</v>
      </c>
      <c r="N807" t="n">
        <v>0</v>
      </c>
      <c r="O807" t="n">
        <v>0</v>
      </c>
      <c r="P807" t="n">
        <v>0</v>
      </c>
      <c r="Q807" t="n">
        <v>0</v>
      </c>
      <c r="R807" s="2" t="inlineStr"/>
    </row>
    <row r="808" ht="15" customHeight="1">
      <c r="A808" t="inlineStr">
        <is>
          <t>A 61953-2023</t>
        </is>
      </c>
      <c r="B808" s="1" t="n">
        <v>45266</v>
      </c>
      <c r="C808" s="1" t="n">
        <v>45844</v>
      </c>
      <c r="D808" t="inlineStr">
        <is>
          <t>DALARNAS LÄN</t>
        </is>
      </c>
      <c r="E808" t="inlineStr">
        <is>
          <t>LEKSAND</t>
        </is>
      </c>
      <c r="G808" t="n">
        <v>0.1</v>
      </c>
      <c r="H808" t="n">
        <v>0</v>
      </c>
      <c r="I808" t="n">
        <v>0</v>
      </c>
      <c r="J808" t="n">
        <v>0</v>
      </c>
      <c r="K808" t="n">
        <v>0</v>
      </c>
      <c r="L808" t="n">
        <v>0</v>
      </c>
      <c r="M808" t="n">
        <v>0</v>
      </c>
      <c r="N808" t="n">
        <v>0</v>
      </c>
      <c r="O808" t="n">
        <v>0</v>
      </c>
      <c r="P808" t="n">
        <v>0</v>
      </c>
      <c r="Q808" t="n">
        <v>0</v>
      </c>
      <c r="R808" s="2" t="inlineStr"/>
    </row>
    <row r="809" ht="15" customHeight="1">
      <c r="A809" t="inlineStr">
        <is>
          <t>A 61957-2023</t>
        </is>
      </c>
      <c r="B809" s="1" t="n">
        <v>45266</v>
      </c>
      <c r="C809" s="1" t="n">
        <v>45844</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61938-2023</t>
        </is>
      </c>
      <c r="B810" s="1" t="n">
        <v>45266</v>
      </c>
      <c r="C810" s="1" t="n">
        <v>45844</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61950-2023</t>
        </is>
      </c>
      <c r="B811" s="1" t="n">
        <v>45266</v>
      </c>
      <c r="C811" s="1" t="n">
        <v>45844</v>
      </c>
      <c r="D811" t="inlineStr">
        <is>
          <t>DALARNAS LÄN</t>
        </is>
      </c>
      <c r="E811" t="inlineStr">
        <is>
          <t>LEKSAND</t>
        </is>
      </c>
      <c r="G811" t="n">
        <v>0.8</v>
      </c>
      <c r="H811" t="n">
        <v>0</v>
      </c>
      <c r="I811" t="n">
        <v>0</v>
      </c>
      <c r="J811" t="n">
        <v>0</v>
      </c>
      <c r="K811" t="n">
        <v>0</v>
      </c>
      <c r="L811" t="n">
        <v>0</v>
      </c>
      <c r="M811" t="n">
        <v>0</v>
      </c>
      <c r="N811" t="n">
        <v>0</v>
      </c>
      <c r="O811" t="n">
        <v>0</v>
      </c>
      <c r="P811" t="n">
        <v>0</v>
      </c>
      <c r="Q811" t="n">
        <v>0</v>
      </c>
      <c r="R811" s="2" t="inlineStr"/>
    </row>
    <row r="812" ht="15" customHeight="1">
      <c r="A812" t="inlineStr">
        <is>
          <t>A 62306-2023</t>
        </is>
      </c>
      <c r="B812" s="1" t="n">
        <v>45266</v>
      </c>
      <c r="C812" s="1" t="n">
        <v>45844</v>
      </c>
      <c r="D812" t="inlineStr">
        <is>
          <t>DALARNAS LÄN</t>
        </is>
      </c>
      <c r="E812" t="inlineStr">
        <is>
          <t>LEKSAND</t>
        </is>
      </c>
      <c r="G812" t="n">
        <v>1.1</v>
      </c>
      <c r="H812" t="n">
        <v>0</v>
      </c>
      <c r="I812" t="n">
        <v>0</v>
      </c>
      <c r="J812" t="n">
        <v>0</v>
      </c>
      <c r="K812" t="n">
        <v>0</v>
      </c>
      <c r="L812" t="n">
        <v>0</v>
      </c>
      <c r="M812" t="n">
        <v>0</v>
      </c>
      <c r="N812" t="n">
        <v>0</v>
      </c>
      <c r="O812" t="n">
        <v>0</v>
      </c>
      <c r="P812" t="n">
        <v>0</v>
      </c>
      <c r="Q812" t="n">
        <v>0</v>
      </c>
      <c r="R812" s="2" t="inlineStr"/>
    </row>
    <row r="813" ht="15" customHeight="1">
      <c r="A813" t="inlineStr">
        <is>
          <t>A 62307-2023</t>
        </is>
      </c>
      <c r="B813" s="1" t="n">
        <v>45266</v>
      </c>
      <c r="C813" s="1" t="n">
        <v>45844</v>
      </c>
      <c r="D813" t="inlineStr">
        <is>
          <t>DALARNAS LÄN</t>
        </is>
      </c>
      <c r="E813" t="inlineStr">
        <is>
          <t>LEKSAND</t>
        </is>
      </c>
      <c r="G813" t="n">
        <v>3.9</v>
      </c>
      <c r="H813" t="n">
        <v>0</v>
      </c>
      <c r="I813" t="n">
        <v>0</v>
      </c>
      <c r="J813" t="n">
        <v>0</v>
      </c>
      <c r="K813" t="n">
        <v>0</v>
      </c>
      <c r="L813" t="n">
        <v>0</v>
      </c>
      <c r="M813" t="n">
        <v>0</v>
      </c>
      <c r="N813" t="n">
        <v>0</v>
      </c>
      <c r="O813" t="n">
        <v>0</v>
      </c>
      <c r="P813" t="n">
        <v>0</v>
      </c>
      <c r="Q813" t="n">
        <v>0</v>
      </c>
      <c r="R813" s="2" t="inlineStr"/>
    </row>
    <row r="814" ht="15" customHeight="1">
      <c r="A814" t="inlineStr">
        <is>
          <t>A 62133-2023</t>
        </is>
      </c>
      <c r="B814" s="1" t="n">
        <v>45267</v>
      </c>
      <c r="C814" s="1" t="n">
        <v>45844</v>
      </c>
      <c r="D814" t="inlineStr">
        <is>
          <t>DALARNAS LÄN</t>
        </is>
      </c>
      <c r="E814" t="inlineStr">
        <is>
          <t>LEKSAND</t>
        </is>
      </c>
      <c r="G814" t="n">
        <v>1.3</v>
      </c>
      <c r="H814" t="n">
        <v>0</v>
      </c>
      <c r="I814" t="n">
        <v>0</v>
      </c>
      <c r="J814" t="n">
        <v>0</v>
      </c>
      <c r="K814" t="n">
        <v>0</v>
      </c>
      <c r="L814" t="n">
        <v>0</v>
      </c>
      <c r="M814" t="n">
        <v>0</v>
      </c>
      <c r="N814" t="n">
        <v>0</v>
      </c>
      <c r="O814" t="n">
        <v>0</v>
      </c>
      <c r="P814" t="n">
        <v>0</v>
      </c>
      <c r="Q814" t="n">
        <v>0</v>
      </c>
      <c r="R814" s="2" t="inlineStr"/>
    </row>
    <row r="815" ht="15" customHeight="1">
      <c r="A815" t="inlineStr">
        <is>
          <t>A 62295-2023</t>
        </is>
      </c>
      <c r="B815" s="1" t="n">
        <v>45267</v>
      </c>
      <c r="C815" s="1" t="n">
        <v>45844</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62305-2023</t>
        </is>
      </c>
      <c r="B816" s="1" t="n">
        <v>45267</v>
      </c>
      <c r="C816" s="1" t="n">
        <v>45844</v>
      </c>
      <c r="D816" t="inlineStr">
        <is>
          <t>DALARNAS LÄN</t>
        </is>
      </c>
      <c r="E816" t="inlineStr">
        <is>
          <t>LEKSAND</t>
        </is>
      </c>
      <c r="G816" t="n">
        <v>0.9</v>
      </c>
      <c r="H816" t="n">
        <v>0</v>
      </c>
      <c r="I816" t="n">
        <v>0</v>
      </c>
      <c r="J816" t="n">
        <v>0</v>
      </c>
      <c r="K816" t="n">
        <v>0</v>
      </c>
      <c r="L816" t="n">
        <v>0</v>
      </c>
      <c r="M816" t="n">
        <v>0</v>
      </c>
      <c r="N816" t="n">
        <v>0</v>
      </c>
      <c r="O816" t="n">
        <v>0</v>
      </c>
      <c r="P816" t="n">
        <v>0</v>
      </c>
      <c r="Q816" t="n">
        <v>0</v>
      </c>
      <c r="R816" s="2" t="inlineStr"/>
    </row>
    <row r="817" ht="15" customHeight="1">
      <c r="A817" t="inlineStr">
        <is>
          <t>A 62587-2023</t>
        </is>
      </c>
      <c r="B817" s="1" t="n">
        <v>45270</v>
      </c>
      <c r="C817" s="1" t="n">
        <v>45844</v>
      </c>
      <c r="D817" t="inlineStr">
        <is>
          <t>DALARNAS LÄN</t>
        </is>
      </c>
      <c r="E817" t="inlineStr">
        <is>
          <t>LEKSAND</t>
        </is>
      </c>
      <c r="G817" t="n">
        <v>4.8</v>
      </c>
      <c r="H817" t="n">
        <v>0</v>
      </c>
      <c r="I817" t="n">
        <v>0</v>
      </c>
      <c r="J817" t="n">
        <v>0</v>
      </c>
      <c r="K817" t="n">
        <v>0</v>
      </c>
      <c r="L817" t="n">
        <v>0</v>
      </c>
      <c r="M817" t="n">
        <v>0</v>
      </c>
      <c r="N817" t="n">
        <v>0</v>
      </c>
      <c r="O817" t="n">
        <v>0</v>
      </c>
      <c r="P817" t="n">
        <v>0</v>
      </c>
      <c r="Q817" t="n">
        <v>0</v>
      </c>
      <c r="R817" s="2" t="inlineStr"/>
    </row>
    <row r="818" ht="15" customHeight="1">
      <c r="A818" t="inlineStr">
        <is>
          <t>A 62863-2023</t>
        </is>
      </c>
      <c r="B818" s="1" t="n">
        <v>45272</v>
      </c>
      <c r="C818" s="1" t="n">
        <v>45844</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62993-2023</t>
        </is>
      </c>
      <c r="B819" s="1" t="n">
        <v>45272</v>
      </c>
      <c r="C819" s="1" t="n">
        <v>45844</v>
      </c>
      <c r="D819" t="inlineStr">
        <is>
          <t>DALARNAS LÄN</t>
        </is>
      </c>
      <c r="E819" t="inlineStr">
        <is>
          <t>LEKSAND</t>
        </is>
      </c>
      <c r="G819" t="n">
        <v>0.6</v>
      </c>
      <c r="H819" t="n">
        <v>0</v>
      </c>
      <c r="I819" t="n">
        <v>0</v>
      </c>
      <c r="J819" t="n">
        <v>0</v>
      </c>
      <c r="K819" t="n">
        <v>0</v>
      </c>
      <c r="L819" t="n">
        <v>0</v>
      </c>
      <c r="M819" t="n">
        <v>0</v>
      </c>
      <c r="N819" t="n">
        <v>0</v>
      </c>
      <c r="O819" t="n">
        <v>0</v>
      </c>
      <c r="P819" t="n">
        <v>0</v>
      </c>
      <c r="Q819" t="n">
        <v>0</v>
      </c>
      <c r="R819" s="2" t="inlineStr"/>
    </row>
    <row r="820" ht="15" customHeight="1">
      <c r="A820" t="inlineStr">
        <is>
          <t>A 63105-2023</t>
        </is>
      </c>
      <c r="B820" s="1" t="n">
        <v>45273</v>
      </c>
      <c r="C820" s="1" t="n">
        <v>45844</v>
      </c>
      <c r="D820" t="inlineStr">
        <is>
          <t>DALARNAS LÄN</t>
        </is>
      </c>
      <c r="E820" t="inlineStr">
        <is>
          <t>LEKSAND</t>
        </is>
      </c>
      <c r="G820" t="n">
        <v>3.7</v>
      </c>
      <c r="H820" t="n">
        <v>0</v>
      </c>
      <c r="I820" t="n">
        <v>0</v>
      </c>
      <c r="J820" t="n">
        <v>0</v>
      </c>
      <c r="K820" t="n">
        <v>0</v>
      </c>
      <c r="L820" t="n">
        <v>0</v>
      </c>
      <c r="M820" t="n">
        <v>0</v>
      </c>
      <c r="N820" t="n">
        <v>0</v>
      </c>
      <c r="O820" t="n">
        <v>0</v>
      </c>
      <c r="P820" t="n">
        <v>0</v>
      </c>
      <c r="Q820" t="n">
        <v>0</v>
      </c>
      <c r="R820" s="2" t="inlineStr"/>
    </row>
    <row r="821" ht="15" customHeight="1">
      <c r="A821" t="inlineStr">
        <is>
          <t>A 63107-2023</t>
        </is>
      </c>
      <c r="B821" s="1" t="n">
        <v>45273</v>
      </c>
      <c r="C821" s="1" t="n">
        <v>45844</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63514-2023</t>
        </is>
      </c>
      <c r="B822" s="1" t="n">
        <v>45274</v>
      </c>
      <c r="C822" s="1" t="n">
        <v>45844</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63513-2023</t>
        </is>
      </c>
      <c r="B823" s="1" t="n">
        <v>45274</v>
      </c>
      <c r="C823" s="1" t="n">
        <v>45844</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63544-2023</t>
        </is>
      </c>
      <c r="B824" s="1" t="n">
        <v>45275</v>
      </c>
      <c r="C824" s="1" t="n">
        <v>45844</v>
      </c>
      <c r="D824" t="inlineStr">
        <is>
          <t>DALARNAS LÄN</t>
        </is>
      </c>
      <c r="E824" t="inlineStr">
        <is>
          <t>LEKSAND</t>
        </is>
      </c>
      <c r="G824" t="n">
        <v>0.3</v>
      </c>
      <c r="H824" t="n">
        <v>0</v>
      </c>
      <c r="I824" t="n">
        <v>0</v>
      </c>
      <c r="J824" t="n">
        <v>0</v>
      </c>
      <c r="K824" t="n">
        <v>0</v>
      </c>
      <c r="L824" t="n">
        <v>0</v>
      </c>
      <c r="M824" t="n">
        <v>0</v>
      </c>
      <c r="N824" t="n">
        <v>0</v>
      </c>
      <c r="O824" t="n">
        <v>0</v>
      </c>
      <c r="P824" t="n">
        <v>0</v>
      </c>
      <c r="Q824" t="n">
        <v>0</v>
      </c>
      <c r="R824" s="2" t="inlineStr"/>
    </row>
    <row r="825" ht="15" customHeight="1">
      <c r="A825" t="inlineStr">
        <is>
          <t>A 63548-2023</t>
        </is>
      </c>
      <c r="B825" s="1" t="n">
        <v>45275</v>
      </c>
      <c r="C825" s="1" t="n">
        <v>45844</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64146-2023</t>
        </is>
      </c>
      <c r="B826" s="1" t="n">
        <v>45279</v>
      </c>
      <c r="C826" s="1" t="n">
        <v>45844</v>
      </c>
      <c r="D826" t="inlineStr">
        <is>
          <t>DALARNAS LÄN</t>
        </is>
      </c>
      <c r="E826" t="inlineStr">
        <is>
          <t>LEKSAND</t>
        </is>
      </c>
      <c r="G826" t="n">
        <v>4.3</v>
      </c>
      <c r="H826" t="n">
        <v>0</v>
      </c>
      <c r="I826" t="n">
        <v>0</v>
      </c>
      <c r="J826" t="n">
        <v>0</v>
      </c>
      <c r="K826" t="n">
        <v>0</v>
      </c>
      <c r="L826" t="n">
        <v>0</v>
      </c>
      <c r="M826" t="n">
        <v>0</v>
      </c>
      <c r="N826" t="n">
        <v>0</v>
      </c>
      <c r="O826" t="n">
        <v>0</v>
      </c>
      <c r="P826" t="n">
        <v>0</v>
      </c>
      <c r="Q826" t="n">
        <v>0</v>
      </c>
      <c r="R826" s="2" t="inlineStr"/>
    </row>
    <row r="827" ht="15" customHeight="1">
      <c r="A827" t="inlineStr">
        <is>
          <t>A 64418-2023</t>
        </is>
      </c>
      <c r="B827" s="1" t="n">
        <v>45280</v>
      </c>
      <c r="C827" s="1" t="n">
        <v>45844</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64516-2023</t>
        </is>
      </c>
      <c r="B828" s="1" t="n">
        <v>45280</v>
      </c>
      <c r="C828" s="1" t="n">
        <v>45844</v>
      </c>
      <c r="D828" t="inlineStr">
        <is>
          <t>DALARNAS LÄN</t>
        </is>
      </c>
      <c r="E828" t="inlineStr">
        <is>
          <t>LEKSAND</t>
        </is>
      </c>
      <c r="G828" t="n">
        <v>4.4</v>
      </c>
      <c r="H828" t="n">
        <v>0</v>
      </c>
      <c r="I828" t="n">
        <v>0</v>
      </c>
      <c r="J828" t="n">
        <v>0</v>
      </c>
      <c r="K828" t="n">
        <v>0</v>
      </c>
      <c r="L828" t="n">
        <v>0</v>
      </c>
      <c r="M828" t="n">
        <v>0</v>
      </c>
      <c r="N828" t="n">
        <v>0</v>
      </c>
      <c r="O828" t="n">
        <v>0</v>
      </c>
      <c r="P828" t="n">
        <v>0</v>
      </c>
      <c r="Q828" t="n">
        <v>0</v>
      </c>
      <c r="R828" s="2" t="inlineStr"/>
    </row>
    <row r="829" ht="15" customHeight="1">
      <c r="A829" t="inlineStr">
        <is>
          <t>A 64515-2023</t>
        </is>
      </c>
      <c r="B829" s="1" t="n">
        <v>45280</v>
      </c>
      <c r="C829" s="1" t="n">
        <v>45844</v>
      </c>
      <c r="D829" t="inlineStr">
        <is>
          <t>DALARNAS LÄN</t>
        </is>
      </c>
      <c r="E829" t="inlineStr">
        <is>
          <t>LEKSAND</t>
        </is>
      </c>
      <c r="G829" t="n">
        <v>9.1</v>
      </c>
      <c r="H829" t="n">
        <v>0</v>
      </c>
      <c r="I829" t="n">
        <v>0</v>
      </c>
      <c r="J829" t="n">
        <v>0</v>
      </c>
      <c r="K829" t="n">
        <v>0</v>
      </c>
      <c r="L829" t="n">
        <v>0</v>
      </c>
      <c r="M829" t="n">
        <v>0</v>
      </c>
      <c r="N829" t="n">
        <v>0</v>
      </c>
      <c r="O829" t="n">
        <v>0</v>
      </c>
      <c r="P829" t="n">
        <v>0</v>
      </c>
      <c r="Q829" t="n">
        <v>0</v>
      </c>
      <c r="R829" s="2" t="inlineStr"/>
    </row>
    <row r="830" ht="15" customHeight="1">
      <c r="A830" t="inlineStr">
        <is>
          <t>A 64677-2023</t>
        </is>
      </c>
      <c r="B830" s="1" t="n">
        <v>45281</v>
      </c>
      <c r="C830" s="1" t="n">
        <v>45844</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64612-2023</t>
        </is>
      </c>
      <c r="B831" s="1" t="n">
        <v>45281</v>
      </c>
      <c r="C831" s="1" t="n">
        <v>45844</v>
      </c>
      <c r="D831" t="inlineStr">
        <is>
          <t>DALARNAS LÄN</t>
        </is>
      </c>
      <c r="E831" t="inlineStr">
        <is>
          <t>LEKSAND</t>
        </is>
      </c>
      <c r="G831" t="n">
        <v>3.6</v>
      </c>
      <c r="H831" t="n">
        <v>0</v>
      </c>
      <c r="I831" t="n">
        <v>0</v>
      </c>
      <c r="J831" t="n">
        <v>0</v>
      </c>
      <c r="K831" t="n">
        <v>0</v>
      </c>
      <c r="L831" t="n">
        <v>0</v>
      </c>
      <c r="M831" t="n">
        <v>0</v>
      </c>
      <c r="N831" t="n">
        <v>0</v>
      </c>
      <c r="O831" t="n">
        <v>0</v>
      </c>
      <c r="P831" t="n">
        <v>0</v>
      </c>
      <c r="Q831" t="n">
        <v>0</v>
      </c>
      <c r="R831" s="2" t="inlineStr"/>
    </row>
    <row r="832" ht="15" customHeight="1">
      <c r="A832" t="inlineStr">
        <is>
          <t>A 64867-2023</t>
        </is>
      </c>
      <c r="B832" s="1" t="n">
        <v>45282</v>
      </c>
      <c r="C832" s="1" t="n">
        <v>45844</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64931-2023</t>
        </is>
      </c>
      <c r="B833" s="1" t="n">
        <v>45282</v>
      </c>
      <c r="C833" s="1" t="n">
        <v>45844</v>
      </c>
      <c r="D833" t="inlineStr">
        <is>
          <t>DALARNAS LÄN</t>
        </is>
      </c>
      <c r="E833" t="inlineStr">
        <is>
          <t>LEKSAND</t>
        </is>
      </c>
      <c r="G833" t="n">
        <v>6.3</v>
      </c>
      <c r="H833" t="n">
        <v>0</v>
      </c>
      <c r="I833" t="n">
        <v>0</v>
      </c>
      <c r="J833" t="n">
        <v>0</v>
      </c>
      <c r="K833" t="n">
        <v>0</v>
      </c>
      <c r="L833" t="n">
        <v>0</v>
      </c>
      <c r="M833" t="n">
        <v>0</v>
      </c>
      <c r="N833" t="n">
        <v>0</v>
      </c>
      <c r="O833" t="n">
        <v>0</v>
      </c>
      <c r="P833" t="n">
        <v>0</v>
      </c>
      <c r="Q833" t="n">
        <v>0</v>
      </c>
      <c r="R833" s="2" t="inlineStr"/>
    </row>
    <row r="834" ht="15" customHeight="1">
      <c r="A834" t="inlineStr">
        <is>
          <t>A 64933-2023</t>
        </is>
      </c>
      <c r="B834" s="1" t="n">
        <v>45282</v>
      </c>
      <c r="C834" s="1" t="n">
        <v>45844</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65047-2023</t>
        </is>
      </c>
      <c r="B835" s="1" t="n">
        <v>45283</v>
      </c>
      <c r="C835" s="1" t="n">
        <v>45844</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23-2024</t>
        </is>
      </c>
      <c r="B836" s="1" t="n">
        <v>45293</v>
      </c>
      <c r="C836" s="1" t="n">
        <v>45844</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32-2024</t>
        </is>
      </c>
      <c r="B837" s="1" t="n">
        <v>45293</v>
      </c>
      <c r="C837" s="1" t="n">
        <v>45844</v>
      </c>
      <c r="D837" t="inlineStr">
        <is>
          <t>DALARNAS LÄN</t>
        </is>
      </c>
      <c r="E837" t="inlineStr">
        <is>
          <t>LEKSAND</t>
        </is>
      </c>
      <c r="G837" t="n">
        <v>0.6</v>
      </c>
      <c r="H837" t="n">
        <v>0</v>
      </c>
      <c r="I837" t="n">
        <v>0</v>
      </c>
      <c r="J837" t="n">
        <v>0</v>
      </c>
      <c r="K837" t="n">
        <v>0</v>
      </c>
      <c r="L837" t="n">
        <v>0</v>
      </c>
      <c r="M837" t="n">
        <v>0</v>
      </c>
      <c r="N837" t="n">
        <v>0</v>
      </c>
      <c r="O837" t="n">
        <v>0</v>
      </c>
      <c r="P837" t="n">
        <v>0</v>
      </c>
      <c r="Q837" t="n">
        <v>0</v>
      </c>
      <c r="R837" s="2" t="inlineStr"/>
    </row>
    <row r="838" ht="15" customHeight="1">
      <c r="A838" t="inlineStr">
        <is>
          <t>A 121-2024</t>
        </is>
      </c>
      <c r="B838" s="1" t="n">
        <v>45294</v>
      </c>
      <c r="C838" s="1" t="n">
        <v>45844</v>
      </c>
      <c r="D838" t="inlineStr">
        <is>
          <t>DALARNAS LÄN</t>
        </is>
      </c>
      <c r="E838" t="inlineStr">
        <is>
          <t>LEKSAND</t>
        </is>
      </c>
      <c r="G838" t="n">
        <v>8.6</v>
      </c>
      <c r="H838" t="n">
        <v>0</v>
      </c>
      <c r="I838" t="n">
        <v>0</v>
      </c>
      <c r="J838" t="n">
        <v>0</v>
      </c>
      <c r="K838" t="n">
        <v>0</v>
      </c>
      <c r="L838" t="n">
        <v>0</v>
      </c>
      <c r="M838" t="n">
        <v>0</v>
      </c>
      <c r="N838" t="n">
        <v>0</v>
      </c>
      <c r="O838" t="n">
        <v>0</v>
      </c>
      <c r="P838" t="n">
        <v>0</v>
      </c>
      <c r="Q838" t="n">
        <v>0</v>
      </c>
      <c r="R838" s="2" t="inlineStr"/>
    </row>
    <row r="839" ht="15" customHeight="1">
      <c r="A839" t="inlineStr">
        <is>
          <t>A 402-2024</t>
        </is>
      </c>
      <c r="B839" s="1" t="n">
        <v>45296</v>
      </c>
      <c r="C839" s="1" t="n">
        <v>45844</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412-2024</t>
        </is>
      </c>
      <c r="B840" s="1" t="n">
        <v>45296</v>
      </c>
      <c r="C840" s="1" t="n">
        <v>45844</v>
      </c>
      <c r="D840" t="inlineStr">
        <is>
          <t>DALARNAS LÄN</t>
        </is>
      </c>
      <c r="E840" t="inlineStr">
        <is>
          <t>LEKSAND</t>
        </is>
      </c>
      <c r="G840" t="n">
        <v>1.9</v>
      </c>
      <c r="H840" t="n">
        <v>0</v>
      </c>
      <c r="I840" t="n">
        <v>0</v>
      </c>
      <c r="J840" t="n">
        <v>0</v>
      </c>
      <c r="K840" t="n">
        <v>0</v>
      </c>
      <c r="L840" t="n">
        <v>0</v>
      </c>
      <c r="M840" t="n">
        <v>0</v>
      </c>
      <c r="N840" t="n">
        <v>0</v>
      </c>
      <c r="O840" t="n">
        <v>0</v>
      </c>
      <c r="P840" t="n">
        <v>0</v>
      </c>
      <c r="Q840" t="n">
        <v>0</v>
      </c>
      <c r="R840" s="2" t="inlineStr"/>
    </row>
    <row r="841" ht="15" customHeight="1">
      <c r="A841" t="inlineStr">
        <is>
          <t>A 481-2024</t>
        </is>
      </c>
      <c r="B841" s="1" t="n">
        <v>45298</v>
      </c>
      <c r="C841" s="1" t="n">
        <v>45844</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511-2024</t>
        </is>
      </c>
      <c r="B842" s="1" t="n">
        <v>45299</v>
      </c>
      <c r="C842" s="1" t="n">
        <v>45844</v>
      </c>
      <c r="D842" t="inlineStr">
        <is>
          <t>DALARNAS LÄN</t>
        </is>
      </c>
      <c r="E842" t="inlineStr">
        <is>
          <t>LEKSAND</t>
        </is>
      </c>
      <c r="G842" t="n">
        <v>1.1</v>
      </c>
      <c r="H842" t="n">
        <v>0</v>
      </c>
      <c r="I842" t="n">
        <v>0</v>
      </c>
      <c r="J842" t="n">
        <v>0</v>
      </c>
      <c r="K842" t="n">
        <v>0</v>
      </c>
      <c r="L842" t="n">
        <v>0</v>
      </c>
      <c r="M842" t="n">
        <v>0</v>
      </c>
      <c r="N842" t="n">
        <v>0</v>
      </c>
      <c r="O842" t="n">
        <v>0</v>
      </c>
      <c r="P842" t="n">
        <v>0</v>
      </c>
      <c r="Q842" t="n">
        <v>0</v>
      </c>
      <c r="R842" s="2" t="inlineStr"/>
    </row>
    <row r="843" ht="15" customHeight="1">
      <c r="A843" t="inlineStr">
        <is>
          <t>A 613-2024</t>
        </is>
      </c>
      <c r="B843" s="1" t="n">
        <v>45299</v>
      </c>
      <c r="C843" s="1" t="n">
        <v>45844</v>
      </c>
      <c r="D843" t="inlineStr">
        <is>
          <t>DALARNAS LÄN</t>
        </is>
      </c>
      <c r="E843" t="inlineStr">
        <is>
          <t>LEKSAND</t>
        </is>
      </c>
      <c r="G843" t="n">
        <v>1.4</v>
      </c>
      <c r="H843" t="n">
        <v>0</v>
      </c>
      <c r="I843" t="n">
        <v>0</v>
      </c>
      <c r="J843" t="n">
        <v>0</v>
      </c>
      <c r="K843" t="n">
        <v>0</v>
      </c>
      <c r="L843" t="n">
        <v>0</v>
      </c>
      <c r="M843" t="n">
        <v>0</v>
      </c>
      <c r="N843" t="n">
        <v>0</v>
      </c>
      <c r="O843" t="n">
        <v>0</v>
      </c>
      <c r="P843" t="n">
        <v>0</v>
      </c>
      <c r="Q843" t="n">
        <v>0</v>
      </c>
      <c r="R843" s="2" t="inlineStr"/>
    </row>
    <row r="844" ht="15" customHeight="1">
      <c r="A844" t="inlineStr">
        <is>
          <t>A 962-2024</t>
        </is>
      </c>
      <c r="B844" s="1" t="n">
        <v>45301</v>
      </c>
      <c r="C844" s="1" t="n">
        <v>45844</v>
      </c>
      <c r="D844" t="inlineStr">
        <is>
          <t>DALARNAS LÄN</t>
        </is>
      </c>
      <c r="E844" t="inlineStr">
        <is>
          <t>LEKSAND</t>
        </is>
      </c>
      <c r="G844" t="n">
        <v>3.8</v>
      </c>
      <c r="H844" t="n">
        <v>0</v>
      </c>
      <c r="I844" t="n">
        <v>0</v>
      </c>
      <c r="J844" t="n">
        <v>0</v>
      </c>
      <c r="K844" t="n">
        <v>0</v>
      </c>
      <c r="L844" t="n">
        <v>0</v>
      </c>
      <c r="M844" t="n">
        <v>0</v>
      </c>
      <c r="N844" t="n">
        <v>0</v>
      </c>
      <c r="O844" t="n">
        <v>0</v>
      </c>
      <c r="P844" t="n">
        <v>0</v>
      </c>
      <c r="Q844" t="n">
        <v>0</v>
      </c>
      <c r="R844" s="2" t="inlineStr"/>
    </row>
    <row r="845" ht="15" customHeight="1">
      <c r="A845" t="inlineStr">
        <is>
          <t>A 1179-2024</t>
        </is>
      </c>
      <c r="B845" s="1" t="n">
        <v>45302</v>
      </c>
      <c r="C845" s="1" t="n">
        <v>45844</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1215-2024</t>
        </is>
      </c>
      <c r="B846" s="1" t="n">
        <v>45302</v>
      </c>
      <c r="C846" s="1" t="n">
        <v>45844</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1458-2024</t>
        </is>
      </c>
      <c r="B847" s="1" t="n">
        <v>45303</v>
      </c>
      <c r="C847" s="1" t="n">
        <v>45844</v>
      </c>
      <c r="D847" t="inlineStr">
        <is>
          <t>DALARNAS LÄN</t>
        </is>
      </c>
      <c r="E847" t="inlineStr">
        <is>
          <t>LEKSAND</t>
        </is>
      </c>
      <c r="G847" t="n">
        <v>2</v>
      </c>
      <c r="H847" t="n">
        <v>0</v>
      </c>
      <c r="I847" t="n">
        <v>0</v>
      </c>
      <c r="J847" t="n">
        <v>0</v>
      </c>
      <c r="K847" t="n">
        <v>0</v>
      </c>
      <c r="L847" t="n">
        <v>0</v>
      </c>
      <c r="M847" t="n">
        <v>0</v>
      </c>
      <c r="N847" t="n">
        <v>0</v>
      </c>
      <c r="O847" t="n">
        <v>0</v>
      </c>
      <c r="P847" t="n">
        <v>0</v>
      </c>
      <c r="Q847" t="n">
        <v>0</v>
      </c>
      <c r="R847" s="2" t="inlineStr"/>
    </row>
    <row r="848" ht="15" customHeight="1">
      <c r="A848" t="inlineStr">
        <is>
          <t>A 1443-2024</t>
        </is>
      </c>
      <c r="B848" s="1" t="n">
        <v>45303</v>
      </c>
      <c r="C848" s="1" t="n">
        <v>45844</v>
      </c>
      <c r="D848" t="inlineStr">
        <is>
          <t>DALARNAS LÄN</t>
        </is>
      </c>
      <c r="E848" t="inlineStr">
        <is>
          <t>LEKSAND</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1457-2024</t>
        </is>
      </c>
      <c r="B849" s="1" t="n">
        <v>45303</v>
      </c>
      <c r="C849" s="1" t="n">
        <v>45844</v>
      </c>
      <c r="D849" t="inlineStr">
        <is>
          <t>DALARNAS LÄN</t>
        </is>
      </c>
      <c r="E849" t="inlineStr">
        <is>
          <t>LEKSAND</t>
        </is>
      </c>
      <c r="G849" t="n">
        <v>4.4</v>
      </c>
      <c r="H849" t="n">
        <v>0</v>
      </c>
      <c r="I849" t="n">
        <v>0</v>
      </c>
      <c r="J849" t="n">
        <v>0</v>
      </c>
      <c r="K849" t="n">
        <v>0</v>
      </c>
      <c r="L849" t="n">
        <v>0</v>
      </c>
      <c r="M849" t="n">
        <v>0</v>
      </c>
      <c r="N849" t="n">
        <v>0</v>
      </c>
      <c r="O849" t="n">
        <v>0</v>
      </c>
      <c r="P849" t="n">
        <v>0</v>
      </c>
      <c r="Q849" t="n">
        <v>0</v>
      </c>
      <c r="R849" s="2" t="inlineStr"/>
    </row>
    <row r="850" ht="15" customHeight="1">
      <c r="A850" t="inlineStr">
        <is>
          <t>A 1461-2024</t>
        </is>
      </c>
      <c r="B850" s="1" t="n">
        <v>45303</v>
      </c>
      <c r="C850" s="1" t="n">
        <v>45844</v>
      </c>
      <c r="D850" t="inlineStr">
        <is>
          <t>DALARNAS LÄN</t>
        </is>
      </c>
      <c r="E850" t="inlineStr">
        <is>
          <t>LEKSAND</t>
        </is>
      </c>
      <c r="G850" t="n">
        <v>2.4</v>
      </c>
      <c r="H850" t="n">
        <v>0</v>
      </c>
      <c r="I850" t="n">
        <v>0</v>
      </c>
      <c r="J850" t="n">
        <v>0</v>
      </c>
      <c r="K850" t="n">
        <v>0</v>
      </c>
      <c r="L850" t="n">
        <v>0</v>
      </c>
      <c r="M850" t="n">
        <v>0</v>
      </c>
      <c r="N850" t="n">
        <v>0</v>
      </c>
      <c r="O850" t="n">
        <v>0</v>
      </c>
      <c r="P850" t="n">
        <v>0</v>
      </c>
      <c r="Q850" t="n">
        <v>0</v>
      </c>
      <c r="R850" s="2" t="inlineStr"/>
    </row>
    <row r="851" ht="15" customHeight="1">
      <c r="A851" t="inlineStr">
        <is>
          <t>A 1463-2024</t>
        </is>
      </c>
      <c r="B851" s="1" t="n">
        <v>45303</v>
      </c>
      <c r="C851" s="1" t="n">
        <v>45844</v>
      </c>
      <c r="D851" t="inlineStr">
        <is>
          <t>DALARNAS LÄN</t>
        </is>
      </c>
      <c r="E851" t="inlineStr">
        <is>
          <t>LEKSAND</t>
        </is>
      </c>
      <c r="G851" t="n">
        <v>1.5</v>
      </c>
      <c r="H851" t="n">
        <v>0</v>
      </c>
      <c r="I851" t="n">
        <v>0</v>
      </c>
      <c r="J851" t="n">
        <v>0</v>
      </c>
      <c r="K851" t="n">
        <v>0</v>
      </c>
      <c r="L851" t="n">
        <v>0</v>
      </c>
      <c r="M851" t="n">
        <v>0</v>
      </c>
      <c r="N851" t="n">
        <v>0</v>
      </c>
      <c r="O851" t="n">
        <v>0</v>
      </c>
      <c r="P851" t="n">
        <v>0</v>
      </c>
      <c r="Q851" t="n">
        <v>0</v>
      </c>
      <c r="R851" s="2" t="inlineStr"/>
    </row>
    <row r="852" ht="15" customHeight="1">
      <c r="A852" t="inlineStr">
        <is>
          <t>A 1476-2024</t>
        </is>
      </c>
      <c r="B852" s="1" t="n">
        <v>45304</v>
      </c>
      <c r="C852" s="1" t="n">
        <v>45844</v>
      </c>
      <c r="D852" t="inlineStr">
        <is>
          <t>DALARNAS LÄN</t>
        </is>
      </c>
      <c r="E852" t="inlineStr">
        <is>
          <t>LEKSAND</t>
        </is>
      </c>
      <c r="G852" t="n">
        <v>4.3</v>
      </c>
      <c r="H852" t="n">
        <v>0</v>
      </c>
      <c r="I852" t="n">
        <v>0</v>
      </c>
      <c r="J852" t="n">
        <v>0</v>
      </c>
      <c r="K852" t="n">
        <v>0</v>
      </c>
      <c r="L852" t="n">
        <v>0</v>
      </c>
      <c r="M852" t="n">
        <v>0</v>
      </c>
      <c r="N852" t="n">
        <v>0</v>
      </c>
      <c r="O852" t="n">
        <v>0</v>
      </c>
      <c r="P852" t="n">
        <v>0</v>
      </c>
      <c r="Q852" t="n">
        <v>0</v>
      </c>
      <c r="R852" s="2" t="inlineStr"/>
    </row>
    <row r="853" ht="15" customHeight="1">
      <c r="A853" t="inlineStr">
        <is>
          <t>A 1519-2024</t>
        </is>
      </c>
      <c r="B853" s="1" t="n">
        <v>45306</v>
      </c>
      <c r="C853" s="1" t="n">
        <v>45844</v>
      </c>
      <c r="D853" t="inlineStr">
        <is>
          <t>DALARNAS LÄN</t>
        </is>
      </c>
      <c r="E853" t="inlineStr">
        <is>
          <t>LEKSAND</t>
        </is>
      </c>
      <c r="G853" t="n">
        <v>3.3</v>
      </c>
      <c r="H853" t="n">
        <v>0</v>
      </c>
      <c r="I853" t="n">
        <v>0</v>
      </c>
      <c r="J853" t="n">
        <v>0</v>
      </c>
      <c r="K853" t="n">
        <v>0</v>
      </c>
      <c r="L853" t="n">
        <v>0</v>
      </c>
      <c r="M853" t="n">
        <v>0</v>
      </c>
      <c r="N853" t="n">
        <v>0</v>
      </c>
      <c r="O853" t="n">
        <v>0</v>
      </c>
      <c r="P853" t="n">
        <v>0</v>
      </c>
      <c r="Q853" t="n">
        <v>0</v>
      </c>
      <c r="R853" s="2" t="inlineStr"/>
    </row>
    <row r="854" ht="15" customHeight="1">
      <c r="A854" t="inlineStr">
        <is>
          <t>A 1616-2024</t>
        </is>
      </c>
      <c r="B854" s="1" t="n">
        <v>45306</v>
      </c>
      <c r="C854" s="1" t="n">
        <v>45844</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1849-2024</t>
        </is>
      </c>
      <c r="B855" s="1" t="n">
        <v>45307</v>
      </c>
      <c r="C855" s="1" t="n">
        <v>45844</v>
      </c>
      <c r="D855" t="inlineStr">
        <is>
          <t>DALARNAS LÄN</t>
        </is>
      </c>
      <c r="E855" t="inlineStr">
        <is>
          <t>LEKSAND</t>
        </is>
      </c>
      <c r="F855" t="inlineStr">
        <is>
          <t>Kommuner</t>
        </is>
      </c>
      <c r="G855" t="n">
        <v>5</v>
      </c>
      <c r="H855" t="n">
        <v>0</v>
      </c>
      <c r="I855" t="n">
        <v>0</v>
      </c>
      <c r="J855" t="n">
        <v>0</v>
      </c>
      <c r="K855" t="n">
        <v>0</v>
      </c>
      <c r="L855" t="n">
        <v>0</v>
      </c>
      <c r="M855" t="n">
        <v>0</v>
      </c>
      <c r="N855" t="n">
        <v>0</v>
      </c>
      <c r="O855" t="n">
        <v>0</v>
      </c>
      <c r="P855" t="n">
        <v>0</v>
      </c>
      <c r="Q855" t="n">
        <v>0</v>
      </c>
      <c r="R855" s="2" t="inlineStr"/>
    </row>
    <row r="856" ht="15" customHeight="1">
      <c r="A856" t="inlineStr">
        <is>
          <t>A 1706-2024</t>
        </is>
      </c>
      <c r="B856" s="1" t="n">
        <v>45307</v>
      </c>
      <c r="C856" s="1" t="n">
        <v>45844</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1719-2024</t>
        </is>
      </c>
      <c r="B857" s="1" t="n">
        <v>45307</v>
      </c>
      <c r="C857" s="1" t="n">
        <v>45844</v>
      </c>
      <c r="D857" t="inlineStr">
        <is>
          <t>DALARNAS LÄN</t>
        </is>
      </c>
      <c r="E857" t="inlineStr">
        <is>
          <t>LEKSAND</t>
        </is>
      </c>
      <c r="G857" t="n">
        <v>2.8</v>
      </c>
      <c r="H857" t="n">
        <v>0</v>
      </c>
      <c r="I857" t="n">
        <v>0</v>
      </c>
      <c r="J857" t="n">
        <v>0</v>
      </c>
      <c r="K857" t="n">
        <v>0</v>
      </c>
      <c r="L857" t="n">
        <v>0</v>
      </c>
      <c r="M857" t="n">
        <v>0</v>
      </c>
      <c r="N857" t="n">
        <v>0</v>
      </c>
      <c r="O857" t="n">
        <v>0</v>
      </c>
      <c r="P857" t="n">
        <v>0</v>
      </c>
      <c r="Q857" t="n">
        <v>0</v>
      </c>
      <c r="R857" s="2" t="inlineStr"/>
    </row>
    <row r="858" ht="15" customHeight="1">
      <c r="A858" t="inlineStr">
        <is>
          <t>A 1946-2024</t>
        </is>
      </c>
      <c r="B858" s="1" t="n">
        <v>45308</v>
      </c>
      <c r="C858" s="1" t="n">
        <v>45844</v>
      </c>
      <c r="D858" t="inlineStr">
        <is>
          <t>DALARNAS LÄN</t>
        </is>
      </c>
      <c r="E858" t="inlineStr">
        <is>
          <t>LEKSAND</t>
        </is>
      </c>
      <c r="G858" t="n">
        <v>2.3</v>
      </c>
      <c r="H858" t="n">
        <v>0</v>
      </c>
      <c r="I858" t="n">
        <v>0</v>
      </c>
      <c r="J858" t="n">
        <v>0</v>
      </c>
      <c r="K858" t="n">
        <v>0</v>
      </c>
      <c r="L858" t="n">
        <v>0</v>
      </c>
      <c r="M858" t="n">
        <v>0</v>
      </c>
      <c r="N858" t="n">
        <v>0</v>
      </c>
      <c r="O858" t="n">
        <v>0</v>
      </c>
      <c r="P858" t="n">
        <v>0</v>
      </c>
      <c r="Q858" t="n">
        <v>0</v>
      </c>
      <c r="R858" s="2" t="inlineStr"/>
    </row>
    <row r="859" ht="15" customHeight="1">
      <c r="A859" t="inlineStr">
        <is>
          <t>A 2158-2024</t>
        </is>
      </c>
      <c r="B859" s="1" t="n">
        <v>45309</v>
      </c>
      <c r="C859" s="1" t="n">
        <v>45844</v>
      </c>
      <c r="D859" t="inlineStr">
        <is>
          <t>DALARNAS LÄN</t>
        </is>
      </c>
      <c r="E859" t="inlineStr">
        <is>
          <t>LEKSAND</t>
        </is>
      </c>
      <c r="G859" t="n">
        <v>2.1</v>
      </c>
      <c r="H859" t="n">
        <v>0</v>
      </c>
      <c r="I859" t="n">
        <v>0</v>
      </c>
      <c r="J859" t="n">
        <v>0</v>
      </c>
      <c r="K859" t="n">
        <v>0</v>
      </c>
      <c r="L859" t="n">
        <v>0</v>
      </c>
      <c r="M859" t="n">
        <v>0</v>
      </c>
      <c r="N859" t="n">
        <v>0</v>
      </c>
      <c r="O859" t="n">
        <v>0</v>
      </c>
      <c r="P859" t="n">
        <v>0</v>
      </c>
      <c r="Q859" t="n">
        <v>0</v>
      </c>
      <c r="R859" s="2" t="inlineStr"/>
    </row>
    <row r="860" ht="15" customHeight="1">
      <c r="A860" t="inlineStr">
        <is>
          <t>A 2140-2024</t>
        </is>
      </c>
      <c r="B860" s="1" t="n">
        <v>45309</v>
      </c>
      <c r="C860" s="1" t="n">
        <v>45844</v>
      </c>
      <c r="D860" t="inlineStr">
        <is>
          <t>DALARNAS LÄN</t>
        </is>
      </c>
      <c r="E860" t="inlineStr">
        <is>
          <t>LEKSAND</t>
        </is>
      </c>
      <c r="G860" t="n">
        <v>1.5</v>
      </c>
      <c r="H860" t="n">
        <v>0</v>
      </c>
      <c r="I860" t="n">
        <v>0</v>
      </c>
      <c r="J860" t="n">
        <v>0</v>
      </c>
      <c r="K860" t="n">
        <v>0</v>
      </c>
      <c r="L860" t="n">
        <v>0</v>
      </c>
      <c r="M860" t="n">
        <v>0</v>
      </c>
      <c r="N860" t="n">
        <v>0</v>
      </c>
      <c r="O860" t="n">
        <v>0</v>
      </c>
      <c r="P860" t="n">
        <v>0</v>
      </c>
      <c r="Q860" t="n">
        <v>0</v>
      </c>
      <c r="R860" s="2" t="inlineStr"/>
    </row>
    <row r="861" ht="15" customHeight="1">
      <c r="A861" t="inlineStr">
        <is>
          <t>A 2517-2024</t>
        </is>
      </c>
      <c r="B861" s="1" t="n">
        <v>45313</v>
      </c>
      <c r="C861" s="1" t="n">
        <v>45844</v>
      </c>
      <c r="D861" t="inlineStr">
        <is>
          <t>DALARNAS LÄN</t>
        </is>
      </c>
      <c r="E861" t="inlineStr">
        <is>
          <t>LEKSAND</t>
        </is>
      </c>
      <c r="F861" t="inlineStr">
        <is>
          <t>Bergvik skog väst AB</t>
        </is>
      </c>
      <c r="G861" t="n">
        <v>4</v>
      </c>
      <c r="H861" t="n">
        <v>0</v>
      </c>
      <c r="I861" t="n">
        <v>0</v>
      </c>
      <c r="J861" t="n">
        <v>0</v>
      </c>
      <c r="K861" t="n">
        <v>0</v>
      </c>
      <c r="L861" t="n">
        <v>0</v>
      </c>
      <c r="M861" t="n">
        <v>0</v>
      </c>
      <c r="N861" t="n">
        <v>0</v>
      </c>
      <c r="O861" t="n">
        <v>0</v>
      </c>
      <c r="P861" t="n">
        <v>0</v>
      </c>
      <c r="Q861" t="n">
        <v>0</v>
      </c>
      <c r="R861" s="2" t="inlineStr"/>
    </row>
    <row r="862" ht="15" customHeight="1">
      <c r="A862" t="inlineStr">
        <is>
          <t>A 2536-2024</t>
        </is>
      </c>
      <c r="B862" s="1" t="n">
        <v>45313</v>
      </c>
      <c r="C862" s="1" t="n">
        <v>45844</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2820-2024</t>
        </is>
      </c>
      <c r="B863" s="1" t="n">
        <v>45314</v>
      </c>
      <c r="C863" s="1" t="n">
        <v>45844</v>
      </c>
      <c r="D863" t="inlineStr">
        <is>
          <t>DALARNAS LÄN</t>
        </is>
      </c>
      <c r="E863" t="inlineStr">
        <is>
          <t>LEKSAND</t>
        </is>
      </c>
      <c r="G863" t="n">
        <v>1.7</v>
      </c>
      <c r="H863" t="n">
        <v>0</v>
      </c>
      <c r="I863" t="n">
        <v>0</v>
      </c>
      <c r="J863" t="n">
        <v>0</v>
      </c>
      <c r="K863" t="n">
        <v>0</v>
      </c>
      <c r="L863" t="n">
        <v>0</v>
      </c>
      <c r="M863" t="n">
        <v>0</v>
      </c>
      <c r="N863" t="n">
        <v>0</v>
      </c>
      <c r="O863" t="n">
        <v>0</v>
      </c>
      <c r="P863" t="n">
        <v>0</v>
      </c>
      <c r="Q863" t="n">
        <v>0</v>
      </c>
      <c r="R863" s="2" t="inlineStr"/>
    </row>
    <row r="864" ht="15" customHeight="1">
      <c r="A864" t="inlineStr">
        <is>
          <t>A 2822-2024</t>
        </is>
      </c>
      <c r="B864" s="1" t="n">
        <v>45314</v>
      </c>
      <c r="C864" s="1" t="n">
        <v>45844</v>
      </c>
      <c r="D864" t="inlineStr">
        <is>
          <t>DALARNAS LÄN</t>
        </is>
      </c>
      <c r="E864" t="inlineStr">
        <is>
          <t>LEKSAND</t>
        </is>
      </c>
      <c r="G864" t="n">
        <v>1.6</v>
      </c>
      <c r="H864" t="n">
        <v>0</v>
      </c>
      <c r="I864" t="n">
        <v>0</v>
      </c>
      <c r="J864" t="n">
        <v>0</v>
      </c>
      <c r="K864" t="n">
        <v>0</v>
      </c>
      <c r="L864" t="n">
        <v>0</v>
      </c>
      <c r="M864" t="n">
        <v>0</v>
      </c>
      <c r="N864" t="n">
        <v>0</v>
      </c>
      <c r="O864" t="n">
        <v>0</v>
      </c>
      <c r="P864" t="n">
        <v>0</v>
      </c>
      <c r="Q864" t="n">
        <v>0</v>
      </c>
      <c r="R864" s="2" t="inlineStr"/>
    </row>
    <row r="865" ht="15" customHeight="1">
      <c r="A865" t="inlineStr">
        <is>
          <t>A 3138-2024</t>
        </is>
      </c>
      <c r="B865" s="1" t="n">
        <v>45316</v>
      </c>
      <c r="C865" s="1" t="n">
        <v>45844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3048-2024</t>
        </is>
      </c>
      <c r="B866" s="1" t="n">
        <v>45316</v>
      </c>
      <c r="C866" s="1" t="n">
        <v>45844</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3205-2024</t>
        </is>
      </c>
      <c r="B867" s="1" t="n">
        <v>45316</v>
      </c>
      <c r="C867" s="1" t="n">
        <v>45844</v>
      </c>
      <c r="D867" t="inlineStr">
        <is>
          <t>DALARNAS LÄN</t>
        </is>
      </c>
      <c r="E867" t="inlineStr">
        <is>
          <t>LEKSAND</t>
        </is>
      </c>
      <c r="G867" t="n">
        <v>0.8</v>
      </c>
      <c r="H867" t="n">
        <v>0</v>
      </c>
      <c r="I867" t="n">
        <v>0</v>
      </c>
      <c r="J867" t="n">
        <v>0</v>
      </c>
      <c r="K867" t="n">
        <v>0</v>
      </c>
      <c r="L867" t="n">
        <v>0</v>
      </c>
      <c r="M867" t="n">
        <v>0</v>
      </c>
      <c r="N867" t="n">
        <v>0</v>
      </c>
      <c r="O867" t="n">
        <v>0</v>
      </c>
      <c r="P867" t="n">
        <v>0</v>
      </c>
      <c r="Q867" t="n">
        <v>0</v>
      </c>
      <c r="R867" s="2" t="inlineStr"/>
    </row>
    <row r="868" ht="15" customHeight="1">
      <c r="A868" t="inlineStr">
        <is>
          <t>A 3202-2024</t>
        </is>
      </c>
      <c r="B868" s="1" t="n">
        <v>45316</v>
      </c>
      <c r="C868" s="1" t="n">
        <v>45844</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3352-2024</t>
        </is>
      </c>
      <c r="B869" s="1" t="n">
        <v>45317</v>
      </c>
      <c r="C869" s="1" t="n">
        <v>45844</v>
      </c>
      <c r="D869" t="inlineStr">
        <is>
          <t>DALARNAS LÄN</t>
        </is>
      </c>
      <c r="E869" t="inlineStr">
        <is>
          <t>LEKSAND</t>
        </is>
      </c>
      <c r="G869" t="n">
        <v>1.2</v>
      </c>
      <c r="H869" t="n">
        <v>0</v>
      </c>
      <c r="I869" t="n">
        <v>0</v>
      </c>
      <c r="J869" t="n">
        <v>0</v>
      </c>
      <c r="K869" t="n">
        <v>0</v>
      </c>
      <c r="L869" t="n">
        <v>0</v>
      </c>
      <c r="M869" t="n">
        <v>0</v>
      </c>
      <c r="N869" t="n">
        <v>0</v>
      </c>
      <c r="O869" t="n">
        <v>0</v>
      </c>
      <c r="P869" t="n">
        <v>0</v>
      </c>
      <c r="Q869" t="n">
        <v>0</v>
      </c>
      <c r="R869" s="2" t="inlineStr"/>
    </row>
    <row r="870" ht="15" customHeight="1">
      <c r="A870" t="inlineStr">
        <is>
          <t>A 3970-2024</t>
        </is>
      </c>
      <c r="B870" s="1" t="n">
        <v>45322</v>
      </c>
      <c r="C870" s="1" t="n">
        <v>45844</v>
      </c>
      <c r="D870" t="inlineStr">
        <is>
          <t>DALARNAS LÄN</t>
        </is>
      </c>
      <c r="E870" t="inlineStr">
        <is>
          <t>LEKSAND</t>
        </is>
      </c>
      <c r="G870" t="n">
        <v>2.4</v>
      </c>
      <c r="H870" t="n">
        <v>0</v>
      </c>
      <c r="I870" t="n">
        <v>0</v>
      </c>
      <c r="J870" t="n">
        <v>0</v>
      </c>
      <c r="K870" t="n">
        <v>0</v>
      </c>
      <c r="L870" t="n">
        <v>0</v>
      </c>
      <c r="M870" t="n">
        <v>0</v>
      </c>
      <c r="N870" t="n">
        <v>0</v>
      </c>
      <c r="O870" t="n">
        <v>0</v>
      </c>
      <c r="P870" t="n">
        <v>0</v>
      </c>
      <c r="Q870" t="n">
        <v>0</v>
      </c>
      <c r="R870" s="2" t="inlineStr"/>
    </row>
    <row r="871" ht="15" customHeight="1">
      <c r="A871" t="inlineStr">
        <is>
          <t>A 3974-2024</t>
        </is>
      </c>
      <c r="B871" s="1" t="n">
        <v>45322</v>
      </c>
      <c r="C871" s="1" t="n">
        <v>45844</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3901-2024</t>
        </is>
      </c>
      <c r="B872" s="1" t="n">
        <v>45322</v>
      </c>
      <c r="C872" s="1" t="n">
        <v>45844</v>
      </c>
      <c r="D872" t="inlineStr">
        <is>
          <t>DALARNAS LÄN</t>
        </is>
      </c>
      <c r="E872" t="inlineStr">
        <is>
          <t>LEKSAND</t>
        </is>
      </c>
      <c r="G872" t="n">
        <v>3.3</v>
      </c>
      <c r="H872" t="n">
        <v>0</v>
      </c>
      <c r="I872" t="n">
        <v>0</v>
      </c>
      <c r="J872" t="n">
        <v>0</v>
      </c>
      <c r="K872" t="n">
        <v>0</v>
      </c>
      <c r="L872" t="n">
        <v>0</v>
      </c>
      <c r="M872" t="n">
        <v>0</v>
      </c>
      <c r="N872" t="n">
        <v>0</v>
      </c>
      <c r="O872" t="n">
        <v>0</v>
      </c>
      <c r="P872" t="n">
        <v>0</v>
      </c>
      <c r="Q872" t="n">
        <v>0</v>
      </c>
      <c r="R872" s="2" t="inlineStr"/>
    </row>
    <row r="873" ht="15" customHeight="1">
      <c r="A873" t="inlineStr">
        <is>
          <t>A 4121-2024</t>
        </is>
      </c>
      <c r="B873" s="1" t="n">
        <v>45323</v>
      </c>
      <c r="C873" s="1" t="n">
        <v>45844</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4248-2024</t>
        </is>
      </c>
      <c r="B874" s="1" t="n">
        <v>45324</v>
      </c>
      <c r="C874" s="1" t="n">
        <v>45844</v>
      </c>
      <c r="D874" t="inlineStr">
        <is>
          <t>DALARNAS LÄN</t>
        </is>
      </c>
      <c r="E874" t="inlineStr">
        <is>
          <t>LEKSAND</t>
        </is>
      </c>
      <c r="G874" t="n">
        <v>3.6</v>
      </c>
      <c r="H874" t="n">
        <v>0</v>
      </c>
      <c r="I874" t="n">
        <v>0</v>
      </c>
      <c r="J874" t="n">
        <v>0</v>
      </c>
      <c r="K874" t="n">
        <v>0</v>
      </c>
      <c r="L874" t="n">
        <v>0</v>
      </c>
      <c r="M874" t="n">
        <v>0</v>
      </c>
      <c r="N874" t="n">
        <v>0</v>
      </c>
      <c r="O874" t="n">
        <v>0</v>
      </c>
      <c r="P874" t="n">
        <v>0</v>
      </c>
      <c r="Q874" t="n">
        <v>0</v>
      </c>
      <c r="R874" s="2" t="inlineStr"/>
    </row>
    <row r="875" ht="15" customHeight="1">
      <c r="A875" t="inlineStr">
        <is>
          <t>A 4938-2024</t>
        </is>
      </c>
      <c r="B875" s="1" t="n">
        <v>45329</v>
      </c>
      <c r="C875" s="1" t="n">
        <v>45844</v>
      </c>
      <c r="D875" t="inlineStr">
        <is>
          <t>DALARNAS LÄN</t>
        </is>
      </c>
      <c r="E875" t="inlineStr">
        <is>
          <t>LEKSAND</t>
        </is>
      </c>
      <c r="G875" t="n">
        <v>7.7</v>
      </c>
      <c r="H875" t="n">
        <v>0</v>
      </c>
      <c r="I875" t="n">
        <v>0</v>
      </c>
      <c r="J875" t="n">
        <v>0</v>
      </c>
      <c r="K875" t="n">
        <v>0</v>
      </c>
      <c r="L875" t="n">
        <v>0</v>
      </c>
      <c r="M875" t="n">
        <v>0</v>
      </c>
      <c r="N875" t="n">
        <v>0</v>
      </c>
      <c r="O875" t="n">
        <v>0</v>
      </c>
      <c r="P875" t="n">
        <v>0</v>
      </c>
      <c r="Q875" t="n">
        <v>0</v>
      </c>
      <c r="R875" s="2" t="inlineStr"/>
    </row>
    <row r="876" ht="15" customHeight="1">
      <c r="A876" t="inlineStr">
        <is>
          <t>A 4956-2024</t>
        </is>
      </c>
      <c r="B876" s="1" t="n">
        <v>45329</v>
      </c>
      <c r="C876" s="1" t="n">
        <v>45844</v>
      </c>
      <c r="D876" t="inlineStr">
        <is>
          <t>DALARNAS LÄN</t>
        </is>
      </c>
      <c r="E876" t="inlineStr">
        <is>
          <t>LEKSAND</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5231-2024</t>
        </is>
      </c>
      <c r="B877" s="1" t="n">
        <v>45330</v>
      </c>
      <c r="C877" s="1" t="n">
        <v>45844</v>
      </c>
      <c r="D877" t="inlineStr">
        <is>
          <t>DALARNAS LÄN</t>
        </is>
      </c>
      <c r="E877" t="inlineStr">
        <is>
          <t>LEKSAND</t>
        </is>
      </c>
      <c r="F877" t="inlineStr">
        <is>
          <t>Bergvik skog väst AB</t>
        </is>
      </c>
      <c r="G877" t="n">
        <v>11.2</v>
      </c>
      <c r="H877" t="n">
        <v>0</v>
      </c>
      <c r="I877" t="n">
        <v>0</v>
      </c>
      <c r="J877" t="n">
        <v>0</v>
      </c>
      <c r="K877" t="n">
        <v>0</v>
      </c>
      <c r="L877" t="n">
        <v>0</v>
      </c>
      <c r="M877" t="n">
        <v>0</v>
      </c>
      <c r="N877" t="n">
        <v>0</v>
      </c>
      <c r="O877" t="n">
        <v>0</v>
      </c>
      <c r="P877" t="n">
        <v>0</v>
      </c>
      <c r="Q877" t="n">
        <v>0</v>
      </c>
      <c r="R877" s="2" t="inlineStr"/>
    </row>
    <row r="878" ht="15" customHeight="1">
      <c r="A878" t="inlineStr">
        <is>
          <t>A 5369-2024</t>
        </is>
      </c>
      <c r="B878" s="1" t="n">
        <v>45331</v>
      </c>
      <c r="C878" s="1" t="n">
        <v>45844</v>
      </c>
      <c r="D878" t="inlineStr">
        <is>
          <t>DALARNAS LÄN</t>
        </is>
      </c>
      <c r="E878" t="inlineStr">
        <is>
          <t>LEKSAND</t>
        </is>
      </c>
      <c r="F878" t="inlineStr">
        <is>
          <t>Kommuner</t>
        </is>
      </c>
      <c r="G878" t="n">
        <v>2.9</v>
      </c>
      <c r="H878" t="n">
        <v>0</v>
      </c>
      <c r="I878" t="n">
        <v>0</v>
      </c>
      <c r="J878" t="n">
        <v>0</v>
      </c>
      <c r="K878" t="n">
        <v>0</v>
      </c>
      <c r="L878" t="n">
        <v>0</v>
      </c>
      <c r="M878" t="n">
        <v>0</v>
      </c>
      <c r="N878" t="n">
        <v>0</v>
      </c>
      <c r="O878" t="n">
        <v>0</v>
      </c>
      <c r="P878" t="n">
        <v>0</v>
      </c>
      <c r="Q878" t="n">
        <v>0</v>
      </c>
      <c r="R878" s="2" t="inlineStr"/>
    </row>
    <row r="879" ht="15" customHeight="1">
      <c r="A879" t="inlineStr">
        <is>
          <t>A 5514-2024</t>
        </is>
      </c>
      <c r="B879" s="1" t="n">
        <v>45334</v>
      </c>
      <c r="C879" s="1" t="n">
        <v>45844</v>
      </c>
      <c r="D879" t="inlineStr">
        <is>
          <t>DALARNAS LÄN</t>
        </is>
      </c>
      <c r="E879" t="inlineStr">
        <is>
          <t>LEKSAND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5570-2024</t>
        </is>
      </c>
      <c r="B880" s="1" t="n">
        <v>45334</v>
      </c>
      <c r="C880" s="1" t="n">
        <v>45844</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5574-2024</t>
        </is>
      </c>
      <c r="B881" s="1" t="n">
        <v>45334</v>
      </c>
      <c r="C881" s="1" t="n">
        <v>45844</v>
      </c>
      <c r="D881" t="inlineStr">
        <is>
          <t>DALARNAS LÄN</t>
        </is>
      </c>
      <c r="E881" t="inlineStr">
        <is>
          <t>LEKSAND</t>
        </is>
      </c>
      <c r="G881" t="n">
        <v>0.4</v>
      </c>
      <c r="H881" t="n">
        <v>0</v>
      </c>
      <c r="I881" t="n">
        <v>0</v>
      </c>
      <c r="J881" t="n">
        <v>0</v>
      </c>
      <c r="K881" t="n">
        <v>0</v>
      </c>
      <c r="L881" t="n">
        <v>0</v>
      </c>
      <c r="M881" t="n">
        <v>0</v>
      </c>
      <c r="N881" t="n">
        <v>0</v>
      </c>
      <c r="O881" t="n">
        <v>0</v>
      </c>
      <c r="P881" t="n">
        <v>0</v>
      </c>
      <c r="Q881" t="n">
        <v>0</v>
      </c>
      <c r="R881" s="2" t="inlineStr"/>
    </row>
    <row r="882" ht="15" customHeight="1">
      <c r="A882" t="inlineStr">
        <is>
          <t>A 5583-2024</t>
        </is>
      </c>
      <c r="B882" s="1" t="n">
        <v>45334</v>
      </c>
      <c r="C882" s="1" t="n">
        <v>45844</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5584-2024</t>
        </is>
      </c>
      <c r="B883" s="1" t="n">
        <v>45334</v>
      </c>
      <c r="C883" s="1" t="n">
        <v>45844</v>
      </c>
      <c r="D883" t="inlineStr">
        <is>
          <t>DALARNAS LÄN</t>
        </is>
      </c>
      <c r="E883" t="inlineStr">
        <is>
          <t>LEKSAND</t>
        </is>
      </c>
      <c r="F883" t="inlineStr">
        <is>
          <t>Kyrkan</t>
        </is>
      </c>
      <c r="G883" t="n">
        <v>0.4</v>
      </c>
      <c r="H883" t="n">
        <v>0</v>
      </c>
      <c r="I883" t="n">
        <v>0</v>
      </c>
      <c r="J883" t="n">
        <v>0</v>
      </c>
      <c r="K883" t="n">
        <v>0</v>
      </c>
      <c r="L883" t="n">
        <v>0</v>
      </c>
      <c r="M883" t="n">
        <v>0</v>
      </c>
      <c r="N883" t="n">
        <v>0</v>
      </c>
      <c r="O883" t="n">
        <v>0</v>
      </c>
      <c r="P883" t="n">
        <v>0</v>
      </c>
      <c r="Q883" t="n">
        <v>0</v>
      </c>
      <c r="R883" s="2" t="inlineStr"/>
    </row>
    <row r="884" ht="15" customHeight="1">
      <c r="A884" t="inlineStr">
        <is>
          <t>A 5582-2024</t>
        </is>
      </c>
      <c r="B884" s="1" t="n">
        <v>45334</v>
      </c>
      <c r="C884" s="1" t="n">
        <v>45844</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5900-2024</t>
        </is>
      </c>
      <c r="B885" s="1" t="n">
        <v>45335</v>
      </c>
      <c r="C885" s="1" t="n">
        <v>45844</v>
      </c>
      <c r="D885" t="inlineStr">
        <is>
          <t>DALARNAS LÄN</t>
        </is>
      </c>
      <c r="E885" t="inlineStr">
        <is>
          <t>LEKSAND</t>
        </is>
      </c>
      <c r="G885" t="n">
        <v>0.8</v>
      </c>
      <c r="H885" t="n">
        <v>0</v>
      </c>
      <c r="I885" t="n">
        <v>0</v>
      </c>
      <c r="J885" t="n">
        <v>0</v>
      </c>
      <c r="K885" t="n">
        <v>0</v>
      </c>
      <c r="L885" t="n">
        <v>0</v>
      </c>
      <c r="M885" t="n">
        <v>0</v>
      </c>
      <c r="N885" t="n">
        <v>0</v>
      </c>
      <c r="O885" t="n">
        <v>0</v>
      </c>
      <c r="P885" t="n">
        <v>0</v>
      </c>
      <c r="Q885" t="n">
        <v>0</v>
      </c>
      <c r="R885" s="2" t="inlineStr"/>
    </row>
    <row r="886" ht="15" customHeight="1">
      <c r="A886" t="inlineStr">
        <is>
          <t>A 6758-2024</t>
        </is>
      </c>
      <c r="B886" s="1" t="n">
        <v>45342</v>
      </c>
      <c r="C886" s="1" t="n">
        <v>45844</v>
      </c>
      <c r="D886" t="inlineStr">
        <is>
          <t>DALARNAS LÄN</t>
        </is>
      </c>
      <c r="E886" t="inlineStr">
        <is>
          <t>LEKSAND</t>
        </is>
      </c>
      <c r="F886" t="inlineStr">
        <is>
          <t>Bergvik skog väst AB</t>
        </is>
      </c>
      <c r="G886" t="n">
        <v>6.2</v>
      </c>
      <c r="H886" t="n">
        <v>0</v>
      </c>
      <c r="I886" t="n">
        <v>0</v>
      </c>
      <c r="J886" t="n">
        <v>0</v>
      </c>
      <c r="K886" t="n">
        <v>0</v>
      </c>
      <c r="L886" t="n">
        <v>0</v>
      </c>
      <c r="M886" t="n">
        <v>0</v>
      </c>
      <c r="N886" t="n">
        <v>0</v>
      </c>
      <c r="O886" t="n">
        <v>0</v>
      </c>
      <c r="P886" t="n">
        <v>0</v>
      </c>
      <c r="Q886" t="n">
        <v>0</v>
      </c>
      <c r="R886" s="2" t="inlineStr"/>
    </row>
    <row r="887" ht="15" customHeight="1">
      <c r="A887" t="inlineStr">
        <is>
          <t>A 7417-2024</t>
        </is>
      </c>
      <c r="B887" s="1" t="n">
        <v>45345</v>
      </c>
      <c r="C887" s="1" t="n">
        <v>45844</v>
      </c>
      <c r="D887" t="inlineStr">
        <is>
          <t>DALARNAS LÄN</t>
        </is>
      </c>
      <c r="E887" t="inlineStr">
        <is>
          <t>LEKSAND</t>
        </is>
      </c>
      <c r="G887" t="n">
        <v>2.8</v>
      </c>
      <c r="H887" t="n">
        <v>0</v>
      </c>
      <c r="I887" t="n">
        <v>0</v>
      </c>
      <c r="J887" t="n">
        <v>0</v>
      </c>
      <c r="K887" t="n">
        <v>0</v>
      </c>
      <c r="L887" t="n">
        <v>0</v>
      </c>
      <c r="M887" t="n">
        <v>0</v>
      </c>
      <c r="N887" t="n">
        <v>0</v>
      </c>
      <c r="O887" t="n">
        <v>0</v>
      </c>
      <c r="P887" t="n">
        <v>0</v>
      </c>
      <c r="Q887" t="n">
        <v>0</v>
      </c>
      <c r="R887" s="2" t="inlineStr"/>
    </row>
    <row r="888" ht="15" customHeight="1">
      <c r="A888" t="inlineStr">
        <is>
          <t>A 7775-2024</t>
        </is>
      </c>
      <c r="B888" s="1" t="n">
        <v>45349</v>
      </c>
      <c r="C888" s="1" t="n">
        <v>45844</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7768-2024</t>
        </is>
      </c>
      <c r="B889" s="1" t="n">
        <v>45349</v>
      </c>
      <c r="C889" s="1" t="n">
        <v>45844</v>
      </c>
      <c r="D889" t="inlineStr">
        <is>
          <t>DALARNAS LÄN</t>
        </is>
      </c>
      <c r="E889" t="inlineStr">
        <is>
          <t>LEKSAND</t>
        </is>
      </c>
      <c r="G889" t="n">
        <v>5.4</v>
      </c>
      <c r="H889" t="n">
        <v>0</v>
      </c>
      <c r="I889" t="n">
        <v>0</v>
      </c>
      <c r="J889" t="n">
        <v>0</v>
      </c>
      <c r="K889" t="n">
        <v>0</v>
      </c>
      <c r="L889" t="n">
        <v>0</v>
      </c>
      <c r="M889" t="n">
        <v>0</v>
      </c>
      <c r="N889" t="n">
        <v>0</v>
      </c>
      <c r="O889" t="n">
        <v>0</v>
      </c>
      <c r="P889" t="n">
        <v>0</v>
      </c>
      <c r="Q889" t="n">
        <v>0</v>
      </c>
      <c r="R889" s="2" t="inlineStr"/>
    </row>
    <row r="890" ht="15" customHeight="1">
      <c r="A890" t="inlineStr">
        <is>
          <t>A 7773-2024</t>
        </is>
      </c>
      <c r="B890" s="1" t="n">
        <v>45349</v>
      </c>
      <c r="C890" s="1" t="n">
        <v>45844</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7827-2024</t>
        </is>
      </c>
      <c r="B891" s="1" t="n">
        <v>45349</v>
      </c>
      <c r="C891" s="1" t="n">
        <v>45844</v>
      </c>
      <c r="D891" t="inlineStr">
        <is>
          <t>DALARNAS LÄN</t>
        </is>
      </c>
      <c r="E891" t="inlineStr">
        <is>
          <t>LEKSAND</t>
        </is>
      </c>
      <c r="G891" t="n">
        <v>2.2</v>
      </c>
      <c r="H891" t="n">
        <v>0</v>
      </c>
      <c r="I891" t="n">
        <v>0</v>
      </c>
      <c r="J891" t="n">
        <v>0</v>
      </c>
      <c r="K891" t="n">
        <v>0</v>
      </c>
      <c r="L891" t="n">
        <v>0</v>
      </c>
      <c r="M891" t="n">
        <v>0</v>
      </c>
      <c r="N891" t="n">
        <v>0</v>
      </c>
      <c r="O891" t="n">
        <v>0</v>
      </c>
      <c r="P891" t="n">
        <v>0</v>
      </c>
      <c r="Q891" t="n">
        <v>0</v>
      </c>
      <c r="R891" s="2" t="inlineStr"/>
    </row>
    <row r="892" ht="15" customHeight="1">
      <c r="A892" t="inlineStr">
        <is>
          <t>A 7861-2024</t>
        </is>
      </c>
      <c r="B892" s="1" t="n">
        <v>45350</v>
      </c>
      <c r="C892" s="1" t="n">
        <v>45844</v>
      </c>
      <c r="D892" t="inlineStr">
        <is>
          <t>DALARNAS LÄN</t>
        </is>
      </c>
      <c r="E892" t="inlineStr">
        <is>
          <t>LEKSAND</t>
        </is>
      </c>
      <c r="G892" t="n">
        <v>1.8</v>
      </c>
      <c r="H892" t="n">
        <v>0</v>
      </c>
      <c r="I892" t="n">
        <v>0</v>
      </c>
      <c r="J892" t="n">
        <v>0</v>
      </c>
      <c r="K892" t="n">
        <v>0</v>
      </c>
      <c r="L892" t="n">
        <v>0</v>
      </c>
      <c r="M892" t="n">
        <v>0</v>
      </c>
      <c r="N892" t="n">
        <v>0</v>
      </c>
      <c r="O892" t="n">
        <v>0</v>
      </c>
      <c r="P892" t="n">
        <v>0</v>
      </c>
      <c r="Q892" t="n">
        <v>0</v>
      </c>
      <c r="R892" s="2" t="inlineStr"/>
    </row>
    <row r="893" ht="15" customHeight="1">
      <c r="A893" t="inlineStr">
        <is>
          <t>A 8046-2024</t>
        </is>
      </c>
      <c r="B893" s="1" t="n">
        <v>45351</v>
      </c>
      <c r="C893" s="1" t="n">
        <v>45844</v>
      </c>
      <c r="D893" t="inlineStr">
        <is>
          <t>DALARNAS LÄN</t>
        </is>
      </c>
      <c r="E893" t="inlineStr">
        <is>
          <t>LEKSAND</t>
        </is>
      </c>
      <c r="G893" t="n">
        <v>2.9</v>
      </c>
      <c r="H893" t="n">
        <v>0</v>
      </c>
      <c r="I893" t="n">
        <v>0</v>
      </c>
      <c r="J893" t="n">
        <v>0</v>
      </c>
      <c r="K893" t="n">
        <v>0</v>
      </c>
      <c r="L893" t="n">
        <v>0</v>
      </c>
      <c r="M893" t="n">
        <v>0</v>
      </c>
      <c r="N893" t="n">
        <v>0</v>
      </c>
      <c r="O893" t="n">
        <v>0</v>
      </c>
      <c r="P893" t="n">
        <v>0</v>
      </c>
      <c r="Q893" t="n">
        <v>0</v>
      </c>
      <c r="R893" s="2" t="inlineStr"/>
    </row>
    <row r="894" ht="15" customHeight="1">
      <c r="A894" t="inlineStr">
        <is>
          <t>A 8045-2024</t>
        </is>
      </c>
      <c r="B894" s="1" t="n">
        <v>45351</v>
      </c>
      <c r="C894" s="1" t="n">
        <v>45844</v>
      </c>
      <c r="D894" t="inlineStr">
        <is>
          <t>DALARNAS LÄN</t>
        </is>
      </c>
      <c r="E894" t="inlineStr">
        <is>
          <t>LEKSAND</t>
        </is>
      </c>
      <c r="G894" t="n">
        <v>6.7</v>
      </c>
      <c r="H894" t="n">
        <v>0</v>
      </c>
      <c r="I894" t="n">
        <v>0</v>
      </c>
      <c r="J894" t="n">
        <v>0</v>
      </c>
      <c r="K894" t="n">
        <v>0</v>
      </c>
      <c r="L894" t="n">
        <v>0</v>
      </c>
      <c r="M894" t="n">
        <v>0</v>
      </c>
      <c r="N894" t="n">
        <v>0</v>
      </c>
      <c r="O894" t="n">
        <v>0</v>
      </c>
      <c r="P894" t="n">
        <v>0</v>
      </c>
      <c r="Q894" t="n">
        <v>0</v>
      </c>
      <c r="R894" s="2" t="inlineStr"/>
    </row>
    <row r="895" ht="15" customHeight="1">
      <c r="A895" t="inlineStr">
        <is>
          <t>A 9781-2024</t>
        </is>
      </c>
      <c r="B895" s="1" t="n">
        <v>45362</v>
      </c>
      <c r="C895" s="1" t="n">
        <v>45844</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10299-2024</t>
        </is>
      </c>
      <c r="B896" s="1" t="n">
        <v>45365</v>
      </c>
      <c r="C896" s="1" t="n">
        <v>45844</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10462-2024</t>
        </is>
      </c>
      <c r="B897" s="1" t="n">
        <v>45366</v>
      </c>
      <c r="C897" s="1" t="n">
        <v>45844</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10743-2024</t>
        </is>
      </c>
      <c r="B898" s="1" t="n">
        <v>45369</v>
      </c>
      <c r="C898" s="1" t="n">
        <v>45844</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10771-2024</t>
        </is>
      </c>
      <c r="B899" s="1" t="n">
        <v>45369</v>
      </c>
      <c r="C899" s="1" t="n">
        <v>45844</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11617-2024</t>
        </is>
      </c>
      <c r="B900" s="1" t="n">
        <v>45373</v>
      </c>
      <c r="C900" s="1" t="n">
        <v>45844</v>
      </c>
      <c r="D900" t="inlineStr">
        <is>
          <t>DALARNAS LÄN</t>
        </is>
      </c>
      <c r="E900" t="inlineStr">
        <is>
          <t>LEKSAND</t>
        </is>
      </c>
      <c r="G900" t="n">
        <v>1.9</v>
      </c>
      <c r="H900" t="n">
        <v>0</v>
      </c>
      <c r="I900" t="n">
        <v>0</v>
      </c>
      <c r="J900" t="n">
        <v>0</v>
      </c>
      <c r="K900" t="n">
        <v>0</v>
      </c>
      <c r="L900" t="n">
        <v>0</v>
      </c>
      <c r="M900" t="n">
        <v>0</v>
      </c>
      <c r="N900" t="n">
        <v>0</v>
      </c>
      <c r="O900" t="n">
        <v>0</v>
      </c>
      <c r="P900" t="n">
        <v>0</v>
      </c>
      <c r="Q900" t="n">
        <v>0</v>
      </c>
      <c r="R900" s="2" t="inlineStr"/>
    </row>
    <row r="901" ht="15" customHeight="1">
      <c r="A901" t="inlineStr">
        <is>
          <t>A 11869-2024</t>
        </is>
      </c>
      <c r="B901" s="1" t="n">
        <v>45376</v>
      </c>
      <c r="C901" s="1" t="n">
        <v>45844</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11855-2024</t>
        </is>
      </c>
      <c r="B902" s="1" t="n">
        <v>45376</v>
      </c>
      <c r="C902" s="1" t="n">
        <v>45844</v>
      </c>
      <c r="D902" t="inlineStr">
        <is>
          <t>DALARNAS LÄN</t>
        </is>
      </c>
      <c r="E902" t="inlineStr">
        <is>
          <t>LEKSAND</t>
        </is>
      </c>
      <c r="G902" t="n">
        <v>4</v>
      </c>
      <c r="H902" t="n">
        <v>0</v>
      </c>
      <c r="I902" t="n">
        <v>0</v>
      </c>
      <c r="J902" t="n">
        <v>0</v>
      </c>
      <c r="K902" t="n">
        <v>0</v>
      </c>
      <c r="L902" t="n">
        <v>0</v>
      </c>
      <c r="M902" t="n">
        <v>0</v>
      </c>
      <c r="N902" t="n">
        <v>0</v>
      </c>
      <c r="O902" t="n">
        <v>0</v>
      </c>
      <c r="P902" t="n">
        <v>0</v>
      </c>
      <c r="Q902" t="n">
        <v>0</v>
      </c>
      <c r="R902" s="2" t="inlineStr"/>
      <c r="U902">
        <f>HYPERLINK("https://klasma.github.io/Logging_2029/knärot/A 11855-2024 karta knärot.png", "A 11855-2024")</f>
        <v/>
      </c>
      <c r="V902">
        <f>HYPERLINK("https://klasma.github.io/Logging_2029/klagomål/A 11855-2024 FSC-klagomål.docx", "A 11855-2024")</f>
        <v/>
      </c>
      <c r="W902">
        <f>HYPERLINK("https://klasma.github.io/Logging_2029/klagomålsmail/A 11855-2024 FSC-klagomål mail.docx", "A 11855-2024")</f>
        <v/>
      </c>
      <c r="X902">
        <f>HYPERLINK("https://klasma.github.io/Logging_2029/tillsyn/A 11855-2024 tillsynsbegäran.docx", "A 11855-2024")</f>
        <v/>
      </c>
      <c r="Y902">
        <f>HYPERLINK("https://klasma.github.io/Logging_2029/tillsynsmail/A 11855-2024 tillsynsbegäran mail.docx", "A 11855-2024")</f>
        <v/>
      </c>
    </row>
    <row r="903" ht="15" customHeight="1">
      <c r="A903" t="inlineStr">
        <is>
          <t>A 11859-2024</t>
        </is>
      </c>
      <c r="B903" s="1" t="n">
        <v>45376</v>
      </c>
      <c r="C903" s="1" t="n">
        <v>45844</v>
      </c>
      <c r="D903" t="inlineStr">
        <is>
          <t>DALARNAS LÄN</t>
        </is>
      </c>
      <c r="E903" t="inlineStr">
        <is>
          <t>LEKSAND</t>
        </is>
      </c>
      <c r="G903" t="n">
        <v>2.1</v>
      </c>
      <c r="H903" t="n">
        <v>0</v>
      </c>
      <c r="I903" t="n">
        <v>0</v>
      </c>
      <c r="J903" t="n">
        <v>0</v>
      </c>
      <c r="K903" t="n">
        <v>0</v>
      </c>
      <c r="L903" t="n">
        <v>0</v>
      </c>
      <c r="M903" t="n">
        <v>0</v>
      </c>
      <c r="N903" t="n">
        <v>0</v>
      </c>
      <c r="O903" t="n">
        <v>0</v>
      </c>
      <c r="P903" t="n">
        <v>0</v>
      </c>
      <c r="Q903" t="n">
        <v>0</v>
      </c>
      <c r="R903" s="2" t="inlineStr"/>
    </row>
    <row r="904" ht="15" customHeight="1">
      <c r="A904" t="inlineStr">
        <is>
          <t>A 11872-2024</t>
        </is>
      </c>
      <c r="B904" s="1" t="n">
        <v>45376</v>
      </c>
      <c r="C904" s="1" t="n">
        <v>45844</v>
      </c>
      <c r="D904" t="inlineStr">
        <is>
          <t>DALARNAS LÄN</t>
        </is>
      </c>
      <c r="E904" t="inlineStr">
        <is>
          <t>LEKSAND</t>
        </is>
      </c>
      <c r="G904" t="n">
        <v>3.1</v>
      </c>
      <c r="H904" t="n">
        <v>0</v>
      </c>
      <c r="I904" t="n">
        <v>0</v>
      </c>
      <c r="J904" t="n">
        <v>0</v>
      </c>
      <c r="K904" t="n">
        <v>0</v>
      </c>
      <c r="L904" t="n">
        <v>0</v>
      </c>
      <c r="M904" t="n">
        <v>0</v>
      </c>
      <c r="N904" t="n">
        <v>0</v>
      </c>
      <c r="O904" t="n">
        <v>0</v>
      </c>
      <c r="P904" t="n">
        <v>0</v>
      </c>
      <c r="Q904" t="n">
        <v>0</v>
      </c>
      <c r="R904" s="2" t="inlineStr"/>
    </row>
    <row r="905" ht="15" customHeight="1">
      <c r="A905" t="inlineStr">
        <is>
          <t>A 11870-2024</t>
        </is>
      </c>
      <c r="B905" s="1" t="n">
        <v>45376</v>
      </c>
      <c r="C905" s="1" t="n">
        <v>45844</v>
      </c>
      <c r="D905" t="inlineStr">
        <is>
          <t>DALARNAS LÄN</t>
        </is>
      </c>
      <c r="E905" t="inlineStr">
        <is>
          <t>LEKSAND</t>
        </is>
      </c>
      <c r="G905" t="n">
        <v>1.5</v>
      </c>
      <c r="H905" t="n">
        <v>0</v>
      </c>
      <c r="I905" t="n">
        <v>0</v>
      </c>
      <c r="J905" t="n">
        <v>0</v>
      </c>
      <c r="K905" t="n">
        <v>0</v>
      </c>
      <c r="L905" t="n">
        <v>0</v>
      </c>
      <c r="M905" t="n">
        <v>0</v>
      </c>
      <c r="N905" t="n">
        <v>0</v>
      </c>
      <c r="O905" t="n">
        <v>0</v>
      </c>
      <c r="P905" t="n">
        <v>0</v>
      </c>
      <c r="Q905" t="n">
        <v>0</v>
      </c>
      <c r="R905" s="2" t="inlineStr"/>
    </row>
    <row r="906" ht="15" customHeight="1">
      <c r="A906" t="inlineStr">
        <is>
          <t>A 12290-2024</t>
        </is>
      </c>
      <c r="B906" s="1" t="n">
        <v>45378</v>
      </c>
      <c r="C906" s="1" t="n">
        <v>45844</v>
      </c>
      <c r="D906" t="inlineStr">
        <is>
          <t>DALARNAS LÄN</t>
        </is>
      </c>
      <c r="E906" t="inlineStr">
        <is>
          <t>LEKSAND</t>
        </is>
      </c>
      <c r="G906" t="n">
        <v>2.5</v>
      </c>
      <c r="H906" t="n">
        <v>0</v>
      </c>
      <c r="I906" t="n">
        <v>0</v>
      </c>
      <c r="J906" t="n">
        <v>0</v>
      </c>
      <c r="K906" t="n">
        <v>0</v>
      </c>
      <c r="L906" t="n">
        <v>0</v>
      </c>
      <c r="M906" t="n">
        <v>0</v>
      </c>
      <c r="N906" t="n">
        <v>0</v>
      </c>
      <c r="O906" t="n">
        <v>0</v>
      </c>
      <c r="P906" t="n">
        <v>0</v>
      </c>
      <c r="Q906" t="n">
        <v>0</v>
      </c>
      <c r="R906" s="2" t="inlineStr"/>
    </row>
    <row r="907" ht="15" customHeight="1">
      <c r="A907" t="inlineStr">
        <is>
          <t>A 12481-2024</t>
        </is>
      </c>
      <c r="B907" s="1" t="n">
        <v>45379</v>
      </c>
      <c r="C907" s="1" t="n">
        <v>45844</v>
      </c>
      <c r="D907" t="inlineStr">
        <is>
          <t>DALARNAS LÄN</t>
        </is>
      </c>
      <c r="E907" t="inlineStr">
        <is>
          <t>LEKSAND</t>
        </is>
      </c>
      <c r="G907" t="n">
        <v>4.6</v>
      </c>
      <c r="H907" t="n">
        <v>0</v>
      </c>
      <c r="I907" t="n">
        <v>0</v>
      </c>
      <c r="J907" t="n">
        <v>0</v>
      </c>
      <c r="K907" t="n">
        <v>0</v>
      </c>
      <c r="L907" t="n">
        <v>0</v>
      </c>
      <c r="M907" t="n">
        <v>0</v>
      </c>
      <c r="N907" t="n">
        <v>0</v>
      </c>
      <c r="O907" t="n">
        <v>0</v>
      </c>
      <c r="P907" t="n">
        <v>0</v>
      </c>
      <c r="Q907" t="n">
        <v>0</v>
      </c>
      <c r="R907" s="2" t="inlineStr"/>
    </row>
    <row r="908" ht="15" customHeight="1">
      <c r="A908" t="inlineStr">
        <is>
          <t>A 13161-2024</t>
        </is>
      </c>
      <c r="B908" s="1" t="n">
        <v>45386</v>
      </c>
      <c r="C908" s="1" t="n">
        <v>45844</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13165-2024</t>
        </is>
      </c>
      <c r="B909" s="1" t="n">
        <v>45386</v>
      </c>
      <c r="C909" s="1" t="n">
        <v>45844</v>
      </c>
      <c r="D909" t="inlineStr">
        <is>
          <t>DALARNAS LÄN</t>
        </is>
      </c>
      <c r="E909" t="inlineStr">
        <is>
          <t>LEKSAND</t>
        </is>
      </c>
      <c r="G909" t="n">
        <v>3.4</v>
      </c>
      <c r="H909" t="n">
        <v>0</v>
      </c>
      <c r="I909" t="n">
        <v>0</v>
      </c>
      <c r="J909" t="n">
        <v>0</v>
      </c>
      <c r="K909" t="n">
        <v>0</v>
      </c>
      <c r="L909" t="n">
        <v>0</v>
      </c>
      <c r="M909" t="n">
        <v>0</v>
      </c>
      <c r="N909" t="n">
        <v>0</v>
      </c>
      <c r="O909" t="n">
        <v>0</v>
      </c>
      <c r="P909" t="n">
        <v>0</v>
      </c>
      <c r="Q909" t="n">
        <v>0</v>
      </c>
      <c r="R909" s="2" t="inlineStr"/>
    </row>
    <row r="910" ht="15" customHeight="1">
      <c r="A910" t="inlineStr">
        <is>
          <t>A 13741-2024</t>
        </is>
      </c>
      <c r="B910" s="1" t="n">
        <v>45390</v>
      </c>
      <c r="C910" s="1" t="n">
        <v>45844</v>
      </c>
      <c r="D910" t="inlineStr">
        <is>
          <t>DALARNAS LÄN</t>
        </is>
      </c>
      <c r="E910" t="inlineStr">
        <is>
          <t>LEKSAND</t>
        </is>
      </c>
      <c r="G910" t="n">
        <v>5.9</v>
      </c>
      <c r="H910" t="n">
        <v>0</v>
      </c>
      <c r="I910" t="n">
        <v>0</v>
      </c>
      <c r="J910" t="n">
        <v>0</v>
      </c>
      <c r="K910" t="n">
        <v>0</v>
      </c>
      <c r="L910" t="n">
        <v>0</v>
      </c>
      <c r="M910" t="n">
        <v>0</v>
      </c>
      <c r="N910" t="n">
        <v>0</v>
      </c>
      <c r="O910" t="n">
        <v>0</v>
      </c>
      <c r="P910" t="n">
        <v>0</v>
      </c>
      <c r="Q910" t="n">
        <v>0</v>
      </c>
      <c r="R910" s="2" t="inlineStr"/>
    </row>
    <row r="911" ht="15" customHeight="1">
      <c r="A911" t="inlineStr">
        <is>
          <t>A 13783-2024</t>
        </is>
      </c>
      <c r="B911" s="1" t="n">
        <v>45391</v>
      </c>
      <c r="C911" s="1" t="n">
        <v>45844</v>
      </c>
      <c r="D911" t="inlineStr">
        <is>
          <t>DALARNAS LÄN</t>
        </is>
      </c>
      <c r="E911" t="inlineStr">
        <is>
          <t>LEKSAND</t>
        </is>
      </c>
      <c r="G911" t="n">
        <v>1.3</v>
      </c>
      <c r="H911" t="n">
        <v>0</v>
      </c>
      <c r="I911" t="n">
        <v>0</v>
      </c>
      <c r="J911" t="n">
        <v>0</v>
      </c>
      <c r="K911" t="n">
        <v>0</v>
      </c>
      <c r="L911" t="n">
        <v>0</v>
      </c>
      <c r="M911" t="n">
        <v>0</v>
      </c>
      <c r="N911" t="n">
        <v>0</v>
      </c>
      <c r="O911" t="n">
        <v>0</v>
      </c>
      <c r="P911" t="n">
        <v>0</v>
      </c>
      <c r="Q911" t="n">
        <v>0</v>
      </c>
      <c r="R911" s="2" t="inlineStr"/>
    </row>
    <row r="912" ht="15" customHeight="1">
      <c r="A912" t="inlineStr">
        <is>
          <t>A 13811-2024</t>
        </is>
      </c>
      <c r="B912" s="1" t="n">
        <v>45391</v>
      </c>
      <c r="C912" s="1" t="n">
        <v>45844</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13990-2024</t>
        </is>
      </c>
      <c r="B913" s="1" t="n">
        <v>45392</v>
      </c>
      <c r="C913" s="1" t="n">
        <v>45844</v>
      </c>
      <c r="D913" t="inlineStr">
        <is>
          <t>DALARNAS LÄN</t>
        </is>
      </c>
      <c r="E913" t="inlineStr">
        <is>
          <t>LEKSAND</t>
        </is>
      </c>
      <c r="G913" t="n">
        <v>1.1</v>
      </c>
      <c r="H913" t="n">
        <v>0</v>
      </c>
      <c r="I913" t="n">
        <v>0</v>
      </c>
      <c r="J913" t="n">
        <v>0</v>
      </c>
      <c r="K913" t="n">
        <v>0</v>
      </c>
      <c r="L913" t="n">
        <v>0</v>
      </c>
      <c r="M913" t="n">
        <v>0</v>
      </c>
      <c r="N913" t="n">
        <v>0</v>
      </c>
      <c r="O913" t="n">
        <v>0</v>
      </c>
      <c r="P913" t="n">
        <v>0</v>
      </c>
      <c r="Q913" t="n">
        <v>0</v>
      </c>
      <c r="R913" s="2" t="inlineStr"/>
    </row>
    <row r="914" ht="15" customHeight="1">
      <c r="A914" t="inlineStr">
        <is>
          <t>A 14276-2024</t>
        </is>
      </c>
      <c r="B914" s="1" t="n">
        <v>45393</v>
      </c>
      <c r="C914" s="1" t="n">
        <v>45844</v>
      </c>
      <c r="D914" t="inlineStr">
        <is>
          <t>DALARNAS LÄN</t>
        </is>
      </c>
      <c r="E914" t="inlineStr">
        <is>
          <t>LEKSAND</t>
        </is>
      </c>
      <c r="F914" t="inlineStr">
        <is>
          <t>Bergvik skog väst AB</t>
        </is>
      </c>
      <c r="G914" t="n">
        <v>14.2</v>
      </c>
      <c r="H914" t="n">
        <v>0</v>
      </c>
      <c r="I914" t="n">
        <v>0</v>
      </c>
      <c r="J914" t="n">
        <v>0</v>
      </c>
      <c r="K914" t="n">
        <v>0</v>
      </c>
      <c r="L914" t="n">
        <v>0</v>
      </c>
      <c r="M914" t="n">
        <v>0</v>
      </c>
      <c r="N914" t="n">
        <v>0</v>
      </c>
      <c r="O914" t="n">
        <v>0</v>
      </c>
      <c r="P914" t="n">
        <v>0</v>
      </c>
      <c r="Q914" t="n">
        <v>0</v>
      </c>
      <c r="R914" s="2" t="inlineStr"/>
    </row>
    <row r="915" ht="15" customHeight="1">
      <c r="A915" t="inlineStr">
        <is>
          <t>A 14616-2024</t>
        </is>
      </c>
      <c r="B915" s="1" t="n">
        <v>45397</v>
      </c>
      <c r="C915" s="1" t="n">
        <v>45844</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14615-2024</t>
        </is>
      </c>
      <c r="B916" s="1" t="n">
        <v>45397</v>
      </c>
      <c r="C916" s="1" t="n">
        <v>45844</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14614-2024</t>
        </is>
      </c>
      <c r="B917" s="1" t="n">
        <v>45397</v>
      </c>
      <c r="C917" s="1" t="n">
        <v>45844</v>
      </c>
      <c r="D917" t="inlineStr">
        <is>
          <t>DALARNAS LÄN</t>
        </is>
      </c>
      <c r="E917" t="inlineStr">
        <is>
          <t>LEKSAND</t>
        </is>
      </c>
      <c r="G917" t="n">
        <v>0.6</v>
      </c>
      <c r="H917" t="n">
        <v>0</v>
      </c>
      <c r="I917" t="n">
        <v>0</v>
      </c>
      <c r="J917" t="n">
        <v>0</v>
      </c>
      <c r="K917" t="n">
        <v>0</v>
      </c>
      <c r="L917" t="n">
        <v>0</v>
      </c>
      <c r="M917" t="n">
        <v>0</v>
      </c>
      <c r="N917" t="n">
        <v>0</v>
      </c>
      <c r="O917" t="n">
        <v>0</v>
      </c>
      <c r="P917" t="n">
        <v>0</v>
      </c>
      <c r="Q917" t="n">
        <v>0</v>
      </c>
      <c r="R917" s="2" t="inlineStr"/>
    </row>
    <row r="918" ht="15" customHeight="1">
      <c r="A918" t="inlineStr">
        <is>
          <t>A 14661-2024</t>
        </is>
      </c>
      <c r="B918" s="1" t="n">
        <v>45397</v>
      </c>
      <c r="C918" s="1" t="n">
        <v>45844</v>
      </c>
      <c r="D918" t="inlineStr">
        <is>
          <t>DALARNAS LÄN</t>
        </is>
      </c>
      <c r="E918" t="inlineStr">
        <is>
          <t>LEKSAND</t>
        </is>
      </c>
      <c r="G918" t="n">
        <v>1</v>
      </c>
      <c r="H918" t="n">
        <v>0</v>
      </c>
      <c r="I918" t="n">
        <v>0</v>
      </c>
      <c r="J918" t="n">
        <v>0</v>
      </c>
      <c r="K918" t="n">
        <v>0</v>
      </c>
      <c r="L918" t="n">
        <v>0</v>
      </c>
      <c r="M918" t="n">
        <v>0</v>
      </c>
      <c r="N918" t="n">
        <v>0</v>
      </c>
      <c r="O918" t="n">
        <v>0</v>
      </c>
      <c r="P918" t="n">
        <v>0</v>
      </c>
      <c r="Q918" t="n">
        <v>0</v>
      </c>
      <c r="R918" s="2" t="inlineStr"/>
    </row>
    <row r="919" ht="15" customHeight="1">
      <c r="A919" t="inlineStr">
        <is>
          <t>A 14688-2024</t>
        </is>
      </c>
      <c r="B919" s="1" t="n">
        <v>45397</v>
      </c>
      <c r="C919" s="1" t="n">
        <v>45844</v>
      </c>
      <c r="D919" t="inlineStr">
        <is>
          <t>DALARNAS LÄN</t>
        </is>
      </c>
      <c r="E919" t="inlineStr">
        <is>
          <t>LEKSAND</t>
        </is>
      </c>
      <c r="G919" t="n">
        <v>3.2</v>
      </c>
      <c r="H919" t="n">
        <v>0</v>
      </c>
      <c r="I919" t="n">
        <v>0</v>
      </c>
      <c r="J919" t="n">
        <v>0</v>
      </c>
      <c r="K919" t="n">
        <v>0</v>
      </c>
      <c r="L919" t="n">
        <v>0</v>
      </c>
      <c r="M919" t="n">
        <v>0</v>
      </c>
      <c r="N919" t="n">
        <v>0</v>
      </c>
      <c r="O919" t="n">
        <v>0</v>
      </c>
      <c r="P919" t="n">
        <v>0</v>
      </c>
      <c r="Q919" t="n">
        <v>0</v>
      </c>
      <c r="R919" s="2" t="inlineStr"/>
    </row>
    <row r="920" ht="15" customHeight="1">
      <c r="A920" t="inlineStr">
        <is>
          <t>A 14792-2024</t>
        </is>
      </c>
      <c r="B920" s="1" t="n">
        <v>45397</v>
      </c>
      <c r="C920" s="1" t="n">
        <v>45844</v>
      </c>
      <c r="D920" t="inlineStr">
        <is>
          <t>DALARNAS LÄN</t>
        </is>
      </c>
      <c r="E920" t="inlineStr">
        <is>
          <t>LEKSAND</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14617-2024</t>
        </is>
      </c>
      <c r="B921" s="1" t="n">
        <v>45397</v>
      </c>
      <c r="C921" s="1" t="n">
        <v>45844</v>
      </c>
      <c r="D921" t="inlineStr">
        <is>
          <t>DALARNAS LÄN</t>
        </is>
      </c>
      <c r="E921" t="inlineStr">
        <is>
          <t>LEKSAND</t>
        </is>
      </c>
      <c r="G921" t="n">
        <v>0.2</v>
      </c>
      <c r="H921" t="n">
        <v>0</v>
      </c>
      <c r="I921" t="n">
        <v>0</v>
      </c>
      <c r="J921" t="n">
        <v>0</v>
      </c>
      <c r="K921" t="n">
        <v>0</v>
      </c>
      <c r="L921" t="n">
        <v>0</v>
      </c>
      <c r="M921" t="n">
        <v>0</v>
      </c>
      <c r="N921" t="n">
        <v>0</v>
      </c>
      <c r="O921" t="n">
        <v>0</v>
      </c>
      <c r="P921" t="n">
        <v>0</v>
      </c>
      <c r="Q921" t="n">
        <v>0</v>
      </c>
      <c r="R921" s="2" t="inlineStr"/>
    </row>
    <row r="922" ht="15" customHeight="1">
      <c r="A922" t="inlineStr">
        <is>
          <t>A 14659-2024</t>
        </is>
      </c>
      <c r="B922" s="1" t="n">
        <v>45397</v>
      </c>
      <c r="C922" s="1" t="n">
        <v>45844</v>
      </c>
      <c r="D922" t="inlineStr">
        <is>
          <t>DALARNAS LÄN</t>
        </is>
      </c>
      <c r="E922" t="inlineStr">
        <is>
          <t>LEKSAND</t>
        </is>
      </c>
      <c r="G922" t="n">
        <v>1.2</v>
      </c>
      <c r="H922" t="n">
        <v>0</v>
      </c>
      <c r="I922" t="n">
        <v>0</v>
      </c>
      <c r="J922" t="n">
        <v>0</v>
      </c>
      <c r="K922" t="n">
        <v>0</v>
      </c>
      <c r="L922" t="n">
        <v>0</v>
      </c>
      <c r="M922" t="n">
        <v>0</v>
      </c>
      <c r="N922" t="n">
        <v>0</v>
      </c>
      <c r="O922" t="n">
        <v>0</v>
      </c>
      <c r="P922" t="n">
        <v>0</v>
      </c>
      <c r="Q922" t="n">
        <v>0</v>
      </c>
      <c r="R922" s="2" t="inlineStr"/>
    </row>
    <row r="923" ht="15" customHeight="1">
      <c r="A923" t="inlineStr">
        <is>
          <t>A 14908-2024</t>
        </is>
      </c>
      <c r="B923" s="1" t="n">
        <v>45398</v>
      </c>
      <c r="C923" s="1" t="n">
        <v>45844</v>
      </c>
      <c r="D923" t="inlineStr">
        <is>
          <t>DALARNAS LÄN</t>
        </is>
      </c>
      <c r="E923" t="inlineStr">
        <is>
          <t>LEKSAND</t>
        </is>
      </c>
      <c r="F923" t="inlineStr">
        <is>
          <t>Bergvik skog väst AB</t>
        </is>
      </c>
      <c r="G923" t="n">
        <v>1.9</v>
      </c>
      <c r="H923" t="n">
        <v>0</v>
      </c>
      <c r="I923" t="n">
        <v>0</v>
      </c>
      <c r="J923" t="n">
        <v>0</v>
      </c>
      <c r="K923" t="n">
        <v>0</v>
      </c>
      <c r="L923" t="n">
        <v>0</v>
      </c>
      <c r="M923" t="n">
        <v>0</v>
      </c>
      <c r="N923" t="n">
        <v>0</v>
      </c>
      <c r="O923" t="n">
        <v>0</v>
      </c>
      <c r="P923" t="n">
        <v>0</v>
      </c>
      <c r="Q923" t="n">
        <v>0</v>
      </c>
      <c r="R923" s="2" t="inlineStr"/>
    </row>
    <row r="924" ht="15" customHeight="1">
      <c r="A924" t="inlineStr">
        <is>
          <t>A 14957-2024</t>
        </is>
      </c>
      <c r="B924" s="1" t="n">
        <v>45398</v>
      </c>
      <c r="C924" s="1" t="n">
        <v>45844</v>
      </c>
      <c r="D924" t="inlineStr">
        <is>
          <t>DALARNAS LÄN</t>
        </is>
      </c>
      <c r="E924" t="inlineStr">
        <is>
          <t>LEKSAND</t>
        </is>
      </c>
      <c r="G924" t="n">
        <v>11.5</v>
      </c>
      <c r="H924" t="n">
        <v>0</v>
      </c>
      <c r="I924" t="n">
        <v>0</v>
      </c>
      <c r="J924" t="n">
        <v>0</v>
      </c>
      <c r="K924" t="n">
        <v>0</v>
      </c>
      <c r="L924" t="n">
        <v>0</v>
      </c>
      <c r="M924" t="n">
        <v>0</v>
      </c>
      <c r="N924" t="n">
        <v>0</v>
      </c>
      <c r="O924" t="n">
        <v>0</v>
      </c>
      <c r="P924" t="n">
        <v>0</v>
      </c>
      <c r="Q924" t="n">
        <v>0</v>
      </c>
      <c r="R924" s="2" t="inlineStr"/>
    </row>
    <row r="925" ht="15" customHeight="1">
      <c r="A925" t="inlineStr">
        <is>
          <t>A 14903-2024</t>
        </is>
      </c>
      <c r="B925" s="1" t="n">
        <v>45398</v>
      </c>
      <c r="C925" s="1" t="n">
        <v>45844</v>
      </c>
      <c r="D925" t="inlineStr">
        <is>
          <t>DALARNAS LÄN</t>
        </is>
      </c>
      <c r="E925" t="inlineStr">
        <is>
          <t>LEKSAND</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15621-2024</t>
        </is>
      </c>
      <c r="B926" s="1" t="n">
        <v>45402</v>
      </c>
      <c r="C926" s="1" t="n">
        <v>45844</v>
      </c>
      <c r="D926" t="inlineStr">
        <is>
          <t>DALARNAS LÄN</t>
        </is>
      </c>
      <c r="E926" t="inlineStr">
        <is>
          <t>LEKSAND</t>
        </is>
      </c>
      <c r="G926" t="n">
        <v>1.6</v>
      </c>
      <c r="H926" t="n">
        <v>0</v>
      </c>
      <c r="I926" t="n">
        <v>0</v>
      </c>
      <c r="J926" t="n">
        <v>0</v>
      </c>
      <c r="K926" t="n">
        <v>0</v>
      </c>
      <c r="L926" t="n">
        <v>0</v>
      </c>
      <c r="M926" t="n">
        <v>0</v>
      </c>
      <c r="N926" t="n">
        <v>0</v>
      </c>
      <c r="O926" t="n">
        <v>0</v>
      </c>
      <c r="P926" t="n">
        <v>0</v>
      </c>
      <c r="Q926" t="n">
        <v>0</v>
      </c>
      <c r="R926" s="2" t="inlineStr"/>
    </row>
    <row r="927" ht="15" customHeight="1">
      <c r="A927" t="inlineStr">
        <is>
          <t>A 15680-2024</t>
        </is>
      </c>
      <c r="B927" s="1" t="n">
        <v>45404</v>
      </c>
      <c r="C927" s="1" t="n">
        <v>45844</v>
      </c>
      <c r="D927" t="inlineStr">
        <is>
          <t>DALARNAS LÄN</t>
        </is>
      </c>
      <c r="E927" t="inlineStr">
        <is>
          <t>LEKSAND</t>
        </is>
      </c>
      <c r="F927" t="inlineStr">
        <is>
          <t>Bergvik skog väst AB</t>
        </is>
      </c>
      <c r="G927" t="n">
        <v>3.4</v>
      </c>
      <c r="H927" t="n">
        <v>0</v>
      </c>
      <c r="I927" t="n">
        <v>0</v>
      </c>
      <c r="J927" t="n">
        <v>0</v>
      </c>
      <c r="K927" t="n">
        <v>0</v>
      </c>
      <c r="L927" t="n">
        <v>0</v>
      </c>
      <c r="M927" t="n">
        <v>0</v>
      </c>
      <c r="N927" t="n">
        <v>0</v>
      </c>
      <c r="O927" t="n">
        <v>0</v>
      </c>
      <c r="P927" t="n">
        <v>0</v>
      </c>
      <c r="Q927" t="n">
        <v>0</v>
      </c>
      <c r="R927" s="2" t="inlineStr"/>
    </row>
    <row r="928" ht="15" customHeight="1">
      <c r="A928" t="inlineStr">
        <is>
          <t>A 15681-2024</t>
        </is>
      </c>
      <c r="B928" s="1" t="n">
        <v>45404</v>
      </c>
      <c r="C928" s="1" t="n">
        <v>45844</v>
      </c>
      <c r="D928" t="inlineStr">
        <is>
          <t>DALARNAS LÄN</t>
        </is>
      </c>
      <c r="E928" t="inlineStr">
        <is>
          <t>LEKSAND</t>
        </is>
      </c>
      <c r="G928" t="n">
        <v>1.7</v>
      </c>
      <c r="H928" t="n">
        <v>0</v>
      </c>
      <c r="I928" t="n">
        <v>0</v>
      </c>
      <c r="J928" t="n">
        <v>0</v>
      </c>
      <c r="K928" t="n">
        <v>0</v>
      </c>
      <c r="L928" t="n">
        <v>0</v>
      </c>
      <c r="M928" t="n">
        <v>0</v>
      </c>
      <c r="N928" t="n">
        <v>0</v>
      </c>
      <c r="O928" t="n">
        <v>0</v>
      </c>
      <c r="P928" t="n">
        <v>0</v>
      </c>
      <c r="Q928" t="n">
        <v>0</v>
      </c>
      <c r="R928" s="2" t="inlineStr"/>
    </row>
    <row r="929" ht="15" customHeight="1">
      <c r="A929" t="inlineStr">
        <is>
          <t>A 15808-2024</t>
        </is>
      </c>
      <c r="B929" s="1" t="n">
        <v>45404</v>
      </c>
      <c r="C929" s="1" t="n">
        <v>45844</v>
      </c>
      <c r="D929" t="inlineStr">
        <is>
          <t>DALARNAS LÄN</t>
        </is>
      </c>
      <c r="E929" t="inlineStr">
        <is>
          <t>LEKSAND</t>
        </is>
      </c>
      <c r="G929" t="n">
        <v>2.8</v>
      </c>
      <c r="H929" t="n">
        <v>0</v>
      </c>
      <c r="I929" t="n">
        <v>0</v>
      </c>
      <c r="J929" t="n">
        <v>0</v>
      </c>
      <c r="K929" t="n">
        <v>0</v>
      </c>
      <c r="L929" t="n">
        <v>0</v>
      </c>
      <c r="M929" t="n">
        <v>0</v>
      </c>
      <c r="N929" t="n">
        <v>0</v>
      </c>
      <c r="O929" t="n">
        <v>0</v>
      </c>
      <c r="P929" t="n">
        <v>0</v>
      </c>
      <c r="Q929" t="n">
        <v>0</v>
      </c>
      <c r="R929" s="2" t="inlineStr"/>
    </row>
    <row r="930" ht="15" customHeight="1">
      <c r="A930" t="inlineStr">
        <is>
          <t>A 16197-2024</t>
        </is>
      </c>
      <c r="B930" s="1" t="n">
        <v>45406</v>
      </c>
      <c r="C930" s="1" t="n">
        <v>45844</v>
      </c>
      <c r="D930" t="inlineStr">
        <is>
          <t>DALARNAS LÄN</t>
        </is>
      </c>
      <c r="E930" t="inlineStr">
        <is>
          <t>LEKSAND</t>
        </is>
      </c>
      <c r="G930" t="n">
        <v>2.4</v>
      </c>
      <c r="H930" t="n">
        <v>0</v>
      </c>
      <c r="I930" t="n">
        <v>0</v>
      </c>
      <c r="J930" t="n">
        <v>0</v>
      </c>
      <c r="K930" t="n">
        <v>0</v>
      </c>
      <c r="L930" t="n">
        <v>0</v>
      </c>
      <c r="M930" t="n">
        <v>0</v>
      </c>
      <c r="N930" t="n">
        <v>0</v>
      </c>
      <c r="O930" t="n">
        <v>0</v>
      </c>
      <c r="P930" t="n">
        <v>0</v>
      </c>
      <c r="Q930" t="n">
        <v>0</v>
      </c>
      <c r="R930" s="2" t="inlineStr"/>
    </row>
    <row r="931" ht="15" customHeight="1">
      <c r="A931" t="inlineStr">
        <is>
          <t>A 16265-2024</t>
        </is>
      </c>
      <c r="B931" s="1" t="n">
        <v>45407</v>
      </c>
      <c r="C931" s="1" t="n">
        <v>45844</v>
      </c>
      <c r="D931" t="inlineStr">
        <is>
          <t>DALARNAS LÄN</t>
        </is>
      </c>
      <c r="E931" t="inlineStr">
        <is>
          <t>LEKSAND</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16417-2024</t>
        </is>
      </c>
      <c r="B932" s="1" t="n">
        <v>45407</v>
      </c>
      <c r="C932" s="1" t="n">
        <v>45844</v>
      </c>
      <c r="D932" t="inlineStr">
        <is>
          <t>DALARNAS LÄN</t>
        </is>
      </c>
      <c r="E932" t="inlineStr">
        <is>
          <t>LEKSAND</t>
        </is>
      </c>
      <c r="F932" t="inlineStr">
        <is>
          <t>Bergvik skog väst AB</t>
        </is>
      </c>
      <c r="G932" t="n">
        <v>17.4</v>
      </c>
      <c r="H932" t="n">
        <v>0</v>
      </c>
      <c r="I932" t="n">
        <v>0</v>
      </c>
      <c r="J932" t="n">
        <v>0</v>
      </c>
      <c r="K932" t="n">
        <v>0</v>
      </c>
      <c r="L932" t="n">
        <v>0</v>
      </c>
      <c r="M932" t="n">
        <v>0</v>
      </c>
      <c r="N932" t="n">
        <v>0</v>
      </c>
      <c r="O932" t="n">
        <v>0</v>
      </c>
      <c r="P932" t="n">
        <v>0</v>
      </c>
      <c r="Q932" t="n">
        <v>0</v>
      </c>
      <c r="R932" s="2" t="inlineStr"/>
    </row>
    <row r="933" ht="15" customHeight="1">
      <c r="A933" t="inlineStr">
        <is>
          <t>A 16264-2024</t>
        </is>
      </c>
      <c r="B933" s="1" t="n">
        <v>45407</v>
      </c>
      <c r="C933" s="1" t="n">
        <v>45844</v>
      </c>
      <c r="D933" t="inlineStr">
        <is>
          <t>DALARNAS LÄN</t>
        </is>
      </c>
      <c r="E933" t="inlineStr">
        <is>
          <t>LEKSAND</t>
        </is>
      </c>
      <c r="F933" t="inlineStr">
        <is>
          <t>Bergvik skog väst AB</t>
        </is>
      </c>
      <c r="G933" t="n">
        <v>1.8</v>
      </c>
      <c r="H933" t="n">
        <v>0</v>
      </c>
      <c r="I933" t="n">
        <v>0</v>
      </c>
      <c r="J933" t="n">
        <v>0</v>
      </c>
      <c r="K933" t="n">
        <v>0</v>
      </c>
      <c r="L933" t="n">
        <v>0</v>
      </c>
      <c r="M933" t="n">
        <v>0</v>
      </c>
      <c r="N933" t="n">
        <v>0</v>
      </c>
      <c r="O933" t="n">
        <v>0</v>
      </c>
      <c r="P933" t="n">
        <v>0</v>
      </c>
      <c r="Q933" t="n">
        <v>0</v>
      </c>
      <c r="R933" s="2" t="inlineStr"/>
    </row>
    <row r="934" ht="15" customHeight="1">
      <c r="A934" t="inlineStr">
        <is>
          <t>A 16420-2024</t>
        </is>
      </c>
      <c r="B934" s="1" t="n">
        <v>45407</v>
      </c>
      <c r="C934" s="1" t="n">
        <v>45844</v>
      </c>
      <c r="D934" t="inlineStr">
        <is>
          <t>DALARNAS LÄN</t>
        </is>
      </c>
      <c r="E934" t="inlineStr">
        <is>
          <t>LEKSAND</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16581-2024</t>
        </is>
      </c>
      <c r="B935" s="1" t="n">
        <v>45408</v>
      </c>
      <c r="C935" s="1" t="n">
        <v>45844</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16611-2024</t>
        </is>
      </c>
      <c r="B936" s="1" t="n">
        <v>45408</v>
      </c>
      <c r="C936" s="1" t="n">
        <v>45844</v>
      </c>
      <c r="D936" t="inlineStr">
        <is>
          <t>DALARNAS LÄN</t>
        </is>
      </c>
      <c r="E936" t="inlineStr">
        <is>
          <t>LEKSAND</t>
        </is>
      </c>
      <c r="G936" t="n">
        <v>5.9</v>
      </c>
      <c r="H936" t="n">
        <v>0</v>
      </c>
      <c r="I936" t="n">
        <v>0</v>
      </c>
      <c r="J936" t="n">
        <v>0</v>
      </c>
      <c r="K936" t="n">
        <v>0</v>
      </c>
      <c r="L936" t="n">
        <v>0</v>
      </c>
      <c r="M936" t="n">
        <v>0</v>
      </c>
      <c r="N936" t="n">
        <v>0</v>
      </c>
      <c r="O936" t="n">
        <v>0</v>
      </c>
      <c r="P936" t="n">
        <v>0</v>
      </c>
      <c r="Q936" t="n">
        <v>0</v>
      </c>
      <c r="R936" s="2" t="inlineStr"/>
    </row>
    <row r="937" ht="15" customHeight="1">
      <c r="A937" t="inlineStr">
        <is>
          <t>A 16894-2024</t>
        </is>
      </c>
      <c r="B937" s="1" t="n">
        <v>45411</v>
      </c>
      <c r="C937" s="1" t="n">
        <v>45844</v>
      </c>
      <c r="D937" t="inlineStr">
        <is>
          <t>DALARNAS LÄN</t>
        </is>
      </c>
      <c r="E937" t="inlineStr">
        <is>
          <t>LEKSAND</t>
        </is>
      </c>
      <c r="F937" t="inlineStr">
        <is>
          <t>Bergvik skog väst AB</t>
        </is>
      </c>
      <c r="G937" t="n">
        <v>3.7</v>
      </c>
      <c r="H937" t="n">
        <v>0</v>
      </c>
      <c r="I937" t="n">
        <v>0</v>
      </c>
      <c r="J937" t="n">
        <v>0</v>
      </c>
      <c r="K937" t="n">
        <v>0</v>
      </c>
      <c r="L937" t="n">
        <v>0</v>
      </c>
      <c r="M937" t="n">
        <v>0</v>
      </c>
      <c r="N937" t="n">
        <v>0</v>
      </c>
      <c r="O937" t="n">
        <v>0</v>
      </c>
      <c r="P937" t="n">
        <v>0</v>
      </c>
      <c r="Q937" t="n">
        <v>0</v>
      </c>
      <c r="R937" s="2" t="inlineStr"/>
    </row>
    <row r="938" ht="15" customHeight="1">
      <c r="A938" t="inlineStr">
        <is>
          <t>A 17198-2024</t>
        </is>
      </c>
      <c r="B938" s="1" t="n">
        <v>45413</v>
      </c>
      <c r="C938" s="1" t="n">
        <v>45844</v>
      </c>
      <c r="D938" t="inlineStr">
        <is>
          <t>DALARNAS LÄN</t>
        </is>
      </c>
      <c r="E938" t="inlineStr">
        <is>
          <t>LEKSAND</t>
        </is>
      </c>
      <c r="G938" t="n">
        <v>4.8</v>
      </c>
      <c r="H938" t="n">
        <v>0</v>
      </c>
      <c r="I938" t="n">
        <v>0</v>
      </c>
      <c r="J938" t="n">
        <v>0</v>
      </c>
      <c r="K938" t="n">
        <v>0</v>
      </c>
      <c r="L938" t="n">
        <v>0</v>
      </c>
      <c r="M938" t="n">
        <v>0</v>
      </c>
      <c r="N938" t="n">
        <v>0</v>
      </c>
      <c r="O938" t="n">
        <v>0</v>
      </c>
      <c r="P938" t="n">
        <v>0</v>
      </c>
      <c r="Q938" t="n">
        <v>0</v>
      </c>
      <c r="R938" s="2" t="inlineStr"/>
    </row>
    <row r="939" ht="15" customHeight="1">
      <c r="A939" t="inlineStr">
        <is>
          <t>A 17353-2024</t>
        </is>
      </c>
      <c r="B939" s="1" t="n">
        <v>45414</v>
      </c>
      <c r="C939" s="1" t="n">
        <v>45844</v>
      </c>
      <c r="D939" t="inlineStr">
        <is>
          <t>DALARNAS LÄN</t>
        </is>
      </c>
      <c r="E939" t="inlineStr">
        <is>
          <t>LEKSAND</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17606-2024</t>
        </is>
      </c>
      <c r="B940" s="1" t="n">
        <v>45415</v>
      </c>
      <c r="C940" s="1" t="n">
        <v>45844</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17796-2024</t>
        </is>
      </c>
      <c r="B941" s="1" t="n">
        <v>45418</v>
      </c>
      <c r="C941" s="1" t="n">
        <v>45844</v>
      </c>
      <c r="D941" t="inlineStr">
        <is>
          <t>DALARNAS LÄN</t>
        </is>
      </c>
      <c r="E941" t="inlineStr">
        <is>
          <t>LEKSAND</t>
        </is>
      </c>
      <c r="G941" t="n">
        <v>3.4</v>
      </c>
      <c r="H941" t="n">
        <v>0</v>
      </c>
      <c r="I941" t="n">
        <v>0</v>
      </c>
      <c r="J941" t="n">
        <v>0</v>
      </c>
      <c r="K941" t="n">
        <v>0</v>
      </c>
      <c r="L941" t="n">
        <v>0</v>
      </c>
      <c r="M941" t="n">
        <v>0</v>
      </c>
      <c r="N941" t="n">
        <v>0</v>
      </c>
      <c r="O941" t="n">
        <v>0</v>
      </c>
      <c r="P941" t="n">
        <v>0</v>
      </c>
      <c r="Q941" t="n">
        <v>0</v>
      </c>
      <c r="R941" s="2" t="inlineStr"/>
    </row>
    <row r="942" ht="15" customHeight="1">
      <c r="A942" t="inlineStr">
        <is>
          <t>A 17726-2024</t>
        </is>
      </c>
      <c r="B942" s="1" t="n">
        <v>45418</v>
      </c>
      <c r="C942" s="1" t="n">
        <v>45844</v>
      </c>
      <c r="D942" t="inlineStr">
        <is>
          <t>DALARNAS LÄN</t>
        </is>
      </c>
      <c r="E942" t="inlineStr">
        <is>
          <t>LEKSAND</t>
        </is>
      </c>
      <c r="G942" t="n">
        <v>5.2</v>
      </c>
      <c r="H942" t="n">
        <v>0</v>
      </c>
      <c r="I942" t="n">
        <v>0</v>
      </c>
      <c r="J942" t="n">
        <v>0</v>
      </c>
      <c r="K942" t="n">
        <v>0</v>
      </c>
      <c r="L942" t="n">
        <v>0</v>
      </c>
      <c r="M942" t="n">
        <v>0</v>
      </c>
      <c r="N942" t="n">
        <v>0</v>
      </c>
      <c r="O942" t="n">
        <v>0</v>
      </c>
      <c r="P942" t="n">
        <v>0</v>
      </c>
      <c r="Q942" t="n">
        <v>0</v>
      </c>
      <c r="R942" s="2" t="inlineStr"/>
    </row>
    <row r="943" ht="15" customHeight="1">
      <c r="A943" t="inlineStr">
        <is>
          <t>A 17730-2024</t>
        </is>
      </c>
      <c r="B943" s="1" t="n">
        <v>45418</v>
      </c>
      <c r="C943" s="1" t="n">
        <v>45844</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17938-2024</t>
        </is>
      </c>
      <c r="B944" s="1" t="n">
        <v>45419</v>
      </c>
      <c r="C944" s="1" t="n">
        <v>45844</v>
      </c>
      <c r="D944" t="inlineStr">
        <is>
          <t>DALARNAS LÄN</t>
        </is>
      </c>
      <c r="E944" t="inlineStr">
        <is>
          <t>LEKSAND</t>
        </is>
      </c>
      <c r="G944" t="n">
        <v>3.8</v>
      </c>
      <c r="H944" t="n">
        <v>0</v>
      </c>
      <c r="I944" t="n">
        <v>0</v>
      </c>
      <c r="J944" t="n">
        <v>0</v>
      </c>
      <c r="K944" t="n">
        <v>0</v>
      </c>
      <c r="L944" t="n">
        <v>0</v>
      </c>
      <c r="M944" t="n">
        <v>0</v>
      </c>
      <c r="N944" t="n">
        <v>0</v>
      </c>
      <c r="O944" t="n">
        <v>0</v>
      </c>
      <c r="P944" t="n">
        <v>0</v>
      </c>
      <c r="Q944" t="n">
        <v>0</v>
      </c>
      <c r="R944" s="2" t="inlineStr"/>
    </row>
    <row r="945" ht="15" customHeight="1">
      <c r="A945" t="inlineStr">
        <is>
          <t>A 17944-2024</t>
        </is>
      </c>
      <c r="B945" s="1" t="n">
        <v>45419</v>
      </c>
      <c r="C945" s="1" t="n">
        <v>45844</v>
      </c>
      <c r="D945" t="inlineStr">
        <is>
          <t>DALARNAS LÄN</t>
        </is>
      </c>
      <c r="E945" t="inlineStr">
        <is>
          <t>LEKSAND</t>
        </is>
      </c>
      <c r="G945" t="n">
        <v>2.9</v>
      </c>
      <c r="H945" t="n">
        <v>0</v>
      </c>
      <c r="I945" t="n">
        <v>0</v>
      </c>
      <c r="J945" t="n">
        <v>0</v>
      </c>
      <c r="K945" t="n">
        <v>0</v>
      </c>
      <c r="L945" t="n">
        <v>0</v>
      </c>
      <c r="M945" t="n">
        <v>0</v>
      </c>
      <c r="N945" t="n">
        <v>0</v>
      </c>
      <c r="O945" t="n">
        <v>0</v>
      </c>
      <c r="P945" t="n">
        <v>0</v>
      </c>
      <c r="Q945" t="n">
        <v>0</v>
      </c>
      <c r="R945" s="2" t="inlineStr"/>
    </row>
    <row r="946" ht="15" customHeight="1">
      <c r="A946" t="inlineStr">
        <is>
          <t>A 18040-2024</t>
        </is>
      </c>
      <c r="B946" s="1" t="n">
        <v>45420</v>
      </c>
      <c r="C946" s="1" t="n">
        <v>45844</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18176-2024</t>
        </is>
      </c>
      <c r="B947" s="1" t="n">
        <v>45420</v>
      </c>
      <c r="C947" s="1" t="n">
        <v>45844</v>
      </c>
      <c r="D947" t="inlineStr">
        <is>
          <t>DALARNAS LÄN</t>
        </is>
      </c>
      <c r="E947" t="inlineStr">
        <is>
          <t>LEKSAND</t>
        </is>
      </c>
      <c r="F947" t="inlineStr">
        <is>
          <t>Bergvik skog väst AB</t>
        </is>
      </c>
      <c r="G947" t="n">
        <v>0.9</v>
      </c>
      <c r="H947" t="n">
        <v>0</v>
      </c>
      <c r="I947" t="n">
        <v>0</v>
      </c>
      <c r="J947" t="n">
        <v>0</v>
      </c>
      <c r="K947" t="n">
        <v>0</v>
      </c>
      <c r="L947" t="n">
        <v>0</v>
      </c>
      <c r="M947" t="n">
        <v>0</v>
      </c>
      <c r="N947" t="n">
        <v>0</v>
      </c>
      <c r="O947" t="n">
        <v>0</v>
      </c>
      <c r="P947" t="n">
        <v>0</v>
      </c>
      <c r="Q947" t="n">
        <v>0</v>
      </c>
      <c r="R947" s="2" t="inlineStr"/>
    </row>
    <row r="948" ht="15" customHeight="1">
      <c r="A948" t="inlineStr">
        <is>
          <t>A 18484-2024</t>
        </is>
      </c>
      <c r="B948" s="1" t="n">
        <v>45425</v>
      </c>
      <c r="C948" s="1" t="n">
        <v>45844</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18481-2024</t>
        </is>
      </c>
      <c r="B949" s="1" t="n">
        <v>45425</v>
      </c>
      <c r="C949" s="1" t="n">
        <v>45844</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18483-2024</t>
        </is>
      </c>
      <c r="B950" s="1" t="n">
        <v>45425</v>
      </c>
      <c r="C950" s="1" t="n">
        <v>45844</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18791-2024</t>
        </is>
      </c>
      <c r="B951" s="1" t="n">
        <v>45426</v>
      </c>
      <c r="C951" s="1" t="n">
        <v>45844</v>
      </c>
      <c r="D951" t="inlineStr">
        <is>
          <t>DALARNAS LÄN</t>
        </is>
      </c>
      <c r="E951" t="inlineStr">
        <is>
          <t>LEKSAND</t>
        </is>
      </c>
      <c r="G951" t="n">
        <v>2.2</v>
      </c>
      <c r="H951" t="n">
        <v>0</v>
      </c>
      <c r="I951" t="n">
        <v>0</v>
      </c>
      <c r="J951" t="n">
        <v>0</v>
      </c>
      <c r="K951" t="n">
        <v>0</v>
      </c>
      <c r="L951" t="n">
        <v>0</v>
      </c>
      <c r="M951" t="n">
        <v>0</v>
      </c>
      <c r="N951" t="n">
        <v>0</v>
      </c>
      <c r="O951" t="n">
        <v>0</v>
      </c>
      <c r="P951" t="n">
        <v>0</v>
      </c>
      <c r="Q951" t="n">
        <v>0</v>
      </c>
      <c r="R951" s="2" t="inlineStr"/>
    </row>
    <row r="952" ht="15" customHeight="1">
      <c r="A952" t="inlineStr">
        <is>
          <t>A 19075-2024</t>
        </is>
      </c>
      <c r="B952" s="1" t="n">
        <v>45428</v>
      </c>
      <c r="C952" s="1" t="n">
        <v>45844</v>
      </c>
      <c r="D952" t="inlineStr">
        <is>
          <t>DALARNAS LÄN</t>
        </is>
      </c>
      <c r="E952" t="inlineStr">
        <is>
          <t>LEKSAND</t>
        </is>
      </c>
      <c r="G952" t="n">
        <v>4.9</v>
      </c>
      <c r="H952" t="n">
        <v>0</v>
      </c>
      <c r="I952" t="n">
        <v>0</v>
      </c>
      <c r="J952" t="n">
        <v>0</v>
      </c>
      <c r="K952" t="n">
        <v>0</v>
      </c>
      <c r="L952" t="n">
        <v>0</v>
      </c>
      <c r="M952" t="n">
        <v>0</v>
      </c>
      <c r="N952" t="n">
        <v>0</v>
      </c>
      <c r="O952" t="n">
        <v>0</v>
      </c>
      <c r="P952" t="n">
        <v>0</v>
      </c>
      <c r="Q952" t="n">
        <v>0</v>
      </c>
      <c r="R952" s="2" t="inlineStr"/>
    </row>
    <row r="953" ht="15" customHeight="1">
      <c r="A953" t="inlineStr">
        <is>
          <t>A 18991-2024</t>
        </is>
      </c>
      <c r="B953" s="1" t="n">
        <v>45427</v>
      </c>
      <c r="C953" s="1" t="n">
        <v>45844</v>
      </c>
      <c r="D953" t="inlineStr">
        <is>
          <t>DALARNAS LÄN</t>
        </is>
      </c>
      <c r="E953" t="inlineStr">
        <is>
          <t>LEKSAND</t>
        </is>
      </c>
      <c r="F953" t="inlineStr">
        <is>
          <t>Bergvik skog väst AB</t>
        </is>
      </c>
      <c r="G953" t="n">
        <v>2.6</v>
      </c>
      <c r="H953" t="n">
        <v>0</v>
      </c>
      <c r="I953" t="n">
        <v>0</v>
      </c>
      <c r="J953" t="n">
        <v>0</v>
      </c>
      <c r="K953" t="n">
        <v>0</v>
      </c>
      <c r="L953" t="n">
        <v>0</v>
      </c>
      <c r="M953" t="n">
        <v>0</v>
      </c>
      <c r="N953" t="n">
        <v>0</v>
      </c>
      <c r="O953" t="n">
        <v>0</v>
      </c>
      <c r="P953" t="n">
        <v>0</v>
      </c>
      <c r="Q953" t="n">
        <v>0</v>
      </c>
      <c r="R953" s="2" t="inlineStr"/>
    </row>
    <row r="954" ht="15" customHeight="1">
      <c r="A954" t="inlineStr">
        <is>
          <t>A 19295-2024</t>
        </is>
      </c>
      <c r="B954" s="1" t="n">
        <v>45428</v>
      </c>
      <c r="C954" s="1" t="n">
        <v>45844</v>
      </c>
      <c r="D954" t="inlineStr">
        <is>
          <t>DALARNAS LÄN</t>
        </is>
      </c>
      <c r="E954" t="inlineStr">
        <is>
          <t>LEKSAND</t>
        </is>
      </c>
      <c r="G954" t="n">
        <v>1.6</v>
      </c>
      <c r="H954" t="n">
        <v>0</v>
      </c>
      <c r="I954" t="n">
        <v>0</v>
      </c>
      <c r="J954" t="n">
        <v>0</v>
      </c>
      <c r="K954" t="n">
        <v>0</v>
      </c>
      <c r="L954" t="n">
        <v>0</v>
      </c>
      <c r="M954" t="n">
        <v>0</v>
      </c>
      <c r="N954" t="n">
        <v>0</v>
      </c>
      <c r="O954" t="n">
        <v>0</v>
      </c>
      <c r="P954" t="n">
        <v>0</v>
      </c>
      <c r="Q954" t="n">
        <v>0</v>
      </c>
      <c r="R954" s="2" t="inlineStr"/>
    </row>
    <row r="955" ht="15" customHeight="1">
      <c r="A955" t="inlineStr">
        <is>
          <t>A 19296-2024</t>
        </is>
      </c>
      <c r="B955" s="1" t="n">
        <v>45428</v>
      </c>
      <c r="C955" s="1" t="n">
        <v>45844</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ht="15" customHeight="1">
      <c r="A956" t="inlineStr">
        <is>
          <t>A 19371-2024</t>
        </is>
      </c>
      <c r="B956" s="1" t="n">
        <v>45429</v>
      </c>
      <c r="C956" s="1" t="n">
        <v>45844</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ht="15" customHeight="1">
      <c r="A957" t="inlineStr">
        <is>
          <t>A 19670-2024</t>
        </is>
      </c>
      <c r="B957" s="1" t="n">
        <v>45432</v>
      </c>
      <c r="C957" s="1" t="n">
        <v>45844</v>
      </c>
      <c r="D957" t="inlineStr">
        <is>
          <t>DALARNAS LÄN</t>
        </is>
      </c>
      <c r="E957" t="inlineStr">
        <is>
          <t>LEKSAND</t>
        </is>
      </c>
      <c r="G957" t="n">
        <v>2.2</v>
      </c>
      <c r="H957" t="n">
        <v>0</v>
      </c>
      <c r="I957" t="n">
        <v>0</v>
      </c>
      <c r="J957" t="n">
        <v>0</v>
      </c>
      <c r="K957" t="n">
        <v>0</v>
      </c>
      <c r="L957" t="n">
        <v>0</v>
      </c>
      <c r="M957" t="n">
        <v>0</v>
      </c>
      <c r="N957" t="n">
        <v>0</v>
      </c>
      <c r="O957" t="n">
        <v>0</v>
      </c>
      <c r="P957" t="n">
        <v>0</v>
      </c>
      <c r="Q957" t="n">
        <v>0</v>
      </c>
      <c r="R957" s="2" t="inlineStr"/>
    </row>
    <row r="958" ht="15" customHeight="1">
      <c r="A958" t="inlineStr">
        <is>
          <t>A 19738-2024</t>
        </is>
      </c>
      <c r="B958" s="1" t="n">
        <v>45432</v>
      </c>
      <c r="C958" s="1" t="n">
        <v>45844</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19741-2024</t>
        </is>
      </c>
      <c r="B959" s="1" t="n">
        <v>45432</v>
      </c>
      <c r="C959" s="1" t="n">
        <v>45844</v>
      </c>
      <c r="D959" t="inlineStr">
        <is>
          <t>DALARNAS LÄN</t>
        </is>
      </c>
      <c r="E959" t="inlineStr">
        <is>
          <t>LEKSAND</t>
        </is>
      </c>
      <c r="G959" t="n">
        <v>1.1</v>
      </c>
      <c r="H959" t="n">
        <v>0</v>
      </c>
      <c r="I959" t="n">
        <v>0</v>
      </c>
      <c r="J959" t="n">
        <v>0</v>
      </c>
      <c r="K959" t="n">
        <v>0</v>
      </c>
      <c r="L959" t="n">
        <v>0</v>
      </c>
      <c r="M959" t="n">
        <v>0</v>
      </c>
      <c r="N959" t="n">
        <v>0</v>
      </c>
      <c r="O959" t="n">
        <v>0</v>
      </c>
      <c r="P959" t="n">
        <v>0</v>
      </c>
      <c r="Q959" t="n">
        <v>0</v>
      </c>
      <c r="R959" s="2" t="inlineStr"/>
    </row>
    <row r="960" ht="15" customHeight="1">
      <c r="A960" t="inlineStr">
        <is>
          <t>A 19618-2024</t>
        </is>
      </c>
      <c r="B960" s="1" t="n">
        <v>45432</v>
      </c>
      <c r="C960" s="1" t="n">
        <v>45844</v>
      </c>
      <c r="D960" t="inlineStr">
        <is>
          <t>DALARNAS LÄN</t>
        </is>
      </c>
      <c r="E960" t="inlineStr">
        <is>
          <t>LEKSAND</t>
        </is>
      </c>
      <c r="G960" t="n">
        <v>1.5</v>
      </c>
      <c r="H960" t="n">
        <v>0</v>
      </c>
      <c r="I960" t="n">
        <v>0</v>
      </c>
      <c r="J960" t="n">
        <v>0</v>
      </c>
      <c r="K960" t="n">
        <v>0</v>
      </c>
      <c r="L960" t="n">
        <v>0</v>
      </c>
      <c r="M960" t="n">
        <v>0</v>
      </c>
      <c r="N960" t="n">
        <v>0</v>
      </c>
      <c r="O960" t="n">
        <v>0</v>
      </c>
      <c r="P960" t="n">
        <v>0</v>
      </c>
      <c r="Q960" t="n">
        <v>0</v>
      </c>
      <c r="R960" s="2" t="inlineStr"/>
    </row>
    <row r="961" ht="15" customHeight="1">
      <c r="A961" t="inlineStr">
        <is>
          <t>A 19622-2024</t>
        </is>
      </c>
      <c r="B961" s="1" t="n">
        <v>45432</v>
      </c>
      <c r="C961" s="1" t="n">
        <v>45844</v>
      </c>
      <c r="D961" t="inlineStr">
        <is>
          <t>DALARNAS LÄN</t>
        </is>
      </c>
      <c r="E961" t="inlineStr">
        <is>
          <t>LEKSAND</t>
        </is>
      </c>
      <c r="G961" t="n">
        <v>1.3</v>
      </c>
      <c r="H961" t="n">
        <v>0</v>
      </c>
      <c r="I961" t="n">
        <v>0</v>
      </c>
      <c r="J961" t="n">
        <v>0</v>
      </c>
      <c r="K961" t="n">
        <v>0</v>
      </c>
      <c r="L961" t="n">
        <v>0</v>
      </c>
      <c r="M961" t="n">
        <v>0</v>
      </c>
      <c r="N961" t="n">
        <v>0</v>
      </c>
      <c r="O961" t="n">
        <v>0</v>
      </c>
      <c r="P961" t="n">
        <v>0</v>
      </c>
      <c r="Q961" t="n">
        <v>0</v>
      </c>
      <c r="R961" s="2" t="inlineStr"/>
    </row>
    <row r="962" ht="15" customHeight="1">
      <c r="A962" t="inlineStr">
        <is>
          <t>A 19820-2024</t>
        </is>
      </c>
      <c r="B962" s="1" t="n">
        <v>45433</v>
      </c>
      <c r="C962" s="1" t="n">
        <v>45844</v>
      </c>
      <c r="D962" t="inlineStr">
        <is>
          <t>DALARNAS LÄN</t>
        </is>
      </c>
      <c r="E962" t="inlineStr">
        <is>
          <t>LEKSAND</t>
        </is>
      </c>
      <c r="G962" t="n">
        <v>0.7</v>
      </c>
      <c r="H962" t="n">
        <v>0</v>
      </c>
      <c r="I962" t="n">
        <v>0</v>
      </c>
      <c r="J962" t="n">
        <v>0</v>
      </c>
      <c r="K962" t="n">
        <v>0</v>
      </c>
      <c r="L962" t="n">
        <v>0</v>
      </c>
      <c r="M962" t="n">
        <v>0</v>
      </c>
      <c r="N962" t="n">
        <v>0</v>
      </c>
      <c r="O962" t="n">
        <v>0</v>
      </c>
      <c r="P962" t="n">
        <v>0</v>
      </c>
      <c r="Q962" t="n">
        <v>0</v>
      </c>
      <c r="R962" s="2" t="inlineStr"/>
    </row>
    <row r="963" ht="15" customHeight="1">
      <c r="A963" t="inlineStr">
        <is>
          <t>A 19823-2024</t>
        </is>
      </c>
      <c r="B963" s="1" t="n">
        <v>45433</v>
      </c>
      <c r="C963" s="1" t="n">
        <v>45844</v>
      </c>
      <c r="D963" t="inlineStr">
        <is>
          <t>DALARNAS LÄN</t>
        </is>
      </c>
      <c r="E963" t="inlineStr">
        <is>
          <t>LEKSAND</t>
        </is>
      </c>
      <c r="G963" t="n">
        <v>0.3</v>
      </c>
      <c r="H963" t="n">
        <v>0</v>
      </c>
      <c r="I963" t="n">
        <v>0</v>
      </c>
      <c r="J963" t="n">
        <v>0</v>
      </c>
      <c r="K963" t="n">
        <v>0</v>
      </c>
      <c r="L963" t="n">
        <v>0</v>
      </c>
      <c r="M963" t="n">
        <v>0</v>
      </c>
      <c r="N963" t="n">
        <v>0</v>
      </c>
      <c r="O963" t="n">
        <v>0</v>
      </c>
      <c r="P963" t="n">
        <v>0</v>
      </c>
      <c r="Q963" t="n">
        <v>0</v>
      </c>
      <c r="R963" s="2" t="inlineStr"/>
    </row>
    <row r="964" ht="15" customHeight="1">
      <c r="A964" t="inlineStr">
        <is>
          <t>A 20110-2024</t>
        </is>
      </c>
      <c r="B964" s="1" t="n">
        <v>45434</v>
      </c>
      <c r="C964" s="1" t="n">
        <v>45844</v>
      </c>
      <c r="D964" t="inlineStr">
        <is>
          <t>DALARNAS LÄN</t>
        </is>
      </c>
      <c r="E964" t="inlineStr">
        <is>
          <t>LEKSAND</t>
        </is>
      </c>
      <c r="G964" t="n">
        <v>1.8</v>
      </c>
      <c r="H964" t="n">
        <v>0</v>
      </c>
      <c r="I964" t="n">
        <v>0</v>
      </c>
      <c r="J964" t="n">
        <v>0</v>
      </c>
      <c r="K964" t="n">
        <v>0</v>
      </c>
      <c r="L964" t="n">
        <v>0</v>
      </c>
      <c r="M964" t="n">
        <v>0</v>
      </c>
      <c r="N964" t="n">
        <v>0</v>
      </c>
      <c r="O964" t="n">
        <v>0</v>
      </c>
      <c r="P964" t="n">
        <v>0</v>
      </c>
      <c r="Q964" t="n">
        <v>0</v>
      </c>
      <c r="R964" s="2" t="inlineStr"/>
    </row>
    <row r="965" ht="15" customHeight="1">
      <c r="A965" t="inlineStr">
        <is>
          <t>A 20590-2024</t>
        </is>
      </c>
      <c r="B965" s="1" t="n">
        <v>45436</v>
      </c>
      <c r="C965" s="1" t="n">
        <v>45844</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20588-2024</t>
        </is>
      </c>
      <c r="B966" s="1" t="n">
        <v>45436</v>
      </c>
      <c r="C966" s="1" t="n">
        <v>45844</v>
      </c>
      <c r="D966" t="inlineStr">
        <is>
          <t>DALARNAS LÄN</t>
        </is>
      </c>
      <c r="E966" t="inlineStr">
        <is>
          <t>LEKSAND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20718-2024</t>
        </is>
      </c>
      <c r="B967" s="1" t="n">
        <v>45436</v>
      </c>
      <c r="C967" s="1" t="n">
        <v>45844</v>
      </c>
      <c r="D967" t="inlineStr">
        <is>
          <t>DALARNAS LÄN</t>
        </is>
      </c>
      <c r="E967" t="inlineStr">
        <is>
          <t>LEKSAND</t>
        </is>
      </c>
      <c r="F967" t="inlineStr">
        <is>
          <t>Bergvik skog väst AB</t>
        </is>
      </c>
      <c r="G967" t="n">
        <v>4.7</v>
      </c>
      <c r="H967" t="n">
        <v>0</v>
      </c>
      <c r="I967" t="n">
        <v>0</v>
      </c>
      <c r="J967" t="n">
        <v>0</v>
      </c>
      <c r="K967" t="n">
        <v>0</v>
      </c>
      <c r="L967" t="n">
        <v>0</v>
      </c>
      <c r="M967" t="n">
        <v>0</v>
      </c>
      <c r="N967" t="n">
        <v>0</v>
      </c>
      <c r="O967" t="n">
        <v>0</v>
      </c>
      <c r="P967" t="n">
        <v>0</v>
      </c>
      <c r="Q967" t="n">
        <v>0</v>
      </c>
      <c r="R967" s="2" t="inlineStr"/>
    </row>
    <row r="968" ht="15" customHeight="1">
      <c r="A968" t="inlineStr">
        <is>
          <t>A 21017-2024</t>
        </is>
      </c>
      <c r="B968" s="1" t="n">
        <v>45439</v>
      </c>
      <c r="C968" s="1" t="n">
        <v>45844</v>
      </c>
      <c r="D968" t="inlineStr">
        <is>
          <t>DALARNAS LÄN</t>
        </is>
      </c>
      <c r="E968" t="inlineStr">
        <is>
          <t>LEKSAND</t>
        </is>
      </c>
      <c r="G968" t="n">
        <v>2.8</v>
      </c>
      <c r="H968" t="n">
        <v>0</v>
      </c>
      <c r="I968" t="n">
        <v>0</v>
      </c>
      <c r="J968" t="n">
        <v>0</v>
      </c>
      <c r="K968" t="n">
        <v>0</v>
      </c>
      <c r="L968" t="n">
        <v>0</v>
      </c>
      <c r="M968" t="n">
        <v>0</v>
      </c>
      <c r="N968" t="n">
        <v>0</v>
      </c>
      <c r="O968" t="n">
        <v>0</v>
      </c>
      <c r="P968" t="n">
        <v>0</v>
      </c>
      <c r="Q968" t="n">
        <v>0</v>
      </c>
      <c r="R968" s="2" t="inlineStr"/>
    </row>
    <row r="969" ht="15" customHeight="1">
      <c r="A969" t="inlineStr">
        <is>
          <t>A 21035-2024</t>
        </is>
      </c>
      <c r="B969" s="1" t="n">
        <v>45439</v>
      </c>
      <c r="C969" s="1" t="n">
        <v>45844</v>
      </c>
      <c r="D969" t="inlineStr">
        <is>
          <t>DALARNAS LÄN</t>
        </is>
      </c>
      <c r="E969" t="inlineStr">
        <is>
          <t>LEKSAND</t>
        </is>
      </c>
      <c r="G969" t="n">
        <v>11.6</v>
      </c>
      <c r="H969" t="n">
        <v>0</v>
      </c>
      <c r="I969" t="n">
        <v>0</v>
      </c>
      <c r="J969" t="n">
        <v>0</v>
      </c>
      <c r="K969" t="n">
        <v>0</v>
      </c>
      <c r="L969" t="n">
        <v>0</v>
      </c>
      <c r="M969" t="n">
        <v>0</v>
      </c>
      <c r="N969" t="n">
        <v>0</v>
      </c>
      <c r="O969" t="n">
        <v>0</v>
      </c>
      <c r="P969" t="n">
        <v>0</v>
      </c>
      <c r="Q969" t="n">
        <v>0</v>
      </c>
      <c r="R969" s="2" t="inlineStr"/>
    </row>
    <row r="970" ht="15" customHeight="1">
      <c r="A970" t="inlineStr">
        <is>
          <t>A 21556-2024</t>
        </is>
      </c>
      <c r="B970" s="1" t="n">
        <v>45441</v>
      </c>
      <c r="C970" s="1" t="n">
        <v>45844</v>
      </c>
      <c r="D970" t="inlineStr">
        <is>
          <t>DALARNAS LÄN</t>
        </is>
      </c>
      <c r="E970" t="inlineStr">
        <is>
          <t>LEKSAND</t>
        </is>
      </c>
      <c r="G970" t="n">
        <v>2.9</v>
      </c>
      <c r="H970" t="n">
        <v>0</v>
      </c>
      <c r="I970" t="n">
        <v>0</v>
      </c>
      <c r="J970" t="n">
        <v>0</v>
      </c>
      <c r="K970" t="n">
        <v>0</v>
      </c>
      <c r="L970" t="n">
        <v>0</v>
      </c>
      <c r="M970" t="n">
        <v>0</v>
      </c>
      <c r="N970" t="n">
        <v>0</v>
      </c>
      <c r="O970" t="n">
        <v>0</v>
      </c>
      <c r="P970" t="n">
        <v>0</v>
      </c>
      <c r="Q970" t="n">
        <v>0</v>
      </c>
      <c r="R970" s="2" t="inlineStr"/>
    </row>
    <row r="971" ht="15" customHeight="1">
      <c r="A971" t="inlineStr">
        <is>
          <t>A 21676-2024</t>
        </is>
      </c>
      <c r="B971" s="1" t="n">
        <v>45442</v>
      </c>
      <c r="C971" s="1" t="n">
        <v>45844</v>
      </c>
      <c r="D971" t="inlineStr">
        <is>
          <t>DALARNAS LÄN</t>
        </is>
      </c>
      <c r="E971" t="inlineStr">
        <is>
          <t>LEKSAND</t>
        </is>
      </c>
      <c r="F971" t="inlineStr">
        <is>
          <t>Bergvik skog väst AB</t>
        </is>
      </c>
      <c r="G971" t="n">
        <v>1.9</v>
      </c>
      <c r="H971" t="n">
        <v>0</v>
      </c>
      <c r="I971" t="n">
        <v>0</v>
      </c>
      <c r="J971" t="n">
        <v>0</v>
      </c>
      <c r="K971" t="n">
        <v>0</v>
      </c>
      <c r="L971" t="n">
        <v>0</v>
      </c>
      <c r="M971" t="n">
        <v>0</v>
      </c>
      <c r="N971" t="n">
        <v>0</v>
      </c>
      <c r="O971" t="n">
        <v>0</v>
      </c>
      <c r="P971" t="n">
        <v>0</v>
      </c>
      <c r="Q971" t="n">
        <v>0</v>
      </c>
      <c r="R971" s="2" t="inlineStr"/>
    </row>
    <row r="972" ht="15" customHeight="1">
      <c r="A972" t="inlineStr">
        <is>
          <t>A 22059-2024</t>
        </is>
      </c>
      <c r="B972" s="1" t="n">
        <v>45443</v>
      </c>
      <c r="C972" s="1" t="n">
        <v>45844</v>
      </c>
      <c r="D972" t="inlineStr">
        <is>
          <t>DALARNAS LÄN</t>
        </is>
      </c>
      <c r="E972" t="inlineStr">
        <is>
          <t>LEKSAND</t>
        </is>
      </c>
      <c r="G972" t="n">
        <v>13.4</v>
      </c>
      <c r="H972" t="n">
        <v>0</v>
      </c>
      <c r="I972" t="n">
        <v>0</v>
      </c>
      <c r="J972" t="n">
        <v>0</v>
      </c>
      <c r="K972" t="n">
        <v>0</v>
      </c>
      <c r="L972" t="n">
        <v>0</v>
      </c>
      <c r="M972" t="n">
        <v>0</v>
      </c>
      <c r="N972" t="n">
        <v>0</v>
      </c>
      <c r="O972" t="n">
        <v>0</v>
      </c>
      <c r="P972" t="n">
        <v>0</v>
      </c>
      <c r="Q972" t="n">
        <v>0</v>
      </c>
      <c r="R972" s="2" t="inlineStr"/>
    </row>
    <row r="973" ht="15" customHeight="1">
      <c r="A973" t="inlineStr">
        <is>
          <t>A 22354-2024</t>
        </is>
      </c>
      <c r="B973" s="1" t="n">
        <v>45446</v>
      </c>
      <c r="C973" s="1" t="n">
        <v>45844</v>
      </c>
      <c r="D973" t="inlineStr">
        <is>
          <t>DALARNAS LÄN</t>
        </is>
      </c>
      <c r="E973" t="inlineStr">
        <is>
          <t>LEKSAND</t>
        </is>
      </c>
      <c r="G973" t="n">
        <v>1</v>
      </c>
      <c r="H973" t="n">
        <v>0</v>
      </c>
      <c r="I973" t="n">
        <v>0</v>
      </c>
      <c r="J973" t="n">
        <v>0</v>
      </c>
      <c r="K973" t="n">
        <v>0</v>
      </c>
      <c r="L973" t="n">
        <v>0</v>
      </c>
      <c r="M973" t="n">
        <v>0</v>
      </c>
      <c r="N973" t="n">
        <v>0</v>
      </c>
      <c r="O973" t="n">
        <v>0</v>
      </c>
      <c r="P973" t="n">
        <v>0</v>
      </c>
      <c r="Q973" t="n">
        <v>0</v>
      </c>
      <c r="R973" s="2" t="inlineStr"/>
    </row>
    <row r="974" ht="15" customHeight="1">
      <c r="A974" t="inlineStr">
        <is>
          <t>A 22388-2024</t>
        </is>
      </c>
      <c r="B974" s="1" t="n">
        <v>45446</v>
      </c>
      <c r="C974" s="1" t="n">
        <v>45844</v>
      </c>
      <c r="D974" t="inlineStr">
        <is>
          <t>DALARNAS LÄN</t>
        </is>
      </c>
      <c r="E974" t="inlineStr">
        <is>
          <t>LEKSAND</t>
        </is>
      </c>
      <c r="F974" t="inlineStr">
        <is>
          <t>Bergvik skog väst AB</t>
        </is>
      </c>
      <c r="G974" t="n">
        <v>5.3</v>
      </c>
      <c r="H974" t="n">
        <v>0</v>
      </c>
      <c r="I974" t="n">
        <v>0</v>
      </c>
      <c r="J974" t="n">
        <v>0</v>
      </c>
      <c r="K974" t="n">
        <v>0</v>
      </c>
      <c r="L974" t="n">
        <v>0</v>
      </c>
      <c r="M974" t="n">
        <v>0</v>
      </c>
      <c r="N974" t="n">
        <v>0</v>
      </c>
      <c r="O974" t="n">
        <v>0</v>
      </c>
      <c r="P974" t="n">
        <v>0</v>
      </c>
      <c r="Q974" t="n">
        <v>0</v>
      </c>
      <c r="R974" s="2" t="inlineStr"/>
    </row>
    <row r="975" ht="15" customHeight="1">
      <c r="A975" t="inlineStr">
        <is>
          <t>A 22349-2024</t>
        </is>
      </c>
      <c r="B975" s="1" t="n">
        <v>45446</v>
      </c>
      <c r="C975" s="1" t="n">
        <v>45844</v>
      </c>
      <c r="D975" t="inlineStr">
        <is>
          <t>DALARNAS LÄN</t>
        </is>
      </c>
      <c r="E975" t="inlineStr">
        <is>
          <t>LEKSAND</t>
        </is>
      </c>
      <c r="G975" t="n">
        <v>0.6</v>
      </c>
      <c r="H975" t="n">
        <v>0</v>
      </c>
      <c r="I975" t="n">
        <v>0</v>
      </c>
      <c r="J975" t="n">
        <v>0</v>
      </c>
      <c r="K975" t="n">
        <v>0</v>
      </c>
      <c r="L975" t="n">
        <v>0</v>
      </c>
      <c r="M975" t="n">
        <v>0</v>
      </c>
      <c r="N975" t="n">
        <v>0</v>
      </c>
      <c r="O975" t="n">
        <v>0</v>
      </c>
      <c r="P975" t="n">
        <v>0</v>
      </c>
      <c r="Q975" t="n">
        <v>0</v>
      </c>
      <c r="R975" s="2" t="inlineStr"/>
    </row>
    <row r="976" ht="15" customHeight="1">
      <c r="A976" t="inlineStr">
        <is>
          <t>A 22281-2024</t>
        </is>
      </c>
      <c r="B976" s="1" t="n">
        <v>45446</v>
      </c>
      <c r="C976" s="1" t="n">
        <v>45844</v>
      </c>
      <c r="D976" t="inlineStr">
        <is>
          <t>DALARNAS LÄN</t>
        </is>
      </c>
      <c r="E976" t="inlineStr">
        <is>
          <t>LEKSAND</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22612-2024</t>
        </is>
      </c>
      <c r="B977" s="1" t="n">
        <v>45447</v>
      </c>
      <c r="C977" s="1" t="n">
        <v>45844</v>
      </c>
      <c r="D977" t="inlineStr">
        <is>
          <t>DALARNAS LÄN</t>
        </is>
      </c>
      <c r="E977" t="inlineStr">
        <is>
          <t>LEKSAND</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22517-2024</t>
        </is>
      </c>
      <c r="B978" s="1" t="n">
        <v>45447</v>
      </c>
      <c r="C978" s="1" t="n">
        <v>45844</v>
      </c>
      <c r="D978" t="inlineStr">
        <is>
          <t>DALARNAS LÄN</t>
        </is>
      </c>
      <c r="E978" t="inlineStr">
        <is>
          <t>LEKSAND</t>
        </is>
      </c>
      <c r="G978" t="n">
        <v>0.4</v>
      </c>
      <c r="H978" t="n">
        <v>0</v>
      </c>
      <c r="I978" t="n">
        <v>0</v>
      </c>
      <c r="J978" t="n">
        <v>0</v>
      </c>
      <c r="K978" t="n">
        <v>0</v>
      </c>
      <c r="L978" t="n">
        <v>0</v>
      </c>
      <c r="M978" t="n">
        <v>0</v>
      </c>
      <c r="N978" t="n">
        <v>0</v>
      </c>
      <c r="O978" t="n">
        <v>0</v>
      </c>
      <c r="P978" t="n">
        <v>0</v>
      </c>
      <c r="Q978" t="n">
        <v>0</v>
      </c>
      <c r="R978" s="2" t="inlineStr"/>
    </row>
    <row r="979" ht="15" customHeight="1">
      <c r="A979" t="inlineStr">
        <is>
          <t>A 22686-2024</t>
        </is>
      </c>
      <c r="B979" s="1" t="n">
        <v>45448</v>
      </c>
      <c r="C979" s="1" t="n">
        <v>45844</v>
      </c>
      <c r="D979" t="inlineStr">
        <is>
          <t>DALARNAS LÄN</t>
        </is>
      </c>
      <c r="E979" t="inlineStr">
        <is>
          <t>LEKSAND</t>
        </is>
      </c>
      <c r="G979" t="n">
        <v>2.3</v>
      </c>
      <c r="H979" t="n">
        <v>0</v>
      </c>
      <c r="I979" t="n">
        <v>0</v>
      </c>
      <c r="J979" t="n">
        <v>0</v>
      </c>
      <c r="K979" t="n">
        <v>0</v>
      </c>
      <c r="L979" t="n">
        <v>0</v>
      </c>
      <c r="M979" t="n">
        <v>0</v>
      </c>
      <c r="N979" t="n">
        <v>0</v>
      </c>
      <c r="O979" t="n">
        <v>0</v>
      </c>
      <c r="P979" t="n">
        <v>0</v>
      </c>
      <c r="Q979" t="n">
        <v>0</v>
      </c>
      <c r="R979" s="2" t="inlineStr"/>
    </row>
    <row r="980" ht="15" customHeight="1">
      <c r="A980" t="inlineStr">
        <is>
          <t>A 22708-2024</t>
        </is>
      </c>
      <c r="B980" s="1" t="n">
        <v>45448</v>
      </c>
      <c r="C980" s="1" t="n">
        <v>45844</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23068-2024</t>
        </is>
      </c>
      <c r="B981" s="1" t="n">
        <v>45450</v>
      </c>
      <c r="C981" s="1" t="n">
        <v>45844</v>
      </c>
      <c r="D981" t="inlineStr">
        <is>
          <t>DALARNAS LÄN</t>
        </is>
      </c>
      <c r="E981" t="inlineStr">
        <is>
          <t>LEKSAND</t>
        </is>
      </c>
      <c r="G981" t="n">
        <v>2.4</v>
      </c>
      <c r="H981" t="n">
        <v>0</v>
      </c>
      <c r="I981" t="n">
        <v>0</v>
      </c>
      <c r="J981" t="n">
        <v>0</v>
      </c>
      <c r="K981" t="n">
        <v>0</v>
      </c>
      <c r="L981" t="n">
        <v>0</v>
      </c>
      <c r="M981" t="n">
        <v>0</v>
      </c>
      <c r="N981" t="n">
        <v>0</v>
      </c>
      <c r="O981" t="n">
        <v>0</v>
      </c>
      <c r="P981" t="n">
        <v>0</v>
      </c>
      <c r="Q981" t="n">
        <v>0</v>
      </c>
      <c r="R981" s="2" t="inlineStr"/>
    </row>
    <row r="982" ht="15" customHeight="1">
      <c r="A982" t="inlineStr">
        <is>
          <t>A 23283-2024</t>
        </is>
      </c>
      <c r="B982" s="1" t="n">
        <v>45453</v>
      </c>
      <c r="C982" s="1" t="n">
        <v>45844</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23320-2024</t>
        </is>
      </c>
      <c r="B983" s="1" t="n">
        <v>45453</v>
      </c>
      <c r="C983" s="1" t="n">
        <v>45844</v>
      </c>
      <c r="D983" t="inlineStr">
        <is>
          <t>DALARNAS LÄN</t>
        </is>
      </c>
      <c r="E983" t="inlineStr">
        <is>
          <t>LEKSAND</t>
        </is>
      </c>
      <c r="G983" t="n">
        <v>4.6</v>
      </c>
      <c r="H983" t="n">
        <v>0</v>
      </c>
      <c r="I983" t="n">
        <v>0</v>
      </c>
      <c r="J983" t="n">
        <v>0</v>
      </c>
      <c r="K983" t="n">
        <v>0</v>
      </c>
      <c r="L983" t="n">
        <v>0</v>
      </c>
      <c r="M983" t="n">
        <v>0</v>
      </c>
      <c r="N983" t="n">
        <v>0</v>
      </c>
      <c r="O983" t="n">
        <v>0</v>
      </c>
      <c r="P983" t="n">
        <v>0</v>
      </c>
      <c r="Q983" t="n">
        <v>0</v>
      </c>
      <c r="R983" s="2" t="inlineStr"/>
    </row>
    <row r="984" ht="15" customHeight="1">
      <c r="A984" t="inlineStr">
        <is>
          <t>A 23391-2024</t>
        </is>
      </c>
      <c r="B984" s="1" t="n">
        <v>45453</v>
      </c>
      <c r="C984" s="1" t="n">
        <v>45844</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23395-2024</t>
        </is>
      </c>
      <c r="B985" s="1" t="n">
        <v>45453</v>
      </c>
      <c r="C985" s="1" t="n">
        <v>45844</v>
      </c>
      <c r="D985" t="inlineStr">
        <is>
          <t>DALARNAS LÄN</t>
        </is>
      </c>
      <c r="E985" t="inlineStr">
        <is>
          <t>LEKSAND</t>
        </is>
      </c>
      <c r="G985" t="n">
        <v>1.2</v>
      </c>
      <c r="H985" t="n">
        <v>0</v>
      </c>
      <c r="I985" t="n">
        <v>0</v>
      </c>
      <c r="J985" t="n">
        <v>0</v>
      </c>
      <c r="K985" t="n">
        <v>0</v>
      </c>
      <c r="L985" t="n">
        <v>0</v>
      </c>
      <c r="M985" t="n">
        <v>0</v>
      </c>
      <c r="N985" t="n">
        <v>0</v>
      </c>
      <c r="O985" t="n">
        <v>0</v>
      </c>
      <c r="P985" t="n">
        <v>0</v>
      </c>
      <c r="Q985" t="n">
        <v>0</v>
      </c>
      <c r="R985" s="2" t="inlineStr"/>
    </row>
    <row r="986" ht="15" customHeight="1">
      <c r="A986" t="inlineStr">
        <is>
          <t>A 23615-2024</t>
        </is>
      </c>
      <c r="B986" s="1" t="n">
        <v>45454</v>
      </c>
      <c r="C986" s="1" t="n">
        <v>45844</v>
      </c>
      <c r="D986" t="inlineStr">
        <is>
          <t>DALARNAS LÄN</t>
        </is>
      </c>
      <c r="E986" t="inlineStr">
        <is>
          <t>LEKSAND</t>
        </is>
      </c>
      <c r="G986" t="n">
        <v>1.7</v>
      </c>
      <c r="H986" t="n">
        <v>0</v>
      </c>
      <c r="I986" t="n">
        <v>0</v>
      </c>
      <c r="J986" t="n">
        <v>0</v>
      </c>
      <c r="K986" t="n">
        <v>0</v>
      </c>
      <c r="L986" t="n">
        <v>0</v>
      </c>
      <c r="M986" t="n">
        <v>0</v>
      </c>
      <c r="N986" t="n">
        <v>0</v>
      </c>
      <c r="O986" t="n">
        <v>0</v>
      </c>
      <c r="P986" t="n">
        <v>0</v>
      </c>
      <c r="Q986" t="n">
        <v>0</v>
      </c>
      <c r="R986" s="2" t="inlineStr"/>
    </row>
    <row r="987" ht="15" customHeight="1">
      <c r="A987" t="inlineStr">
        <is>
          <t>A 23663-2024</t>
        </is>
      </c>
      <c r="B987" s="1" t="n">
        <v>45454</v>
      </c>
      <c r="C987" s="1" t="n">
        <v>45844</v>
      </c>
      <c r="D987" t="inlineStr">
        <is>
          <t>DALARNAS LÄN</t>
        </is>
      </c>
      <c r="E987" t="inlineStr">
        <is>
          <t>LEKSAND</t>
        </is>
      </c>
      <c r="G987" t="n">
        <v>2.5</v>
      </c>
      <c r="H987" t="n">
        <v>0</v>
      </c>
      <c r="I987" t="n">
        <v>0</v>
      </c>
      <c r="J987" t="n">
        <v>0</v>
      </c>
      <c r="K987" t="n">
        <v>0</v>
      </c>
      <c r="L987" t="n">
        <v>0</v>
      </c>
      <c r="M987" t="n">
        <v>0</v>
      </c>
      <c r="N987" t="n">
        <v>0</v>
      </c>
      <c r="O987" t="n">
        <v>0</v>
      </c>
      <c r="P987" t="n">
        <v>0</v>
      </c>
      <c r="Q987" t="n">
        <v>0</v>
      </c>
      <c r="R987" s="2" t="inlineStr"/>
    </row>
    <row r="988" ht="15" customHeight="1">
      <c r="A988" t="inlineStr">
        <is>
          <t>A 23896-2024</t>
        </is>
      </c>
      <c r="B988" s="1" t="n">
        <v>45455</v>
      </c>
      <c r="C988" s="1" t="n">
        <v>45844</v>
      </c>
      <c r="D988" t="inlineStr">
        <is>
          <t>DALARNAS LÄN</t>
        </is>
      </c>
      <c r="E988" t="inlineStr">
        <is>
          <t>LEKSAND</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23743-2024</t>
        </is>
      </c>
      <c r="B989" s="1" t="n">
        <v>45455</v>
      </c>
      <c r="C989" s="1" t="n">
        <v>45844</v>
      </c>
      <c r="D989" t="inlineStr">
        <is>
          <t>DALARNAS LÄN</t>
        </is>
      </c>
      <c r="E989" t="inlineStr">
        <is>
          <t>LEKSAND</t>
        </is>
      </c>
      <c r="G989" t="n">
        <v>4.5</v>
      </c>
      <c r="H989" t="n">
        <v>0</v>
      </c>
      <c r="I989" t="n">
        <v>0</v>
      </c>
      <c r="J989" t="n">
        <v>0</v>
      </c>
      <c r="K989" t="n">
        <v>0</v>
      </c>
      <c r="L989" t="n">
        <v>0</v>
      </c>
      <c r="M989" t="n">
        <v>0</v>
      </c>
      <c r="N989" t="n">
        <v>0</v>
      </c>
      <c r="O989" t="n">
        <v>0</v>
      </c>
      <c r="P989" t="n">
        <v>0</v>
      </c>
      <c r="Q989" t="n">
        <v>0</v>
      </c>
      <c r="R989" s="2" t="inlineStr"/>
    </row>
    <row r="990" ht="15" customHeight="1">
      <c r="A990" t="inlineStr">
        <is>
          <t>A 23739-2024</t>
        </is>
      </c>
      <c r="B990" s="1" t="n">
        <v>45455</v>
      </c>
      <c r="C990" s="1" t="n">
        <v>45844</v>
      </c>
      <c r="D990" t="inlineStr">
        <is>
          <t>DALARNAS LÄN</t>
        </is>
      </c>
      <c r="E990" t="inlineStr">
        <is>
          <t>LEKSAND</t>
        </is>
      </c>
      <c r="G990" t="n">
        <v>0.6</v>
      </c>
      <c r="H990" t="n">
        <v>0</v>
      </c>
      <c r="I990" t="n">
        <v>0</v>
      </c>
      <c r="J990" t="n">
        <v>0</v>
      </c>
      <c r="K990" t="n">
        <v>0</v>
      </c>
      <c r="L990" t="n">
        <v>0</v>
      </c>
      <c r="M990" t="n">
        <v>0</v>
      </c>
      <c r="N990" t="n">
        <v>0</v>
      </c>
      <c r="O990" t="n">
        <v>0</v>
      </c>
      <c r="P990" t="n">
        <v>0</v>
      </c>
      <c r="Q990" t="n">
        <v>0</v>
      </c>
      <c r="R990" s="2" t="inlineStr"/>
    </row>
    <row r="991" ht="15" customHeight="1">
      <c r="A991" t="inlineStr">
        <is>
          <t>A 24003-2024</t>
        </is>
      </c>
      <c r="B991" s="1" t="n">
        <v>45456</v>
      </c>
      <c r="C991" s="1" t="n">
        <v>45844</v>
      </c>
      <c r="D991" t="inlineStr">
        <is>
          <t>DALARNAS LÄN</t>
        </is>
      </c>
      <c r="E991" t="inlineStr">
        <is>
          <t>LEKSAND</t>
        </is>
      </c>
      <c r="F991" t="inlineStr">
        <is>
          <t>Bergvik skog väst AB</t>
        </is>
      </c>
      <c r="G991" t="n">
        <v>3.2</v>
      </c>
      <c r="H991" t="n">
        <v>0</v>
      </c>
      <c r="I991" t="n">
        <v>0</v>
      </c>
      <c r="J991" t="n">
        <v>0</v>
      </c>
      <c r="K991" t="n">
        <v>0</v>
      </c>
      <c r="L991" t="n">
        <v>0</v>
      </c>
      <c r="M991" t="n">
        <v>0</v>
      </c>
      <c r="N991" t="n">
        <v>0</v>
      </c>
      <c r="O991" t="n">
        <v>0</v>
      </c>
      <c r="P991" t="n">
        <v>0</v>
      </c>
      <c r="Q991" t="n">
        <v>0</v>
      </c>
      <c r="R991" s="2" t="inlineStr"/>
    </row>
    <row r="992" ht="15" customHeight="1">
      <c r="A992" t="inlineStr">
        <is>
          <t>A 24005-2024</t>
        </is>
      </c>
      <c r="B992" s="1" t="n">
        <v>45456</v>
      </c>
      <c r="C992" s="1" t="n">
        <v>45844</v>
      </c>
      <c r="D992" t="inlineStr">
        <is>
          <t>DALARNAS LÄN</t>
        </is>
      </c>
      <c r="E992" t="inlineStr">
        <is>
          <t>LEKSAND</t>
        </is>
      </c>
      <c r="F992" t="inlineStr">
        <is>
          <t>Bergvik skog väst AB</t>
        </is>
      </c>
      <c r="G992" t="n">
        <v>3</v>
      </c>
      <c r="H992" t="n">
        <v>0</v>
      </c>
      <c r="I992" t="n">
        <v>0</v>
      </c>
      <c r="J992" t="n">
        <v>0</v>
      </c>
      <c r="K992" t="n">
        <v>0</v>
      </c>
      <c r="L992" t="n">
        <v>0</v>
      </c>
      <c r="M992" t="n">
        <v>0</v>
      </c>
      <c r="N992" t="n">
        <v>0</v>
      </c>
      <c r="O992" t="n">
        <v>0</v>
      </c>
      <c r="P992" t="n">
        <v>0</v>
      </c>
      <c r="Q992" t="n">
        <v>0</v>
      </c>
      <c r="R992" s="2" t="inlineStr"/>
    </row>
    <row r="993" ht="15" customHeight="1">
      <c r="A993" t="inlineStr">
        <is>
          <t>A 24063-2024</t>
        </is>
      </c>
      <c r="B993" s="1" t="n">
        <v>45456</v>
      </c>
      <c r="C993" s="1" t="n">
        <v>45844</v>
      </c>
      <c r="D993" t="inlineStr">
        <is>
          <t>DALARNAS LÄN</t>
        </is>
      </c>
      <c r="E993" t="inlineStr">
        <is>
          <t>LEKSAND</t>
        </is>
      </c>
      <c r="F993" t="inlineStr">
        <is>
          <t>Bergvik skog väst AB</t>
        </is>
      </c>
      <c r="G993" t="n">
        <v>8.9</v>
      </c>
      <c r="H993" t="n">
        <v>0</v>
      </c>
      <c r="I993" t="n">
        <v>0</v>
      </c>
      <c r="J993" t="n">
        <v>0</v>
      </c>
      <c r="K993" t="n">
        <v>0</v>
      </c>
      <c r="L993" t="n">
        <v>0</v>
      </c>
      <c r="M993" t="n">
        <v>0</v>
      </c>
      <c r="N993" t="n">
        <v>0</v>
      </c>
      <c r="O993" t="n">
        <v>0</v>
      </c>
      <c r="P993" t="n">
        <v>0</v>
      </c>
      <c r="Q993" t="n">
        <v>0</v>
      </c>
      <c r="R993" s="2" t="inlineStr"/>
    </row>
    <row r="994" ht="15" customHeight="1">
      <c r="A994" t="inlineStr">
        <is>
          <t>A 24135-2024</t>
        </is>
      </c>
      <c r="B994" s="1" t="n">
        <v>45456</v>
      </c>
      <c r="C994" s="1" t="n">
        <v>45844</v>
      </c>
      <c r="D994" t="inlineStr">
        <is>
          <t>DALARNAS LÄN</t>
        </is>
      </c>
      <c r="E994" t="inlineStr">
        <is>
          <t>LEKSAND</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24481-2024</t>
        </is>
      </c>
      <c r="B995" s="1" t="n">
        <v>45459</v>
      </c>
      <c r="C995" s="1" t="n">
        <v>45844</v>
      </c>
      <c r="D995" t="inlineStr">
        <is>
          <t>DALARNAS LÄN</t>
        </is>
      </c>
      <c r="E995" t="inlineStr">
        <is>
          <t>LEKSAND</t>
        </is>
      </c>
      <c r="G995" t="n">
        <v>1</v>
      </c>
      <c r="H995" t="n">
        <v>0</v>
      </c>
      <c r="I995" t="n">
        <v>0</v>
      </c>
      <c r="J995" t="n">
        <v>0</v>
      </c>
      <c r="K995" t="n">
        <v>0</v>
      </c>
      <c r="L995" t="n">
        <v>0</v>
      </c>
      <c r="M995" t="n">
        <v>0</v>
      </c>
      <c r="N995" t="n">
        <v>0</v>
      </c>
      <c r="O995" t="n">
        <v>0</v>
      </c>
      <c r="P995" t="n">
        <v>0</v>
      </c>
      <c r="Q995" t="n">
        <v>0</v>
      </c>
      <c r="R995" s="2" t="inlineStr"/>
    </row>
    <row r="996" ht="15" customHeight="1">
      <c r="A996" t="inlineStr">
        <is>
          <t>A 24830-2024</t>
        </is>
      </c>
      <c r="B996" s="1" t="n">
        <v>45461</v>
      </c>
      <c r="C996" s="1" t="n">
        <v>45844</v>
      </c>
      <c r="D996" t="inlineStr">
        <is>
          <t>DALARNAS LÄN</t>
        </is>
      </c>
      <c r="E996" t="inlineStr">
        <is>
          <t>LEKSAND</t>
        </is>
      </c>
      <c r="G996" t="n">
        <v>2.2</v>
      </c>
      <c r="H996" t="n">
        <v>0</v>
      </c>
      <c r="I996" t="n">
        <v>0</v>
      </c>
      <c r="J996" t="n">
        <v>0</v>
      </c>
      <c r="K996" t="n">
        <v>0</v>
      </c>
      <c r="L996" t="n">
        <v>0</v>
      </c>
      <c r="M996" t="n">
        <v>0</v>
      </c>
      <c r="N996" t="n">
        <v>0</v>
      </c>
      <c r="O996" t="n">
        <v>0</v>
      </c>
      <c r="P996" t="n">
        <v>0</v>
      </c>
      <c r="Q996" t="n">
        <v>0</v>
      </c>
      <c r="R996" s="2" t="inlineStr"/>
    </row>
    <row r="997" ht="15" customHeight="1">
      <c r="A997" t="inlineStr">
        <is>
          <t>A 24837-2024</t>
        </is>
      </c>
      <c r="B997" s="1" t="n">
        <v>45461</v>
      </c>
      <c r="C997" s="1" t="n">
        <v>45844</v>
      </c>
      <c r="D997" t="inlineStr">
        <is>
          <t>DALARNAS LÄN</t>
        </is>
      </c>
      <c r="E997" t="inlineStr">
        <is>
          <t>LEKSAND</t>
        </is>
      </c>
      <c r="G997" t="n">
        <v>1.5</v>
      </c>
      <c r="H997" t="n">
        <v>0</v>
      </c>
      <c r="I997" t="n">
        <v>0</v>
      </c>
      <c r="J997" t="n">
        <v>0</v>
      </c>
      <c r="K997" t="n">
        <v>0</v>
      </c>
      <c r="L997" t="n">
        <v>0</v>
      </c>
      <c r="M997" t="n">
        <v>0</v>
      </c>
      <c r="N997" t="n">
        <v>0</v>
      </c>
      <c r="O997" t="n">
        <v>0</v>
      </c>
      <c r="P997" t="n">
        <v>0</v>
      </c>
      <c r="Q997" t="n">
        <v>0</v>
      </c>
      <c r="R997" s="2" t="inlineStr"/>
    </row>
    <row r="998" ht="15" customHeight="1">
      <c r="A998" t="inlineStr">
        <is>
          <t>A 24917-2024</t>
        </is>
      </c>
      <c r="B998" s="1" t="n">
        <v>45461</v>
      </c>
      <c r="C998" s="1" t="n">
        <v>45844</v>
      </c>
      <c r="D998" t="inlineStr">
        <is>
          <t>DALARNAS LÄN</t>
        </is>
      </c>
      <c r="E998" t="inlineStr">
        <is>
          <t>LEKSAND</t>
        </is>
      </c>
      <c r="G998" t="n">
        <v>3.7</v>
      </c>
      <c r="H998" t="n">
        <v>0</v>
      </c>
      <c r="I998" t="n">
        <v>0</v>
      </c>
      <c r="J998" t="n">
        <v>0</v>
      </c>
      <c r="K998" t="n">
        <v>0</v>
      </c>
      <c r="L998" t="n">
        <v>0</v>
      </c>
      <c r="M998" t="n">
        <v>0</v>
      </c>
      <c r="N998" t="n">
        <v>0</v>
      </c>
      <c r="O998" t="n">
        <v>0</v>
      </c>
      <c r="P998" t="n">
        <v>0</v>
      </c>
      <c r="Q998" t="n">
        <v>0</v>
      </c>
      <c r="R998" s="2" t="inlineStr"/>
    </row>
    <row r="999" ht="15" customHeight="1">
      <c r="A999" t="inlineStr">
        <is>
          <t>A 24919-2024</t>
        </is>
      </c>
      <c r="B999" s="1" t="n">
        <v>45461</v>
      </c>
      <c r="C999" s="1" t="n">
        <v>45844</v>
      </c>
      <c r="D999" t="inlineStr">
        <is>
          <t>DALARNAS LÄN</t>
        </is>
      </c>
      <c r="E999" t="inlineStr">
        <is>
          <t>LEKSAND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25253-2024</t>
        </is>
      </c>
      <c r="B1000" s="1" t="n">
        <v>45462</v>
      </c>
      <c r="C1000" s="1" t="n">
        <v>45844</v>
      </c>
      <c r="D1000" t="inlineStr">
        <is>
          <t>DALARNAS LÄN</t>
        </is>
      </c>
      <c r="E1000" t="inlineStr">
        <is>
          <t>LEKSAND</t>
        </is>
      </c>
      <c r="F1000" t="inlineStr">
        <is>
          <t>Bergvik skog väst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25249-2024</t>
        </is>
      </c>
      <c r="B1001" s="1" t="n">
        <v>45462</v>
      </c>
      <c r="C1001" s="1" t="n">
        <v>45844</v>
      </c>
      <c r="D1001" t="inlineStr">
        <is>
          <t>DALARNAS LÄN</t>
        </is>
      </c>
      <c r="E1001" t="inlineStr">
        <is>
          <t>LEKSAND</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25105-2024</t>
        </is>
      </c>
      <c r="B1002" s="1" t="n">
        <v>45462</v>
      </c>
      <c r="C1002" s="1" t="n">
        <v>45844</v>
      </c>
      <c r="D1002" t="inlineStr">
        <is>
          <t>DALARNAS LÄN</t>
        </is>
      </c>
      <c r="E1002" t="inlineStr">
        <is>
          <t>LEKSAND</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25047-2024</t>
        </is>
      </c>
      <c r="B1003" s="1" t="n">
        <v>45462</v>
      </c>
      <c r="C1003" s="1" t="n">
        <v>45844</v>
      </c>
      <c r="D1003" t="inlineStr">
        <is>
          <t>DALARNAS LÄN</t>
        </is>
      </c>
      <c r="E1003" t="inlineStr">
        <is>
          <t>LEKSAND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25048-2024</t>
        </is>
      </c>
      <c r="B1004" s="1" t="n">
        <v>45462</v>
      </c>
      <c r="C1004" s="1" t="n">
        <v>45844</v>
      </c>
      <c r="D1004" t="inlineStr">
        <is>
          <t>DALARNAS LÄN</t>
        </is>
      </c>
      <c r="E1004" t="inlineStr">
        <is>
          <t>LEKSAND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25251-2024</t>
        </is>
      </c>
      <c r="B1005" s="1" t="n">
        <v>45462</v>
      </c>
      <c r="C1005" s="1" t="n">
        <v>45844</v>
      </c>
      <c r="D1005" t="inlineStr">
        <is>
          <t>DALARNAS LÄN</t>
        </is>
      </c>
      <c r="E1005" t="inlineStr">
        <is>
          <t>LEKSAND</t>
        </is>
      </c>
      <c r="F1005" t="inlineStr">
        <is>
          <t>Bergvik skog väst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25109-2024</t>
        </is>
      </c>
      <c r="B1006" s="1" t="n">
        <v>45462</v>
      </c>
      <c r="C1006" s="1" t="n">
        <v>45844</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25042-2024</t>
        </is>
      </c>
      <c r="B1007" s="1" t="n">
        <v>45462</v>
      </c>
      <c r="C1007" s="1" t="n">
        <v>45844</v>
      </c>
      <c r="D1007" t="inlineStr">
        <is>
          <t>DALARNAS LÄN</t>
        </is>
      </c>
      <c r="E1007" t="inlineStr">
        <is>
          <t>LEKSAND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25921-2024</t>
        </is>
      </c>
      <c r="B1008" s="1" t="n">
        <v>45467</v>
      </c>
      <c r="C1008" s="1" t="n">
        <v>45844</v>
      </c>
      <c r="D1008" t="inlineStr">
        <is>
          <t>DALARNAS LÄN</t>
        </is>
      </c>
      <c r="E1008" t="inlineStr">
        <is>
          <t>LEKSAND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26062-2024</t>
        </is>
      </c>
      <c r="B1009" s="1" t="n">
        <v>45468</v>
      </c>
      <c r="C1009" s="1" t="n">
        <v>45844</v>
      </c>
      <c r="D1009" t="inlineStr">
        <is>
          <t>DALARNAS LÄN</t>
        </is>
      </c>
      <c r="E1009" t="inlineStr">
        <is>
          <t>LEKSAND</t>
        </is>
      </c>
      <c r="F1009" t="inlineStr">
        <is>
          <t>Övriga statliga verk och myndigheter</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26680-2024</t>
        </is>
      </c>
      <c r="B1010" s="1" t="n">
        <v>45470</v>
      </c>
      <c r="C1010" s="1" t="n">
        <v>45844</v>
      </c>
      <c r="D1010" t="inlineStr">
        <is>
          <t>DALARNAS LÄN</t>
        </is>
      </c>
      <c r="E1010" t="inlineStr">
        <is>
          <t>LEKSAND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27446-2024</t>
        </is>
      </c>
      <c r="B1011" s="1" t="n">
        <v>45474</v>
      </c>
      <c r="C1011" s="1" t="n">
        <v>45844</v>
      </c>
      <c r="D1011" t="inlineStr">
        <is>
          <t>DALARNAS LÄN</t>
        </is>
      </c>
      <c r="E1011" t="inlineStr">
        <is>
          <t>LEKSAND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27445-2024</t>
        </is>
      </c>
      <c r="B1012" s="1" t="n">
        <v>45474</v>
      </c>
      <c r="C1012" s="1" t="n">
        <v>45844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28032-2024</t>
        </is>
      </c>
      <c r="B1013" s="1" t="n">
        <v>45476</v>
      </c>
      <c r="C1013" s="1" t="n">
        <v>45844</v>
      </c>
      <c r="D1013" t="inlineStr">
        <is>
          <t>DALARNAS LÄN</t>
        </is>
      </c>
      <c r="E1013" t="inlineStr">
        <is>
          <t>LEKSAND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28366-2024</t>
        </is>
      </c>
      <c r="B1014" s="1" t="n">
        <v>45477</v>
      </c>
      <c r="C1014" s="1" t="n">
        <v>45844</v>
      </c>
      <c r="D1014" t="inlineStr">
        <is>
          <t>DALARNAS LÄN</t>
        </is>
      </c>
      <c r="E1014" t="inlineStr">
        <is>
          <t>LEKSAND</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28674-2024</t>
        </is>
      </c>
      <c r="B1015" s="1" t="n">
        <v>45478</v>
      </c>
      <c r="C1015" s="1" t="n">
        <v>45844</v>
      </c>
      <c r="D1015" t="inlineStr">
        <is>
          <t>DALARNAS LÄN</t>
        </is>
      </c>
      <c r="E1015" t="inlineStr">
        <is>
          <t>LEKSAND</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28920-2024</t>
        </is>
      </c>
      <c r="B1016" s="1" t="n">
        <v>45480</v>
      </c>
      <c r="C1016" s="1" t="n">
        <v>45844</v>
      </c>
      <c r="D1016" t="inlineStr">
        <is>
          <t>DALARNAS LÄN</t>
        </is>
      </c>
      <c r="E1016" t="inlineStr">
        <is>
          <t>LEKSAND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28913-2024</t>
        </is>
      </c>
      <c r="B1017" s="1" t="n">
        <v>45480</v>
      </c>
      <c r="C1017" s="1" t="n">
        <v>45844</v>
      </c>
      <c r="D1017" t="inlineStr">
        <is>
          <t>DALARNAS LÄN</t>
        </is>
      </c>
      <c r="E1017" t="inlineStr">
        <is>
          <t>LEKSAND</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28985-2024</t>
        </is>
      </c>
      <c r="B1018" s="1" t="n">
        <v>45481</v>
      </c>
      <c r="C1018" s="1" t="n">
        <v>45844</v>
      </c>
      <c r="D1018" t="inlineStr">
        <is>
          <t>DALARNAS LÄN</t>
        </is>
      </c>
      <c r="E1018" t="inlineStr">
        <is>
          <t>LEKSAND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29149-2024</t>
        </is>
      </c>
      <c r="B1019" s="1" t="n">
        <v>45482</v>
      </c>
      <c r="C1019" s="1" t="n">
        <v>45844</v>
      </c>
      <c r="D1019" t="inlineStr">
        <is>
          <t>DALARNAS LÄN</t>
        </is>
      </c>
      <c r="E1019" t="inlineStr">
        <is>
          <t>LEKSAND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29512-2024</t>
        </is>
      </c>
      <c r="B1020" s="1" t="n">
        <v>45484</v>
      </c>
      <c r="C1020" s="1" t="n">
        <v>45844</v>
      </c>
      <c r="D1020" t="inlineStr">
        <is>
          <t>DALARNAS LÄN</t>
        </is>
      </c>
      <c r="E1020" t="inlineStr">
        <is>
          <t>LEKSAND</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29518-2024</t>
        </is>
      </c>
      <c r="B1021" s="1" t="n">
        <v>45484</v>
      </c>
      <c r="C1021" s="1" t="n">
        <v>45844</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30204-2024</t>
        </is>
      </c>
      <c r="B1022" s="1" t="n">
        <v>45490</v>
      </c>
      <c r="C1022" s="1" t="n">
        <v>45844</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30201-2024</t>
        </is>
      </c>
      <c r="B1023" s="1" t="n">
        <v>45490</v>
      </c>
      <c r="C1023" s="1" t="n">
        <v>45844</v>
      </c>
      <c r="D1023" t="inlineStr">
        <is>
          <t>DALARNAS LÄN</t>
        </is>
      </c>
      <c r="E1023" t="inlineStr">
        <is>
          <t>LEKSAND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30198-2024</t>
        </is>
      </c>
      <c r="B1024" s="1" t="n">
        <v>45490</v>
      </c>
      <c r="C1024" s="1" t="n">
        <v>45844</v>
      </c>
      <c r="D1024" t="inlineStr">
        <is>
          <t>DALARNAS LÄN</t>
        </is>
      </c>
      <c r="E1024" t="inlineStr">
        <is>
          <t>LEKSAND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30670-2024</t>
        </is>
      </c>
      <c r="B1025" s="1" t="n">
        <v>45495</v>
      </c>
      <c r="C1025" s="1" t="n">
        <v>45844</v>
      </c>
      <c r="D1025" t="inlineStr">
        <is>
          <t>DALARNAS LÄN</t>
        </is>
      </c>
      <c r="E1025" t="inlineStr">
        <is>
          <t>LEKSAND</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30864-2024</t>
        </is>
      </c>
      <c r="B1026" s="1" t="n">
        <v>45497</v>
      </c>
      <c r="C1026" s="1" t="n">
        <v>45844</v>
      </c>
      <c r="D1026" t="inlineStr">
        <is>
          <t>DALARNAS LÄN</t>
        </is>
      </c>
      <c r="E1026" t="inlineStr">
        <is>
          <t>LEKSAND</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30860-2024</t>
        </is>
      </c>
      <c r="B1027" s="1" t="n">
        <v>45497</v>
      </c>
      <c r="C1027" s="1" t="n">
        <v>45844</v>
      </c>
      <c r="D1027" t="inlineStr">
        <is>
          <t>DALARNAS LÄN</t>
        </is>
      </c>
      <c r="E1027" t="inlineStr">
        <is>
          <t>LEKSAND</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30858-2024</t>
        </is>
      </c>
      <c r="B1028" s="1" t="n">
        <v>45497</v>
      </c>
      <c r="C1028" s="1" t="n">
        <v>45844</v>
      </c>
      <c r="D1028" t="inlineStr">
        <is>
          <t>DALARNAS LÄN</t>
        </is>
      </c>
      <c r="E1028" t="inlineStr">
        <is>
          <t>LEKSAND</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30863-2024</t>
        </is>
      </c>
      <c r="B1029" s="1" t="n">
        <v>45497</v>
      </c>
      <c r="C1029" s="1" t="n">
        <v>45844</v>
      </c>
      <c r="D1029" t="inlineStr">
        <is>
          <t>DALARNAS LÄN</t>
        </is>
      </c>
      <c r="E1029" t="inlineStr">
        <is>
          <t>LEKSAND</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31019-2024</t>
        </is>
      </c>
      <c r="B1030" s="1" t="n">
        <v>45499</v>
      </c>
      <c r="C1030" s="1" t="n">
        <v>45844</v>
      </c>
      <c r="D1030" t="inlineStr">
        <is>
          <t>DALARNAS LÄN</t>
        </is>
      </c>
      <c r="E1030" t="inlineStr">
        <is>
          <t>LEKSAND</t>
        </is>
      </c>
      <c r="F1030" t="inlineStr">
        <is>
          <t>Bergvik skog väst AB</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31123-2024</t>
        </is>
      </c>
      <c r="B1031" s="1" t="n">
        <v>45502</v>
      </c>
      <c r="C1031" s="1" t="n">
        <v>45844</v>
      </c>
      <c r="D1031" t="inlineStr">
        <is>
          <t>DALARNAS LÄN</t>
        </is>
      </c>
      <c r="E1031" t="inlineStr">
        <is>
          <t>LEKSAND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31292-2024</t>
        </is>
      </c>
      <c r="B1032" s="1" t="n">
        <v>45504</v>
      </c>
      <c r="C1032" s="1" t="n">
        <v>45844</v>
      </c>
      <c r="D1032" t="inlineStr">
        <is>
          <t>DALARNAS LÄN</t>
        </is>
      </c>
      <c r="E1032" t="inlineStr">
        <is>
          <t>LEKSAND</t>
        </is>
      </c>
      <c r="F1032" t="inlineStr">
        <is>
          <t>Bergvik skog väst AB</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31391-2024</t>
        </is>
      </c>
      <c r="B1033" s="1" t="n">
        <v>45505</v>
      </c>
      <c r="C1033" s="1" t="n">
        <v>45844</v>
      </c>
      <c r="D1033" t="inlineStr">
        <is>
          <t>DALARNAS LÄN</t>
        </is>
      </c>
      <c r="E1033" t="inlineStr">
        <is>
          <t>LEKSAND</t>
        </is>
      </c>
      <c r="F1033" t="inlineStr">
        <is>
          <t>Bergvik skog väst AB</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31726-2024</t>
        </is>
      </c>
      <c r="B1034" s="1" t="n">
        <v>45509</v>
      </c>
      <c r="C1034" s="1" t="n">
        <v>45844</v>
      </c>
      <c r="D1034" t="inlineStr">
        <is>
          <t>DALARNAS LÄN</t>
        </is>
      </c>
      <c r="E1034" t="inlineStr">
        <is>
          <t>LEKSAND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31789-2024</t>
        </is>
      </c>
      <c r="B1035" s="1" t="n">
        <v>45509</v>
      </c>
      <c r="C1035" s="1" t="n">
        <v>45844</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31728-2024</t>
        </is>
      </c>
      <c r="B1036" s="1" t="n">
        <v>45509</v>
      </c>
      <c r="C1036" s="1" t="n">
        <v>45844</v>
      </c>
      <c r="D1036" t="inlineStr">
        <is>
          <t>DALARNAS LÄN</t>
        </is>
      </c>
      <c r="E1036" t="inlineStr">
        <is>
          <t>LEKSAND</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31720-2024</t>
        </is>
      </c>
      <c r="B1037" s="1" t="n">
        <v>45509</v>
      </c>
      <c r="C1037" s="1" t="n">
        <v>45844</v>
      </c>
      <c r="D1037" t="inlineStr">
        <is>
          <t>DALARNAS LÄN</t>
        </is>
      </c>
      <c r="E1037" t="inlineStr">
        <is>
          <t>LEKSAND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31850-2024</t>
        </is>
      </c>
      <c r="B1038" s="1" t="n">
        <v>45509</v>
      </c>
      <c r="C1038" s="1" t="n">
        <v>45844</v>
      </c>
      <c r="D1038" t="inlineStr">
        <is>
          <t>DALARNAS LÄN</t>
        </is>
      </c>
      <c r="E1038" t="inlineStr">
        <is>
          <t>LEKSAND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32072-2024</t>
        </is>
      </c>
      <c r="B1039" s="1" t="n">
        <v>45511</v>
      </c>
      <c r="C1039" s="1" t="n">
        <v>45844</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31918-2024</t>
        </is>
      </c>
      <c r="B1040" s="1" t="n">
        <v>45510</v>
      </c>
      <c r="C1040" s="1" t="n">
        <v>45844</v>
      </c>
      <c r="D1040" t="inlineStr">
        <is>
          <t>DALARNAS LÄN</t>
        </is>
      </c>
      <c r="E1040" t="inlineStr">
        <is>
          <t>LEKSAND</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32073-2024</t>
        </is>
      </c>
      <c r="B1041" s="1" t="n">
        <v>45511</v>
      </c>
      <c r="C1041" s="1" t="n">
        <v>45844</v>
      </c>
      <c r="D1041" t="inlineStr">
        <is>
          <t>DALARNAS LÄN</t>
        </is>
      </c>
      <c r="E1041" t="inlineStr">
        <is>
          <t>LEKSAND</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32074-2024</t>
        </is>
      </c>
      <c r="B1042" s="1" t="n">
        <v>45511</v>
      </c>
      <c r="C1042" s="1" t="n">
        <v>45844</v>
      </c>
      <c r="D1042" t="inlineStr">
        <is>
          <t>DALARNAS LÄN</t>
        </is>
      </c>
      <c r="E1042" t="inlineStr">
        <is>
          <t>LEKSAND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31915-2024</t>
        </is>
      </c>
      <c r="B1043" s="1" t="n">
        <v>45510</v>
      </c>
      <c r="C1043" s="1" t="n">
        <v>45844</v>
      </c>
      <c r="D1043" t="inlineStr">
        <is>
          <t>DALARNAS LÄN</t>
        </is>
      </c>
      <c r="E1043" t="inlineStr">
        <is>
          <t>LEKSAND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31971-2024</t>
        </is>
      </c>
      <c r="B1044" s="1" t="n">
        <v>45510</v>
      </c>
      <c r="C1044" s="1" t="n">
        <v>45844</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32394-2024</t>
        </is>
      </c>
      <c r="B1045" s="1" t="n">
        <v>45512</v>
      </c>
      <c r="C1045" s="1" t="n">
        <v>45844</v>
      </c>
      <c r="D1045" t="inlineStr">
        <is>
          <t>DALARNAS LÄN</t>
        </is>
      </c>
      <c r="E1045" t="inlineStr">
        <is>
          <t>LEKSAND</t>
        </is>
      </c>
      <c r="F1045" t="inlineStr">
        <is>
          <t>Bergvik skog väst AB</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32494-2024</t>
        </is>
      </c>
      <c r="B1046" s="1" t="n">
        <v>45513</v>
      </c>
      <c r="C1046" s="1" t="n">
        <v>45844</v>
      </c>
      <c r="D1046" t="inlineStr">
        <is>
          <t>DALARNAS LÄN</t>
        </is>
      </c>
      <c r="E1046" t="inlineStr">
        <is>
          <t>LEKSAND</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32689-2024</t>
        </is>
      </c>
      <c r="B1047" s="1" t="n">
        <v>45515</v>
      </c>
      <c r="C1047" s="1" t="n">
        <v>45844</v>
      </c>
      <c r="D1047" t="inlineStr">
        <is>
          <t>DALARNAS LÄN</t>
        </is>
      </c>
      <c r="E1047" t="inlineStr">
        <is>
          <t>LEKSAND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32688-2024</t>
        </is>
      </c>
      <c r="B1048" s="1" t="n">
        <v>45515</v>
      </c>
      <c r="C1048" s="1" t="n">
        <v>45844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33182-2024</t>
        </is>
      </c>
      <c r="B1049" s="1" t="n">
        <v>45518</v>
      </c>
      <c r="C1049" s="1" t="n">
        <v>45844</v>
      </c>
      <c r="D1049" t="inlineStr">
        <is>
          <t>DALARNAS LÄN</t>
        </is>
      </c>
      <c r="E1049" t="inlineStr">
        <is>
          <t>LEKSAND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33138-2024</t>
        </is>
      </c>
      <c r="B1050" s="1" t="n">
        <v>45518</v>
      </c>
      <c r="C1050" s="1" t="n">
        <v>45844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33180-2024</t>
        </is>
      </c>
      <c r="B1051" s="1" t="n">
        <v>45518</v>
      </c>
      <c r="C1051" s="1" t="n">
        <v>45844</v>
      </c>
      <c r="D1051" t="inlineStr">
        <is>
          <t>DALARNAS LÄN</t>
        </is>
      </c>
      <c r="E1051" t="inlineStr">
        <is>
          <t>LEKSAND</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33147-2024</t>
        </is>
      </c>
      <c r="B1052" s="1" t="n">
        <v>45518</v>
      </c>
      <c r="C1052" s="1" t="n">
        <v>45844</v>
      </c>
      <c r="D1052" t="inlineStr">
        <is>
          <t>DALARNAS LÄN</t>
        </is>
      </c>
      <c r="E1052" t="inlineStr">
        <is>
          <t>LEKSAND</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33143-2024</t>
        </is>
      </c>
      <c r="B1053" s="1" t="n">
        <v>45518</v>
      </c>
      <c r="C1053" s="1" t="n">
        <v>45844</v>
      </c>
      <c r="D1053" t="inlineStr">
        <is>
          <t>DALARNAS LÄN</t>
        </is>
      </c>
      <c r="E1053" t="inlineStr">
        <is>
          <t>LEKSAND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33357-2024</t>
        </is>
      </c>
      <c r="B1054" s="1" t="n">
        <v>45519</v>
      </c>
      <c r="C1054" s="1" t="n">
        <v>45844</v>
      </c>
      <c r="D1054" t="inlineStr">
        <is>
          <t>DALARNAS LÄN</t>
        </is>
      </c>
      <c r="E1054" t="inlineStr">
        <is>
          <t>LEKSAND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33594-2024</t>
        </is>
      </c>
      <c r="B1055" s="1" t="n">
        <v>45520</v>
      </c>
      <c r="C1055" s="1" t="n">
        <v>45844</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33624-2024</t>
        </is>
      </c>
      <c r="B1056" s="1" t="n">
        <v>45520</v>
      </c>
      <c r="C1056" s="1" t="n">
        <v>45844</v>
      </c>
      <c r="D1056" t="inlineStr">
        <is>
          <t>DALARNAS LÄN</t>
        </is>
      </c>
      <c r="E1056" t="inlineStr">
        <is>
          <t>LEKSAND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33593-2024</t>
        </is>
      </c>
      <c r="B1057" s="1" t="n">
        <v>45520</v>
      </c>
      <c r="C1057" s="1" t="n">
        <v>45844</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33695-2024</t>
        </is>
      </c>
      <c r="B1058" s="1" t="n">
        <v>45520</v>
      </c>
      <c r="C1058" s="1" t="n">
        <v>45844</v>
      </c>
      <c r="D1058" t="inlineStr">
        <is>
          <t>DALARNAS LÄN</t>
        </is>
      </c>
      <c r="E1058" t="inlineStr">
        <is>
          <t>LEKSAND</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33709-2024</t>
        </is>
      </c>
      <c r="B1059" s="1" t="n">
        <v>45520</v>
      </c>
      <c r="C1059" s="1" t="n">
        <v>45844</v>
      </c>
      <c r="D1059" t="inlineStr">
        <is>
          <t>DALARNAS LÄN</t>
        </is>
      </c>
      <c r="E1059" t="inlineStr">
        <is>
          <t>LEKSAND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33712-2024</t>
        </is>
      </c>
      <c r="B1060" s="1" t="n">
        <v>45520</v>
      </c>
      <c r="C1060" s="1" t="n">
        <v>45844</v>
      </c>
      <c r="D1060" t="inlineStr">
        <is>
          <t>DALARNAS LÄN</t>
        </is>
      </c>
      <c r="E1060" t="inlineStr">
        <is>
          <t>LEKSAND</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33702-2024</t>
        </is>
      </c>
      <c r="B1061" s="1" t="n">
        <v>45520</v>
      </c>
      <c r="C1061" s="1" t="n">
        <v>45844</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33884-2024</t>
        </is>
      </c>
      <c r="B1062" s="1" t="n">
        <v>45522</v>
      </c>
      <c r="C1062" s="1" t="n">
        <v>45844</v>
      </c>
      <c r="D1062" t="inlineStr">
        <is>
          <t>DALARNAS LÄN</t>
        </is>
      </c>
      <c r="E1062" t="inlineStr">
        <is>
          <t>LEKSAND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33900-2024</t>
        </is>
      </c>
      <c r="B1063" s="1" t="n">
        <v>45523</v>
      </c>
      <c r="C1063" s="1" t="n">
        <v>45844</v>
      </c>
      <c r="D1063" t="inlineStr">
        <is>
          <t>DALARNAS LÄN</t>
        </is>
      </c>
      <c r="E1063" t="inlineStr">
        <is>
          <t>LEKSAND</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33957-2024</t>
        </is>
      </c>
      <c r="B1064" s="1" t="n">
        <v>45523</v>
      </c>
      <c r="C1064" s="1" t="n">
        <v>45844</v>
      </c>
      <c r="D1064" t="inlineStr">
        <is>
          <t>DALARNAS LÄN</t>
        </is>
      </c>
      <c r="E1064" t="inlineStr">
        <is>
          <t>LEKSAND</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34038-2024</t>
        </is>
      </c>
      <c r="B1065" s="1" t="n">
        <v>45523</v>
      </c>
      <c r="C1065" s="1" t="n">
        <v>45844</v>
      </c>
      <c r="D1065" t="inlineStr">
        <is>
          <t>DALARNAS LÄN</t>
        </is>
      </c>
      <c r="E1065" t="inlineStr">
        <is>
          <t>LEKSAND</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34039-2024</t>
        </is>
      </c>
      <c r="B1066" s="1" t="n">
        <v>45523</v>
      </c>
      <c r="C1066" s="1" t="n">
        <v>45844</v>
      </c>
      <c r="D1066" t="inlineStr">
        <is>
          <t>DALARNAS LÄN</t>
        </is>
      </c>
      <c r="E1066" t="inlineStr">
        <is>
          <t>LEKSAND</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34033-2024</t>
        </is>
      </c>
      <c r="B1067" s="1" t="n">
        <v>45523</v>
      </c>
      <c r="C1067" s="1" t="n">
        <v>45844</v>
      </c>
      <c r="D1067" t="inlineStr">
        <is>
          <t>DALARNAS LÄN</t>
        </is>
      </c>
      <c r="E1067" t="inlineStr">
        <is>
          <t>LEKSAND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34041-2024</t>
        </is>
      </c>
      <c r="B1068" s="1" t="n">
        <v>45523</v>
      </c>
      <c r="C1068" s="1" t="n">
        <v>45844</v>
      </c>
      <c r="D1068" t="inlineStr">
        <is>
          <t>DALARNAS LÄN</t>
        </is>
      </c>
      <c r="E1068" t="inlineStr">
        <is>
          <t>LEKSAND</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33977-2024</t>
        </is>
      </c>
      <c r="B1069" s="1" t="n">
        <v>45523</v>
      </c>
      <c r="C1069" s="1" t="n">
        <v>45844</v>
      </c>
      <c r="D1069" t="inlineStr">
        <is>
          <t>DALARNAS LÄN</t>
        </is>
      </c>
      <c r="E1069" t="inlineStr">
        <is>
          <t>LEKSAND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34109-2024</t>
        </is>
      </c>
      <c r="B1070" s="1" t="n">
        <v>45524</v>
      </c>
      <c r="C1070" s="1" t="n">
        <v>45844</v>
      </c>
      <c r="D1070" t="inlineStr">
        <is>
          <t>DALARNAS LÄN</t>
        </is>
      </c>
      <c r="E1070" t="inlineStr">
        <is>
          <t>LEKSAND</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34244-2024</t>
        </is>
      </c>
      <c r="B1071" s="1" t="n">
        <v>45524</v>
      </c>
      <c r="C1071" s="1" t="n">
        <v>45844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34347-2024</t>
        </is>
      </c>
      <c r="B1072" s="1" t="n">
        <v>45525</v>
      </c>
      <c r="C1072" s="1" t="n">
        <v>45844</v>
      </c>
      <c r="D1072" t="inlineStr">
        <is>
          <t>DALARNAS LÄN</t>
        </is>
      </c>
      <c r="E1072" t="inlineStr">
        <is>
          <t>LEKSAND</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34585-2024</t>
        </is>
      </c>
      <c r="B1073" s="1" t="n">
        <v>45526</v>
      </c>
      <c r="C1073" s="1" t="n">
        <v>45844</v>
      </c>
      <c r="D1073" t="inlineStr">
        <is>
          <t>DALARNAS LÄN</t>
        </is>
      </c>
      <c r="E1073" t="inlineStr">
        <is>
          <t>LEKSAND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34778-2024</t>
        </is>
      </c>
      <c r="B1074" s="1" t="n">
        <v>45526</v>
      </c>
      <c r="C1074" s="1" t="n">
        <v>45844</v>
      </c>
      <c r="D1074" t="inlineStr">
        <is>
          <t>DALARNAS LÄN</t>
        </is>
      </c>
      <c r="E1074" t="inlineStr">
        <is>
          <t>LEKSAND</t>
        </is>
      </c>
      <c r="F1074" t="inlineStr">
        <is>
          <t>Bergvik skog väst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34954-2024</t>
        </is>
      </c>
      <c r="B1075" s="1" t="n">
        <v>45527</v>
      </c>
      <c r="C1075" s="1" t="n">
        <v>45844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35262-2024</t>
        </is>
      </c>
      <c r="B1076" s="1" t="n">
        <v>45530</v>
      </c>
      <c r="C1076" s="1" t="n">
        <v>45844</v>
      </c>
      <c r="D1076" t="inlineStr">
        <is>
          <t>DALARNAS LÄN</t>
        </is>
      </c>
      <c r="E1076" t="inlineStr">
        <is>
          <t>LEKSAND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36534-2024</t>
        </is>
      </c>
      <c r="B1077" s="1" t="n">
        <v>45537</v>
      </c>
      <c r="C1077" s="1" t="n">
        <v>45844</v>
      </c>
      <c r="D1077" t="inlineStr">
        <is>
          <t>DALARNAS LÄN</t>
        </is>
      </c>
      <c r="E1077" t="inlineStr">
        <is>
          <t>LEKSAND</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37952-2024</t>
        </is>
      </c>
      <c r="B1078" s="1" t="n">
        <v>45544</v>
      </c>
      <c r="C1078" s="1" t="n">
        <v>45844</v>
      </c>
      <c r="D1078" t="inlineStr">
        <is>
          <t>DALARNAS LÄN</t>
        </is>
      </c>
      <c r="E1078" t="inlineStr">
        <is>
          <t>LEKSAND</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37850-2024</t>
        </is>
      </c>
      <c r="B1079" s="1" t="n">
        <v>45544</v>
      </c>
      <c r="C1079" s="1" t="n">
        <v>45844</v>
      </c>
      <c r="D1079" t="inlineStr">
        <is>
          <t>DALARNAS LÄN</t>
        </is>
      </c>
      <c r="E1079" t="inlineStr">
        <is>
          <t>LEKSAND</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38330-2024</t>
        </is>
      </c>
      <c r="B1080" s="1" t="n">
        <v>45545</v>
      </c>
      <c r="C1080" s="1" t="n">
        <v>45844</v>
      </c>
      <c r="D1080" t="inlineStr">
        <is>
          <t>DALARNAS LÄN</t>
        </is>
      </c>
      <c r="E1080" t="inlineStr">
        <is>
          <t>LEKSAND</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38617-2024</t>
        </is>
      </c>
      <c r="B1081" s="1" t="n">
        <v>45546</v>
      </c>
      <c r="C1081" s="1" t="n">
        <v>45844</v>
      </c>
      <c r="D1081" t="inlineStr">
        <is>
          <t>DALARNAS LÄN</t>
        </is>
      </c>
      <c r="E1081" t="inlineStr">
        <is>
          <t>LEKSAND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39416-2024</t>
        </is>
      </c>
      <c r="B1082" s="1" t="n">
        <v>45551</v>
      </c>
      <c r="C1082" s="1" t="n">
        <v>45844</v>
      </c>
      <c r="D1082" t="inlineStr">
        <is>
          <t>DALARNAS LÄN</t>
        </is>
      </c>
      <c r="E1082" t="inlineStr">
        <is>
          <t>LEKSAND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39518-2024</t>
        </is>
      </c>
      <c r="B1083" s="1" t="n">
        <v>45551</v>
      </c>
      <c r="C1083" s="1" t="n">
        <v>45844</v>
      </c>
      <c r="D1083" t="inlineStr">
        <is>
          <t>DALARNAS LÄN</t>
        </is>
      </c>
      <c r="E1083" t="inlineStr">
        <is>
          <t>LEKSAND</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39620-2024</t>
        </is>
      </c>
      <c r="B1084" s="1" t="n">
        <v>45552</v>
      </c>
      <c r="C1084" s="1" t="n">
        <v>45844</v>
      </c>
      <c r="D1084" t="inlineStr">
        <is>
          <t>DALARNAS LÄN</t>
        </is>
      </c>
      <c r="E1084" t="inlineStr">
        <is>
          <t>LEKSAND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39819-2024</t>
        </is>
      </c>
      <c r="B1085" s="1" t="n">
        <v>45553</v>
      </c>
      <c r="C1085" s="1" t="n">
        <v>45844</v>
      </c>
      <c r="D1085" t="inlineStr">
        <is>
          <t>DALARNAS LÄN</t>
        </is>
      </c>
      <c r="E1085" t="inlineStr">
        <is>
          <t>LEKSAND</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39807-2024</t>
        </is>
      </c>
      <c r="B1086" s="1" t="n">
        <v>45553</v>
      </c>
      <c r="C1086" s="1" t="n">
        <v>45844</v>
      </c>
      <c r="D1086" t="inlineStr">
        <is>
          <t>DALARNAS LÄN</t>
        </is>
      </c>
      <c r="E1086" t="inlineStr">
        <is>
          <t>LEKSAND</t>
        </is>
      </c>
      <c r="F1086" t="inlineStr">
        <is>
          <t>Bergvik skog väst AB</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40007-2024</t>
        </is>
      </c>
      <c r="B1087" s="1" t="n">
        <v>45553</v>
      </c>
      <c r="C1087" s="1" t="n">
        <v>45844</v>
      </c>
      <c r="D1087" t="inlineStr">
        <is>
          <t>DALARNAS LÄN</t>
        </is>
      </c>
      <c r="E1087" t="inlineStr">
        <is>
          <t>LEKSAND</t>
        </is>
      </c>
      <c r="F1087" t="inlineStr">
        <is>
          <t>Bergvik skog väst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40009-2024</t>
        </is>
      </c>
      <c r="B1088" s="1" t="n">
        <v>45553</v>
      </c>
      <c r="C1088" s="1" t="n">
        <v>45844</v>
      </c>
      <c r="D1088" t="inlineStr">
        <is>
          <t>DALARNAS LÄN</t>
        </is>
      </c>
      <c r="E1088" t="inlineStr">
        <is>
          <t>LEKSAND</t>
        </is>
      </c>
      <c r="F1088" t="inlineStr">
        <is>
          <t>Bergvik skog väst AB</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40193-2024</t>
        </is>
      </c>
      <c r="B1089" s="1" t="n">
        <v>45554</v>
      </c>
      <c r="C1089" s="1" t="n">
        <v>45844</v>
      </c>
      <c r="D1089" t="inlineStr">
        <is>
          <t>DALARNAS LÄN</t>
        </is>
      </c>
      <c r="E1089" t="inlineStr">
        <is>
          <t>LEKSAND</t>
        </is>
      </c>
      <c r="F1089" t="inlineStr">
        <is>
          <t>Övriga statliga verk och myndigheter</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40523-2024</t>
        </is>
      </c>
      <c r="B1090" s="1" t="n">
        <v>45555</v>
      </c>
      <c r="C1090" s="1" t="n">
        <v>45844</v>
      </c>
      <c r="D1090" t="inlineStr">
        <is>
          <t>DALARNAS LÄN</t>
        </is>
      </c>
      <c r="E1090" t="inlineStr">
        <is>
          <t>LEKSAND</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40755-2024</t>
        </is>
      </c>
      <c r="B1091" s="1" t="n">
        <v>45558</v>
      </c>
      <c r="C1091" s="1" t="n">
        <v>45844</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40746-2024</t>
        </is>
      </c>
      <c r="B1092" s="1" t="n">
        <v>45558</v>
      </c>
      <c r="C1092" s="1" t="n">
        <v>45844</v>
      </c>
      <c r="D1092" t="inlineStr">
        <is>
          <t>DALARNAS LÄN</t>
        </is>
      </c>
      <c r="E1092" t="inlineStr">
        <is>
          <t>LEKSAND</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40864-2024</t>
        </is>
      </c>
      <c r="B1093" s="1" t="n">
        <v>45558</v>
      </c>
      <c r="C1093" s="1" t="n">
        <v>45844</v>
      </c>
      <c r="D1093" t="inlineStr">
        <is>
          <t>DALARNAS LÄN</t>
        </is>
      </c>
      <c r="E1093" t="inlineStr">
        <is>
          <t>LEKSAND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40868-2024</t>
        </is>
      </c>
      <c r="B1094" s="1" t="n">
        <v>45558</v>
      </c>
      <c r="C1094" s="1" t="n">
        <v>45844</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40752-2024</t>
        </is>
      </c>
      <c r="B1095" s="1" t="n">
        <v>45558</v>
      </c>
      <c r="C1095" s="1" t="n">
        <v>45844</v>
      </c>
      <c r="D1095" t="inlineStr">
        <is>
          <t>DALARNAS LÄN</t>
        </is>
      </c>
      <c r="E1095" t="inlineStr">
        <is>
          <t>LEKSAND</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41015-2024</t>
        </is>
      </c>
      <c r="B1096" s="1" t="n">
        <v>45559</v>
      </c>
      <c r="C1096" s="1" t="n">
        <v>45844</v>
      </c>
      <c r="D1096" t="inlineStr">
        <is>
          <t>DALARNAS LÄN</t>
        </is>
      </c>
      <c r="E1096" t="inlineStr">
        <is>
          <t>LEKSAND</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41169-2024</t>
        </is>
      </c>
      <c r="B1097" s="1" t="n">
        <v>45559</v>
      </c>
      <c r="C1097" s="1" t="n">
        <v>45844</v>
      </c>
      <c r="D1097" t="inlineStr">
        <is>
          <t>DALARNAS LÄN</t>
        </is>
      </c>
      <c r="E1097" t="inlineStr">
        <is>
          <t>LEKSAND</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41046-2024</t>
        </is>
      </c>
      <c r="B1098" s="1" t="n">
        <v>45559</v>
      </c>
      <c r="C1098" s="1" t="n">
        <v>45844</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41306-2024</t>
        </is>
      </c>
      <c r="B1099" s="1" t="n">
        <v>45559</v>
      </c>
      <c r="C1099" s="1" t="n">
        <v>45844</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41840-2024</t>
        </is>
      </c>
      <c r="B1100" s="1" t="n">
        <v>45561</v>
      </c>
      <c r="C1100" s="1" t="n">
        <v>45844</v>
      </c>
      <c r="D1100" t="inlineStr">
        <is>
          <t>DALARNAS LÄN</t>
        </is>
      </c>
      <c r="E1100" t="inlineStr">
        <is>
          <t>LEKSAND</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41896-2024</t>
        </is>
      </c>
      <c r="B1101" s="1" t="n">
        <v>45561</v>
      </c>
      <c r="C1101" s="1" t="n">
        <v>45844</v>
      </c>
      <c r="D1101" t="inlineStr">
        <is>
          <t>DALARNAS LÄN</t>
        </is>
      </c>
      <c r="E1101" t="inlineStr">
        <is>
          <t>LEKSAND</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41997-2024</t>
        </is>
      </c>
      <c r="B1102" s="1" t="n">
        <v>45561</v>
      </c>
      <c r="C1102" s="1" t="n">
        <v>45844</v>
      </c>
      <c r="D1102" t="inlineStr">
        <is>
          <t>DALARNAS LÄN</t>
        </is>
      </c>
      <c r="E1102" t="inlineStr">
        <is>
          <t>LEKSAND</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42029-2024</t>
        </is>
      </c>
      <c r="B1103" s="1" t="n">
        <v>45561</v>
      </c>
      <c r="C1103" s="1" t="n">
        <v>45844</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42125-2024</t>
        </is>
      </c>
      <c r="B1104" s="1" t="n">
        <v>45562</v>
      </c>
      <c r="C1104" s="1" t="n">
        <v>45844</v>
      </c>
      <c r="D1104" t="inlineStr">
        <is>
          <t>DALARNAS LÄN</t>
        </is>
      </c>
      <c r="E1104" t="inlineStr">
        <is>
          <t>LEKSAND</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42808-2024</t>
        </is>
      </c>
      <c r="B1105" s="1" t="n">
        <v>45566</v>
      </c>
      <c r="C1105" s="1" t="n">
        <v>45844</v>
      </c>
      <c r="D1105" t="inlineStr">
        <is>
          <t>DALARNAS LÄN</t>
        </is>
      </c>
      <c r="E1105" t="inlineStr">
        <is>
          <t>LEKSAND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42727-2024</t>
        </is>
      </c>
      <c r="B1106" s="1" t="n">
        <v>45566</v>
      </c>
      <c r="C1106" s="1" t="n">
        <v>45844</v>
      </c>
      <c r="D1106" t="inlineStr">
        <is>
          <t>DALARNAS LÄN</t>
        </is>
      </c>
      <c r="E1106" t="inlineStr">
        <is>
          <t>LEKSAND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43142-2024</t>
        </is>
      </c>
      <c r="B1107" s="1" t="n">
        <v>45567</v>
      </c>
      <c r="C1107" s="1" t="n">
        <v>45844</v>
      </c>
      <c r="D1107" t="inlineStr">
        <is>
          <t>DALARNAS LÄN</t>
        </is>
      </c>
      <c r="E1107" t="inlineStr">
        <is>
          <t>LEKSAND</t>
        </is>
      </c>
      <c r="F1107" t="inlineStr">
        <is>
          <t>Bergvik skog väst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43232-2024</t>
        </is>
      </c>
      <c r="B1108" s="1" t="n">
        <v>45567</v>
      </c>
      <c r="C1108" s="1" t="n">
        <v>45844</v>
      </c>
      <c r="D1108" t="inlineStr">
        <is>
          <t>DALARNAS LÄN</t>
        </is>
      </c>
      <c r="E1108" t="inlineStr">
        <is>
          <t>LEKSAND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43220-2024</t>
        </is>
      </c>
      <c r="B1109" s="1" t="n">
        <v>45567</v>
      </c>
      <c r="C1109" s="1" t="n">
        <v>45844</v>
      </c>
      <c r="D1109" t="inlineStr">
        <is>
          <t>DALARNAS LÄN</t>
        </is>
      </c>
      <c r="E1109" t="inlineStr">
        <is>
          <t>LEKSAND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43222-2024</t>
        </is>
      </c>
      <c r="B1110" s="1" t="n">
        <v>45567</v>
      </c>
      <c r="C1110" s="1" t="n">
        <v>45844</v>
      </c>
      <c r="D1110" t="inlineStr">
        <is>
          <t>DALARNAS LÄN</t>
        </is>
      </c>
      <c r="E1110" t="inlineStr">
        <is>
          <t>LEKSAND</t>
        </is>
      </c>
      <c r="F1110" t="inlineStr">
        <is>
          <t>Bergvik skog väst AB</t>
        </is>
      </c>
      <c r="G1110" t="n">
        <v>8.6</v>
      </c>
      <c r="H1110" t="n">
        <v>0</v>
      </c>
      <c r="I1110" t="n">
        <v>0</v>
      </c>
      <c r="J1110" t="n">
        <v>0</v>
      </c>
      <c r="K1110" t="n">
        <v>0</v>
      </c>
      <c r="L1110" t="n">
        <v>0</v>
      </c>
      <c r="M1110" t="n">
        <v>0</v>
      </c>
      <c r="N1110" t="n">
        <v>0</v>
      </c>
      <c r="O1110" t="n">
        <v>0</v>
      </c>
      <c r="P1110" t="n">
        <v>0</v>
      </c>
      <c r="Q1110" t="n">
        <v>0</v>
      </c>
      <c r="R1110" s="2" t="inlineStr"/>
    </row>
    <row r="1111" ht="15" customHeight="1">
      <c r="A1111" t="inlineStr">
        <is>
          <t>A 43233-2024</t>
        </is>
      </c>
      <c r="B1111" s="1" t="n">
        <v>45567</v>
      </c>
      <c r="C1111" s="1" t="n">
        <v>45844</v>
      </c>
      <c r="D1111" t="inlineStr">
        <is>
          <t>DALARNAS LÄN</t>
        </is>
      </c>
      <c r="E1111" t="inlineStr">
        <is>
          <t>LEKSAND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43237-2024</t>
        </is>
      </c>
      <c r="B1112" s="1" t="n">
        <v>45568</v>
      </c>
      <c r="C1112" s="1" t="n">
        <v>45844</v>
      </c>
      <c r="D1112" t="inlineStr">
        <is>
          <t>DALARNAS LÄN</t>
        </is>
      </c>
      <c r="E1112" t="inlineStr">
        <is>
          <t>LEKSAND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43221-2024</t>
        </is>
      </c>
      <c r="B1113" s="1" t="n">
        <v>45567</v>
      </c>
      <c r="C1113" s="1" t="n">
        <v>45844</v>
      </c>
      <c r="D1113" t="inlineStr">
        <is>
          <t>DALARNAS LÄN</t>
        </is>
      </c>
      <c r="E1113" t="inlineStr">
        <is>
          <t>LEKSAND</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43231-2024</t>
        </is>
      </c>
      <c r="B1114" s="1" t="n">
        <v>45567</v>
      </c>
      <c r="C1114" s="1" t="n">
        <v>45844</v>
      </c>
      <c r="D1114" t="inlineStr">
        <is>
          <t>DALARNAS LÄN</t>
        </is>
      </c>
      <c r="E1114" t="inlineStr">
        <is>
          <t>LEKSAND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43234-2024</t>
        </is>
      </c>
      <c r="B1115" s="1" t="n">
        <v>45568</v>
      </c>
      <c r="C1115" s="1" t="n">
        <v>45844</v>
      </c>
      <c r="D1115" t="inlineStr">
        <is>
          <t>DALARNAS LÄN</t>
        </is>
      </c>
      <c r="E1115" t="inlineStr">
        <is>
          <t>LEKSAND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43077-2024</t>
        </is>
      </c>
      <c r="B1116" s="1" t="n">
        <v>45567</v>
      </c>
      <c r="C1116" s="1" t="n">
        <v>45844</v>
      </c>
      <c r="D1116" t="inlineStr">
        <is>
          <t>DALARNAS LÄN</t>
        </is>
      </c>
      <c r="E1116" t="inlineStr">
        <is>
          <t>LEKSAND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43419-2024</t>
        </is>
      </c>
      <c r="B1117" s="1" t="n">
        <v>45568</v>
      </c>
      <c r="C1117" s="1" t="n">
        <v>45844</v>
      </c>
      <c r="D1117" t="inlineStr">
        <is>
          <t>DALARNAS LÄN</t>
        </is>
      </c>
      <c r="E1117" t="inlineStr">
        <is>
          <t>LEKSAND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43412-2024</t>
        </is>
      </c>
      <c r="B1118" s="1" t="n">
        <v>45568</v>
      </c>
      <c r="C1118" s="1" t="n">
        <v>45844</v>
      </c>
      <c r="D1118" t="inlineStr">
        <is>
          <t>DALARNAS LÄN</t>
        </is>
      </c>
      <c r="E1118" t="inlineStr">
        <is>
          <t>LEKSAND</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43470-2024</t>
        </is>
      </c>
      <c r="B1119" s="1" t="n">
        <v>45568</v>
      </c>
      <c r="C1119" s="1" t="n">
        <v>45844</v>
      </c>
      <c r="D1119" t="inlineStr">
        <is>
          <t>DALARNAS LÄN</t>
        </is>
      </c>
      <c r="E1119" t="inlineStr">
        <is>
          <t>LEKSAND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43331-2024</t>
        </is>
      </c>
      <c r="B1120" s="1" t="n">
        <v>45568</v>
      </c>
      <c r="C1120" s="1" t="n">
        <v>45844</v>
      </c>
      <c r="D1120" t="inlineStr">
        <is>
          <t>DALARNAS LÄN</t>
        </is>
      </c>
      <c r="E1120" t="inlineStr">
        <is>
          <t>LEKSAND</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43832-2024</t>
        </is>
      </c>
      <c r="B1121" s="1" t="n">
        <v>45569</v>
      </c>
      <c r="C1121" s="1" t="n">
        <v>45844</v>
      </c>
      <c r="D1121" t="inlineStr">
        <is>
          <t>DALARNAS LÄN</t>
        </is>
      </c>
      <c r="E1121" t="inlineStr">
        <is>
          <t>LEKSAND</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44469-2024</t>
        </is>
      </c>
      <c r="B1122" s="1" t="n">
        <v>45574</v>
      </c>
      <c r="C1122" s="1" t="n">
        <v>45844</v>
      </c>
      <c r="D1122" t="inlineStr">
        <is>
          <t>DALARNAS LÄN</t>
        </is>
      </c>
      <c r="E1122" t="inlineStr">
        <is>
          <t>LEKSAND</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44822-2024</t>
        </is>
      </c>
      <c r="B1123" s="1" t="n">
        <v>45574</v>
      </c>
      <c r="C1123" s="1" t="n">
        <v>45844</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45455-2024</t>
        </is>
      </c>
      <c r="B1124" s="1" t="n">
        <v>45576</v>
      </c>
      <c r="C1124" s="1" t="n">
        <v>45844</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45760-2024</t>
        </is>
      </c>
      <c r="B1125" s="1" t="n">
        <v>45579</v>
      </c>
      <c r="C1125" s="1" t="n">
        <v>45844</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46076-2024</t>
        </is>
      </c>
      <c r="B1126" s="1" t="n">
        <v>45581</v>
      </c>
      <c r="C1126" s="1" t="n">
        <v>45844</v>
      </c>
      <c r="D1126" t="inlineStr">
        <is>
          <t>DALARNAS LÄN</t>
        </is>
      </c>
      <c r="E1126" t="inlineStr">
        <is>
          <t>LEKSAND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46359-2024</t>
        </is>
      </c>
      <c r="B1127" s="1" t="n">
        <v>45582</v>
      </c>
      <c r="C1127" s="1" t="n">
        <v>45844</v>
      </c>
      <c r="D1127" t="inlineStr">
        <is>
          <t>DALARNAS LÄN</t>
        </is>
      </c>
      <c r="E1127" t="inlineStr">
        <is>
          <t>LEKSAND</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46628-2024</t>
        </is>
      </c>
      <c r="B1128" s="1" t="n">
        <v>45583</v>
      </c>
      <c r="C1128" s="1" t="n">
        <v>45844</v>
      </c>
      <c r="D1128" t="inlineStr">
        <is>
          <t>DALARNAS LÄN</t>
        </is>
      </c>
      <c r="E1128" t="inlineStr">
        <is>
          <t>LEKSAND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46653-2024</t>
        </is>
      </c>
      <c r="B1129" s="1" t="n">
        <v>45583</v>
      </c>
      <c r="C1129" s="1" t="n">
        <v>45844</v>
      </c>
      <c r="D1129" t="inlineStr">
        <is>
          <t>DALARNAS LÄN</t>
        </is>
      </c>
      <c r="E1129" t="inlineStr">
        <is>
          <t>LEKSAND</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47272-2024</t>
        </is>
      </c>
      <c r="B1130" s="1" t="n">
        <v>45586</v>
      </c>
      <c r="C1130" s="1" t="n">
        <v>45844</v>
      </c>
      <c r="D1130" t="inlineStr">
        <is>
          <t>DALARNAS LÄN</t>
        </is>
      </c>
      <c r="E1130" t="inlineStr">
        <is>
          <t>LEKSAND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47503-2024</t>
        </is>
      </c>
      <c r="B1131" s="1" t="n">
        <v>45587</v>
      </c>
      <c r="C1131" s="1" t="n">
        <v>45844</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47640-2024</t>
        </is>
      </c>
      <c r="B1132" s="1" t="n">
        <v>45588</v>
      </c>
      <c r="C1132" s="1" t="n">
        <v>45844</v>
      </c>
      <c r="D1132" t="inlineStr">
        <is>
          <t>DALARNAS LÄN</t>
        </is>
      </c>
      <c r="E1132" t="inlineStr">
        <is>
          <t>LEKSAND</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47913-2024</t>
        </is>
      </c>
      <c r="B1133" s="1" t="n">
        <v>45589</v>
      </c>
      <c r="C1133" s="1" t="n">
        <v>45844</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48501-2024</t>
        </is>
      </c>
      <c r="B1134" s="1" t="n">
        <v>45592</v>
      </c>
      <c r="C1134" s="1" t="n">
        <v>45844</v>
      </c>
      <c r="D1134" t="inlineStr">
        <is>
          <t>DALARNAS LÄN</t>
        </is>
      </c>
      <c r="E1134" t="inlineStr">
        <is>
          <t>LEKSAND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48677-2024</t>
        </is>
      </c>
      <c r="B1135" s="1" t="n">
        <v>45593</v>
      </c>
      <c r="C1135" s="1" t="n">
        <v>45844</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48857-2024</t>
        </is>
      </c>
      <c r="B1136" s="1" t="n">
        <v>45593</v>
      </c>
      <c r="C1136" s="1" t="n">
        <v>45844</v>
      </c>
      <c r="D1136" t="inlineStr">
        <is>
          <t>DALARNAS LÄN</t>
        </is>
      </c>
      <c r="E1136" t="inlineStr">
        <is>
          <t>LEKSAND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49068-2024</t>
        </is>
      </c>
      <c r="B1137" s="1" t="n">
        <v>45594</v>
      </c>
      <c r="C1137" s="1" t="n">
        <v>45844</v>
      </c>
      <c r="D1137" t="inlineStr">
        <is>
          <t>DALARNAS LÄN</t>
        </is>
      </c>
      <c r="E1137" t="inlineStr">
        <is>
          <t>LEKSAND</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48902-2024</t>
        </is>
      </c>
      <c r="B1138" s="1" t="n">
        <v>45594</v>
      </c>
      <c r="C1138" s="1" t="n">
        <v>45844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49397-2024</t>
        </is>
      </c>
      <c r="B1139" s="1" t="n">
        <v>45595</v>
      </c>
      <c r="C1139" s="1" t="n">
        <v>45844</v>
      </c>
      <c r="D1139" t="inlineStr">
        <is>
          <t>DALARNAS LÄN</t>
        </is>
      </c>
      <c r="E1139" t="inlineStr">
        <is>
          <t>LEKSAND</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49405-2024</t>
        </is>
      </c>
      <c r="B1140" s="1" t="n">
        <v>45595</v>
      </c>
      <c r="C1140" s="1" t="n">
        <v>45844</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49395-2024</t>
        </is>
      </c>
      <c r="B1141" s="1" t="n">
        <v>45595</v>
      </c>
      <c r="C1141" s="1" t="n">
        <v>45844</v>
      </c>
      <c r="D1141" t="inlineStr">
        <is>
          <t>DALARNAS LÄN</t>
        </is>
      </c>
      <c r="E1141" t="inlineStr">
        <is>
          <t>LEKSAND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49553-2024</t>
        </is>
      </c>
      <c r="B1142" s="1" t="n">
        <v>45596</v>
      </c>
      <c r="C1142" s="1" t="n">
        <v>45844</v>
      </c>
      <c r="D1142" t="inlineStr">
        <is>
          <t>DALARNAS LÄN</t>
        </is>
      </c>
      <c r="E1142" t="inlineStr">
        <is>
          <t>LEKSAND</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49499-2024</t>
        </is>
      </c>
      <c r="B1143" s="1" t="n">
        <v>45596</v>
      </c>
      <c r="C1143" s="1" t="n">
        <v>45844</v>
      </c>
      <c r="D1143" t="inlineStr">
        <is>
          <t>DALARNAS LÄN</t>
        </is>
      </c>
      <c r="E1143" t="inlineStr">
        <is>
          <t>LEKSAND</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49850-2024</t>
        </is>
      </c>
      <c r="B1144" s="1" t="n">
        <v>45596</v>
      </c>
      <c r="C1144" s="1" t="n">
        <v>45844</v>
      </c>
      <c r="D1144" t="inlineStr">
        <is>
          <t>DALARNAS LÄN</t>
        </is>
      </c>
      <c r="E1144" t="inlineStr">
        <is>
          <t>LEKSAND</t>
        </is>
      </c>
      <c r="F1144" t="inlineStr">
        <is>
          <t>Övriga statliga verk och myndigheter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49506-2024</t>
        </is>
      </c>
      <c r="B1145" s="1" t="n">
        <v>45596</v>
      </c>
      <c r="C1145" s="1" t="n">
        <v>45844</v>
      </c>
      <c r="D1145" t="inlineStr">
        <is>
          <t>DALARNAS LÄN</t>
        </is>
      </c>
      <c r="E1145" t="inlineStr">
        <is>
          <t>LEKSAND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50307-2024</t>
        </is>
      </c>
      <c r="B1146" s="1" t="n">
        <v>45600</v>
      </c>
      <c r="C1146" s="1" t="n">
        <v>45844</v>
      </c>
      <c r="D1146" t="inlineStr">
        <is>
          <t>DALARNAS LÄN</t>
        </is>
      </c>
      <c r="E1146" t="inlineStr">
        <is>
          <t>LEKSAND</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50486-2024</t>
        </is>
      </c>
      <c r="B1147" s="1" t="n">
        <v>45601</v>
      </c>
      <c r="C1147" s="1" t="n">
        <v>45844</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51517-2024</t>
        </is>
      </c>
      <c r="B1148" s="1" t="n">
        <v>45603</v>
      </c>
      <c r="C1148" s="1" t="n">
        <v>45844</v>
      </c>
      <c r="D1148" t="inlineStr">
        <is>
          <t>DALARNAS LÄN</t>
        </is>
      </c>
      <c r="E1148" t="inlineStr">
        <is>
          <t>LEKSAND</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51408-2024</t>
        </is>
      </c>
      <c r="B1149" s="1" t="n">
        <v>45604</v>
      </c>
      <c r="C1149" s="1" t="n">
        <v>45844</v>
      </c>
      <c r="D1149" t="inlineStr">
        <is>
          <t>DALARNAS LÄN</t>
        </is>
      </c>
      <c r="E1149" t="inlineStr">
        <is>
          <t>LEKSAND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51677-2024</t>
        </is>
      </c>
      <c r="B1150" s="1" t="n">
        <v>45607</v>
      </c>
      <c r="C1150" s="1" t="n">
        <v>45844</v>
      </c>
      <c r="D1150" t="inlineStr">
        <is>
          <t>DALARNAS LÄN</t>
        </is>
      </c>
      <c r="E1150" t="inlineStr">
        <is>
          <t>LEKSAND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51860-2024</t>
        </is>
      </c>
      <c r="B1151" s="1" t="n">
        <v>45607</v>
      </c>
      <c r="C1151" s="1" t="n">
        <v>45844</v>
      </c>
      <c r="D1151" t="inlineStr">
        <is>
          <t>DALARNAS LÄN</t>
        </is>
      </c>
      <c r="E1151" t="inlineStr">
        <is>
          <t>LEKSAND</t>
        </is>
      </c>
      <c r="F1151" t="inlineStr">
        <is>
          <t>Bergvik skog väst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51907-2024</t>
        </is>
      </c>
      <c r="B1152" s="1" t="n">
        <v>45607</v>
      </c>
      <c r="C1152" s="1" t="n">
        <v>45844</v>
      </c>
      <c r="D1152" t="inlineStr">
        <is>
          <t>DALARNAS LÄN</t>
        </is>
      </c>
      <c r="E1152" t="inlineStr">
        <is>
          <t>LEKSAND</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52277-2024</t>
        </is>
      </c>
      <c r="B1153" s="1" t="n">
        <v>45608</v>
      </c>
      <c r="C1153" s="1" t="n">
        <v>45844</v>
      </c>
      <c r="D1153" t="inlineStr">
        <is>
          <t>DALARNAS LÄN</t>
        </is>
      </c>
      <c r="E1153" t="inlineStr">
        <is>
          <t>LEKSAND</t>
        </is>
      </c>
      <c r="G1153" t="n">
        <v>9.4</v>
      </c>
      <c r="H1153" t="n">
        <v>0</v>
      </c>
      <c r="I1153" t="n">
        <v>0</v>
      </c>
      <c r="J1153" t="n">
        <v>0</v>
      </c>
      <c r="K1153" t="n">
        <v>0</v>
      </c>
      <c r="L1153" t="n">
        <v>0</v>
      </c>
      <c r="M1153" t="n">
        <v>0</v>
      </c>
      <c r="N1153" t="n">
        <v>0</v>
      </c>
      <c r="O1153" t="n">
        <v>0</v>
      </c>
      <c r="P1153" t="n">
        <v>0</v>
      </c>
      <c r="Q1153" t="n">
        <v>0</v>
      </c>
      <c r="R1153" s="2" t="inlineStr"/>
    </row>
    <row r="1154" ht="15" customHeight="1">
      <c r="A1154" t="inlineStr">
        <is>
          <t>A 52293-2024</t>
        </is>
      </c>
      <c r="B1154" s="1" t="n">
        <v>45608</v>
      </c>
      <c r="C1154" s="1" t="n">
        <v>45844</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52059-2024</t>
        </is>
      </c>
      <c r="B1155" s="1" t="n">
        <v>45608</v>
      </c>
      <c r="C1155" s="1" t="n">
        <v>45844</v>
      </c>
      <c r="D1155" t="inlineStr">
        <is>
          <t>DALARNAS LÄN</t>
        </is>
      </c>
      <c r="E1155" t="inlineStr">
        <is>
          <t>LEKSAND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52100-2024</t>
        </is>
      </c>
      <c r="B1156" s="1" t="n">
        <v>45608</v>
      </c>
      <c r="C1156" s="1" t="n">
        <v>45844</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52572-2024</t>
        </is>
      </c>
      <c r="B1157" s="1" t="n">
        <v>45609</v>
      </c>
      <c r="C1157" s="1" t="n">
        <v>45844</v>
      </c>
      <c r="D1157" t="inlineStr">
        <is>
          <t>DALARNAS LÄN</t>
        </is>
      </c>
      <c r="E1157" t="inlineStr">
        <is>
          <t>LEKSAND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52755-2024</t>
        </is>
      </c>
      <c r="B1158" s="1" t="n">
        <v>45610</v>
      </c>
      <c r="C1158" s="1" t="n">
        <v>45844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53193-2024</t>
        </is>
      </c>
      <c r="B1159" s="1" t="n">
        <v>45610</v>
      </c>
      <c r="C1159" s="1" t="n">
        <v>45844</v>
      </c>
      <c r="D1159" t="inlineStr">
        <is>
          <t>DALARNAS LÄN</t>
        </is>
      </c>
      <c r="E1159" t="inlineStr">
        <is>
          <t>LEKSAND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53464-2024</t>
        </is>
      </c>
      <c r="B1160" s="1" t="n">
        <v>45611</v>
      </c>
      <c r="C1160" s="1" t="n">
        <v>45844</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53662-2024</t>
        </is>
      </c>
      <c r="B1161" s="1" t="n">
        <v>45612</v>
      </c>
      <c r="C1161" s="1" t="n">
        <v>45844</v>
      </c>
      <c r="D1161" t="inlineStr">
        <is>
          <t>DALARNAS LÄN</t>
        </is>
      </c>
      <c r="E1161" t="inlineStr">
        <is>
          <t>LEKSAND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53319-2024</t>
        </is>
      </c>
      <c r="B1162" s="1" t="n">
        <v>45614</v>
      </c>
      <c r="C1162" s="1" t="n">
        <v>45844</v>
      </c>
      <c r="D1162" t="inlineStr">
        <is>
          <t>DALARNAS LÄN</t>
        </is>
      </c>
      <c r="E1162" t="inlineStr">
        <is>
          <t>LEKSAND</t>
        </is>
      </c>
      <c r="G1162" t="n">
        <v>3.1</v>
      </c>
      <c r="H1162" t="n">
        <v>0</v>
      </c>
      <c r="I1162" t="n">
        <v>0</v>
      </c>
      <c r="J1162" t="n">
        <v>0</v>
      </c>
      <c r="K1162" t="n">
        <v>0</v>
      </c>
      <c r="L1162" t="n">
        <v>0</v>
      </c>
      <c r="M1162" t="n">
        <v>0</v>
      </c>
      <c r="N1162" t="n">
        <v>0</v>
      </c>
      <c r="O1162" t="n">
        <v>0</v>
      </c>
      <c r="P1162" t="n">
        <v>0</v>
      </c>
      <c r="Q1162" t="n">
        <v>0</v>
      </c>
      <c r="R1162" s="2" t="inlineStr"/>
      <c r="U1162">
        <f>HYPERLINK("https://klasma.github.io/Logging_2029/knärot/A 53319-2024 karta knärot.png", "A 53319-2024")</f>
        <v/>
      </c>
      <c r="V1162">
        <f>HYPERLINK("https://klasma.github.io/Logging_2029/klagomål/A 53319-2024 FSC-klagomål.docx", "A 53319-2024")</f>
        <v/>
      </c>
      <c r="W1162">
        <f>HYPERLINK("https://klasma.github.io/Logging_2029/klagomålsmail/A 53319-2024 FSC-klagomål mail.docx", "A 53319-2024")</f>
        <v/>
      </c>
      <c r="X1162">
        <f>HYPERLINK("https://klasma.github.io/Logging_2029/tillsyn/A 53319-2024 tillsynsbegäran.docx", "A 53319-2024")</f>
        <v/>
      </c>
      <c r="Y1162">
        <f>HYPERLINK("https://klasma.github.io/Logging_2029/tillsynsmail/A 53319-2024 tillsynsbegäran mail.docx", "A 53319-2024")</f>
        <v/>
      </c>
    </row>
    <row r="1163" ht="15" customHeight="1">
      <c r="A1163" t="inlineStr">
        <is>
          <t>A 53625-2024</t>
        </is>
      </c>
      <c r="B1163" s="1" t="n">
        <v>45614</v>
      </c>
      <c r="C1163" s="1" t="n">
        <v>45844</v>
      </c>
      <c r="D1163" t="inlineStr">
        <is>
          <t>DALARNAS LÄN</t>
        </is>
      </c>
      <c r="E1163" t="inlineStr">
        <is>
          <t>LEKSAND</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53634-2024</t>
        </is>
      </c>
      <c r="B1164" s="1" t="n">
        <v>45614</v>
      </c>
      <c r="C1164" s="1" t="n">
        <v>45844</v>
      </c>
      <c r="D1164" t="inlineStr">
        <is>
          <t>DALARNAS LÄN</t>
        </is>
      </c>
      <c r="E1164" t="inlineStr">
        <is>
          <t>LEKSAND</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53633-2024</t>
        </is>
      </c>
      <c r="B1165" s="1" t="n">
        <v>45614</v>
      </c>
      <c r="C1165" s="1" t="n">
        <v>45844</v>
      </c>
      <c r="D1165" t="inlineStr">
        <is>
          <t>DALARNAS LÄN</t>
        </is>
      </c>
      <c r="E1165" t="inlineStr">
        <is>
          <t>LEKSAND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53313-2024</t>
        </is>
      </c>
      <c r="B1166" s="1" t="n">
        <v>45614</v>
      </c>
      <c r="C1166" s="1" t="n">
        <v>45844</v>
      </c>
      <c r="D1166" t="inlineStr">
        <is>
          <t>DALARNAS LÄN</t>
        </is>
      </c>
      <c r="E1166" t="inlineStr">
        <is>
          <t>LEKSAND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53981-2024</t>
        </is>
      </c>
      <c r="B1167" s="1" t="n">
        <v>45615</v>
      </c>
      <c r="C1167" s="1" t="n">
        <v>45844</v>
      </c>
      <c r="D1167" t="inlineStr">
        <is>
          <t>DALARNAS LÄN</t>
        </is>
      </c>
      <c r="E1167" t="inlineStr">
        <is>
          <t>LEKSAND</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53992-2024</t>
        </is>
      </c>
      <c r="B1168" s="1" t="n">
        <v>45616</v>
      </c>
      <c r="C1168" s="1" t="n">
        <v>45844</v>
      </c>
      <c r="D1168" t="inlineStr">
        <is>
          <t>DALARNAS LÄN</t>
        </is>
      </c>
      <c r="E1168" t="inlineStr">
        <is>
          <t>LEKSAND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54917-2024</t>
        </is>
      </c>
      <c r="B1169" s="1" t="n">
        <v>45618</v>
      </c>
      <c r="C1169" s="1" t="n">
        <v>45844</v>
      </c>
      <c r="D1169" t="inlineStr">
        <is>
          <t>DALARNAS LÄN</t>
        </is>
      </c>
      <c r="E1169" t="inlineStr">
        <is>
          <t>LEKSAND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54911-2024</t>
        </is>
      </c>
      <c r="B1170" s="1" t="n">
        <v>45618</v>
      </c>
      <c r="C1170" s="1" t="n">
        <v>45844</v>
      </c>
      <c r="D1170" t="inlineStr">
        <is>
          <t>DALARNAS LÄN</t>
        </is>
      </c>
      <c r="E1170" t="inlineStr">
        <is>
          <t>LEKSAND</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54910-2024</t>
        </is>
      </c>
      <c r="B1171" s="1" t="n">
        <v>45618</v>
      </c>
      <c r="C1171" s="1" t="n">
        <v>45844</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54914-2024</t>
        </is>
      </c>
      <c r="B1172" s="1" t="n">
        <v>45618</v>
      </c>
      <c r="C1172" s="1" t="n">
        <v>45844</v>
      </c>
      <c r="D1172" t="inlineStr">
        <is>
          <t>DALARNAS LÄN</t>
        </is>
      </c>
      <c r="E1172" t="inlineStr">
        <is>
          <t>LEKSAND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55015-2024</t>
        </is>
      </c>
      <c r="B1173" s="1" t="n">
        <v>45621</v>
      </c>
      <c r="C1173" s="1" t="n">
        <v>45844</v>
      </c>
      <c r="D1173" t="inlineStr">
        <is>
          <t>DALARNAS LÄN</t>
        </is>
      </c>
      <c r="E1173" t="inlineStr">
        <is>
          <t>LEKSAND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55512-2024</t>
        </is>
      </c>
      <c r="B1174" s="1" t="n">
        <v>45621</v>
      </c>
      <c r="C1174" s="1" t="n">
        <v>45844</v>
      </c>
      <c r="D1174" t="inlineStr">
        <is>
          <t>DALARNAS LÄN</t>
        </is>
      </c>
      <c r="E1174" t="inlineStr">
        <is>
          <t>LEKSAND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55029-2024</t>
        </is>
      </c>
      <c r="B1175" s="1" t="n">
        <v>45621</v>
      </c>
      <c r="C1175" s="1" t="n">
        <v>45844</v>
      </c>
      <c r="D1175" t="inlineStr">
        <is>
          <t>DALARNAS LÄN</t>
        </is>
      </c>
      <c r="E1175" t="inlineStr">
        <is>
          <t>LEKSAND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55268-2024</t>
        </is>
      </c>
      <c r="B1176" s="1" t="n">
        <v>45621</v>
      </c>
      <c r="C1176" s="1" t="n">
        <v>45844</v>
      </c>
      <c r="D1176" t="inlineStr">
        <is>
          <t>DALARNAS LÄN</t>
        </is>
      </c>
      <c r="E1176" t="inlineStr">
        <is>
          <t>LEKSAND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55516-2024</t>
        </is>
      </c>
      <c r="B1177" s="1" t="n">
        <v>45621</v>
      </c>
      <c r="C1177" s="1" t="n">
        <v>45844</v>
      </c>
      <c r="D1177" t="inlineStr">
        <is>
          <t>DALARNAS LÄN</t>
        </is>
      </c>
      <c r="E1177" t="inlineStr">
        <is>
          <t>LEKSAND</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55643-2024</t>
        </is>
      </c>
      <c r="B1178" s="1" t="n">
        <v>45621</v>
      </c>
      <c r="C1178" s="1" t="n">
        <v>45844</v>
      </c>
      <c r="D1178" t="inlineStr">
        <is>
          <t>DALARNAS LÄN</t>
        </is>
      </c>
      <c r="E1178" t="inlineStr">
        <is>
          <t>LEKSAND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55520-2024</t>
        </is>
      </c>
      <c r="B1179" s="1" t="n">
        <v>45621</v>
      </c>
      <c r="C1179" s="1" t="n">
        <v>45844</v>
      </c>
      <c r="D1179" t="inlineStr">
        <is>
          <t>DALARNAS LÄN</t>
        </is>
      </c>
      <c r="E1179" t="inlineStr">
        <is>
          <t>LEKSAND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55706-2024</t>
        </is>
      </c>
      <c r="B1180" s="1" t="n">
        <v>45622</v>
      </c>
      <c r="C1180" s="1" t="n">
        <v>45844</v>
      </c>
      <c r="D1180" t="inlineStr">
        <is>
          <t>DALARNAS LÄN</t>
        </is>
      </c>
      <c r="E1180" t="inlineStr">
        <is>
          <t>LEKSAND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55689-2024</t>
        </is>
      </c>
      <c r="B1181" s="1" t="n">
        <v>45622</v>
      </c>
      <c r="C1181" s="1" t="n">
        <v>45844</v>
      </c>
      <c r="D1181" t="inlineStr">
        <is>
          <t>DALARNAS LÄN</t>
        </is>
      </c>
      <c r="E1181" t="inlineStr">
        <is>
          <t>LEKSAND</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55926-2024</t>
        </is>
      </c>
      <c r="B1182" s="1" t="n">
        <v>45623</v>
      </c>
      <c r="C1182" s="1" t="n">
        <v>45844</v>
      </c>
      <c r="D1182" t="inlineStr">
        <is>
          <t>DALARNAS LÄN</t>
        </is>
      </c>
      <c r="E1182" t="inlineStr">
        <is>
          <t>LEKSAND</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56016-2024</t>
        </is>
      </c>
      <c r="B1183" s="1" t="n">
        <v>45623</v>
      </c>
      <c r="C1183" s="1" t="n">
        <v>45844</v>
      </c>
      <c r="D1183" t="inlineStr">
        <is>
          <t>DALARNAS LÄN</t>
        </is>
      </c>
      <c r="E1183" t="inlineStr">
        <is>
          <t>LEKSAND</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56059-2024</t>
        </is>
      </c>
      <c r="B1184" s="1" t="n">
        <v>45624</v>
      </c>
      <c r="C1184" s="1" t="n">
        <v>45844</v>
      </c>
      <c r="D1184" t="inlineStr">
        <is>
          <t>DALARNAS LÄN</t>
        </is>
      </c>
      <c r="E1184" t="inlineStr">
        <is>
          <t>LEKSAND</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56283-2024</t>
        </is>
      </c>
      <c r="B1185" s="1" t="n">
        <v>45624</v>
      </c>
      <c r="C1185" s="1" t="n">
        <v>45844</v>
      </c>
      <c r="D1185" t="inlineStr">
        <is>
          <t>DALARNAS LÄN</t>
        </is>
      </c>
      <c r="E1185" t="inlineStr">
        <is>
          <t>LEKSAND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56299-2024</t>
        </is>
      </c>
      <c r="B1186" s="1" t="n">
        <v>45624</v>
      </c>
      <c r="C1186" s="1" t="n">
        <v>45844</v>
      </c>
      <c r="D1186" t="inlineStr">
        <is>
          <t>DALARNAS LÄN</t>
        </is>
      </c>
      <c r="E1186" t="inlineStr">
        <is>
          <t>LEKSAND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56610-2024</t>
        </is>
      </c>
      <c r="B1187" s="1" t="n">
        <v>45625</v>
      </c>
      <c r="C1187" s="1" t="n">
        <v>45844</v>
      </c>
      <c r="D1187" t="inlineStr">
        <is>
          <t>DALARNAS LÄN</t>
        </is>
      </c>
      <c r="E1187" t="inlineStr">
        <is>
          <t>LEKSAND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56941-2024</t>
        </is>
      </c>
      <c r="B1188" s="1" t="n">
        <v>45625</v>
      </c>
      <c r="C1188" s="1" t="n">
        <v>45844</v>
      </c>
      <c r="D1188" t="inlineStr">
        <is>
          <t>DALARNAS LÄN</t>
        </is>
      </c>
      <c r="E1188" t="inlineStr">
        <is>
          <t>LEKSAND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56608-2024</t>
        </is>
      </c>
      <c r="B1189" s="1" t="n">
        <v>45625</v>
      </c>
      <c r="C1189" s="1" t="n">
        <v>45844</v>
      </c>
      <c r="D1189" t="inlineStr">
        <is>
          <t>DALARNAS LÄN</t>
        </is>
      </c>
      <c r="E1189" t="inlineStr">
        <is>
          <t>LEKSAND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56591-2024</t>
        </is>
      </c>
      <c r="B1190" s="1" t="n">
        <v>45625</v>
      </c>
      <c r="C1190" s="1" t="n">
        <v>45844</v>
      </c>
      <c r="D1190" t="inlineStr">
        <is>
          <t>DALARNAS LÄN</t>
        </is>
      </c>
      <c r="E1190" t="inlineStr">
        <is>
          <t>LEKSAND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56641-2024</t>
        </is>
      </c>
      <c r="B1191" s="1" t="n">
        <v>45625</v>
      </c>
      <c r="C1191" s="1" t="n">
        <v>45844</v>
      </c>
      <c r="D1191" t="inlineStr">
        <is>
          <t>DALARNAS LÄN</t>
        </is>
      </c>
      <c r="E1191" t="inlineStr">
        <is>
          <t>LEKSAND</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56943-2024</t>
        </is>
      </c>
      <c r="B1192" s="1" t="n">
        <v>45625</v>
      </c>
      <c r="C1192" s="1" t="n">
        <v>45844</v>
      </c>
      <c r="D1192" t="inlineStr">
        <is>
          <t>DALARNAS LÄN</t>
        </is>
      </c>
      <c r="E1192" t="inlineStr">
        <is>
          <t>LEKSAND</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56950-2024</t>
        </is>
      </c>
      <c r="B1193" s="1" t="n">
        <v>45625</v>
      </c>
      <c r="C1193" s="1" t="n">
        <v>45844</v>
      </c>
      <c r="D1193" t="inlineStr">
        <is>
          <t>DALARNAS LÄN</t>
        </is>
      </c>
      <c r="E1193" t="inlineStr">
        <is>
          <t>LEKSAND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56777-2024</t>
        </is>
      </c>
      <c r="B1194" s="1" t="n">
        <v>45628</v>
      </c>
      <c r="C1194" s="1" t="n">
        <v>45844</v>
      </c>
      <c r="D1194" t="inlineStr">
        <is>
          <t>DALARNAS LÄN</t>
        </is>
      </c>
      <c r="E1194" t="inlineStr">
        <is>
          <t>LEKSAND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56749-2024</t>
        </is>
      </c>
      <c r="B1195" s="1" t="n">
        <v>45628</v>
      </c>
      <c r="C1195" s="1" t="n">
        <v>45844</v>
      </c>
      <c r="D1195" t="inlineStr">
        <is>
          <t>DALARNAS LÄN</t>
        </is>
      </c>
      <c r="E1195" t="inlineStr">
        <is>
          <t>LEKSAND</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57599-2024</t>
        </is>
      </c>
      <c r="B1196" s="1" t="n">
        <v>45630</v>
      </c>
      <c r="C1196" s="1" t="n">
        <v>45844</v>
      </c>
      <c r="D1196" t="inlineStr">
        <is>
          <t>DALARNAS LÄN</t>
        </is>
      </c>
      <c r="E1196" t="inlineStr">
        <is>
          <t>LEKSAND</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57925-2024</t>
        </is>
      </c>
      <c r="B1197" s="1" t="n">
        <v>45630</v>
      </c>
      <c r="C1197" s="1" t="n">
        <v>45844</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57907-2024</t>
        </is>
      </c>
      <c r="B1198" s="1" t="n">
        <v>45630</v>
      </c>
      <c r="C1198" s="1" t="n">
        <v>45844</v>
      </c>
      <c r="D1198" t="inlineStr">
        <is>
          <t>DALARNAS LÄN</t>
        </is>
      </c>
      <c r="E1198" t="inlineStr">
        <is>
          <t>LEKSAND</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57899-2024</t>
        </is>
      </c>
      <c r="B1199" s="1" t="n">
        <v>45630</v>
      </c>
      <c r="C1199" s="1" t="n">
        <v>45844</v>
      </c>
      <c r="D1199" t="inlineStr">
        <is>
          <t>DALARNAS LÄN</t>
        </is>
      </c>
      <c r="E1199" t="inlineStr">
        <is>
          <t>LEKSAND</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57933-2024</t>
        </is>
      </c>
      <c r="B1200" s="1" t="n">
        <v>45630</v>
      </c>
      <c r="C1200" s="1" t="n">
        <v>45844</v>
      </c>
      <c r="D1200" t="inlineStr">
        <is>
          <t>DALARNAS LÄN</t>
        </is>
      </c>
      <c r="E1200" t="inlineStr">
        <is>
          <t>LEKSAND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58555-2024</t>
        </is>
      </c>
      <c r="B1201" s="1" t="n">
        <v>45635</v>
      </c>
      <c r="C1201" s="1" t="n">
        <v>45844</v>
      </c>
      <c r="D1201" t="inlineStr">
        <is>
          <t>DALARNAS LÄN</t>
        </is>
      </c>
      <c r="E1201" t="inlineStr">
        <is>
          <t>LEKSAND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59103-2024</t>
        </is>
      </c>
      <c r="B1202" s="1" t="n">
        <v>45637</v>
      </c>
      <c r="C1202" s="1" t="n">
        <v>45844</v>
      </c>
      <c r="D1202" t="inlineStr">
        <is>
          <t>DALARNAS LÄN</t>
        </is>
      </c>
      <c r="E1202" t="inlineStr">
        <is>
          <t>LEKSAND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59192-2024</t>
        </is>
      </c>
      <c r="B1203" s="1" t="n">
        <v>45637</v>
      </c>
      <c r="C1203" s="1" t="n">
        <v>45844</v>
      </c>
      <c r="D1203" t="inlineStr">
        <is>
          <t>DALARNAS LÄN</t>
        </is>
      </c>
      <c r="E1203" t="inlineStr">
        <is>
          <t>LEKSAND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59260-2024</t>
        </is>
      </c>
      <c r="B1204" s="1" t="n">
        <v>45637</v>
      </c>
      <c r="C1204" s="1" t="n">
        <v>45844</v>
      </c>
      <c r="D1204" t="inlineStr">
        <is>
          <t>DALARNAS LÄN</t>
        </is>
      </c>
      <c r="E1204" t="inlineStr">
        <is>
          <t>LEKSAND</t>
        </is>
      </c>
      <c r="G1204" t="n">
        <v>9.5</v>
      </c>
      <c r="H1204" t="n">
        <v>0</v>
      </c>
      <c r="I1204" t="n">
        <v>0</v>
      </c>
      <c r="J1204" t="n">
        <v>0</v>
      </c>
      <c r="K1204" t="n">
        <v>0</v>
      </c>
      <c r="L1204" t="n">
        <v>0</v>
      </c>
      <c r="M1204" t="n">
        <v>0</v>
      </c>
      <c r="N1204" t="n">
        <v>0</v>
      </c>
      <c r="O1204" t="n">
        <v>0</v>
      </c>
      <c r="P1204" t="n">
        <v>0</v>
      </c>
      <c r="Q1204" t="n">
        <v>0</v>
      </c>
      <c r="R1204" s="2" t="inlineStr"/>
    </row>
    <row r="1205" ht="15" customHeight="1">
      <c r="A1205" t="inlineStr">
        <is>
          <t>A 59199-2024</t>
        </is>
      </c>
      <c r="B1205" s="1" t="n">
        <v>45637</v>
      </c>
      <c r="C1205" s="1" t="n">
        <v>45844</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59236-2024</t>
        </is>
      </c>
      <c r="B1206" s="1" t="n">
        <v>45637</v>
      </c>
      <c r="C1206" s="1" t="n">
        <v>45844</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59266-2024</t>
        </is>
      </c>
      <c r="B1207" s="1" t="n">
        <v>45637</v>
      </c>
      <c r="C1207" s="1" t="n">
        <v>45844</v>
      </c>
      <c r="D1207" t="inlineStr">
        <is>
          <t>DALARNAS LÄN</t>
        </is>
      </c>
      <c r="E1207" t="inlineStr">
        <is>
          <t>LEKSAND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59840-2024</t>
        </is>
      </c>
      <c r="B1208" s="1" t="n">
        <v>45638</v>
      </c>
      <c r="C1208" s="1" t="n">
        <v>45844</v>
      </c>
      <c r="D1208" t="inlineStr">
        <is>
          <t>DALARNAS LÄN</t>
        </is>
      </c>
      <c r="E1208" t="inlineStr">
        <is>
          <t>LEKSAND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59751-2024</t>
        </is>
      </c>
      <c r="B1209" s="1" t="n">
        <v>45638</v>
      </c>
      <c r="C1209" s="1" t="n">
        <v>45844</v>
      </c>
      <c r="D1209" t="inlineStr">
        <is>
          <t>DALARNAS LÄN</t>
        </is>
      </c>
      <c r="E1209" t="inlineStr">
        <is>
          <t>LEKSAND</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60544-2024</t>
        </is>
      </c>
      <c r="B1210" s="1" t="n">
        <v>45643</v>
      </c>
      <c r="C1210" s="1" t="n">
        <v>45844</v>
      </c>
      <c r="D1210" t="inlineStr">
        <is>
          <t>DALARNAS LÄN</t>
        </is>
      </c>
      <c r="E1210" t="inlineStr">
        <is>
          <t>LEKSAND</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60552-2024</t>
        </is>
      </c>
      <c r="B1211" s="1" t="n">
        <v>45643</v>
      </c>
      <c r="C1211" s="1" t="n">
        <v>45844</v>
      </c>
      <c r="D1211" t="inlineStr">
        <is>
          <t>DALARNAS LÄN</t>
        </is>
      </c>
      <c r="E1211" t="inlineStr">
        <is>
          <t>LEKSAND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60489-2024</t>
        </is>
      </c>
      <c r="B1212" s="1" t="n">
        <v>45643</v>
      </c>
      <c r="C1212" s="1" t="n">
        <v>45844</v>
      </c>
      <c r="D1212" t="inlineStr">
        <is>
          <t>DALARNAS LÄN</t>
        </is>
      </c>
      <c r="E1212" t="inlineStr">
        <is>
          <t>LEKSAND</t>
        </is>
      </c>
      <c r="F1212" t="inlineStr">
        <is>
          <t>Övriga Aktiebolag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60906-2024</t>
        </is>
      </c>
      <c r="B1213" s="1" t="n">
        <v>45645</v>
      </c>
      <c r="C1213" s="1" t="n">
        <v>45844</v>
      </c>
      <c r="D1213" t="inlineStr">
        <is>
          <t>DALARNAS LÄN</t>
        </is>
      </c>
      <c r="E1213" t="inlineStr">
        <is>
          <t>LEKSAND</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60945-2024</t>
        </is>
      </c>
      <c r="B1214" s="1" t="n">
        <v>45645</v>
      </c>
      <c r="C1214" s="1" t="n">
        <v>45844</v>
      </c>
      <c r="D1214" t="inlineStr">
        <is>
          <t>DALARNAS LÄN</t>
        </is>
      </c>
      <c r="E1214" t="inlineStr">
        <is>
          <t>LEKSAND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60993-2024</t>
        </is>
      </c>
      <c r="B1215" s="1" t="n">
        <v>45645</v>
      </c>
      <c r="C1215" s="1" t="n">
        <v>45844</v>
      </c>
      <c r="D1215" t="inlineStr">
        <is>
          <t>DALARNAS LÄN</t>
        </is>
      </c>
      <c r="E1215" t="inlineStr">
        <is>
          <t>LEKSAND</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60986-2024</t>
        </is>
      </c>
      <c r="B1216" s="1" t="n">
        <v>45645</v>
      </c>
      <c r="C1216" s="1" t="n">
        <v>45844</v>
      </c>
      <c r="D1216" t="inlineStr">
        <is>
          <t>DALARNAS LÄN</t>
        </is>
      </c>
      <c r="E1216" t="inlineStr">
        <is>
          <t>LEKSAND</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61554-2024</t>
        </is>
      </c>
      <c r="B1217" s="1" t="n">
        <v>45646</v>
      </c>
      <c r="C1217" s="1" t="n">
        <v>45844</v>
      </c>
      <c r="D1217" t="inlineStr">
        <is>
          <t>DALARNAS LÄN</t>
        </is>
      </c>
      <c r="E1217" t="inlineStr">
        <is>
          <t>LEKSAND</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61573-2024</t>
        </is>
      </c>
      <c r="B1218" s="1" t="n">
        <v>45646</v>
      </c>
      <c r="C1218" s="1" t="n">
        <v>45844</v>
      </c>
      <c r="D1218" t="inlineStr">
        <is>
          <t>DALARNAS LÄN</t>
        </is>
      </c>
      <c r="E1218" t="inlineStr">
        <is>
          <t>LEKSAND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62116-2024</t>
        </is>
      </c>
      <c r="B1219" s="1" t="n">
        <v>45646</v>
      </c>
      <c r="C1219" s="1" t="n">
        <v>45844</v>
      </c>
      <c r="D1219" t="inlineStr">
        <is>
          <t>DALARNAS LÄN</t>
        </is>
      </c>
      <c r="E1219" t="inlineStr">
        <is>
          <t>LEKSAND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61680-2024</t>
        </is>
      </c>
      <c r="B1220" s="1" t="n">
        <v>45647</v>
      </c>
      <c r="C1220" s="1" t="n">
        <v>45844</v>
      </c>
      <c r="D1220" t="inlineStr">
        <is>
          <t>DALARNAS LÄN</t>
        </is>
      </c>
      <c r="E1220" t="inlineStr">
        <is>
          <t>LEKSAND</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61714-2024</t>
        </is>
      </c>
      <c r="B1221" s="1" t="n">
        <v>45648</v>
      </c>
      <c r="C1221" s="1" t="n">
        <v>45844</v>
      </c>
      <c r="D1221" t="inlineStr">
        <is>
          <t>DALARNAS LÄN</t>
        </is>
      </c>
      <c r="E1221" t="inlineStr">
        <is>
          <t>LEKSAND</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62130-2024</t>
        </is>
      </c>
      <c r="B1222" s="1" t="n">
        <v>45656</v>
      </c>
      <c r="C1222" s="1" t="n">
        <v>45844</v>
      </c>
      <c r="D1222" t="inlineStr">
        <is>
          <t>DALARNAS LÄN</t>
        </is>
      </c>
      <c r="E1222" t="inlineStr">
        <is>
          <t>LEKSAND</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62161-2024</t>
        </is>
      </c>
      <c r="B1223" s="1" t="n">
        <v>45656</v>
      </c>
      <c r="C1223" s="1" t="n">
        <v>45844</v>
      </c>
      <c r="D1223" t="inlineStr">
        <is>
          <t>DALARNAS LÄN</t>
        </is>
      </c>
      <c r="E1223" t="inlineStr">
        <is>
          <t>LEKSAND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377-2025</t>
        </is>
      </c>
      <c r="B1224" s="1" t="n">
        <v>45662</v>
      </c>
      <c r="C1224" s="1" t="n">
        <v>45844</v>
      </c>
      <c r="D1224" t="inlineStr">
        <is>
          <t>DALARNAS LÄN</t>
        </is>
      </c>
      <c r="E1224" t="inlineStr">
        <is>
          <t>LEKSAND</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471-2025</t>
        </is>
      </c>
      <c r="B1225" s="1" t="n">
        <v>45664</v>
      </c>
      <c r="C1225" s="1" t="n">
        <v>45844</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1182-2025</t>
        </is>
      </c>
      <c r="B1226" s="1" t="n">
        <v>45667</v>
      </c>
      <c r="C1226" s="1" t="n">
        <v>45844</v>
      </c>
      <c r="D1226" t="inlineStr">
        <is>
          <t>DALARNAS LÄN</t>
        </is>
      </c>
      <c r="E1226" t="inlineStr">
        <is>
          <t>LEKSAND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1267-2025</t>
        </is>
      </c>
      <c r="B1227" s="1" t="n">
        <v>45667</v>
      </c>
      <c r="C1227" s="1" t="n">
        <v>45844</v>
      </c>
      <c r="D1227" t="inlineStr">
        <is>
          <t>DALARNAS LÄN</t>
        </is>
      </c>
      <c r="E1227" t="inlineStr">
        <is>
          <t>LEKSAND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1984-2025</t>
        </is>
      </c>
      <c r="B1228" s="1" t="n">
        <v>45670</v>
      </c>
      <c r="C1228" s="1" t="n">
        <v>45844</v>
      </c>
      <c r="D1228" t="inlineStr">
        <is>
          <t>DALARNAS LÄN</t>
        </is>
      </c>
      <c r="E1228" t="inlineStr">
        <is>
          <t>LEKSAND</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1983-2025</t>
        </is>
      </c>
      <c r="B1229" s="1" t="n">
        <v>45670</v>
      </c>
      <c r="C1229" s="1" t="n">
        <v>45844</v>
      </c>
      <c r="D1229" t="inlineStr">
        <is>
          <t>DALARNAS LÄN</t>
        </is>
      </c>
      <c r="E1229" t="inlineStr">
        <is>
          <t>LEKSAND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2447-2025</t>
        </is>
      </c>
      <c r="B1230" s="1" t="n">
        <v>45674</v>
      </c>
      <c r="C1230" s="1" t="n">
        <v>45844</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2401-2025</t>
        </is>
      </c>
      <c r="B1231" s="1" t="n">
        <v>45674</v>
      </c>
      <c r="C1231" s="1" t="n">
        <v>45844</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2630-2025</t>
        </is>
      </c>
      <c r="B1232" s="1" t="n">
        <v>45675</v>
      </c>
      <c r="C1232" s="1" t="n">
        <v>45844</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2694-2025</t>
        </is>
      </c>
      <c r="B1233" s="1" t="n">
        <v>45677</v>
      </c>
      <c r="C1233" s="1" t="n">
        <v>45844</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3309-2025</t>
        </is>
      </c>
      <c r="B1234" s="1" t="n">
        <v>45679</v>
      </c>
      <c r="C1234" s="1" t="n">
        <v>45844</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3183-2025</t>
        </is>
      </c>
      <c r="B1235" s="1" t="n">
        <v>45679</v>
      </c>
      <c r="C1235" s="1" t="n">
        <v>45844</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3198-2025</t>
        </is>
      </c>
      <c r="B1236" s="1" t="n">
        <v>45679</v>
      </c>
      <c r="C1236" s="1" t="n">
        <v>45844</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3201-2025</t>
        </is>
      </c>
      <c r="B1237" s="1" t="n">
        <v>45679</v>
      </c>
      <c r="C1237" s="1" t="n">
        <v>45844</v>
      </c>
      <c r="D1237" t="inlineStr">
        <is>
          <t>DALARNAS LÄN</t>
        </is>
      </c>
      <c r="E1237" t="inlineStr">
        <is>
          <t>LEKSAND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3500-2025</t>
        </is>
      </c>
      <c r="B1238" s="1" t="n">
        <v>45680</v>
      </c>
      <c r="C1238" s="1" t="n">
        <v>45844</v>
      </c>
      <c r="D1238" t="inlineStr">
        <is>
          <t>DALARNAS LÄN</t>
        </is>
      </c>
      <c r="E1238" t="inlineStr">
        <is>
          <t>LEKSAND</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4794-2025</t>
        </is>
      </c>
      <c r="B1239" s="1" t="n">
        <v>45688</v>
      </c>
      <c r="C1239" s="1" t="n">
        <v>45844</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5453-2025</t>
        </is>
      </c>
      <c r="B1240" s="1" t="n">
        <v>45692</v>
      </c>
      <c r="C1240" s="1" t="n">
        <v>45844</v>
      </c>
      <c r="D1240" t="inlineStr">
        <is>
          <t>DALARNAS LÄN</t>
        </is>
      </c>
      <c r="E1240" t="inlineStr">
        <is>
          <t>LEKSAND</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5873-2025</t>
        </is>
      </c>
      <c r="B1241" s="1" t="n">
        <v>45695</v>
      </c>
      <c r="C1241" s="1" t="n">
        <v>45844</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6030-2025</t>
        </is>
      </c>
      <c r="B1242" s="1" t="n">
        <v>45695</v>
      </c>
      <c r="C1242" s="1" t="n">
        <v>45844</v>
      </c>
      <c r="D1242" t="inlineStr">
        <is>
          <t>DALARNAS LÄN</t>
        </is>
      </c>
      <c r="E1242" t="inlineStr">
        <is>
          <t>LEKSAND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6027-2025</t>
        </is>
      </c>
      <c r="B1243" s="1" t="n">
        <v>45695</v>
      </c>
      <c r="C1243" s="1" t="n">
        <v>45844</v>
      </c>
      <c r="D1243" t="inlineStr">
        <is>
          <t>DALARNAS LÄN</t>
        </is>
      </c>
      <c r="E1243" t="inlineStr">
        <is>
          <t>LEKSAND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5847-2025</t>
        </is>
      </c>
      <c r="B1244" s="1" t="n">
        <v>45695</v>
      </c>
      <c r="C1244" s="1" t="n">
        <v>45844</v>
      </c>
      <c r="D1244" t="inlineStr">
        <is>
          <t>DALARNAS LÄN</t>
        </is>
      </c>
      <c r="E1244" t="inlineStr">
        <is>
          <t>LEKSAND</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6519-2025</t>
        </is>
      </c>
      <c r="B1245" s="1" t="n">
        <v>45699</v>
      </c>
      <c r="C1245" s="1" t="n">
        <v>45844</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6778-2025</t>
        </is>
      </c>
      <c r="B1246" s="1" t="n">
        <v>45700</v>
      </c>
      <c r="C1246" s="1" t="n">
        <v>45844</v>
      </c>
      <c r="D1246" t="inlineStr">
        <is>
          <t>DALARNAS LÄN</t>
        </is>
      </c>
      <c r="E1246" t="inlineStr">
        <is>
          <t>LEKSAND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7602-2025</t>
        </is>
      </c>
      <c r="B1247" s="1" t="n">
        <v>45705</v>
      </c>
      <c r="C1247" s="1" t="n">
        <v>45844</v>
      </c>
      <c r="D1247" t="inlineStr">
        <is>
          <t>DALARNAS LÄN</t>
        </is>
      </c>
      <c r="E1247" t="inlineStr">
        <is>
          <t>LEKSAND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7395-2025</t>
        </is>
      </c>
      <c r="B1248" s="1" t="n">
        <v>45705</v>
      </c>
      <c r="C1248" s="1" t="n">
        <v>45844</v>
      </c>
      <c r="D1248" t="inlineStr">
        <is>
          <t>DALARNAS LÄN</t>
        </is>
      </c>
      <c r="E1248" t="inlineStr">
        <is>
          <t>LEKSAND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7653-2025</t>
        </is>
      </c>
      <c r="B1249" s="1" t="n">
        <v>45705</v>
      </c>
      <c r="C1249" s="1" t="n">
        <v>45844</v>
      </c>
      <c r="D1249" t="inlineStr">
        <is>
          <t>DALARNAS LÄN</t>
        </is>
      </c>
      <c r="E1249" t="inlineStr">
        <is>
          <t>LEKSAND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7759-2025</t>
        </is>
      </c>
      <c r="B1250" s="1" t="n">
        <v>45706</v>
      </c>
      <c r="C1250" s="1" t="n">
        <v>45844</v>
      </c>
      <c r="D1250" t="inlineStr">
        <is>
          <t>DALARNAS LÄN</t>
        </is>
      </c>
      <c r="E1250" t="inlineStr">
        <is>
          <t>LEKSAND</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7778-2025</t>
        </is>
      </c>
      <c r="B1251" s="1" t="n">
        <v>45706</v>
      </c>
      <c r="C1251" s="1" t="n">
        <v>45844</v>
      </c>
      <c r="D1251" t="inlineStr">
        <is>
          <t>DALARNAS LÄN</t>
        </is>
      </c>
      <c r="E1251" t="inlineStr">
        <is>
          <t>LEKSAND</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7894-2025</t>
        </is>
      </c>
      <c r="B1252" s="1" t="n">
        <v>45707</v>
      </c>
      <c r="C1252" s="1" t="n">
        <v>45844</v>
      </c>
      <c r="D1252" t="inlineStr">
        <is>
          <t>DALARNAS LÄN</t>
        </is>
      </c>
      <c r="E1252" t="inlineStr">
        <is>
          <t>LEKSAND</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7897-2025</t>
        </is>
      </c>
      <c r="B1253" s="1" t="n">
        <v>45707</v>
      </c>
      <c r="C1253" s="1" t="n">
        <v>45844</v>
      </c>
      <c r="D1253" t="inlineStr">
        <is>
          <t>DALARNAS LÄN</t>
        </is>
      </c>
      <c r="E1253" t="inlineStr">
        <is>
          <t>LEKSAND</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9857-2025</t>
        </is>
      </c>
      <c r="B1254" s="1" t="n">
        <v>45716</v>
      </c>
      <c r="C1254" s="1" t="n">
        <v>45844</v>
      </c>
      <c r="D1254" t="inlineStr">
        <is>
          <t>DALARNAS LÄN</t>
        </is>
      </c>
      <c r="E1254" t="inlineStr">
        <is>
          <t>LEKSAND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11277-2025</t>
        </is>
      </c>
      <c r="B1255" s="1" t="n">
        <v>45726</v>
      </c>
      <c r="C1255" s="1" t="n">
        <v>45844</v>
      </c>
      <c r="D1255" t="inlineStr">
        <is>
          <t>DALARNAS LÄN</t>
        </is>
      </c>
      <c r="E1255" t="inlineStr">
        <is>
          <t>LEKSAND</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11606-2025</t>
        </is>
      </c>
      <c r="B1256" s="1" t="n">
        <v>45727</v>
      </c>
      <c r="C1256" s="1" t="n">
        <v>45844</v>
      </c>
      <c r="D1256" t="inlineStr">
        <is>
          <t>DALARNAS LÄN</t>
        </is>
      </c>
      <c r="E1256" t="inlineStr">
        <is>
          <t>LEKSAND</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11712-2025</t>
        </is>
      </c>
      <c r="B1257" s="1" t="n">
        <v>45727</v>
      </c>
      <c r="C1257" s="1" t="n">
        <v>45844</v>
      </c>
      <c r="D1257" t="inlineStr">
        <is>
          <t>DALARNAS LÄN</t>
        </is>
      </c>
      <c r="E1257" t="inlineStr">
        <is>
          <t>LEKSAND</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11740-2025</t>
        </is>
      </c>
      <c r="B1258" s="1" t="n">
        <v>45727</v>
      </c>
      <c r="C1258" s="1" t="n">
        <v>45844</v>
      </c>
      <c r="D1258" t="inlineStr">
        <is>
          <t>DALARNAS LÄN</t>
        </is>
      </c>
      <c r="E1258" t="inlineStr">
        <is>
          <t>LEKSAND</t>
        </is>
      </c>
      <c r="F1258" t="inlineStr">
        <is>
          <t>Övriga Aktiebolag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11958-2025</t>
        </is>
      </c>
      <c r="B1259" s="1" t="n">
        <v>45728</v>
      </c>
      <c r="C1259" s="1" t="n">
        <v>45844</v>
      </c>
      <c r="D1259" t="inlineStr">
        <is>
          <t>DALARNAS LÄN</t>
        </is>
      </c>
      <c r="E1259" t="inlineStr">
        <is>
          <t>LEKSAND</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12582-2025</t>
        </is>
      </c>
      <c r="B1260" s="1" t="n">
        <v>45732</v>
      </c>
      <c r="C1260" s="1" t="n">
        <v>45844</v>
      </c>
      <c r="D1260" t="inlineStr">
        <is>
          <t>DALARNAS LÄN</t>
        </is>
      </c>
      <c r="E1260" t="inlineStr">
        <is>
          <t>LEKSAND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12581-2025</t>
        </is>
      </c>
      <c r="B1261" s="1" t="n">
        <v>45732</v>
      </c>
      <c r="C1261" s="1" t="n">
        <v>45844</v>
      </c>
      <c r="D1261" t="inlineStr">
        <is>
          <t>DALARNAS LÄN</t>
        </is>
      </c>
      <c r="E1261" t="inlineStr">
        <is>
          <t>LEKSAND</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12583-2025</t>
        </is>
      </c>
      <c r="B1262" s="1" t="n">
        <v>45732</v>
      </c>
      <c r="C1262" s="1" t="n">
        <v>45844</v>
      </c>
      <c r="D1262" t="inlineStr">
        <is>
          <t>DALARNAS LÄN</t>
        </is>
      </c>
      <c r="E1262" t="inlineStr">
        <is>
          <t>LEKSAND</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12646-2025</t>
        </is>
      </c>
      <c r="B1263" s="1" t="n">
        <v>45733</v>
      </c>
      <c r="C1263" s="1" t="n">
        <v>45844</v>
      </c>
      <c r="D1263" t="inlineStr">
        <is>
          <t>DALARNAS LÄN</t>
        </is>
      </c>
      <c r="E1263" t="inlineStr">
        <is>
          <t>LEKSAND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12623-2025</t>
        </is>
      </c>
      <c r="B1264" s="1" t="n">
        <v>45733</v>
      </c>
      <c r="C1264" s="1" t="n">
        <v>45844</v>
      </c>
      <c r="D1264" t="inlineStr">
        <is>
          <t>DALARNAS LÄN</t>
        </is>
      </c>
      <c r="E1264" t="inlineStr">
        <is>
          <t>LEKSAND</t>
        </is>
      </c>
      <c r="F1264" t="inlineStr">
        <is>
          <t>Bergvik skog väst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12620-2025</t>
        </is>
      </c>
      <c r="B1265" s="1" t="n">
        <v>45733</v>
      </c>
      <c r="C1265" s="1" t="n">
        <v>45844</v>
      </c>
      <c r="D1265" t="inlineStr">
        <is>
          <t>DALARNAS LÄN</t>
        </is>
      </c>
      <c r="E1265" t="inlineStr">
        <is>
          <t>LEKSAND</t>
        </is>
      </c>
      <c r="F1265" t="inlineStr">
        <is>
          <t>Bergvik skog väst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12621-2025</t>
        </is>
      </c>
      <c r="B1266" s="1" t="n">
        <v>45733</v>
      </c>
      <c r="C1266" s="1" t="n">
        <v>45844</v>
      </c>
      <c r="D1266" t="inlineStr">
        <is>
          <t>DALARNAS LÄN</t>
        </is>
      </c>
      <c r="E1266" t="inlineStr">
        <is>
          <t>LEKSAND</t>
        </is>
      </c>
      <c r="F1266" t="inlineStr">
        <is>
          <t>Bergvik skog väst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12923-2025</t>
        </is>
      </c>
      <c r="B1267" s="1" t="n">
        <v>45734</v>
      </c>
      <c r="C1267" s="1" t="n">
        <v>45844</v>
      </c>
      <c r="D1267" t="inlineStr">
        <is>
          <t>DALARNAS LÄN</t>
        </is>
      </c>
      <c r="E1267" t="inlineStr">
        <is>
          <t>LEKSAND</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13384-2025</t>
        </is>
      </c>
      <c r="B1268" s="1" t="n">
        <v>45735</v>
      </c>
      <c r="C1268" s="1" t="n">
        <v>45844</v>
      </c>
      <c r="D1268" t="inlineStr">
        <is>
          <t>DALARNAS LÄN</t>
        </is>
      </c>
      <c r="E1268" t="inlineStr">
        <is>
          <t>LEKSAND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14504-2025</t>
        </is>
      </c>
      <c r="B1269" s="1" t="n">
        <v>45741</v>
      </c>
      <c r="C1269" s="1" t="n">
        <v>45844</v>
      </c>
      <c r="D1269" t="inlineStr">
        <is>
          <t>DALARNAS LÄN</t>
        </is>
      </c>
      <c r="E1269" t="inlineStr">
        <is>
          <t>LEKSAND</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14797-2025</t>
        </is>
      </c>
      <c r="B1270" s="1" t="n">
        <v>45742</v>
      </c>
      <c r="C1270" s="1" t="n">
        <v>45844</v>
      </c>
      <c r="D1270" t="inlineStr">
        <is>
          <t>DALARNAS LÄN</t>
        </is>
      </c>
      <c r="E1270" t="inlineStr">
        <is>
          <t>LEKSAND</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14865-2025</t>
        </is>
      </c>
      <c r="B1271" s="1" t="n">
        <v>45743</v>
      </c>
      <c r="C1271" s="1" t="n">
        <v>45844</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15257-2025</t>
        </is>
      </c>
      <c r="B1272" s="1" t="n">
        <v>45744</v>
      </c>
      <c r="C1272" s="1" t="n">
        <v>45844</v>
      </c>
      <c r="D1272" t="inlineStr">
        <is>
          <t>DALARNAS LÄN</t>
        </is>
      </c>
      <c r="E1272" t="inlineStr">
        <is>
          <t>LEKSAND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15173-2025</t>
        </is>
      </c>
      <c r="B1273" s="1" t="n">
        <v>45744</v>
      </c>
      <c r="C1273" s="1" t="n">
        <v>45844</v>
      </c>
      <c r="D1273" t="inlineStr">
        <is>
          <t>DALARNAS LÄN</t>
        </is>
      </c>
      <c r="E1273" t="inlineStr">
        <is>
          <t>LEKSAND</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15619-2025</t>
        </is>
      </c>
      <c r="B1274" s="1" t="n">
        <v>45747</v>
      </c>
      <c r="C1274" s="1" t="n">
        <v>45844</v>
      </c>
      <c r="D1274" t="inlineStr">
        <is>
          <t>DALARNAS LÄN</t>
        </is>
      </c>
      <c r="E1274" t="inlineStr">
        <is>
          <t>LEKSAND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15968-2025</t>
        </is>
      </c>
      <c r="B1275" s="1" t="n">
        <v>45749</v>
      </c>
      <c r="C1275" s="1" t="n">
        <v>45844</v>
      </c>
      <c r="D1275" t="inlineStr">
        <is>
          <t>DALARNAS LÄN</t>
        </is>
      </c>
      <c r="E1275" t="inlineStr">
        <is>
          <t>LEKSAND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16005-2025</t>
        </is>
      </c>
      <c r="B1276" s="1" t="n">
        <v>45749</v>
      </c>
      <c r="C1276" s="1" t="n">
        <v>45844</v>
      </c>
      <c r="D1276" t="inlineStr">
        <is>
          <t>DALARNAS LÄN</t>
        </is>
      </c>
      <c r="E1276" t="inlineStr">
        <is>
          <t>LEKSAND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15986-2025</t>
        </is>
      </c>
      <c r="B1277" s="1" t="n">
        <v>45749</v>
      </c>
      <c r="C1277" s="1" t="n">
        <v>45844</v>
      </c>
      <c r="D1277" t="inlineStr">
        <is>
          <t>DALARNAS LÄN</t>
        </is>
      </c>
      <c r="E1277" t="inlineStr">
        <is>
          <t>LEKSAND</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16293-2025</t>
        </is>
      </c>
      <c r="B1278" s="1" t="n">
        <v>45751</v>
      </c>
      <c r="C1278" s="1" t="n">
        <v>45844</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16815-2025</t>
        </is>
      </c>
      <c r="B1279" s="1" t="n">
        <v>45754</v>
      </c>
      <c r="C1279" s="1" t="n">
        <v>45844</v>
      </c>
      <c r="D1279" t="inlineStr">
        <is>
          <t>DALARNAS LÄN</t>
        </is>
      </c>
      <c r="E1279" t="inlineStr">
        <is>
          <t>LEKSAND</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16854-2025</t>
        </is>
      </c>
      <c r="B1280" s="1" t="n">
        <v>45754</v>
      </c>
      <c r="C1280" s="1" t="n">
        <v>45844</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17282-2025</t>
        </is>
      </c>
      <c r="B1281" s="1" t="n">
        <v>45756</v>
      </c>
      <c r="C1281" s="1" t="n">
        <v>45844</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17377-2025</t>
        </is>
      </c>
      <c r="B1282" s="1" t="n">
        <v>45757</v>
      </c>
      <c r="C1282" s="1" t="n">
        <v>45844</v>
      </c>
      <c r="D1282" t="inlineStr">
        <is>
          <t>DALARNAS LÄN</t>
        </is>
      </c>
      <c r="E1282" t="inlineStr">
        <is>
          <t>LEKSAND</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45844</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17485-2025</t>
        </is>
      </c>
      <c r="B1284" s="1" t="n">
        <v>45757</v>
      </c>
      <c r="C1284" s="1" t="n">
        <v>45844</v>
      </c>
      <c r="D1284" t="inlineStr">
        <is>
          <t>DALARNAS LÄN</t>
        </is>
      </c>
      <c r="E1284" t="inlineStr">
        <is>
          <t>LEKSAND</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17483-2025</t>
        </is>
      </c>
      <c r="B1285" s="1" t="n">
        <v>45757</v>
      </c>
      <c r="C1285" s="1" t="n">
        <v>45844</v>
      </c>
      <c r="D1285" t="inlineStr">
        <is>
          <t>DALARNAS LÄN</t>
        </is>
      </c>
      <c r="E1285" t="inlineStr">
        <is>
          <t>LEKSAND</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18049-2025</t>
        </is>
      </c>
      <c r="B1286" s="1" t="n">
        <v>45761</v>
      </c>
      <c r="C1286" s="1" t="n">
        <v>45844</v>
      </c>
      <c r="D1286" t="inlineStr">
        <is>
          <t>DALARNAS LÄN</t>
        </is>
      </c>
      <c r="E1286" t="inlineStr">
        <is>
          <t>LEKSAND</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18107-2025</t>
        </is>
      </c>
      <c r="B1287" s="1" t="n">
        <v>45761</v>
      </c>
      <c r="C1287" s="1" t="n">
        <v>45844</v>
      </c>
      <c r="D1287" t="inlineStr">
        <is>
          <t>DALARNAS LÄN</t>
        </is>
      </c>
      <c r="E1287" t="inlineStr">
        <is>
          <t>LEKSAND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18017-2025</t>
        </is>
      </c>
      <c r="B1288" s="1" t="n">
        <v>45761</v>
      </c>
      <c r="C1288" s="1" t="n">
        <v>45844</v>
      </c>
      <c r="D1288" t="inlineStr">
        <is>
          <t>DALARNAS LÄN</t>
        </is>
      </c>
      <c r="E1288" t="inlineStr">
        <is>
          <t>LEKSAND</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19417-2025</t>
        </is>
      </c>
      <c r="B1289" s="1" t="n">
        <v>45769</v>
      </c>
      <c r="C1289" s="1" t="n">
        <v>45844</v>
      </c>
      <c r="D1289" t="inlineStr">
        <is>
          <t>DALARNAS LÄN</t>
        </is>
      </c>
      <c r="E1289" t="inlineStr">
        <is>
          <t>LEKSAND</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19330-2025</t>
        </is>
      </c>
      <c r="B1290" s="1" t="n">
        <v>45769</v>
      </c>
      <c r="C1290" s="1" t="n">
        <v>45844</v>
      </c>
      <c r="D1290" t="inlineStr">
        <is>
          <t>DALARNAS LÄN</t>
        </is>
      </c>
      <c r="E1290" t="inlineStr">
        <is>
          <t>LEKSAND</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19415-2025</t>
        </is>
      </c>
      <c r="B1291" s="1" t="n">
        <v>45769</v>
      </c>
      <c r="C1291" s="1" t="n">
        <v>45844</v>
      </c>
      <c r="D1291" t="inlineStr">
        <is>
          <t>DALARNAS LÄN</t>
        </is>
      </c>
      <c r="E1291" t="inlineStr">
        <is>
          <t>LEKSAND</t>
        </is>
      </c>
      <c r="F1291" t="inlineStr">
        <is>
          <t>Bergvik skog väst AB</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19700-2025</t>
        </is>
      </c>
      <c r="B1292" s="1" t="n">
        <v>45771</v>
      </c>
      <c r="C1292" s="1" t="n">
        <v>45844</v>
      </c>
      <c r="D1292" t="inlineStr">
        <is>
          <t>DALARNAS LÄN</t>
        </is>
      </c>
      <c r="E1292" t="inlineStr">
        <is>
          <t>LEKSAND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20767-2025</t>
        </is>
      </c>
      <c r="B1293" s="1" t="n">
        <v>45776</v>
      </c>
      <c r="C1293" s="1" t="n">
        <v>45844</v>
      </c>
      <c r="D1293" t="inlineStr">
        <is>
          <t>DALARNAS LÄN</t>
        </is>
      </c>
      <c r="E1293" t="inlineStr">
        <is>
          <t>LEKSAND</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20683-2025</t>
        </is>
      </c>
      <c r="B1294" s="1" t="n">
        <v>45776</v>
      </c>
      <c r="C1294" s="1" t="n">
        <v>45844</v>
      </c>
      <c r="D1294" t="inlineStr">
        <is>
          <t>DALARNAS LÄN</t>
        </is>
      </c>
      <c r="E1294" t="inlineStr">
        <is>
          <t>LEKSAND</t>
        </is>
      </c>
      <c r="F1294" t="inlineStr">
        <is>
          <t>Bergvik skog väst AB</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20937-2025</t>
        </is>
      </c>
      <c r="B1295" s="1" t="n">
        <v>45777</v>
      </c>
      <c r="C1295" s="1" t="n">
        <v>45844</v>
      </c>
      <c r="D1295" t="inlineStr">
        <is>
          <t>DALARNAS LÄN</t>
        </is>
      </c>
      <c r="E1295" t="inlineStr">
        <is>
          <t>LEKSAND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45844</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21193-2025</t>
        </is>
      </c>
      <c r="B1297" s="1" t="n">
        <v>45779</v>
      </c>
      <c r="C1297" s="1" t="n">
        <v>45844</v>
      </c>
      <c r="D1297" t="inlineStr">
        <is>
          <t>DALARNAS LÄN</t>
        </is>
      </c>
      <c r="E1297" t="inlineStr">
        <is>
          <t>LEKSAND</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21457-2025</t>
        </is>
      </c>
      <c r="B1298" s="1" t="n">
        <v>45782</v>
      </c>
      <c r="C1298" s="1" t="n">
        <v>45844</v>
      </c>
      <c r="D1298" t="inlineStr">
        <is>
          <t>DALARNAS LÄN</t>
        </is>
      </c>
      <c r="E1298" t="inlineStr">
        <is>
          <t>LEKSAND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21366-2025</t>
        </is>
      </c>
      <c r="B1299" s="1" t="n">
        <v>45782</v>
      </c>
      <c r="C1299" s="1" t="n">
        <v>45844</v>
      </c>
      <c r="D1299" t="inlineStr">
        <is>
          <t>DALARNAS LÄN</t>
        </is>
      </c>
      <c r="E1299" t="inlineStr">
        <is>
          <t>LEKSAND</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21600-2025</t>
        </is>
      </c>
      <c r="B1300" s="1" t="n">
        <v>45783</v>
      </c>
      <c r="C1300" s="1" t="n">
        <v>45844</v>
      </c>
      <c r="D1300" t="inlineStr">
        <is>
          <t>DALARNAS LÄN</t>
        </is>
      </c>
      <c r="E1300" t="inlineStr">
        <is>
          <t>LEKSAND</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45844</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21916-2025</t>
        </is>
      </c>
      <c r="B1302" s="1" t="n">
        <v>45784</v>
      </c>
      <c r="C1302" s="1" t="n">
        <v>45844</v>
      </c>
      <c r="D1302" t="inlineStr">
        <is>
          <t>DALARNAS LÄN</t>
        </is>
      </c>
      <c r="E1302" t="inlineStr">
        <is>
          <t>LEKSAND</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22080-2025</t>
        </is>
      </c>
      <c r="B1303" s="1" t="n">
        <v>45785</v>
      </c>
      <c r="C1303" s="1" t="n">
        <v>45844</v>
      </c>
      <c r="D1303" t="inlineStr">
        <is>
          <t>DALARNAS LÄN</t>
        </is>
      </c>
      <c r="E1303" t="inlineStr">
        <is>
          <t>LEKSAND</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22361-2025</t>
        </is>
      </c>
      <c r="B1304" s="1" t="n">
        <v>45786</v>
      </c>
      <c r="C1304" s="1" t="n">
        <v>45844</v>
      </c>
      <c r="D1304" t="inlineStr">
        <is>
          <t>DALARNAS LÄN</t>
        </is>
      </c>
      <c r="E1304" t="inlineStr">
        <is>
          <t>LEKSAND</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22646-2025</t>
        </is>
      </c>
      <c r="B1305" s="1" t="n">
        <v>45786</v>
      </c>
      <c r="C1305" s="1" t="n">
        <v>45844</v>
      </c>
      <c r="D1305" t="inlineStr">
        <is>
          <t>DALARNAS LÄN</t>
        </is>
      </c>
      <c r="E1305" t="inlineStr">
        <is>
          <t>LEKSAND</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22536-2025</t>
        </is>
      </c>
      <c r="B1306" s="1" t="n">
        <v>45787</v>
      </c>
      <c r="C1306" s="1" t="n">
        <v>45844</v>
      </c>
      <c r="D1306" t="inlineStr">
        <is>
          <t>DALARNAS LÄN</t>
        </is>
      </c>
      <c r="E1306" t="inlineStr">
        <is>
          <t>LEKSAND</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45844</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23058-2025</t>
        </is>
      </c>
      <c r="B1308" s="1" t="n">
        <v>45790</v>
      </c>
      <c r="C1308" s="1" t="n">
        <v>45844</v>
      </c>
      <c r="D1308" t="inlineStr">
        <is>
          <t>DALARNAS LÄN</t>
        </is>
      </c>
      <c r="E1308" t="inlineStr">
        <is>
          <t>LEKSAND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23076-2025</t>
        </is>
      </c>
      <c r="B1309" s="1" t="n">
        <v>45790</v>
      </c>
      <c r="C1309" s="1" t="n">
        <v>45844</v>
      </c>
      <c r="D1309" t="inlineStr">
        <is>
          <t>DALARNAS LÄN</t>
        </is>
      </c>
      <c r="E1309" t="inlineStr">
        <is>
          <t>LEKSAND</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22947-2025</t>
        </is>
      </c>
      <c r="B1310" s="1" t="n">
        <v>45790</v>
      </c>
      <c r="C1310" s="1" t="n">
        <v>45844</v>
      </c>
      <c r="D1310" t="inlineStr">
        <is>
          <t>DALARNAS LÄN</t>
        </is>
      </c>
      <c r="E1310" t="inlineStr">
        <is>
          <t>LEKSAND</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23517-2025</t>
        </is>
      </c>
      <c r="B1311" s="1" t="n">
        <v>45792</v>
      </c>
      <c r="C1311" s="1" t="n">
        <v>45844</v>
      </c>
      <c r="D1311" t="inlineStr">
        <is>
          <t>DALARNAS LÄN</t>
        </is>
      </c>
      <c r="E1311" t="inlineStr">
        <is>
          <t>LEKSAND</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23855-2025</t>
        </is>
      </c>
      <c r="B1312" s="1" t="n">
        <v>45793</v>
      </c>
      <c r="C1312" s="1" t="n">
        <v>45844</v>
      </c>
      <c r="D1312" t="inlineStr">
        <is>
          <t>DALARNAS LÄN</t>
        </is>
      </c>
      <c r="E1312" t="inlineStr">
        <is>
          <t>LEKSAND</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23892-2025</t>
        </is>
      </c>
      <c r="B1313" s="1" t="n">
        <v>45793</v>
      </c>
      <c r="C1313" s="1" t="n">
        <v>45844</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23891-2025</t>
        </is>
      </c>
      <c r="B1314" s="1" t="n">
        <v>45793</v>
      </c>
      <c r="C1314" s="1" t="n">
        <v>45844</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23852-2025</t>
        </is>
      </c>
      <c r="B1315" s="1" t="n">
        <v>45793</v>
      </c>
      <c r="C1315" s="1" t="n">
        <v>45844</v>
      </c>
      <c r="D1315" t="inlineStr">
        <is>
          <t>DALARNAS LÄN</t>
        </is>
      </c>
      <c r="E1315" t="inlineStr">
        <is>
          <t>LEKSAND</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45844</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24188-2025</t>
        </is>
      </c>
      <c r="B1317" s="1" t="n">
        <v>45796</v>
      </c>
      <c r="C1317" s="1" t="n">
        <v>45844</v>
      </c>
      <c r="D1317" t="inlineStr">
        <is>
          <t>DALARNAS LÄN</t>
        </is>
      </c>
      <c r="E1317" t="inlineStr">
        <is>
          <t>LEKSAND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45844</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45844</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24373-2025</t>
        </is>
      </c>
      <c r="B1320" s="1" t="n">
        <v>45797</v>
      </c>
      <c r="C1320" s="1" t="n">
        <v>45844</v>
      </c>
      <c r="D1320" t="inlineStr">
        <is>
          <t>DALARNAS LÄN</t>
        </is>
      </c>
      <c r="E1320" t="inlineStr">
        <is>
          <t>LEKSAND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45844</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24711-2025</t>
        </is>
      </c>
      <c r="B1322" s="1" t="n">
        <v>45798</v>
      </c>
      <c r="C1322" s="1" t="n">
        <v>45844</v>
      </c>
      <c r="D1322" t="inlineStr">
        <is>
          <t>DALARNAS LÄN</t>
        </is>
      </c>
      <c r="E1322" t="inlineStr">
        <is>
          <t>LEKSAND</t>
        </is>
      </c>
      <c r="F1322" t="inlineStr">
        <is>
          <t>Bergvik skog väst AB</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24715-2025</t>
        </is>
      </c>
      <c r="B1323" s="1" t="n">
        <v>45799</v>
      </c>
      <c r="C1323" s="1" t="n">
        <v>45844</v>
      </c>
      <c r="D1323" t="inlineStr">
        <is>
          <t>DALARNAS LÄN</t>
        </is>
      </c>
      <c r="E1323" t="inlineStr">
        <is>
          <t>LEKSAND</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25096-2025</t>
        </is>
      </c>
      <c r="B1324" s="1" t="n">
        <v>45800</v>
      </c>
      <c r="C1324" s="1" t="n">
        <v>45844</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25105-2025</t>
        </is>
      </c>
      <c r="B1325" s="1" t="n">
        <v>45800</v>
      </c>
      <c r="C1325" s="1" t="n">
        <v>45844</v>
      </c>
      <c r="D1325" t="inlineStr">
        <is>
          <t>DALARNAS LÄN</t>
        </is>
      </c>
      <c r="E1325" t="inlineStr">
        <is>
          <t>LEKSAND</t>
        </is>
      </c>
      <c r="F1325" t="inlineStr">
        <is>
          <t>Bergvik skog väst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25610-2025</t>
        </is>
      </c>
      <c r="B1326" s="1" t="n">
        <v>45803</v>
      </c>
      <c r="C1326" s="1" t="n">
        <v>45844</v>
      </c>
      <c r="D1326" t="inlineStr">
        <is>
          <t>DALARNAS LÄN</t>
        </is>
      </c>
      <c r="E1326" t="inlineStr">
        <is>
          <t>LEKSAND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26386-2025</t>
        </is>
      </c>
      <c r="B1327" s="1" t="n">
        <v>45806</v>
      </c>
      <c r="C1327" s="1" t="n">
        <v>45844</v>
      </c>
      <c r="D1327" t="inlineStr">
        <is>
          <t>DALARNAS LÄN</t>
        </is>
      </c>
      <c r="E1327" t="inlineStr">
        <is>
          <t>LEKSAND</t>
        </is>
      </c>
      <c r="F1327" t="inlineStr">
        <is>
          <t>Bergvik skog väst AB</t>
        </is>
      </c>
      <c r="G1327" t="n">
        <v>26.3</v>
      </c>
      <c r="H1327" t="n">
        <v>0</v>
      </c>
      <c r="I1327" t="n">
        <v>0</v>
      </c>
      <c r="J1327" t="n">
        <v>0</v>
      </c>
      <c r="K1327" t="n">
        <v>0</v>
      </c>
      <c r="L1327" t="n">
        <v>0</v>
      </c>
      <c r="M1327" t="n">
        <v>0</v>
      </c>
      <c r="N1327" t="n">
        <v>0</v>
      </c>
      <c r="O1327" t="n">
        <v>0</v>
      </c>
      <c r="P1327" t="n">
        <v>0</v>
      </c>
      <c r="Q1327" t="n">
        <v>0</v>
      </c>
      <c r="R1327" s="2" t="inlineStr"/>
    </row>
    <row r="1328" ht="15" customHeight="1">
      <c r="A1328" t="inlineStr">
        <is>
          <t>A 26421-2025</t>
        </is>
      </c>
      <c r="B1328" s="1" t="n">
        <v>45807</v>
      </c>
      <c r="C1328" s="1" t="n">
        <v>45844</v>
      </c>
      <c r="D1328" t="inlineStr">
        <is>
          <t>DALARNAS LÄN</t>
        </is>
      </c>
      <c r="E1328" t="inlineStr">
        <is>
          <t>LEKSAND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26423-2025</t>
        </is>
      </c>
      <c r="B1329" s="1" t="n">
        <v>45807</v>
      </c>
      <c r="C1329" s="1" t="n">
        <v>45844</v>
      </c>
      <c r="D1329" t="inlineStr">
        <is>
          <t>DALARNAS LÄN</t>
        </is>
      </c>
      <c r="E1329" t="inlineStr">
        <is>
          <t>LEKSAND</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27183-2025</t>
        </is>
      </c>
      <c r="B1330" s="1" t="n">
        <v>45812</v>
      </c>
      <c r="C1330" s="1" t="n">
        <v>45844</v>
      </c>
      <c r="D1330" t="inlineStr">
        <is>
          <t>DALARNAS LÄN</t>
        </is>
      </c>
      <c r="E1330" t="inlineStr">
        <is>
          <t>LEKSAND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27323-2025</t>
        </is>
      </c>
      <c r="B1331" s="1" t="n">
        <v>45812</v>
      </c>
      <c r="C1331" s="1" t="n">
        <v>45844</v>
      </c>
      <c r="D1331" t="inlineStr">
        <is>
          <t>DALARNAS LÄN</t>
        </is>
      </c>
      <c r="E1331" t="inlineStr">
        <is>
          <t>LEKSAND</t>
        </is>
      </c>
      <c r="F1331" t="inlineStr">
        <is>
          <t>Bergvik skog väst AB</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27329-2025</t>
        </is>
      </c>
      <c r="B1332" s="1" t="n">
        <v>45812</v>
      </c>
      <c r="C1332" s="1" t="n">
        <v>45844</v>
      </c>
      <c r="D1332" t="inlineStr">
        <is>
          <t>DALARNAS LÄN</t>
        </is>
      </c>
      <c r="E1332" t="inlineStr">
        <is>
          <t>LEKSAND</t>
        </is>
      </c>
      <c r="F1332" t="inlineStr">
        <is>
          <t>Bergvik skog väst AB</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27332-2025</t>
        </is>
      </c>
      <c r="B1333" s="1" t="n">
        <v>45812</v>
      </c>
      <c r="C1333" s="1" t="n">
        <v>45844</v>
      </c>
      <c r="D1333" t="inlineStr">
        <is>
          <t>DALARNAS LÄN</t>
        </is>
      </c>
      <c r="E1333" t="inlineStr">
        <is>
          <t>LEKSAND</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27262-2025</t>
        </is>
      </c>
      <c r="B1334" s="1" t="n">
        <v>45812</v>
      </c>
      <c r="C1334" s="1" t="n">
        <v>45844</v>
      </c>
      <c r="D1334" t="inlineStr">
        <is>
          <t>DALARNAS LÄN</t>
        </is>
      </c>
      <c r="E1334" t="inlineStr">
        <is>
          <t>LEKSAND</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27680-2025</t>
        </is>
      </c>
      <c r="B1335" s="1" t="n">
        <v>45813</v>
      </c>
      <c r="C1335" s="1" t="n">
        <v>45844</v>
      </c>
      <c r="D1335" t="inlineStr">
        <is>
          <t>DALARNAS LÄN</t>
        </is>
      </c>
      <c r="E1335" t="inlineStr">
        <is>
          <t>LEKSAND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27705-2025</t>
        </is>
      </c>
      <c r="B1336" s="1" t="n">
        <v>45813</v>
      </c>
      <c r="C1336" s="1" t="n">
        <v>45844</v>
      </c>
      <c r="D1336" t="inlineStr">
        <is>
          <t>DALARNAS LÄN</t>
        </is>
      </c>
      <c r="E1336" t="inlineStr">
        <is>
          <t>LEKSAND</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27682-2025</t>
        </is>
      </c>
      <c r="B1337" s="1" t="n">
        <v>45813</v>
      </c>
      <c r="C1337" s="1" t="n">
        <v>45844</v>
      </c>
      <c r="D1337" t="inlineStr">
        <is>
          <t>DALARNAS LÄN</t>
        </is>
      </c>
      <c r="E1337" t="inlineStr">
        <is>
          <t>LEKSAND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27984-2025</t>
        </is>
      </c>
      <c r="B1338" s="1" t="n">
        <v>45817</v>
      </c>
      <c r="C1338" s="1" t="n">
        <v>45844</v>
      </c>
      <c r="D1338" t="inlineStr">
        <is>
          <t>DALARNAS LÄN</t>
        </is>
      </c>
      <c r="E1338" t="inlineStr">
        <is>
          <t>LEKSAND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28488-2025</t>
        </is>
      </c>
      <c r="B1339" s="1" t="n">
        <v>45818</v>
      </c>
      <c r="C1339" s="1" t="n">
        <v>45844</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28499-2025</t>
        </is>
      </c>
      <c r="B1340" s="1" t="n">
        <v>45818</v>
      </c>
      <c r="C1340" s="1" t="n">
        <v>45844</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28505-2025</t>
        </is>
      </c>
      <c r="B1341" s="1" t="n">
        <v>45818</v>
      </c>
      <c r="C1341" s="1" t="n">
        <v>45844</v>
      </c>
      <c r="D1341" t="inlineStr">
        <is>
          <t>DALARNAS LÄN</t>
        </is>
      </c>
      <c r="E1341" t="inlineStr">
        <is>
          <t>LEKSAND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28458-2025</t>
        </is>
      </c>
      <c r="B1342" s="1" t="n">
        <v>45819</v>
      </c>
      <c r="C1342" s="1" t="n">
        <v>45844</v>
      </c>
      <c r="D1342" t="inlineStr">
        <is>
          <t>DALARNAS LÄN</t>
        </is>
      </c>
      <c r="E1342" t="inlineStr">
        <is>
          <t>LEKSAND</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28770-2025</t>
        </is>
      </c>
      <c r="B1343" s="1" t="n">
        <v>45820</v>
      </c>
      <c r="C1343" s="1" t="n">
        <v>45844</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45844</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29005-2025</t>
        </is>
      </c>
      <c r="B1345" s="1" t="n">
        <v>45821</v>
      </c>
      <c r="C1345" s="1" t="n">
        <v>45844</v>
      </c>
      <c r="D1345" t="inlineStr">
        <is>
          <t>DALARNAS LÄN</t>
        </is>
      </c>
      <c r="E1345" t="inlineStr">
        <is>
          <t>LEKSAND</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45844</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29553-2025</t>
        </is>
      </c>
      <c r="B1347" s="1" t="n">
        <v>45825</v>
      </c>
      <c r="C1347" s="1" t="n">
        <v>45844</v>
      </c>
      <c r="D1347" t="inlineStr">
        <is>
          <t>DALARNAS LÄN</t>
        </is>
      </c>
      <c r="E1347" t="inlineStr">
        <is>
          <t>LEKSAND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45844</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30254-2025</t>
        </is>
      </c>
      <c r="B1349" s="1" t="n">
        <v>45827</v>
      </c>
      <c r="C1349" s="1" t="n">
        <v>45844</v>
      </c>
      <c r="D1349" t="inlineStr">
        <is>
          <t>DALARNAS LÄN</t>
        </is>
      </c>
      <c r="E1349" t="inlineStr">
        <is>
          <t>LEKSAND</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30911-2025</t>
        </is>
      </c>
      <c r="B1350" s="1" t="n">
        <v>45832</v>
      </c>
      <c r="C1350" s="1" t="n">
        <v>45844</v>
      </c>
      <c r="D1350" t="inlineStr">
        <is>
          <t>DALARNAS LÄN</t>
        </is>
      </c>
      <c r="E1350" t="inlineStr">
        <is>
          <t>LEKSAND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30973-2025</t>
        </is>
      </c>
      <c r="B1351" s="1" t="n">
        <v>45832</v>
      </c>
      <c r="C1351" s="1" t="n">
        <v>45844</v>
      </c>
      <c r="D1351" t="inlineStr">
        <is>
          <t>DALARNAS LÄN</t>
        </is>
      </c>
      <c r="E1351" t="inlineStr">
        <is>
          <t>LEKSAND</t>
        </is>
      </c>
      <c r="F1351" t="inlineStr">
        <is>
          <t>Bergvik skog väst AB</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30917-2025</t>
        </is>
      </c>
      <c r="B1352" s="1" t="n">
        <v>45832</v>
      </c>
      <c r="C1352" s="1" t="n">
        <v>45844</v>
      </c>
      <c r="D1352" t="inlineStr">
        <is>
          <t>DALARNAS LÄN</t>
        </is>
      </c>
      <c r="E1352" t="inlineStr">
        <is>
          <t>LEKSAND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45844</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30969-2025</t>
        </is>
      </c>
      <c r="B1354" s="1" t="n">
        <v>45832</v>
      </c>
      <c r="C1354" s="1" t="n">
        <v>45844</v>
      </c>
      <c r="D1354" t="inlineStr">
        <is>
          <t>DALARNAS LÄN</t>
        </is>
      </c>
      <c r="E1354" t="inlineStr">
        <is>
          <t>LEKSAND</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31189-2025</t>
        </is>
      </c>
      <c r="B1355" s="1" t="n">
        <v>45832</v>
      </c>
      <c r="C1355" s="1" t="n">
        <v>45844</v>
      </c>
      <c r="D1355" t="inlineStr">
        <is>
          <t>DALARNAS LÄN</t>
        </is>
      </c>
      <c r="E1355" t="inlineStr">
        <is>
          <t>LEKSAND</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30916-2025</t>
        </is>
      </c>
      <c r="B1356" s="1" t="n">
        <v>45832</v>
      </c>
      <c r="C1356" s="1" t="n">
        <v>45844</v>
      </c>
      <c r="D1356" t="inlineStr">
        <is>
          <t>DALARNAS LÄN</t>
        </is>
      </c>
      <c r="E1356" t="inlineStr">
        <is>
          <t>LEKSAND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31179-2025</t>
        </is>
      </c>
      <c r="B1357" s="1" t="n">
        <v>45832</v>
      </c>
      <c r="C1357" s="1" t="n">
        <v>45844</v>
      </c>
      <c r="D1357" t="inlineStr">
        <is>
          <t>DALARNAS LÄN</t>
        </is>
      </c>
      <c r="E1357" t="inlineStr">
        <is>
          <t>LEKSAND</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31619-2025</t>
        </is>
      </c>
      <c r="B1358" s="1" t="n">
        <v>45833</v>
      </c>
      <c r="C1358" s="1" t="n">
        <v>45844</v>
      </c>
      <c r="D1358" t="inlineStr">
        <is>
          <t>DALARNAS LÄN</t>
        </is>
      </c>
      <c r="E1358" t="inlineStr">
        <is>
          <t>LEKSAND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31493-2025</t>
        </is>
      </c>
      <c r="B1359" s="1" t="n">
        <v>45833</v>
      </c>
      <c r="C1359" s="1" t="n">
        <v>45844</v>
      </c>
      <c r="D1359" t="inlineStr">
        <is>
          <t>DALARNAS LÄN</t>
        </is>
      </c>
      <c r="E1359" t="inlineStr">
        <is>
          <t>LEKSAND</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31446-2025</t>
        </is>
      </c>
      <c r="B1360" s="1" t="n">
        <v>45833</v>
      </c>
      <c r="C1360" s="1" t="n">
        <v>45844</v>
      </c>
      <c r="D1360" t="inlineStr">
        <is>
          <t>DALARNAS LÄN</t>
        </is>
      </c>
      <c r="E1360" t="inlineStr">
        <is>
          <t>LEKSAND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31787-2025</t>
        </is>
      </c>
      <c r="B1361" s="1" t="n">
        <v>45834</v>
      </c>
      <c r="C1361" s="1" t="n">
        <v>45844</v>
      </c>
      <c r="D1361" t="inlineStr">
        <is>
          <t>DALARNAS LÄN</t>
        </is>
      </c>
      <c r="E1361" t="inlineStr">
        <is>
          <t>LEKSAND</t>
        </is>
      </c>
      <c r="F1361" t="inlineStr">
        <is>
          <t>Bergvik skog väst AB</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32104-2025</t>
        </is>
      </c>
      <c r="B1362" s="1" t="n">
        <v>45835</v>
      </c>
      <c r="C1362" s="1" t="n">
        <v>45844</v>
      </c>
      <c r="D1362" t="inlineStr">
        <is>
          <t>DALARNAS LÄN</t>
        </is>
      </c>
      <c r="E1362" t="inlineStr">
        <is>
          <t>LEKSAND</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31951-2025</t>
        </is>
      </c>
      <c r="B1363" s="1" t="n">
        <v>45835</v>
      </c>
      <c r="C1363" s="1" t="n">
        <v>45844</v>
      </c>
      <c r="D1363" t="inlineStr">
        <is>
          <t>DALARNAS LÄN</t>
        </is>
      </c>
      <c r="E1363" t="inlineStr">
        <is>
          <t>LEKSAND</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32301-2025</t>
        </is>
      </c>
      <c r="B1364" s="1" t="n">
        <v>45835</v>
      </c>
      <c r="C1364" s="1" t="n">
        <v>45844</v>
      </c>
      <c r="D1364" t="inlineStr">
        <is>
          <t>DALARNAS LÄN</t>
        </is>
      </c>
      <c r="E1364" t="inlineStr">
        <is>
          <t>LEKSAND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31957-2025</t>
        </is>
      </c>
      <c r="B1365" s="1" t="n">
        <v>45835</v>
      </c>
      <c r="C1365" s="1" t="n">
        <v>45844</v>
      </c>
      <c r="D1365" t="inlineStr">
        <is>
          <t>DALARNAS LÄN</t>
        </is>
      </c>
      <c r="E1365" t="inlineStr">
        <is>
          <t>LEKSAND</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32274-2025</t>
        </is>
      </c>
      <c r="B1366" s="1" t="n">
        <v>45835</v>
      </c>
      <c r="C1366" s="1" t="n">
        <v>45844</v>
      </c>
      <c r="D1366" t="inlineStr">
        <is>
          <t>DALARNAS LÄN</t>
        </is>
      </c>
      <c r="E1366" t="inlineStr">
        <is>
          <t>LEKSAND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31945-2025</t>
        </is>
      </c>
      <c r="B1367" s="1" t="n">
        <v>45835</v>
      </c>
      <c r="C1367" s="1" t="n">
        <v>45844</v>
      </c>
      <c r="D1367" t="inlineStr">
        <is>
          <t>DALARNAS LÄN</t>
        </is>
      </c>
      <c r="E1367" t="inlineStr">
        <is>
          <t>LEKSAND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31967-2025</t>
        </is>
      </c>
      <c r="B1368" s="1" t="n">
        <v>45835</v>
      </c>
      <c r="C1368" s="1" t="n">
        <v>45844</v>
      </c>
      <c r="D1368" t="inlineStr">
        <is>
          <t>DALARNAS LÄN</t>
        </is>
      </c>
      <c r="E1368" t="inlineStr">
        <is>
          <t>LEKSAND</t>
        </is>
      </c>
      <c r="G1368" t="n">
        <v>6.5</v>
      </c>
      <c r="H1368" t="n">
        <v>0</v>
      </c>
      <c r="I1368" t="n">
        <v>0</v>
      </c>
      <c r="J1368" t="n">
        <v>0</v>
      </c>
      <c r="K1368" t="n">
        <v>0</v>
      </c>
      <c r="L1368" t="n">
        <v>0</v>
      </c>
      <c r="M1368" t="n">
        <v>0</v>
      </c>
      <c r="N1368" t="n">
        <v>0</v>
      </c>
      <c r="O1368" t="n">
        <v>0</v>
      </c>
      <c r="P1368" t="n">
        <v>0</v>
      </c>
      <c r="Q1368" t="n">
        <v>0</v>
      </c>
      <c r="R1368" s="2" t="inlineStr"/>
    </row>
    <row r="1369" ht="15" customHeight="1">
      <c r="A1369" t="inlineStr">
        <is>
          <t>A 32593-2025</t>
        </is>
      </c>
      <c r="B1369" s="1" t="n">
        <v>45838</v>
      </c>
      <c r="C1369" s="1" t="n">
        <v>45844</v>
      </c>
      <c r="D1369" t="inlineStr">
        <is>
          <t>DALARNAS LÄN</t>
        </is>
      </c>
      <c r="E1369" t="inlineStr">
        <is>
          <t>LEKSAND</t>
        </is>
      </c>
      <c r="F1369" t="inlineStr">
        <is>
          <t>Bergvik skog väst AB</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32661-2025</t>
        </is>
      </c>
      <c r="B1370" s="1" t="n">
        <v>45838</v>
      </c>
      <c r="C1370" s="1" t="n">
        <v>45844</v>
      </c>
      <c r="D1370" t="inlineStr">
        <is>
          <t>DALARNAS LÄN</t>
        </is>
      </c>
      <c r="E1370" t="inlineStr">
        <is>
          <t>LEKSAND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32653-2025</t>
        </is>
      </c>
      <c r="B1371" s="1" t="n">
        <v>45838</v>
      </c>
      <c r="C1371" s="1" t="n">
        <v>45844</v>
      </c>
      <c r="D1371" t="inlineStr">
        <is>
          <t>DALARNAS LÄN</t>
        </is>
      </c>
      <c r="E1371" t="inlineStr">
        <is>
          <t>LEKSAND</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32726-2025</t>
        </is>
      </c>
      <c r="B1372" s="1" t="n">
        <v>45839</v>
      </c>
      <c r="C1372" s="1" t="n">
        <v>45844</v>
      </c>
      <c r="D1372" t="inlineStr">
        <is>
          <t>DALARNAS LÄN</t>
        </is>
      </c>
      <c r="E1372" t="inlineStr">
        <is>
          <t>LEKSAND</t>
        </is>
      </c>
      <c r="F1372" t="inlineStr">
        <is>
          <t>Bergvik skog väst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32855-2025</t>
        </is>
      </c>
      <c r="B1373" s="1" t="n">
        <v>45839</v>
      </c>
      <c r="C1373" s="1" t="n">
        <v>45844</v>
      </c>
      <c r="D1373" t="inlineStr">
        <is>
          <t>DALARNAS LÄN</t>
        </is>
      </c>
      <c r="E1373" t="inlineStr">
        <is>
          <t>LEKSAND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33160-2025</t>
        </is>
      </c>
      <c r="B1374" s="1" t="n">
        <v>45840</v>
      </c>
      <c r="C1374" s="1" t="n">
        <v>45844</v>
      </c>
      <c r="D1374" t="inlineStr">
        <is>
          <t>DALARNAS LÄN</t>
        </is>
      </c>
      <c r="E1374" t="inlineStr">
        <is>
          <t>LEKSAND</t>
        </is>
      </c>
      <c r="G1374" t="n">
        <v>2.3</v>
      </c>
      <c r="H1374" t="n">
        <v>0</v>
      </c>
      <c r="I1374" t="n">
        <v>0</v>
      </c>
      <c r="J1374" t="n">
        <v>0</v>
      </c>
      <c r="K1374" t="n">
        <v>0</v>
      </c>
      <c r="L1374" t="n">
        <v>0</v>
      </c>
      <c r="M1374" t="n">
        <v>0</v>
      </c>
      <c r="N1374" t="n">
        <v>0</v>
      </c>
      <c r="O1374" t="n">
        <v>0</v>
      </c>
      <c r="P1374" t="n">
        <v>0</v>
      </c>
      <c r="Q1374" t="n">
        <v>0</v>
      </c>
      <c r="R1374" s="2" t="inlineStr"/>
    </row>
    <row r="1375">
      <c r="A1375" t="inlineStr">
        <is>
          <t>A 33804-2025</t>
        </is>
      </c>
      <c r="B1375" s="1" t="n">
        <v>45842</v>
      </c>
      <c r="C1375" s="1" t="n">
        <v>45844</v>
      </c>
      <c r="D1375" t="inlineStr">
        <is>
          <t>DALARNAS LÄN</t>
        </is>
      </c>
      <c r="E1375" t="inlineStr">
        <is>
          <t>LEKSAND</t>
        </is>
      </c>
      <c r="G1375" t="n">
        <v>1.2</v>
      </c>
      <c r="H1375" t="n">
        <v>0</v>
      </c>
      <c r="I1375" t="n">
        <v>0</v>
      </c>
      <c r="J1375" t="n">
        <v>0</v>
      </c>
      <c r="K1375" t="n">
        <v>0</v>
      </c>
      <c r="L1375" t="n">
        <v>0</v>
      </c>
      <c r="M1375" t="n">
        <v>0</v>
      </c>
      <c r="N1375" t="n">
        <v>0</v>
      </c>
      <c r="O1375" t="n">
        <v>0</v>
      </c>
      <c r="P1375" t="n">
        <v>0</v>
      </c>
      <c r="Q1375" t="n">
        <v>0</v>
      </c>
      <c r="R1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2025-07-06T19:32:40Z</dcterms:created>
  <dcterms:modified xmlns:dcterms="http://purl.org/dc/terms/" xmlns:xsi="http://www.w3.org/2001/XMLSchema-instance" xsi:type="dcterms:W3CDTF">2025-07-06T19:32:41Z</dcterms:modified>
</cp:coreProperties>
</file>