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45749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45749</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45749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45749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45749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45749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45749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45749</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45749</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45749</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45749</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45749</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45749</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45749</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50246-2024</t>
        </is>
      </c>
      <c r="B16" s="1" t="n">
        <v>45600</v>
      </c>
      <c r="C16" s="1" t="n">
        <v>45749</v>
      </c>
      <c r="D16" t="inlineStr">
        <is>
          <t>DALARNAS LÄN</t>
        </is>
      </c>
      <c r="E16" t="inlineStr">
        <is>
          <t>LEKSAND</t>
        </is>
      </c>
      <c r="F16" t="inlineStr">
        <is>
          <t>Övriga statliga verk och myndigheter</t>
        </is>
      </c>
      <c r="G16" t="n">
        <v>1.1</v>
      </c>
      <c r="H16" t="n">
        <v>2</v>
      </c>
      <c r="I16" t="n">
        <v>0</v>
      </c>
      <c r="J16" t="n">
        <v>2</v>
      </c>
      <c r="K16" t="n">
        <v>2</v>
      </c>
      <c r="L16" t="n">
        <v>0</v>
      </c>
      <c r="M16" t="n">
        <v>0</v>
      </c>
      <c r="N16" t="n">
        <v>0</v>
      </c>
      <c r="O16" t="n">
        <v>4</v>
      </c>
      <c r="P16" t="n">
        <v>2</v>
      </c>
      <c r="Q16" t="n">
        <v>5</v>
      </c>
      <c r="R16" s="2" t="inlineStr">
        <is>
          <t>Knärot
Rynkskinn
Rosenticka
Ullticka
Blåsippa</t>
        </is>
      </c>
      <c r="S16">
        <f>HYPERLINK("https://klasma.github.io/Logging_2029/artfynd/A 50246-2024 artfynd.xlsx", "A 50246-2024")</f>
        <v/>
      </c>
      <c r="T16">
        <f>HYPERLINK("https://klasma.github.io/Logging_2029/kartor/A 50246-2024 karta.png", "A 50246-2024")</f>
        <v/>
      </c>
      <c r="U16">
        <f>HYPERLINK("https://klasma.github.io/Logging_2029/knärot/A 50246-2024 karta knärot.png", "A 50246-2024")</f>
        <v/>
      </c>
      <c r="V16">
        <f>HYPERLINK("https://klasma.github.io/Logging_2029/klagomål/A 50246-2024 FSC-klagomål.docx", "A 50246-2024")</f>
        <v/>
      </c>
      <c r="W16">
        <f>HYPERLINK("https://klasma.github.io/Logging_2029/klagomålsmail/A 50246-2024 FSC-klagomål mail.docx", "A 50246-2024")</f>
        <v/>
      </c>
      <c r="X16">
        <f>HYPERLINK("https://klasma.github.io/Logging_2029/tillsyn/A 50246-2024 tillsynsbegäran.docx", "A 50246-2024")</f>
        <v/>
      </c>
      <c r="Y16">
        <f>HYPERLINK("https://klasma.github.io/Logging_2029/tillsynsmail/A 50246-2024 tillsynsbegäran mail.docx", "A 50246-2024")</f>
        <v/>
      </c>
    </row>
    <row r="17" ht="15" customHeight="1">
      <c r="A17" t="inlineStr">
        <is>
          <t>A 43330-2022</t>
        </is>
      </c>
      <c r="B17" s="1" t="n">
        <v>44834</v>
      </c>
      <c r="C17" s="1" t="n">
        <v>45749</v>
      </c>
      <c r="D17" t="inlineStr">
        <is>
          <t>DALARNAS LÄN</t>
        </is>
      </c>
      <c r="E17" t="inlineStr">
        <is>
          <t>LEKSAND</t>
        </is>
      </c>
      <c r="F17" t="inlineStr">
        <is>
          <t>Bergvik skog väst AB</t>
        </is>
      </c>
      <c r="G17" t="n">
        <v>19.5</v>
      </c>
      <c r="H17" t="n">
        <v>2</v>
      </c>
      <c r="I17" t="n">
        <v>1</v>
      </c>
      <c r="J17" t="n">
        <v>1</v>
      </c>
      <c r="K17" t="n">
        <v>0</v>
      </c>
      <c r="L17" t="n">
        <v>0</v>
      </c>
      <c r="M17" t="n">
        <v>0</v>
      </c>
      <c r="N17" t="n">
        <v>0</v>
      </c>
      <c r="O17" t="n">
        <v>1</v>
      </c>
      <c r="P17" t="n">
        <v>0</v>
      </c>
      <c r="Q17" t="n">
        <v>4</v>
      </c>
      <c r="R17" s="2" t="inlineStr">
        <is>
          <t>Koralltaggsvamp
Svavelriska
Blåsippa
Revlummer</t>
        </is>
      </c>
      <c r="S17">
        <f>HYPERLINK("https://klasma.github.io/Logging_2029/artfynd/A 43330-2022 artfynd.xlsx", "A 43330-2022")</f>
        <v/>
      </c>
      <c r="T17">
        <f>HYPERLINK("https://klasma.github.io/Logging_2029/kartor/A 43330-2022 karta.png", "A 43330-2022")</f>
        <v/>
      </c>
      <c r="V17">
        <f>HYPERLINK("https://klasma.github.io/Logging_2029/klagomål/A 43330-2022 FSC-klagomål.docx", "A 43330-2022")</f>
        <v/>
      </c>
      <c r="W17">
        <f>HYPERLINK("https://klasma.github.io/Logging_2029/klagomålsmail/A 43330-2022 FSC-klagomål mail.docx", "A 43330-2022")</f>
        <v/>
      </c>
      <c r="X17">
        <f>HYPERLINK("https://klasma.github.io/Logging_2029/tillsyn/A 43330-2022 tillsynsbegäran.docx", "A 43330-2022")</f>
        <v/>
      </c>
      <c r="Y17">
        <f>HYPERLINK("https://klasma.github.io/Logging_2029/tillsynsmail/A 43330-2022 tillsynsbegäran mail.docx", "A 43330-2022")</f>
        <v/>
      </c>
    </row>
    <row r="18" ht="15" customHeight="1">
      <c r="A18" t="inlineStr">
        <is>
          <t>A 50359-2022</t>
        </is>
      </c>
      <c r="B18" s="1" t="n">
        <v>44866</v>
      </c>
      <c r="C18" s="1" t="n">
        <v>45749</v>
      </c>
      <c r="D18" t="inlineStr">
        <is>
          <t>DALARNAS LÄN</t>
        </is>
      </c>
      <c r="E18" t="inlineStr">
        <is>
          <t>LEKSAND</t>
        </is>
      </c>
      <c r="F18" t="inlineStr">
        <is>
          <t>Bergvik skog väst AB</t>
        </is>
      </c>
      <c r="G18" t="n">
        <v>3.2</v>
      </c>
      <c r="H18" t="n">
        <v>2</v>
      </c>
      <c r="I18" t="n">
        <v>0</v>
      </c>
      <c r="J18" t="n">
        <v>2</v>
      </c>
      <c r="K18" t="n">
        <v>1</v>
      </c>
      <c r="L18" t="n">
        <v>0</v>
      </c>
      <c r="M18" t="n">
        <v>0</v>
      </c>
      <c r="N18" t="n">
        <v>0</v>
      </c>
      <c r="O18" t="n">
        <v>3</v>
      </c>
      <c r="P18" t="n">
        <v>1</v>
      </c>
      <c r="Q18" t="n">
        <v>4</v>
      </c>
      <c r="R18" s="2" t="inlineStr">
        <is>
          <t>Knärot
Garnlav
Vitgrynig nållav
Nattviol</t>
        </is>
      </c>
      <c r="S18">
        <f>HYPERLINK("https://klasma.github.io/Logging_2029/artfynd/A 50359-2022 artfynd.xlsx", "A 50359-2022")</f>
        <v/>
      </c>
      <c r="T18">
        <f>HYPERLINK("https://klasma.github.io/Logging_2029/kartor/A 50359-2022 karta.png", "A 50359-2022")</f>
        <v/>
      </c>
      <c r="U18">
        <f>HYPERLINK("https://klasma.github.io/Logging_2029/knärot/A 50359-2022 karta knärot.png", "A 50359-2022")</f>
        <v/>
      </c>
      <c r="V18">
        <f>HYPERLINK("https://klasma.github.io/Logging_2029/klagomål/A 50359-2022 FSC-klagomål.docx", "A 50359-2022")</f>
        <v/>
      </c>
      <c r="W18">
        <f>HYPERLINK("https://klasma.github.io/Logging_2029/klagomålsmail/A 50359-2022 FSC-klagomål mail.docx", "A 50359-2022")</f>
        <v/>
      </c>
      <c r="X18">
        <f>HYPERLINK("https://klasma.github.io/Logging_2029/tillsyn/A 50359-2022 tillsynsbegäran.docx", "A 50359-2022")</f>
        <v/>
      </c>
      <c r="Y18">
        <f>HYPERLINK("https://klasma.github.io/Logging_2029/tillsynsmail/A 50359-2022 tillsynsbegäran mail.docx", "A 50359-2022")</f>
        <v/>
      </c>
    </row>
    <row r="19" ht="15" customHeight="1">
      <c r="A19" t="inlineStr">
        <is>
          <t>A 66933-2021</t>
        </is>
      </c>
      <c r="B19" s="1" t="n">
        <v>44522</v>
      </c>
      <c r="C19" s="1" t="n">
        <v>45749</v>
      </c>
      <c r="D19" t="inlineStr">
        <is>
          <t>DALARNAS LÄN</t>
        </is>
      </c>
      <c r="E19" t="inlineStr">
        <is>
          <t>LEKSAND</t>
        </is>
      </c>
      <c r="G19" t="n">
        <v>5.5</v>
      </c>
      <c r="H19" t="n">
        <v>3</v>
      </c>
      <c r="I19" t="n">
        <v>0</v>
      </c>
      <c r="J19" t="n">
        <v>2</v>
      </c>
      <c r="K19" t="n">
        <v>1</v>
      </c>
      <c r="L19" t="n">
        <v>0</v>
      </c>
      <c r="M19" t="n">
        <v>0</v>
      </c>
      <c r="N19" t="n">
        <v>0</v>
      </c>
      <c r="O19" t="n">
        <v>3</v>
      </c>
      <c r="P19" t="n">
        <v>1</v>
      </c>
      <c r="Q19" t="n">
        <v>3</v>
      </c>
      <c r="R19" s="2" t="inlineStr">
        <is>
          <t>Hussvala
Svartvit flugsnappare
Tretåig hackspett</t>
        </is>
      </c>
      <c r="S19">
        <f>HYPERLINK("https://klasma.github.io/Logging_2029/artfynd/A 66933-2021 artfynd.xlsx", "A 66933-2021")</f>
        <v/>
      </c>
      <c r="T19">
        <f>HYPERLINK("https://klasma.github.io/Logging_2029/kartor/A 66933-2021 karta.png", "A 66933-2021")</f>
        <v/>
      </c>
      <c r="V19">
        <f>HYPERLINK("https://klasma.github.io/Logging_2029/klagomål/A 66933-2021 FSC-klagomål.docx", "A 66933-2021")</f>
        <v/>
      </c>
      <c r="W19">
        <f>HYPERLINK("https://klasma.github.io/Logging_2029/klagomålsmail/A 66933-2021 FSC-klagomål mail.docx", "A 66933-2021")</f>
        <v/>
      </c>
      <c r="X19">
        <f>HYPERLINK("https://klasma.github.io/Logging_2029/tillsyn/A 66933-2021 tillsynsbegäran.docx", "A 66933-2021")</f>
        <v/>
      </c>
      <c r="Y19">
        <f>HYPERLINK("https://klasma.github.io/Logging_2029/tillsynsmail/A 66933-2021 tillsynsbegäran mail.docx", "A 66933-2021")</f>
        <v/>
      </c>
      <c r="Z19">
        <f>HYPERLINK("https://klasma.github.io/Logging_2029/fåglar/A 66933-2021 prioriterade fågelarter.docx", "A 66933-2021")</f>
        <v/>
      </c>
    </row>
    <row r="20" ht="15" customHeight="1">
      <c r="A20" t="inlineStr">
        <is>
          <t>A 51505-2022</t>
        </is>
      </c>
      <c r="B20" s="1" t="n">
        <v>44869</v>
      </c>
      <c r="C20" s="1" t="n">
        <v>45749</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45749</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45749</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45749</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45749</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45749</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45749</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45749</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45749</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45749</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45749</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45749</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45749</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45749</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45749</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45749</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45749</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45749</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45749</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45749</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45749</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45749</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45749</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45749</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45749</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45749</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45749</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45749</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45749</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45749</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45749</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45749</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45749</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45749</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45749</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45749</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45749</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45749</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45749</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45749</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45749</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45749</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45749</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45749</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45749</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45749</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45749</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45749</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45749</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45749</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45749</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45749</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45749</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45749</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45749</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45749</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45749</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45749</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45749</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45749</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45749</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45749</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45749</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45749</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45749</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45749</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45749</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45749</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45749</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45749</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45749</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45749</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45749</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45749</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45749</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45749</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45749</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45749</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45749</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45749</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45749</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45749</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45749</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45749</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45749</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45749</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45749</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45749</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45749</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45749</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45749</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45749</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45749</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45749</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45749</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45749</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45749</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45749</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45749</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45749</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45749</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45749</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45749</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45749</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45749</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45749</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45749</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45749</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45749</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45749</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45749</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45749</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45749</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45749</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45749</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45749</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45749</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45749</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45749</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45749</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45749</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45749</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45749</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45749</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45749</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45749</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45749</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45749</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45749</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45749</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45749</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45749</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45749</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45749</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45749</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45749</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45749</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45749</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45749</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45749</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45749</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45749</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45749</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45749</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45749</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45749</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45749</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45749</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45749</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45749</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45749</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45749</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45749</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45749</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45749</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45749</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45749</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45749</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45749</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45749</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45749</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45749</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45749</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45749</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45749</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45749</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45749</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45749</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45749</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45749</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45749</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45749</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45749</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45749</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45749</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45749</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45749</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45749</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45749</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45749</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45749</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45749</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45749</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45749</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45749</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45749</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45749</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45749</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45749</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45749</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45749</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45749</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45749</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45749</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45749</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45749</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45749</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45749</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45749</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45749</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45749</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45749</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45749</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45749</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45749</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45749</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45749</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45749</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45749</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45749</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45749</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45749</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45749</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45749</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45749</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45749</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45749</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45749</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45749</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45749</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45749</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45749</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45749</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45749</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45749</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45749</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45749</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45749</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45749</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45749</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45749</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45749</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45749</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45749</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45749</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45749</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45749</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45749</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45749</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45749</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45749</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45749</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45749</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45749</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45749</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45749</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45749</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45749</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45749</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45749</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45749</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45749</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45749</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45749</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45749</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45749</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45749</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45749</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45749</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45749</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45749</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45749</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45749</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45749</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45749</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45749</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45749</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45749</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45749</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45749</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45749</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45749</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45749</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45749</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45749</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45749</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45749</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45749</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45749</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45749</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45749</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45749</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45749</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45749</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45749</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45749</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45749</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45749</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45749</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45749</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45749</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45749</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45749</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45749</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45749</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45749</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45749</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45749</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45749</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45749</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45749</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45749</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45749</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45749</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45749</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45749</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45749</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45749</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45749</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45749</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45749</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45749</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45749</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45749</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45749</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45749</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45749</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45749</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45749</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45749</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45749</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45749</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45749</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45749</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45749</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45749</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45749</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45749</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45749</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45749</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45749</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45749</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45749</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45749</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45749</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45749</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45749</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45749</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45749</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45749</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45749</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45749</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45749</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45749</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45749</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45749</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45749</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45749</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45749</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45749</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45749</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45749</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45749</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45749</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45749</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45749</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45749</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45749</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45749</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45749</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45749</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45749</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45749</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45749</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45749</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45749</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45749</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45749</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45749</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45749</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45749</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45749</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45749</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45749</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45749</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45749</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45749</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45749</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45749</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45749</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45749</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45749</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45749</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45749</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45749</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45749</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45749</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45749</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45749</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45749</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45749</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45749</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45749</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45749</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45749</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45749</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45749</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45749</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45749</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45749</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45749</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45749</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45749</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45749</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45749</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45749</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45749</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45749</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45749</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45749</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45749</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45749</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45749</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45749</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45749</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45749</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45749</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45749</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45749</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45749</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45749</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45749</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45749</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45749</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45749</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45749</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45749</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45749</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45749</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45749</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45749</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45749</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45749</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45749</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45749</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45749</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45749</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45749</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45749</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45749</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45749</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45749</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45749</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45749</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45749</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45749</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45749</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45749</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45749</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45749</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45749</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45749</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45749</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45749</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45749</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45749</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45749</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45749</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45749</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45749</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45749</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45749</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45749</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45749</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45749</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45749</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45749</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45749</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45749</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45749</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45749</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45749</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45749</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45749</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45749</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45749</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45749</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45749</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45749</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45749</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45749</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45749</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45749</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45749</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45749</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45749</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45749</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45749</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45749</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45749</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45749</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45749</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45749</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45749</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45749</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45749</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45749</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45749</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45749</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45749</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45749</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45749</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45749</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45749</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45749</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45749</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45749</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45749</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45749</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45749</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45749</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45749</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45749</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45749</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45749</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45749</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45749</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45749</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45749</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45749</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45749</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45749</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45749</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45749</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45749</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45749</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45749</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45749</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45749</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45749</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45749</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45749</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45749</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45749</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45749</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45749</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45749</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45749</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45749</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45749</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45749</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45749</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45749</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45749</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45749</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45749</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45749</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45749</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45749</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45749</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45749</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45749</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45749</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45749</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45749</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45749</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45749</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45749</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45749</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45749</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45749</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45749</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45749</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45749</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45749</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45749</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45749</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45749</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45749</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45749</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45749</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45749</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45749</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45749</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45749</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45749</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45749</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45749</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45749</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45749</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45749</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45749</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45749</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45749</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45749</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45749</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45749</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45749</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45749</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45749</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45749</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45749</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45749</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45749</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45749</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45749</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45749</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45749</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45749</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45749</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45749</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45749</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45749</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45749</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45749</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45749</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45749</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45749</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45749</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45749</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45749</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45749</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45749</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45749</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45749</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45749</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45749</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45749</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45749</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45749</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45749</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45749</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45749</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45749</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45749</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45749</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45749</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45749</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45749</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45749</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45749</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45749</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45749</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45749</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45749</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45749</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45749</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45749</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45749</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45749</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45749</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45749</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45749</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45749</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45749</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45749</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45749</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45749</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45749</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45749</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45749</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45749</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45749</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45749</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45749</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45749</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45749</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45749</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45749</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45749</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45749</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45749</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45749</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45749</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45749</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45749</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45749</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45749</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45749</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45749</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45749</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45749</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45749</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45749</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45749</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45749</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45749</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45749</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45749</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45749</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45749</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45749</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45749</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45749</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45749</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45749</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45749</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45749</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45749</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45749</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45749</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45749</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45749</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45749</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45749</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45749</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45749</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45749</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45749</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45749</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45749</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45749</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45749</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45749</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45749</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45749</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45749</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45749</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45749</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45749</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45749</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45749</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45749</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45749</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45749</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45749</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45749</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45749</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45749</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45749</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45749</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45749</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45749</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45749</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45749</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45749</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45749</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45749</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45749</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45749</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45749</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45749</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45749</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45749</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45749</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45749</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45749</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45749</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45749</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45749</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45749</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45749</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45749</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45749</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45749</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45749</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45749</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45749</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45749</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45749</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45749</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45749</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45749</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45749</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45749</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45749</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45749</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45749</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45749</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45749</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45749</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45749</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45749</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45749</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45749</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45749</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45749</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45749</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45749</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45749</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45749</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45749</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45749</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45749</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45749</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45749</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45749</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45749</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45749</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45749</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45749</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45749</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45749</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45749</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45749</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45749</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45749</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45749</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45749</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45749</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45749</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45749</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45749</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45749</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45749</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45749</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45749</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45749</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45749</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45749</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45749</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45749</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45749</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45749</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45749</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45749</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45749</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45749</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45749</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45749</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45749</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45749</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45749</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45749</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45749</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45749</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45749</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45749</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45749</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45749</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45749</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45749</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45749</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45749</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45749</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45749</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45749</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45749</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45749</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45749</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45749</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45749</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45749</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45749</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45749</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45749</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45749</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45749</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45749</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45749</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45749</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45749</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45749</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45749</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45749</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45749</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45749</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45749</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45749</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45749</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45749</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45749</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45749</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45749</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45749</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45749</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45749</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45749</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45749</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45749</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45749</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45749</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45749</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45749</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45749</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45749</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45749</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45749</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45749</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45749</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45749</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45749</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45749</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45749</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45749</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45749</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45749</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45749</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45749</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45749</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45749</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45749</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45749</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45749</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45749</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45749</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45749</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45749</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45749</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45749</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45749</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45749</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45749</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45749</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45749</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45749</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45749</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45749</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45749</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45749</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45749</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45749</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45749</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45749</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45749</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45749</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45749</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45749</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45749</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45749</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45749</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45749</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45749</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45749</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45749</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45749</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45749</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45749</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45749</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45749</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45749</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45749</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45749</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45749</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45749</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45749</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45749</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45749</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45749</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45749</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45749</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45749</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45749</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45749</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45749</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45749</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45749</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45749</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45749</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45749</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45749</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45749</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45749</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45749</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45749</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45749</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45749</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45749</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45749</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45749</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45749</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45749</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45749</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45749</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45749</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45749</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45749</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45749</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45749</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45749</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45749</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45749</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45749</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45749</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45749</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45749</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45749</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45749</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45749</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45749</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45749</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45749</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45749</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45749</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45749</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45749</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45749</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45749</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45749</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45749</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45749</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45749</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45749</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45749</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45749</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45749</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45749</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45749</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45749</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45749</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45749</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45749</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45749</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45749</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45749</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45749</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45749</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45749</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45749</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45749</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45749</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45749</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45749</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45749</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45749</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45749</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45749</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45749</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45749</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45749</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45749</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45749</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45749</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45749</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45749</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45749</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45749</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45749</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45749</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45749</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45749</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45749</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45749</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45749</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45749</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45749</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45749</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45749</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45749</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45749</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45749</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45749</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45749</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45749</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45749</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45749</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45749</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45749</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45749</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45749</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45749</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45749</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45749</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45749</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45749</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45749</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45749</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45749</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45749</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45749</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45749</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45749</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45749</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45749</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45749</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45749</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45749</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45749</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45749</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45749</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45749</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45749</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45749</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45749</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45749</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45749</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45749</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45749</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45749</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45749</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45749</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45749</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45749</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45749</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45749</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45749</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45749</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45749</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45749</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45749</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45749</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45749</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45749</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45749</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45749</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45749</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45749</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45749</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45749</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45749</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45749</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45749</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45749</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45749</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45749</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45749</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45749</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45749</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45749</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45749</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45749</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45749</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45749</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45749</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45749</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45749</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45749</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45749</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45749</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45749</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45749</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45749</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45749</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45749</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45749</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45749</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45749</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45749</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45749</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45749</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45749</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45749</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45749</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45749</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45749</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45749</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45749</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45749</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45749</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45749</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45749</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45749</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45749</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45749</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45749</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45749</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45749</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45749</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45749</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45749</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45749</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45749</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45749</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45749</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45749</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45749</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45749</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45749</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45749</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45749</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45749</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45749</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45749</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45749</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45749</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45749</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45749</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45749</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45749</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45749</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45749</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45749</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45749</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45749</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45749</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45749</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45749</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45749</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45749</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45749</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45749</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45749</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45749</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45749</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45749</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45749</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45749</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45749</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45749</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45749</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45749</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45749</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45749</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45749</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45749</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45749</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45749</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45749</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45749</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45749</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45749</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45749</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45749</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45749</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45749</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45749</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45749</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45749</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45749</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45749</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45749</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45749</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45749</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45749</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45749</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45749</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45749</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45749</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45749</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45749</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45749</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45749</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45749</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45749</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45749</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45749</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45749</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45749</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45749</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45749</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45749</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45749</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45749</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45749</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45749</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45749</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45749</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45749</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45749</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45749</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45749</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45749</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45749</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45749</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12581-2025</t>
        </is>
      </c>
      <c r="B1254" s="1" t="n">
        <v>45732</v>
      </c>
      <c r="C1254" s="1" t="n">
        <v>45749</v>
      </c>
      <c r="D1254" t="inlineStr">
        <is>
          <t>DALARNAS LÄN</t>
        </is>
      </c>
      <c r="E1254" t="inlineStr">
        <is>
          <t>LEKSAND</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12583-2025</t>
        </is>
      </c>
      <c r="B1255" s="1" t="n">
        <v>45732</v>
      </c>
      <c r="C1255" s="1" t="n">
        <v>45749</v>
      </c>
      <c r="D1255" t="inlineStr">
        <is>
          <t>DALARNAS LÄN</t>
        </is>
      </c>
      <c r="E1255" t="inlineStr">
        <is>
          <t>LEKSAND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45749</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12646-2025</t>
        </is>
      </c>
      <c r="B1257" s="1" t="n">
        <v>45733</v>
      </c>
      <c r="C1257" s="1" t="n">
        <v>45749</v>
      </c>
      <c r="D1257" t="inlineStr">
        <is>
          <t>DALARNAS LÄN</t>
        </is>
      </c>
      <c r="E1257" t="inlineStr">
        <is>
          <t>LEKSAND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12623-2025</t>
        </is>
      </c>
      <c r="B1258" s="1" t="n">
        <v>45733</v>
      </c>
      <c r="C1258" s="1" t="n">
        <v>45749</v>
      </c>
      <c r="D1258" t="inlineStr">
        <is>
          <t>DALARNAS LÄN</t>
        </is>
      </c>
      <c r="E1258" t="inlineStr">
        <is>
          <t>LEKSAND</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12620-2025</t>
        </is>
      </c>
      <c r="B1259" s="1" t="n">
        <v>45733</v>
      </c>
      <c r="C1259" s="1" t="n">
        <v>45749</v>
      </c>
      <c r="D1259" t="inlineStr">
        <is>
          <t>DALARNAS LÄN</t>
        </is>
      </c>
      <c r="E1259" t="inlineStr">
        <is>
          <t>LEKSAND</t>
        </is>
      </c>
      <c r="F1259" t="inlineStr">
        <is>
          <t>Bergvik skog väst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12621-2025</t>
        </is>
      </c>
      <c r="B1260" s="1" t="n">
        <v>45733</v>
      </c>
      <c r="C1260" s="1" t="n">
        <v>45749</v>
      </c>
      <c r="D1260" t="inlineStr">
        <is>
          <t>DALARNAS LÄN</t>
        </is>
      </c>
      <c r="E1260" t="inlineStr">
        <is>
          <t>LEKSAND</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45749</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13384-2025</t>
        </is>
      </c>
      <c r="B1262" s="1" t="n">
        <v>45735</v>
      </c>
      <c r="C1262" s="1" t="n">
        <v>45749</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14504-2025</t>
        </is>
      </c>
      <c r="B1263" s="1" t="n">
        <v>45741</v>
      </c>
      <c r="C1263" s="1" t="n">
        <v>45749</v>
      </c>
      <c r="D1263" t="inlineStr">
        <is>
          <t>DALARNAS LÄN</t>
        </is>
      </c>
      <c r="E1263" t="inlineStr">
        <is>
          <t>LEKSAND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14797-2025</t>
        </is>
      </c>
      <c r="B1264" s="1" t="n">
        <v>45742</v>
      </c>
      <c r="C1264" s="1" t="n">
        <v>45749</v>
      </c>
      <c r="D1264" t="inlineStr">
        <is>
          <t>DALARNAS LÄN</t>
        </is>
      </c>
      <c r="E1264" t="inlineStr">
        <is>
          <t>LEKSAND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14865-2025</t>
        </is>
      </c>
      <c r="B1265" s="1" t="n">
        <v>45743</v>
      </c>
      <c r="C1265" s="1" t="n">
        <v>45749</v>
      </c>
      <c r="D1265" t="inlineStr">
        <is>
          <t>DALARNAS LÄN</t>
        </is>
      </c>
      <c r="E1265" t="inlineStr">
        <is>
          <t>LEKSAND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15173-2025</t>
        </is>
      </c>
      <c r="B1266" s="1" t="n">
        <v>45744</v>
      </c>
      <c r="C1266" s="1" t="n">
        <v>45749</v>
      </c>
      <c r="D1266" t="inlineStr">
        <is>
          <t>DALARNAS LÄN</t>
        </is>
      </c>
      <c r="E1266" t="inlineStr">
        <is>
          <t>LEKSAND</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45749</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15392-2025</t>
        </is>
      </c>
      <c r="B1268" s="1" t="n">
        <v>45747</v>
      </c>
      <c r="C1268" s="1" t="n">
        <v>45749</v>
      </c>
      <c r="D1268" t="inlineStr">
        <is>
          <t>DALARNAS LÄN</t>
        </is>
      </c>
      <c r="E1268" t="inlineStr">
        <is>
          <t>LEKSAND</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45749</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c r="A1270" t="inlineStr">
        <is>
          <t>A 15619-2025</t>
        </is>
      </c>
      <c r="B1270" s="1" t="n">
        <v>45747</v>
      </c>
      <c r="C1270" s="1" t="n">
        <v>45749</v>
      </c>
      <c r="D1270" t="inlineStr">
        <is>
          <t>DALARNAS LÄN</t>
        </is>
      </c>
      <c r="E1270" t="inlineStr">
        <is>
          <t>LEKSAND</t>
        </is>
      </c>
      <c r="G1270" t="n">
        <v>1</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2025-04-02T17:04:47Z</dcterms:created>
  <dcterms:modified xmlns:dcterms="http://purl.org/dc/terms/" xmlns:xsi="http://www.w3.org/2001/XMLSchema-instance" xsi:type="dcterms:W3CDTF">2025-04-02T17:04:48Z</dcterms:modified>
</cp:coreProperties>
</file>