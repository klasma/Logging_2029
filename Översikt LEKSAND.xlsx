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45989</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45989</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45989</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45989</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45989</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45989</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45989</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45989</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45989</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45989</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45989</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45989</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45989</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9408-2024</t>
        </is>
      </c>
      <c r="B24" s="1" t="n">
        <v>45358</v>
      </c>
      <c r="C24" s="1" t="n">
        <v>45989</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6778-2022</t>
        </is>
      </c>
      <c r="B25" s="1" t="n">
        <v>44602</v>
      </c>
      <c r="C25" s="1" t="n">
        <v>45989</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59111-2024</t>
        </is>
      </c>
      <c r="B26" s="1" t="n">
        <v>45637.36484953704</v>
      </c>
      <c r="C26" s="1" t="n">
        <v>45989</v>
      </c>
      <c r="D26" t="inlineStr">
        <is>
          <t>DALARNAS LÄN</t>
        </is>
      </c>
      <c r="E26" t="inlineStr">
        <is>
          <t>LEKSAND</t>
        </is>
      </c>
      <c r="G26" t="n">
        <v>8.800000000000001</v>
      </c>
      <c r="H26" t="n">
        <v>0</v>
      </c>
      <c r="I26" t="n">
        <v>0</v>
      </c>
      <c r="J26" t="n">
        <v>2</v>
      </c>
      <c r="K26" t="n">
        <v>0</v>
      </c>
      <c r="L26" t="n">
        <v>0</v>
      </c>
      <c r="M26" t="n">
        <v>0</v>
      </c>
      <c r="N26" t="n">
        <v>0</v>
      </c>
      <c r="O26" t="n">
        <v>2</v>
      </c>
      <c r="P26" t="n">
        <v>0</v>
      </c>
      <c r="Q26" t="n">
        <v>2</v>
      </c>
      <c r="R26" s="2" t="inlineStr">
        <is>
          <t>Garnlav
Violettgrå tagellav</t>
        </is>
      </c>
      <c r="S26">
        <f>HYPERLINK("https://klasma.github.io/Logging_2029/artfynd/A 59111-2024 artfynd.xlsx", "A 59111-2024")</f>
        <v/>
      </c>
      <c r="T26">
        <f>HYPERLINK("https://klasma.github.io/Logging_2029/kartor/A 59111-2024 karta.png", "A 59111-2024")</f>
        <v/>
      </c>
      <c r="V26">
        <f>HYPERLINK("https://klasma.github.io/Logging_2029/klagomål/A 59111-2024 FSC-klagomål.docx", "A 59111-2024")</f>
        <v/>
      </c>
      <c r="W26">
        <f>HYPERLINK("https://klasma.github.io/Logging_2029/klagomålsmail/A 59111-2024 FSC-klagomål mail.docx", "A 59111-2024")</f>
        <v/>
      </c>
      <c r="X26">
        <f>HYPERLINK("https://klasma.github.io/Logging_2029/tillsyn/A 59111-2024 tillsynsbegäran.docx", "A 59111-2024")</f>
        <v/>
      </c>
      <c r="Y26">
        <f>HYPERLINK("https://klasma.github.io/Logging_2029/tillsynsmail/A 59111-2024 tillsynsbegäran mail.docx", "A 59111-2024")</f>
        <v/>
      </c>
    </row>
    <row r="27" ht="15" customHeight="1">
      <c r="A27" t="inlineStr">
        <is>
          <t>A 35865-2025</t>
        </is>
      </c>
      <c r="B27" s="1" t="n">
        <v>45861.7066087963</v>
      </c>
      <c r="C27" s="1" t="n">
        <v>45989</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18860-2025</t>
        </is>
      </c>
      <c r="B28" s="1" t="n">
        <v>45764.42738425926</v>
      </c>
      <c r="C28" s="1" t="n">
        <v>45989</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55519-2021</t>
        </is>
      </c>
      <c r="B29" s="1" t="n">
        <v>44475</v>
      </c>
      <c r="C29" s="1" t="n">
        <v>45989</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41718-2021</t>
        </is>
      </c>
      <c r="B30" s="1" t="n">
        <v>44425</v>
      </c>
      <c r="C30" s="1" t="n">
        <v>45989</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164-2024</t>
        </is>
      </c>
      <c r="B31" s="1" t="n">
        <v>45294.49954861111</v>
      </c>
      <c r="C31" s="1" t="n">
        <v>45989</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31951-2025</t>
        </is>
      </c>
      <c r="B32" s="1" t="n">
        <v>45835.33481481481</v>
      </c>
      <c r="C32" s="1" t="n">
        <v>45989</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34993-2025</t>
        </is>
      </c>
      <c r="B33" s="1" t="n">
        <v>45849.82383101852</v>
      </c>
      <c r="C33" s="1" t="n">
        <v>45989</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45989</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36778-2025</t>
        </is>
      </c>
      <c r="B35" s="1" t="n">
        <v>45873</v>
      </c>
      <c r="C35" s="1" t="n">
        <v>45989</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45375-2025</t>
        </is>
      </c>
      <c r="B36" s="1" t="n">
        <v>45922.39347222223</v>
      </c>
      <c r="C36" s="1" t="n">
        <v>45989</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53633-2024</t>
        </is>
      </c>
      <c r="B37" s="1" t="n">
        <v>45614.83726851852</v>
      </c>
      <c r="C37" s="1" t="n">
        <v>45989</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4974-2025</t>
        </is>
      </c>
      <c r="B38" s="1" t="n">
        <v>45690.8478587963</v>
      </c>
      <c r="C38" s="1" t="n">
        <v>45989</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16333-2023</t>
        </is>
      </c>
      <c r="B39" s="1" t="n">
        <v>45028</v>
      </c>
      <c r="C39" s="1" t="n">
        <v>45989</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41873-2022</t>
        </is>
      </c>
      <c r="B40" s="1" t="n">
        <v>44829</v>
      </c>
      <c r="C40" s="1" t="n">
        <v>45989</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47601-2025</t>
        </is>
      </c>
      <c r="B41" s="1" t="n">
        <v>45931.46008101852</v>
      </c>
      <c r="C41" s="1" t="n">
        <v>45989</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26287-2023</t>
        </is>
      </c>
      <c r="B42" s="1" t="n">
        <v>45091</v>
      </c>
      <c r="C42" s="1" t="n">
        <v>45989</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11218-2023</t>
        </is>
      </c>
      <c r="B43" s="1" t="n">
        <v>44992.62401620371</v>
      </c>
      <c r="C43" s="1" t="n">
        <v>45989</v>
      </c>
      <c r="D43" t="inlineStr">
        <is>
          <t>DALARNAS LÄN</t>
        </is>
      </c>
      <c r="E43" t="inlineStr">
        <is>
          <t>LEKSAND</t>
        </is>
      </c>
      <c r="G43" t="n">
        <v>2.6</v>
      </c>
      <c r="H43" t="n">
        <v>1</v>
      </c>
      <c r="I43" t="n">
        <v>0</v>
      </c>
      <c r="J43" t="n">
        <v>0</v>
      </c>
      <c r="K43" t="n">
        <v>1</v>
      </c>
      <c r="L43" t="n">
        <v>0</v>
      </c>
      <c r="M43" t="n">
        <v>0</v>
      </c>
      <c r="N43" t="n">
        <v>0</v>
      </c>
      <c r="O43" t="n">
        <v>1</v>
      </c>
      <c r="P43" t="n">
        <v>1</v>
      </c>
      <c r="Q43" t="n">
        <v>1</v>
      </c>
      <c r="R43" s="2" t="inlineStr">
        <is>
          <t>Knärot</t>
        </is>
      </c>
      <c r="S43">
        <f>HYPERLINK("https://klasma.github.io/Logging_2029/artfynd/A 11218-2023 artfynd.xlsx", "A 11218-2023")</f>
        <v/>
      </c>
      <c r="T43">
        <f>HYPERLINK("https://klasma.github.io/Logging_2029/kartor/A 11218-2023 karta.png", "A 11218-2023")</f>
        <v/>
      </c>
      <c r="U43">
        <f>HYPERLINK("https://klasma.github.io/Logging_2029/knärot/A 11218-2023 karta knärot.png", "A 11218-2023")</f>
        <v/>
      </c>
      <c r="V43">
        <f>HYPERLINK("https://klasma.github.io/Logging_2029/klagomål/A 11218-2023 FSC-klagomål.docx", "A 11218-2023")</f>
        <v/>
      </c>
      <c r="W43">
        <f>HYPERLINK("https://klasma.github.io/Logging_2029/klagomålsmail/A 11218-2023 FSC-klagomål mail.docx", "A 11218-2023")</f>
        <v/>
      </c>
      <c r="X43">
        <f>HYPERLINK("https://klasma.github.io/Logging_2029/tillsyn/A 11218-2023 tillsynsbegäran.docx", "A 11218-2023")</f>
        <v/>
      </c>
      <c r="Y43">
        <f>HYPERLINK("https://klasma.github.io/Logging_2029/tillsynsmail/A 11218-2023 tillsynsbegäran mail.docx", "A 11218-2023")</f>
        <v/>
      </c>
    </row>
    <row r="44" ht="15" customHeight="1">
      <c r="A44" t="inlineStr">
        <is>
          <t>A 55633-2024</t>
        </is>
      </c>
      <c r="B44" s="1" t="n">
        <v>45621</v>
      </c>
      <c r="C44" s="1" t="n">
        <v>45989</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52600-2024</t>
        </is>
      </c>
      <c r="B45" s="1" t="n">
        <v>45609</v>
      </c>
      <c r="C45" s="1" t="n">
        <v>45989</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59205-2023</t>
        </is>
      </c>
      <c r="B46" s="1" t="n">
        <v>45251</v>
      </c>
      <c r="C46" s="1" t="n">
        <v>45989</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6029-2025</t>
        </is>
      </c>
      <c r="B47" s="1" t="n">
        <v>45695</v>
      </c>
      <c r="C47" s="1" t="n">
        <v>45989</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16735-2025</t>
        </is>
      </c>
      <c r="B48" s="1" t="n">
        <v>45754.54314814815</v>
      </c>
      <c r="C48" s="1" t="n">
        <v>45989</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23137-2022</t>
        </is>
      </c>
      <c r="B49" s="1" t="n">
        <v>44719</v>
      </c>
      <c r="C49" s="1" t="n">
        <v>45989</v>
      </c>
      <c r="D49" t="inlineStr">
        <is>
          <t>DALARNAS LÄN</t>
        </is>
      </c>
      <c r="E49" t="inlineStr">
        <is>
          <t>LEKSAND</t>
        </is>
      </c>
      <c r="G49" t="n">
        <v>3</v>
      </c>
      <c r="H49" t="n">
        <v>0</v>
      </c>
      <c r="I49" t="n">
        <v>0</v>
      </c>
      <c r="J49" t="n">
        <v>0</v>
      </c>
      <c r="K49" t="n">
        <v>1</v>
      </c>
      <c r="L49" t="n">
        <v>0</v>
      </c>
      <c r="M49" t="n">
        <v>0</v>
      </c>
      <c r="N49" t="n">
        <v>0</v>
      </c>
      <c r="O49" t="n">
        <v>1</v>
      </c>
      <c r="P49" t="n">
        <v>1</v>
      </c>
      <c r="Q49" t="n">
        <v>1</v>
      </c>
      <c r="R49" s="2" t="inlineStr">
        <is>
          <t>Koppartaggsvamp</t>
        </is>
      </c>
      <c r="S49">
        <f>HYPERLINK("https://klasma.github.io/Logging_2029/artfynd/A 23137-2022 artfynd.xlsx", "A 23137-2022")</f>
        <v/>
      </c>
      <c r="T49">
        <f>HYPERLINK("https://klasma.github.io/Logging_2029/kartor/A 23137-2022 karta.png", "A 23137-2022")</f>
        <v/>
      </c>
      <c r="V49">
        <f>HYPERLINK("https://klasma.github.io/Logging_2029/klagomål/A 23137-2022 FSC-klagomål.docx", "A 23137-2022")</f>
        <v/>
      </c>
      <c r="W49">
        <f>HYPERLINK("https://klasma.github.io/Logging_2029/klagomålsmail/A 23137-2022 FSC-klagomål mail.docx", "A 23137-2022")</f>
        <v/>
      </c>
      <c r="X49">
        <f>HYPERLINK("https://klasma.github.io/Logging_2029/tillsyn/A 23137-2022 tillsynsbegäran.docx", "A 23137-2022")</f>
        <v/>
      </c>
      <c r="Y49">
        <f>HYPERLINK("https://klasma.github.io/Logging_2029/tillsynsmail/A 23137-2022 tillsynsbegäran mail.docx", "A 23137-2022")</f>
        <v/>
      </c>
    </row>
    <row r="50" ht="15" customHeight="1">
      <c r="A50" t="inlineStr">
        <is>
          <t>A 31124-2024</t>
        </is>
      </c>
      <c r="B50" s="1" t="n">
        <v>45502.62886574074</v>
      </c>
      <c r="C50" s="1" t="n">
        <v>45989</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45989</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45989</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45989</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45989</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45989</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45989</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45989</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45989</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45989</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45989</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45989</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45989</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45989</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45989</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45989</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45989</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45989</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45989</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45989</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45989</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45989</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45989</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45989</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45989</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45989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45989</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45989</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45989</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45989</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45989</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21968-2021</t>
        </is>
      </c>
      <c r="B81" s="1" t="n">
        <v>44323</v>
      </c>
      <c r="C81" s="1" t="n">
        <v>45989</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68573-2021</t>
        </is>
      </c>
      <c r="B82" s="1" t="n">
        <v>44529</v>
      </c>
      <c r="C82" s="1" t="n">
        <v>45989</v>
      </c>
      <c r="D82" t="inlineStr">
        <is>
          <t>DALARNAS LÄN</t>
        </is>
      </c>
      <c r="E82" t="inlineStr">
        <is>
          <t>LEKSAND</t>
        </is>
      </c>
      <c r="G82" t="n">
        <v>1.6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45989</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45989</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45989</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45989</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45989</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43275-2022</t>
        </is>
      </c>
      <c r="B88" s="1" t="n">
        <v>44824</v>
      </c>
      <c r="C88" s="1" t="n">
        <v>45989</v>
      </c>
      <c r="D88" t="inlineStr">
        <is>
          <t>DALARNAS LÄN</t>
        </is>
      </c>
      <c r="E88" t="inlineStr">
        <is>
          <t>LEKSAND</t>
        </is>
      </c>
      <c r="G88" t="n">
        <v>2.1</v>
      </c>
      <c r="H88" t="n">
        <v>0</v>
      </c>
      <c r="I88" t="n">
        <v>0</v>
      </c>
      <c r="J88" t="n">
        <v>0</v>
      </c>
      <c r="K88" t="n">
        <v>0</v>
      </c>
      <c r="L88" t="n">
        <v>0</v>
      </c>
      <c r="M88" t="n">
        <v>0</v>
      </c>
      <c r="N88" t="n">
        <v>0</v>
      </c>
      <c r="O88" t="n">
        <v>0</v>
      </c>
      <c r="P88" t="n">
        <v>0</v>
      </c>
      <c r="Q88" t="n">
        <v>0</v>
      </c>
      <c r="R88" s="2" t="inlineStr"/>
    </row>
    <row r="89" ht="15" customHeight="1">
      <c r="A89" t="inlineStr">
        <is>
          <t>A 43304-2022</t>
        </is>
      </c>
      <c r="B89" s="1" t="n">
        <v>44834</v>
      </c>
      <c r="C89" s="1" t="n">
        <v>45989</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45989</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45989</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70026-2021</t>
        </is>
      </c>
      <c r="B92" s="1" t="n">
        <v>44533</v>
      </c>
      <c r="C92" s="1" t="n">
        <v>45989</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36956-2021</t>
        </is>
      </c>
      <c r="B93" s="1" t="n">
        <v>44393.55643518519</v>
      </c>
      <c r="C93" s="1" t="n">
        <v>45989</v>
      </c>
      <c r="D93" t="inlineStr">
        <is>
          <t>DALARNAS LÄN</t>
        </is>
      </c>
      <c r="E93" t="inlineStr">
        <is>
          <t>LEKSAND</t>
        </is>
      </c>
      <c r="G93" t="n">
        <v>4.1</v>
      </c>
      <c r="H93" t="n">
        <v>0</v>
      </c>
      <c r="I93" t="n">
        <v>0</v>
      </c>
      <c r="J93" t="n">
        <v>0</v>
      </c>
      <c r="K93" t="n">
        <v>0</v>
      </c>
      <c r="L93" t="n">
        <v>0</v>
      </c>
      <c r="M93" t="n">
        <v>0</v>
      </c>
      <c r="N93" t="n">
        <v>0</v>
      </c>
      <c r="O93" t="n">
        <v>0</v>
      </c>
      <c r="P93" t="n">
        <v>0</v>
      </c>
      <c r="Q93" t="n">
        <v>0</v>
      </c>
      <c r="R93" s="2" t="inlineStr"/>
    </row>
    <row r="94" ht="15" customHeight="1">
      <c r="A94" t="inlineStr">
        <is>
          <t>A 67307-2020</t>
        </is>
      </c>
      <c r="B94" s="1" t="n">
        <v>44181</v>
      </c>
      <c r="C94" s="1" t="n">
        <v>45989</v>
      </c>
      <c r="D94" t="inlineStr">
        <is>
          <t>DALARNAS LÄN</t>
        </is>
      </c>
      <c r="E94" t="inlineStr">
        <is>
          <t>LEKSAND</t>
        </is>
      </c>
      <c r="G94" t="n">
        <v>5.9</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45989</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50219-2022</t>
        </is>
      </c>
      <c r="B96" s="1" t="n">
        <v>44865.64244212963</v>
      </c>
      <c r="C96" s="1" t="n">
        <v>45989</v>
      </c>
      <c r="D96" t="inlineStr">
        <is>
          <t>DALARNAS LÄN</t>
        </is>
      </c>
      <c r="E96" t="inlineStr">
        <is>
          <t>LEKSAND</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34317-2022</t>
        </is>
      </c>
      <c r="B97" s="1" t="n">
        <v>44792.38814814815</v>
      </c>
      <c r="C97" s="1" t="n">
        <v>45989</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45989</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45989</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45989</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45989</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43410-2021</t>
        </is>
      </c>
      <c r="B102" s="1" t="n">
        <v>44432.60814814815</v>
      </c>
      <c r="C102" s="1" t="n">
        <v>45989</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45989</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45989</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8501-2022</t>
        </is>
      </c>
      <c r="B105" s="1" t="n">
        <v>44613.40672453704</v>
      </c>
      <c r="C105" s="1" t="n">
        <v>45989</v>
      </c>
      <c r="D105" t="inlineStr">
        <is>
          <t>DALARNAS LÄN</t>
        </is>
      </c>
      <c r="E105" t="inlineStr">
        <is>
          <t>LEKSAND</t>
        </is>
      </c>
      <c r="G105" t="n">
        <v>3</v>
      </c>
      <c r="H105" t="n">
        <v>0</v>
      </c>
      <c r="I105" t="n">
        <v>0</v>
      </c>
      <c r="J105" t="n">
        <v>0</v>
      </c>
      <c r="K105" t="n">
        <v>0</v>
      </c>
      <c r="L105" t="n">
        <v>0</v>
      </c>
      <c r="M105" t="n">
        <v>0</v>
      </c>
      <c r="N105" t="n">
        <v>0</v>
      </c>
      <c r="O105" t="n">
        <v>0</v>
      </c>
      <c r="P105" t="n">
        <v>0</v>
      </c>
      <c r="Q105" t="n">
        <v>0</v>
      </c>
      <c r="R105" s="2" t="inlineStr"/>
    </row>
    <row r="106" ht="15" customHeight="1">
      <c r="A106" t="inlineStr">
        <is>
          <t>A 38619-2021</t>
        </is>
      </c>
      <c r="B106" s="1" t="n">
        <v>44409</v>
      </c>
      <c r="C106" s="1" t="n">
        <v>45989</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45989</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45989</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45989</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45989</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45989</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45989</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45989</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45989</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45989</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45989</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45989</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14797-2025</t>
        </is>
      </c>
      <c r="B118" s="1" t="n">
        <v>45742.90363425926</v>
      </c>
      <c r="C118" s="1" t="n">
        <v>45989</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38001-2023</t>
        </is>
      </c>
      <c r="B119" s="1" t="n">
        <v>45160</v>
      </c>
      <c r="C119" s="1" t="n">
        <v>45989</v>
      </c>
      <c r="D119" t="inlineStr">
        <is>
          <t>DALARNAS LÄN</t>
        </is>
      </c>
      <c r="E119" t="inlineStr">
        <is>
          <t>LEKSAND</t>
        </is>
      </c>
      <c r="G119" t="n">
        <v>3.6</v>
      </c>
      <c r="H119" t="n">
        <v>0</v>
      </c>
      <c r="I119" t="n">
        <v>0</v>
      </c>
      <c r="J119" t="n">
        <v>0</v>
      </c>
      <c r="K119" t="n">
        <v>0</v>
      </c>
      <c r="L119" t="n">
        <v>0</v>
      </c>
      <c r="M119" t="n">
        <v>0</v>
      </c>
      <c r="N119" t="n">
        <v>0</v>
      </c>
      <c r="O119" t="n">
        <v>0</v>
      </c>
      <c r="P119" t="n">
        <v>0</v>
      </c>
      <c r="Q119" t="n">
        <v>0</v>
      </c>
      <c r="R119" s="2" t="inlineStr"/>
    </row>
    <row r="120" ht="15" customHeight="1">
      <c r="A120" t="inlineStr">
        <is>
          <t>A 5583-2024</t>
        </is>
      </c>
      <c r="B120" s="1" t="n">
        <v>45334</v>
      </c>
      <c r="C120" s="1" t="n">
        <v>45989</v>
      </c>
      <c r="D120" t="inlineStr">
        <is>
          <t>DALARNAS LÄN</t>
        </is>
      </c>
      <c r="E120" t="inlineStr">
        <is>
          <t>LEKSAND</t>
        </is>
      </c>
      <c r="F120" t="inlineStr">
        <is>
          <t>Kyrkan</t>
        </is>
      </c>
      <c r="G120" t="n">
        <v>0.4</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45989</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45989</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12290-2024</t>
        </is>
      </c>
      <c r="B123" s="1" t="n">
        <v>45378.57877314815</v>
      </c>
      <c r="C123" s="1" t="n">
        <v>45989</v>
      </c>
      <c r="D123" t="inlineStr">
        <is>
          <t>DALARNAS LÄN</t>
        </is>
      </c>
      <c r="E123" t="inlineStr">
        <is>
          <t>LEKSAND</t>
        </is>
      </c>
      <c r="G123" t="n">
        <v>2.5</v>
      </c>
      <c r="H123" t="n">
        <v>0</v>
      </c>
      <c r="I123" t="n">
        <v>0</v>
      </c>
      <c r="J123" t="n">
        <v>0</v>
      </c>
      <c r="K123" t="n">
        <v>0</v>
      </c>
      <c r="L123" t="n">
        <v>0</v>
      </c>
      <c r="M123" t="n">
        <v>0</v>
      </c>
      <c r="N123" t="n">
        <v>0</v>
      </c>
      <c r="O123" t="n">
        <v>0</v>
      </c>
      <c r="P123" t="n">
        <v>0</v>
      </c>
      <c r="Q123" t="n">
        <v>0</v>
      </c>
      <c r="R123" s="2" t="inlineStr"/>
    </row>
    <row r="124" ht="15" customHeight="1">
      <c r="A124" t="inlineStr">
        <is>
          <t>A 59826-2023</t>
        </is>
      </c>
      <c r="B124" s="1" t="n">
        <v>45254</v>
      </c>
      <c r="C124" s="1" t="n">
        <v>45989</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45989</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7417-2024</t>
        </is>
      </c>
      <c r="B126" s="1" t="n">
        <v>45345.62378472222</v>
      </c>
      <c r="C126" s="1" t="n">
        <v>45989</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6758-2024</t>
        </is>
      </c>
      <c r="B127" s="1" t="n">
        <v>45342.46857638889</v>
      </c>
      <c r="C127" s="1" t="n">
        <v>45989</v>
      </c>
      <c r="D127" t="inlineStr">
        <is>
          <t>DALARNAS LÄN</t>
        </is>
      </c>
      <c r="E127" t="inlineStr">
        <is>
          <t>LEKSAND</t>
        </is>
      </c>
      <c r="F127" t="inlineStr">
        <is>
          <t>Bergvik skog väst AB</t>
        </is>
      </c>
      <c r="G127" t="n">
        <v>6.2</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45989</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25025-2023</t>
        </is>
      </c>
      <c r="B129" s="1" t="n">
        <v>45085.92146990741</v>
      </c>
      <c r="C129" s="1" t="n">
        <v>45989</v>
      </c>
      <c r="D129" t="inlineStr">
        <is>
          <t>DALARNAS LÄN</t>
        </is>
      </c>
      <c r="E129" t="inlineStr">
        <is>
          <t>LEKSAND</t>
        </is>
      </c>
      <c r="G129" t="n">
        <v>3</v>
      </c>
      <c r="H129" t="n">
        <v>0</v>
      </c>
      <c r="I129" t="n">
        <v>0</v>
      </c>
      <c r="J129" t="n">
        <v>0</v>
      </c>
      <c r="K129" t="n">
        <v>0</v>
      </c>
      <c r="L129" t="n">
        <v>0</v>
      </c>
      <c r="M129" t="n">
        <v>0</v>
      </c>
      <c r="N129" t="n">
        <v>0</v>
      </c>
      <c r="O129" t="n">
        <v>0</v>
      </c>
      <c r="P129" t="n">
        <v>0</v>
      </c>
      <c r="Q129" t="n">
        <v>0</v>
      </c>
      <c r="R129" s="2" t="inlineStr"/>
    </row>
    <row r="130" ht="15" customHeight="1">
      <c r="A130" t="inlineStr">
        <is>
          <t>A 25038-2023</t>
        </is>
      </c>
      <c r="B130" s="1" t="n">
        <v>45085</v>
      </c>
      <c r="C130" s="1" t="n">
        <v>45989</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51857-2022</t>
        </is>
      </c>
      <c r="B131" s="1" t="n">
        <v>44867</v>
      </c>
      <c r="C131" s="1" t="n">
        <v>45989</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48644-2023</t>
        </is>
      </c>
      <c r="B132" s="1" t="n">
        <v>45208.58997685185</v>
      </c>
      <c r="C132" s="1" t="n">
        <v>45989</v>
      </c>
      <c r="D132" t="inlineStr">
        <is>
          <t>DALARNAS LÄN</t>
        </is>
      </c>
      <c r="E132" t="inlineStr">
        <is>
          <t>LEKSAND</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19820-2024</t>
        </is>
      </c>
      <c r="B133" s="1" t="n">
        <v>45433.33907407407</v>
      </c>
      <c r="C133" s="1" t="n">
        <v>45989</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19823-2024</t>
        </is>
      </c>
      <c r="B134" s="1" t="n">
        <v>45433.34469907408</v>
      </c>
      <c r="C134" s="1" t="n">
        <v>45989</v>
      </c>
      <c r="D134" t="inlineStr">
        <is>
          <t>DALARNAS LÄN</t>
        </is>
      </c>
      <c r="E134" t="inlineStr">
        <is>
          <t>LEKSAND</t>
        </is>
      </c>
      <c r="G134" t="n">
        <v>0.3</v>
      </c>
      <c r="H134" t="n">
        <v>0</v>
      </c>
      <c r="I134" t="n">
        <v>0</v>
      </c>
      <c r="J134" t="n">
        <v>0</v>
      </c>
      <c r="K134" t="n">
        <v>0</v>
      </c>
      <c r="L134" t="n">
        <v>0</v>
      </c>
      <c r="M134" t="n">
        <v>0</v>
      </c>
      <c r="N134" t="n">
        <v>0</v>
      </c>
      <c r="O134" t="n">
        <v>0</v>
      </c>
      <c r="P134" t="n">
        <v>0</v>
      </c>
      <c r="Q134" t="n">
        <v>0</v>
      </c>
      <c r="R134" s="2" t="inlineStr"/>
    </row>
    <row r="135" ht="15" customHeight="1">
      <c r="A135" t="inlineStr">
        <is>
          <t>A 33072-2021</t>
        </is>
      </c>
      <c r="B135" s="1" t="n">
        <v>44375</v>
      </c>
      <c r="C135" s="1" t="n">
        <v>45989</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8046-2024</t>
        </is>
      </c>
      <c r="B136" s="1" t="n">
        <v>45351.31555555556</v>
      </c>
      <c r="C136" s="1" t="n">
        <v>45989</v>
      </c>
      <c r="D136" t="inlineStr">
        <is>
          <t>DALARNAS LÄN</t>
        </is>
      </c>
      <c r="E136" t="inlineStr">
        <is>
          <t>LEKSAND</t>
        </is>
      </c>
      <c r="G136" t="n">
        <v>2.9</v>
      </c>
      <c r="H136" t="n">
        <v>0</v>
      </c>
      <c r="I136" t="n">
        <v>0</v>
      </c>
      <c r="J136" t="n">
        <v>0</v>
      </c>
      <c r="K136" t="n">
        <v>0</v>
      </c>
      <c r="L136" t="n">
        <v>0</v>
      </c>
      <c r="M136" t="n">
        <v>0</v>
      </c>
      <c r="N136" t="n">
        <v>0</v>
      </c>
      <c r="O136" t="n">
        <v>0</v>
      </c>
      <c r="P136" t="n">
        <v>0</v>
      </c>
      <c r="Q136" t="n">
        <v>0</v>
      </c>
      <c r="R136" s="2" t="inlineStr"/>
    </row>
    <row r="137" ht="15" customHeight="1">
      <c r="A137" t="inlineStr">
        <is>
          <t>A 15968-2025</t>
        </is>
      </c>
      <c r="B137" s="1" t="n">
        <v>45749.54818287037</v>
      </c>
      <c r="C137" s="1" t="n">
        <v>45989</v>
      </c>
      <c r="D137" t="inlineStr">
        <is>
          <t>DALARNAS LÄN</t>
        </is>
      </c>
      <c r="E137" t="inlineStr">
        <is>
          <t>LEKSAND</t>
        </is>
      </c>
      <c r="G137" t="n">
        <v>3.2</v>
      </c>
      <c r="H137" t="n">
        <v>0</v>
      </c>
      <c r="I137" t="n">
        <v>0</v>
      </c>
      <c r="J137" t="n">
        <v>0</v>
      </c>
      <c r="K137" t="n">
        <v>0</v>
      </c>
      <c r="L137" t="n">
        <v>0</v>
      </c>
      <c r="M137" t="n">
        <v>0</v>
      </c>
      <c r="N137" t="n">
        <v>0</v>
      </c>
      <c r="O137" t="n">
        <v>0</v>
      </c>
      <c r="P137" t="n">
        <v>0</v>
      </c>
      <c r="Q137" t="n">
        <v>0</v>
      </c>
      <c r="R137" s="2" t="inlineStr"/>
    </row>
    <row r="138" ht="15" customHeight="1">
      <c r="A138" t="inlineStr">
        <is>
          <t>A 16005-2025</t>
        </is>
      </c>
      <c r="B138" s="1" t="n">
        <v>45749.59765046297</v>
      </c>
      <c r="C138" s="1" t="n">
        <v>45989</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412-2024</t>
        </is>
      </c>
      <c r="B139" s="1" t="n">
        <v>45296</v>
      </c>
      <c r="C139" s="1" t="n">
        <v>45989</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59673-2023</t>
        </is>
      </c>
      <c r="B140" s="1" t="n">
        <v>45255.44603009259</v>
      </c>
      <c r="C140" s="1" t="n">
        <v>45989</v>
      </c>
      <c r="D140" t="inlineStr">
        <is>
          <t>DALARNAS LÄN</t>
        </is>
      </c>
      <c r="E140" t="inlineStr">
        <is>
          <t>LEKSAND</t>
        </is>
      </c>
      <c r="G140" t="n">
        <v>12.2</v>
      </c>
      <c r="H140" t="n">
        <v>0</v>
      </c>
      <c r="I140" t="n">
        <v>0</v>
      </c>
      <c r="J140" t="n">
        <v>0</v>
      </c>
      <c r="K140" t="n">
        <v>0</v>
      </c>
      <c r="L140" t="n">
        <v>0</v>
      </c>
      <c r="M140" t="n">
        <v>0</v>
      </c>
      <c r="N140" t="n">
        <v>0</v>
      </c>
      <c r="O140" t="n">
        <v>0</v>
      </c>
      <c r="P140" t="n">
        <v>0</v>
      </c>
      <c r="Q140" t="n">
        <v>0</v>
      </c>
      <c r="R140" s="2" t="inlineStr"/>
    </row>
    <row r="141" ht="15" customHeight="1">
      <c r="A141" t="inlineStr">
        <is>
          <t>A 23068-2024</t>
        </is>
      </c>
      <c r="B141" s="1" t="n">
        <v>45450.45521990741</v>
      </c>
      <c r="C141" s="1" t="n">
        <v>45989</v>
      </c>
      <c r="D141" t="inlineStr">
        <is>
          <t>DALARNAS LÄN</t>
        </is>
      </c>
      <c r="E141" t="inlineStr">
        <is>
          <t>LEKSAND</t>
        </is>
      </c>
      <c r="G141" t="n">
        <v>2.4</v>
      </c>
      <c r="H141" t="n">
        <v>0</v>
      </c>
      <c r="I141" t="n">
        <v>0</v>
      </c>
      <c r="J141" t="n">
        <v>0</v>
      </c>
      <c r="K141" t="n">
        <v>0</v>
      </c>
      <c r="L141" t="n">
        <v>0</v>
      </c>
      <c r="M141" t="n">
        <v>0</v>
      </c>
      <c r="N141" t="n">
        <v>0</v>
      </c>
      <c r="O141" t="n">
        <v>0</v>
      </c>
      <c r="P141" t="n">
        <v>0</v>
      </c>
      <c r="Q141" t="n">
        <v>0</v>
      </c>
      <c r="R141" s="2" t="inlineStr"/>
    </row>
    <row r="142" ht="15" customHeight="1">
      <c r="A142" t="inlineStr">
        <is>
          <t>A 40755-2024</t>
        </is>
      </c>
      <c r="B142" s="1" t="n">
        <v>45558.45815972222</v>
      </c>
      <c r="C142" s="1" t="n">
        <v>45989</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23615-2024</t>
        </is>
      </c>
      <c r="B143" s="1" t="n">
        <v>45454.43050925926</v>
      </c>
      <c r="C143" s="1" t="n">
        <v>45989</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22281-2024</t>
        </is>
      </c>
      <c r="B144" s="1" t="n">
        <v>45446.54756944445</v>
      </c>
      <c r="C144" s="1" t="n">
        <v>45989</v>
      </c>
      <c r="D144" t="inlineStr">
        <is>
          <t>DALARNAS LÄN</t>
        </is>
      </c>
      <c r="E144" t="inlineStr">
        <is>
          <t>LEKSAND</t>
        </is>
      </c>
      <c r="F144" t="inlineStr">
        <is>
          <t>Bergvik skog väst AB</t>
        </is>
      </c>
      <c r="G144" t="n">
        <v>1.8</v>
      </c>
      <c r="H144" t="n">
        <v>0</v>
      </c>
      <c r="I144" t="n">
        <v>0</v>
      </c>
      <c r="J144" t="n">
        <v>0</v>
      </c>
      <c r="K144" t="n">
        <v>0</v>
      </c>
      <c r="L144" t="n">
        <v>0</v>
      </c>
      <c r="M144" t="n">
        <v>0</v>
      </c>
      <c r="N144" t="n">
        <v>0</v>
      </c>
      <c r="O144" t="n">
        <v>0</v>
      </c>
      <c r="P144" t="n">
        <v>0</v>
      </c>
      <c r="Q144" t="n">
        <v>0</v>
      </c>
      <c r="R144" s="2" t="inlineStr"/>
    </row>
    <row r="145" ht="15" customHeight="1">
      <c r="A145" t="inlineStr">
        <is>
          <t>A 17726-2024</t>
        </is>
      </c>
      <c r="B145" s="1" t="n">
        <v>45418.55609953704</v>
      </c>
      <c r="C145" s="1" t="n">
        <v>45989</v>
      </c>
      <c r="D145" t="inlineStr">
        <is>
          <t>DALARNAS LÄN</t>
        </is>
      </c>
      <c r="E145" t="inlineStr">
        <is>
          <t>LEKSAND</t>
        </is>
      </c>
      <c r="G145" t="n">
        <v>5.2</v>
      </c>
      <c r="H145" t="n">
        <v>0</v>
      </c>
      <c r="I145" t="n">
        <v>0</v>
      </c>
      <c r="J145" t="n">
        <v>0</v>
      </c>
      <c r="K145" t="n">
        <v>0</v>
      </c>
      <c r="L145" t="n">
        <v>0</v>
      </c>
      <c r="M145" t="n">
        <v>0</v>
      </c>
      <c r="N145" t="n">
        <v>0</v>
      </c>
      <c r="O145" t="n">
        <v>0</v>
      </c>
      <c r="P145" t="n">
        <v>0</v>
      </c>
      <c r="Q145" t="n">
        <v>0</v>
      </c>
      <c r="R145" s="2" t="inlineStr"/>
    </row>
    <row r="146" ht="15" customHeight="1">
      <c r="A146" t="inlineStr">
        <is>
          <t>A 5738-2023</t>
        </is>
      </c>
      <c r="B146" s="1" t="n">
        <v>44962</v>
      </c>
      <c r="C146" s="1" t="n">
        <v>45989</v>
      </c>
      <c r="D146" t="inlineStr">
        <is>
          <t>DALARNAS LÄN</t>
        </is>
      </c>
      <c r="E146" t="inlineStr">
        <is>
          <t>LEKSAND</t>
        </is>
      </c>
      <c r="G146" t="n">
        <v>0.2</v>
      </c>
      <c r="H146" t="n">
        <v>0</v>
      </c>
      <c r="I146" t="n">
        <v>0</v>
      </c>
      <c r="J146" t="n">
        <v>0</v>
      </c>
      <c r="K146" t="n">
        <v>0</v>
      </c>
      <c r="L146" t="n">
        <v>0</v>
      </c>
      <c r="M146" t="n">
        <v>0</v>
      </c>
      <c r="N146" t="n">
        <v>0</v>
      </c>
      <c r="O146" t="n">
        <v>0</v>
      </c>
      <c r="P146" t="n">
        <v>0</v>
      </c>
      <c r="Q146" t="n">
        <v>0</v>
      </c>
      <c r="R146" s="2" t="inlineStr"/>
    </row>
    <row r="147" ht="15" customHeight="1">
      <c r="A147" t="inlineStr">
        <is>
          <t>A 60692-2023</t>
        </is>
      </c>
      <c r="B147" s="1" t="n">
        <v>45260.50008101852</v>
      </c>
      <c r="C147" s="1" t="n">
        <v>45989</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5570-2024</t>
        </is>
      </c>
      <c r="B148" s="1" t="n">
        <v>45334</v>
      </c>
      <c r="C148" s="1" t="n">
        <v>45989</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2517-2024</t>
        </is>
      </c>
      <c r="B149" s="1" t="n">
        <v>45313</v>
      </c>
      <c r="C149" s="1" t="n">
        <v>45989</v>
      </c>
      <c r="D149" t="inlineStr">
        <is>
          <t>DALARNAS LÄN</t>
        </is>
      </c>
      <c r="E149" t="inlineStr">
        <is>
          <t>LEKSAND</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43693-2022</t>
        </is>
      </c>
      <c r="B150" s="1" t="n">
        <v>44837.6369212963</v>
      </c>
      <c r="C150" s="1" t="n">
        <v>45989</v>
      </c>
      <c r="D150" t="inlineStr">
        <is>
          <t>DALARNAS LÄN</t>
        </is>
      </c>
      <c r="E150" t="inlineStr">
        <is>
          <t>LEKSAND</t>
        </is>
      </c>
      <c r="G150" t="n">
        <v>2.7</v>
      </c>
      <c r="H150" t="n">
        <v>0</v>
      </c>
      <c r="I150" t="n">
        <v>0</v>
      </c>
      <c r="J150" t="n">
        <v>0</v>
      </c>
      <c r="K150" t="n">
        <v>0</v>
      </c>
      <c r="L150" t="n">
        <v>0</v>
      </c>
      <c r="M150" t="n">
        <v>0</v>
      </c>
      <c r="N150" t="n">
        <v>0</v>
      </c>
      <c r="O150" t="n">
        <v>0</v>
      </c>
      <c r="P150" t="n">
        <v>0</v>
      </c>
      <c r="Q150" t="n">
        <v>0</v>
      </c>
      <c r="R150" s="2" t="inlineStr"/>
    </row>
    <row r="151" ht="15" customHeight="1">
      <c r="A151" t="inlineStr">
        <is>
          <t>A 43735-2022</t>
        </is>
      </c>
      <c r="B151" s="1" t="n">
        <v>44837.70210648148</v>
      </c>
      <c r="C151" s="1" t="n">
        <v>45989</v>
      </c>
      <c r="D151" t="inlineStr">
        <is>
          <t>DALARNAS LÄN</t>
        </is>
      </c>
      <c r="E151" t="inlineStr">
        <is>
          <t>LEKSAND</t>
        </is>
      </c>
      <c r="G151" t="n">
        <v>2.9</v>
      </c>
      <c r="H151" t="n">
        <v>0</v>
      </c>
      <c r="I151" t="n">
        <v>0</v>
      </c>
      <c r="J151" t="n">
        <v>0</v>
      </c>
      <c r="K151" t="n">
        <v>0</v>
      </c>
      <c r="L151" t="n">
        <v>0</v>
      </c>
      <c r="M151" t="n">
        <v>0</v>
      </c>
      <c r="N151" t="n">
        <v>0</v>
      </c>
      <c r="O151" t="n">
        <v>0</v>
      </c>
      <c r="P151" t="n">
        <v>0</v>
      </c>
      <c r="Q151" t="n">
        <v>0</v>
      </c>
      <c r="R151" s="2" t="inlineStr"/>
    </row>
    <row r="152" ht="15" customHeight="1">
      <c r="A152" t="inlineStr">
        <is>
          <t>A 23283-2024</t>
        </is>
      </c>
      <c r="B152" s="1" t="n">
        <v>45453</v>
      </c>
      <c r="C152" s="1" t="n">
        <v>45989</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47121-2021</t>
        </is>
      </c>
      <c r="B153" s="1" t="n">
        <v>44446</v>
      </c>
      <c r="C153" s="1" t="n">
        <v>45989</v>
      </c>
      <c r="D153" t="inlineStr">
        <is>
          <t>DALARNAS LÄN</t>
        </is>
      </c>
      <c r="E153" t="inlineStr">
        <is>
          <t>LEKSAND</t>
        </is>
      </c>
      <c r="G153" t="n">
        <v>3.5</v>
      </c>
      <c r="H153" t="n">
        <v>0</v>
      </c>
      <c r="I153" t="n">
        <v>0</v>
      </c>
      <c r="J153" t="n">
        <v>0</v>
      </c>
      <c r="K153" t="n">
        <v>0</v>
      </c>
      <c r="L153" t="n">
        <v>0</v>
      </c>
      <c r="M153" t="n">
        <v>0</v>
      </c>
      <c r="N153" t="n">
        <v>0</v>
      </c>
      <c r="O153" t="n">
        <v>0</v>
      </c>
      <c r="P153" t="n">
        <v>0</v>
      </c>
      <c r="Q153" t="n">
        <v>0</v>
      </c>
      <c r="R153" s="2" t="inlineStr"/>
    </row>
    <row r="154" ht="15" customHeight="1">
      <c r="A154" t="inlineStr">
        <is>
          <t>A 61614-2023</t>
        </is>
      </c>
      <c r="B154" s="1" t="n">
        <v>45261</v>
      </c>
      <c r="C154" s="1" t="n">
        <v>45989</v>
      </c>
      <c r="D154" t="inlineStr">
        <is>
          <t>DALARNAS LÄN</t>
        </is>
      </c>
      <c r="E154" t="inlineStr">
        <is>
          <t>LEKSAND</t>
        </is>
      </c>
      <c r="G154" t="n">
        <v>0.8</v>
      </c>
      <c r="H154" t="n">
        <v>0</v>
      </c>
      <c r="I154" t="n">
        <v>0</v>
      </c>
      <c r="J154" t="n">
        <v>0</v>
      </c>
      <c r="K154" t="n">
        <v>0</v>
      </c>
      <c r="L154" t="n">
        <v>0</v>
      </c>
      <c r="M154" t="n">
        <v>0</v>
      </c>
      <c r="N154" t="n">
        <v>0</v>
      </c>
      <c r="O154" t="n">
        <v>0</v>
      </c>
      <c r="P154" t="n">
        <v>0</v>
      </c>
      <c r="Q154" t="n">
        <v>0</v>
      </c>
      <c r="R154" s="2" t="inlineStr"/>
    </row>
    <row r="155" ht="15" customHeight="1">
      <c r="A155" t="inlineStr">
        <is>
          <t>A 32688-2024</t>
        </is>
      </c>
      <c r="B155" s="1" t="n">
        <v>45515.83091435185</v>
      </c>
      <c r="C155" s="1" t="n">
        <v>45989</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26062-2024</t>
        </is>
      </c>
      <c r="B156" s="1" t="n">
        <v>45468.3509375</v>
      </c>
      <c r="C156" s="1" t="n">
        <v>45989</v>
      </c>
      <c r="D156" t="inlineStr">
        <is>
          <t>DALARNAS LÄN</t>
        </is>
      </c>
      <c r="E156" t="inlineStr">
        <is>
          <t>LEKSAND</t>
        </is>
      </c>
      <c r="F156" t="inlineStr">
        <is>
          <t>Övriga statliga verk och myndigheter</t>
        </is>
      </c>
      <c r="G156" t="n">
        <v>6.4</v>
      </c>
      <c r="H156" t="n">
        <v>0</v>
      </c>
      <c r="I156" t="n">
        <v>0</v>
      </c>
      <c r="J156" t="n">
        <v>0</v>
      </c>
      <c r="K156" t="n">
        <v>0</v>
      </c>
      <c r="L156" t="n">
        <v>0</v>
      </c>
      <c r="M156" t="n">
        <v>0</v>
      </c>
      <c r="N156" t="n">
        <v>0</v>
      </c>
      <c r="O156" t="n">
        <v>0</v>
      </c>
      <c r="P156" t="n">
        <v>0</v>
      </c>
      <c r="Q156" t="n">
        <v>0</v>
      </c>
      <c r="R156" s="2" t="inlineStr"/>
    </row>
    <row r="157" ht="15" customHeight="1">
      <c r="A157" t="inlineStr">
        <is>
          <t>A 30204-2024</t>
        </is>
      </c>
      <c r="B157" s="1" t="n">
        <v>45490.35402777778</v>
      </c>
      <c r="C157" s="1" t="n">
        <v>45989</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19618-2024</t>
        </is>
      </c>
      <c r="B158" s="1" t="n">
        <v>45432.32896990741</v>
      </c>
      <c r="C158" s="1" t="n">
        <v>45989</v>
      </c>
      <c r="D158" t="inlineStr">
        <is>
          <t>DALARNAS LÄN</t>
        </is>
      </c>
      <c r="E158" t="inlineStr">
        <is>
          <t>LEKSAND</t>
        </is>
      </c>
      <c r="G158" t="n">
        <v>1.5</v>
      </c>
      <c r="H158" t="n">
        <v>0</v>
      </c>
      <c r="I158" t="n">
        <v>0</v>
      </c>
      <c r="J158" t="n">
        <v>0</v>
      </c>
      <c r="K158" t="n">
        <v>0</v>
      </c>
      <c r="L158" t="n">
        <v>0</v>
      </c>
      <c r="M158" t="n">
        <v>0</v>
      </c>
      <c r="N158" t="n">
        <v>0</v>
      </c>
      <c r="O158" t="n">
        <v>0</v>
      </c>
      <c r="P158" t="n">
        <v>0</v>
      </c>
      <c r="Q158" t="n">
        <v>0</v>
      </c>
      <c r="R158" s="2" t="inlineStr"/>
    </row>
    <row r="159" ht="15" customHeight="1">
      <c r="A159" t="inlineStr">
        <is>
          <t>A 34585-2024</t>
        </is>
      </c>
      <c r="B159" s="1" t="n">
        <v>45526.37697916666</v>
      </c>
      <c r="C159" s="1" t="n">
        <v>45989</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7928-2023</t>
        </is>
      </c>
      <c r="B160" s="1" t="n">
        <v>44973</v>
      </c>
      <c r="C160" s="1" t="n">
        <v>45989</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63514-2023</t>
        </is>
      </c>
      <c r="B161" s="1" t="n">
        <v>45274</v>
      </c>
      <c r="C161" s="1" t="n">
        <v>45989</v>
      </c>
      <c r="D161" t="inlineStr">
        <is>
          <t>DALARNAS LÄN</t>
        </is>
      </c>
      <c r="E161" t="inlineStr">
        <is>
          <t>LEKSAND</t>
        </is>
      </c>
      <c r="G161" t="n">
        <v>1</v>
      </c>
      <c r="H161" t="n">
        <v>0</v>
      </c>
      <c r="I161" t="n">
        <v>0</v>
      </c>
      <c r="J161" t="n">
        <v>0</v>
      </c>
      <c r="K161" t="n">
        <v>0</v>
      </c>
      <c r="L161" t="n">
        <v>0</v>
      </c>
      <c r="M161" t="n">
        <v>0</v>
      </c>
      <c r="N161" t="n">
        <v>0</v>
      </c>
      <c r="O161" t="n">
        <v>0</v>
      </c>
      <c r="P161" t="n">
        <v>0</v>
      </c>
      <c r="Q161" t="n">
        <v>0</v>
      </c>
      <c r="R161" s="2" t="inlineStr"/>
    </row>
    <row r="162" ht="15" customHeight="1">
      <c r="A162" t="inlineStr">
        <is>
          <t>A 4121-2024</t>
        </is>
      </c>
      <c r="B162" s="1" t="n">
        <v>45323</v>
      </c>
      <c r="C162" s="1" t="n">
        <v>45989</v>
      </c>
      <c r="D162" t="inlineStr">
        <is>
          <t>DALARNAS LÄN</t>
        </is>
      </c>
      <c r="E162" t="inlineStr">
        <is>
          <t>LEKSAND</t>
        </is>
      </c>
      <c r="G162" t="n">
        <v>1.3</v>
      </c>
      <c r="H162" t="n">
        <v>0</v>
      </c>
      <c r="I162" t="n">
        <v>0</v>
      </c>
      <c r="J162" t="n">
        <v>0</v>
      </c>
      <c r="K162" t="n">
        <v>0</v>
      </c>
      <c r="L162" t="n">
        <v>0</v>
      </c>
      <c r="M162" t="n">
        <v>0</v>
      </c>
      <c r="N162" t="n">
        <v>0</v>
      </c>
      <c r="O162" t="n">
        <v>0</v>
      </c>
      <c r="P162" t="n">
        <v>0</v>
      </c>
      <c r="Q162" t="n">
        <v>0</v>
      </c>
      <c r="R162" s="2" t="inlineStr"/>
    </row>
    <row r="163" ht="15" customHeight="1">
      <c r="A163" t="inlineStr">
        <is>
          <t>A 30860-2024</t>
        </is>
      </c>
      <c r="B163" s="1" t="n">
        <v>45497.69108796296</v>
      </c>
      <c r="C163" s="1" t="n">
        <v>45989</v>
      </c>
      <c r="D163" t="inlineStr">
        <is>
          <t>DALARNAS LÄN</t>
        </is>
      </c>
      <c r="E163" t="inlineStr">
        <is>
          <t>LEKSAND</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30864-2024</t>
        </is>
      </c>
      <c r="B164" s="1" t="n">
        <v>45497.71550925926</v>
      </c>
      <c r="C164" s="1" t="n">
        <v>45989</v>
      </c>
      <c r="D164" t="inlineStr">
        <is>
          <t>DALARNAS LÄN</t>
        </is>
      </c>
      <c r="E164" t="inlineStr">
        <is>
          <t>LEKSAND</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24373-2025</t>
        </is>
      </c>
      <c r="B165" s="1" t="n">
        <v>45797.61113425926</v>
      </c>
      <c r="C165" s="1" t="n">
        <v>45989</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72575-2021</t>
        </is>
      </c>
      <c r="B166" s="1" t="n">
        <v>44546</v>
      </c>
      <c r="C166" s="1" t="n">
        <v>45989</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72581-2021</t>
        </is>
      </c>
      <c r="B167" s="1" t="n">
        <v>44546.46354166666</v>
      </c>
      <c r="C167" s="1" t="n">
        <v>45989</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40868-2024</t>
        </is>
      </c>
      <c r="B168" s="1" t="n">
        <v>45558</v>
      </c>
      <c r="C168" s="1" t="n">
        <v>45989</v>
      </c>
      <c r="D168" t="inlineStr">
        <is>
          <t>DALARNAS LÄN</t>
        </is>
      </c>
      <c r="E168" t="inlineStr">
        <is>
          <t>LEKSAND</t>
        </is>
      </c>
      <c r="G168" t="n">
        <v>0.8</v>
      </c>
      <c r="H168" t="n">
        <v>0</v>
      </c>
      <c r="I168" t="n">
        <v>0</v>
      </c>
      <c r="J168" t="n">
        <v>0</v>
      </c>
      <c r="K168" t="n">
        <v>0</v>
      </c>
      <c r="L168" t="n">
        <v>0</v>
      </c>
      <c r="M168" t="n">
        <v>0</v>
      </c>
      <c r="N168" t="n">
        <v>0</v>
      </c>
      <c r="O168" t="n">
        <v>0</v>
      </c>
      <c r="P168" t="n">
        <v>0</v>
      </c>
      <c r="Q168" t="n">
        <v>0</v>
      </c>
      <c r="R168" s="2" t="inlineStr"/>
    </row>
    <row r="169" ht="15" customHeight="1">
      <c r="A169" t="inlineStr">
        <is>
          <t>A 22646-2025</t>
        </is>
      </c>
      <c r="B169" s="1" t="n">
        <v>45786</v>
      </c>
      <c r="C169" s="1" t="n">
        <v>45989</v>
      </c>
      <c r="D169" t="inlineStr">
        <is>
          <t>DALARNAS LÄN</t>
        </is>
      </c>
      <c r="E169" t="inlineStr">
        <is>
          <t>LEKSAND</t>
        </is>
      </c>
      <c r="F169" t="inlineStr">
        <is>
          <t>Kommuner</t>
        </is>
      </c>
      <c r="G169" t="n">
        <v>1.6</v>
      </c>
      <c r="H169" t="n">
        <v>0</v>
      </c>
      <c r="I169" t="n">
        <v>0</v>
      </c>
      <c r="J169" t="n">
        <v>0</v>
      </c>
      <c r="K169" t="n">
        <v>0</v>
      </c>
      <c r="L169" t="n">
        <v>0</v>
      </c>
      <c r="M169" t="n">
        <v>0</v>
      </c>
      <c r="N169" t="n">
        <v>0</v>
      </c>
      <c r="O169" t="n">
        <v>0</v>
      </c>
      <c r="P169" t="n">
        <v>0</v>
      </c>
      <c r="Q169" t="n">
        <v>0</v>
      </c>
      <c r="R169" s="2" t="inlineStr"/>
    </row>
    <row r="170" ht="15" customHeight="1">
      <c r="A170" t="inlineStr">
        <is>
          <t>A 5582-2024</t>
        </is>
      </c>
      <c r="B170" s="1" t="n">
        <v>45334</v>
      </c>
      <c r="C170" s="1" t="n">
        <v>45989</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5584-2024</t>
        </is>
      </c>
      <c r="B171" s="1" t="n">
        <v>45334</v>
      </c>
      <c r="C171" s="1" t="n">
        <v>45989</v>
      </c>
      <c r="D171" t="inlineStr">
        <is>
          <t>DALARNAS LÄN</t>
        </is>
      </c>
      <c r="E171" t="inlineStr">
        <is>
          <t>LEKSAND</t>
        </is>
      </c>
      <c r="F171" t="inlineStr">
        <is>
          <t>Kyrkan</t>
        </is>
      </c>
      <c r="G171" t="n">
        <v>0.4</v>
      </c>
      <c r="H171" t="n">
        <v>0</v>
      </c>
      <c r="I171" t="n">
        <v>0</v>
      </c>
      <c r="J171" t="n">
        <v>0</v>
      </c>
      <c r="K171" t="n">
        <v>0</v>
      </c>
      <c r="L171" t="n">
        <v>0</v>
      </c>
      <c r="M171" t="n">
        <v>0</v>
      </c>
      <c r="N171" t="n">
        <v>0</v>
      </c>
      <c r="O171" t="n">
        <v>0</v>
      </c>
      <c r="P171" t="n">
        <v>0</v>
      </c>
      <c r="Q171" t="n">
        <v>0</v>
      </c>
      <c r="R171" s="2" t="inlineStr"/>
    </row>
    <row r="172" ht="15" customHeight="1">
      <c r="A172" t="inlineStr">
        <is>
          <t>A 24369-2025</t>
        </is>
      </c>
      <c r="B172" s="1" t="n">
        <v>45797.60731481481</v>
      </c>
      <c r="C172" s="1" t="n">
        <v>45989</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24715-2025</t>
        </is>
      </c>
      <c r="B173" s="1" t="n">
        <v>45798.97899305556</v>
      </c>
      <c r="C173" s="1" t="n">
        <v>45989</v>
      </c>
      <c r="D173" t="inlineStr">
        <is>
          <t>DALARNAS LÄN</t>
        </is>
      </c>
      <c r="E173" t="inlineStr">
        <is>
          <t>LEKSAND</t>
        </is>
      </c>
      <c r="G173" t="n">
        <v>8.4</v>
      </c>
      <c r="H173" t="n">
        <v>0</v>
      </c>
      <c r="I173" t="n">
        <v>0</v>
      </c>
      <c r="J173" t="n">
        <v>0</v>
      </c>
      <c r="K173" t="n">
        <v>0</v>
      </c>
      <c r="L173" t="n">
        <v>0</v>
      </c>
      <c r="M173" t="n">
        <v>0</v>
      </c>
      <c r="N173" t="n">
        <v>0</v>
      </c>
      <c r="O173" t="n">
        <v>0</v>
      </c>
      <c r="P173" t="n">
        <v>0</v>
      </c>
      <c r="Q173" t="n">
        <v>0</v>
      </c>
      <c r="R173" s="2" t="inlineStr"/>
    </row>
    <row r="174" ht="15" customHeight="1">
      <c r="A174" t="inlineStr">
        <is>
          <t>A 25096-2025</t>
        </is>
      </c>
      <c r="B174" s="1" t="n">
        <v>45800.33868055556</v>
      </c>
      <c r="C174" s="1" t="n">
        <v>45989</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40752-2024</t>
        </is>
      </c>
      <c r="B175" s="1" t="n">
        <v>45558.45638888889</v>
      </c>
      <c r="C175" s="1" t="n">
        <v>45989</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25105-2025</t>
        </is>
      </c>
      <c r="B176" s="1" t="n">
        <v>45800.34751157407</v>
      </c>
      <c r="C176" s="1" t="n">
        <v>45989</v>
      </c>
      <c r="D176" t="inlineStr">
        <is>
          <t>DALARNAS LÄN</t>
        </is>
      </c>
      <c r="E176" t="inlineStr">
        <is>
          <t>LEKSAND</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38498-2025</t>
        </is>
      </c>
      <c r="B177" s="1" t="n">
        <v>45884.3706712963</v>
      </c>
      <c r="C177" s="1" t="n">
        <v>45989</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58244-2024</t>
        </is>
      </c>
      <c r="B178" s="1" t="n">
        <v>45631</v>
      </c>
      <c r="C178" s="1" t="n">
        <v>45989</v>
      </c>
      <c r="D178" t="inlineStr">
        <is>
          <t>DALARNAS LÄN</t>
        </is>
      </c>
      <c r="E178" t="inlineStr">
        <is>
          <t>LEKSAND</t>
        </is>
      </c>
      <c r="G178" t="n">
        <v>1.9</v>
      </c>
      <c r="H178" t="n">
        <v>0</v>
      </c>
      <c r="I178" t="n">
        <v>0</v>
      </c>
      <c r="J178" t="n">
        <v>0</v>
      </c>
      <c r="K178" t="n">
        <v>0</v>
      </c>
      <c r="L178" t="n">
        <v>0</v>
      </c>
      <c r="M178" t="n">
        <v>0</v>
      </c>
      <c r="N178" t="n">
        <v>0</v>
      </c>
      <c r="O178" t="n">
        <v>0</v>
      </c>
      <c r="P178" t="n">
        <v>0</v>
      </c>
      <c r="Q178" t="n">
        <v>0</v>
      </c>
      <c r="R178" s="2" t="inlineStr"/>
    </row>
    <row r="179" ht="15" customHeight="1">
      <c r="A179" t="inlineStr">
        <is>
          <t>A 62161-2024</t>
        </is>
      </c>
      <c r="B179" s="1" t="n">
        <v>45656.86009259259</v>
      </c>
      <c r="C179" s="1" t="n">
        <v>45989</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11606-2025</t>
        </is>
      </c>
      <c r="B180" s="1" t="n">
        <v>45727</v>
      </c>
      <c r="C180" s="1" t="n">
        <v>45989</v>
      </c>
      <c r="D180" t="inlineStr">
        <is>
          <t>DALARNAS LÄN</t>
        </is>
      </c>
      <c r="E180" t="inlineStr">
        <is>
          <t>LEKSAND</t>
        </is>
      </c>
      <c r="G180" t="n">
        <v>2.3</v>
      </c>
      <c r="H180" t="n">
        <v>0</v>
      </c>
      <c r="I180" t="n">
        <v>0</v>
      </c>
      <c r="J180" t="n">
        <v>0</v>
      </c>
      <c r="K180" t="n">
        <v>0</v>
      </c>
      <c r="L180" t="n">
        <v>0</v>
      </c>
      <c r="M180" t="n">
        <v>0</v>
      </c>
      <c r="N180" t="n">
        <v>0</v>
      </c>
      <c r="O180" t="n">
        <v>0</v>
      </c>
      <c r="P180" t="n">
        <v>0</v>
      </c>
      <c r="Q180" t="n">
        <v>0</v>
      </c>
      <c r="R180" s="2" t="inlineStr"/>
    </row>
    <row r="181" ht="15" customHeight="1">
      <c r="A181" t="inlineStr">
        <is>
          <t>A 21954-2023</t>
        </is>
      </c>
      <c r="B181" s="1" t="n">
        <v>45068</v>
      </c>
      <c r="C181" s="1" t="n">
        <v>45989</v>
      </c>
      <c r="D181" t="inlineStr">
        <is>
          <t>DALARNAS LÄN</t>
        </is>
      </c>
      <c r="E181" t="inlineStr">
        <is>
          <t>LEKSAND</t>
        </is>
      </c>
      <c r="G181" t="n">
        <v>0.8</v>
      </c>
      <c r="H181" t="n">
        <v>0</v>
      </c>
      <c r="I181" t="n">
        <v>0</v>
      </c>
      <c r="J181" t="n">
        <v>0</v>
      </c>
      <c r="K181" t="n">
        <v>0</v>
      </c>
      <c r="L181" t="n">
        <v>0</v>
      </c>
      <c r="M181" t="n">
        <v>0</v>
      </c>
      <c r="N181" t="n">
        <v>0</v>
      </c>
      <c r="O181" t="n">
        <v>0</v>
      </c>
      <c r="P181" t="n">
        <v>0</v>
      </c>
      <c r="Q181" t="n">
        <v>0</v>
      </c>
      <c r="R181" s="2" t="inlineStr"/>
    </row>
    <row r="182" ht="15" customHeight="1">
      <c r="A182" t="inlineStr">
        <is>
          <t>A 31255-2023</t>
        </is>
      </c>
      <c r="B182" s="1" t="n">
        <v>45114.36729166667</v>
      </c>
      <c r="C182" s="1" t="n">
        <v>45989</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8743-2023</t>
        </is>
      </c>
      <c r="B183" s="1" t="n">
        <v>44978</v>
      </c>
      <c r="C183" s="1" t="n">
        <v>45989</v>
      </c>
      <c r="D183" t="inlineStr">
        <is>
          <t>DALARNAS LÄN</t>
        </is>
      </c>
      <c r="E183" t="inlineStr">
        <is>
          <t>LEKSAND</t>
        </is>
      </c>
      <c r="G183" t="n">
        <v>3</v>
      </c>
      <c r="H183" t="n">
        <v>0</v>
      </c>
      <c r="I183" t="n">
        <v>0</v>
      </c>
      <c r="J183" t="n">
        <v>0</v>
      </c>
      <c r="K183" t="n">
        <v>0</v>
      </c>
      <c r="L183" t="n">
        <v>0</v>
      </c>
      <c r="M183" t="n">
        <v>0</v>
      </c>
      <c r="N183" t="n">
        <v>0</v>
      </c>
      <c r="O183" t="n">
        <v>0</v>
      </c>
      <c r="P183" t="n">
        <v>0</v>
      </c>
      <c r="Q183" t="n">
        <v>0</v>
      </c>
      <c r="R183" s="2" t="inlineStr"/>
    </row>
    <row r="184" ht="15" customHeight="1">
      <c r="A184" t="inlineStr">
        <is>
          <t>A 25610-2025</t>
        </is>
      </c>
      <c r="B184" s="1" t="n">
        <v>45803.56033564815</v>
      </c>
      <c r="C184" s="1" t="n">
        <v>45989</v>
      </c>
      <c r="D184" t="inlineStr">
        <is>
          <t>DALARNAS LÄN</t>
        </is>
      </c>
      <c r="E184" t="inlineStr">
        <is>
          <t>LEKSAND</t>
        </is>
      </c>
      <c r="G184" t="n">
        <v>5.2</v>
      </c>
      <c r="H184" t="n">
        <v>0</v>
      </c>
      <c r="I184" t="n">
        <v>0</v>
      </c>
      <c r="J184" t="n">
        <v>0</v>
      </c>
      <c r="K184" t="n">
        <v>0</v>
      </c>
      <c r="L184" t="n">
        <v>0</v>
      </c>
      <c r="M184" t="n">
        <v>0</v>
      </c>
      <c r="N184" t="n">
        <v>0</v>
      </c>
      <c r="O184" t="n">
        <v>0</v>
      </c>
      <c r="P184" t="n">
        <v>0</v>
      </c>
      <c r="Q184" t="n">
        <v>0</v>
      </c>
      <c r="R184" s="2" t="inlineStr"/>
    </row>
    <row r="185" ht="15" customHeight="1">
      <c r="A185" t="inlineStr">
        <is>
          <t>A 63544-2023</t>
        </is>
      </c>
      <c r="B185" s="1" t="n">
        <v>45275</v>
      </c>
      <c r="C185" s="1" t="n">
        <v>45989</v>
      </c>
      <c r="D185" t="inlineStr">
        <is>
          <t>DALARNAS LÄN</t>
        </is>
      </c>
      <c r="E185" t="inlineStr">
        <is>
          <t>LEKSAND</t>
        </is>
      </c>
      <c r="G185" t="n">
        <v>0.3</v>
      </c>
      <c r="H185" t="n">
        <v>0</v>
      </c>
      <c r="I185" t="n">
        <v>0</v>
      </c>
      <c r="J185" t="n">
        <v>0</v>
      </c>
      <c r="K185" t="n">
        <v>0</v>
      </c>
      <c r="L185" t="n">
        <v>0</v>
      </c>
      <c r="M185" t="n">
        <v>0</v>
      </c>
      <c r="N185" t="n">
        <v>0</v>
      </c>
      <c r="O185" t="n">
        <v>0</v>
      </c>
      <c r="P185" t="n">
        <v>0</v>
      </c>
      <c r="Q185" t="n">
        <v>0</v>
      </c>
      <c r="R185" s="2" t="inlineStr"/>
    </row>
    <row r="186" ht="15" customHeight="1">
      <c r="A186" t="inlineStr">
        <is>
          <t>A 47640-2024</t>
        </is>
      </c>
      <c r="B186" s="1" t="n">
        <v>45588.36508101852</v>
      </c>
      <c r="C186" s="1" t="n">
        <v>45989</v>
      </c>
      <c r="D186" t="inlineStr">
        <is>
          <t>DALARNAS LÄN</t>
        </is>
      </c>
      <c r="E186" t="inlineStr">
        <is>
          <t>LEKSAND</t>
        </is>
      </c>
      <c r="G186" t="n">
        <v>9.1</v>
      </c>
      <c r="H186" t="n">
        <v>0</v>
      </c>
      <c r="I186" t="n">
        <v>0</v>
      </c>
      <c r="J186" t="n">
        <v>0</v>
      </c>
      <c r="K186" t="n">
        <v>0</v>
      </c>
      <c r="L186" t="n">
        <v>0</v>
      </c>
      <c r="M186" t="n">
        <v>0</v>
      </c>
      <c r="N186" t="n">
        <v>0</v>
      </c>
      <c r="O186" t="n">
        <v>0</v>
      </c>
      <c r="P186" t="n">
        <v>0</v>
      </c>
      <c r="Q186" t="n">
        <v>0</v>
      </c>
      <c r="R186" s="2" t="inlineStr"/>
    </row>
    <row r="187" ht="15" customHeight="1">
      <c r="A187" t="inlineStr">
        <is>
          <t>A 7897-2025</t>
        </is>
      </c>
      <c r="B187" s="1" t="n">
        <v>45707.30969907407</v>
      </c>
      <c r="C187" s="1" t="n">
        <v>45989</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38721-2025</t>
        </is>
      </c>
      <c r="B188" s="1" t="n">
        <v>45886.83605324074</v>
      </c>
      <c r="C188" s="1" t="n">
        <v>45989</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39546-2025</t>
        </is>
      </c>
      <c r="B189" s="1" t="n">
        <v>45890.45706018519</v>
      </c>
      <c r="C189" s="1" t="n">
        <v>45989</v>
      </c>
      <c r="D189" t="inlineStr">
        <is>
          <t>DALARNAS LÄN</t>
        </is>
      </c>
      <c r="E189" t="inlineStr">
        <is>
          <t>LEKSAND</t>
        </is>
      </c>
      <c r="G189" t="n">
        <v>4.6</v>
      </c>
      <c r="H189" t="n">
        <v>0</v>
      </c>
      <c r="I189" t="n">
        <v>0</v>
      </c>
      <c r="J189" t="n">
        <v>0</v>
      </c>
      <c r="K189" t="n">
        <v>0</v>
      </c>
      <c r="L189" t="n">
        <v>0</v>
      </c>
      <c r="M189" t="n">
        <v>0</v>
      </c>
      <c r="N189" t="n">
        <v>0</v>
      </c>
      <c r="O189" t="n">
        <v>0</v>
      </c>
      <c r="P189" t="n">
        <v>0</v>
      </c>
      <c r="Q189" t="n">
        <v>0</v>
      </c>
      <c r="R189" s="2" t="inlineStr"/>
    </row>
    <row r="190" ht="15" customHeight="1">
      <c r="A190" t="inlineStr">
        <is>
          <t>A 39572-2025</t>
        </is>
      </c>
      <c r="B190" s="1" t="n">
        <v>45890</v>
      </c>
      <c r="C190" s="1" t="n">
        <v>45989</v>
      </c>
      <c r="D190" t="inlineStr">
        <is>
          <t>DALARNAS LÄN</t>
        </is>
      </c>
      <c r="E190" t="inlineStr">
        <is>
          <t>LEKSAND</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39569-2025</t>
        </is>
      </c>
      <c r="B191" s="1" t="n">
        <v>45890</v>
      </c>
      <c r="C191" s="1" t="n">
        <v>45989</v>
      </c>
      <c r="D191" t="inlineStr">
        <is>
          <t>DALARNAS LÄN</t>
        </is>
      </c>
      <c r="E191" t="inlineStr">
        <is>
          <t>LEKSAND</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28032-2024</t>
        </is>
      </c>
      <c r="B192" s="1" t="n">
        <v>45476.49346064815</v>
      </c>
      <c r="C192" s="1" t="n">
        <v>45989</v>
      </c>
      <c r="D192" t="inlineStr">
        <is>
          <t>DALARNAS LÄN</t>
        </is>
      </c>
      <c r="E192" t="inlineStr">
        <is>
          <t>LEKSAND</t>
        </is>
      </c>
      <c r="G192" t="n">
        <v>2</v>
      </c>
      <c r="H192" t="n">
        <v>0</v>
      </c>
      <c r="I192" t="n">
        <v>0</v>
      </c>
      <c r="J192" t="n">
        <v>0</v>
      </c>
      <c r="K192" t="n">
        <v>0</v>
      </c>
      <c r="L192" t="n">
        <v>0</v>
      </c>
      <c r="M192" t="n">
        <v>0</v>
      </c>
      <c r="N192" t="n">
        <v>0</v>
      </c>
      <c r="O192" t="n">
        <v>0</v>
      </c>
      <c r="P192" t="n">
        <v>0</v>
      </c>
      <c r="Q192" t="n">
        <v>0</v>
      </c>
      <c r="R192" s="2" t="inlineStr"/>
    </row>
    <row r="193" ht="15" customHeight="1">
      <c r="A193" t="inlineStr">
        <is>
          <t>A 19550-2023</t>
        </is>
      </c>
      <c r="B193" s="1" t="n">
        <v>45049</v>
      </c>
      <c r="C193" s="1" t="n">
        <v>45989</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33593-2024</t>
        </is>
      </c>
      <c r="B194" s="1" t="n">
        <v>45520.36055555556</v>
      </c>
      <c r="C194" s="1" t="n">
        <v>45989</v>
      </c>
      <c r="D194" t="inlineStr">
        <is>
          <t>DALARNAS LÄN</t>
        </is>
      </c>
      <c r="E194" t="inlineStr">
        <is>
          <t>LEKSAND</t>
        </is>
      </c>
      <c r="G194" t="n">
        <v>0.3</v>
      </c>
      <c r="H194" t="n">
        <v>0</v>
      </c>
      <c r="I194" t="n">
        <v>0</v>
      </c>
      <c r="J194" t="n">
        <v>0</v>
      </c>
      <c r="K194" t="n">
        <v>0</v>
      </c>
      <c r="L194" t="n">
        <v>0</v>
      </c>
      <c r="M194" t="n">
        <v>0</v>
      </c>
      <c r="N194" t="n">
        <v>0</v>
      </c>
      <c r="O194" t="n">
        <v>0</v>
      </c>
      <c r="P194" t="n">
        <v>0</v>
      </c>
      <c r="Q194" t="n">
        <v>0</v>
      </c>
      <c r="R194" s="2" t="inlineStr"/>
    </row>
    <row r="195" ht="15" customHeight="1">
      <c r="A195" t="inlineStr">
        <is>
          <t>A 47203-2023</t>
        </is>
      </c>
      <c r="B195" s="1" t="n">
        <v>45202</v>
      </c>
      <c r="C195" s="1" t="n">
        <v>45989</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39516-2025</t>
        </is>
      </c>
      <c r="B196" s="1" t="n">
        <v>45890.42633101852</v>
      </c>
      <c r="C196" s="1" t="n">
        <v>45989</v>
      </c>
      <c r="D196" t="inlineStr">
        <is>
          <t>DALARNAS LÄN</t>
        </is>
      </c>
      <c r="E196" t="inlineStr">
        <is>
          <t>LEKSAND</t>
        </is>
      </c>
      <c r="G196" t="n">
        <v>3.6</v>
      </c>
      <c r="H196" t="n">
        <v>0</v>
      </c>
      <c r="I196" t="n">
        <v>0</v>
      </c>
      <c r="J196" t="n">
        <v>0</v>
      </c>
      <c r="K196" t="n">
        <v>0</v>
      </c>
      <c r="L196" t="n">
        <v>0</v>
      </c>
      <c r="M196" t="n">
        <v>0</v>
      </c>
      <c r="N196" t="n">
        <v>0</v>
      </c>
      <c r="O196" t="n">
        <v>0</v>
      </c>
      <c r="P196" t="n">
        <v>0</v>
      </c>
      <c r="Q196" t="n">
        <v>0</v>
      </c>
      <c r="R196" s="2" t="inlineStr"/>
    </row>
    <row r="197" ht="15" customHeight="1">
      <c r="A197" t="inlineStr">
        <is>
          <t>A 9105-2024</t>
        </is>
      </c>
      <c r="B197" s="1" t="n">
        <v>45357</v>
      </c>
      <c r="C197" s="1" t="n">
        <v>45989</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39660-2025</t>
        </is>
      </c>
      <c r="B198" s="1" t="n">
        <v>45890.63006944444</v>
      </c>
      <c r="C198" s="1" t="n">
        <v>45989</v>
      </c>
      <c r="D198" t="inlineStr">
        <is>
          <t>DALARNAS LÄN</t>
        </is>
      </c>
      <c r="E198" t="inlineStr">
        <is>
          <t>LEKSAND</t>
        </is>
      </c>
      <c r="F198" t="inlineStr">
        <is>
          <t>Bergvik skog väst AB</t>
        </is>
      </c>
      <c r="G198" t="n">
        <v>5.8</v>
      </c>
      <c r="H198" t="n">
        <v>0</v>
      </c>
      <c r="I198" t="n">
        <v>0</v>
      </c>
      <c r="J198" t="n">
        <v>0</v>
      </c>
      <c r="K198" t="n">
        <v>0</v>
      </c>
      <c r="L198" t="n">
        <v>0</v>
      </c>
      <c r="M198" t="n">
        <v>0</v>
      </c>
      <c r="N198" t="n">
        <v>0</v>
      </c>
      <c r="O198" t="n">
        <v>0</v>
      </c>
      <c r="P198" t="n">
        <v>0</v>
      </c>
      <c r="Q198" t="n">
        <v>0</v>
      </c>
      <c r="R198" s="2" t="inlineStr"/>
    </row>
    <row r="199" ht="15" customHeight="1">
      <c r="A199" t="inlineStr">
        <is>
          <t>A 39693-2025</t>
        </is>
      </c>
      <c r="B199" s="1" t="n">
        <v>45890.68304398148</v>
      </c>
      <c r="C199" s="1" t="n">
        <v>45989</v>
      </c>
      <c r="D199" t="inlineStr">
        <is>
          <t>DALARNAS LÄN</t>
        </is>
      </c>
      <c r="E199" t="inlineStr">
        <is>
          <t>LEKSAND</t>
        </is>
      </c>
      <c r="G199" t="n">
        <v>3.1</v>
      </c>
      <c r="H199" t="n">
        <v>0</v>
      </c>
      <c r="I199" t="n">
        <v>0</v>
      </c>
      <c r="J199" t="n">
        <v>0</v>
      </c>
      <c r="K199" t="n">
        <v>0</v>
      </c>
      <c r="L199" t="n">
        <v>0</v>
      </c>
      <c r="M199" t="n">
        <v>0</v>
      </c>
      <c r="N199" t="n">
        <v>0</v>
      </c>
      <c r="O199" t="n">
        <v>0</v>
      </c>
      <c r="P199" t="n">
        <v>0</v>
      </c>
      <c r="Q199" t="n">
        <v>0</v>
      </c>
      <c r="R199" s="2" t="inlineStr"/>
    </row>
    <row r="200" ht="15" customHeight="1">
      <c r="A200" t="inlineStr">
        <is>
          <t>A 50447-2023</t>
        </is>
      </c>
      <c r="B200" s="1" t="n">
        <v>45216.72185185185</v>
      </c>
      <c r="C200" s="1" t="n">
        <v>45989</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26386-2025</t>
        </is>
      </c>
      <c r="B201" s="1" t="n">
        <v>45806</v>
      </c>
      <c r="C201" s="1" t="n">
        <v>45989</v>
      </c>
      <c r="D201" t="inlineStr">
        <is>
          <t>DALARNAS LÄN</t>
        </is>
      </c>
      <c r="E201" t="inlineStr">
        <is>
          <t>LEKSAND</t>
        </is>
      </c>
      <c r="F201" t="inlineStr">
        <is>
          <t>Bergvik skog väst AB</t>
        </is>
      </c>
      <c r="G201" t="n">
        <v>26.3</v>
      </c>
      <c r="H201" t="n">
        <v>0</v>
      </c>
      <c r="I201" t="n">
        <v>0</v>
      </c>
      <c r="J201" t="n">
        <v>0</v>
      </c>
      <c r="K201" t="n">
        <v>0</v>
      </c>
      <c r="L201" t="n">
        <v>0</v>
      </c>
      <c r="M201" t="n">
        <v>0</v>
      </c>
      <c r="N201" t="n">
        <v>0</v>
      </c>
      <c r="O201" t="n">
        <v>0</v>
      </c>
      <c r="P201" t="n">
        <v>0</v>
      </c>
      <c r="Q201" t="n">
        <v>0</v>
      </c>
      <c r="R201" s="2" t="inlineStr"/>
    </row>
    <row r="202" ht="15" customHeight="1">
      <c r="A202" t="inlineStr">
        <is>
          <t>A 60945-2024</t>
        </is>
      </c>
      <c r="B202" s="1" t="n">
        <v>45645.37893518519</v>
      </c>
      <c r="C202" s="1" t="n">
        <v>45989</v>
      </c>
      <c r="D202" t="inlineStr">
        <is>
          <t>DALARNAS LÄN</t>
        </is>
      </c>
      <c r="E202" t="inlineStr">
        <is>
          <t>LEKSAND</t>
        </is>
      </c>
      <c r="G202" t="n">
        <v>2.2</v>
      </c>
      <c r="H202" t="n">
        <v>0</v>
      </c>
      <c r="I202" t="n">
        <v>0</v>
      </c>
      <c r="J202" t="n">
        <v>0</v>
      </c>
      <c r="K202" t="n">
        <v>0</v>
      </c>
      <c r="L202" t="n">
        <v>0</v>
      </c>
      <c r="M202" t="n">
        <v>0</v>
      </c>
      <c r="N202" t="n">
        <v>0</v>
      </c>
      <c r="O202" t="n">
        <v>0</v>
      </c>
      <c r="P202" t="n">
        <v>0</v>
      </c>
      <c r="Q202" t="n">
        <v>0</v>
      </c>
      <c r="R202" s="2" t="inlineStr"/>
    </row>
    <row r="203" ht="15" customHeight="1">
      <c r="A203" t="inlineStr">
        <is>
          <t>A 25329-2022</t>
        </is>
      </c>
      <c r="B203" s="1" t="n">
        <v>44731.8799537037</v>
      </c>
      <c r="C203" s="1" t="n">
        <v>45989</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41169-2024</t>
        </is>
      </c>
      <c r="B204" s="1" t="n">
        <v>45559.48637731482</v>
      </c>
      <c r="C204" s="1" t="n">
        <v>45989</v>
      </c>
      <c r="D204" t="inlineStr">
        <is>
          <t>DALARNAS LÄN</t>
        </is>
      </c>
      <c r="E204" t="inlineStr">
        <is>
          <t>LEKSAND</t>
        </is>
      </c>
      <c r="G204" t="n">
        <v>8.9</v>
      </c>
      <c r="H204" t="n">
        <v>0</v>
      </c>
      <c r="I204" t="n">
        <v>0</v>
      </c>
      <c r="J204" t="n">
        <v>0</v>
      </c>
      <c r="K204" t="n">
        <v>0</v>
      </c>
      <c r="L204" t="n">
        <v>0</v>
      </c>
      <c r="M204" t="n">
        <v>0</v>
      </c>
      <c r="N204" t="n">
        <v>0</v>
      </c>
      <c r="O204" t="n">
        <v>0</v>
      </c>
      <c r="P204" t="n">
        <v>0</v>
      </c>
      <c r="Q204" t="n">
        <v>0</v>
      </c>
      <c r="R204" s="2" t="inlineStr"/>
    </row>
    <row r="205" ht="15" customHeight="1">
      <c r="A205" t="inlineStr">
        <is>
          <t>A 61787-2022</t>
        </is>
      </c>
      <c r="B205" s="1" t="n">
        <v>44917</v>
      </c>
      <c r="C205" s="1" t="n">
        <v>45989</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28913-2024</t>
        </is>
      </c>
      <c r="B206" s="1" t="n">
        <v>45480.75318287037</v>
      </c>
      <c r="C206" s="1" t="n">
        <v>45989</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39921-2024</t>
        </is>
      </c>
      <c r="B207" s="1" t="n">
        <v>45553</v>
      </c>
      <c r="C207" s="1" t="n">
        <v>45989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26423-2025</t>
        </is>
      </c>
      <c r="B208" s="1" t="n">
        <v>45807.37829861111</v>
      </c>
      <c r="C208" s="1" t="n">
        <v>45989</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41015-2024</t>
        </is>
      </c>
      <c r="B209" s="1" t="n">
        <v>45559.32537037037</v>
      </c>
      <c r="C209" s="1" t="n">
        <v>45989</v>
      </c>
      <c r="D209" t="inlineStr">
        <is>
          <t>DALARNAS LÄN</t>
        </is>
      </c>
      <c r="E209" t="inlineStr">
        <is>
          <t>LEKSAND</t>
        </is>
      </c>
      <c r="G209" t="n">
        <v>1.6</v>
      </c>
      <c r="H209" t="n">
        <v>0</v>
      </c>
      <c r="I209" t="n">
        <v>0</v>
      </c>
      <c r="J209" t="n">
        <v>0</v>
      </c>
      <c r="K209" t="n">
        <v>0</v>
      </c>
      <c r="L209" t="n">
        <v>0</v>
      </c>
      <c r="M209" t="n">
        <v>0</v>
      </c>
      <c r="N209" t="n">
        <v>0</v>
      </c>
      <c r="O209" t="n">
        <v>0</v>
      </c>
      <c r="P209" t="n">
        <v>0</v>
      </c>
      <c r="Q209" t="n">
        <v>0</v>
      </c>
      <c r="R209" s="2" t="inlineStr"/>
    </row>
    <row r="210" ht="15" customHeight="1">
      <c r="A210" t="inlineStr">
        <is>
          <t>A 27323-2025</t>
        </is>
      </c>
      <c r="B210" s="1" t="n">
        <v>45812.60392361111</v>
      </c>
      <c r="C210" s="1" t="n">
        <v>45989</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6050-2023</t>
        </is>
      </c>
      <c r="B211" s="1" t="n">
        <v>44959</v>
      </c>
      <c r="C211" s="1" t="n">
        <v>45989</v>
      </c>
      <c r="D211" t="inlineStr">
        <is>
          <t>DALARNAS LÄN</t>
        </is>
      </c>
      <c r="E211" t="inlineStr">
        <is>
          <t>LEKSAND</t>
        </is>
      </c>
      <c r="G211" t="n">
        <v>6.2</v>
      </c>
      <c r="H211" t="n">
        <v>0</v>
      </c>
      <c r="I211" t="n">
        <v>0</v>
      </c>
      <c r="J211" t="n">
        <v>0</v>
      </c>
      <c r="K211" t="n">
        <v>0</v>
      </c>
      <c r="L211" t="n">
        <v>0</v>
      </c>
      <c r="M211" t="n">
        <v>0</v>
      </c>
      <c r="N211" t="n">
        <v>0</v>
      </c>
      <c r="O211" t="n">
        <v>0</v>
      </c>
      <c r="P211" t="n">
        <v>0</v>
      </c>
      <c r="Q211" t="n">
        <v>0</v>
      </c>
      <c r="R211" s="2" t="inlineStr"/>
    </row>
    <row r="212" ht="15" customHeight="1">
      <c r="A212" t="inlineStr">
        <is>
          <t>A 27791-2023</t>
        </is>
      </c>
      <c r="B212" s="1" t="n">
        <v>45098</v>
      </c>
      <c r="C212" s="1" t="n">
        <v>45989</v>
      </c>
      <c r="D212" t="inlineStr">
        <is>
          <t>DALARNAS LÄN</t>
        </is>
      </c>
      <c r="E212" t="inlineStr">
        <is>
          <t>LEKSAND</t>
        </is>
      </c>
      <c r="G212" t="n">
        <v>1</v>
      </c>
      <c r="H212" t="n">
        <v>0</v>
      </c>
      <c r="I212" t="n">
        <v>0</v>
      </c>
      <c r="J212" t="n">
        <v>0</v>
      </c>
      <c r="K212" t="n">
        <v>0</v>
      </c>
      <c r="L212" t="n">
        <v>0</v>
      </c>
      <c r="M212" t="n">
        <v>0</v>
      </c>
      <c r="N212" t="n">
        <v>0</v>
      </c>
      <c r="O212" t="n">
        <v>0</v>
      </c>
      <c r="P212" t="n">
        <v>0</v>
      </c>
      <c r="Q212" t="n">
        <v>0</v>
      </c>
      <c r="R212" s="2" t="inlineStr"/>
    </row>
    <row r="213" ht="15" customHeight="1">
      <c r="A213" t="inlineStr">
        <is>
          <t>A 14504-2025</t>
        </is>
      </c>
      <c r="B213" s="1" t="n">
        <v>45741</v>
      </c>
      <c r="C213" s="1" t="n">
        <v>45989</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27183-2025</t>
        </is>
      </c>
      <c r="B214" s="1" t="n">
        <v>45812.36097222222</v>
      </c>
      <c r="C214" s="1" t="n">
        <v>45989</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27262-2025</t>
        </is>
      </c>
      <c r="B215" s="1" t="n">
        <v>45812</v>
      </c>
      <c r="C215" s="1" t="n">
        <v>45989</v>
      </c>
      <c r="D215" t="inlineStr">
        <is>
          <t>DALARNAS LÄN</t>
        </is>
      </c>
      <c r="E215" t="inlineStr">
        <is>
          <t>LEKSAND</t>
        </is>
      </c>
      <c r="F215" t="inlineStr">
        <is>
          <t>Bergvik skog väst AB</t>
        </is>
      </c>
      <c r="G215" t="n">
        <v>7.7</v>
      </c>
      <c r="H215" t="n">
        <v>0</v>
      </c>
      <c r="I215" t="n">
        <v>0</v>
      </c>
      <c r="J215" t="n">
        <v>0</v>
      </c>
      <c r="K215" t="n">
        <v>0</v>
      </c>
      <c r="L215" t="n">
        <v>0</v>
      </c>
      <c r="M215" t="n">
        <v>0</v>
      </c>
      <c r="N215" t="n">
        <v>0</v>
      </c>
      <c r="O215" t="n">
        <v>0</v>
      </c>
      <c r="P215" t="n">
        <v>0</v>
      </c>
      <c r="Q215" t="n">
        <v>0</v>
      </c>
      <c r="R215" s="2" t="inlineStr"/>
    </row>
    <row r="216" ht="15" customHeight="1">
      <c r="A216" t="inlineStr">
        <is>
          <t>A 27329-2025</t>
        </is>
      </c>
      <c r="B216" s="1" t="n">
        <v>45812.60864583333</v>
      </c>
      <c r="C216" s="1" t="n">
        <v>45989</v>
      </c>
      <c r="D216" t="inlineStr">
        <is>
          <t>DALARNAS LÄN</t>
        </is>
      </c>
      <c r="E216" t="inlineStr">
        <is>
          <t>LEKSAND</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27332-2025</t>
        </is>
      </c>
      <c r="B217" s="1" t="n">
        <v>45812.61265046296</v>
      </c>
      <c r="C217" s="1" t="n">
        <v>45989</v>
      </c>
      <c r="D217" t="inlineStr">
        <is>
          <t>DALARNAS LÄN</t>
        </is>
      </c>
      <c r="E217" t="inlineStr">
        <is>
          <t>LEKSAND</t>
        </is>
      </c>
      <c r="F217" t="inlineStr">
        <is>
          <t>Bergvik skog väst AB</t>
        </is>
      </c>
      <c r="G217" t="n">
        <v>2.9</v>
      </c>
      <c r="H217" t="n">
        <v>0</v>
      </c>
      <c r="I217" t="n">
        <v>0</v>
      </c>
      <c r="J217" t="n">
        <v>0</v>
      </c>
      <c r="K217" t="n">
        <v>0</v>
      </c>
      <c r="L217" t="n">
        <v>0</v>
      </c>
      <c r="M217" t="n">
        <v>0</v>
      </c>
      <c r="N217" t="n">
        <v>0</v>
      </c>
      <c r="O217" t="n">
        <v>0</v>
      </c>
      <c r="P217" t="n">
        <v>0</v>
      </c>
      <c r="Q217" t="n">
        <v>0</v>
      </c>
      <c r="R217" s="2" t="inlineStr"/>
    </row>
    <row r="218" ht="15" customHeight="1">
      <c r="A218" t="inlineStr">
        <is>
          <t>A 40517-2025</t>
        </is>
      </c>
      <c r="B218" s="1" t="n">
        <v>45896.36368055556</v>
      </c>
      <c r="C218" s="1" t="n">
        <v>45989</v>
      </c>
      <c r="D218" t="inlineStr">
        <is>
          <t>DALARNAS LÄN</t>
        </is>
      </c>
      <c r="E218" t="inlineStr">
        <is>
          <t>LEKSAND</t>
        </is>
      </c>
      <c r="G218" t="n">
        <v>1.6</v>
      </c>
      <c r="H218" t="n">
        <v>0</v>
      </c>
      <c r="I218" t="n">
        <v>0</v>
      </c>
      <c r="J218" t="n">
        <v>0</v>
      </c>
      <c r="K218" t="n">
        <v>0</v>
      </c>
      <c r="L218" t="n">
        <v>0</v>
      </c>
      <c r="M218" t="n">
        <v>0</v>
      </c>
      <c r="N218" t="n">
        <v>0</v>
      </c>
      <c r="O218" t="n">
        <v>0</v>
      </c>
      <c r="P218" t="n">
        <v>0</v>
      </c>
      <c r="Q218" t="n">
        <v>0</v>
      </c>
      <c r="R218" s="2" t="inlineStr"/>
    </row>
    <row r="219" ht="15" customHeight="1">
      <c r="A219" t="inlineStr">
        <is>
          <t>A 27682-2025</t>
        </is>
      </c>
      <c r="B219" s="1" t="n">
        <v>45813.64782407408</v>
      </c>
      <c r="C219" s="1" t="n">
        <v>45989</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40513-2025</t>
        </is>
      </c>
      <c r="B220" s="1" t="n">
        <v>45896.35100694445</v>
      </c>
      <c r="C220" s="1" t="n">
        <v>45989</v>
      </c>
      <c r="D220" t="inlineStr">
        <is>
          <t>DALARNAS LÄN</t>
        </is>
      </c>
      <c r="E220" t="inlineStr">
        <is>
          <t>LEKSAND</t>
        </is>
      </c>
      <c r="G220" t="n">
        <v>7.1</v>
      </c>
      <c r="H220" t="n">
        <v>0</v>
      </c>
      <c r="I220" t="n">
        <v>0</v>
      </c>
      <c r="J220" t="n">
        <v>0</v>
      </c>
      <c r="K220" t="n">
        <v>0</v>
      </c>
      <c r="L220" t="n">
        <v>0</v>
      </c>
      <c r="M220" t="n">
        <v>0</v>
      </c>
      <c r="N220" t="n">
        <v>0</v>
      </c>
      <c r="O220" t="n">
        <v>0</v>
      </c>
      <c r="P220" t="n">
        <v>0</v>
      </c>
      <c r="Q220" t="n">
        <v>0</v>
      </c>
      <c r="R220" s="2" t="inlineStr"/>
    </row>
    <row r="221" ht="15" customHeight="1">
      <c r="A221" t="inlineStr">
        <is>
          <t>A 40007-2024</t>
        </is>
      </c>
      <c r="B221" s="1" t="n">
        <v>45553.6516550926</v>
      </c>
      <c r="C221" s="1" t="n">
        <v>45989</v>
      </c>
      <c r="D221" t="inlineStr">
        <is>
          <t>DALARNAS LÄN</t>
        </is>
      </c>
      <c r="E221" t="inlineStr">
        <is>
          <t>LEKSAND</t>
        </is>
      </c>
      <c r="F221" t="inlineStr">
        <is>
          <t>Bergvik skog väst AB</t>
        </is>
      </c>
      <c r="G221" t="n">
        <v>3.2</v>
      </c>
      <c r="H221" t="n">
        <v>0</v>
      </c>
      <c r="I221" t="n">
        <v>0</v>
      </c>
      <c r="J221" t="n">
        <v>0</v>
      </c>
      <c r="K221" t="n">
        <v>0</v>
      </c>
      <c r="L221" t="n">
        <v>0</v>
      </c>
      <c r="M221" t="n">
        <v>0</v>
      </c>
      <c r="N221" t="n">
        <v>0</v>
      </c>
      <c r="O221" t="n">
        <v>0</v>
      </c>
      <c r="P221" t="n">
        <v>0</v>
      </c>
      <c r="Q221" t="n">
        <v>0</v>
      </c>
      <c r="R221" s="2" t="inlineStr"/>
    </row>
    <row r="222" ht="15" customHeight="1">
      <c r="A222" t="inlineStr">
        <is>
          <t>A 27705-2025</t>
        </is>
      </c>
      <c r="B222" s="1" t="n">
        <v>45813</v>
      </c>
      <c r="C222" s="1" t="n">
        <v>45989</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2311-2021</t>
        </is>
      </c>
      <c r="B223" s="1" t="n">
        <v>44213</v>
      </c>
      <c r="C223" s="1" t="n">
        <v>45989</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32072-2024</t>
        </is>
      </c>
      <c r="B224" s="1" t="n">
        <v>45510.98405092592</v>
      </c>
      <c r="C224" s="1" t="n">
        <v>45989</v>
      </c>
      <c r="D224" t="inlineStr">
        <is>
          <t>DALARNAS LÄN</t>
        </is>
      </c>
      <c r="E224" t="inlineStr">
        <is>
          <t>LEKSAND</t>
        </is>
      </c>
      <c r="G224" t="n">
        <v>1.4</v>
      </c>
      <c r="H224" t="n">
        <v>0</v>
      </c>
      <c r="I224" t="n">
        <v>0</v>
      </c>
      <c r="J224" t="n">
        <v>0</v>
      </c>
      <c r="K224" t="n">
        <v>0</v>
      </c>
      <c r="L224" t="n">
        <v>0</v>
      </c>
      <c r="M224" t="n">
        <v>0</v>
      </c>
      <c r="N224" t="n">
        <v>0</v>
      </c>
      <c r="O224" t="n">
        <v>0</v>
      </c>
      <c r="P224" t="n">
        <v>0</v>
      </c>
      <c r="Q224" t="n">
        <v>0</v>
      </c>
      <c r="R224" s="2" t="inlineStr"/>
    </row>
    <row r="225" ht="15" customHeight="1">
      <c r="A225" t="inlineStr">
        <is>
          <t>A 27680-2025</t>
        </is>
      </c>
      <c r="B225" s="1" t="n">
        <v>45813.64618055556</v>
      </c>
      <c r="C225" s="1" t="n">
        <v>45989</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28483-2025</t>
        </is>
      </c>
      <c r="B226" s="1" t="n">
        <v>45818</v>
      </c>
      <c r="C226" s="1" t="n">
        <v>45989</v>
      </c>
      <c r="D226" t="inlineStr">
        <is>
          <t>DALARNAS LÄN</t>
        </is>
      </c>
      <c r="E226" t="inlineStr">
        <is>
          <t>LEKSAND</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13165-2023</t>
        </is>
      </c>
      <c r="B227" s="1" t="n">
        <v>45002.57731481481</v>
      </c>
      <c r="C227" s="1" t="n">
        <v>45989</v>
      </c>
      <c r="D227" t="inlineStr">
        <is>
          <t>DALARNAS LÄN</t>
        </is>
      </c>
      <c r="E227" t="inlineStr">
        <is>
          <t>LEKSAND</t>
        </is>
      </c>
      <c r="G227" t="n">
        <v>2.4</v>
      </c>
      <c r="H227" t="n">
        <v>0</v>
      </c>
      <c r="I227" t="n">
        <v>0</v>
      </c>
      <c r="J227" t="n">
        <v>0</v>
      </c>
      <c r="K227" t="n">
        <v>0</v>
      </c>
      <c r="L227" t="n">
        <v>0</v>
      </c>
      <c r="M227" t="n">
        <v>0</v>
      </c>
      <c r="N227" t="n">
        <v>0</v>
      </c>
      <c r="O227" t="n">
        <v>0</v>
      </c>
      <c r="P227" t="n">
        <v>0</v>
      </c>
      <c r="Q227" t="n">
        <v>0</v>
      </c>
      <c r="R227" s="2" t="inlineStr"/>
    </row>
    <row r="228" ht="15" customHeight="1">
      <c r="A228" t="inlineStr">
        <is>
          <t>A 7467-2023</t>
        </is>
      </c>
      <c r="B228" s="1" t="n">
        <v>44966</v>
      </c>
      <c r="C228" s="1" t="n">
        <v>45989</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45788-2021</t>
        </is>
      </c>
      <c r="B229" s="1" t="n">
        <v>44441</v>
      </c>
      <c r="C229" s="1" t="n">
        <v>45989</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28505-2025</t>
        </is>
      </c>
      <c r="B230" s="1" t="n">
        <v>45818</v>
      </c>
      <c r="C230" s="1" t="n">
        <v>45989</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28499-2025</t>
        </is>
      </c>
      <c r="B231" s="1" t="n">
        <v>45818</v>
      </c>
      <c r="C231" s="1" t="n">
        <v>45989</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41237-2025</t>
        </is>
      </c>
      <c r="B232" s="1" t="n">
        <v>45898.59570601852</v>
      </c>
      <c r="C232" s="1" t="n">
        <v>45989</v>
      </c>
      <c r="D232" t="inlineStr">
        <is>
          <t>DALARNAS LÄN</t>
        </is>
      </c>
      <c r="E232" t="inlineStr">
        <is>
          <t>LEKSAND</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41248-2025</t>
        </is>
      </c>
      <c r="B233" s="1" t="n">
        <v>45898.60199074074</v>
      </c>
      <c r="C233" s="1" t="n">
        <v>45989</v>
      </c>
      <c r="D233" t="inlineStr">
        <is>
          <t>DALARNAS LÄN</t>
        </is>
      </c>
      <c r="E233" t="inlineStr">
        <is>
          <t>LEKSAND</t>
        </is>
      </c>
      <c r="F233" t="inlineStr">
        <is>
          <t>Bergvik skog väst AB</t>
        </is>
      </c>
      <c r="G233" t="n">
        <v>2.5</v>
      </c>
      <c r="H233" t="n">
        <v>0</v>
      </c>
      <c r="I233" t="n">
        <v>0</v>
      </c>
      <c r="J233" t="n">
        <v>0</v>
      </c>
      <c r="K233" t="n">
        <v>0</v>
      </c>
      <c r="L233" t="n">
        <v>0</v>
      </c>
      <c r="M233" t="n">
        <v>0</v>
      </c>
      <c r="N233" t="n">
        <v>0</v>
      </c>
      <c r="O233" t="n">
        <v>0</v>
      </c>
      <c r="P233" t="n">
        <v>0</v>
      </c>
      <c r="Q233" t="n">
        <v>0</v>
      </c>
      <c r="R233" s="2" t="inlineStr"/>
    </row>
    <row r="234" ht="15" customHeight="1">
      <c r="A234" t="inlineStr">
        <is>
          <t>A 41308-2025</t>
        </is>
      </c>
      <c r="B234" s="1" t="n">
        <v>45898</v>
      </c>
      <c r="C234" s="1" t="n">
        <v>45989</v>
      </c>
      <c r="D234" t="inlineStr">
        <is>
          <t>DALARNAS LÄN</t>
        </is>
      </c>
      <c r="E234" t="inlineStr">
        <is>
          <t>LEKSAND</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27984-2025</t>
        </is>
      </c>
      <c r="B235" s="1" t="n">
        <v>45817.57710648148</v>
      </c>
      <c r="C235" s="1" t="n">
        <v>45989</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28592-2023</t>
        </is>
      </c>
      <c r="B236" s="1" t="n">
        <v>45103</v>
      </c>
      <c r="C236" s="1" t="n">
        <v>45989</v>
      </c>
      <c r="D236" t="inlineStr">
        <is>
          <t>DALARNAS LÄN</t>
        </is>
      </c>
      <c r="E236" t="inlineStr">
        <is>
          <t>LEKSAND</t>
        </is>
      </c>
      <c r="G236" t="n">
        <v>0.5</v>
      </c>
      <c r="H236" t="n">
        <v>0</v>
      </c>
      <c r="I236" t="n">
        <v>0</v>
      </c>
      <c r="J236" t="n">
        <v>0</v>
      </c>
      <c r="K236" t="n">
        <v>0</v>
      </c>
      <c r="L236" t="n">
        <v>0</v>
      </c>
      <c r="M236" t="n">
        <v>0</v>
      </c>
      <c r="N236" t="n">
        <v>0</v>
      </c>
      <c r="O236" t="n">
        <v>0</v>
      </c>
      <c r="P236" t="n">
        <v>0</v>
      </c>
      <c r="Q236" t="n">
        <v>0</v>
      </c>
      <c r="R236" s="2" t="inlineStr"/>
    </row>
    <row r="237" ht="15" customHeight="1">
      <c r="A237" t="inlineStr">
        <is>
          <t>A 41380-2025</t>
        </is>
      </c>
      <c r="B237" s="1" t="n">
        <v>45900.92826388889</v>
      </c>
      <c r="C237" s="1" t="n">
        <v>45989</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28488-2025</t>
        </is>
      </c>
      <c r="B238" s="1" t="n">
        <v>45818</v>
      </c>
      <c r="C238" s="1" t="n">
        <v>45989</v>
      </c>
      <c r="D238" t="inlineStr">
        <is>
          <t>DALARNAS LÄN</t>
        </is>
      </c>
      <c r="E238" t="inlineStr">
        <is>
          <t>LEKSAND</t>
        </is>
      </c>
      <c r="G238" t="n">
        <v>1.1</v>
      </c>
      <c r="H238" t="n">
        <v>0</v>
      </c>
      <c r="I238" t="n">
        <v>0</v>
      </c>
      <c r="J238" t="n">
        <v>0</v>
      </c>
      <c r="K238" t="n">
        <v>0</v>
      </c>
      <c r="L238" t="n">
        <v>0</v>
      </c>
      <c r="M238" t="n">
        <v>0</v>
      </c>
      <c r="N238" t="n">
        <v>0</v>
      </c>
      <c r="O238" t="n">
        <v>0</v>
      </c>
      <c r="P238" t="n">
        <v>0</v>
      </c>
      <c r="Q238" t="n">
        <v>0</v>
      </c>
      <c r="R238" s="2" t="inlineStr"/>
    </row>
    <row r="239" ht="15" customHeight="1">
      <c r="A239" t="inlineStr">
        <is>
          <t>A 41335-2025</t>
        </is>
      </c>
      <c r="B239" s="1" t="n">
        <v>45899.36747685185</v>
      </c>
      <c r="C239" s="1" t="n">
        <v>45989</v>
      </c>
      <c r="D239" t="inlineStr">
        <is>
          <t>DALARNAS LÄN</t>
        </is>
      </c>
      <c r="E239" t="inlineStr">
        <is>
          <t>LEKSAND</t>
        </is>
      </c>
      <c r="G239" t="n">
        <v>5.9</v>
      </c>
      <c r="H239" t="n">
        <v>0</v>
      </c>
      <c r="I239" t="n">
        <v>0</v>
      </c>
      <c r="J239" t="n">
        <v>0</v>
      </c>
      <c r="K239" t="n">
        <v>0</v>
      </c>
      <c r="L239" t="n">
        <v>0</v>
      </c>
      <c r="M239" t="n">
        <v>0</v>
      </c>
      <c r="N239" t="n">
        <v>0</v>
      </c>
      <c r="O239" t="n">
        <v>0</v>
      </c>
      <c r="P239" t="n">
        <v>0</v>
      </c>
      <c r="Q239" t="n">
        <v>0</v>
      </c>
      <c r="R239" s="2" t="inlineStr"/>
    </row>
    <row r="240" ht="15" customHeight="1">
      <c r="A240" t="inlineStr">
        <is>
          <t>A 28770-2025</t>
        </is>
      </c>
      <c r="B240" s="1" t="n">
        <v>45820</v>
      </c>
      <c r="C240" s="1" t="n">
        <v>45989</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41487-2025</t>
        </is>
      </c>
      <c r="B241" s="1" t="n">
        <v>45901.4815625</v>
      </c>
      <c r="C241" s="1" t="n">
        <v>45989</v>
      </c>
      <c r="D241" t="inlineStr">
        <is>
          <t>DALARNAS LÄN</t>
        </is>
      </c>
      <c r="E241" t="inlineStr">
        <is>
          <t>LEKSAND</t>
        </is>
      </c>
      <c r="F241" t="inlineStr">
        <is>
          <t>Bergvik skog väst AB</t>
        </is>
      </c>
      <c r="G241" t="n">
        <v>7.3</v>
      </c>
      <c r="H241" t="n">
        <v>0</v>
      </c>
      <c r="I241" t="n">
        <v>0</v>
      </c>
      <c r="J241" t="n">
        <v>0</v>
      </c>
      <c r="K241" t="n">
        <v>0</v>
      </c>
      <c r="L241" t="n">
        <v>0</v>
      </c>
      <c r="M241" t="n">
        <v>0</v>
      </c>
      <c r="N241" t="n">
        <v>0</v>
      </c>
      <c r="O241" t="n">
        <v>0</v>
      </c>
      <c r="P241" t="n">
        <v>0</v>
      </c>
      <c r="Q241" t="n">
        <v>0</v>
      </c>
      <c r="R241" s="2" t="inlineStr"/>
    </row>
    <row r="242" ht="15" customHeight="1">
      <c r="A242" t="inlineStr">
        <is>
          <t>A 28458-2025</t>
        </is>
      </c>
      <c r="B242" s="1" t="n">
        <v>45819.413125</v>
      </c>
      <c r="C242" s="1" t="n">
        <v>45989</v>
      </c>
      <c r="D242" t="inlineStr">
        <is>
          <t>DALARNAS LÄN</t>
        </is>
      </c>
      <c r="E242" t="inlineStr">
        <is>
          <t>LEKSAND</t>
        </is>
      </c>
      <c r="G242" t="n">
        <v>3</v>
      </c>
      <c r="H242" t="n">
        <v>0</v>
      </c>
      <c r="I242" t="n">
        <v>0</v>
      </c>
      <c r="J242" t="n">
        <v>0</v>
      </c>
      <c r="K242" t="n">
        <v>0</v>
      </c>
      <c r="L242" t="n">
        <v>0</v>
      </c>
      <c r="M242" t="n">
        <v>0</v>
      </c>
      <c r="N242" t="n">
        <v>0</v>
      </c>
      <c r="O242" t="n">
        <v>0</v>
      </c>
      <c r="P242" t="n">
        <v>0</v>
      </c>
      <c r="Q242" t="n">
        <v>0</v>
      </c>
      <c r="R242" s="2" t="inlineStr"/>
    </row>
    <row r="243" ht="15" customHeight="1">
      <c r="A243" t="inlineStr">
        <is>
          <t>A 2630-2025</t>
        </is>
      </c>
      <c r="B243" s="1" t="n">
        <v>45675.85865740741</v>
      </c>
      <c r="C243" s="1" t="n">
        <v>45989</v>
      </c>
      <c r="D243" t="inlineStr">
        <is>
          <t>DALARNAS LÄN</t>
        </is>
      </c>
      <c r="E243" t="inlineStr">
        <is>
          <t>LEKSAND</t>
        </is>
      </c>
      <c r="G243" t="n">
        <v>1.6</v>
      </c>
      <c r="H243" t="n">
        <v>0</v>
      </c>
      <c r="I243" t="n">
        <v>0</v>
      </c>
      <c r="J243" t="n">
        <v>0</v>
      </c>
      <c r="K243" t="n">
        <v>0</v>
      </c>
      <c r="L243" t="n">
        <v>0</v>
      </c>
      <c r="M243" t="n">
        <v>0</v>
      </c>
      <c r="N243" t="n">
        <v>0</v>
      </c>
      <c r="O243" t="n">
        <v>0</v>
      </c>
      <c r="P243" t="n">
        <v>0</v>
      </c>
      <c r="Q243" t="n">
        <v>0</v>
      </c>
      <c r="R243" s="2" t="inlineStr"/>
    </row>
    <row r="244" ht="15" customHeight="1">
      <c r="A244" t="inlineStr">
        <is>
          <t>A 29005-2025</t>
        </is>
      </c>
      <c r="B244" s="1" t="n">
        <v>45821.39326388889</v>
      </c>
      <c r="C244" s="1" t="n">
        <v>45989</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28985-2025</t>
        </is>
      </c>
      <c r="B245" s="1" t="n">
        <v>45821.36862268519</v>
      </c>
      <c r="C245" s="1" t="n">
        <v>45989</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13063-2023</t>
        </is>
      </c>
      <c r="B246" s="1" t="n">
        <v>45001</v>
      </c>
      <c r="C246" s="1" t="n">
        <v>45989</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23892-2025</t>
        </is>
      </c>
      <c r="B247" s="1" t="n">
        <v>45793</v>
      </c>
      <c r="C247" s="1" t="n">
        <v>45989</v>
      </c>
      <c r="D247" t="inlineStr">
        <is>
          <t>DALARNAS LÄN</t>
        </is>
      </c>
      <c r="E247" t="inlineStr">
        <is>
          <t>LEKSAND</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42727-2024</t>
        </is>
      </c>
      <c r="B248" s="1" t="n">
        <v>45566</v>
      </c>
      <c r="C248" s="1" t="n">
        <v>45989</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36444-2023</t>
        </is>
      </c>
      <c r="B249" s="1" t="n">
        <v>45152.63138888889</v>
      </c>
      <c r="C249" s="1" t="n">
        <v>45989</v>
      </c>
      <c r="D249" t="inlineStr">
        <is>
          <t>DALARNAS LÄN</t>
        </is>
      </c>
      <c r="E249" t="inlineStr">
        <is>
          <t>LEKSAND</t>
        </is>
      </c>
      <c r="G249" t="n">
        <v>0.5</v>
      </c>
      <c r="H249" t="n">
        <v>0</v>
      </c>
      <c r="I249" t="n">
        <v>0</v>
      </c>
      <c r="J249" t="n">
        <v>0</v>
      </c>
      <c r="K249" t="n">
        <v>0</v>
      </c>
      <c r="L249" t="n">
        <v>0</v>
      </c>
      <c r="M249" t="n">
        <v>0</v>
      </c>
      <c r="N249" t="n">
        <v>0</v>
      </c>
      <c r="O249" t="n">
        <v>0</v>
      </c>
      <c r="P249" t="n">
        <v>0</v>
      </c>
      <c r="Q249" t="n">
        <v>0</v>
      </c>
      <c r="R249" s="2" t="inlineStr"/>
    </row>
    <row r="250" ht="15" customHeight="1">
      <c r="A250" t="inlineStr">
        <is>
          <t>A 40407-2024</t>
        </is>
      </c>
      <c r="B250" s="1" t="n">
        <v>45555</v>
      </c>
      <c r="C250" s="1" t="n">
        <v>45989</v>
      </c>
      <c r="D250" t="inlineStr">
        <is>
          <t>DALARNAS LÄN</t>
        </is>
      </c>
      <c r="E250" t="inlineStr">
        <is>
          <t>LEKSAND</t>
        </is>
      </c>
      <c r="G250" t="n">
        <v>1.4</v>
      </c>
      <c r="H250" t="n">
        <v>0</v>
      </c>
      <c r="I250" t="n">
        <v>0</v>
      </c>
      <c r="J250" t="n">
        <v>0</v>
      </c>
      <c r="K250" t="n">
        <v>0</v>
      </c>
      <c r="L250" t="n">
        <v>0</v>
      </c>
      <c r="M250" t="n">
        <v>0</v>
      </c>
      <c r="N250" t="n">
        <v>0</v>
      </c>
      <c r="O250" t="n">
        <v>0</v>
      </c>
      <c r="P250" t="n">
        <v>0</v>
      </c>
      <c r="Q250" t="n">
        <v>0</v>
      </c>
      <c r="R250" s="2" t="inlineStr"/>
    </row>
    <row r="251" ht="15" customHeight="1">
      <c r="A251" t="inlineStr">
        <is>
          <t>A 42284-2025</t>
        </is>
      </c>
      <c r="B251" s="1" t="n">
        <v>45903</v>
      </c>
      <c r="C251" s="1" t="n">
        <v>45989</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46628-2024</t>
        </is>
      </c>
      <c r="B252" s="1" t="n">
        <v>45583.33195601852</v>
      </c>
      <c r="C252" s="1" t="n">
        <v>45989</v>
      </c>
      <c r="D252" t="inlineStr">
        <is>
          <t>DALARNAS LÄN</t>
        </is>
      </c>
      <c r="E252" t="inlineStr">
        <is>
          <t>LEKSAND</t>
        </is>
      </c>
      <c r="G252" t="n">
        <v>0.2</v>
      </c>
      <c r="H252" t="n">
        <v>0</v>
      </c>
      <c r="I252" t="n">
        <v>0</v>
      </c>
      <c r="J252" t="n">
        <v>0</v>
      </c>
      <c r="K252" t="n">
        <v>0</v>
      </c>
      <c r="L252" t="n">
        <v>0</v>
      </c>
      <c r="M252" t="n">
        <v>0</v>
      </c>
      <c r="N252" t="n">
        <v>0</v>
      </c>
      <c r="O252" t="n">
        <v>0</v>
      </c>
      <c r="P252" t="n">
        <v>0</v>
      </c>
      <c r="Q252" t="n">
        <v>0</v>
      </c>
      <c r="R252" s="2" t="inlineStr"/>
    </row>
    <row r="253" ht="15" customHeight="1">
      <c r="A253" t="inlineStr">
        <is>
          <t>A 29729-2025</t>
        </is>
      </c>
      <c r="B253" s="1" t="n">
        <v>45825.58077546296</v>
      </c>
      <c r="C253" s="1" t="n">
        <v>45989</v>
      </c>
      <c r="D253" t="inlineStr">
        <is>
          <t>DALARNAS LÄN</t>
        </is>
      </c>
      <c r="E253" t="inlineStr">
        <is>
          <t>LEKSAND</t>
        </is>
      </c>
      <c r="F253" t="inlineStr">
        <is>
          <t>Bergvik skog väst AB</t>
        </is>
      </c>
      <c r="G253" t="n">
        <v>4.3</v>
      </c>
      <c r="H253" t="n">
        <v>0</v>
      </c>
      <c r="I253" t="n">
        <v>0</v>
      </c>
      <c r="J253" t="n">
        <v>0</v>
      </c>
      <c r="K253" t="n">
        <v>0</v>
      </c>
      <c r="L253" t="n">
        <v>0</v>
      </c>
      <c r="M253" t="n">
        <v>0</v>
      </c>
      <c r="N253" t="n">
        <v>0</v>
      </c>
      <c r="O253" t="n">
        <v>0</v>
      </c>
      <c r="P253" t="n">
        <v>0</v>
      </c>
      <c r="Q253" t="n">
        <v>0</v>
      </c>
      <c r="R253" s="2" t="inlineStr"/>
    </row>
    <row r="254" ht="15" customHeight="1">
      <c r="A254" t="inlineStr">
        <is>
          <t>A 9141-2023</t>
        </is>
      </c>
      <c r="B254" s="1" t="n">
        <v>44974</v>
      </c>
      <c r="C254" s="1" t="n">
        <v>45989</v>
      </c>
      <c r="D254" t="inlineStr">
        <is>
          <t>DALARNAS LÄN</t>
        </is>
      </c>
      <c r="E254" t="inlineStr">
        <is>
          <t>LEKSAND</t>
        </is>
      </c>
      <c r="G254" t="n">
        <v>1.9</v>
      </c>
      <c r="H254" t="n">
        <v>0</v>
      </c>
      <c r="I254" t="n">
        <v>0</v>
      </c>
      <c r="J254" t="n">
        <v>0</v>
      </c>
      <c r="K254" t="n">
        <v>0</v>
      </c>
      <c r="L254" t="n">
        <v>0</v>
      </c>
      <c r="M254" t="n">
        <v>0</v>
      </c>
      <c r="N254" t="n">
        <v>0</v>
      </c>
      <c r="O254" t="n">
        <v>0</v>
      </c>
      <c r="P254" t="n">
        <v>0</v>
      </c>
      <c r="Q254" t="n">
        <v>0</v>
      </c>
      <c r="R254" s="2" t="inlineStr"/>
    </row>
    <row r="255" ht="15" customHeight="1">
      <c r="A255" t="inlineStr">
        <is>
          <t>A 29553-2025</t>
        </is>
      </c>
      <c r="B255" s="1" t="n">
        <v>45825.35315972222</v>
      </c>
      <c r="C255" s="1" t="n">
        <v>45989</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54844-2021</t>
        </is>
      </c>
      <c r="B256" s="1" t="n">
        <v>44474.30614583333</v>
      </c>
      <c r="C256" s="1" t="n">
        <v>45989</v>
      </c>
      <c r="D256" t="inlineStr">
        <is>
          <t>DALARNAS LÄN</t>
        </is>
      </c>
      <c r="E256" t="inlineStr">
        <is>
          <t>LEKSAND</t>
        </is>
      </c>
      <c r="G256" t="n">
        <v>1.9</v>
      </c>
      <c r="H256" t="n">
        <v>0</v>
      </c>
      <c r="I256" t="n">
        <v>0</v>
      </c>
      <c r="J256" t="n">
        <v>0</v>
      </c>
      <c r="K256" t="n">
        <v>0</v>
      </c>
      <c r="L256" t="n">
        <v>0</v>
      </c>
      <c r="M256" t="n">
        <v>0</v>
      </c>
      <c r="N256" t="n">
        <v>0</v>
      </c>
      <c r="O256" t="n">
        <v>0</v>
      </c>
      <c r="P256" t="n">
        <v>0</v>
      </c>
      <c r="Q256" t="n">
        <v>0</v>
      </c>
      <c r="R256" s="2" t="inlineStr"/>
    </row>
    <row r="257" ht="15" customHeight="1">
      <c r="A257" t="inlineStr">
        <is>
          <t>A 8211-2023</t>
        </is>
      </c>
      <c r="B257" s="1" t="n">
        <v>44974</v>
      </c>
      <c r="C257" s="1" t="n">
        <v>45989</v>
      </c>
      <c r="D257" t="inlineStr">
        <is>
          <t>DALARNAS LÄN</t>
        </is>
      </c>
      <c r="E257" t="inlineStr">
        <is>
          <t>LEKSAND</t>
        </is>
      </c>
      <c r="G257" t="n">
        <v>5.2</v>
      </c>
      <c r="H257" t="n">
        <v>0</v>
      </c>
      <c r="I257" t="n">
        <v>0</v>
      </c>
      <c r="J257" t="n">
        <v>0</v>
      </c>
      <c r="K257" t="n">
        <v>0</v>
      </c>
      <c r="L257" t="n">
        <v>0</v>
      </c>
      <c r="M257" t="n">
        <v>0</v>
      </c>
      <c r="N257" t="n">
        <v>0</v>
      </c>
      <c r="O257" t="n">
        <v>0</v>
      </c>
      <c r="P257" t="n">
        <v>0</v>
      </c>
      <c r="Q257" t="n">
        <v>0</v>
      </c>
      <c r="R257" s="2" t="inlineStr"/>
    </row>
    <row r="258" ht="15" customHeight="1">
      <c r="A258" t="inlineStr">
        <is>
          <t>A 30254-2025</t>
        </is>
      </c>
      <c r="B258" s="1" t="n">
        <v>45827.42336805556</v>
      </c>
      <c r="C258" s="1" t="n">
        <v>45989</v>
      </c>
      <c r="D258" t="inlineStr">
        <is>
          <t>DALARNAS LÄN</t>
        </is>
      </c>
      <c r="E258" t="inlineStr">
        <is>
          <t>LEKSAND</t>
        </is>
      </c>
      <c r="G258" t="n">
        <v>3.5</v>
      </c>
      <c r="H258" t="n">
        <v>0</v>
      </c>
      <c r="I258" t="n">
        <v>0</v>
      </c>
      <c r="J258" t="n">
        <v>0</v>
      </c>
      <c r="K258" t="n">
        <v>0</v>
      </c>
      <c r="L258" t="n">
        <v>0</v>
      </c>
      <c r="M258" t="n">
        <v>0</v>
      </c>
      <c r="N258" t="n">
        <v>0</v>
      </c>
      <c r="O258" t="n">
        <v>0</v>
      </c>
      <c r="P258" t="n">
        <v>0</v>
      </c>
      <c r="Q258" t="n">
        <v>0</v>
      </c>
      <c r="R258" s="2" t="inlineStr"/>
    </row>
    <row r="259" ht="15" customHeight="1">
      <c r="A259" t="inlineStr">
        <is>
          <t>A 42402-2025</t>
        </is>
      </c>
      <c r="B259" s="1" t="n">
        <v>45905.3753125</v>
      </c>
      <c r="C259" s="1" t="n">
        <v>45989</v>
      </c>
      <c r="D259" t="inlineStr">
        <is>
          <t>DALARNAS LÄN</t>
        </is>
      </c>
      <c r="E259" t="inlineStr">
        <is>
          <t>LEKSAND</t>
        </is>
      </c>
      <c r="G259" t="n">
        <v>0.6</v>
      </c>
      <c r="H259" t="n">
        <v>0</v>
      </c>
      <c r="I259" t="n">
        <v>0</v>
      </c>
      <c r="J259" t="n">
        <v>0</v>
      </c>
      <c r="K259" t="n">
        <v>0</v>
      </c>
      <c r="L259" t="n">
        <v>0</v>
      </c>
      <c r="M259" t="n">
        <v>0</v>
      </c>
      <c r="N259" t="n">
        <v>0</v>
      </c>
      <c r="O259" t="n">
        <v>0</v>
      </c>
      <c r="P259" t="n">
        <v>0</v>
      </c>
      <c r="Q259" t="n">
        <v>0</v>
      </c>
      <c r="R259" s="2" t="inlineStr"/>
    </row>
    <row r="260" ht="15" customHeight="1">
      <c r="A260" t="inlineStr">
        <is>
          <t>A 46665-2023</t>
        </is>
      </c>
      <c r="B260" s="1" t="n">
        <v>45198.47399305556</v>
      </c>
      <c r="C260" s="1" t="n">
        <v>45989</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30917-2025</t>
        </is>
      </c>
      <c r="B261" s="1" t="n">
        <v>45832.37989583334</v>
      </c>
      <c r="C261" s="1" t="n">
        <v>45989</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31179-2025</t>
        </is>
      </c>
      <c r="B262" s="1" t="n">
        <v>45832.67648148148</v>
      </c>
      <c r="C262" s="1" t="n">
        <v>45989</v>
      </c>
      <c r="D262" t="inlineStr">
        <is>
          <t>DALARNAS LÄN</t>
        </is>
      </c>
      <c r="E262" t="inlineStr">
        <is>
          <t>LEKSAND</t>
        </is>
      </c>
      <c r="G262" t="n">
        <v>4.7</v>
      </c>
      <c r="H262" t="n">
        <v>0</v>
      </c>
      <c r="I262" t="n">
        <v>0</v>
      </c>
      <c r="J262" t="n">
        <v>0</v>
      </c>
      <c r="K262" t="n">
        <v>0</v>
      </c>
      <c r="L262" t="n">
        <v>0</v>
      </c>
      <c r="M262" t="n">
        <v>0</v>
      </c>
      <c r="N262" t="n">
        <v>0</v>
      </c>
      <c r="O262" t="n">
        <v>0</v>
      </c>
      <c r="P262" t="n">
        <v>0</v>
      </c>
      <c r="Q262" t="n">
        <v>0</v>
      </c>
      <c r="R262" s="2" t="inlineStr"/>
    </row>
    <row r="263" ht="15" customHeight="1">
      <c r="A263" t="inlineStr">
        <is>
          <t>A 30969-2025</t>
        </is>
      </c>
      <c r="B263" s="1" t="n">
        <v>45832.45914351852</v>
      </c>
      <c r="C263" s="1" t="n">
        <v>45989</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30911-2025</t>
        </is>
      </c>
      <c r="B264" s="1" t="n">
        <v>45832.37547453704</v>
      </c>
      <c r="C264" s="1" t="n">
        <v>45989</v>
      </c>
      <c r="D264" t="inlineStr">
        <is>
          <t>DALARNAS LÄN</t>
        </is>
      </c>
      <c r="E264" t="inlineStr">
        <is>
          <t>LEKSAND</t>
        </is>
      </c>
      <c r="G264" t="n">
        <v>0.5</v>
      </c>
      <c r="H264" t="n">
        <v>0</v>
      </c>
      <c r="I264" t="n">
        <v>0</v>
      </c>
      <c r="J264" t="n">
        <v>0</v>
      </c>
      <c r="K264" t="n">
        <v>0</v>
      </c>
      <c r="L264" t="n">
        <v>0</v>
      </c>
      <c r="M264" t="n">
        <v>0</v>
      </c>
      <c r="N264" t="n">
        <v>0</v>
      </c>
      <c r="O264" t="n">
        <v>0</v>
      </c>
      <c r="P264" t="n">
        <v>0</v>
      </c>
      <c r="Q264" t="n">
        <v>0</v>
      </c>
      <c r="R264" s="2" t="inlineStr"/>
    </row>
    <row r="265" ht="15" customHeight="1">
      <c r="A265" t="inlineStr">
        <is>
          <t>A 24714-2025</t>
        </is>
      </c>
      <c r="B265" s="1" t="n">
        <v>45798.96927083333</v>
      </c>
      <c r="C265" s="1" t="n">
        <v>45989</v>
      </c>
      <c r="D265" t="inlineStr">
        <is>
          <t>DALARNAS LÄN</t>
        </is>
      </c>
      <c r="E265" t="inlineStr">
        <is>
          <t>LEKSAND</t>
        </is>
      </c>
      <c r="F265" t="inlineStr">
        <is>
          <t>Bergvik skog väst AB</t>
        </is>
      </c>
      <c r="G265" t="n">
        <v>6.2</v>
      </c>
      <c r="H265" t="n">
        <v>0</v>
      </c>
      <c r="I265" t="n">
        <v>0</v>
      </c>
      <c r="J265" t="n">
        <v>0</v>
      </c>
      <c r="K265" t="n">
        <v>0</v>
      </c>
      <c r="L265" t="n">
        <v>0</v>
      </c>
      <c r="M265" t="n">
        <v>0</v>
      </c>
      <c r="N265" t="n">
        <v>0</v>
      </c>
      <c r="O265" t="n">
        <v>0</v>
      </c>
      <c r="P265" t="n">
        <v>0</v>
      </c>
      <c r="Q265" t="n">
        <v>0</v>
      </c>
      <c r="R265" s="2" t="inlineStr"/>
    </row>
    <row r="266" ht="15" customHeight="1">
      <c r="A266" t="inlineStr">
        <is>
          <t>A 30920-2025</t>
        </is>
      </c>
      <c r="B266" s="1" t="n">
        <v>45832.38484953704</v>
      </c>
      <c r="C266" s="1" t="n">
        <v>45989</v>
      </c>
      <c r="D266" t="inlineStr">
        <is>
          <t>DALARNAS LÄN</t>
        </is>
      </c>
      <c r="E266" t="inlineStr">
        <is>
          <t>LEKSAND</t>
        </is>
      </c>
      <c r="G266" t="n">
        <v>1.9</v>
      </c>
      <c r="H266" t="n">
        <v>0</v>
      </c>
      <c r="I266" t="n">
        <v>0</v>
      </c>
      <c r="J266" t="n">
        <v>0</v>
      </c>
      <c r="K266" t="n">
        <v>0</v>
      </c>
      <c r="L266" t="n">
        <v>0</v>
      </c>
      <c r="M266" t="n">
        <v>0</v>
      </c>
      <c r="N266" t="n">
        <v>0</v>
      </c>
      <c r="O266" t="n">
        <v>0</v>
      </c>
      <c r="P266" t="n">
        <v>0</v>
      </c>
      <c r="Q266" t="n">
        <v>0</v>
      </c>
      <c r="R266" s="2" t="inlineStr"/>
    </row>
    <row r="267" ht="15" customHeight="1">
      <c r="A267" t="inlineStr">
        <is>
          <t>A 14615-2024</t>
        </is>
      </c>
      <c r="B267" s="1" t="n">
        <v>45397.26047453703</v>
      </c>
      <c r="C267" s="1" t="n">
        <v>45989</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30916-2025</t>
        </is>
      </c>
      <c r="B268" s="1" t="n">
        <v>45832.37885416667</v>
      </c>
      <c r="C268" s="1" t="n">
        <v>45989</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30973-2025</t>
        </is>
      </c>
      <c r="B269" s="1" t="n">
        <v>45832.46300925926</v>
      </c>
      <c r="C269" s="1" t="n">
        <v>45989</v>
      </c>
      <c r="D269" t="inlineStr">
        <is>
          <t>DALARNAS LÄN</t>
        </is>
      </c>
      <c r="E269" t="inlineStr">
        <is>
          <t>LEKSAND</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51663-2025</t>
        </is>
      </c>
      <c r="B270" s="1" t="n">
        <v>45951</v>
      </c>
      <c r="C270" s="1" t="n">
        <v>45989</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31189-2025</t>
        </is>
      </c>
      <c r="B271" s="1" t="n">
        <v>45832.6799537037</v>
      </c>
      <c r="C271" s="1" t="n">
        <v>45989</v>
      </c>
      <c r="D271" t="inlineStr">
        <is>
          <t>DALARNAS LÄN</t>
        </is>
      </c>
      <c r="E271" t="inlineStr">
        <is>
          <t>LEKSAND</t>
        </is>
      </c>
      <c r="G271" t="n">
        <v>5</v>
      </c>
      <c r="H271" t="n">
        <v>0</v>
      </c>
      <c r="I271" t="n">
        <v>0</v>
      </c>
      <c r="J271" t="n">
        <v>0</v>
      </c>
      <c r="K271" t="n">
        <v>0</v>
      </c>
      <c r="L271" t="n">
        <v>0</v>
      </c>
      <c r="M271" t="n">
        <v>0</v>
      </c>
      <c r="N271" t="n">
        <v>0</v>
      </c>
      <c r="O271" t="n">
        <v>0</v>
      </c>
      <c r="P271" t="n">
        <v>0</v>
      </c>
      <c r="Q271" t="n">
        <v>0</v>
      </c>
      <c r="R271" s="2" t="inlineStr"/>
    </row>
    <row r="272" ht="15" customHeight="1">
      <c r="A272" t="inlineStr">
        <is>
          <t>A 30863-2024</t>
        </is>
      </c>
      <c r="B272" s="1" t="n">
        <v>45497.71074074074</v>
      </c>
      <c r="C272" s="1" t="n">
        <v>45989</v>
      </c>
      <c r="D272" t="inlineStr">
        <is>
          <t>DALARNAS LÄN</t>
        </is>
      </c>
      <c r="E272" t="inlineStr">
        <is>
          <t>LEKSAND</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51728-2025</t>
        </is>
      </c>
      <c r="B273" s="1" t="n">
        <v>45951</v>
      </c>
      <c r="C273" s="1" t="n">
        <v>45989</v>
      </c>
      <c r="D273" t="inlineStr">
        <is>
          <t>DALARNAS LÄN</t>
        </is>
      </c>
      <c r="E273" t="inlineStr">
        <is>
          <t>LEKSAND</t>
        </is>
      </c>
      <c r="F273" t="inlineStr">
        <is>
          <t>Bergvik skog väst AB</t>
        </is>
      </c>
      <c r="G273" t="n">
        <v>14.2</v>
      </c>
      <c r="H273" t="n">
        <v>0</v>
      </c>
      <c r="I273" t="n">
        <v>0</v>
      </c>
      <c r="J273" t="n">
        <v>0</v>
      </c>
      <c r="K273" t="n">
        <v>0</v>
      </c>
      <c r="L273" t="n">
        <v>0</v>
      </c>
      <c r="M273" t="n">
        <v>0</v>
      </c>
      <c r="N273" t="n">
        <v>0</v>
      </c>
      <c r="O273" t="n">
        <v>0</v>
      </c>
      <c r="P273" t="n">
        <v>0</v>
      </c>
      <c r="Q273" t="n">
        <v>0</v>
      </c>
      <c r="R273" s="2" t="inlineStr"/>
    </row>
    <row r="274" ht="15" customHeight="1">
      <c r="A274" t="inlineStr">
        <is>
          <t>A 51768-2025</t>
        </is>
      </c>
      <c r="B274" s="1" t="n">
        <v>45951.64041666667</v>
      </c>
      <c r="C274" s="1" t="n">
        <v>45989</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51926-2025</t>
        </is>
      </c>
      <c r="B275" s="1" t="n">
        <v>45952.49537037037</v>
      </c>
      <c r="C275" s="1" t="n">
        <v>45989</v>
      </c>
      <c r="D275" t="inlineStr">
        <is>
          <t>DALARNAS LÄN</t>
        </is>
      </c>
      <c r="E275" t="inlineStr">
        <is>
          <t>LEKSAND</t>
        </is>
      </c>
      <c r="G275" t="n">
        <v>2.3</v>
      </c>
      <c r="H275" t="n">
        <v>0</v>
      </c>
      <c r="I275" t="n">
        <v>0</v>
      </c>
      <c r="J275" t="n">
        <v>0</v>
      </c>
      <c r="K275" t="n">
        <v>0</v>
      </c>
      <c r="L275" t="n">
        <v>0</v>
      </c>
      <c r="M275" t="n">
        <v>0</v>
      </c>
      <c r="N275" t="n">
        <v>0</v>
      </c>
      <c r="O275" t="n">
        <v>0</v>
      </c>
      <c r="P275" t="n">
        <v>0</v>
      </c>
      <c r="Q275" t="n">
        <v>0</v>
      </c>
      <c r="R275" s="2" t="inlineStr"/>
    </row>
    <row r="276" ht="15" customHeight="1">
      <c r="A276" t="inlineStr">
        <is>
          <t>A 31619-2025</t>
        </is>
      </c>
      <c r="B276" s="1" t="n">
        <v>45833</v>
      </c>
      <c r="C276" s="1" t="n">
        <v>45989</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54289-2023</t>
        </is>
      </c>
      <c r="B277" s="1" t="n">
        <v>45232.71193287037</v>
      </c>
      <c r="C277" s="1" t="n">
        <v>45989</v>
      </c>
      <c r="D277" t="inlineStr">
        <is>
          <t>DALARNAS LÄN</t>
        </is>
      </c>
      <c r="E277" t="inlineStr">
        <is>
          <t>LEKSAND</t>
        </is>
      </c>
      <c r="G277" t="n">
        <v>2</v>
      </c>
      <c r="H277" t="n">
        <v>0</v>
      </c>
      <c r="I277" t="n">
        <v>0</v>
      </c>
      <c r="J277" t="n">
        <v>0</v>
      </c>
      <c r="K277" t="n">
        <v>0</v>
      </c>
      <c r="L277" t="n">
        <v>0</v>
      </c>
      <c r="M277" t="n">
        <v>0</v>
      </c>
      <c r="N277" t="n">
        <v>0</v>
      </c>
      <c r="O277" t="n">
        <v>0</v>
      </c>
      <c r="P277" t="n">
        <v>0</v>
      </c>
      <c r="Q277" t="n">
        <v>0</v>
      </c>
      <c r="R277" s="2" t="inlineStr"/>
    </row>
    <row r="278" ht="15" customHeight="1">
      <c r="A278" t="inlineStr">
        <is>
          <t>A 31446-2025</t>
        </is>
      </c>
      <c r="B278" s="1" t="n">
        <v>45833</v>
      </c>
      <c r="C278" s="1" t="n">
        <v>45989</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43195-2025</t>
        </is>
      </c>
      <c r="B279" s="1" t="n">
        <v>45910.4294212963</v>
      </c>
      <c r="C279" s="1" t="n">
        <v>45989</v>
      </c>
      <c r="D279" t="inlineStr">
        <is>
          <t>DALARNAS LÄN</t>
        </is>
      </c>
      <c r="E279" t="inlineStr">
        <is>
          <t>LEKSAND</t>
        </is>
      </c>
      <c r="G279" t="n">
        <v>2.5</v>
      </c>
      <c r="H279" t="n">
        <v>0</v>
      </c>
      <c r="I279" t="n">
        <v>0</v>
      </c>
      <c r="J279" t="n">
        <v>0</v>
      </c>
      <c r="K279" t="n">
        <v>0</v>
      </c>
      <c r="L279" t="n">
        <v>0</v>
      </c>
      <c r="M279" t="n">
        <v>0</v>
      </c>
      <c r="N279" t="n">
        <v>0</v>
      </c>
      <c r="O279" t="n">
        <v>0</v>
      </c>
      <c r="P279" t="n">
        <v>0</v>
      </c>
      <c r="Q279" t="n">
        <v>0</v>
      </c>
      <c r="R279" s="2" t="inlineStr"/>
    </row>
    <row r="280" ht="15" customHeight="1">
      <c r="A280" t="inlineStr">
        <is>
          <t>A 29157-2022</t>
        </is>
      </c>
      <c r="B280" s="1" t="n">
        <v>44750.48355324074</v>
      </c>
      <c r="C280" s="1" t="n">
        <v>45989</v>
      </c>
      <c r="D280" t="inlineStr">
        <is>
          <t>DALARNAS LÄN</t>
        </is>
      </c>
      <c r="E280" t="inlineStr">
        <is>
          <t>LEKSAND</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43158-2025</t>
        </is>
      </c>
      <c r="B281" s="1" t="n">
        <v>45910.35496527778</v>
      </c>
      <c r="C281" s="1" t="n">
        <v>45989</v>
      </c>
      <c r="D281" t="inlineStr">
        <is>
          <t>DALARNAS LÄN</t>
        </is>
      </c>
      <c r="E281" t="inlineStr">
        <is>
          <t>LEKSAND</t>
        </is>
      </c>
      <c r="G281" t="n">
        <v>1.9</v>
      </c>
      <c r="H281" t="n">
        <v>0</v>
      </c>
      <c r="I281" t="n">
        <v>0</v>
      </c>
      <c r="J281" t="n">
        <v>0</v>
      </c>
      <c r="K281" t="n">
        <v>0</v>
      </c>
      <c r="L281" t="n">
        <v>0</v>
      </c>
      <c r="M281" t="n">
        <v>0</v>
      </c>
      <c r="N281" t="n">
        <v>0</v>
      </c>
      <c r="O281" t="n">
        <v>0</v>
      </c>
      <c r="P281" t="n">
        <v>0</v>
      </c>
      <c r="Q281" t="n">
        <v>0</v>
      </c>
      <c r="R281" s="2" t="inlineStr"/>
    </row>
    <row r="282" ht="15" customHeight="1">
      <c r="A282" t="inlineStr">
        <is>
          <t>A 31787-2025</t>
        </is>
      </c>
      <c r="B282" s="1" t="n">
        <v>45834</v>
      </c>
      <c r="C282" s="1" t="n">
        <v>45989</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31493-2025</t>
        </is>
      </c>
      <c r="B283" s="1" t="n">
        <v>45833</v>
      </c>
      <c r="C283" s="1" t="n">
        <v>45989</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32104-2025</t>
        </is>
      </c>
      <c r="B284" s="1" t="n">
        <v>45835</v>
      </c>
      <c r="C284" s="1" t="n">
        <v>45989</v>
      </c>
      <c r="D284" t="inlineStr">
        <is>
          <t>DALARNAS LÄN</t>
        </is>
      </c>
      <c r="E284" t="inlineStr">
        <is>
          <t>LEKSAND</t>
        </is>
      </c>
      <c r="G284" t="n">
        <v>3.1</v>
      </c>
      <c r="H284" t="n">
        <v>0</v>
      </c>
      <c r="I284" t="n">
        <v>0</v>
      </c>
      <c r="J284" t="n">
        <v>0</v>
      </c>
      <c r="K284" t="n">
        <v>0</v>
      </c>
      <c r="L284" t="n">
        <v>0</v>
      </c>
      <c r="M284" t="n">
        <v>0</v>
      </c>
      <c r="N284" t="n">
        <v>0</v>
      </c>
      <c r="O284" t="n">
        <v>0</v>
      </c>
      <c r="P284" t="n">
        <v>0</v>
      </c>
      <c r="Q284" t="n">
        <v>0</v>
      </c>
      <c r="R284" s="2" t="inlineStr"/>
    </row>
    <row r="285" ht="15" customHeight="1">
      <c r="A285" t="inlineStr">
        <is>
          <t>A 43830-2025</t>
        </is>
      </c>
      <c r="B285" s="1" t="n">
        <v>45912</v>
      </c>
      <c r="C285" s="1" t="n">
        <v>45989</v>
      </c>
      <c r="D285" t="inlineStr">
        <is>
          <t>DALARNAS LÄN</t>
        </is>
      </c>
      <c r="E285" t="inlineStr">
        <is>
          <t>LEKSAND</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43630-2025</t>
        </is>
      </c>
      <c r="B286" s="1" t="n">
        <v>45911.70278935185</v>
      </c>
      <c r="C286" s="1" t="n">
        <v>45989</v>
      </c>
      <c r="D286" t="inlineStr">
        <is>
          <t>DALARNAS LÄN</t>
        </is>
      </c>
      <c r="E286" t="inlineStr">
        <is>
          <t>LEKSAND</t>
        </is>
      </c>
      <c r="G286" t="n">
        <v>4.7</v>
      </c>
      <c r="H286" t="n">
        <v>0</v>
      </c>
      <c r="I286" t="n">
        <v>0</v>
      </c>
      <c r="J286" t="n">
        <v>0</v>
      </c>
      <c r="K286" t="n">
        <v>0</v>
      </c>
      <c r="L286" t="n">
        <v>0</v>
      </c>
      <c r="M286" t="n">
        <v>0</v>
      </c>
      <c r="N286" t="n">
        <v>0</v>
      </c>
      <c r="O286" t="n">
        <v>0</v>
      </c>
      <c r="P286" t="n">
        <v>0</v>
      </c>
      <c r="Q286" t="n">
        <v>0</v>
      </c>
      <c r="R286" s="2" t="inlineStr"/>
    </row>
    <row r="287" ht="15" customHeight="1">
      <c r="A287" t="inlineStr">
        <is>
          <t>A 12356-2023</t>
        </is>
      </c>
      <c r="B287" s="1" t="n">
        <v>44998</v>
      </c>
      <c r="C287" s="1" t="n">
        <v>45989</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32593-2025</t>
        </is>
      </c>
      <c r="B288" s="1" t="n">
        <v>45838</v>
      </c>
      <c r="C288" s="1" t="n">
        <v>45989</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43607-2025</t>
        </is>
      </c>
      <c r="B289" s="1" t="n">
        <v>45911.66873842593</v>
      </c>
      <c r="C289" s="1" t="n">
        <v>45989</v>
      </c>
      <c r="D289" t="inlineStr">
        <is>
          <t>DALARNAS LÄN</t>
        </is>
      </c>
      <c r="E289" t="inlineStr">
        <is>
          <t>LEKSAND</t>
        </is>
      </c>
      <c r="G289" t="n">
        <v>7.3</v>
      </c>
      <c r="H289" t="n">
        <v>0</v>
      </c>
      <c r="I289" t="n">
        <v>0</v>
      </c>
      <c r="J289" t="n">
        <v>0</v>
      </c>
      <c r="K289" t="n">
        <v>0</v>
      </c>
      <c r="L289" t="n">
        <v>0</v>
      </c>
      <c r="M289" t="n">
        <v>0</v>
      </c>
      <c r="N289" t="n">
        <v>0</v>
      </c>
      <c r="O289" t="n">
        <v>0</v>
      </c>
      <c r="P289" t="n">
        <v>0</v>
      </c>
      <c r="Q289" t="n">
        <v>0</v>
      </c>
      <c r="R289" s="2" t="inlineStr"/>
    </row>
    <row r="290" ht="15" customHeight="1">
      <c r="A290" t="inlineStr">
        <is>
          <t>A 32661-2025</t>
        </is>
      </c>
      <c r="B290" s="1" t="n">
        <v>45838.67953703704</v>
      </c>
      <c r="C290" s="1" t="n">
        <v>45989</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43629-2025</t>
        </is>
      </c>
      <c r="B291" s="1" t="n">
        <v>45911.70180555555</v>
      </c>
      <c r="C291" s="1" t="n">
        <v>45989</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41046-2024</t>
        </is>
      </c>
      <c r="B292" s="1" t="n">
        <v>45559.36677083333</v>
      </c>
      <c r="C292" s="1" t="n">
        <v>45989</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56016-2024</t>
        </is>
      </c>
      <c r="B293" s="1" t="n">
        <v>45623.87737268519</v>
      </c>
      <c r="C293" s="1" t="n">
        <v>45989</v>
      </c>
      <c r="D293" t="inlineStr">
        <is>
          <t>DALARNAS LÄN</t>
        </is>
      </c>
      <c r="E293" t="inlineStr">
        <is>
          <t>LEKSAND</t>
        </is>
      </c>
      <c r="G293" t="n">
        <v>6.1</v>
      </c>
      <c r="H293" t="n">
        <v>0</v>
      </c>
      <c r="I293" t="n">
        <v>0</v>
      </c>
      <c r="J293" t="n">
        <v>0</v>
      </c>
      <c r="K293" t="n">
        <v>0</v>
      </c>
      <c r="L293" t="n">
        <v>0</v>
      </c>
      <c r="M293" t="n">
        <v>0</v>
      </c>
      <c r="N293" t="n">
        <v>0</v>
      </c>
      <c r="O293" t="n">
        <v>0</v>
      </c>
      <c r="P293" t="n">
        <v>0</v>
      </c>
      <c r="Q293" t="n">
        <v>0</v>
      </c>
      <c r="R293" s="2" t="inlineStr"/>
    </row>
    <row r="294" ht="15" customHeight="1">
      <c r="A294" t="inlineStr">
        <is>
          <t>A 32301-2025</t>
        </is>
      </c>
      <c r="B294" s="1" t="n">
        <v>45835</v>
      </c>
      <c r="C294" s="1" t="n">
        <v>45989</v>
      </c>
      <c r="D294" t="inlineStr">
        <is>
          <t>DALARNAS LÄN</t>
        </is>
      </c>
      <c r="E294" t="inlineStr">
        <is>
          <t>LEKSAND</t>
        </is>
      </c>
      <c r="G294" t="n">
        <v>2.2</v>
      </c>
      <c r="H294" t="n">
        <v>0</v>
      </c>
      <c r="I294" t="n">
        <v>0</v>
      </c>
      <c r="J294" t="n">
        <v>0</v>
      </c>
      <c r="K294" t="n">
        <v>0</v>
      </c>
      <c r="L294" t="n">
        <v>0</v>
      </c>
      <c r="M294" t="n">
        <v>0</v>
      </c>
      <c r="N294" t="n">
        <v>0</v>
      </c>
      <c r="O294" t="n">
        <v>0</v>
      </c>
      <c r="P294" t="n">
        <v>0</v>
      </c>
      <c r="Q294" t="n">
        <v>0</v>
      </c>
      <c r="R294" s="2" t="inlineStr"/>
    </row>
    <row r="295" ht="15" customHeight="1">
      <c r="A295" t="inlineStr">
        <is>
          <t>A 43781-2025</t>
        </is>
      </c>
      <c r="B295" s="1" t="n">
        <v>45912.52229166667</v>
      </c>
      <c r="C295" s="1" t="n">
        <v>45989</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32653-2025</t>
        </is>
      </c>
      <c r="B296" s="1" t="n">
        <v>45838</v>
      </c>
      <c r="C296" s="1" t="n">
        <v>45989</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43875-2025</t>
        </is>
      </c>
      <c r="B297" s="1" t="n">
        <v>45912.67685185185</v>
      </c>
      <c r="C297" s="1" t="n">
        <v>45989</v>
      </c>
      <c r="D297" t="inlineStr">
        <is>
          <t>DALARNAS LÄN</t>
        </is>
      </c>
      <c r="E297" t="inlineStr">
        <is>
          <t>LEKSAND</t>
        </is>
      </c>
      <c r="G297" t="n">
        <v>1.7</v>
      </c>
      <c r="H297" t="n">
        <v>0</v>
      </c>
      <c r="I297" t="n">
        <v>0</v>
      </c>
      <c r="J297" t="n">
        <v>0</v>
      </c>
      <c r="K297" t="n">
        <v>0</v>
      </c>
      <c r="L297" t="n">
        <v>0</v>
      </c>
      <c r="M297" t="n">
        <v>0</v>
      </c>
      <c r="N297" t="n">
        <v>0</v>
      </c>
      <c r="O297" t="n">
        <v>0</v>
      </c>
      <c r="P297" t="n">
        <v>0</v>
      </c>
      <c r="Q297" t="n">
        <v>0</v>
      </c>
      <c r="R297" s="2" t="inlineStr"/>
    </row>
    <row r="298" ht="15" customHeight="1">
      <c r="A298" t="inlineStr">
        <is>
          <t>A 31945-2025</t>
        </is>
      </c>
      <c r="B298" s="1" t="n">
        <v>45835</v>
      </c>
      <c r="C298" s="1" t="n">
        <v>45989</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43888-2025</t>
        </is>
      </c>
      <c r="B299" s="1" t="n">
        <v>45912</v>
      </c>
      <c r="C299" s="1" t="n">
        <v>45989</v>
      </c>
      <c r="D299" t="inlineStr">
        <is>
          <t>DALARNAS LÄN</t>
        </is>
      </c>
      <c r="E299" t="inlineStr">
        <is>
          <t>LEKSAND</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55926-2024</t>
        </is>
      </c>
      <c r="B300" s="1" t="n">
        <v>45623.601875</v>
      </c>
      <c r="C300" s="1" t="n">
        <v>45989</v>
      </c>
      <c r="D300" t="inlineStr">
        <is>
          <t>DALARNAS LÄN</t>
        </is>
      </c>
      <c r="E300" t="inlineStr">
        <is>
          <t>LEKSAND</t>
        </is>
      </c>
      <c r="G300" t="n">
        <v>0.6</v>
      </c>
      <c r="H300" t="n">
        <v>0</v>
      </c>
      <c r="I300" t="n">
        <v>0</v>
      </c>
      <c r="J300" t="n">
        <v>0</v>
      </c>
      <c r="K300" t="n">
        <v>0</v>
      </c>
      <c r="L300" t="n">
        <v>0</v>
      </c>
      <c r="M300" t="n">
        <v>0</v>
      </c>
      <c r="N300" t="n">
        <v>0</v>
      </c>
      <c r="O300" t="n">
        <v>0</v>
      </c>
      <c r="P300" t="n">
        <v>0</v>
      </c>
      <c r="Q300" t="n">
        <v>0</v>
      </c>
      <c r="R300" s="2" t="inlineStr"/>
    </row>
    <row r="301" ht="15" customHeight="1">
      <c r="A301" t="inlineStr">
        <is>
          <t>A 16293-2025</t>
        </is>
      </c>
      <c r="B301" s="1" t="n">
        <v>45751.33447916667</v>
      </c>
      <c r="C301" s="1" t="n">
        <v>45989</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33160-2025</t>
        </is>
      </c>
      <c r="B302" s="1" t="n">
        <v>45840</v>
      </c>
      <c r="C302" s="1" t="n">
        <v>45989</v>
      </c>
      <c r="D302" t="inlineStr">
        <is>
          <t>DALARNAS LÄN</t>
        </is>
      </c>
      <c r="E302" t="inlineStr">
        <is>
          <t>LEKSAND</t>
        </is>
      </c>
      <c r="G302" t="n">
        <v>2.3</v>
      </c>
      <c r="H302" t="n">
        <v>0</v>
      </c>
      <c r="I302" t="n">
        <v>0</v>
      </c>
      <c r="J302" t="n">
        <v>0</v>
      </c>
      <c r="K302" t="n">
        <v>0</v>
      </c>
      <c r="L302" t="n">
        <v>0</v>
      </c>
      <c r="M302" t="n">
        <v>0</v>
      </c>
      <c r="N302" t="n">
        <v>0</v>
      </c>
      <c r="O302" t="n">
        <v>0</v>
      </c>
      <c r="P302" t="n">
        <v>0</v>
      </c>
      <c r="Q302" t="n">
        <v>0</v>
      </c>
      <c r="R302" s="2" t="inlineStr"/>
    </row>
    <row r="303" ht="15" customHeight="1">
      <c r="A303" t="inlineStr">
        <is>
          <t>A 51860-2024</t>
        </is>
      </c>
      <c r="B303" s="1" t="n">
        <v>45607.54511574074</v>
      </c>
      <c r="C303" s="1" t="n">
        <v>45989</v>
      </c>
      <c r="D303" t="inlineStr">
        <is>
          <t>DALARNAS LÄN</t>
        </is>
      </c>
      <c r="E303" t="inlineStr">
        <is>
          <t>LEKSAND</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43628-2025</t>
        </is>
      </c>
      <c r="B304" s="1" t="n">
        <v>45911.70060185185</v>
      </c>
      <c r="C304" s="1" t="n">
        <v>45989</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12363-2023</t>
        </is>
      </c>
      <c r="B305" s="1" t="n">
        <v>44998</v>
      </c>
      <c r="C305" s="1" t="n">
        <v>45989</v>
      </c>
      <c r="D305" t="inlineStr">
        <is>
          <t>DALARNAS LÄN</t>
        </is>
      </c>
      <c r="E305" t="inlineStr">
        <is>
          <t>LEKSAND</t>
        </is>
      </c>
      <c r="G305" t="n">
        <v>10</v>
      </c>
      <c r="H305" t="n">
        <v>0</v>
      </c>
      <c r="I305" t="n">
        <v>0</v>
      </c>
      <c r="J305" t="n">
        <v>0</v>
      </c>
      <c r="K305" t="n">
        <v>0</v>
      </c>
      <c r="L305" t="n">
        <v>0</v>
      </c>
      <c r="M305" t="n">
        <v>0</v>
      </c>
      <c r="N305" t="n">
        <v>0</v>
      </c>
      <c r="O305" t="n">
        <v>0</v>
      </c>
      <c r="P305" t="n">
        <v>0</v>
      </c>
      <c r="Q305" t="n">
        <v>0</v>
      </c>
      <c r="R305" s="2" t="inlineStr"/>
    </row>
    <row r="306" ht="15" customHeight="1">
      <c r="A306" t="inlineStr">
        <is>
          <t>A 32855-2025</t>
        </is>
      </c>
      <c r="B306" s="1" t="n">
        <v>45839.57643518518</v>
      </c>
      <c r="C306" s="1" t="n">
        <v>45989</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44516-2025</t>
        </is>
      </c>
      <c r="B307" s="1" t="n">
        <v>45916.70982638889</v>
      </c>
      <c r="C307" s="1" t="n">
        <v>45989</v>
      </c>
      <c r="D307" t="inlineStr">
        <is>
          <t>DALARNAS LÄN</t>
        </is>
      </c>
      <c r="E307" t="inlineStr">
        <is>
          <t>LEKSAND</t>
        </is>
      </c>
      <c r="G307" t="n">
        <v>1.8</v>
      </c>
      <c r="H307" t="n">
        <v>0</v>
      </c>
      <c r="I307" t="n">
        <v>0</v>
      </c>
      <c r="J307" t="n">
        <v>0</v>
      </c>
      <c r="K307" t="n">
        <v>0</v>
      </c>
      <c r="L307" t="n">
        <v>0</v>
      </c>
      <c r="M307" t="n">
        <v>0</v>
      </c>
      <c r="N307" t="n">
        <v>0</v>
      </c>
      <c r="O307" t="n">
        <v>0</v>
      </c>
      <c r="P307" t="n">
        <v>0</v>
      </c>
      <c r="Q307" t="n">
        <v>0</v>
      </c>
      <c r="R307" s="2" t="inlineStr"/>
    </row>
    <row r="308" ht="15" customHeight="1">
      <c r="A308" t="inlineStr">
        <is>
          <t>A 15020-2023</t>
        </is>
      </c>
      <c r="B308" s="1" t="n">
        <v>45015.6196412037</v>
      </c>
      <c r="C308" s="1" t="n">
        <v>45989</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44519-2025</t>
        </is>
      </c>
      <c r="B309" s="1" t="n">
        <v>45916.71483796297</v>
      </c>
      <c r="C309" s="1" t="n">
        <v>45989</v>
      </c>
      <c r="D309" t="inlineStr">
        <is>
          <t>DALARNAS LÄN</t>
        </is>
      </c>
      <c r="E309" t="inlineStr">
        <is>
          <t>LEKSAND</t>
        </is>
      </c>
      <c r="G309" t="n">
        <v>3.6</v>
      </c>
      <c r="H309" t="n">
        <v>0</v>
      </c>
      <c r="I309" t="n">
        <v>0</v>
      </c>
      <c r="J309" t="n">
        <v>0</v>
      </c>
      <c r="K309" t="n">
        <v>0</v>
      </c>
      <c r="L309" t="n">
        <v>0</v>
      </c>
      <c r="M309" t="n">
        <v>0</v>
      </c>
      <c r="N309" t="n">
        <v>0</v>
      </c>
      <c r="O309" t="n">
        <v>0</v>
      </c>
      <c r="P309" t="n">
        <v>0</v>
      </c>
      <c r="Q309" t="n">
        <v>0</v>
      </c>
      <c r="R309" s="2" t="inlineStr"/>
    </row>
    <row r="310" ht="15" customHeight="1">
      <c r="A310" t="inlineStr">
        <is>
          <t>A 53190-2025</t>
        </is>
      </c>
      <c r="B310" s="1" t="n">
        <v>45958.56283564815</v>
      </c>
      <c r="C310" s="1" t="n">
        <v>45989</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23323-2023</t>
        </is>
      </c>
      <c r="B311" s="1" t="n">
        <v>45076</v>
      </c>
      <c r="C311" s="1" t="n">
        <v>45989</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44237-2025</t>
        </is>
      </c>
      <c r="B312" s="1" t="n">
        <v>45915.6677199074</v>
      </c>
      <c r="C312" s="1" t="n">
        <v>45989</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10299-2024</t>
        </is>
      </c>
      <c r="B313" s="1" t="n">
        <v>45365.50425925926</v>
      </c>
      <c r="C313" s="1" t="n">
        <v>45989</v>
      </c>
      <c r="D313" t="inlineStr">
        <is>
          <t>DALARNAS LÄN</t>
        </is>
      </c>
      <c r="E313" t="inlineStr">
        <is>
          <t>LEKSAND</t>
        </is>
      </c>
      <c r="G313" t="n">
        <v>3.6</v>
      </c>
      <c r="H313" t="n">
        <v>0</v>
      </c>
      <c r="I313" t="n">
        <v>0</v>
      </c>
      <c r="J313" t="n">
        <v>0</v>
      </c>
      <c r="K313" t="n">
        <v>0</v>
      </c>
      <c r="L313" t="n">
        <v>0</v>
      </c>
      <c r="M313" t="n">
        <v>0</v>
      </c>
      <c r="N313" t="n">
        <v>0</v>
      </c>
      <c r="O313" t="n">
        <v>0</v>
      </c>
      <c r="P313" t="n">
        <v>0</v>
      </c>
      <c r="Q313" t="n">
        <v>0</v>
      </c>
      <c r="R313" s="2" t="inlineStr"/>
    </row>
    <row r="314" ht="15" customHeight="1">
      <c r="A314" t="inlineStr">
        <is>
          <t>A 55643-2024</t>
        </is>
      </c>
      <c r="B314" s="1" t="n">
        <v>45621</v>
      </c>
      <c r="C314" s="1" t="n">
        <v>45989</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33804-2025</t>
        </is>
      </c>
      <c r="B315" s="1" t="n">
        <v>45842</v>
      </c>
      <c r="C315" s="1" t="n">
        <v>45989</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60129-2023</t>
        </is>
      </c>
      <c r="B316" s="1" t="n">
        <v>45258.49056712963</v>
      </c>
      <c r="C316" s="1" t="n">
        <v>45989</v>
      </c>
      <c r="D316" t="inlineStr">
        <is>
          <t>DALARNAS LÄN</t>
        </is>
      </c>
      <c r="E316" t="inlineStr">
        <is>
          <t>LEKSAND</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52671-2025</t>
        </is>
      </c>
      <c r="B317" s="1" t="n">
        <v>45955.98113425926</v>
      </c>
      <c r="C317" s="1" t="n">
        <v>45989</v>
      </c>
      <c r="D317" t="inlineStr">
        <is>
          <t>DALARNAS LÄN</t>
        </is>
      </c>
      <c r="E317" t="inlineStr">
        <is>
          <t>LEKSAND</t>
        </is>
      </c>
      <c r="G317" t="n">
        <v>0.8</v>
      </c>
      <c r="H317" t="n">
        <v>0</v>
      </c>
      <c r="I317" t="n">
        <v>0</v>
      </c>
      <c r="J317" t="n">
        <v>0</v>
      </c>
      <c r="K317" t="n">
        <v>0</v>
      </c>
      <c r="L317" t="n">
        <v>0</v>
      </c>
      <c r="M317" t="n">
        <v>0</v>
      </c>
      <c r="N317" t="n">
        <v>0</v>
      </c>
      <c r="O317" t="n">
        <v>0</v>
      </c>
      <c r="P317" t="n">
        <v>0</v>
      </c>
      <c r="Q317" t="n">
        <v>0</v>
      </c>
      <c r="R317" s="2" t="inlineStr"/>
    </row>
    <row r="318" ht="15" customHeight="1">
      <c r="A318" t="inlineStr">
        <is>
          <t>A 16137-2023</t>
        </is>
      </c>
      <c r="B318" s="1" t="n">
        <v>45027</v>
      </c>
      <c r="C318" s="1" t="n">
        <v>45989</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53041-2025</t>
        </is>
      </c>
      <c r="B319" s="1" t="n">
        <v>45958.35487268519</v>
      </c>
      <c r="C319" s="1" t="n">
        <v>45989</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53243-2025</t>
        </is>
      </c>
      <c r="B320" s="1" t="n">
        <v>45958.6442824074</v>
      </c>
      <c r="C320" s="1" t="n">
        <v>45989</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56283-2024</t>
        </is>
      </c>
      <c r="B321" s="1" t="n">
        <v>45624.67864583333</v>
      </c>
      <c r="C321" s="1" t="n">
        <v>45989</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56299-2024</t>
        </is>
      </c>
      <c r="B322" s="1" t="n">
        <v>45624.68607638889</v>
      </c>
      <c r="C322" s="1" t="n">
        <v>45989</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43077-2024</t>
        </is>
      </c>
      <c r="B323" s="1" t="n">
        <v>45567.50030092592</v>
      </c>
      <c r="C323" s="1" t="n">
        <v>45989</v>
      </c>
      <c r="D323" t="inlineStr">
        <is>
          <t>DALARNAS LÄN</t>
        </is>
      </c>
      <c r="E323" t="inlineStr">
        <is>
          <t>LEKSAND</t>
        </is>
      </c>
      <c r="G323" t="n">
        <v>1.6</v>
      </c>
      <c r="H323" t="n">
        <v>0</v>
      </c>
      <c r="I323" t="n">
        <v>0</v>
      </c>
      <c r="J323" t="n">
        <v>0</v>
      </c>
      <c r="K323" t="n">
        <v>0</v>
      </c>
      <c r="L323" t="n">
        <v>0</v>
      </c>
      <c r="M323" t="n">
        <v>0</v>
      </c>
      <c r="N323" t="n">
        <v>0</v>
      </c>
      <c r="O323" t="n">
        <v>0</v>
      </c>
      <c r="P323" t="n">
        <v>0</v>
      </c>
      <c r="Q323" t="n">
        <v>0</v>
      </c>
      <c r="R323" s="2" t="inlineStr"/>
    </row>
    <row r="324" ht="15" customHeight="1">
      <c r="A324" t="inlineStr">
        <is>
          <t>A 44948-2025</t>
        </is>
      </c>
      <c r="B324" s="1" t="n">
        <v>45918.60555555556</v>
      </c>
      <c r="C324" s="1" t="n">
        <v>45989</v>
      </c>
      <c r="D324" t="inlineStr">
        <is>
          <t>DALARNAS LÄN</t>
        </is>
      </c>
      <c r="E324" t="inlineStr">
        <is>
          <t>LEKSAND</t>
        </is>
      </c>
      <c r="G324" t="n">
        <v>5.1</v>
      </c>
      <c r="H324" t="n">
        <v>0</v>
      </c>
      <c r="I324" t="n">
        <v>0</v>
      </c>
      <c r="J324" t="n">
        <v>0</v>
      </c>
      <c r="K324" t="n">
        <v>0</v>
      </c>
      <c r="L324" t="n">
        <v>0</v>
      </c>
      <c r="M324" t="n">
        <v>0</v>
      </c>
      <c r="N324" t="n">
        <v>0</v>
      </c>
      <c r="O324" t="n">
        <v>0</v>
      </c>
      <c r="P324" t="n">
        <v>0</v>
      </c>
      <c r="Q324" t="n">
        <v>0</v>
      </c>
      <c r="R324" s="2" t="inlineStr"/>
    </row>
    <row r="325" ht="15" customHeight="1">
      <c r="A325" t="inlineStr">
        <is>
          <t>A 34789-2025</t>
        </is>
      </c>
      <c r="B325" s="1" t="n">
        <v>45848</v>
      </c>
      <c r="C325" s="1" t="n">
        <v>45989</v>
      </c>
      <c r="D325" t="inlineStr">
        <is>
          <t>DALARNAS LÄN</t>
        </is>
      </c>
      <c r="E325" t="inlineStr">
        <is>
          <t>LEKSAND</t>
        </is>
      </c>
      <c r="F325" t="inlineStr">
        <is>
          <t>Bergvik skog väst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41896-2024</t>
        </is>
      </c>
      <c r="B326" s="1" t="n">
        <v>45561.51310185185</v>
      </c>
      <c r="C326" s="1" t="n">
        <v>45989</v>
      </c>
      <c r="D326" t="inlineStr">
        <is>
          <t>DALARNAS LÄN</t>
        </is>
      </c>
      <c r="E326" t="inlineStr">
        <is>
          <t>LEKSAND</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34537-2025</t>
        </is>
      </c>
      <c r="B327" s="1" t="n">
        <v>45847</v>
      </c>
      <c r="C327" s="1" t="n">
        <v>45989</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53718-2025</t>
        </is>
      </c>
      <c r="B328" s="1" t="n">
        <v>45960.61840277778</v>
      </c>
      <c r="C328" s="1" t="n">
        <v>45989</v>
      </c>
      <c r="D328" t="inlineStr">
        <is>
          <t>DALARNAS LÄN</t>
        </is>
      </c>
      <c r="E328" t="inlineStr">
        <is>
          <t>LEKSAND</t>
        </is>
      </c>
      <c r="G328" t="n">
        <v>7.5</v>
      </c>
      <c r="H328" t="n">
        <v>0</v>
      </c>
      <c r="I328" t="n">
        <v>0</v>
      </c>
      <c r="J328" t="n">
        <v>0</v>
      </c>
      <c r="K328" t="n">
        <v>0</v>
      </c>
      <c r="L328" t="n">
        <v>0</v>
      </c>
      <c r="M328" t="n">
        <v>0</v>
      </c>
      <c r="N328" t="n">
        <v>0</v>
      </c>
      <c r="O328" t="n">
        <v>0</v>
      </c>
      <c r="P328" t="n">
        <v>0</v>
      </c>
      <c r="Q328" t="n">
        <v>0</v>
      </c>
      <c r="R328" s="2" t="inlineStr"/>
    </row>
    <row r="329" ht="15" customHeight="1">
      <c r="A329" t="inlineStr">
        <is>
          <t>A 35094-2025</t>
        </is>
      </c>
      <c r="B329" s="1" t="n">
        <v>45852</v>
      </c>
      <c r="C329" s="1" t="n">
        <v>45989</v>
      </c>
      <c r="D329" t="inlineStr">
        <is>
          <t>DALARNAS LÄN</t>
        </is>
      </c>
      <c r="E329" t="inlineStr">
        <is>
          <t>LEKSAND</t>
        </is>
      </c>
      <c r="G329" t="n">
        <v>1.3</v>
      </c>
      <c r="H329" t="n">
        <v>0</v>
      </c>
      <c r="I329" t="n">
        <v>0</v>
      </c>
      <c r="J329" t="n">
        <v>0</v>
      </c>
      <c r="K329" t="n">
        <v>0</v>
      </c>
      <c r="L329" t="n">
        <v>0</v>
      </c>
      <c r="M329" t="n">
        <v>0</v>
      </c>
      <c r="N329" t="n">
        <v>0</v>
      </c>
      <c r="O329" t="n">
        <v>0</v>
      </c>
      <c r="P329" t="n">
        <v>0</v>
      </c>
      <c r="Q329" t="n">
        <v>0</v>
      </c>
      <c r="R329" s="2" t="inlineStr"/>
    </row>
    <row r="330" ht="15" customHeight="1">
      <c r="A330" t="inlineStr">
        <is>
          <t>A 24005-2024</t>
        </is>
      </c>
      <c r="B330" s="1" t="n">
        <v>45456.39239583333</v>
      </c>
      <c r="C330" s="1" t="n">
        <v>45989</v>
      </c>
      <c r="D330" t="inlineStr">
        <is>
          <t>DALARNAS LÄN</t>
        </is>
      </c>
      <c r="E330" t="inlineStr">
        <is>
          <t>LEKSAND</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1984-2025</t>
        </is>
      </c>
      <c r="B331" s="1" t="n">
        <v>45670</v>
      </c>
      <c r="C331" s="1" t="n">
        <v>45989</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59199-2024</t>
        </is>
      </c>
      <c r="B332" s="1" t="n">
        <v>45637</v>
      </c>
      <c r="C332" s="1" t="n">
        <v>45989</v>
      </c>
      <c r="D332" t="inlineStr">
        <is>
          <t>DALARNAS LÄN</t>
        </is>
      </c>
      <c r="E332" t="inlineStr">
        <is>
          <t>LEKSAND</t>
        </is>
      </c>
      <c r="G332" t="n">
        <v>5.4</v>
      </c>
      <c r="H332" t="n">
        <v>0</v>
      </c>
      <c r="I332" t="n">
        <v>0</v>
      </c>
      <c r="J332" t="n">
        <v>0</v>
      </c>
      <c r="K332" t="n">
        <v>0</v>
      </c>
      <c r="L332" t="n">
        <v>0</v>
      </c>
      <c r="M332" t="n">
        <v>0</v>
      </c>
      <c r="N332" t="n">
        <v>0</v>
      </c>
      <c r="O332" t="n">
        <v>0</v>
      </c>
      <c r="P332" t="n">
        <v>0</v>
      </c>
      <c r="Q332" t="n">
        <v>0</v>
      </c>
      <c r="R332" s="2" t="inlineStr"/>
    </row>
    <row r="333" ht="15" customHeight="1">
      <c r="A333" t="inlineStr">
        <is>
          <t>A 53438-2025</t>
        </is>
      </c>
      <c r="B333" s="1" t="n">
        <v>45959.63711805556</v>
      </c>
      <c r="C333" s="1" t="n">
        <v>45989</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34965-2025</t>
        </is>
      </c>
      <c r="B334" s="1" t="n">
        <v>45849</v>
      </c>
      <c r="C334" s="1" t="n">
        <v>45989</v>
      </c>
      <c r="D334" t="inlineStr">
        <is>
          <t>DALARNAS LÄN</t>
        </is>
      </c>
      <c r="E334" t="inlineStr">
        <is>
          <t>LEKSAND</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34966-2025</t>
        </is>
      </c>
      <c r="B335" s="1" t="n">
        <v>45849</v>
      </c>
      <c r="C335" s="1" t="n">
        <v>45989</v>
      </c>
      <c r="D335" t="inlineStr">
        <is>
          <t>DALARNAS LÄN</t>
        </is>
      </c>
      <c r="E335" t="inlineStr">
        <is>
          <t>LEKSAND</t>
        </is>
      </c>
      <c r="F335" t="inlineStr">
        <is>
          <t>Bergvik skog väst AB</t>
        </is>
      </c>
      <c r="G335" t="n">
        <v>0.9</v>
      </c>
      <c r="H335" t="n">
        <v>0</v>
      </c>
      <c r="I335" t="n">
        <v>0</v>
      </c>
      <c r="J335" t="n">
        <v>0</v>
      </c>
      <c r="K335" t="n">
        <v>0</v>
      </c>
      <c r="L335" t="n">
        <v>0</v>
      </c>
      <c r="M335" t="n">
        <v>0</v>
      </c>
      <c r="N335" t="n">
        <v>0</v>
      </c>
      <c r="O335" t="n">
        <v>0</v>
      </c>
      <c r="P335" t="n">
        <v>0</v>
      </c>
      <c r="Q335" t="n">
        <v>0</v>
      </c>
      <c r="R335" s="2" t="inlineStr"/>
    </row>
    <row r="336" ht="15" customHeight="1">
      <c r="A336" t="inlineStr">
        <is>
          <t>A 44672-2025</t>
        </is>
      </c>
      <c r="B336" s="1" t="n">
        <v>45917.56780092593</v>
      </c>
      <c r="C336" s="1" t="n">
        <v>45989</v>
      </c>
      <c r="D336" t="inlineStr">
        <is>
          <t>DALARNAS LÄN</t>
        </is>
      </c>
      <c r="E336" t="inlineStr">
        <is>
          <t>LEKSAND</t>
        </is>
      </c>
      <c r="G336" t="n">
        <v>0.5</v>
      </c>
      <c r="H336" t="n">
        <v>0</v>
      </c>
      <c r="I336" t="n">
        <v>0</v>
      </c>
      <c r="J336" t="n">
        <v>0</v>
      </c>
      <c r="K336" t="n">
        <v>0</v>
      </c>
      <c r="L336" t="n">
        <v>0</v>
      </c>
      <c r="M336" t="n">
        <v>0</v>
      </c>
      <c r="N336" t="n">
        <v>0</v>
      </c>
      <c r="O336" t="n">
        <v>0</v>
      </c>
      <c r="P336" t="n">
        <v>0</v>
      </c>
      <c r="Q336" t="n">
        <v>0</v>
      </c>
      <c r="R336" s="2" t="inlineStr"/>
    </row>
    <row r="337" ht="15" customHeight="1">
      <c r="A337" t="inlineStr">
        <is>
          <t>A 53619-2025</t>
        </is>
      </c>
      <c r="B337" s="1" t="n">
        <v>45960</v>
      </c>
      <c r="C337" s="1" t="n">
        <v>45989</v>
      </c>
      <c r="D337" t="inlineStr">
        <is>
          <t>DALARNAS LÄN</t>
        </is>
      </c>
      <c r="E337" t="inlineStr">
        <is>
          <t>LEKSAND</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33310-2023</t>
        </is>
      </c>
      <c r="B338" s="1" t="n">
        <v>45127.82231481482</v>
      </c>
      <c r="C338" s="1" t="n">
        <v>45989</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57899-2024</t>
        </is>
      </c>
      <c r="B339" s="1" t="n">
        <v>45630</v>
      </c>
      <c r="C339" s="1" t="n">
        <v>45989</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11110-2023</t>
        </is>
      </c>
      <c r="B340" s="1" t="n">
        <v>44992</v>
      </c>
      <c r="C340" s="1" t="n">
        <v>45989</v>
      </c>
      <c r="D340" t="inlineStr">
        <is>
          <t>DALARNAS LÄN</t>
        </is>
      </c>
      <c r="E340" t="inlineStr">
        <is>
          <t>LEKSAND</t>
        </is>
      </c>
      <c r="G340" t="n">
        <v>11.2</v>
      </c>
      <c r="H340" t="n">
        <v>0</v>
      </c>
      <c r="I340" t="n">
        <v>0</v>
      </c>
      <c r="J340" t="n">
        <v>0</v>
      </c>
      <c r="K340" t="n">
        <v>0</v>
      </c>
      <c r="L340" t="n">
        <v>0</v>
      </c>
      <c r="M340" t="n">
        <v>0</v>
      </c>
      <c r="N340" t="n">
        <v>0</v>
      </c>
      <c r="O340" t="n">
        <v>0</v>
      </c>
      <c r="P340" t="n">
        <v>0</v>
      </c>
      <c r="Q340" t="n">
        <v>0</v>
      </c>
      <c r="R340" s="2" t="inlineStr"/>
    </row>
    <row r="341" ht="15" customHeight="1">
      <c r="A341" t="inlineStr">
        <is>
          <t>A 56753-2023</t>
        </is>
      </c>
      <c r="B341" s="1" t="n">
        <v>45244.37094907407</v>
      </c>
      <c r="C341" s="1" t="n">
        <v>45989</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45101-2025</t>
        </is>
      </c>
      <c r="B342" s="1" t="n">
        <v>45919.39679398148</v>
      </c>
      <c r="C342" s="1" t="n">
        <v>45989</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57933-2024</t>
        </is>
      </c>
      <c r="B343" s="1" t="n">
        <v>45630</v>
      </c>
      <c r="C343" s="1" t="n">
        <v>45989</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53838-2025</t>
        </is>
      </c>
      <c r="B344" s="1" t="n">
        <v>45961.34895833334</v>
      </c>
      <c r="C344" s="1" t="n">
        <v>45989</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11403-2023</t>
        </is>
      </c>
      <c r="B345" s="1" t="n">
        <v>44993</v>
      </c>
      <c r="C345" s="1" t="n">
        <v>45989</v>
      </c>
      <c r="D345" t="inlineStr">
        <is>
          <t>DALARNAS LÄN</t>
        </is>
      </c>
      <c r="E345" t="inlineStr">
        <is>
          <t>LEKSAND</t>
        </is>
      </c>
      <c r="G345" t="n">
        <v>0.1</v>
      </c>
      <c r="H345" t="n">
        <v>0</v>
      </c>
      <c r="I345" t="n">
        <v>0</v>
      </c>
      <c r="J345" t="n">
        <v>0</v>
      </c>
      <c r="K345" t="n">
        <v>0</v>
      </c>
      <c r="L345" t="n">
        <v>0</v>
      </c>
      <c r="M345" t="n">
        <v>0</v>
      </c>
      <c r="N345" t="n">
        <v>0</v>
      </c>
      <c r="O345" t="n">
        <v>0</v>
      </c>
      <c r="P345" t="n">
        <v>0</v>
      </c>
      <c r="Q345" t="n">
        <v>0</v>
      </c>
      <c r="R345" s="2" t="inlineStr"/>
    </row>
    <row r="346" ht="15" customHeight="1">
      <c r="A346" t="inlineStr">
        <is>
          <t>A 54120-2025</t>
        </is>
      </c>
      <c r="B346" s="1" t="n">
        <v>45964.45040509259</v>
      </c>
      <c r="C346" s="1" t="n">
        <v>45989</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54125-2025</t>
        </is>
      </c>
      <c r="B347" s="1" t="n">
        <v>45964.45671296296</v>
      </c>
      <c r="C347" s="1" t="n">
        <v>45989</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54015-2025</t>
        </is>
      </c>
      <c r="B348" s="1" t="n">
        <v>45961.64158564815</v>
      </c>
      <c r="C348" s="1" t="n">
        <v>45989</v>
      </c>
      <c r="D348" t="inlineStr">
        <is>
          <t>DALARNAS LÄN</t>
        </is>
      </c>
      <c r="E348" t="inlineStr">
        <is>
          <t>LEKSAND</t>
        </is>
      </c>
      <c r="G348" t="n">
        <v>1</v>
      </c>
      <c r="H348" t="n">
        <v>0</v>
      </c>
      <c r="I348" t="n">
        <v>0</v>
      </c>
      <c r="J348" t="n">
        <v>0</v>
      </c>
      <c r="K348" t="n">
        <v>0</v>
      </c>
      <c r="L348" t="n">
        <v>0</v>
      </c>
      <c r="M348" t="n">
        <v>0</v>
      </c>
      <c r="N348" t="n">
        <v>0</v>
      </c>
      <c r="O348" t="n">
        <v>0</v>
      </c>
      <c r="P348" t="n">
        <v>0</v>
      </c>
      <c r="Q348" t="n">
        <v>0</v>
      </c>
      <c r="R348" s="2" t="inlineStr"/>
    </row>
    <row r="349" ht="15" customHeight="1">
      <c r="A349" t="inlineStr">
        <is>
          <t>A 22683-2022</t>
        </is>
      </c>
      <c r="B349" s="1" t="n">
        <v>44714</v>
      </c>
      <c r="C349" s="1" t="n">
        <v>45989</v>
      </c>
      <c r="D349" t="inlineStr">
        <is>
          <t>DALARNAS LÄN</t>
        </is>
      </c>
      <c r="E349" t="inlineStr">
        <is>
          <t>LEKSAND</t>
        </is>
      </c>
      <c r="F349" t="inlineStr">
        <is>
          <t>Bergvik skog väst AB</t>
        </is>
      </c>
      <c r="G349" t="n">
        <v>3.4</v>
      </c>
      <c r="H349" t="n">
        <v>0</v>
      </c>
      <c r="I349" t="n">
        <v>0</v>
      </c>
      <c r="J349" t="n">
        <v>0</v>
      </c>
      <c r="K349" t="n">
        <v>0</v>
      </c>
      <c r="L349" t="n">
        <v>0</v>
      </c>
      <c r="M349" t="n">
        <v>0</v>
      </c>
      <c r="N349" t="n">
        <v>0</v>
      </c>
      <c r="O349" t="n">
        <v>0</v>
      </c>
      <c r="P349" t="n">
        <v>0</v>
      </c>
      <c r="Q349" t="n">
        <v>0</v>
      </c>
      <c r="R349" s="2" t="inlineStr"/>
    </row>
    <row r="350" ht="15" customHeight="1">
      <c r="A350" t="inlineStr">
        <is>
          <t>A 52755-2024</t>
        </is>
      </c>
      <c r="B350" s="1" t="n">
        <v>45610.50217592593</v>
      </c>
      <c r="C350" s="1" t="n">
        <v>45989</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13705-2021</t>
        </is>
      </c>
      <c r="B351" s="1" t="n">
        <v>44274</v>
      </c>
      <c r="C351" s="1" t="n">
        <v>45989</v>
      </c>
      <c r="D351" t="inlineStr">
        <is>
          <t>DALARNAS LÄN</t>
        </is>
      </c>
      <c r="E351" t="inlineStr">
        <is>
          <t>LEKSAND</t>
        </is>
      </c>
      <c r="G351" t="n">
        <v>3.8</v>
      </c>
      <c r="H351" t="n">
        <v>0</v>
      </c>
      <c r="I351" t="n">
        <v>0</v>
      </c>
      <c r="J351" t="n">
        <v>0</v>
      </c>
      <c r="K351" t="n">
        <v>0</v>
      </c>
      <c r="L351" t="n">
        <v>0</v>
      </c>
      <c r="M351" t="n">
        <v>0</v>
      </c>
      <c r="N351" t="n">
        <v>0</v>
      </c>
      <c r="O351" t="n">
        <v>0</v>
      </c>
      <c r="P351" t="n">
        <v>0</v>
      </c>
      <c r="Q351" t="n">
        <v>0</v>
      </c>
      <c r="R351" s="2" t="inlineStr"/>
    </row>
    <row r="352" ht="15" customHeight="1">
      <c r="A352" t="inlineStr">
        <is>
          <t>A 35746-2025</t>
        </is>
      </c>
      <c r="B352" s="1" t="n">
        <v>45860</v>
      </c>
      <c r="C352" s="1" t="n">
        <v>45989</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6846-2023</t>
        </is>
      </c>
      <c r="B353" s="1" t="n">
        <v>44967.43953703704</v>
      </c>
      <c r="C353" s="1" t="n">
        <v>45989</v>
      </c>
      <c r="D353" t="inlineStr">
        <is>
          <t>DALARNAS LÄN</t>
        </is>
      </c>
      <c r="E353" t="inlineStr">
        <is>
          <t>LEKSAND</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45300-2025</t>
        </is>
      </c>
      <c r="B354" s="1" t="n">
        <v>45921.30490740741</v>
      </c>
      <c r="C354" s="1" t="n">
        <v>45989</v>
      </c>
      <c r="D354" t="inlineStr">
        <is>
          <t>DALARNAS LÄN</t>
        </is>
      </c>
      <c r="E354" t="inlineStr">
        <is>
          <t>LEKSAND</t>
        </is>
      </c>
      <c r="G354" t="n">
        <v>2.3</v>
      </c>
      <c r="H354" t="n">
        <v>0</v>
      </c>
      <c r="I354" t="n">
        <v>0</v>
      </c>
      <c r="J354" t="n">
        <v>0</v>
      </c>
      <c r="K354" t="n">
        <v>0</v>
      </c>
      <c r="L354" t="n">
        <v>0</v>
      </c>
      <c r="M354" t="n">
        <v>0</v>
      </c>
      <c r="N354" t="n">
        <v>0</v>
      </c>
      <c r="O354" t="n">
        <v>0</v>
      </c>
      <c r="P354" t="n">
        <v>0</v>
      </c>
      <c r="Q354" t="n">
        <v>0</v>
      </c>
      <c r="R354" s="2" t="inlineStr"/>
    </row>
    <row r="355" ht="15" customHeight="1">
      <c r="A355" t="inlineStr">
        <is>
          <t>A 53804-2025</t>
        </is>
      </c>
      <c r="B355" s="1" t="n">
        <v>45960.83247685185</v>
      </c>
      <c r="C355" s="1" t="n">
        <v>45989</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35866-2025</t>
        </is>
      </c>
      <c r="B356" s="1" t="n">
        <v>45861</v>
      </c>
      <c r="C356" s="1" t="n">
        <v>45989</v>
      </c>
      <c r="D356" t="inlineStr">
        <is>
          <t>DALARNAS LÄN</t>
        </is>
      </c>
      <c r="E356" t="inlineStr">
        <is>
          <t>LEKSAND</t>
        </is>
      </c>
      <c r="F356" t="inlineStr">
        <is>
          <t>Bergvik skog väst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45381-2025</t>
        </is>
      </c>
      <c r="B357" s="1" t="n">
        <v>45922.39989583333</v>
      </c>
      <c r="C357" s="1" t="n">
        <v>45989</v>
      </c>
      <c r="D357" t="inlineStr">
        <is>
          <t>DALARNAS LÄN</t>
        </is>
      </c>
      <c r="E357" t="inlineStr">
        <is>
          <t>LEKSAND</t>
        </is>
      </c>
      <c r="G357" t="n">
        <v>0.9</v>
      </c>
      <c r="H357" t="n">
        <v>0</v>
      </c>
      <c r="I357" t="n">
        <v>0</v>
      </c>
      <c r="J357" t="n">
        <v>0</v>
      </c>
      <c r="K357" t="n">
        <v>0</v>
      </c>
      <c r="L357" t="n">
        <v>0</v>
      </c>
      <c r="M357" t="n">
        <v>0</v>
      </c>
      <c r="N357" t="n">
        <v>0</v>
      </c>
      <c r="O357" t="n">
        <v>0</v>
      </c>
      <c r="P357" t="n">
        <v>0</v>
      </c>
      <c r="Q357" t="n">
        <v>0</v>
      </c>
      <c r="R357" s="2" t="inlineStr"/>
    </row>
    <row r="358" ht="15" customHeight="1">
      <c r="A358" t="inlineStr">
        <is>
          <t>A 41934-2025</t>
        </is>
      </c>
      <c r="B358" s="1" t="n">
        <v>45903.43556712963</v>
      </c>
      <c r="C358" s="1" t="n">
        <v>45989</v>
      </c>
      <c r="D358" t="inlineStr">
        <is>
          <t>DALARNAS LÄN</t>
        </is>
      </c>
      <c r="E358" t="inlineStr">
        <is>
          <t>LEKSAND</t>
        </is>
      </c>
      <c r="F358" t="inlineStr">
        <is>
          <t>Bergvik skog väst AB</t>
        </is>
      </c>
      <c r="G358" t="n">
        <v>3</v>
      </c>
      <c r="H358" t="n">
        <v>0</v>
      </c>
      <c r="I358" t="n">
        <v>0</v>
      </c>
      <c r="J358" t="n">
        <v>0</v>
      </c>
      <c r="K358" t="n">
        <v>0</v>
      </c>
      <c r="L358" t="n">
        <v>0</v>
      </c>
      <c r="M358" t="n">
        <v>0</v>
      </c>
      <c r="N358" t="n">
        <v>0</v>
      </c>
      <c r="O358" t="n">
        <v>0</v>
      </c>
      <c r="P358" t="n">
        <v>0</v>
      </c>
      <c r="Q358" t="n">
        <v>0</v>
      </c>
      <c r="R358" s="2" t="inlineStr"/>
    </row>
    <row r="359" ht="15" customHeight="1">
      <c r="A359" t="inlineStr">
        <is>
          <t>A 53836-2025</t>
        </is>
      </c>
      <c r="B359" s="1" t="n">
        <v>45961.3475462963</v>
      </c>
      <c r="C359" s="1" t="n">
        <v>45989</v>
      </c>
      <c r="D359" t="inlineStr">
        <is>
          <t>DALARNAS LÄN</t>
        </is>
      </c>
      <c r="E359" t="inlineStr">
        <is>
          <t>LEKSAND</t>
        </is>
      </c>
      <c r="G359" t="n">
        <v>3.5</v>
      </c>
      <c r="H359" t="n">
        <v>0</v>
      </c>
      <c r="I359" t="n">
        <v>0</v>
      </c>
      <c r="J359" t="n">
        <v>0</v>
      </c>
      <c r="K359" t="n">
        <v>0</v>
      </c>
      <c r="L359" t="n">
        <v>0</v>
      </c>
      <c r="M359" t="n">
        <v>0</v>
      </c>
      <c r="N359" t="n">
        <v>0</v>
      </c>
      <c r="O359" t="n">
        <v>0</v>
      </c>
      <c r="P359" t="n">
        <v>0</v>
      </c>
      <c r="Q359" t="n">
        <v>0</v>
      </c>
      <c r="R359" s="2" t="inlineStr"/>
    </row>
    <row r="360" ht="15" customHeight="1">
      <c r="A360" t="inlineStr">
        <is>
          <t>A 35998-2025</t>
        </is>
      </c>
      <c r="B360" s="1" t="n">
        <v>45863.51550925926</v>
      </c>
      <c r="C360" s="1" t="n">
        <v>45989</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36021-2025</t>
        </is>
      </c>
      <c r="B361" s="1" t="n">
        <v>45863.72346064815</v>
      </c>
      <c r="C361" s="1" t="n">
        <v>45989</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45318-2025</t>
        </is>
      </c>
      <c r="B362" s="1" t="n">
        <v>45921.85230324074</v>
      </c>
      <c r="C362" s="1" t="n">
        <v>45989</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6030-2025</t>
        </is>
      </c>
      <c r="B363" s="1" t="n">
        <v>45695</v>
      </c>
      <c r="C363" s="1" t="n">
        <v>45989</v>
      </c>
      <c r="D363" t="inlineStr">
        <is>
          <t>DALARNAS LÄN</t>
        </is>
      </c>
      <c r="E363" t="inlineStr">
        <is>
          <t>LEKSAND</t>
        </is>
      </c>
      <c r="G363" t="n">
        <v>1.4</v>
      </c>
      <c r="H363" t="n">
        <v>0</v>
      </c>
      <c r="I363" t="n">
        <v>0</v>
      </c>
      <c r="J363" t="n">
        <v>0</v>
      </c>
      <c r="K363" t="n">
        <v>0</v>
      </c>
      <c r="L363" t="n">
        <v>0</v>
      </c>
      <c r="M363" t="n">
        <v>0</v>
      </c>
      <c r="N363" t="n">
        <v>0</v>
      </c>
      <c r="O363" t="n">
        <v>0</v>
      </c>
      <c r="P363" t="n">
        <v>0</v>
      </c>
      <c r="Q363" t="n">
        <v>0</v>
      </c>
      <c r="R363" s="2" t="inlineStr"/>
    </row>
    <row r="364" ht="15" customHeight="1">
      <c r="A364" t="inlineStr">
        <is>
          <t>A 36020-2025</t>
        </is>
      </c>
      <c r="B364" s="1" t="n">
        <v>45863</v>
      </c>
      <c r="C364" s="1" t="n">
        <v>45989</v>
      </c>
      <c r="D364" t="inlineStr">
        <is>
          <t>DALARNAS LÄN</t>
        </is>
      </c>
      <c r="E364" t="inlineStr">
        <is>
          <t>LEKSAND</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36017-2025</t>
        </is>
      </c>
      <c r="B365" s="1" t="n">
        <v>45863</v>
      </c>
      <c r="C365" s="1" t="n">
        <v>45989</v>
      </c>
      <c r="D365" t="inlineStr">
        <is>
          <t>DALARNAS LÄN</t>
        </is>
      </c>
      <c r="E365" t="inlineStr">
        <is>
          <t>LEKSAND</t>
        </is>
      </c>
      <c r="F365" t="inlineStr">
        <is>
          <t>Bergvik skog väst AB</t>
        </is>
      </c>
      <c r="G365" t="n">
        <v>17.9</v>
      </c>
      <c r="H365" t="n">
        <v>0</v>
      </c>
      <c r="I365" t="n">
        <v>0</v>
      </c>
      <c r="J365" t="n">
        <v>0</v>
      </c>
      <c r="K365" t="n">
        <v>0</v>
      </c>
      <c r="L365" t="n">
        <v>0</v>
      </c>
      <c r="M365" t="n">
        <v>0</v>
      </c>
      <c r="N365" t="n">
        <v>0</v>
      </c>
      <c r="O365" t="n">
        <v>0</v>
      </c>
      <c r="P365" t="n">
        <v>0</v>
      </c>
      <c r="Q365" t="n">
        <v>0</v>
      </c>
      <c r="R365" s="2" t="inlineStr"/>
    </row>
    <row r="366" ht="15" customHeight="1">
      <c r="A366" t="inlineStr">
        <is>
          <t>A 54779-2025</t>
        </is>
      </c>
      <c r="B366" s="1" t="n">
        <v>45966.61672453704</v>
      </c>
      <c r="C366" s="1" t="n">
        <v>45989</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54815-2025</t>
        </is>
      </c>
      <c r="B367" s="1" t="n">
        <v>45966.65237268519</v>
      </c>
      <c r="C367" s="1" t="n">
        <v>45989</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36190-2025</t>
        </is>
      </c>
      <c r="B368" s="1" t="n">
        <v>45867</v>
      </c>
      <c r="C368" s="1" t="n">
        <v>45989</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53981-2024</t>
        </is>
      </c>
      <c r="B369" s="1" t="n">
        <v>45615</v>
      </c>
      <c r="C369" s="1" t="n">
        <v>45989</v>
      </c>
      <c r="D369" t="inlineStr">
        <is>
          <t>DALARNAS LÄN</t>
        </is>
      </c>
      <c r="E369" t="inlineStr">
        <is>
          <t>LEKSAND</t>
        </is>
      </c>
      <c r="G369" t="n">
        <v>5.4</v>
      </c>
      <c r="H369" t="n">
        <v>0</v>
      </c>
      <c r="I369" t="n">
        <v>0</v>
      </c>
      <c r="J369" t="n">
        <v>0</v>
      </c>
      <c r="K369" t="n">
        <v>0</v>
      </c>
      <c r="L369" t="n">
        <v>0</v>
      </c>
      <c r="M369" t="n">
        <v>0</v>
      </c>
      <c r="N369" t="n">
        <v>0</v>
      </c>
      <c r="O369" t="n">
        <v>0</v>
      </c>
      <c r="P369" t="n">
        <v>0</v>
      </c>
      <c r="Q369" t="n">
        <v>0</v>
      </c>
      <c r="R369" s="2" t="inlineStr"/>
    </row>
    <row r="370" ht="15" customHeight="1">
      <c r="A370" t="inlineStr">
        <is>
          <t>A 54767-2025</t>
        </is>
      </c>
      <c r="B370" s="1" t="n">
        <v>45966.60414351852</v>
      </c>
      <c r="C370" s="1" t="n">
        <v>45989</v>
      </c>
      <c r="D370" t="inlineStr">
        <is>
          <t>DALARNAS LÄN</t>
        </is>
      </c>
      <c r="E370" t="inlineStr">
        <is>
          <t>LEKSAND</t>
        </is>
      </c>
      <c r="G370" t="n">
        <v>2.4</v>
      </c>
      <c r="H370" t="n">
        <v>0</v>
      </c>
      <c r="I370" t="n">
        <v>0</v>
      </c>
      <c r="J370" t="n">
        <v>0</v>
      </c>
      <c r="K370" t="n">
        <v>0</v>
      </c>
      <c r="L370" t="n">
        <v>0</v>
      </c>
      <c r="M370" t="n">
        <v>0</v>
      </c>
      <c r="N370" t="n">
        <v>0</v>
      </c>
      <c r="O370" t="n">
        <v>0</v>
      </c>
      <c r="P370" t="n">
        <v>0</v>
      </c>
      <c r="Q370" t="n">
        <v>0</v>
      </c>
      <c r="R370" s="2" t="inlineStr"/>
    </row>
    <row r="371" ht="15" customHeight="1">
      <c r="A371" t="inlineStr">
        <is>
          <t>A 54785-2025</t>
        </is>
      </c>
      <c r="B371" s="1" t="n">
        <v>45966.62619212963</v>
      </c>
      <c r="C371" s="1" t="n">
        <v>45989</v>
      </c>
      <c r="D371" t="inlineStr">
        <is>
          <t>DALARNAS LÄN</t>
        </is>
      </c>
      <c r="E371" t="inlineStr">
        <is>
          <t>LEKSAND</t>
        </is>
      </c>
      <c r="G371" t="n">
        <v>1.2</v>
      </c>
      <c r="H371" t="n">
        <v>0</v>
      </c>
      <c r="I371" t="n">
        <v>0</v>
      </c>
      <c r="J371" t="n">
        <v>0</v>
      </c>
      <c r="K371" t="n">
        <v>0</v>
      </c>
      <c r="L371" t="n">
        <v>0</v>
      </c>
      <c r="M371" t="n">
        <v>0</v>
      </c>
      <c r="N371" t="n">
        <v>0</v>
      </c>
      <c r="O371" t="n">
        <v>0</v>
      </c>
      <c r="P371" t="n">
        <v>0</v>
      </c>
      <c r="Q371" t="n">
        <v>0</v>
      </c>
      <c r="R371" s="2" t="inlineStr"/>
    </row>
    <row r="372" ht="15" customHeight="1">
      <c r="A372" t="inlineStr">
        <is>
          <t>A 54805-2025</t>
        </is>
      </c>
      <c r="B372" s="1" t="n">
        <v>45966.64165509259</v>
      </c>
      <c r="C372" s="1" t="n">
        <v>45989</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54494-2025</t>
        </is>
      </c>
      <c r="B373" s="1" t="n">
        <v>45965.59965277778</v>
      </c>
      <c r="C373" s="1" t="n">
        <v>45989</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17589-2025</t>
        </is>
      </c>
      <c r="B374" s="1" t="n">
        <v>45757.67844907408</v>
      </c>
      <c r="C374" s="1" t="n">
        <v>45989</v>
      </c>
      <c r="D374" t="inlineStr">
        <is>
          <t>DALARNAS LÄN</t>
        </is>
      </c>
      <c r="E374" t="inlineStr">
        <is>
          <t>LEKSAND</t>
        </is>
      </c>
      <c r="G374" t="n">
        <v>5.8</v>
      </c>
      <c r="H374" t="n">
        <v>0</v>
      </c>
      <c r="I374" t="n">
        <v>0</v>
      </c>
      <c r="J374" t="n">
        <v>0</v>
      </c>
      <c r="K374" t="n">
        <v>0</v>
      </c>
      <c r="L374" t="n">
        <v>0</v>
      </c>
      <c r="M374" t="n">
        <v>0</v>
      </c>
      <c r="N374" t="n">
        <v>0</v>
      </c>
      <c r="O374" t="n">
        <v>0</v>
      </c>
      <c r="P374" t="n">
        <v>0</v>
      </c>
      <c r="Q374" t="n">
        <v>0</v>
      </c>
      <c r="R374" s="2" t="inlineStr"/>
    </row>
    <row r="375" ht="15" customHeight="1">
      <c r="A375" t="inlineStr">
        <is>
          <t>A 36540-2025</t>
        </is>
      </c>
      <c r="B375" s="1" t="n">
        <v>45869.63885416667</v>
      </c>
      <c r="C375" s="1" t="n">
        <v>45989</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46176-2025</t>
        </is>
      </c>
      <c r="B376" s="1" t="n">
        <v>45924.65101851852</v>
      </c>
      <c r="C376" s="1" t="n">
        <v>45989</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54440-2025</t>
        </is>
      </c>
      <c r="B377" s="1" t="n">
        <v>45965.50385416667</v>
      </c>
      <c r="C377" s="1" t="n">
        <v>45989</v>
      </c>
      <c r="D377" t="inlineStr">
        <is>
          <t>DALARNAS LÄN</t>
        </is>
      </c>
      <c r="E377" t="inlineStr">
        <is>
          <t>LEKSAND</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54293-2025</t>
        </is>
      </c>
      <c r="B378" s="1" t="n">
        <v>45964.86651620371</v>
      </c>
      <c r="C378" s="1" t="n">
        <v>45989</v>
      </c>
      <c r="D378" t="inlineStr">
        <is>
          <t>DALARNAS LÄN</t>
        </is>
      </c>
      <c r="E378" t="inlineStr">
        <is>
          <t>LEKSAND</t>
        </is>
      </c>
      <c r="G378" t="n">
        <v>1.1</v>
      </c>
      <c r="H378" t="n">
        <v>0</v>
      </c>
      <c r="I378" t="n">
        <v>0</v>
      </c>
      <c r="J378" t="n">
        <v>0</v>
      </c>
      <c r="K378" t="n">
        <v>0</v>
      </c>
      <c r="L378" t="n">
        <v>0</v>
      </c>
      <c r="M378" t="n">
        <v>0</v>
      </c>
      <c r="N378" t="n">
        <v>0</v>
      </c>
      <c r="O378" t="n">
        <v>0</v>
      </c>
      <c r="P378" t="n">
        <v>0</v>
      </c>
      <c r="Q378" t="n">
        <v>0</v>
      </c>
      <c r="R378" s="2" t="inlineStr"/>
    </row>
    <row r="379" ht="15" customHeight="1">
      <c r="A379" t="inlineStr">
        <is>
          <t>A 54295-2025</t>
        </is>
      </c>
      <c r="B379" s="1" t="n">
        <v>45964.87122685185</v>
      </c>
      <c r="C379" s="1" t="n">
        <v>45989</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54752-2025</t>
        </is>
      </c>
      <c r="B380" s="1" t="n">
        <v>45966.5916087963</v>
      </c>
      <c r="C380" s="1" t="n">
        <v>45989</v>
      </c>
      <c r="D380" t="inlineStr">
        <is>
          <t>DALARNAS LÄN</t>
        </is>
      </c>
      <c r="E380" t="inlineStr">
        <is>
          <t>LEKSAND</t>
        </is>
      </c>
      <c r="G380" t="n">
        <v>0.3</v>
      </c>
      <c r="H380" t="n">
        <v>0</v>
      </c>
      <c r="I380" t="n">
        <v>0</v>
      </c>
      <c r="J380" t="n">
        <v>0</v>
      </c>
      <c r="K380" t="n">
        <v>0</v>
      </c>
      <c r="L380" t="n">
        <v>0</v>
      </c>
      <c r="M380" t="n">
        <v>0</v>
      </c>
      <c r="N380" t="n">
        <v>0</v>
      </c>
      <c r="O380" t="n">
        <v>0</v>
      </c>
      <c r="P380" t="n">
        <v>0</v>
      </c>
      <c r="Q380" t="n">
        <v>0</v>
      </c>
      <c r="R380" s="2" t="inlineStr"/>
    </row>
    <row r="381" ht="15" customHeight="1">
      <c r="A381" t="inlineStr">
        <is>
          <t>A 11740-2025</t>
        </is>
      </c>
      <c r="B381" s="1" t="n">
        <v>45727.62582175926</v>
      </c>
      <c r="C381" s="1" t="n">
        <v>45989</v>
      </c>
      <c r="D381" t="inlineStr">
        <is>
          <t>DALARNAS LÄN</t>
        </is>
      </c>
      <c r="E381" t="inlineStr">
        <is>
          <t>LEKSAND</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164-2023</t>
        </is>
      </c>
      <c r="B382" s="1" t="n">
        <v>44918</v>
      </c>
      <c r="C382" s="1" t="n">
        <v>45989</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51677-2024</t>
        </is>
      </c>
      <c r="B383" s="1" t="n">
        <v>45607.30265046296</v>
      </c>
      <c r="C383" s="1" t="n">
        <v>45989</v>
      </c>
      <c r="D383" t="inlineStr">
        <is>
          <t>DALARNAS LÄN</t>
        </is>
      </c>
      <c r="E383" t="inlineStr">
        <is>
          <t>LEKSAND</t>
        </is>
      </c>
      <c r="G383" t="n">
        <v>3.4</v>
      </c>
      <c r="H383" t="n">
        <v>0</v>
      </c>
      <c r="I383" t="n">
        <v>0</v>
      </c>
      <c r="J383" t="n">
        <v>0</v>
      </c>
      <c r="K383" t="n">
        <v>0</v>
      </c>
      <c r="L383" t="n">
        <v>0</v>
      </c>
      <c r="M383" t="n">
        <v>0</v>
      </c>
      <c r="N383" t="n">
        <v>0</v>
      </c>
      <c r="O383" t="n">
        <v>0</v>
      </c>
      <c r="P383" t="n">
        <v>0</v>
      </c>
      <c r="Q383" t="n">
        <v>0</v>
      </c>
      <c r="R383" s="2" t="inlineStr"/>
    </row>
    <row r="384" ht="15" customHeight="1">
      <c r="A384" t="inlineStr">
        <is>
          <t>A 46405-2025</t>
        </is>
      </c>
      <c r="B384" s="1" t="n">
        <v>45925.56306712963</v>
      </c>
      <c r="C384" s="1" t="n">
        <v>45989</v>
      </c>
      <c r="D384" t="inlineStr">
        <is>
          <t>DALARNAS LÄN</t>
        </is>
      </c>
      <c r="E384" t="inlineStr">
        <is>
          <t>LEKSAND</t>
        </is>
      </c>
      <c r="G384" t="n">
        <v>5.7</v>
      </c>
      <c r="H384" t="n">
        <v>0</v>
      </c>
      <c r="I384" t="n">
        <v>0</v>
      </c>
      <c r="J384" t="n">
        <v>0</v>
      </c>
      <c r="K384" t="n">
        <v>0</v>
      </c>
      <c r="L384" t="n">
        <v>0</v>
      </c>
      <c r="M384" t="n">
        <v>0</v>
      </c>
      <c r="N384" t="n">
        <v>0</v>
      </c>
      <c r="O384" t="n">
        <v>0</v>
      </c>
      <c r="P384" t="n">
        <v>0</v>
      </c>
      <c r="Q384" t="n">
        <v>0</v>
      </c>
      <c r="R384" s="2" t="inlineStr"/>
    </row>
    <row r="385" ht="15" customHeight="1">
      <c r="A385" t="inlineStr">
        <is>
          <t>A 46483-2025</t>
        </is>
      </c>
      <c r="B385" s="1" t="n">
        <v>45925.70248842592</v>
      </c>
      <c r="C385" s="1" t="n">
        <v>45989</v>
      </c>
      <c r="D385" t="inlineStr">
        <is>
          <t>DALARNAS LÄN</t>
        </is>
      </c>
      <c r="E385" t="inlineStr">
        <is>
          <t>LEKSAND</t>
        </is>
      </c>
      <c r="G385" t="n">
        <v>3.6</v>
      </c>
      <c r="H385" t="n">
        <v>0</v>
      </c>
      <c r="I385" t="n">
        <v>0</v>
      </c>
      <c r="J385" t="n">
        <v>0</v>
      </c>
      <c r="K385" t="n">
        <v>0</v>
      </c>
      <c r="L385" t="n">
        <v>0</v>
      </c>
      <c r="M385" t="n">
        <v>0</v>
      </c>
      <c r="N385" t="n">
        <v>0</v>
      </c>
      <c r="O385" t="n">
        <v>0</v>
      </c>
      <c r="P385" t="n">
        <v>0</v>
      </c>
      <c r="Q385" t="n">
        <v>0</v>
      </c>
      <c r="R385" s="2" t="inlineStr"/>
    </row>
    <row r="386" ht="15" customHeight="1">
      <c r="A386" t="inlineStr">
        <is>
          <t>A 44491-2023</t>
        </is>
      </c>
      <c r="B386" s="1" t="n">
        <v>45183</v>
      </c>
      <c r="C386" s="1" t="n">
        <v>45989</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33001-2023</t>
        </is>
      </c>
      <c r="B387" s="1" t="n">
        <v>45125</v>
      </c>
      <c r="C387" s="1" t="n">
        <v>45989</v>
      </c>
      <c r="D387" t="inlineStr">
        <is>
          <t>DALARNAS LÄN</t>
        </is>
      </c>
      <c r="E387" t="inlineStr">
        <is>
          <t>LEKSAND</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33674-2023</t>
        </is>
      </c>
      <c r="B388" s="1" t="n">
        <v>45132</v>
      </c>
      <c r="C388" s="1" t="n">
        <v>45989</v>
      </c>
      <c r="D388" t="inlineStr">
        <is>
          <t>DALARNAS LÄN</t>
        </is>
      </c>
      <c r="E388" t="inlineStr">
        <is>
          <t>LEKSAND</t>
        </is>
      </c>
      <c r="G388" t="n">
        <v>0.6</v>
      </c>
      <c r="H388" t="n">
        <v>0</v>
      </c>
      <c r="I388" t="n">
        <v>0</v>
      </c>
      <c r="J388" t="n">
        <v>0</v>
      </c>
      <c r="K388" t="n">
        <v>0</v>
      </c>
      <c r="L388" t="n">
        <v>0</v>
      </c>
      <c r="M388" t="n">
        <v>0</v>
      </c>
      <c r="N388" t="n">
        <v>0</v>
      </c>
      <c r="O388" t="n">
        <v>0</v>
      </c>
      <c r="P388" t="n">
        <v>0</v>
      </c>
      <c r="Q388" t="n">
        <v>0</v>
      </c>
      <c r="R388" s="2" t="inlineStr"/>
    </row>
    <row r="389" ht="15" customHeight="1">
      <c r="A389" t="inlineStr">
        <is>
          <t>A 37508-2025</t>
        </is>
      </c>
      <c r="B389" s="1" t="n">
        <v>45877.66282407408</v>
      </c>
      <c r="C389" s="1" t="n">
        <v>45989</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16135-2023</t>
        </is>
      </c>
      <c r="B390" s="1" t="n">
        <v>45027.63717592593</v>
      </c>
      <c r="C390" s="1" t="n">
        <v>45989</v>
      </c>
      <c r="D390" t="inlineStr">
        <is>
          <t>DALARNAS LÄN</t>
        </is>
      </c>
      <c r="E390" t="inlineStr">
        <is>
          <t>LEKSAND</t>
        </is>
      </c>
      <c r="G390" t="n">
        <v>4.9</v>
      </c>
      <c r="H390" t="n">
        <v>0</v>
      </c>
      <c r="I390" t="n">
        <v>0</v>
      </c>
      <c r="J390" t="n">
        <v>0</v>
      </c>
      <c r="K390" t="n">
        <v>0</v>
      </c>
      <c r="L390" t="n">
        <v>0</v>
      </c>
      <c r="M390" t="n">
        <v>0</v>
      </c>
      <c r="N390" t="n">
        <v>0</v>
      </c>
      <c r="O390" t="n">
        <v>0</v>
      </c>
      <c r="P390" t="n">
        <v>0</v>
      </c>
      <c r="Q390" t="n">
        <v>0</v>
      </c>
      <c r="R390" s="2" t="inlineStr"/>
    </row>
    <row r="391" ht="15" customHeight="1">
      <c r="A391" t="inlineStr">
        <is>
          <t>A 30198-2024</t>
        </is>
      </c>
      <c r="B391" s="1" t="n">
        <v>45490.34765046297</v>
      </c>
      <c r="C391" s="1" t="n">
        <v>45989</v>
      </c>
      <c r="D391" t="inlineStr">
        <is>
          <t>DALARNAS LÄN</t>
        </is>
      </c>
      <c r="E391" t="inlineStr">
        <is>
          <t>LEKSAND</t>
        </is>
      </c>
      <c r="G391" t="n">
        <v>0.8</v>
      </c>
      <c r="H391" t="n">
        <v>0</v>
      </c>
      <c r="I391" t="n">
        <v>0</v>
      </c>
      <c r="J391" t="n">
        <v>0</v>
      </c>
      <c r="K391" t="n">
        <v>0</v>
      </c>
      <c r="L391" t="n">
        <v>0</v>
      </c>
      <c r="M391" t="n">
        <v>0</v>
      </c>
      <c r="N391" t="n">
        <v>0</v>
      </c>
      <c r="O391" t="n">
        <v>0</v>
      </c>
      <c r="P391" t="n">
        <v>0</v>
      </c>
      <c r="Q391" t="n">
        <v>0</v>
      </c>
      <c r="R391" s="2" t="inlineStr"/>
    </row>
    <row r="392" ht="15" customHeight="1">
      <c r="A392" t="inlineStr">
        <is>
          <t>A 10373-2023</t>
        </is>
      </c>
      <c r="B392" s="1" t="n">
        <v>44987</v>
      </c>
      <c r="C392" s="1" t="n">
        <v>45989</v>
      </c>
      <c r="D392" t="inlineStr">
        <is>
          <t>DALARNAS LÄN</t>
        </is>
      </c>
      <c r="E392" t="inlineStr">
        <is>
          <t>LEKSAND</t>
        </is>
      </c>
      <c r="G392" t="n">
        <v>0.3</v>
      </c>
      <c r="H392" t="n">
        <v>0</v>
      </c>
      <c r="I392" t="n">
        <v>0</v>
      </c>
      <c r="J392" t="n">
        <v>0</v>
      </c>
      <c r="K392" t="n">
        <v>0</v>
      </c>
      <c r="L392" t="n">
        <v>0</v>
      </c>
      <c r="M392" t="n">
        <v>0</v>
      </c>
      <c r="N392" t="n">
        <v>0</v>
      </c>
      <c r="O392" t="n">
        <v>0</v>
      </c>
      <c r="P392" t="n">
        <v>0</v>
      </c>
      <c r="Q392" t="n">
        <v>0</v>
      </c>
      <c r="R392" s="2" t="inlineStr"/>
    </row>
    <row r="393" ht="15" customHeight="1">
      <c r="A393" t="inlineStr">
        <is>
          <t>A 46978-2025</t>
        </is>
      </c>
      <c r="B393" s="1" t="n">
        <v>45929.51811342593</v>
      </c>
      <c r="C393" s="1" t="n">
        <v>45989</v>
      </c>
      <c r="D393" t="inlineStr">
        <is>
          <t>DALARNAS LÄN</t>
        </is>
      </c>
      <c r="E393" t="inlineStr">
        <is>
          <t>LEKSAND</t>
        </is>
      </c>
      <c r="G393" t="n">
        <v>2</v>
      </c>
      <c r="H393" t="n">
        <v>0</v>
      </c>
      <c r="I393" t="n">
        <v>0</v>
      </c>
      <c r="J393" t="n">
        <v>0</v>
      </c>
      <c r="K393" t="n">
        <v>0</v>
      </c>
      <c r="L393" t="n">
        <v>0</v>
      </c>
      <c r="M393" t="n">
        <v>0</v>
      </c>
      <c r="N393" t="n">
        <v>0</v>
      </c>
      <c r="O393" t="n">
        <v>0</v>
      </c>
      <c r="P393" t="n">
        <v>0</v>
      </c>
      <c r="Q393" t="n">
        <v>0</v>
      </c>
      <c r="R393" s="2" t="inlineStr"/>
    </row>
    <row r="394" ht="15" customHeight="1">
      <c r="A394" t="inlineStr">
        <is>
          <t>A 55784-2025</t>
        </is>
      </c>
      <c r="B394" s="1" t="n">
        <v>45972.63765046297</v>
      </c>
      <c r="C394" s="1" t="n">
        <v>45989</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37996-2025</t>
        </is>
      </c>
      <c r="B395" s="1" t="n">
        <v>45881.8299537037</v>
      </c>
      <c r="C395" s="1" t="n">
        <v>45989</v>
      </c>
      <c r="D395" t="inlineStr">
        <is>
          <t>DALARNAS LÄN</t>
        </is>
      </c>
      <c r="E395" t="inlineStr">
        <is>
          <t>LEKSAND</t>
        </is>
      </c>
      <c r="G395" t="n">
        <v>4.2</v>
      </c>
      <c r="H395" t="n">
        <v>0</v>
      </c>
      <c r="I395" t="n">
        <v>0</v>
      </c>
      <c r="J395" t="n">
        <v>0</v>
      </c>
      <c r="K395" t="n">
        <v>0</v>
      </c>
      <c r="L395" t="n">
        <v>0</v>
      </c>
      <c r="M395" t="n">
        <v>0</v>
      </c>
      <c r="N395" t="n">
        <v>0</v>
      </c>
      <c r="O395" t="n">
        <v>0</v>
      </c>
      <c r="P395" t="n">
        <v>0</v>
      </c>
      <c r="Q395" t="n">
        <v>0</v>
      </c>
      <c r="R395" s="2" t="inlineStr"/>
    </row>
    <row r="396" ht="15" customHeight="1">
      <c r="A396" t="inlineStr">
        <is>
          <t>A 55493-2025</t>
        </is>
      </c>
      <c r="B396" s="1" t="n">
        <v>45971.57913194445</v>
      </c>
      <c r="C396" s="1" t="n">
        <v>45989</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33566-2023</t>
        </is>
      </c>
      <c r="B397" s="1" t="n">
        <v>45131.64390046296</v>
      </c>
      <c r="C397" s="1" t="n">
        <v>45989</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16592-2023</t>
        </is>
      </c>
      <c r="B398" s="1" t="n">
        <v>45030</v>
      </c>
      <c r="C398" s="1" t="n">
        <v>45989</v>
      </c>
      <c r="D398" t="inlineStr">
        <is>
          <t>DALARNAS LÄN</t>
        </is>
      </c>
      <c r="E398" t="inlineStr">
        <is>
          <t>LEKSAND</t>
        </is>
      </c>
      <c r="G398" t="n">
        <v>11.5</v>
      </c>
      <c r="H398" t="n">
        <v>0</v>
      </c>
      <c r="I398" t="n">
        <v>0</v>
      </c>
      <c r="J398" t="n">
        <v>0</v>
      </c>
      <c r="K398" t="n">
        <v>0</v>
      </c>
      <c r="L398" t="n">
        <v>0</v>
      </c>
      <c r="M398" t="n">
        <v>0</v>
      </c>
      <c r="N398" t="n">
        <v>0</v>
      </c>
      <c r="O398" t="n">
        <v>0</v>
      </c>
      <c r="P398" t="n">
        <v>0</v>
      </c>
      <c r="Q398" t="n">
        <v>0</v>
      </c>
      <c r="R398" s="2" t="inlineStr"/>
    </row>
    <row r="399" ht="15" customHeight="1">
      <c r="A399" t="inlineStr">
        <is>
          <t>A 38090-2025</t>
        </is>
      </c>
      <c r="B399" s="1" t="n">
        <v>45882.48440972222</v>
      </c>
      <c r="C399" s="1" t="n">
        <v>45989</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47068-2025</t>
        </is>
      </c>
      <c r="B400" s="1" t="n">
        <v>45929.63511574074</v>
      </c>
      <c r="C400" s="1" t="n">
        <v>45989</v>
      </c>
      <c r="D400" t="inlineStr">
        <is>
          <t>DALARNAS LÄN</t>
        </is>
      </c>
      <c r="E400" t="inlineStr">
        <is>
          <t>LEKSAND</t>
        </is>
      </c>
      <c r="G400" t="n">
        <v>3.4</v>
      </c>
      <c r="H400" t="n">
        <v>0</v>
      </c>
      <c r="I400" t="n">
        <v>0</v>
      </c>
      <c r="J400" t="n">
        <v>0</v>
      </c>
      <c r="K400" t="n">
        <v>0</v>
      </c>
      <c r="L400" t="n">
        <v>0</v>
      </c>
      <c r="M400" t="n">
        <v>0</v>
      </c>
      <c r="N400" t="n">
        <v>0</v>
      </c>
      <c r="O400" t="n">
        <v>0</v>
      </c>
      <c r="P400" t="n">
        <v>0</v>
      </c>
      <c r="Q400" t="n">
        <v>0</v>
      </c>
      <c r="R400" s="2" t="inlineStr"/>
    </row>
    <row r="401" ht="15" customHeight="1">
      <c r="A401" t="inlineStr">
        <is>
          <t>A 7395-2025</t>
        </is>
      </c>
      <c r="B401" s="1" t="n">
        <v>45705.34516203704</v>
      </c>
      <c r="C401" s="1" t="n">
        <v>45989</v>
      </c>
      <c r="D401" t="inlineStr">
        <is>
          <t>DALARNAS LÄN</t>
        </is>
      </c>
      <c r="E401" t="inlineStr">
        <is>
          <t>LEKSAND</t>
        </is>
      </c>
      <c r="G401" t="n">
        <v>1.8</v>
      </c>
      <c r="H401" t="n">
        <v>0</v>
      </c>
      <c r="I401" t="n">
        <v>0</v>
      </c>
      <c r="J401" t="n">
        <v>0</v>
      </c>
      <c r="K401" t="n">
        <v>0</v>
      </c>
      <c r="L401" t="n">
        <v>0</v>
      </c>
      <c r="M401" t="n">
        <v>0</v>
      </c>
      <c r="N401" t="n">
        <v>0</v>
      </c>
      <c r="O401" t="n">
        <v>0</v>
      </c>
      <c r="P401" t="n">
        <v>0</v>
      </c>
      <c r="Q401" t="n">
        <v>0</v>
      </c>
      <c r="R401" s="2" t="inlineStr"/>
    </row>
    <row r="402" ht="15" customHeight="1">
      <c r="A402" t="inlineStr">
        <is>
          <t>A 46949-2025</t>
        </is>
      </c>
      <c r="B402" s="1" t="n">
        <v>45929.46811342592</v>
      </c>
      <c r="C402" s="1" t="n">
        <v>45989</v>
      </c>
      <c r="D402" t="inlineStr">
        <is>
          <t>DALARNAS LÄN</t>
        </is>
      </c>
      <c r="E402" t="inlineStr">
        <is>
          <t>LEKSAND</t>
        </is>
      </c>
      <c r="G402" t="n">
        <v>5</v>
      </c>
      <c r="H402" t="n">
        <v>0</v>
      </c>
      <c r="I402" t="n">
        <v>0</v>
      </c>
      <c r="J402" t="n">
        <v>0</v>
      </c>
      <c r="K402" t="n">
        <v>0</v>
      </c>
      <c r="L402" t="n">
        <v>0</v>
      </c>
      <c r="M402" t="n">
        <v>0</v>
      </c>
      <c r="N402" t="n">
        <v>0</v>
      </c>
      <c r="O402" t="n">
        <v>0</v>
      </c>
      <c r="P402" t="n">
        <v>0</v>
      </c>
      <c r="Q402" t="n">
        <v>0</v>
      </c>
      <c r="R402" s="2" t="inlineStr"/>
    </row>
    <row r="403" ht="15" customHeight="1">
      <c r="A403" t="inlineStr">
        <is>
          <t>A 31971-2024</t>
        </is>
      </c>
      <c r="B403" s="1" t="n">
        <v>45510.55171296297</v>
      </c>
      <c r="C403" s="1" t="n">
        <v>45989</v>
      </c>
      <c r="D403" t="inlineStr">
        <is>
          <t>DALARNAS LÄN</t>
        </is>
      </c>
      <c r="E403" t="inlineStr">
        <is>
          <t>LEKSAND</t>
        </is>
      </c>
      <c r="G403" t="n">
        <v>0.7</v>
      </c>
      <c r="H403" t="n">
        <v>0</v>
      </c>
      <c r="I403" t="n">
        <v>0</v>
      </c>
      <c r="J403" t="n">
        <v>0</v>
      </c>
      <c r="K403" t="n">
        <v>0</v>
      </c>
      <c r="L403" t="n">
        <v>0</v>
      </c>
      <c r="M403" t="n">
        <v>0</v>
      </c>
      <c r="N403" t="n">
        <v>0</v>
      </c>
      <c r="O403" t="n">
        <v>0</v>
      </c>
      <c r="P403" t="n">
        <v>0</v>
      </c>
      <c r="Q403" t="n">
        <v>0</v>
      </c>
      <c r="R403" s="2" t="inlineStr"/>
    </row>
    <row r="404" ht="15" customHeight="1">
      <c r="A404" t="inlineStr">
        <is>
          <t>A 61546-2021</t>
        </is>
      </c>
      <c r="B404" s="1" t="n">
        <v>44501</v>
      </c>
      <c r="C404" s="1" t="n">
        <v>45989</v>
      </c>
      <c r="D404" t="inlineStr">
        <is>
          <t>DALARNAS LÄN</t>
        </is>
      </c>
      <c r="E404" t="inlineStr">
        <is>
          <t>LEKSAND</t>
        </is>
      </c>
      <c r="G404" t="n">
        <v>3</v>
      </c>
      <c r="H404" t="n">
        <v>0</v>
      </c>
      <c r="I404" t="n">
        <v>0</v>
      </c>
      <c r="J404" t="n">
        <v>0</v>
      </c>
      <c r="K404" t="n">
        <v>0</v>
      </c>
      <c r="L404" t="n">
        <v>0</v>
      </c>
      <c r="M404" t="n">
        <v>0</v>
      </c>
      <c r="N404" t="n">
        <v>0</v>
      </c>
      <c r="O404" t="n">
        <v>0</v>
      </c>
      <c r="P404" t="n">
        <v>0</v>
      </c>
      <c r="Q404" t="n">
        <v>0</v>
      </c>
      <c r="R404" s="2" t="inlineStr"/>
    </row>
    <row r="405" ht="15" customHeight="1">
      <c r="A405" t="inlineStr">
        <is>
          <t>A 7653-2025</t>
        </is>
      </c>
      <c r="B405" s="1" t="n">
        <v>45705.95238425926</v>
      </c>
      <c r="C405" s="1" t="n">
        <v>45989</v>
      </c>
      <c r="D405" t="inlineStr">
        <is>
          <t>DALARNAS LÄN</t>
        </is>
      </c>
      <c r="E405" t="inlineStr">
        <is>
          <t>LEKSAND</t>
        </is>
      </c>
      <c r="G405" t="n">
        <v>0.8</v>
      </c>
      <c r="H405" t="n">
        <v>0</v>
      </c>
      <c r="I405" t="n">
        <v>0</v>
      </c>
      <c r="J405" t="n">
        <v>0</v>
      </c>
      <c r="K405" t="n">
        <v>0</v>
      </c>
      <c r="L405" t="n">
        <v>0</v>
      </c>
      <c r="M405" t="n">
        <v>0</v>
      </c>
      <c r="N405" t="n">
        <v>0</v>
      </c>
      <c r="O405" t="n">
        <v>0</v>
      </c>
      <c r="P405" t="n">
        <v>0</v>
      </c>
      <c r="Q405" t="n">
        <v>0</v>
      </c>
      <c r="R405" s="2" t="inlineStr"/>
    </row>
    <row r="406" ht="15" customHeight="1">
      <c r="A406" t="inlineStr">
        <is>
          <t>A 41853-2023</t>
        </is>
      </c>
      <c r="B406" s="1" t="n">
        <v>45176.62483796296</v>
      </c>
      <c r="C406" s="1" t="n">
        <v>45989</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62116-2024</t>
        </is>
      </c>
      <c r="B407" s="1" t="n">
        <v>45646</v>
      </c>
      <c r="C407" s="1" t="n">
        <v>45989</v>
      </c>
      <c r="D407" t="inlineStr">
        <is>
          <t>DALARNAS LÄN</t>
        </is>
      </c>
      <c r="E407" t="inlineStr">
        <is>
          <t>LEKSAND</t>
        </is>
      </c>
      <c r="G407" t="n">
        <v>1.4</v>
      </c>
      <c r="H407" t="n">
        <v>0</v>
      </c>
      <c r="I407" t="n">
        <v>0</v>
      </c>
      <c r="J407" t="n">
        <v>0</v>
      </c>
      <c r="K407" t="n">
        <v>0</v>
      </c>
      <c r="L407" t="n">
        <v>0</v>
      </c>
      <c r="M407" t="n">
        <v>0</v>
      </c>
      <c r="N407" t="n">
        <v>0</v>
      </c>
      <c r="O407" t="n">
        <v>0</v>
      </c>
      <c r="P407" t="n">
        <v>0</v>
      </c>
      <c r="Q407" t="n">
        <v>0</v>
      </c>
      <c r="R407" s="2" t="inlineStr"/>
    </row>
    <row r="408" ht="15" customHeight="1">
      <c r="A408" t="inlineStr">
        <is>
          <t>A 47976-2025</t>
        </is>
      </c>
      <c r="B408" s="1" t="n">
        <v>45932.60846064815</v>
      </c>
      <c r="C408" s="1" t="n">
        <v>45989</v>
      </c>
      <c r="D408" t="inlineStr">
        <is>
          <t>DALARNAS LÄN</t>
        </is>
      </c>
      <c r="E408" t="inlineStr">
        <is>
          <t>LEKSAND</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47977-2025</t>
        </is>
      </c>
      <c r="B409" s="1" t="n">
        <v>45932.60920138889</v>
      </c>
      <c r="C409" s="1" t="n">
        <v>45989</v>
      </c>
      <c r="D409" t="inlineStr">
        <is>
          <t>DALARNAS LÄN</t>
        </is>
      </c>
      <c r="E409" t="inlineStr">
        <is>
          <t>LEKSAND</t>
        </is>
      </c>
      <c r="F409" t="inlineStr">
        <is>
          <t>Bergvik skog väst AB</t>
        </is>
      </c>
      <c r="G409" t="n">
        <v>0.2</v>
      </c>
      <c r="H409" t="n">
        <v>0</v>
      </c>
      <c r="I409" t="n">
        <v>0</v>
      </c>
      <c r="J409" t="n">
        <v>0</v>
      </c>
      <c r="K409" t="n">
        <v>0</v>
      </c>
      <c r="L409" t="n">
        <v>0</v>
      </c>
      <c r="M409" t="n">
        <v>0</v>
      </c>
      <c r="N409" t="n">
        <v>0</v>
      </c>
      <c r="O409" t="n">
        <v>0</v>
      </c>
      <c r="P409" t="n">
        <v>0</v>
      </c>
      <c r="Q409" t="n">
        <v>0</v>
      </c>
      <c r="R409" s="2" t="inlineStr"/>
    </row>
    <row r="410" ht="15" customHeight="1">
      <c r="A410" t="inlineStr">
        <is>
          <t>A 19296-2024</t>
        </is>
      </c>
      <c r="B410" s="1" t="n">
        <v>45428.69438657408</v>
      </c>
      <c r="C410" s="1" t="n">
        <v>45989</v>
      </c>
      <c r="D410" t="inlineStr">
        <is>
          <t>DALARNAS LÄN</t>
        </is>
      </c>
      <c r="E410" t="inlineStr">
        <is>
          <t>LEKSAND</t>
        </is>
      </c>
      <c r="G410" t="n">
        <v>2.4</v>
      </c>
      <c r="H410" t="n">
        <v>0</v>
      </c>
      <c r="I410" t="n">
        <v>0</v>
      </c>
      <c r="J410" t="n">
        <v>0</v>
      </c>
      <c r="K410" t="n">
        <v>0</v>
      </c>
      <c r="L410" t="n">
        <v>0</v>
      </c>
      <c r="M410" t="n">
        <v>0</v>
      </c>
      <c r="N410" t="n">
        <v>0</v>
      </c>
      <c r="O410" t="n">
        <v>0</v>
      </c>
      <c r="P410" t="n">
        <v>0</v>
      </c>
      <c r="Q410" t="n">
        <v>0</v>
      </c>
      <c r="R410" s="2" t="inlineStr"/>
    </row>
    <row r="411" ht="15" customHeight="1">
      <c r="A411" t="inlineStr">
        <is>
          <t>A 15986-2025</t>
        </is>
      </c>
      <c r="B411" s="1" t="n">
        <v>45749.57331018519</v>
      </c>
      <c r="C411" s="1" t="n">
        <v>45989</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56331-2025</t>
        </is>
      </c>
      <c r="B412" s="1" t="n">
        <v>45974.64157407408</v>
      </c>
      <c r="C412" s="1" t="n">
        <v>45989</v>
      </c>
      <c r="D412" t="inlineStr">
        <is>
          <t>DALARNAS LÄN</t>
        </is>
      </c>
      <c r="E412" t="inlineStr">
        <is>
          <t>LEKSAND</t>
        </is>
      </c>
      <c r="G412" t="n">
        <v>1.1</v>
      </c>
      <c r="H412" t="n">
        <v>0</v>
      </c>
      <c r="I412" t="n">
        <v>0</v>
      </c>
      <c r="J412" t="n">
        <v>0</v>
      </c>
      <c r="K412" t="n">
        <v>0</v>
      </c>
      <c r="L412" t="n">
        <v>0</v>
      </c>
      <c r="M412" t="n">
        <v>0</v>
      </c>
      <c r="N412" t="n">
        <v>0</v>
      </c>
      <c r="O412" t="n">
        <v>0</v>
      </c>
      <c r="P412" t="n">
        <v>0</v>
      </c>
      <c r="Q412" t="n">
        <v>0</v>
      </c>
      <c r="R412" s="2" t="inlineStr"/>
    </row>
    <row r="413" ht="15" customHeight="1">
      <c r="A413" t="inlineStr">
        <is>
          <t>A 62295-2023</t>
        </is>
      </c>
      <c r="B413" s="1" t="n">
        <v>45267</v>
      </c>
      <c r="C413" s="1" t="n">
        <v>45989</v>
      </c>
      <c r="D413" t="inlineStr">
        <is>
          <t>DALARNAS LÄN</t>
        </is>
      </c>
      <c r="E413" t="inlineStr">
        <is>
          <t>LEKSAND</t>
        </is>
      </c>
      <c r="G413" t="n">
        <v>2.5</v>
      </c>
      <c r="H413" t="n">
        <v>0</v>
      </c>
      <c r="I413" t="n">
        <v>0</v>
      </c>
      <c r="J413" t="n">
        <v>0</v>
      </c>
      <c r="K413" t="n">
        <v>0</v>
      </c>
      <c r="L413" t="n">
        <v>0</v>
      </c>
      <c r="M413" t="n">
        <v>0</v>
      </c>
      <c r="N413" t="n">
        <v>0</v>
      </c>
      <c r="O413" t="n">
        <v>0</v>
      </c>
      <c r="P413" t="n">
        <v>0</v>
      </c>
      <c r="Q413" t="n">
        <v>0</v>
      </c>
      <c r="R413" s="2" t="inlineStr"/>
    </row>
    <row r="414" ht="15" customHeight="1">
      <c r="A414" t="inlineStr">
        <is>
          <t>A 10771-2024</t>
        </is>
      </c>
      <c r="B414" s="1" t="n">
        <v>45369.57342592593</v>
      </c>
      <c r="C414" s="1" t="n">
        <v>45989</v>
      </c>
      <c r="D414" t="inlineStr">
        <is>
          <t>DALARNAS LÄN</t>
        </is>
      </c>
      <c r="E414" t="inlineStr">
        <is>
          <t>LEKSAND</t>
        </is>
      </c>
      <c r="G414" t="n">
        <v>0.4</v>
      </c>
      <c r="H414" t="n">
        <v>0</v>
      </c>
      <c r="I414" t="n">
        <v>0</v>
      </c>
      <c r="J414" t="n">
        <v>0</v>
      </c>
      <c r="K414" t="n">
        <v>0</v>
      </c>
      <c r="L414" t="n">
        <v>0</v>
      </c>
      <c r="M414" t="n">
        <v>0</v>
      </c>
      <c r="N414" t="n">
        <v>0</v>
      </c>
      <c r="O414" t="n">
        <v>0</v>
      </c>
      <c r="P414" t="n">
        <v>0</v>
      </c>
      <c r="Q414" t="n">
        <v>0</v>
      </c>
      <c r="R414" s="2" t="inlineStr"/>
    </row>
    <row r="415" ht="15" customHeight="1">
      <c r="A415" t="inlineStr">
        <is>
          <t>A 54789-2025</t>
        </is>
      </c>
      <c r="B415" s="1" t="n">
        <v>45966</v>
      </c>
      <c r="C415" s="1" t="n">
        <v>45989</v>
      </c>
      <c r="D415" t="inlineStr">
        <is>
          <t>DALARNAS LÄN</t>
        </is>
      </c>
      <c r="E415" t="inlineStr">
        <is>
          <t>LEKSAND</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56161-2025</t>
        </is>
      </c>
      <c r="B416" s="1" t="n">
        <v>45974.37554398148</v>
      </c>
      <c r="C416" s="1" t="n">
        <v>45989</v>
      </c>
      <c r="D416" t="inlineStr">
        <is>
          <t>DALARNAS LÄN</t>
        </is>
      </c>
      <c r="E416" t="inlineStr">
        <is>
          <t>LEKSAND</t>
        </is>
      </c>
      <c r="G416" t="n">
        <v>2</v>
      </c>
      <c r="H416" t="n">
        <v>0</v>
      </c>
      <c r="I416" t="n">
        <v>0</v>
      </c>
      <c r="J416" t="n">
        <v>0</v>
      </c>
      <c r="K416" t="n">
        <v>0</v>
      </c>
      <c r="L416" t="n">
        <v>0</v>
      </c>
      <c r="M416" t="n">
        <v>0</v>
      </c>
      <c r="N416" t="n">
        <v>0</v>
      </c>
      <c r="O416" t="n">
        <v>0</v>
      </c>
      <c r="P416" t="n">
        <v>0</v>
      </c>
      <c r="Q416" t="n">
        <v>0</v>
      </c>
      <c r="R416" s="2" t="inlineStr"/>
    </row>
    <row r="417" ht="15" customHeight="1">
      <c r="A417" t="inlineStr">
        <is>
          <t>A 56623-2025</t>
        </is>
      </c>
      <c r="B417" s="1" t="n">
        <v>45975.60164351852</v>
      </c>
      <c r="C417" s="1" t="n">
        <v>45989</v>
      </c>
      <c r="D417" t="inlineStr">
        <is>
          <t>DALARNAS LÄN</t>
        </is>
      </c>
      <c r="E417" t="inlineStr">
        <is>
          <t>LEKSAND</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46834-2023</t>
        </is>
      </c>
      <c r="B418" s="1" t="n">
        <v>45199.35668981481</v>
      </c>
      <c r="C418" s="1" t="n">
        <v>45989</v>
      </c>
      <c r="D418" t="inlineStr">
        <is>
          <t>DALARNAS LÄN</t>
        </is>
      </c>
      <c r="E418" t="inlineStr">
        <is>
          <t>LEKSAND</t>
        </is>
      </c>
      <c r="G418" t="n">
        <v>16.3</v>
      </c>
      <c r="H418" t="n">
        <v>0</v>
      </c>
      <c r="I418" t="n">
        <v>0</v>
      </c>
      <c r="J418" t="n">
        <v>0</v>
      </c>
      <c r="K418" t="n">
        <v>0</v>
      </c>
      <c r="L418" t="n">
        <v>0</v>
      </c>
      <c r="M418" t="n">
        <v>0</v>
      </c>
      <c r="N418" t="n">
        <v>0</v>
      </c>
      <c r="O418" t="n">
        <v>0</v>
      </c>
      <c r="P418" t="n">
        <v>0</v>
      </c>
      <c r="Q418" t="n">
        <v>0</v>
      </c>
      <c r="R418" s="2" t="inlineStr"/>
    </row>
    <row r="419" ht="15" customHeight="1">
      <c r="A419" t="inlineStr">
        <is>
          <t>A 1983-2025</t>
        </is>
      </c>
      <c r="B419" s="1" t="n">
        <v>45670</v>
      </c>
      <c r="C419" s="1" t="n">
        <v>45989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21402-2023</t>
        </is>
      </c>
      <c r="B420" s="1" t="n">
        <v>45061</v>
      </c>
      <c r="C420" s="1" t="n">
        <v>45989</v>
      </c>
      <c r="D420" t="inlineStr">
        <is>
          <t>DALARNAS LÄN</t>
        </is>
      </c>
      <c r="E420" t="inlineStr">
        <is>
          <t>LEKSAND</t>
        </is>
      </c>
      <c r="G420" t="n">
        <v>0.7</v>
      </c>
      <c r="H420" t="n">
        <v>0</v>
      </c>
      <c r="I420" t="n">
        <v>0</v>
      </c>
      <c r="J420" t="n">
        <v>0</v>
      </c>
      <c r="K420" t="n">
        <v>0</v>
      </c>
      <c r="L420" t="n">
        <v>0</v>
      </c>
      <c r="M420" t="n">
        <v>0</v>
      </c>
      <c r="N420" t="n">
        <v>0</v>
      </c>
      <c r="O420" t="n">
        <v>0</v>
      </c>
      <c r="P420" t="n">
        <v>0</v>
      </c>
      <c r="Q420" t="n">
        <v>0</v>
      </c>
      <c r="R420" s="2" t="inlineStr"/>
    </row>
    <row r="421" ht="15" customHeight="1">
      <c r="A421" t="inlineStr">
        <is>
          <t>A 43142-2024</t>
        </is>
      </c>
      <c r="B421" s="1" t="n">
        <v>45567.62144675926</v>
      </c>
      <c r="C421" s="1" t="n">
        <v>45989</v>
      </c>
      <c r="D421" t="inlineStr">
        <is>
          <t>DALARNAS LÄN</t>
        </is>
      </c>
      <c r="E421" t="inlineStr">
        <is>
          <t>LEKSAND</t>
        </is>
      </c>
      <c r="F421" t="inlineStr">
        <is>
          <t>Bergvik skog väst AB</t>
        </is>
      </c>
      <c r="G421" t="n">
        <v>2.9</v>
      </c>
      <c r="H421" t="n">
        <v>0</v>
      </c>
      <c r="I421" t="n">
        <v>0</v>
      </c>
      <c r="J421" t="n">
        <v>0</v>
      </c>
      <c r="K421" t="n">
        <v>0</v>
      </c>
      <c r="L421" t="n">
        <v>0</v>
      </c>
      <c r="M421" t="n">
        <v>0</v>
      </c>
      <c r="N421" t="n">
        <v>0</v>
      </c>
      <c r="O421" t="n">
        <v>0</v>
      </c>
      <c r="P421" t="n">
        <v>0</v>
      </c>
      <c r="Q421" t="n">
        <v>0</v>
      </c>
      <c r="R421" s="2" t="inlineStr"/>
    </row>
    <row r="422" ht="15" customHeight="1">
      <c r="A422" t="inlineStr">
        <is>
          <t>A 48421-2025</t>
        </is>
      </c>
      <c r="B422" s="1" t="n">
        <v>45934.67564814815</v>
      </c>
      <c r="C422" s="1" t="n">
        <v>45989</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56960-2025</t>
        </is>
      </c>
      <c r="B423" s="1" t="n">
        <v>45978.65903935185</v>
      </c>
      <c r="C423" s="1" t="n">
        <v>45989</v>
      </c>
      <c r="D423" t="inlineStr">
        <is>
          <t>DALARNAS LÄN</t>
        </is>
      </c>
      <c r="E423" t="inlineStr">
        <is>
          <t>LEKSAND</t>
        </is>
      </c>
      <c r="G423" t="n">
        <v>3.1</v>
      </c>
      <c r="H423" t="n">
        <v>0</v>
      </c>
      <c r="I423" t="n">
        <v>0</v>
      </c>
      <c r="J423" t="n">
        <v>0</v>
      </c>
      <c r="K423" t="n">
        <v>0</v>
      </c>
      <c r="L423" t="n">
        <v>0</v>
      </c>
      <c r="M423" t="n">
        <v>0</v>
      </c>
      <c r="N423" t="n">
        <v>0</v>
      </c>
      <c r="O423" t="n">
        <v>0</v>
      </c>
      <c r="P423" t="n">
        <v>0</v>
      </c>
      <c r="Q423" t="n">
        <v>0</v>
      </c>
      <c r="R423" s="2" t="inlineStr"/>
    </row>
    <row r="424" ht="15" customHeight="1">
      <c r="A424" t="inlineStr">
        <is>
          <t>A 47673-2023</t>
        </is>
      </c>
      <c r="B424" s="1" t="n">
        <v>45203</v>
      </c>
      <c r="C424" s="1" t="n">
        <v>45989</v>
      </c>
      <c r="D424" t="inlineStr">
        <is>
          <t>DALARNAS LÄN</t>
        </is>
      </c>
      <c r="E424" t="inlineStr">
        <is>
          <t>LEKSAND</t>
        </is>
      </c>
      <c r="G424" t="n">
        <v>2</v>
      </c>
      <c r="H424" t="n">
        <v>0</v>
      </c>
      <c r="I424" t="n">
        <v>0</v>
      </c>
      <c r="J424" t="n">
        <v>0</v>
      </c>
      <c r="K424" t="n">
        <v>0</v>
      </c>
      <c r="L424" t="n">
        <v>0</v>
      </c>
      <c r="M424" t="n">
        <v>0</v>
      </c>
      <c r="N424" t="n">
        <v>0</v>
      </c>
      <c r="O424" t="n">
        <v>0</v>
      </c>
      <c r="P424" t="n">
        <v>0</v>
      </c>
      <c r="Q424" t="n">
        <v>0</v>
      </c>
      <c r="R424" s="2" t="inlineStr"/>
    </row>
    <row r="425" ht="15" customHeight="1">
      <c r="A425" t="inlineStr">
        <is>
          <t>A 59718-2023</t>
        </is>
      </c>
      <c r="B425" s="1" t="n">
        <v>45257</v>
      </c>
      <c r="C425" s="1" t="n">
        <v>45989</v>
      </c>
      <c r="D425" t="inlineStr">
        <is>
          <t>DALARNAS LÄN</t>
        </is>
      </c>
      <c r="E425" t="inlineStr">
        <is>
          <t>LEKSAND</t>
        </is>
      </c>
      <c r="G425" t="n">
        <v>2.2</v>
      </c>
      <c r="H425" t="n">
        <v>0</v>
      </c>
      <c r="I425" t="n">
        <v>0</v>
      </c>
      <c r="J425" t="n">
        <v>0</v>
      </c>
      <c r="K425" t="n">
        <v>0</v>
      </c>
      <c r="L425" t="n">
        <v>0</v>
      </c>
      <c r="M425" t="n">
        <v>0</v>
      </c>
      <c r="N425" t="n">
        <v>0</v>
      </c>
      <c r="O425" t="n">
        <v>0</v>
      </c>
      <c r="P425" t="n">
        <v>0</v>
      </c>
      <c r="Q425" t="n">
        <v>0</v>
      </c>
      <c r="R425" s="2" t="inlineStr"/>
    </row>
    <row r="426" ht="15" customHeight="1">
      <c r="A426" t="inlineStr">
        <is>
          <t>A 56517-2025</t>
        </is>
      </c>
      <c r="B426" s="1" t="n">
        <v>45975.45777777778</v>
      </c>
      <c r="C426" s="1" t="n">
        <v>45989</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57927-2024</t>
        </is>
      </c>
      <c r="B427" s="1" t="n">
        <v>45630</v>
      </c>
      <c r="C427" s="1" t="n">
        <v>45989</v>
      </c>
      <c r="D427" t="inlineStr">
        <is>
          <t>DALARNAS LÄN</t>
        </is>
      </c>
      <c r="E427" t="inlineStr">
        <is>
          <t>LEKSAND</t>
        </is>
      </c>
      <c r="G427" t="n">
        <v>0.2</v>
      </c>
      <c r="H427" t="n">
        <v>0</v>
      </c>
      <c r="I427" t="n">
        <v>0</v>
      </c>
      <c r="J427" t="n">
        <v>0</v>
      </c>
      <c r="K427" t="n">
        <v>0</v>
      </c>
      <c r="L427" t="n">
        <v>0</v>
      </c>
      <c r="M427" t="n">
        <v>0</v>
      </c>
      <c r="N427" t="n">
        <v>0</v>
      </c>
      <c r="O427" t="n">
        <v>0</v>
      </c>
      <c r="P427" t="n">
        <v>0</v>
      </c>
      <c r="Q427" t="n">
        <v>0</v>
      </c>
      <c r="R427" s="2" t="inlineStr"/>
    </row>
    <row r="428" ht="15" customHeight="1">
      <c r="A428" t="inlineStr">
        <is>
          <t>A 57930-2024</t>
        </is>
      </c>
      <c r="B428" s="1" t="n">
        <v>45630</v>
      </c>
      <c r="C428" s="1" t="n">
        <v>45989</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48829-2025</t>
        </is>
      </c>
      <c r="B429" s="1" t="n">
        <v>45936</v>
      </c>
      <c r="C429" s="1" t="n">
        <v>45989</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1775-2022</t>
        </is>
      </c>
      <c r="B430" s="1" t="n">
        <v>44574</v>
      </c>
      <c r="C430" s="1" t="n">
        <v>45989</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30994-2023</t>
        </is>
      </c>
      <c r="B431" s="1" t="n">
        <v>45113</v>
      </c>
      <c r="C431" s="1" t="n">
        <v>45989</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57665-2023</t>
        </is>
      </c>
      <c r="B432" s="1" t="n">
        <v>45246</v>
      </c>
      <c r="C432" s="1" t="n">
        <v>45989</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56514-2025</t>
        </is>
      </c>
      <c r="B433" s="1" t="n">
        <v>45975.45502314815</v>
      </c>
      <c r="C433" s="1" t="n">
        <v>45989</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48824-2025</t>
        </is>
      </c>
      <c r="B434" s="1" t="n">
        <v>45937.37949074074</v>
      </c>
      <c r="C434" s="1" t="n">
        <v>45989</v>
      </c>
      <c r="D434" t="inlineStr">
        <is>
          <t>DALARNAS LÄN</t>
        </is>
      </c>
      <c r="E434" t="inlineStr">
        <is>
          <t>LEKSAND</t>
        </is>
      </c>
      <c r="G434" t="n">
        <v>6.3</v>
      </c>
      <c r="H434" t="n">
        <v>0</v>
      </c>
      <c r="I434" t="n">
        <v>0</v>
      </c>
      <c r="J434" t="n">
        <v>0</v>
      </c>
      <c r="K434" t="n">
        <v>0</v>
      </c>
      <c r="L434" t="n">
        <v>0</v>
      </c>
      <c r="M434" t="n">
        <v>0</v>
      </c>
      <c r="N434" t="n">
        <v>0</v>
      </c>
      <c r="O434" t="n">
        <v>0</v>
      </c>
      <c r="P434" t="n">
        <v>0</v>
      </c>
      <c r="Q434" t="n">
        <v>0</v>
      </c>
      <c r="R434" s="2" t="inlineStr"/>
    </row>
    <row r="435" ht="15" customHeight="1">
      <c r="A435" t="inlineStr">
        <is>
          <t>A 51480-2022</t>
        </is>
      </c>
      <c r="B435" s="1" t="n">
        <v>44869.57961805556</v>
      </c>
      <c r="C435" s="1" t="n">
        <v>45989</v>
      </c>
      <c r="D435" t="inlineStr">
        <is>
          <t>DALARNAS LÄN</t>
        </is>
      </c>
      <c r="E435" t="inlineStr">
        <is>
          <t>LEKSAND</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49209-2025</t>
        </is>
      </c>
      <c r="B436" s="1" t="n">
        <v>45938.43589120371</v>
      </c>
      <c r="C436" s="1" t="n">
        <v>45989</v>
      </c>
      <c r="D436" t="inlineStr">
        <is>
          <t>DALARNAS LÄN</t>
        </is>
      </c>
      <c r="E436" t="inlineStr">
        <is>
          <t>LEKSAND</t>
        </is>
      </c>
      <c r="G436" t="n">
        <v>4.8</v>
      </c>
      <c r="H436" t="n">
        <v>0</v>
      </c>
      <c r="I436" t="n">
        <v>0</v>
      </c>
      <c r="J436" t="n">
        <v>0</v>
      </c>
      <c r="K436" t="n">
        <v>0</v>
      </c>
      <c r="L436" t="n">
        <v>0</v>
      </c>
      <c r="M436" t="n">
        <v>0</v>
      </c>
      <c r="N436" t="n">
        <v>0</v>
      </c>
      <c r="O436" t="n">
        <v>0</v>
      </c>
      <c r="P436" t="n">
        <v>0</v>
      </c>
      <c r="Q436" t="n">
        <v>0</v>
      </c>
      <c r="R436" s="2" t="inlineStr"/>
    </row>
    <row r="437" ht="15" customHeight="1">
      <c r="A437" t="inlineStr">
        <is>
          <t>A 48922-2025</t>
        </is>
      </c>
      <c r="B437" s="1" t="n">
        <v>45937.50077546296</v>
      </c>
      <c r="C437" s="1" t="n">
        <v>45989</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57231-2025</t>
        </is>
      </c>
      <c r="B438" s="1" t="n">
        <v>45979.62025462963</v>
      </c>
      <c r="C438" s="1" t="n">
        <v>45989</v>
      </c>
      <c r="D438" t="inlineStr">
        <is>
          <t>DALARNAS LÄN</t>
        </is>
      </c>
      <c r="E438" t="inlineStr">
        <is>
          <t>LEKSAND</t>
        </is>
      </c>
      <c r="G438" t="n">
        <v>1.8</v>
      </c>
      <c r="H438" t="n">
        <v>0</v>
      </c>
      <c r="I438" t="n">
        <v>0</v>
      </c>
      <c r="J438" t="n">
        <v>0</v>
      </c>
      <c r="K438" t="n">
        <v>0</v>
      </c>
      <c r="L438" t="n">
        <v>0</v>
      </c>
      <c r="M438" t="n">
        <v>0</v>
      </c>
      <c r="N438" t="n">
        <v>0</v>
      </c>
      <c r="O438" t="n">
        <v>0</v>
      </c>
      <c r="P438" t="n">
        <v>0</v>
      </c>
      <c r="Q438" t="n">
        <v>0</v>
      </c>
      <c r="R438" s="2" t="inlineStr"/>
    </row>
    <row r="439" ht="15" customHeight="1">
      <c r="A439" t="inlineStr">
        <is>
          <t>A 49076-2025</t>
        </is>
      </c>
      <c r="B439" s="1" t="n">
        <v>45937.65601851852</v>
      </c>
      <c r="C439" s="1" t="n">
        <v>45989</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57223-2025</t>
        </is>
      </c>
      <c r="B440" s="1" t="n">
        <v>45979.61486111111</v>
      </c>
      <c r="C440" s="1" t="n">
        <v>45989</v>
      </c>
      <c r="D440" t="inlineStr">
        <is>
          <t>DALARNAS LÄN</t>
        </is>
      </c>
      <c r="E440" t="inlineStr">
        <is>
          <t>LEKSAND</t>
        </is>
      </c>
      <c r="G440" t="n">
        <v>1.2</v>
      </c>
      <c r="H440" t="n">
        <v>0</v>
      </c>
      <c r="I440" t="n">
        <v>0</v>
      </c>
      <c r="J440" t="n">
        <v>0</v>
      </c>
      <c r="K440" t="n">
        <v>0</v>
      </c>
      <c r="L440" t="n">
        <v>0</v>
      </c>
      <c r="M440" t="n">
        <v>0</v>
      </c>
      <c r="N440" t="n">
        <v>0</v>
      </c>
      <c r="O440" t="n">
        <v>0</v>
      </c>
      <c r="P440" t="n">
        <v>0</v>
      </c>
      <c r="Q440" t="n">
        <v>0</v>
      </c>
      <c r="R440" s="2" t="inlineStr"/>
    </row>
    <row r="441" ht="15" customHeight="1">
      <c r="A441" t="inlineStr">
        <is>
          <t>A 49212-2025</t>
        </is>
      </c>
      <c r="B441" s="1" t="n">
        <v>45938.43855324074</v>
      </c>
      <c r="C441" s="1" t="n">
        <v>45989</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43237-2024</t>
        </is>
      </c>
      <c r="B442" s="1" t="n">
        <v>45567</v>
      </c>
      <c r="C442" s="1" t="n">
        <v>45989</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34482-2022</t>
        </is>
      </c>
      <c r="B443" s="1" t="n">
        <v>44792</v>
      </c>
      <c r="C443" s="1" t="n">
        <v>45989</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17485-2025</t>
        </is>
      </c>
      <c r="B444" s="1" t="n">
        <v>45757.49976851852</v>
      </c>
      <c r="C444" s="1" t="n">
        <v>45989</v>
      </c>
      <c r="D444" t="inlineStr">
        <is>
          <t>DALARNAS LÄN</t>
        </is>
      </c>
      <c r="E444" t="inlineStr">
        <is>
          <t>LEKSAND</t>
        </is>
      </c>
      <c r="G444" t="n">
        <v>3.7</v>
      </c>
      <c r="H444" t="n">
        <v>0</v>
      </c>
      <c r="I444" t="n">
        <v>0</v>
      </c>
      <c r="J444" t="n">
        <v>0</v>
      </c>
      <c r="K444" t="n">
        <v>0</v>
      </c>
      <c r="L444" t="n">
        <v>0</v>
      </c>
      <c r="M444" t="n">
        <v>0</v>
      </c>
      <c r="N444" t="n">
        <v>0</v>
      </c>
      <c r="O444" t="n">
        <v>0</v>
      </c>
      <c r="P444" t="n">
        <v>0</v>
      </c>
      <c r="Q444" t="n">
        <v>0</v>
      </c>
      <c r="R444" s="2" t="inlineStr"/>
    </row>
    <row r="445" ht="15" customHeight="1">
      <c r="A445" t="inlineStr">
        <is>
          <t>A 30595-2023</t>
        </is>
      </c>
      <c r="B445" s="1" t="n">
        <v>45112</v>
      </c>
      <c r="C445" s="1" t="n">
        <v>45989</v>
      </c>
      <c r="D445" t="inlineStr">
        <is>
          <t>DALARNAS LÄN</t>
        </is>
      </c>
      <c r="E445" t="inlineStr">
        <is>
          <t>LEKSAND</t>
        </is>
      </c>
      <c r="G445" t="n">
        <v>1.1</v>
      </c>
      <c r="H445" t="n">
        <v>0</v>
      </c>
      <c r="I445" t="n">
        <v>0</v>
      </c>
      <c r="J445" t="n">
        <v>0</v>
      </c>
      <c r="K445" t="n">
        <v>0</v>
      </c>
      <c r="L445" t="n">
        <v>0</v>
      </c>
      <c r="M445" t="n">
        <v>0</v>
      </c>
      <c r="N445" t="n">
        <v>0</v>
      </c>
      <c r="O445" t="n">
        <v>0</v>
      </c>
      <c r="P445" t="n">
        <v>0</v>
      </c>
      <c r="Q445" t="n">
        <v>0</v>
      </c>
      <c r="R445" s="2" t="inlineStr"/>
    </row>
    <row r="446" ht="15" customHeight="1">
      <c r="A446" t="inlineStr">
        <is>
          <t>A 56943-2024</t>
        </is>
      </c>
      <c r="B446" s="1" t="n">
        <v>45625</v>
      </c>
      <c r="C446" s="1" t="n">
        <v>45989</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15257-2025</t>
        </is>
      </c>
      <c r="B447" s="1" t="n">
        <v>45744</v>
      </c>
      <c r="C447" s="1" t="n">
        <v>45989</v>
      </c>
      <c r="D447" t="inlineStr">
        <is>
          <t>DALARNAS LÄN</t>
        </is>
      </c>
      <c r="E447" t="inlineStr">
        <is>
          <t>LEKSAND</t>
        </is>
      </c>
      <c r="G447" t="n">
        <v>0.9</v>
      </c>
      <c r="H447" t="n">
        <v>0</v>
      </c>
      <c r="I447" t="n">
        <v>0</v>
      </c>
      <c r="J447" t="n">
        <v>0</v>
      </c>
      <c r="K447" t="n">
        <v>0</v>
      </c>
      <c r="L447" t="n">
        <v>0</v>
      </c>
      <c r="M447" t="n">
        <v>0</v>
      </c>
      <c r="N447" t="n">
        <v>0</v>
      </c>
      <c r="O447" t="n">
        <v>0</v>
      </c>
      <c r="P447" t="n">
        <v>0</v>
      </c>
      <c r="Q447" t="n">
        <v>0</v>
      </c>
      <c r="R447" s="2" t="inlineStr"/>
    </row>
    <row r="448" ht="15" customHeight="1">
      <c r="A448" t="inlineStr">
        <is>
          <t>A 57536-2025</t>
        </is>
      </c>
      <c r="B448" s="1" t="n">
        <v>45980.64287037037</v>
      </c>
      <c r="C448" s="1" t="n">
        <v>45989</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24142-2021</t>
        </is>
      </c>
      <c r="B449" s="1" t="n">
        <v>44336</v>
      </c>
      <c r="C449" s="1" t="n">
        <v>45989</v>
      </c>
      <c r="D449" t="inlineStr">
        <is>
          <t>DALARNAS LÄN</t>
        </is>
      </c>
      <c r="E449" t="inlineStr">
        <is>
          <t>LEKSAND</t>
        </is>
      </c>
      <c r="F449" t="inlineStr">
        <is>
          <t>Bergvik skog väst AB</t>
        </is>
      </c>
      <c r="G449" t="n">
        <v>18.9</v>
      </c>
      <c r="H449" t="n">
        <v>0</v>
      </c>
      <c r="I449" t="n">
        <v>0</v>
      </c>
      <c r="J449" t="n">
        <v>0</v>
      </c>
      <c r="K449" t="n">
        <v>0</v>
      </c>
      <c r="L449" t="n">
        <v>0</v>
      </c>
      <c r="M449" t="n">
        <v>0</v>
      </c>
      <c r="N449" t="n">
        <v>0</v>
      </c>
      <c r="O449" t="n">
        <v>0</v>
      </c>
      <c r="P449" t="n">
        <v>0</v>
      </c>
      <c r="Q449" t="n">
        <v>0</v>
      </c>
      <c r="R449" s="2" t="inlineStr"/>
    </row>
    <row r="450" ht="15" customHeight="1">
      <c r="A450" t="inlineStr">
        <is>
          <t>A 16815-2025</t>
        </is>
      </c>
      <c r="B450" s="1" t="n">
        <v>45754</v>
      </c>
      <c r="C450" s="1" t="n">
        <v>45989</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61208-2023</t>
        </is>
      </c>
      <c r="B451" s="1" t="n">
        <v>45260</v>
      </c>
      <c r="C451" s="1" t="n">
        <v>45989</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52977-2022</t>
        </is>
      </c>
      <c r="B452" s="1" t="n">
        <v>44875</v>
      </c>
      <c r="C452" s="1" t="n">
        <v>45989</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57267-2025</t>
        </is>
      </c>
      <c r="B453" s="1" t="n">
        <v>45979.67476851852</v>
      </c>
      <c r="C453" s="1" t="n">
        <v>45989</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25921-2024</t>
        </is>
      </c>
      <c r="B454" s="1" t="n">
        <v>45467.6053587963</v>
      </c>
      <c r="C454" s="1" t="n">
        <v>45989</v>
      </c>
      <c r="D454" t="inlineStr">
        <is>
          <t>DALARNAS LÄN</t>
        </is>
      </c>
      <c r="E454" t="inlineStr">
        <is>
          <t>LEKSAND</t>
        </is>
      </c>
      <c r="G454" t="n">
        <v>2.8</v>
      </c>
      <c r="H454" t="n">
        <v>0</v>
      </c>
      <c r="I454" t="n">
        <v>0</v>
      </c>
      <c r="J454" t="n">
        <v>0</v>
      </c>
      <c r="K454" t="n">
        <v>0</v>
      </c>
      <c r="L454" t="n">
        <v>0</v>
      </c>
      <c r="M454" t="n">
        <v>0</v>
      </c>
      <c r="N454" t="n">
        <v>0</v>
      </c>
      <c r="O454" t="n">
        <v>0</v>
      </c>
      <c r="P454" t="n">
        <v>0</v>
      </c>
      <c r="Q454" t="n">
        <v>0</v>
      </c>
      <c r="R454" s="2" t="inlineStr"/>
    </row>
    <row r="455" ht="15" customHeight="1">
      <c r="A455" t="inlineStr">
        <is>
          <t>A 28892-2022</t>
        </is>
      </c>
      <c r="B455" s="1" t="n">
        <v>44749</v>
      </c>
      <c r="C455" s="1" t="n">
        <v>45989</v>
      </c>
      <c r="D455" t="inlineStr">
        <is>
          <t>DALARNAS LÄN</t>
        </is>
      </c>
      <c r="E455" t="inlineStr">
        <is>
          <t>LEKSAND</t>
        </is>
      </c>
      <c r="F455" t="inlineStr">
        <is>
          <t>Bergvik skog väst AB</t>
        </is>
      </c>
      <c r="G455" t="n">
        <v>9.1</v>
      </c>
      <c r="H455" t="n">
        <v>0</v>
      </c>
      <c r="I455" t="n">
        <v>0</v>
      </c>
      <c r="J455" t="n">
        <v>0</v>
      </c>
      <c r="K455" t="n">
        <v>0</v>
      </c>
      <c r="L455" t="n">
        <v>0</v>
      </c>
      <c r="M455" t="n">
        <v>0</v>
      </c>
      <c r="N455" t="n">
        <v>0</v>
      </c>
      <c r="O455" t="n">
        <v>0</v>
      </c>
      <c r="P455" t="n">
        <v>0</v>
      </c>
      <c r="Q455" t="n">
        <v>0</v>
      </c>
      <c r="R455" s="2" t="inlineStr"/>
    </row>
    <row r="456" ht="15" customHeight="1">
      <c r="A456" t="inlineStr">
        <is>
          <t>A 320-2023</t>
        </is>
      </c>
      <c r="B456" s="1" t="n">
        <v>44929</v>
      </c>
      <c r="C456" s="1" t="n">
        <v>45989</v>
      </c>
      <c r="D456" t="inlineStr">
        <is>
          <t>DALARNAS LÄN</t>
        </is>
      </c>
      <c r="E456" t="inlineStr">
        <is>
          <t>LEKSAND</t>
        </is>
      </c>
      <c r="F456" t="inlineStr">
        <is>
          <t>Övriga Aktiebolag</t>
        </is>
      </c>
      <c r="G456" t="n">
        <v>5.4</v>
      </c>
      <c r="H456" t="n">
        <v>0</v>
      </c>
      <c r="I456" t="n">
        <v>0</v>
      </c>
      <c r="J456" t="n">
        <v>0</v>
      </c>
      <c r="K456" t="n">
        <v>0</v>
      </c>
      <c r="L456" t="n">
        <v>0</v>
      </c>
      <c r="M456" t="n">
        <v>0</v>
      </c>
      <c r="N456" t="n">
        <v>0</v>
      </c>
      <c r="O456" t="n">
        <v>0</v>
      </c>
      <c r="P456" t="n">
        <v>0</v>
      </c>
      <c r="Q456" t="n">
        <v>0</v>
      </c>
      <c r="R456" s="2" t="inlineStr"/>
    </row>
    <row r="457" ht="15" customHeight="1">
      <c r="A457" t="inlineStr">
        <is>
          <t>A 57760-2025</t>
        </is>
      </c>
      <c r="B457" s="1" t="n">
        <v>45981</v>
      </c>
      <c r="C457" s="1" t="n">
        <v>45989</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57962-2025</t>
        </is>
      </c>
      <c r="B458" s="1" t="n">
        <v>45982.37767361111</v>
      </c>
      <c r="C458" s="1" t="n">
        <v>45989</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57688-2025</t>
        </is>
      </c>
      <c r="B459" s="1" t="n">
        <v>45981.44429398148</v>
      </c>
      <c r="C459" s="1" t="n">
        <v>45989</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12581-2025</t>
        </is>
      </c>
      <c r="B460" s="1" t="n">
        <v>45732.62201388889</v>
      </c>
      <c r="C460" s="1" t="n">
        <v>45989</v>
      </c>
      <c r="D460" t="inlineStr">
        <is>
          <t>DALARNAS LÄN</t>
        </is>
      </c>
      <c r="E460" t="inlineStr">
        <is>
          <t>LEKSAND</t>
        </is>
      </c>
      <c r="G460" t="n">
        <v>5.1</v>
      </c>
      <c r="H460" t="n">
        <v>0</v>
      </c>
      <c r="I460" t="n">
        <v>0</v>
      </c>
      <c r="J460" t="n">
        <v>0</v>
      </c>
      <c r="K460" t="n">
        <v>0</v>
      </c>
      <c r="L460" t="n">
        <v>0</v>
      </c>
      <c r="M460" t="n">
        <v>0</v>
      </c>
      <c r="N460" t="n">
        <v>0</v>
      </c>
      <c r="O460" t="n">
        <v>0</v>
      </c>
      <c r="P460" t="n">
        <v>0</v>
      </c>
      <c r="Q460" t="n">
        <v>0</v>
      </c>
      <c r="R460" s="2" t="inlineStr"/>
    </row>
    <row r="461" ht="15" customHeight="1">
      <c r="A461" t="inlineStr">
        <is>
          <t>A 12620-2025</t>
        </is>
      </c>
      <c r="B461" s="1" t="n">
        <v>45733.35498842593</v>
      </c>
      <c r="C461" s="1" t="n">
        <v>45989</v>
      </c>
      <c r="D461" t="inlineStr">
        <is>
          <t>DALARNAS LÄN</t>
        </is>
      </c>
      <c r="E461" t="inlineStr">
        <is>
          <t>LEKSAND</t>
        </is>
      </c>
      <c r="F461" t="inlineStr">
        <is>
          <t>Bergvik skog väst AB</t>
        </is>
      </c>
      <c r="G461" t="n">
        <v>3.9</v>
      </c>
      <c r="H461" t="n">
        <v>0</v>
      </c>
      <c r="I461" t="n">
        <v>0</v>
      </c>
      <c r="J461" t="n">
        <v>0</v>
      </c>
      <c r="K461" t="n">
        <v>0</v>
      </c>
      <c r="L461" t="n">
        <v>0</v>
      </c>
      <c r="M461" t="n">
        <v>0</v>
      </c>
      <c r="N461" t="n">
        <v>0</v>
      </c>
      <c r="O461" t="n">
        <v>0</v>
      </c>
      <c r="P461" t="n">
        <v>0</v>
      </c>
      <c r="Q461" t="n">
        <v>0</v>
      </c>
      <c r="R461" s="2" t="inlineStr"/>
    </row>
    <row r="462" ht="15" customHeight="1">
      <c r="A462" t="inlineStr">
        <is>
          <t>A 12623-2025</t>
        </is>
      </c>
      <c r="B462" s="1" t="n">
        <v>45733.36079861111</v>
      </c>
      <c r="C462" s="1" t="n">
        <v>45989</v>
      </c>
      <c r="D462" t="inlineStr">
        <is>
          <t>DALARNAS LÄN</t>
        </is>
      </c>
      <c r="E462" t="inlineStr">
        <is>
          <t>LEKSAND</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32666-2023</t>
        </is>
      </c>
      <c r="B463" s="1" t="n">
        <v>45121</v>
      </c>
      <c r="C463" s="1" t="n">
        <v>45989</v>
      </c>
      <c r="D463" t="inlineStr">
        <is>
          <t>DALARNAS LÄN</t>
        </is>
      </c>
      <c r="E463" t="inlineStr">
        <is>
          <t>LEKSAND</t>
        </is>
      </c>
      <c r="G463" t="n">
        <v>9.9</v>
      </c>
      <c r="H463" t="n">
        <v>0</v>
      </c>
      <c r="I463" t="n">
        <v>0</v>
      </c>
      <c r="J463" t="n">
        <v>0</v>
      </c>
      <c r="K463" t="n">
        <v>0</v>
      </c>
      <c r="L463" t="n">
        <v>0</v>
      </c>
      <c r="M463" t="n">
        <v>0</v>
      </c>
      <c r="N463" t="n">
        <v>0</v>
      </c>
      <c r="O463" t="n">
        <v>0</v>
      </c>
      <c r="P463" t="n">
        <v>0</v>
      </c>
      <c r="Q463" t="n">
        <v>0</v>
      </c>
      <c r="R463" s="2" t="inlineStr"/>
    </row>
    <row r="464" ht="15" customHeight="1">
      <c r="A464" t="inlineStr">
        <is>
          <t>A 57869-2025</t>
        </is>
      </c>
      <c r="B464" s="1" t="n">
        <v>45981.65211805556</v>
      </c>
      <c r="C464" s="1" t="n">
        <v>45989</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5231-2024</t>
        </is>
      </c>
      <c r="B465" s="1" t="n">
        <v>45330</v>
      </c>
      <c r="C465" s="1" t="n">
        <v>45989</v>
      </c>
      <c r="D465" t="inlineStr">
        <is>
          <t>DALARNAS LÄN</t>
        </is>
      </c>
      <c r="E465" t="inlineStr">
        <is>
          <t>LEKSAND</t>
        </is>
      </c>
      <c r="F465" t="inlineStr">
        <is>
          <t>Bergvik skog väst AB</t>
        </is>
      </c>
      <c r="G465" t="n">
        <v>11.2</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45939.37564814815</v>
      </c>
      <c r="C466" s="1" t="n">
        <v>45989</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23896-2024</t>
        </is>
      </c>
      <c r="B467" s="1" t="n">
        <v>45455.6758449074</v>
      </c>
      <c r="C467" s="1" t="n">
        <v>45989</v>
      </c>
      <c r="D467" t="inlineStr">
        <is>
          <t>DALARNAS LÄN</t>
        </is>
      </c>
      <c r="E467" t="inlineStr">
        <is>
          <t>LEKSAND</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28578-2023</t>
        </is>
      </c>
      <c r="B468" s="1" t="n">
        <v>45103</v>
      </c>
      <c r="C468" s="1" t="n">
        <v>45989</v>
      </c>
      <c r="D468" t="inlineStr">
        <is>
          <t>DALARNAS LÄN</t>
        </is>
      </c>
      <c r="E468" t="inlineStr">
        <is>
          <t>LEKSAND</t>
        </is>
      </c>
      <c r="G468" t="n">
        <v>4.4</v>
      </c>
      <c r="H468" t="n">
        <v>0</v>
      </c>
      <c r="I468" t="n">
        <v>0</v>
      </c>
      <c r="J468" t="n">
        <v>0</v>
      </c>
      <c r="K468" t="n">
        <v>0</v>
      </c>
      <c r="L468" t="n">
        <v>0</v>
      </c>
      <c r="M468" t="n">
        <v>0</v>
      </c>
      <c r="N468" t="n">
        <v>0</v>
      </c>
      <c r="O468" t="n">
        <v>0</v>
      </c>
      <c r="P468" t="n">
        <v>0</v>
      </c>
      <c r="Q468" t="n">
        <v>0</v>
      </c>
      <c r="R468" s="2" t="inlineStr"/>
    </row>
    <row r="469" ht="15" customHeight="1">
      <c r="A469" t="inlineStr">
        <is>
          <t>A 61288-2022</t>
        </is>
      </c>
      <c r="B469" s="1" t="n">
        <v>44915</v>
      </c>
      <c r="C469" s="1" t="n">
        <v>45989</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20936-2023</t>
        </is>
      </c>
      <c r="B470" s="1" t="n">
        <v>45061</v>
      </c>
      <c r="C470" s="1" t="n">
        <v>45989</v>
      </c>
      <c r="D470" t="inlineStr">
        <is>
          <t>DALARNAS LÄN</t>
        </is>
      </c>
      <c r="E470" t="inlineStr">
        <is>
          <t>LEKSAND</t>
        </is>
      </c>
      <c r="G470" t="n">
        <v>0.3</v>
      </c>
      <c r="H470" t="n">
        <v>0</v>
      </c>
      <c r="I470" t="n">
        <v>0</v>
      </c>
      <c r="J470" t="n">
        <v>0</v>
      </c>
      <c r="K470" t="n">
        <v>0</v>
      </c>
      <c r="L470" t="n">
        <v>0</v>
      </c>
      <c r="M470" t="n">
        <v>0</v>
      </c>
      <c r="N470" t="n">
        <v>0</v>
      </c>
      <c r="O470" t="n">
        <v>0</v>
      </c>
      <c r="P470" t="n">
        <v>0</v>
      </c>
      <c r="Q470" t="n">
        <v>0</v>
      </c>
      <c r="R470" s="2" t="inlineStr"/>
    </row>
    <row r="471" ht="15" customHeight="1">
      <c r="A471" t="inlineStr">
        <is>
          <t>A 58114-2025</t>
        </is>
      </c>
      <c r="B471" s="1" t="n">
        <v>45982.60335648148</v>
      </c>
      <c r="C471" s="1" t="n">
        <v>45989</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54677-2025</t>
        </is>
      </c>
      <c r="B472" s="1" t="n">
        <v>45966</v>
      </c>
      <c r="C472" s="1" t="n">
        <v>45989</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58519-2025</t>
        </is>
      </c>
      <c r="B473" s="1" t="n">
        <v>45985.70894675926</v>
      </c>
      <c r="C473" s="1" t="n">
        <v>45989</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58626-2025</t>
        </is>
      </c>
      <c r="B474" s="1" t="n">
        <v>45986.47667824074</v>
      </c>
      <c r="C474" s="1" t="n">
        <v>45989</v>
      </c>
      <c r="D474" t="inlineStr">
        <is>
          <t>DALARNAS LÄN</t>
        </is>
      </c>
      <c r="E474" t="inlineStr">
        <is>
          <t>LEKSAND</t>
        </is>
      </c>
      <c r="G474" t="n">
        <v>0.8</v>
      </c>
      <c r="H474" t="n">
        <v>0</v>
      </c>
      <c r="I474" t="n">
        <v>0</v>
      </c>
      <c r="J474" t="n">
        <v>0</v>
      </c>
      <c r="K474" t="n">
        <v>0</v>
      </c>
      <c r="L474" t="n">
        <v>0</v>
      </c>
      <c r="M474" t="n">
        <v>0</v>
      </c>
      <c r="N474" t="n">
        <v>0</v>
      </c>
      <c r="O474" t="n">
        <v>0</v>
      </c>
      <c r="P474" t="n">
        <v>0</v>
      </c>
      <c r="Q474" t="n">
        <v>0</v>
      </c>
      <c r="R474" s="2" t="inlineStr"/>
    </row>
    <row r="475" ht="15" customHeight="1">
      <c r="A475" t="inlineStr">
        <is>
          <t>A 50332-2025</t>
        </is>
      </c>
      <c r="B475" s="1" t="n">
        <v>45944.47092592593</v>
      </c>
      <c r="C475" s="1" t="n">
        <v>45989</v>
      </c>
      <c r="D475" t="inlineStr">
        <is>
          <t>DALARNAS LÄN</t>
        </is>
      </c>
      <c r="E475" t="inlineStr">
        <is>
          <t>LEKSAND</t>
        </is>
      </c>
      <c r="G475" t="n">
        <v>2.4</v>
      </c>
      <c r="H475" t="n">
        <v>0</v>
      </c>
      <c r="I475" t="n">
        <v>0</v>
      </c>
      <c r="J475" t="n">
        <v>0</v>
      </c>
      <c r="K475" t="n">
        <v>0</v>
      </c>
      <c r="L475" t="n">
        <v>0</v>
      </c>
      <c r="M475" t="n">
        <v>0</v>
      </c>
      <c r="N475" t="n">
        <v>0</v>
      </c>
      <c r="O475" t="n">
        <v>0</v>
      </c>
      <c r="P475" t="n">
        <v>0</v>
      </c>
      <c r="Q475" t="n">
        <v>0</v>
      </c>
      <c r="R475" s="2" t="inlineStr"/>
    </row>
    <row r="476" ht="15" customHeight="1">
      <c r="A476" t="inlineStr">
        <is>
          <t>A 17377-2025</t>
        </is>
      </c>
      <c r="B476" s="1" t="n">
        <v>45756.983125</v>
      </c>
      <c r="C476" s="1" t="n">
        <v>45989</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58674-2025</t>
        </is>
      </c>
      <c r="B477" s="1" t="n">
        <v>45986.55810185185</v>
      </c>
      <c r="C477" s="1" t="n">
        <v>45989</v>
      </c>
      <c r="D477" t="inlineStr">
        <is>
          <t>DALARNAS LÄN</t>
        </is>
      </c>
      <c r="E477" t="inlineStr">
        <is>
          <t>LEKSAND</t>
        </is>
      </c>
      <c r="G477" t="n">
        <v>1.5</v>
      </c>
      <c r="H477" t="n">
        <v>0</v>
      </c>
      <c r="I477" t="n">
        <v>0</v>
      </c>
      <c r="J477" t="n">
        <v>0</v>
      </c>
      <c r="K477" t="n">
        <v>0</v>
      </c>
      <c r="L477" t="n">
        <v>0</v>
      </c>
      <c r="M477" t="n">
        <v>0</v>
      </c>
      <c r="N477" t="n">
        <v>0</v>
      </c>
      <c r="O477" t="n">
        <v>0</v>
      </c>
      <c r="P477" t="n">
        <v>0</v>
      </c>
      <c r="Q477" t="n">
        <v>0</v>
      </c>
      <c r="R477" s="2" t="inlineStr"/>
    </row>
    <row r="478" ht="15" customHeight="1">
      <c r="A478" t="inlineStr">
        <is>
          <t>A 61269-2022</t>
        </is>
      </c>
      <c r="B478" s="1" t="n">
        <v>44909</v>
      </c>
      <c r="C478" s="1" t="n">
        <v>45989</v>
      </c>
      <c r="D478" t="inlineStr">
        <is>
          <t>DALARNAS LÄN</t>
        </is>
      </c>
      <c r="E478" t="inlineStr">
        <is>
          <t>LEKSAND</t>
        </is>
      </c>
      <c r="G478" t="n">
        <v>4.2</v>
      </c>
      <c r="H478" t="n">
        <v>0</v>
      </c>
      <c r="I478" t="n">
        <v>0</v>
      </c>
      <c r="J478" t="n">
        <v>0</v>
      </c>
      <c r="K478" t="n">
        <v>0</v>
      </c>
      <c r="L478" t="n">
        <v>0</v>
      </c>
      <c r="M478" t="n">
        <v>0</v>
      </c>
      <c r="N478" t="n">
        <v>0</v>
      </c>
      <c r="O478" t="n">
        <v>0</v>
      </c>
      <c r="P478" t="n">
        <v>0</v>
      </c>
      <c r="Q478" t="n">
        <v>0</v>
      </c>
      <c r="R478" s="2" t="inlineStr"/>
    </row>
    <row r="479" ht="15" customHeight="1">
      <c r="A479" t="inlineStr">
        <is>
          <t>A 53817-2023</t>
        </is>
      </c>
      <c r="B479" s="1" t="n">
        <v>45231.40488425926</v>
      </c>
      <c r="C479" s="1" t="n">
        <v>45989</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58376-2025</t>
        </is>
      </c>
      <c r="B480" s="1" t="n">
        <v>45985.53180555555</v>
      </c>
      <c r="C480" s="1" t="n">
        <v>45989</v>
      </c>
      <c r="D480" t="inlineStr">
        <is>
          <t>DALARNAS LÄN</t>
        </is>
      </c>
      <c r="E480" t="inlineStr">
        <is>
          <t>LEKSAND</t>
        </is>
      </c>
      <c r="G480" t="n">
        <v>5.7</v>
      </c>
      <c r="H480" t="n">
        <v>0</v>
      </c>
      <c r="I480" t="n">
        <v>0</v>
      </c>
      <c r="J480" t="n">
        <v>0</v>
      </c>
      <c r="K480" t="n">
        <v>0</v>
      </c>
      <c r="L480" t="n">
        <v>0</v>
      </c>
      <c r="M480" t="n">
        <v>0</v>
      </c>
      <c r="N480" t="n">
        <v>0</v>
      </c>
      <c r="O480" t="n">
        <v>0</v>
      </c>
      <c r="P480" t="n">
        <v>0</v>
      </c>
      <c r="Q480" t="n">
        <v>0</v>
      </c>
      <c r="R480" s="2" t="inlineStr"/>
    </row>
    <row r="481" ht="15" customHeight="1">
      <c r="A481" t="inlineStr">
        <is>
          <t>A 58516-2025</t>
        </is>
      </c>
      <c r="B481" s="1" t="n">
        <v>45985.70596064815</v>
      </c>
      <c r="C481" s="1" t="n">
        <v>45989</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28633-2023</t>
        </is>
      </c>
      <c r="B482" s="1" t="n">
        <v>45103.61575231481</v>
      </c>
      <c r="C482" s="1" t="n">
        <v>45989</v>
      </c>
      <c r="D482" t="inlineStr">
        <is>
          <t>DALARNAS LÄN</t>
        </is>
      </c>
      <c r="E482" t="inlineStr">
        <is>
          <t>LEKSAND</t>
        </is>
      </c>
      <c r="F482" t="inlineStr">
        <is>
          <t>Bergvik skog väst AB</t>
        </is>
      </c>
      <c r="G482" t="n">
        <v>0.5</v>
      </c>
      <c r="H482" t="n">
        <v>0</v>
      </c>
      <c r="I482" t="n">
        <v>0</v>
      </c>
      <c r="J482" t="n">
        <v>0</v>
      </c>
      <c r="K482" t="n">
        <v>0</v>
      </c>
      <c r="L482" t="n">
        <v>0</v>
      </c>
      <c r="M482" t="n">
        <v>0</v>
      </c>
      <c r="N482" t="n">
        <v>0</v>
      </c>
      <c r="O482" t="n">
        <v>0</v>
      </c>
      <c r="P482" t="n">
        <v>0</v>
      </c>
      <c r="Q482" t="n">
        <v>0</v>
      </c>
      <c r="R482" s="2" t="inlineStr"/>
    </row>
    <row r="483" ht="15" customHeight="1">
      <c r="A483" t="inlineStr">
        <is>
          <t>A 58449-2025</t>
        </is>
      </c>
      <c r="B483" s="1" t="n">
        <v>45985.62520833333</v>
      </c>
      <c r="C483" s="1" t="n">
        <v>45989</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14943-2023</t>
        </is>
      </c>
      <c r="B484" s="1" t="n">
        <v>45015</v>
      </c>
      <c r="C484" s="1" t="n">
        <v>45989</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41840-2024</t>
        </is>
      </c>
      <c r="B485" s="1" t="n">
        <v>45561.42170138889</v>
      </c>
      <c r="C485" s="1" t="n">
        <v>45989</v>
      </c>
      <c r="D485" t="inlineStr">
        <is>
          <t>DALARNAS LÄN</t>
        </is>
      </c>
      <c r="E485" t="inlineStr">
        <is>
          <t>LEKSAND</t>
        </is>
      </c>
      <c r="G485" t="n">
        <v>0.4</v>
      </c>
      <c r="H485" t="n">
        <v>0</v>
      </c>
      <c r="I485" t="n">
        <v>0</v>
      </c>
      <c r="J485" t="n">
        <v>0</v>
      </c>
      <c r="K485" t="n">
        <v>0</v>
      </c>
      <c r="L485" t="n">
        <v>0</v>
      </c>
      <c r="M485" t="n">
        <v>0</v>
      </c>
      <c r="N485" t="n">
        <v>0</v>
      </c>
      <c r="O485" t="n">
        <v>0</v>
      </c>
      <c r="P485" t="n">
        <v>0</v>
      </c>
      <c r="Q485" t="n">
        <v>0</v>
      </c>
      <c r="R485" s="2" t="inlineStr"/>
    </row>
    <row r="486" ht="15" customHeight="1">
      <c r="A486" t="inlineStr">
        <is>
          <t>A 33143-2024</t>
        </is>
      </c>
      <c r="B486" s="1" t="n">
        <v>45518</v>
      </c>
      <c r="C486" s="1" t="n">
        <v>45989</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58921-2025</t>
        </is>
      </c>
      <c r="B487" s="1" t="n">
        <v>45986</v>
      </c>
      <c r="C487" s="1" t="n">
        <v>45989</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471-2025</t>
        </is>
      </c>
      <c r="B488" s="1" t="n">
        <v>45664.43394675926</v>
      </c>
      <c r="C488" s="1" t="n">
        <v>45989</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59106-2025</t>
        </is>
      </c>
      <c r="B489" s="1" t="n">
        <v>45988.46891203704</v>
      </c>
      <c r="C489" s="1" t="n">
        <v>45989</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50704-2025</t>
        </is>
      </c>
      <c r="B490" s="1" t="n">
        <v>45946.27984953704</v>
      </c>
      <c r="C490" s="1" t="n">
        <v>45989</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59271-2025</t>
        </is>
      </c>
      <c r="B491" s="1" t="n">
        <v>45988.68571759259</v>
      </c>
      <c r="C491" s="1" t="n">
        <v>45989</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6028-2025</t>
        </is>
      </c>
      <c r="B492" s="1" t="n">
        <v>45695</v>
      </c>
      <c r="C492" s="1" t="n">
        <v>45989</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11128-2023</t>
        </is>
      </c>
      <c r="B493" s="1" t="n">
        <v>44992</v>
      </c>
      <c r="C493" s="1" t="n">
        <v>45989</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60024-2023</t>
        </is>
      </c>
      <c r="B494" s="1" t="n">
        <v>45258</v>
      </c>
      <c r="C494" s="1" t="n">
        <v>45989</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11859-2024</t>
        </is>
      </c>
      <c r="B495" s="1" t="n">
        <v>45376.44569444445</v>
      </c>
      <c r="C495" s="1" t="n">
        <v>45989</v>
      </c>
      <c r="D495" t="inlineStr">
        <is>
          <t>DALARNAS LÄN</t>
        </is>
      </c>
      <c r="E495" t="inlineStr">
        <is>
          <t>LEKSAND</t>
        </is>
      </c>
      <c r="G495" t="n">
        <v>2.1</v>
      </c>
      <c r="H495" t="n">
        <v>0</v>
      </c>
      <c r="I495" t="n">
        <v>0</v>
      </c>
      <c r="J495" t="n">
        <v>0</v>
      </c>
      <c r="K495" t="n">
        <v>0</v>
      </c>
      <c r="L495" t="n">
        <v>0</v>
      </c>
      <c r="M495" t="n">
        <v>0</v>
      </c>
      <c r="N495" t="n">
        <v>0</v>
      </c>
      <c r="O495" t="n">
        <v>0</v>
      </c>
      <c r="P495" t="n">
        <v>0</v>
      </c>
      <c r="Q495" t="n">
        <v>0</v>
      </c>
      <c r="R495" s="2" t="inlineStr"/>
    </row>
    <row r="496" ht="15" customHeight="1">
      <c r="A496" t="inlineStr">
        <is>
          <t>A 62133-2023</t>
        </is>
      </c>
      <c r="B496" s="1" t="n">
        <v>45267.35582175926</v>
      </c>
      <c r="C496" s="1" t="n">
        <v>45989</v>
      </c>
      <c r="D496" t="inlineStr">
        <is>
          <t>DALARNAS LÄN</t>
        </is>
      </c>
      <c r="E496" t="inlineStr">
        <is>
          <t>LEKSAND</t>
        </is>
      </c>
      <c r="G496" t="n">
        <v>1.3</v>
      </c>
      <c r="H496" t="n">
        <v>0</v>
      </c>
      <c r="I496" t="n">
        <v>0</v>
      </c>
      <c r="J496" t="n">
        <v>0</v>
      </c>
      <c r="K496" t="n">
        <v>0</v>
      </c>
      <c r="L496" t="n">
        <v>0</v>
      </c>
      <c r="M496" t="n">
        <v>0</v>
      </c>
      <c r="N496" t="n">
        <v>0</v>
      </c>
      <c r="O496" t="n">
        <v>0</v>
      </c>
      <c r="P496" t="n">
        <v>0</v>
      </c>
      <c r="Q496" t="n">
        <v>0</v>
      </c>
      <c r="R496" s="2" t="inlineStr"/>
    </row>
    <row r="497" ht="15" customHeight="1">
      <c r="A497" t="inlineStr">
        <is>
          <t>A 58495-2023</t>
        </is>
      </c>
      <c r="B497" s="1" t="n">
        <v>45251</v>
      </c>
      <c r="C497" s="1" t="n">
        <v>45989</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6039-2023</t>
        </is>
      </c>
      <c r="B498" s="1" t="n">
        <v>44959</v>
      </c>
      <c r="C498" s="1" t="n">
        <v>45989</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32726-2025</t>
        </is>
      </c>
      <c r="B499" s="1" t="n">
        <v>45839.3969212963</v>
      </c>
      <c r="C499" s="1" t="n">
        <v>45989</v>
      </c>
      <c r="D499" t="inlineStr">
        <is>
          <t>DALARNAS LÄN</t>
        </is>
      </c>
      <c r="E499" t="inlineStr">
        <is>
          <t>LEKSAND</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22517-2024</t>
        </is>
      </c>
      <c r="B500" s="1" t="n">
        <v>45447.40143518519</v>
      </c>
      <c r="C500" s="1" t="n">
        <v>45989</v>
      </c>
      <c r="D500" t="inlineStr">
        <is>
          <t>DALARNAS LÄN</t>
        </is>
      </c>
      <c r="E500" t="inlineStr">
        <is>
          <t>LEKSAND</t>
        </is>
      </c>
      <c r="G500" t="n">
        <v>0.4</v>
      </c>
      <c r="H500" t="n">
        <v>0</v>
      </c>
      <c r="I500" t="n">
        <v>0</v>
      </c>
      <c r="J500" t="n">
        <v>0</v>
      </c>
      <c r="K500" t="n">
        <v>0</v>
      </c>
      <c r="L500" t="n">
        <v>0</v>
      </c>
      <c r="M500" t="n">
        <v>0</v>
      </c>
      <c r="N500" t="n">
        <v>0</v>
      </c>
      <c r="O500" t="n">
        <v>0</v>
      </c>
      <c r="P500" t="n">
        <v>0</v>
      </c>
      <c r="Q500" t="n">
        <v>0</v>
      </c>
      <c r="R500" s="2" t="inlineStr"/>
    </row>
    <row r="501" ht="15" customHeight="1">
      <c r="A501" t="inlineStr">
        <is>
          <t>A 52801-2023</t>
        </is>
      </c>
      <c r="B501" s="1" t="n">
        <v>45219</v>
      </c>
      <c r="C501" s="1" t="n">
        <v>45989</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45768-2023</t>
        </is>
      </c>
      <c r="B502" s="1" t="n">
        <v>45195</v>
      </c>
      <c r="C502" s="1" t="n">
        <v>45989</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41306-2024</t>
        </is>
      </c>
      <c r="B503" s="1" t="n">
        <v>45559.62550925926</v>
      </c>
      <c r="C503" s="1" t="n">
        <v>45989</v>
      </c>
      <c r="D503" t="inlineStr">
        <is>
          <t>DALARNAS LÄN</t>
        </is>
      </c>
      <c r="E503" t="inlineStr">
        <is>
          <t>LEKSAND</t>
        </is>
      </c>
      <c r="G503" t="n">
        <v>0.5</v>
      </c>
      <c r="H503" t="n">
        <v>0</v>
      </c>
      <c r="I503" t="n">
        <v>0</v>
      </c>
      <c r="J503" t="n">
        <v>0</v>
      </c>
      <c r="K503" t="n">
        <v>0</v>
      </c>
      <c r="L503" t="n">
        <v>0</v>
      </c>
      <c r="M503" t="n">
        <v>0</v>
      </c>
      <c r="N503" t="n">
        <v>0</v>
      </c>
      <c r="O503" t="n">
        <v>0</v>
      </c>
      <c r="P503" t="n">
        <v>0</v>
      </c>
      <c r="Q503" t="n">
        <v>0</v>
      </c>
      <c r="R503" s="2" t="inlineStr"/>
    </row>
    <row r="504" ht="15" customHeight="1">
      <c r="A504" t="inlineStr">
        <is>
          <t>A 36450-2023</t>
        </is>
      </c>
      <c r="B504" s="1" t="n">
        <v>45152.64842592592</v>
      </c>
      <c r="C504" s="1" t="n">
        <v>45989</v>
      </c>
      <c r="D504" t="inlineStr">
        <is>
          <t>DALARNAS LÄN</t>
        </is>
      </c>
      <c r="E504" t="inlineStr">
        <is>
          <t>LEKSAND</t>
        </is>
      </c>
      <c r="G504" t="n">
        <v>2.4</v>
      </c>
      <c r="H504" t="n">
        <v>0</v>
      </c>
      <c r="I504" t="n">
        <v>0</v>
      </c>
      <c r="J504" t="n">
        <v>0</v>
      </c>
      <c r="K504" t="n">
        <v>0</v>
      </c>
      <c r="L504" t="n">
        <v>0</v>
      </c>
      <c r="M504" t="n">
        <v>0</v>
      </c>
      <c r="N504" t="n">
        <v>0</v>
      </c>
      <c r="O504" t="n">
        <v>0</v>
      </c>
      <c r="P504" t="n">
        <v>0</v>
      </c>
      <c r="Q504" t="n">
        <v>0</v>
      </c>
      <c r="R504" s="2" t="inlineStr"/>
    </row>
    <row r="505" ht="15" customHeight="1">
      <c r="A505" t="inlineStr">
        <is>
          <t>A 1458-2024</t>
        </is>
      </c>
      <c r="B505" s="1" t="n">
        <v>45303</v>
      </c>
      <c r="C505" s="1" t="n">
        <v>45989</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1461-2024</t>
        </is>
      </c>
      <c r="B506" s="1" t="n">
        <v>45303</v>
      </c>
      <c r="C506" s="1" t="n">
        <v>45989</v>
      </c>
      <c r="D506" t="inlineStr">
        <is>
          <t>DALARNAS LÄN</t>
        </is>
      </c>
      <c r="E506" t="inlineStr">
        <is>
          <t>LEKSAND</t>
        </is>
      </c>
      <c r="G506" t="n">
        <v>2.4</v>
      </c>
      <c r="H506" t="n">
        <v>0</v>
      </c>
      <c r="I506" t="n">
        <v>0</v>
      </c>
      <c r="J506" t="n">
        <v>0</v>
      </c>
      <c r="K506" t="n">
        <v>0</v>
      </c>
      <c r="L506" t="n">
        <v>0</v>
      </c>
      <c r="M506" t="n">
        <v>0</v>
      </c>
      <c r="N506" t="n">
        <v>0</v>
      </c>
      <c r="O506" t="n">
        <v>0</v>
      </c>
      <c r="P506" t="n">
        <v>0</v>
      </c>
      <c r="Q506" t="n">
        <v>0</v>
      </c>
      <c r="R506" s="2" t="inlineStr"/>
    </row>
    <row r="507" ht="15" customHeight="1">
      <c r="A507" t="inlineStr">
        <is>
          <t>A 3737-2023</t>
        </is>
      </c>
      <c r="B507" s="1" t="n">
        <v>44951.42983796296</v>
      </c>
      <c r="C507" s="1" t="n">
        <v>45989</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11678-2023</t>
        </is>
      </c>
      <c r="B508" s="1" t="n">
        <v>44994</v>
      </c>
      <c r="C508" s="1" t="n">
        <v>45989</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13288-2023</t>
        </is>
      </c>
      <c r="B509" s="1" t="n">
        <v>45004.8160300926</v>
      </c>
      <c r="C509" s="1" t="n">
        <v>45989</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11869-2024</t>
        </is>
      </c>
      <c r="B510" s="1" t="n">
        <v>45376.45800925926</v>
      </c>
      <c r="C510" s="1" t="n">
        <v>45989</v>
      </c>
      <c r="D510" t="inlineStr">
        <is>
          <t>DALARNAS LÄN</t>
        </is>
      </c>
      <c r="E510" t="inlineStr">
        <is>
          <t>LEKSAND</t>
        </is>
      </c>
      <c r="G510" t="n">
        <v>0.5</v>
      </c>
      <c r="H510" t="n">
        <v>0</v>
      </c>
      <c r="I510" t="n">
        <v>0</v>
      </c>
      <c r="J510" t="n">
        <v>0</v>
      </c>
      <c r="K510" t="n">
        <v>0</v>
      </c>
      <c r="L510" t="n">
        <v>0</v>
      </c>
      <c r="M510" t="n">
        <v>0</v>
      </c>
      <c r="N510" t="n">
        <v>0</v>
      </c>
      <c r="O510" t="n">
        <v>0</v>
      </c>
      <c r="P510" t="n">
        <v>0</v>
      </c>
      <c r="Q510" t="n">
        <v>0</v>
      </c>
      <c r="R510" s="2" t="inlineStr"/>
    </row>
    <row r="511" ht="15" customHeight="1">
      <c r="A511" t="inlineStr">
        <is>
          <t>A 27520-2023</t>
        </is>
      </c>
      <c r="B511" s="1" t="n">
        <v>45097</v>
      </c>
      <c r="C511" s="1" t="n">
        <v>45989</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30169-2023</t>
        </is>
      </c>
      <c r="B512" s="1" t="n">
        <v>45110</v>
      </c>
      <c r="C512" s="1" t="n">
        <v>45989</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37952-2024</t>
        </is>
      </c>
      <c r="B513" s="1" t="n">
        <v>45544.5200462963</v>
      </c>
      <c r="C513" s="1" t="n">
        <v>45989</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3352-2024</t>
        </is>
      </c>
      <c r="B514" s="1" t="n">
        <v>45317</v>
      </c>
      <c r="C514" s="1" t="n">
        <v>45989</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31391-2024</t>
        </is>
      </c>
      <c r="B515" s="1" t="n">
        <v>45505.46616898148</v>
      </c>
      <c r="C515" s="1" t="n">
        <v>45989</v>
      </c>
      <c r="D515" t="inlineStr">
        <is>
          <t>DALARNAS LÄN</t>
        </is>
      </c>
      <c r="E515" t="inlineStr">
        <is>
          <t>LEKSAND</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11004-2023</t>
        </is>
      </c>
      <c r="B516" s="1" t="n">
        <v>44986</v>
      </c>
      <c r="C516" s="1" t="n">
        <v>45989</v>
      </c>
      <c r="D516" t="inlineStr">
        <is>
          <t>DALARNAS LÄN</t>
        </is>
      </c>
      <c r="E516" t="inlineStr">
        <is>
          <t>LEKSAND</t>
        </is>
      </c>
      <c r="G516" t="n">
        <v>1.3</v>
      </c>
      <c r="H516" t="n">
        <v>0</v>
      </c>
      <c r="I516" t="n">
        <v>0</v>
      </c>
      <c r="J516" t="n">
        <v>0</v>
      </c>
      <c r="K516" t="n">
        <v>0</v>
      </c>
      <c r="L516" t="n">
        <v>0</v>
      </c>
      <c r="M516" t="n">
        <v>0</v>
      </c>
      <c r="N516" t="n">
        <v>0</v>
      </c>
      <c r="O516" t="n">
        <v>0</v>
      </c>
      <c r="P516" t="n">
        <v>0</v>
      </c>
      <c r="Q516" t="n">
        <v>0</v>
      </c>
      <c r="R516" s="2" t="inlineStr"/>
    </row>
    <row r="517" ht="15" customHeight="1">
      <c r="A517" t="inlineStr">
        <is>
          <t>A 27244-2023</t>
        </is>
      </c>
      <c r="B517" s="1" t="n">
        <v>45096</v>
      </c>
      <c r="C517" s="1" t="n">
        <v>45989</v>
      </c>
      <c r="D517" t="inlineStr">
        <is>
          <t>DALARNAS LÄN</t>
        </is>
      </c>
      <c r="E517" t="inlineStr">
        <is>
          <t>LEKSAND</t>
        </is>
      </c>
      <c r="G517" t="n">
        <v>5</v>
      </c>
      <c r="H517" t="n">
        <v>0</v>
      </c>
      <c r="I517" t="n">
        <v>0</v>
      </c>
      <c r="J517" t="n">
        <v>0</v>
      </c>
      <c r="K517" t="n">
        <v>0</v>
      </c>
      <c r="L517" t="n">
        <v>0</v>
      </c>
      <c r="M517" t="n">
        <v>0</v>
      </c>
      <c r="N517" t="n">
        <v>0</v>
      </c>
      <c r="O517" t="n">
        <v>0</v>
      </c>
      <c r="P517" t="n">
        <v>0</v>
      </c>
      <c r="Q517" t="n">
        <v>0</v>
      </c>
      <c r="R517" s="2" t="inlineStr"/>
    </row>
    <row r="518" ht="15" customHeight="1">
      <c r="A518" t="inlineStr">
        <is>
          <t>A 18107-2025</t>
        </is>
      </c>
      <c r="B518" s="1" t="n">
        <v>45761.55939814815</v>
      </c>
      <c r="C518" s="1" t="n">
        <v>45989</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16051-2023</t>
        </is>
      </c>
      <c r="B519" s="1" t="n">
        <v>45027</v>
      </c>
      <c r="C519" s="1" t="n">
        <v>45989</v>
      </c>
      <c r="D519" t="inlineStr">
        <is>
          <t>DALARNAS LÄN</t>
        </is>
      </c>
      <c r="E519" t="inlineStr">
        <is>
          <t>LEKSAND</t>
        </is>
      </c>
      <c r="G519" t="n">
        <v>0.7</v>
      </c>
      <c r="H519" t="n">
        <v>0</v>
      </c>
      <c r="I519" t="n">
        <v>0</v>
      </c>
      <c r="J519" t="n">
        <v>0</v>
      </c>
      <c r="K519" t="n">
        <v>0</v>
      </c>
      <c r="L519" t="n">
        <v>0</v>
      </c>
      <c r="M519" t="n">
        <v>0</v>
      </c>
      <c r="N519" t="n">
        <v>0</v>
      </c>
      <c r="O519" t="n">
        <v>0</v>
      </c>
      <c r="P519" t="n">
        <v>0</v>
      </c>
      <c r="Q519" t="n">
        <v>0</v>
      </c>
      <c r="R519" s="2" t="inlineStr"/>
    </row>
    <row r="520" ht="15" customHeight="1">
      <c r="A520" t="inlineStr">
        <is>
          <t>A 56059-2024</t>
        </is>
      </c>
      <c r="B520" s="1" t="n">
        <v>45624.36729166667</v>
      </c>
      <c r="C520" s="1" t="n">
        <v>45989</v>
      </c>
      <c r="D520" t="inlineStr">
        <is>
          <t>DALARNAS LÄN</t>
        </is>
      </c>
      <c r="E520" t="inlineStr">
        <is>
          <t>LEKSAND</t>
        </is>
      </c>
      <c r="G520" t="n">
        <v>3.1</v>
      </c>
      <c r="H520" t="n">
        <v>0</v>
      </c>
      <c r="I520" t="n">
        <v>0</v>
      </c>
      <c r="J520" t="n">
        <v>0</v>
      </c>
      <c r="K520" t="n">
        <v>0</v>
      </c>
      <c r="L520" t="n">
        <v>0</v>
      </c>
      <c r="M520" t="n">
        <v>0</v>
      </c>
      <c r="N520" t="n">
        <v>0</v>
      </c>
      <c r="O520" t="n">
        <v>0</v>
      </c>
      <c r="P520" t="n">
        <v>0</v>
      </c>
      <c r="Q520" t="n">
        <v>0</v>
      </c>
      <c r="R520" s="2" t="inlineStr"/>
    </row>
    <row r="521" ht="15" customHeight="1">
      <c r="A521" t="inlineStr">
        <is>
          <t>A 2579-2022</t>
        </is>
      </c>
      <c r="B521" s="1" t="n">
        <v>44580</v>
      </c>
      <c r="C521" s="1" t="n">
        <v>45989</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49395-2024</t>
        </is>
      </c>
      <c r="B522" s="1" t="n">
        <v>45595</v>
      </c>
      <c r="C522" s="1" t="n">
        <v>45989</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33317-2023</t>
        </is>
      </c>
      <c r="B523" s="1" t="n">
        <v>45127.84586805556</v>
      </c>
      <c r="C523" s="1" t="n">
        <v>45989</v>
      </c>
      <c r="D523" t="inlineStr">
        <is>
          <t>DALARNAS LÄN</t>
        </is>
      </c>
      <c r="E523" t="inlineStr">
        <is>
          <t>LEKSAND</t>
        </is>
      </c>
      <c r="G523" t="n">
        <v>2.7</v>
      </c>
      <c r="H523" t="n">
        <v>0</v>
      </c>
      <c r="I523" t="n">
        <v>0</v>
      </c>
      <c r="J523" t="n">
        <v>0</v>
      </c>
      <c r="K523" t="n">
        <v>0</v>
      </c>
      <c r="L523" t="n">
        <v>0</v>
      </c>
      <c r="M523" t="n">
        <v>0</v>
      </c>
      <c r="N523" t="n">
        <v>0</v>
      </c>
      <c r="O523" t="n">
        <v>0</v>
      </c>
      <c r="P523" t="n">
        <v>0</v>
      </c>
      <c r="Q523" t="n">
        <v>0</v>
      </c>
      <c r="R523" s="2" t="inlineStr"/>
    </row>
    <row r="524" ht="15" customHeight="1">
      <c r="A524" t="inlineStr">
        <is>
          <t>A 33318-2023</t>
        </is>
      </c>
      <c r="B524" s="1" t="n">
        <v>45127</v>
      </c>
      <c r="C524" s="1" t="n">
        <v>45989</v>
      </c>
      <c r="D524" t="inlineStr">
        <is>
          <t>DALARNAS LÄN</t>
        </is>
      </c>
      <c r="E524" t="inlineStr">
        <is>
          <t>LEKSAND</t>
        </is>
      </c>
      <c r="G524" t="n">
        <v>5.5</v>
      </c>
      <c r="H524" t="n">
        <v>0</v>
      </c>
      <c r="I524" t="n">
        <v>0</v>
      </c>
      <c r="J524" t="n">
        <v>0</v>
      </c>
      <c r="K524" t="n">
        <v>0</v>
      </c>
      <c r="L524" t="n">
        <v>0</v>
      </c>
      <c r="M524" t="n">
        <v>0</v>
      </c>
      <c r="N524" t="n">
        <v>0</v>
      </c>
      <c r="O524" t="n">
        <v>0</v>
      </c>
      <c r="P524" t="n">
        <v>0</v>
      </c>
      <c r="Q524" t="n">
        <v>0</v>
      </c>
      <c r="R524" s="2" t="inlineStr"/>
    </row>
    <row r="525" ht="15" customHeight="1">
      <c r="A525" t="inlineStr">
        <is>
          <t>A 40009-2024</t>
        </is>
      </c>
      <c r="B525" s="1" t="n">
        <v>45553.65361111111</v>
      </c>
      <c r="C525" s="1" t="n">
        <v>45989</v>
      </c>
      <c r="D525" t="inlineStr">
        <is>
          <t>DALARNAS LÄN</t>
        </is>
      </c>
      <c r="E525" t="inlineStr">
        <is>
          <t>LEKSAND</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52572-2024</t>
        </is>
      </c>
      <c r="B526" s="1" t="n">
        <v>45609.66488425926</v>
      </c>
      <c r="C526" s="1" t="n">
        <v>45989</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12851-2023</t>
        </is>
      </c>
      <c r="B527" s="1" t="n">
        <v>45001.49347222222</v>
      </c>
      <c r="C527" s="1" t="n">
        <v>45989</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19295-2024</t>
        </is>
      </c>
      <c r="B528" s="1" t="n">
        <v>45428.69106481481</v>
      </c>
      <c r="C528" s="1" t="n">
        <v>45989</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9781-2024</t>
        </is>
      </c>
      <c r="B529" s="1" t="n">
        <v>45362.66299768518</v>
      </c>
      <c r="C529" s="1" t="n">
        <v>45989</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63513-2023</t>
        </is>
      </c>
      <c r="B530" s="1" t="n">
        <v>45274</v>
      </c>
      <c r="C530" s="1" t="n">
        <v>45989</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40230-2023</t>
        </is>
      </c>
      <c r="B531" s="1" t="n">
        <v>45169.46887731482</v>
      </c>
      <c r="C531" s="1" t="n">
        <v>45989</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39819-2024</t>
        </is>
      </c>
      <c r="B532" s="1" t="n">
        <v>45553.38774305556</v>
      </c>
      <c r="C532" s="1" t="n">
        <v>45989</v>
      </c>
      <c r="D532" t="inlineStr">
        <is>
          <t>DALARNAS LÄN</t>
        </is>
      </c>
      <c r="E532" t="inlineStr">
        <is>
          <t>LEKSAND</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52100-2024</t>
        </is>
      </c>
      <c r="B533" s="1" t="n">
        <v>45608.41634259259</v>
      </c>
      <c r="C533" s="1" t="n">
        <v>45989</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4257-2022</t>
        </is>
      </c>
      <c r="B534" s="1" t="n">
        <v>44588</v>
      </c>
      <c r="C534" s="1" t="n">
        <v>45989</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31726-2024</t>
        </is>
      </c>
      <c r="B535" s="1" t="n">
        <v>45509.33908564815</v>
      </c>
      <c r="C535" s="1" t="n">
        <v>45989</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55512-2024</t>
        </is>
      </c>
      <c r="B536" s="1" t="n">
        <v>45621</v>
      </c>
      <c r="C536" s="1" t="n">
        <v>45989</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52059-2024</t>
        </is>
      </c>
      <c r="B537" s="1" t="n">
        <v>45608.35609953704</v>
      </c>
      <c r="C537" s="1" t="n">
        <v>45989</v>
      </c>
      <c r="D537" t="inlineStr">
        <is>
          <t>DALARNAS LÄN</t>
        </is>
      </c>
      <c r="E537" t="inlineStr">
        <is>
          <t>LEKSAND</t>
        </is>
      </c>
      <c r="G537" t="n">
        <v>0.8</v>
      </c>
      <c r="H537" t="n">
        <v>0</v>
      </c>
      <c r="I537" t="n">
        <v>0</v>
      </c>
      <c r="J537" t="n">
        <v>0</v>
      </c>
      <c r="K537" t="n">
        <v>0</v>
      </c>
      <c r="L537" t="n">
        <v>0</v>
      </c>
      <c r="M537" t="n">
        <v>0</v>
      </c>
      <c r="N537" t="n">
        <v>0</v>
      </c>
      <c r="O537" t="n">
        <v>0</v>
      </c>
      <c r="P537" t="n">
        <v>0</v>
      </c>
      <c r="Q537" t="n">
        <v>0</v>
      </c>
      <c r="R537" s="2" t="inlineStr"/>
    </row>
    <row r="538" ht="15" customHeight="1">
      <c r="A538" t="inlineStr">
        <is>
          <t>A 12992-2022</t>
        </is>
      </c>
      <c r="B538" s="1" t="n">
        <v>44643</v>
      </c>
      <c r="C538" s="1" t="n">
        <v>45989</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11712-2025</t>
        </is>
      </c>
      <c r="B539" s="1" t="n">
        <v>45727</v>
      </c>
      <c r="C539" s="1" t="n">
        <v>45989</v>
      </c>
      <c r="D539" t="inlineStr">
        <is>
          <t>DALARNAS LÄN</t>
        </is>
      </c>
      <c r="E539" t="inlineStr">
        <is>
          <t>LEKSAND</t>
        </is>
      </c>
      <c r="G539" t="n">
        <v>6</v>
      </c>
      <c r="H539" t="n">
        <v>0</v>
      </c>
      <c r="I539" t="n">
        <v>0</v>
      </c>
      <c r="J539" t="n">
        <v>0</v>
      </c>
      <c r="K539" t="n">
        <v>0</v>
      </c>
      <c r="L539" t="n">
        <v>0</v>
      </c>
      <c r="M539" t="n">
        <v>0</v>
      </c>
      <c r="N539" t="n">
        <v>0</v>
      </c>
      <c r="O539" t="n">
        <v>0</v>
      </c>
      <c r="P539" t="n">
        <v>0</v>
      </c>
      <c r="Q539" t="n">
        <v>0</v>
      </c>
      <c r="R539" s="2" t="inlineStr"/>
    </row>
    <row r="540" ht="15" customHeight="1">
      <c r="A540" t="inlineStr">
        <is>
          <t>A 24003-2024</t>
        </is>
      </c>
      <c r="B540" s="1" t="n">
        <v>45456.39003472222</v>
      </c>
      <c r="C540" s="1" t="n">
        <v>45989</v>
      </c>
      <c r="D540" t="inlineStr">
        <is>
          <t>DALARNAS LÄN</t>
        </is>
      </c>
      <c r="E540" t="inlineStr">
        <is>
          <t>LEKSAND</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40642-2023</t>
        </is>
      </c>
      <c r="B541" s="1" t="n">
        <v>45169</v>
      </c>
      <c r="C541" s="1" t="n">
        <v>45989</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47854-2023</t>
        </is>
      </c>
      <c r="B542" s="1" t="n">
        <v>45198</v>
      </c>
      <c r="C542" s="1" t="n">
        <v>45989</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39136-2023</t>
        </is>
      </c>
      <c r="B543" s="1" t="n">
        <v>45165</v>
      </c>
      <c r="C543" s="1" t="n">
        <v>45989</v>
      </c>
      <c r="D543" t="inlineStr">
        <is>
          <t>DALARNAS LÄN</t>
        </is>
      </c>
      <c r="E543" t="inlineStr">
        <is>
          <t>LEKSAND</t>
        </is>
      </c>
      <c r="G543" t="n">
        <v>0.3</v>
      </c>
      <c r="H543" t="n">
        <v>0</v>
      </c>
      <c r="I543" t="n">
        <v>0</v>
      </c>
      <c r="J543" t="n">
        <v>0</v>
      </c>
      <c r="K543" t="n">
        <v>0</v>
      </c>
      <c r="L543" t="n">
        <v>0</v>
      </c>
      <c r="M543" t="n">
        <v>0</v>
      </c>
      <c r="N543" t="n">
        <v>0</v>
      </c>
      <c r="O543" t="n">
        <v>0</v>
      </c>
      <c r="P543" t="n">
        <v>0</v>
      </c>
      <c r="Q543" t="n">
        <v>0</v>
      </c>
      <c r="R543" s="2" t="inlineStr"/>
    </row>
    <row r="544" ht="15" customHeight="1">
      <c r="A544" t="inlineStr">
        <is>
          <t>A 44469-2024</t>
        </is>
      </c>
      <c r="B544" s="1" t="n">
        <v>45574</v>
      </c>
      <c r="C544" s="1" t="n">
        <v>45989</v>
      </c>
      <c r="D544" t="inlineStr">
        <is>
          <t>DALARNAS LÄN</t>
        </is>
      </c>
      <c r="E544" t="inlineStr">
        <is>
          <t>LEKSAND</t>
        </is>
      </c>
      <c r="G544" t="n">
        <v>2</v>
      </c>
      <c r="H544" t="n">
        <v>0</v>
      </c>
      <c r="I544" t="n">
        <v>0</v>
      </c>
      <c r="J544" t="n">
        <v>0</v>
      </c>
      <c r="K544" t="n">
        <v>0</v>
      </c>
      <c r="L544" t="n">
        <v>0</v>
      </c>
      <c r="M544" t="n">
        <v>0</v>
      </c>
      <c r="N544" t="n">
        <v>0</v>
      </c>
      <c r="O544" t="n">
        <v>0</v>
      </c>
      <c r="P544" t="n">
        <v>0</v>
      </c>
      <c r="Q544" t="n">
        <v>0</v>
      </c>
      <c r="R544" s="2" t="inlineStr"/>
    </row>
    <row r="545" ht="15" customHeight="1">
      <c r="A545" t="inlineStr">
        <is>
          <t>A 52293-2024</t>
        </is>
      </c>
      <c r="B545" s="1" t="n">
        <v>45608.71297453704</v>
      </c>
      <c r="C545" s="1" t="n">
        <v>45989</v>
      </c>
      <c r="D545" t="inlineStr">
        <is>
          <t>DALARNAS LÄN</t>
        </is>
      </c>
      <c r="E545" t="inlineStr">
        <is>
          <t>LEKSAND</t>
        </is>
      </c>
      <c r="G545" t="n">
        <v>1.6</v>
      </c>
      <c r="H545" t="n">
        <v>0</v>
      </c>
      <c r="I545" t="n">
        <v>0</v>
      </c>
      <c r="J545" t="n">
        <v>0</v>
      </c>
      <c r="K545" t="n">
        <v>0</v>
      </c>
      <c r="L545" t="n">
        <v>0</v>
      </c>
      <c r="M545" t="n">
        <v>0</v>
      </c>
      <c r="N545" t="n">
        <v>0</v>
      </c>
      <c r="O545" t="n">
        <v>0</v>
      </c>
      <c r="P545" t="n">
        <v>0</v>
      </c>
      <c r="Q545" t="n">
        <v>0</v>
      </c>
      <c r="R545" s="2" t="inlineStr"/>
    </row>
    <row r="546" ht="15" customHeight="1">
      <c r="A546" t="inlineStr">
        <is>
          <t>A 46876-2023</t>
        </is>
      </c>
      <c r="B546" s="1" t="n">
        <v>45200</v>
      </c>
      <c r="C546" s="1" t="n">
        <v>45989</v>
      </c>
      <c r="D546" t="inlineStr">
        <is>
          <t>DALARNAS LÄN</t>
        </is>
      </c>
      <c r="E546" t="inlineStr">
        <is>
          <t>LEKSAND</t>
        </is>
      </c>
      <c r="G546" t="n">
        <v>2.4</v>
      </c>
      <c r="H546" t="n">
        <v>0</v>
      </c>
      <c r="I546" t="n">
        <v>0</v>
      </c>
      <c r="J546" t="n">
        <v>0</v>
      </c>
      <c r="K546" t="n">
        <v>0</v>
      </c>
      <c r="L546" t="n">
        <v>0</v>
      </c>
      <c r="M546" t="n">
        <v>0</v>
      </c>
      <c r="N546" t="n">
        <v>0</v>
      </c>
      <c r="O546" t="n">
        <v>0</v>
      </c>
      <c r="P546" t="n">
        <v>0</v>
      </c>
      <c r="Q546" t="n">
        <v>0</v>
      </c>
      <c r="R546" s="2" t="inlineStr"/>
    </row>
    <row r="547" ht="15" customHeight="1">
      <c r="A547" t="inlineStr">
        <is>
          <t>A 9857-2025</t>
        </is>
      </c>
      <c r="B547" s="1" t="n">
        <v>45716.62609953704</v>
      </c>
      <c r="C547" s="1" t="n">
        <v>45989</v>
      </c>
      <c r="D547" t="inlineStr">
        <is>
          <t>DALARNAS LÄN</t>
        </is>
      </c>
      <c r="E547" t="inlineStr">
        <is>
          <t>LEKSAND</t>
        </is>
      </c>
      <c r="G547" t="n">
        <v>1.7</v>
      </c>
      <c r="H547" t="n">
        <v>0</v>
      </c>
      <c r="I547" t="n">
        <v>0</v>
      </c>
      <c r="J547" t="n">
        <v>0</v>
      </c>
      <c r="K547" t="n">
        <v>0</v>
      </c>
      <c r="L547" t="n">
        <v>0</v>
      </c>
      <c r="M547" t="n">
        <v>0</v>
      </c>
      <c r="N547" t="n">
        <v>0</v>
      </c>
      <c r="O547" t="n">
        <v>0</v>
      </c>
      <c r="P547" t="n">
        <v>0</v>
      </c>
      <c r="Q547" t="n">
        <v>0</v>
      </c>
      <c r="R547" s="2" t="inlineStr"/>
    </row>
    <row r="548" ht="15" customHeight="1">
      <c r="A548" t="inlineStr">
        <is>
          <t>A 40181-2023</t>
        </is>
      </c>
      <c r="B548" s="1" t="n">
        <v>45169</v>
      </c>
      <c r="C548" s="1" t="n">
        <v>45989</v>
      </c>
      <c r="D548" t="inlineStr">
        <is>
          <t>DALARNAS LÄN</t>
        </is>
      </c>
      <c r="E548" t="inlineStr">
        <is>
          <t>LEKSAND</t>
        </is>
      </c>
      <c r="G548" t="n">
        <v>2.8</v>
      </c>
      <c r="H548" t="n">
        <v>0</v>
      </c>
      <c r="I548" t="n">
        <v>0</v>
      </c>
      <c r="J548" t="n">
        <v>0</v>
      </c>
      <c r="K548" t="n">
        <v>0</v>
      </c>
      <c r="L548" t="n">
        <v>0</v>
      </c>
      <c r="M548" t="n">
        <v>0</v>
      </c>
      <c r="N548" t="n">
        <v>0</v>
      </c>
      <c r="O548" t="n">
        <v>0</v>
      </c>
      <c r="P548" t="n">
        <v>0</v>
      </c>
      <c r="Q548" t="n">
        <v>0</v>
      </c>
      <c r="R548" s="2" t="inlineStr"/>
    </row>
    <row r="549" ht="15" customHeight="1">
      <c r="A549" t="inlineStr">
        <is>
          <t>A 1267-2025</t>
        </is>
      </c>
      <c r="B549" s="1" t="n">
        <v>45667</v>
      </c>
      <c r="C549" s="1" t="n">
        <v>45989</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42230-2023</t>
        </is>
      </c>
      <c r="B550" s="1" t="n">
        <v>45180</v>
      </c>
      <c r="C550" s="1" t="n">
        <v>45989</v>
      </c>
      <c r="D550" t="inlineStr">
        <is>
          <t>DALARNAS LÄN</t>
        </is>
      </c>
      <c r="E550" t="inlineStr">
        <is>
          <t>LEKSAND</t>
        </is>
      </c>
      <c r="G550" t="n">
        <v>0.6</v>
      </c>
      <c r="H550" t="n">
        <v>0</v>
      </c>
      <c r="I550" t="n">
        <v>0</v>
      </c>
      <c r="J550" t="n">
        <v>0</v>
      </c>
      <c r="K550" t="n">
        <v>0</v>
      </c>
      <c r="L550" t="n">
        <v>0</v>
      </c>
      <c r="M550" t="n">
        <v>0</v>
      </c>
      <c r="N550" t="n">
        <v>0</v>
      </c>
      <c r="O550" t="n">
        <v>0</v>
      </c>
      <c r="P550" t="n">
        <v>0</v>
      </c>
      <c r="Q550" t="n">
        <v>0</v>
      </c>
      <c r="R550" s="2" t="inlineStr"/>
    </row>
    <row r="551" ht="15" customHeight="1">
      <c r="A551" t="inlineStr">
        <is>
          <t>A 3183-2025</t>
        </is>
      </c>
      <c r="B551" s="1" t="n">
        <v>45679.40298611111</v>
      </c>
      <c r="C551" s="1" t="n">
        <v>45989</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59751-2024</t>
        </is>
      </c>
      <c r="B552" s="1" t="n">
        <v>45638</v>
      </c>
      <c r="C552" s="1" t="n">
        <v>45989</v>
      </c>
      <c r="D552" t="inlineStr">
        <is>
          <t>DALARNAS LÄN</t>
        </is>
      </c>
      <c r="E552" t="inlineStr">
        <is>
          <t>LEKSAND</t>
        </is>
      </c>
      <c r="G552" t="n">
        <v>5.2</v>
      </c>
      <c r="H552" t="n">
        <v>0</v>
      </c>
      <c r="I552" t="n">
        <v>0</v>
      </c>
      <c r="J552" t="n">
        <v>0</v>
      </c>
      <c r="K552" t="n">
        <v>0</v>
      </c>
      <c r="L552" t="n">
        <v>0</v>
      </c>
      <c r="M552" t="n">
        <v>0</v>
      </c>
      <c r="N552" t="n">
        <v>0</v>
      </c>
      <c r="O552" t="n">
        <v>0</v>
      </c>
      <c r="P552" t="n">
        <v>0</v>
      </c>
      <c r="Q552" t="n">
        <v>0</v>
      </c>
      <c r="R552" s="2" t="inlineStr"/>
    </row>
    <row r="553" ht="15" customHeight="1">
      <c r="A553" t="inlineStr">
        <is>
          <t>A 54917-2024</t>
        </is>
      </c>
      <c r="B553" s="1" t="n">
        <v>45618.69581018519</v>
      </c>
      <c r="C553" s="1" t="n">
        <v>45989</v>
      </c>
      <c r="D553" t="inlineStr">
        <is>
          <t>DALARNAS LÄN</t>
        </is>
      </c>
      <c r="E553" t="inlineStr">
        <is>
          <t>LEKSAND</t>
        </is>
      </c>
      <c r="G553" t="n">
        <v>1.2</v>
      </c>
      <c r="H553" t="n">
        <v>0</v>
      </c>
      <c r="I553" t="n">
        <v>0</v>
      </c>
      <c r="J553" t="n">
        <v>0</v>
      </c>
      <c r="K553" t="n">
        <v>0</v>
      </c>
      <c r="L553" t="n">
        <v>0</v>
      </c>
      <c r="M553" t="n">
        <v>0</v>
      </c>
      <c r="N553" t="n">
        <v>0</v>
      </c>
      <c r="O553" t="n">
        <v>0</v>
      </c>
      <c r="P553" t="n">
        <v>0</v>
      </c>
      <c r="Q553" t="n">
        <v>0</v>
      </c>
      <c r="R553" s="2" t="inlineStr"/>
    </row>
    <row r="554" ht="15" customHeight="1">
      <c r="A554" t="inlineStr">
        <is>
          <t>A 19700-2025</t>
        </is>
      </c>
      <c r="B554" s="1" t="n">
        <v>45771.32445601852</v>
      </c>
      <c r="C554" s="1" t="n">
        <v>45989</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8045-2024</t>
        </is>
      </c>
      <c r="B555" s="1" t="n">
        <v>45351.31371527778</v>
      </c>
      <c r="C555" s="1" t="n">
        <v>45989</v>
      </c>
      <c r="D555" t="inlineStr">
        <is>
          <t>DALARNAS LÄN</t>
        </is>
      </c>
      <c r="E555" t="inlineStr">
        <is>
          <t>LEKSAND</t>
        </is>
      </c>
      <c r="G555" t="n">
        <v>6.7</v>
      </c>
      <c r="H555" t="n">
        <v>0</v>
      </c>
      <c r="I555" t="n">
        <v>0</v>
      </c>
      <c r="J555" t="n">
        <v>0</v>
      </c>
      <c r="K555" t="n">
        <v>0</v>
      </c>
      <c r="L555" t="n">
        <v>0</v>
      </c>
      <c r="M555" t="n">
        <v>0</v>
      </c>
      <c r="N555" t="n">
        <v>0</v>
      </c>
      <c r="O555" t="n">
        <v>0</v>
      </c>
      <c r="P555" t="n">
        <v>0</v>
      </c>
      <c r="Q555" t="n">
        <v>0</v>
      </c>
      <c r="R555" s="2" t="inlineStr"/>
    </row>
    <row r="556" ht="15" customHeight="1">
      <c r="A556" t="inlineStr">
        <is>
          <t>A 776-2021</t>
        </is>
      </c>
      <c r="B556" s="1" t="n">
        <v>44203</v>
      </c>
      <c r="C556" s="1" t="n">
        <v>45989</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57013-2023</t>
        </is>
      </c>
      <c r="B557" s="1" t="n">
        <v>45244</v>
      </c>
      <c r="C557" s="1" t="n">
        <v>45989</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37832-2023</t>
        </is>
      </c>
      <c r="B558" s="1" t="n">
        <v>45160.3479050926</v>
      </c>
      <c r="C558" s="1" t="n">
        <v>45989</v>
      </c>
      <c r="D558" t="inlineStr">
        <is>
          <t>DALARNAS LÄN</t>
        </is>
      </c>
      <c r="E558" t="inlineStr">
        <is>
          <t>LEKSAND</t>
        </is>
      </c>
      <c r="G558" t="n">
        <v>2</v>
      </c>
      <c r="H558" t="n">
        <v>0</v>
      </c>
      <c r="I558" t="n">
        <v>0</v>
      </c>
      <c r="J558" t="n">
        <v>0</v>
      </c>
      <c r="K558" t="n">
        <v>0</v>
      </c>
      <c r="L558" t="n">
        <v>0</v>
      </c>
      <c r="M558" t="n">
        <v>0</v>
      </c>
      <c r="N558" t="n">
        <v>0</v>
      </c>
      <c r="O558" t="n">
        <v>0</v>
      </c>
      <c r="P558" t="n">
        <v>0</v>
      </c>
      <c r="Q558" t="n">
        <v>0</v>
      </c>
      <c r="R558" s="2" t="inlineStr"/>
    </row>
    <row r="559" ht="15" customHeight="1">
      <c r="A559" t="inlineStr">
        <is>
          <t>A 18040-2024</t>
        </is>
      </c>
      <c r="B559" s="1" t="n">
        <v>45420.36664351852</v>
      </c>
      <c r="C559" s="1" t="n">
        <v>45989</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6778-2025</t>
        </is>
      </c>
      <c r="B560" s="1" t="n">
        <v>45700.64615740741</v>
      </c>
      <c r="C560" s="1" t="n">
        <v>45989</v>
      </c>
      <c r="D560" t="inlineStr">
        <is>
          <t>DALARNAS LÄN</t>
        </is>
      </c>
      <c r="E560" t="inlineStr">
        <is>
          <t>LEKSAND</t>
        </is>
      </c>
      <c r="G560" t="n">
        <v>2.4</v>
      </c>
      <c r="H560" t="n">
        <v>0</v>
      </c>
      <c r="I560" t="n">
        <v>0</v>
      </c>
      <c r="J560" t="n">
        <v>0</v>
      </c>
      <c r="K560" t="n">
        <v>0</v>
      </c>
      <c r="L560" t="n">
        <v>0</v>
      </c>
      <c r="M560" t="n">
        <v>0</v>
      </c>
      <c r="N560" t="n">
        <v>0</v>
      </c>
      <c r="O560" t="n">
        <v>0</v>
      </c>
      <c r="P560" t="n">
        <v>0</v>
      </c>
      <c r="Q560" t="n">
        <v>0</v>
      </c>
      <c r="R560" s="2" t="inlineStr"/>
    </row>
    <row r="561" ht="15" customHeight="1">
      <c r="A561" t="inlineStr">
        <is>
          <t>A 43419-2024</t>
        </is>
      </c>
      <c r="B561" s="1" t="n">
        <v>45568</v>
      </c>
      <c r="C561" s="1" t="n">
        <v>45989</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39595-2023</t>
        </is>
      </c>
      <c r="B562" s="1" t="n">
        <v>45167</v>
      </c>
      <c r="C562" s="1" t="n">
        <v>45989</v>
      </c>
      <c r="D562" t="inlineStr">
        <is>
          <t>DALARNAS LÄN</t>
        </is>
      </c>
      <c r="E562" t="inlineStr">
        <is>
          <t>LEKSAND</t>
        </is>
      </c>
      <c r="G562" t="n">
        <v>0.9</v>
      </c>
      <c r="H562" t="n">
        <v>0</v>
      </c>
      <c r="I562" t="n">
        <v>0</v>
      </c>
      <c r="J562" t="n">
        <v>0</v>
      </c>
      <c r="K562" t="n">
        <v>0</v>
      </c>
      <c r="L562" t="n">
        <v>0</v>
      </c>
      <c r="M562" t="n">
        <v>0</v>
      </c>
      <c r="N562" t="n">
        <v>0</v>
      </c>
      <c r="O562" t="n">
        <v>0</v>
      </c>
      <c r="P562" t="n">
        <v>0</v>
      </c>
      <c r="Q562" t="n">
        <v>0</v>
      </c>
      <c r="R562" s="2" t="inlineStr"/>
    </row>
    <row r="563" ht="15" customHeight="1">
      <c r="A563" t="inlineStr">
        <is>
          <t>A 24481-2024</t>
        </is>
      </c>
      <c r="B563" s="1" t="n">
        <v>45459.36460648148</v>
      </c>
      <c r="C563" s="1" t="n">
        <v>45989</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17606-2024</t>
        </is>
      </c>
      <c r="B564" s="1" t="n">
        <v>45415</v>
      </c>
      <c r="C564" s="1" t="n">
        <v>45989</v>
      </c>
      <c r="D564" t="inlineStr">
        <is>
          <t>DALARNAS LÄN</t>
        </is>
      </c>
      <c r="E564" t="inlineStr">
        <is>
          <t>LEKSAND</t>
        </is>
      </c>
      <c r="G564" t="n">
        <v>0.6</v>
      </c>
      <c r="H564" t="n">
        <v>0</v>
      </c>
      <c r="I564" t="n">
        <v>0</v>
      </c>
      <c r="J564" t="n">
        <v>0</v>
      </c>
      <c r="K564" t="n">
        <v>0</v>
      </c>
      <c r="L564" t="n">
        <v>0</v>
      </c>
      <c r="M564" t="n">
        <v>0</v>
      </c>
      <c r="N564" t="n">
        <v>0</v>
      </c>
      <c r="O564" t="n">
        <v>0</v>
      </c>
      <c r="P564" t="n">
        <v>0</v>
      </c>
      <c r="Q564" t="n">
        <v>0</v>
      </c>
      <c r="R564" s="2" t="inlineStr"/>
    </row>
    <row r="565" ht="15" customHeight="1">
      <c r="A565" t="inlineStr">
        <is>
          <t>A 34033-2024</t>
        </is>
      </c>
      <c r="B565" s="1" t="n">
        <v>45523.59265046296</v>
      </c>
      <c r="C565" s="1" t="n">
        <v>45989</v>
      </c>
      <c r="D565" t="inlineStr">
        <is>
          <t>DALARNAS LÄN</t>
        </is>
      </c>
      <c r="E565" t="inlineStr">
        <is>
          <t>LEKSAND</t>
        </is>
      </c>
      <c r="G565" t="n">
        <v>2.6</v>
      </c>
      <c r="H565" t="n">
        <v>0</v>
      </c>
      <c r="I565" t="n">
        <v>0</v>
      </c>
      <c r="J565" t="n">
        <v>0</v>
      </c>
      <c r="K565" t="n">
        <v>0</v>
      </c>
      <c r="L565" t="n">
        <v>0</v>
      </c>
      <c r="M565" t="n">
        <v>0</v>
      </c>
      <c r="N565" t="n">
        <v>0</v>
      </c>
      <c r="O565" t="n">
        <v>0</v>
      </c>
      <c r="P565" t="n">
        <v>0</v>
      </c>
      <c r="Q565" t="n">
        <v>0</v>
      </c>
      <c r="R565" s="2" t="inlineStr"/>
    </row>
    <row r="566" ht="15" customHeight="1">
      <c r="A566" t="inlineStr">
        <is>
          <t>A 61054-2023</t>
        </is>
      </c>
      <c r="B566" s="1" t="n">
        <v>45261</v>
      </c>
      <c r="C566" s="1" t="n">
        <v>45989</v>
      </c>
      <c r="D566" t="inlineStr">
        <is>
          <t>DALARNAS LÄN</t>
        </is>
      </c>
      <c r="E566" t="inlineStr">
        <is>
          <t>LEKSAND</t>
        </is>
      </c>
      <c r="G566" t="n">
        <v>0.4</v>
      </c>
      <c r="H566" t="n">
        <v>0</v>
      </c>
      <c r="I566" t="n">
        <v>0</v>
      </c>
      <c r="J566" t="n">
        <v>0</v>
      </c>
      <c r="K566" t="n">
        <v>0</v>
      </c>
      <c r="L566" t="n">
        <v>0</v>
      </c>
      <c r="M566" t="n">
        <v>0</v>
      </c>
      <c r="N566" t="n">
        <v>0</v>
      </c>
      <c r="O566" t="n">
        <v>0</v>
      </c>
      <c r="P566" t="n">
        <v>0</v>
      </c>
      <c r="Q566" t="n">
        <v>0</v>
      </c>
      <c r="R566" s="2" t="inlineStr"/>
    </row>
    <row r="567" ht="15" customHeight="1">
      <c r="A567" t="inlineStr">
        <is>
          <t>A 61056-2023</t>
        </is>
      </c>
      <c r="B567" s="1" t="n">
        <v>45261</v>
      </c>
      <c r="C567" s="1" t="n">
        <v>45989</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7894-2025</t>
        </is>
      </c>
      <c r="B568" s="1" t="n">
        <v>45707.30268518518</v>
      </c>
      <c r="C568" s="1" t="n">
        <v>45989</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58877-2023</t>
        </is>
      </c>
      <c r="B569" s="1" t="n">
        <v>45252</v>
      </c>
      <c r="C569" s="1" t="n">
        <v>45989</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17455-2022</t>
        </is>
      </c>
      <c r="B570" s="1" t="n">
        <v>44679.3775</v>
      </c>
      <c r="C570" s="1" t="n">
        <v>45989</v>
      </c>
      <c r="D570" t="inlineStr">
        <is>
          <t>DALARNAS LÄN</t>
        </is>
      </c>
      <c r="E570" t="inlineStr">
        <is>
          <t>LEKSAND</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60040-2023</t>
        </is>
      </c>
      <c r="B571" s="1" t="n">
        <v>45256</v>
      </c>
      <c r="C571" s="1" t="n">
        <v>45989</v>
      </c>
      <c r="D571" t="inlineStr">
        <is>
          <t>DALARNAS LÄN</t>
        </is>
      </c>
      <c r="E571" t="inlineStr">
        <is>
          <t>LEKSAND</t>
        </is>
      </c>
      <c r="G571" t="n">
        <v>0.9</v>
      </c>
      <c r="H571" t="n">
        <v>0</v>
      </c>
      <c r="I571" t="n">
        <v>0</v>
      </c>
      <c r="J571" t="n">
        <v>0</v>
      </c>
      <c r="K571" t="n">
        <v>0</v>
      </c>
      <c r="L571" t="n">
        <v>0</v>
      </c>
      <c r="M571" t="n">
        <v>0</v>
      </c>
      <c r="N571" t="n">
        <v>0</v>
      </c>
      <c r="O571" t="n">
        <v>0</v>
      </c>
      <c r="P571" t="n">
        <v>0</v>
      </c>
      <c r="Q571" t="n">
        <v>0</v>
      </c>
      <c r="R571" s="2" t="inlineStr"/>
    </row>
    <row r="572" ht="15" customHeight="1">
      <c r="A572" t="inlineStr">
        <is>
          <t>A 33306-2023</t>
        </is>
      </c>
      <c r="B572" s="1" t="n">
        <v>45127</v>
      </c>
      <c r="C572" s="1" t="n">
        <v>45989</v>
      </c>
      <c r="D572" t="inlineStr">
        <is>
          <t>DALARNAS LÄN</t>
        </is>
      </c>
      <c r="E572" t="inlineStr">
        <is>
          <t>LEKSAND</t>
        </is>
      </c>
      <c r="G572" t="n">
        <v>2.2</v>
      </c>
      <c r="H572" t="n">
        <v>0</v>
      </c>
      <c r="I572" t="n">
        <v>0</v>
      </c>
      <c r="J572" t="n">
        <v>0</v>
      </c>
      <c r="K572" t="n">
        <v>0</v>
      </c>
      <c r="L572" t="n">
        <v>0</v>
      </c>
      <c r="M572" t="n">
        <v>0</v>
      </c>
      <c r="N572" t="n">
        <v>0</v>
      </c>
      <c r="O572" t="n">
        <v>0</v>
      </c>
      <c r="P572" t="n">
        <v>0</v>
      </c>
      <c r="Q572" t="n">
        <v>0</v>
      </c>
      <c r="R572" s="2" t="inlineStr"/>
    </row>
    <row r="573" ht="15" customHeight="1">
      <c r="A573" t="inlineStr">
        <is>
          <t>A 33316-2023</t>
        </is>
      </c>
      <c r="B573" s="1" t="n">
        <v>45127</v>
      </c>
      <c r="C573" s="1" t="n">
        <v>45989</v>
      </c>
      <c r="D573" t="inlineStr">
        <is>
          <t>DALARNAS LÄN</t>
        </is>
      </c>
      <c r="E573" t="inlineStr">
        <is>
          <t>LEKSAND</t>
        </is>
      </c>
      <c r="G573" t="n">
        <v>8.9</v>
      </c>
      <c r="H573" t="n">
        <v>0</v>
      </c>
      <c r="I573" t="n">
        <v>0</v>
      </c>
      <c r="J573" t="n">
        <v>0</v>
      </c>
      <c r="K573" t="n">
        <v>0</v>
      </c>
      <c r="L573" t="n">
        <v>0</v>
      </c>
      <c r="M573" t="n">
        <v>0</v>
      </c>
      <c r="N573" t="n">
        <v>0</v>
      </c>
      <c r="O573" t="n">
        <v>0</v>
      </c>
      <c r="P573" t="n">
        <v>0</v>
      </c>
      <c r="Q573" t="n">
        <v>0</v>
      </c>
      <c r="R573" s="2" t="inlineStr"/>
    </row>
    <row r="574" ht="15" customHeight="1">
      <c r="A574" t="inlineStr">
        <is>
          <t>A 22681-2022</t>
        </is>
      </c>
      <c r="B574" s="1" t="n">
        <v>44714.50961805556</v>
      </c>
      <c r="C574" s="1" t="n">
        <v>45989</v>
      </c>
      <c r="D574" t="inlineStr">
        <is>
          <t>DALARNAS LÄN</t>
        </is>
      </c>
      <c r="E574" t="inlineStr">
        <is>
          <t>LEKSAND</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30196-2023</t>
        </is>
      </c>
      <c r="B575" s="1" t="n">
        <v>45110</v>
      </c>
      <c r="C575" s="1" t="n">
        <v>45989</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46446-2023</t>
        </is>
      </c>
      <c r="B576" s="1" t="n">
        <v>45197.59344907408</v>
      </c>
      <c r="C576" s="1" t="n">
        <v>45989</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54682-2023</t>
        </is>
      </c>
      <c r="B577" s="1" t="n">
        <v>45235.90439814814</v>
      </c>
      <c r="C577" s="1" t="n">
        <v>45989</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1463-2024</t>
        </is>
      </c>
      <c r="B578" s="1" t="n">
        <v>45303</v>
      </c>
      <c r="C578" s="1" t="n">
        <v>45989</v>
      </c>
      <c r="D578" t="inlineStr">
        <is>
          <t>DALARNAS LÄN</t>
        </is>
      </c>
      <c r="E578" t="inlineStr">
        <is>
          <t>LEKSAND</t>
        </is>
      </c>
      <c r="G578" t="n">
        <v>1.5</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45109.71128472222</v>
      </c>
      <c r="C579" s="1" t="n">
        <v>45989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17282-2025</t>
        </is>
      </c>
      <c r="B580" s="1" t="n">
        <v>45756.57114583333</v>
      </c>
      <c r="C580" s="1" t="n">
        <v>45989</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12923-2025</t>
        </is>
      </c>
      <c r="B581" s="1" t="n">
        <v>45734.29193287037</v>
      </c>
      <c r="C581" s="1" t="n">
        <v>45989</v>
      </c>
      <c r="D581" t="inlineStr">
        <is>
          <t>DALARNAS LÄN</t>
        </is>
      </c>
      <c r="E581" t="inlineStr">
        <is>
          <t>LEKSAND</t>
        </is>
      </c>
      <c r="G581" t="n">
        <v>7.2</v>
      </c>
      <c r="H581" t="n">
        <v>0</v>
      </c>
      <c r="I581" t="n">
        <v>0</v>
      </c>
      <c r="J581" t="n">
        <v>0</v>
      </c>
      <c r="K581" t="n">
        <v>0</v>
      </c>
      <c r="L581" t="n">
        <v>0</v>
      </c>
      <c r="M581" t="n">
        <v>0</v>
      </c>
      <c r="N581" t="n">
        <v>0</v>
      </c>
      <c r="O581" t="n">
        <v>0</v>
      </c>
      <c r="P581" t="n">
        <v>0</v>
      </c>
      <c r="Q581" t="n">
        <v>0</v>
      </c>
      <c r="R581" s="2" t="inlineStr"/>
    </row>
    <row r="582" ht="15" customHeight="1">
      <c r="A582" t="inlineStr">
        <is>
          <t>A 2820-2024</t>
        </is>
      </c>
      <c r="B582" s="1" t="n">
        <v>45314.76287037037</v>
      </c>
      <c r="C582" s="1" t="n">
        <v>45989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2822-2024</t>
        </is>
      </c>
      <c r="B583" s="1" t="n">
        <v>45314.76622685185</v>
      </c>
      <c r="C583" s="1" t="n">
        <v>45989</v>
      </c>
      <c r="D583" t="inlineStr">
        <is>
          <t>DALARNAS LÄN</t>
        </is>
      </c>
      <c r="E583" t="inlineStr">
        <is>
          <t>LEKSAND</t>
        </is>
      </c>
      <c r="G583" t="n">
        <v>1.6</v>
      </c>
      <c r="H583" t="n">
        <v>0</v>
      </c>
      <c r="I583" t="n">
        <v>0</v>
      </c>
      <c r="J583" t="n">
        <v>0</v>
      </c>
      <c r="K583" t="n">
        <v>0</v>
      </c>
      <c r="L583" t="n">
        <v>0</v>
      </c>
      <c r="M583" t="n">
        <v>0</v>
      </c>
      <c r="N583" t="n">
        <v>0</v>
      </c>
      <c r="O583" t="n">
        <v>0</v>
      </c>
      <c r="P583" t="n">
        <v>0</v>
      </c>
      <c r="Q583" t="n">
        <v>0</v>
      </c>
      <c r="R583" s="2" t="inlineStr"/>
    </row>
    <row r="584" ht="15" customHeight="1">
      <c r="A584" t="inlineStr">
        <is>
          <t>A 51320-2023</t>
        </is>
      </c>
      <c r="B584" s="1" t="n">
        <v>45219.57456018519</v>
      </c>
      <c r="C584" s="1" t="n">
        <v>45989</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12621-2025</t>
        </is>
      </c>
      <c r="B585" s="1" t="n">
        <v>45733.3575</v>
      </c>
      <c r="C585" s="1" t="n">
        <v>45989</v>
      </c>
      <c r="D585" t="inlineStr">
        <is>
          <t>DALARNAS LÄN</t>
        </is>
      </c>
      <c r="E585" t="inlineStr">
        <is>
          <t>LEKSAND</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51377-2023</t>
        </is>
      </c>
      <c r="B586" s="1" t="n">
        <v>45219</v>
      </c>
      <c r="C586" s="1" t="n">
        <v>45989</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59859-2023</t>
        </is>
      </c>
      <c r="B587" s="1" t="n">
        <v>45257</v>
      </c>
      <c r="C587" s="1" t="n">
        <v>45989</v>
      </c>
      <c r="D587" t="inlineStr">
        <is>
          <t>DALARNAS LÄN</t>
        </is>
      </c>
      <c r="E587" t="inlineStr">
        <is>
          <t>LEKSAND</t>
        </is>
      </c>
      <c r="F587" t="inlineStr">
        <is>
          <t>Bergvik skog väst AB</t>
        </is>
      </c>
      <c r="G587" t="n">
        <v>2.1</v>
      </c>
      <c r="H587" t="n">
        <v>0</v>
      </c>
      <c r="I587" t="n">
        <v>0</v>
      </c>
      <c r="J587" t="n">
        <v>0</v>
      </c>
      <c r="K587" t="n">
        <v>0</v>
      </c>
      <c r="L587" t="n">
        <v>0</v>
      </c>
      <c r="M587" t="n">
        <v>0</v>
      </c>
      <c r="N587" t="n">
        <v>0</v>
      </c>
      <c r="O587" t="n">
        <v>0</v>
      </c>
      <c r="P587" t="n">
        <v>0</v>
      </c>
      <c r="Q587" t="n">
        <v>0</v>
      </c>
      <c r="R587" s="2" t="inlineStr"/>
    </row>
    <row r="588" ht="15" customHeight="1">
      <c r="A588" t="inlineStr">
        <is>
          <t>A 19330-2025</t>
        </is>
      </c>
      <c r="B588" s="1" t="n">
        <v>45769</v>
      </c>
      <c r="C588" s="1" t="n">
        <v>45989</v>
      </c>
      <c r="D588" t="inlineStr">
        <is>
          <t>DALARNAS LÄN</t>
        </is>
      </c>
      <c r="E588" t="inlineStr">
        <is>
          <t>LEKSAND</t>
        </is>
      </c>
      <c r="G588" t="n">
        <v>1.6</v>
      </c>
      <c r="H588" t="n">
        <v>0</v>
      </c>
      <c r="I588" t="n">
        <v>0</v>
      </c>
      <c r="J588" t="n">
        <v>0</v>
      </c>
      <c r="K588" t="n">
        <v>0</v>
      </c>
      <c r="L588" t="n">
        <v>0</v>
      </c>
      <c r="M588" t="n">
        <v>0</v>
      </c>
      <c r="N588" t="n">
        <v>0</v>
      </c>
      <c r="O588" t="n">
        <v>0</v>
      </c>
      <c r="P588" t="n">
        <v>0</v>
      </c>
      <c r="Q588" t="n">
        <v>0</v>
      </c>
      <c r="R588" s="2" t="inlineStr"/>
    </row>
    <row r="589" ht="15" customHeight="1">
      <c r="A589" t="inlineStr">
        <is>
          <t>A 45943-2022</t>
        </is>
      </c>
      <c r="B589" s="1" t="n">
        <v>44846.64418981481</v>
      </c>
      <c r="C589" s="1" t="n">
        <v>45989</v>
      </c>
      <c r="D589" t="inlineStr">
        <is>
          <t>DALARNAS LÄN</t>
        </is>
      </c>
      <c r="E589" t="inlineStr">
        <is>
          <t>LEKSAND</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60878-2023</t>
        </is>
      </c>
      <c r="B590" s="1" t="n">
        <v>45259</v>
      </c>
      <c r="C590" s="1" t="n">
        <v>45989</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61502-2023</t>
        </is>
      </c>
      <c r="B591" s="1" t="n">
        <v>45264</v>
      </c>
      <c r="C591" s="1" t="n">
        <v>45989</v>
      </c>
      <c r="D591" t="inlineStr">
        <is>
          <t>DALARNAS LÄN</t>
        </is>
      </c>
      <c r="E591" t="inlineStr">
        <is>
          <t>LEKSAND</t>
        </is>
      </c>
      <c r="G591" t="n">
        <v>5.2</v>
      </c>
      <c r="H591" t="n">
        <v>0</v>
      </c>
      <c r="I591" t="n">
        <v>0</v>
      </c>
      <c r="J591" t="n">
        <v>0</v>
      </c>
      <c r="K591" t="n">
        <v>0</v>
      </c>
      <c r="L591" t="n">
        <v>0</v>
      </c>
      <c r="M591" t="n">
        <v>0</v>
      </c>
      <c r="N591" t="n">
        <v>0</v>
      </c>
      <c r="O591" t="n">
        <v>0</v>
      </c>
      <c r="P591" t="n">
        <v>0</v>
      </c>
      <c r="Q591" t="n">
        <v>0</v>
      </c>
      <c r="R591" s="2" t="inlineStr"/>
    </row>
    <row r="592" ht="15" customHeight="1">
      <c r="A592" t="inlineStr">
        <is>
          <t>A 28965-2023</t>
        </is>
      </c>
      <c r="B592" s="1" t="n">
        <v>45104</v>
      </c>
      <c r="C592" s="1" t="n">
        <v>45989</v>
      </c>
      <c r="D592" t="inlineStr">
        <is>
          <t>DALARNAS LÄN</t>
        </is>
      </c>
      <c r="E592" t="inlineStr">
        <is>
          <t>LEKSAND</t>
        </is>
      </c>
      <c r="F592" t="inlineStr">
        <is>
          <t>Bergvik skog väst AB</t>
        </is>
      </c>
      <c r="G592" t="n">
        <v>0.9</v>
      </c>
      <c r="H592" t="n">
        <v>0</v>
      </c>
      <c r="I592" t="n">
        <v>0</v>
      </c>
      <c r="J592" t="n">
        <v>0</v>
      </c>
      <c r="K592" t="n">
        <v>0</v>
      </c>
      <c r="L592" t="n">
        <v>0</v>
      </c>
      <c r="M592" t="n">
        <v>0</v>
      </c>
      <c r="N592" t="n">
        <v>0</v>
      </c>
      <c r="O592" t="n">
        <v>0</v>
      </c>
      <c r="P592" t="n">
        <v>0</v>
      </c>
      <c r="Q592" t="n">
        <v>0</v>
      </c>
      <c r="R592" s="2" t="inlineStr"/>
    </row>
    <row r="593" ht="15" customHeight="1">
      <c r="A593" t="inlineStr">
        <is>
          <t>A 1719-2024</t>
        </is>
      </c>
      <c r="B593" s="1" t="n">
        <v>45307</v>
      </c>
      <c r="C593" s="1" t="n">
        <v>45989</v>
      </c>
      <c r="D593" t="inlineStr">
        <is>
          <t>DALARNAS LÄN</t>
        </is>
      </c>
      <c r="E593" t="inlineStr">
        <is>
          <t>LEKSAND</t>
        </is>
      </c>
      <c r="G593" t="n">
        <v>2.8</v>
      </c>
      <c r="H593" t="n">
        <v>0</v>
      </c>
      <c r="I593" t="n">
        <v>0</v>
      </c>
      <c r="J593" t="n">
        <v>0</v>
      </c>
      <c r="K593" t="n">
        <v>0</v>
      </c>
      <c r="L593" t="n">
        <v>0</v>
      </c>
      <c r="M593" t="n">
        <v>0</v>
      </c>
      <c r="N593" t="n">
        <v>0</v>
      </c>
      <c r="O593" t="n">
        <v>0</v>
      </c>
      <c r="P593" t="n">
        <v>0</v>
      </c>
      <c r="Q593" t="n">
        <v>0</v>
      </c>
      <c r="R593" s="2" t="inlineStr"/>
    </row>
    <row r="594" ht="15" customHeight="1">
      <c r="A594" t="inlineStr">
        <is>
          <t>A 16744-2025</t>
        </is>
      </c>
      <c r="B594" s="1" t="n">
        <v>45754</v>
      </c>
      <c r="C594" s="1" t="n">
        <v>45989</v>
      </c>
      <c r="D594" t="inlineStr">
        <is>
          <t>DALARNAS LÄN</t>
        </is>
      </c>
      <c r="E594" t="inlineStr">
        <is>
          <t>LEKSAND</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22349-2024</t>
        </is>
      </c>
      <c r="B595" s="1" t="n">
        <v>45446</v>
      </c>
      <c r="C595" s="1" t="n">
        <v>45989</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11617-2024</t>
        </is>
      </c>
      <c r="B596" s="1" t="n">
        <v>45373.42898148148</v>
      </c>
      <c r="C596" s="1" t="n">
        <v>45989</v>
      </c>
      <c r="D596" t="inlineStr">
        <is>
          <t>DALARNAS LÄN</t>
        </is>
      </c>
      <c r="E596" t="inlineStr">
        <is>
          <t>LEKSAND</t>
        </is>
      </c>
      <c r="G596" t="n">
        <v>1.9</v>
      </c>
      <c r="H596" t="n">
        <v>0</v>
      </c>
      <c r="I596" t="n">
        <v>0</v>
      </c>
      <c r="J596" t="n">
        <v>0</v>
      </c>
      <c r="K596" t="n">
        <v>0</v>
      </c>
      <c r="L596" t="n">
        <v>0</v>
      </c>
      <c r="M596" t="n">
        <v>0</v>
      </c>
      <c r="N596" t="n">
        <v>0</v>
      </c>
      <c r="O596" t="n">
        <v>0</v>
      </c>
      <c r="P596" t="n">
        <v>0</v>
      </c>
      <c r="Q596" t="n">
        <v>0</v>
      </c>
      <c r="R596" s="2" t="inlineStr"/>
    </row>
    <row r="597" ht="15" customHeight="1">
      <c r="A597" t="inlineStr">
        <is>
          <t>A 61953-2023</t>
        </is>
      </c>
      <c r="B597" s="1" t="n">
        <v>45266</v>
      </c>
      <c r="C597" s="1" t="n">
        <v>45989</v>
      </c>
      <c r="D597" t="inlineStr">
        <is>
          <t>DALARNAS LÄN</t>
        </is>
      </c>
      <c r="E597" t="inlineStr">
        <is>
          <t>LEKSAND</t>
        </is>
      </c>
      <c r="G597" t="n">
        <v>0.1</v>
      </c>
      <c r="H597" t="n">
        <v>0</v>
      </c>
      <c r="I597" t="n">
        <v>0</v>
      </c>
      <c r="J597" t="n">
        <v>0</v>
      </c>
      <c r="K597" t="n">
        <v>0</v>
      </c>
      <c r="L597" t="n">
        <v>0</v>
      </c>
      <c r="M597" t="n">
        <v>0</v>
      </c>
      <c r="N597" t="n">
        <v>0</v>
      </c>
      <c r="O597" t="n">
        <v>0</v>
      </c>
      <c r="P597" t="n">
        <v>0</v>
      </c>
      <c r="Q597" t="n">
        <v>0</v>
      </c>
      <c r="R597" s="2" t="inlineStr"/>
    </row>
    <row r="598" ht="15" customHeight="1">
      <c r="A598" t="inlineStr">
        <is>
          <t>A 58619-2022</t>
        </is>
      </c>
      <c r="B598" s="1" t="n">
        <v>44902.59579861111</v>
      </c>
      <c r="C598" s="1" t="n">
        <v>45989</v>
      </c>
      <c r="D598" t="inlineStr">
        <is>
          <t>DALARNAS LÄN</t>
        </is>
      </c>
      <c r="E598" t="inlineStr">
        <is>
          <t>LEKSAND</t>
        </is>
      </c>
      <c r="G598" t="n">
        <v>0.9</v>
      </c>
      <c r="H598" t="n">
        <v>0</v>
      </c>
      <c r="I598" t="n">
        <v>0</v>
      </c>
      <c r="J598" t="n">
        <v>0</v>
      </c>
      <c r="K598" t="n">
        <v>0</v>
      </c>
      <c r="L598" t="n">
        <v>0</v>
      </c>
      <c r="M598" t="n">
        <v>0</v>
      </c>
      <c r="N598" t="n">
        <v>0</v>
      </c>
      <c r="O598" t="n">
        <v>0</v>
      </c>
      <c r="P598" t="n">
        <v>0</v>
      </c>
      <c r="Q598" t="n">
        <v>0</v>
      </c>
      <c r="R598" s="2" t="inlineStr"/>
    </row>
    <row r="599" ht="15" customHeight="1">
      <c r="A599" t="inlineStr">
        <is>
          <t>A 20946-2023</t>
        </is>
      </c>
      <c r="B599" s="1" t="n">
        <v>45061</v>
      </c>
      <c r="C599" s="1" t="n">
        <v>45989</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61225-2023</t>
        </is>
      </c>
      <c r="B600" s="1" t="n">
        <v>45264</v>
      </c>
      <c r="C600" s="1" t="n">
        <v>45989</v>
      </c>
      <c r="D600" t="inlineStr">
        <is>
          <t>DALARNAS LÄN</t>
        </is>
      </c>
      <c r="E600" t="inlineStr">
        <is>
          <t>LEKSAND</t>
        </is>
      </c>
      <c r="G600" t="n">
        <v>7</v>
      </c>
      <c r="H600" t="n">
        <v>0</v>
      </c>
      <c r="I600" t="n">
        <v>0</v>
      </c>
      <c r="J600" t="n">
        <v>0</v>
      </c>
      <c r="K600" t="n">
        <v>0</v>
      </c>
      <c r="L600" t="n">
        <v>0</v>
      </c>
      <c r="M600" t="n">
        <v>0</v>
      </c>
      <c r="N600" t="n">
        <v>0</v>
      </c>
      <c r="O600" t="n">
        <v>0</v>
      </c>
      <c r="P600" t="n">
        <v>0</v>
      </c>
      <c r="Q600" t="n">
        <v>0</v>
      </c>
      <c r="R600" s="2" t="inlineStr"/>
    </row>
    <row r="601" ht="15" customHeight="1">
      <c r="A601" t="inlineStr">
        <is>
          <t>A 61252-2023</t>
        </is>
      </c>
      <c r="B601" s="1" t="n">
        <v>45261</v>
      </c>
      <c r="C601" s="1" t="n">
        <v>45989</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14617-2024</t>
        </is>
      </c>
      <c r="B602" s="1" t="n">
        <v>45397</v>
      </c>
      <c r="C602" s="1" t="n">
        <v>45989</v>
      </c>
      <c r="D602" t="inlineStr">
        <is>
          <t>DALARNAS LÄN</t>
        </is>
      </c>
      <c r="E602" t="inlineStr">
        <is>
          <t>LEKSAND</t>
        </is>
      </c>
      <c r="G602" t="n">
        <v>0.2</v>
      </c>
      <c r="H602" t="n">
        <v>0</v>
      </c>
      <c r="I602" t="n">
        <v>0</v>
      </c>
      <c r="J602" t="n">
        <v>0</v>
      </c>
      <c r="K602" t="n">
        <v>0</v>
      </c>
      <c r="L602" t="n">
        <v>0</v>
      </c>
      <c r="M602" t="n">
        <v>0</v>
      </c>
      <c r="N602" t="n">
        <v>0</v>
      </c>
      <c r="O602" t="n">
        <v>0</v>
      </c>
      <c r="P602" t="n">
        <v>0</v>
      </c>
      <c r="Q602" t="n">
        <v>0</v>
      </c>
      <c r="R602" s="2" t="inlineStr"/>
    </row>
    <row r="603" ht="15" customHeight="1">
      <c r="A603" t="inlineStr">
        <is>
          <t>A 46141-2022</t>
        </is>
      </c>
      <c r="B603" s="1" t="n">
        <v>44846</v>
      </c>
      <c r="C603" s="1" t="n">
        <v>45989</v>
      </c>
      <c r="D603" t="inlineStr">
        <is>
          <t>DALARNAS LÄN</t>
        </is>
      </c>
      <c r="E603" t="inlineStr">
        <is>
          <t>LEKSAND</t>
        </is>
      </c>
      <c r="G603" t="n">
        <v>2.8</v>
      </c>
      <c r="H603" t="n">
        <v>0</v>
      </c>
      <c r="I603" t="n">
        <v>0</v>
      </c>
      <c r="J603" t="n">
        <v>0</v>
      </c>
      <c r="K603" t="n">
        <v>0</v>
      </c>
      <c r="L603" t="n">
        <v>0</v>
      </c>
      <c r="M603" t="n">
        <v>0</v>
      </c>
      <c r="N603" t="n">
        <v>0</v>
      </c>
      <c r="O603" t="n">
        <v>0</v>
      </c>
      <c r="P603" t="n">
        <v>0</v>
      </c>
      <c r="Q603" t="n">
        <v>0</v>
      </c>
      <c r="R603" s="2" t="inlineStr"/>
    </row>
    <row r="604" ht="15" customHeight="1">
      <c r="A604" t="inlineStr">
        <is>
          <t>A 62993-2023</t>
        </is>
      </c>
      <c r="B604" s="1" t="n">
        <v>45272</v>
      </c>
      <c r="C604" s="1" t="n">
        <v>45989</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61933-2023</t>
        </is>
      </c>
      <c r="B605" s="1" t="n">
        <v>45266</v>
      </c>
      <c r="C605" s="1" t="n">
        <v>45989</v>
      </c>
      <c r="D605" t="inlineStr">
        <is>
          <t>DALARNAS LÄN</t>
        </is>
      </c>
      <c r="E605" t="inlineStr">
        <is>
          <t>LEKSAND</t>
        </is>
      </c>
      <c r="G605" t="n">
        <v>0.2</v>
      </c>
      <c r="H605" t="n">
        <v>0</v>
      </c>
      <c r="I605" t="n">
        <v>0</v>
      </c>
      <c r="J605" t="n">
        <v>0</v>
      </c>
      <c r="K605" t="n">
        <v>0</v>
      </c>
      <c r="L605" t="n">
        <v>0</v>
      </c>
      <c r="M605" t="n">
        <v>0</v>
      </c>
      <c r="N605" t="n">
        <v>0</v>
      </c>
      <c r="O605" t="n">
        <v>0</v>
      </c>
      <c r="P605" t="n">
        <v>0</v>
      </c>
      <c r="Q605" t="n">
        <v>0</v>
      </c>
      <c r="R605" s="2" t="inlineStr"/>
    </row>
    <row r="606" ht="15" customHeight="1">
      <c r="A606" t="inlineStr">
        <is>
          <t>A 33198-2022</t>
        </is>
      </c>
      <c r="B606" s="1" t="n">
        <v>44785.68597222222</v>
      </c>
      <c r="C606" s="1" t="n">
        <v>45989</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15619-2025</t>
        </is>
      </c>
      <c r="B607" s="1" t="n">
        <v>45747</v>
      </c>
      <c r="C607" s="1" t="n">
        <v>45989</v>
      </c>
      <c r="D607" t="inlineStr">
        <is>
          <t>DALARNAS LÄN</t>
        </is>
      </c>
      <c r="E607" t="inlineStr">
        <is>
          <t>LEKSAND</t>
        </is>
      </c>
      <c r="G607" t="n">
        <v>1</v>
      </c>
      <c r="H607" t="n">
        <v>0</v>
      </c>
      <c r="I607" t="n">
        <v>0</v>
      </c>
      <c r="J607" t="n">
        <v>0</v>
      </c>
      <c r="K607" t="n">
        <v>0</v>
      </c>
      <c r="L607" t="n">
        <v>0</v>
      </c>
      <c r="M607" t="n">
        <v>0</v>
      </c>
      <c r="N607" t="n">
        <v>0</v>
      </c>
      <c r="O607" t="n">
        <v>0</v>
      </c>
      <c r="P607" t="n">
        <v>0</v>
      </c>
      <c r="Q607" t="n">
        <v>0</v>
      </c>
      <c r="R607" s="2" t="inlineStr"/>
    </row>
    <row r="608" ht="15" customHeight="1">
      <c r="A608" t="inlineStr">
        <is>
          <t>A 46931-2023</t>
        </is>
      </c>
      <c r="B608" s="1" t="n">
        <v>45201</v>
      </c>
      <c r="C608" s="1" t="n">
        <v>45989</v>
      </c>
      <c r="D608" t="inlineStr">
        <is>
          <t>DALARNAS LÄN</t>
        </is>
      </c>
      <c r="E608" t="inlineStr">
        <is>
          <t>LEKSAND</t>
        </is>
      </c>
      <c r="G608" t="n">
        <v>1.4</v>
      </c>
      <c r="H608" t="n">
        <v>0</v>
      </c>
      <c r="I608" t="n">
        <v>0</v>
      </c>
      <c r="J608" t="n">
        <v>0</v>
      </c>
      <c r="K608" t="n">
        <v>0</v>
      </c>
      <c r="L608" t="n">
        <v>0</v>
      </c>
      <c r="M608" t="n">
        <v>0</v>
      </c>
      <c r="N608" t="n">
        <v>0</v>
      </c>
      <c r="O608" t="n">
        <v>0</v>
      </c>
      <c r="P608" t="n">
        <v>0</v>
      </c>
      <c r="Q608" t="n">
        <v>0</v>
      </c>
      <c r="R608" s="2" t="inlineStr"/>
    </row>
    <row r="609" ht="15" customHeight="1">
      <c r="A609" t="inlineStr">
        <is>
          <t>A 17483-2025</t>
        </is>
      </c>
      <c r="B609" s="1" t="n">
        <v>45757.49408564815</v>
      </c>
      <c r="C609" s="1" t="n">
        <v>45989</v>
      </c>
      <c r="D609" t="inlineStr">
        <is>
          <t>DALARNAS LÄN</t>
        </is>
      </c>
      <c r="E609" t="inlineStr">
        <is>
          <t>LEKSAND</t>
        </is>
      </c>
      <c r="G609" t="n">
        <v>4.1</v>
      </c>
      <c r="H609" t="n">
        <v>0</v>
      </c>
      <c r="I609" t="n">
        <v>0</v>
      </c>
      <c r="J609" t="n">
        <v>0</v>
      </c>
      <c r="K609" t="n">
        <v>0</v>
      </c>
      <c r="L609" t="n">
        <v>0</v>
      </c>
      <c r="M609" t="n">
        <v>0</v>
      </c>
      <c r="N609" t="n">
        <v>0</v>
      </c>
      <c r="O609" t="n">
        <v>0</v>
      </c>
      <c r="P609" t="n">
        <v>0</v>
      </c>
      <c r="Q609" t="n">
        <v>0</v>
      </c>
      <c r="R609" s="2" t="inlineStr"/>
    </row>
    <row r="610" ht="15" customHeight="1">
      <c r="A610" t="inlineStr">
        <is>
          <t>A 17759-2023</t>
        </is>
      </c>
      <c r="B610" s="1" t="n">
        <v>45037.48765046296</v>
      </c>
      <c r="C610" s="1" t="n">
        <v>45989</v>
      </c>
      <c r="D610" t="inlineStr">
        <is>
          <t>DALARNAS LÄN</t>
        </is>
      </c>
      <c r="E610" t="inlineStr">
        <is>
          <t>LEKSAND</t>
        </is>
      </c>
      <c r="G610" t="n">
        <v>2.1</v>
      </c>
      <c r="H610" t="n">
        <v>0</v>
      </c>
      <c r="I610" t="n">
        <v>0</v>
      </c>
      <c r="J610" t="n">
        <v>0</v>
      </c>
      <c r="K610" t="n">
        <v>0</v>
      </c>
      <c r="L610" t="n">
        <v>0</v>
      </c>
      <c r="M610" t="n">
        <v>0</v>
      </c>
      <c r="N610" t="n">
        <v>0</v>
      </c>
      <c r="O610" t="n">
        <v>0</v>
      </c>
      <c r="P610" t="n">
        <v>0</v>
      </c>
      <c r="Q610" t="n">
        <v>0</v>
      </c>
      <c r="R610" s="2" t="inlineStr"/>
    </row>
    <row r="611" ht="15" customHeight="1">
      <c r="A611" t="inlineStr">
        <is>
          <t>A 43220-2024</t>
        </is>
      </c>
      <c r="B611" s="1" t="n">
        <v>45567.86112268519</v>
      </c>
      <c r="C611" s="1" t="n">
        <v>45989</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55015-2024</t>
        </is>
      </c>
      <c r="B612" s="1" t="n">
        <v>45621.35554398148</v>
      </c>
      <c r="C612" s="1" t="n">
        <v>45989</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34039-2024</t>
        </is>
      </c>
      <c r="B613" s="1" t="n">
        <v>45523.5974537037</v>
      </c>
      <c r="C613" s="1" t="n">
        <v>45989</v>
      </c>
      <c r="D613" t="inlineStr">
        <is>
          <t>DALARNAS LÄN</t>
        </is>
      </c>
      <c r="E613" t="inlineStr">
        <is>
          <t>LEKSAND</t>
        </is>
      </c>
      <c r="G613" t="n">
        <v>7.1</v>
      </c>
      <c r="H613" t="n">
        <v>0</v>
      </c>
      <c r="I613" t="n">
        <v>0</v>
      </c>
      <c r="J613" t="n">
        <v>0</v>
      </c>
      <c r="K613" t="n">
        <v>0</v>
      </c>
      <c r="L613" t="n">
        <v>0</v>
      </c>
      <c r="M613" t="n">
        <v>0</v>
      </c>
      <c r="N613" t="n">
        <v>0</v>
      </c>
      <c r="O613" t="n">
        <v>0</v>
      </c>
      <c r="P613" t="n">
        <v>0</v>
      </c>
      <c r="Q613" t="n">
        <v>0</v>
      </c>
      <c r="R613" s="2" t="inlineStr"/>
    </row>
    <row r="614" ht="15" customHeight="1">
      <c r="A614" t="inlineStr">
        <is>
          <t>A 46505-2023</t>
        </is>
      </c>
      <c r="B614" s="1" t="n">
        <v>45197</v>
      </c>
      <c r="C614" s="1" t="n">
        <v>45989</v>
      </c>
      <c r="D614" t="inlineStr">
        <is>
          <t>DALARNAS LÄN</t>
        </is>
      </c>
      <c r="E614" t="inlineStr">
        <is>
          <t>LEKSAND</t>
        </is>
      </c>
      <c r="G614" t="n">
        <v>2.3</v>
      </c>
      <c r="H614" t="n">
        <v>0</v>
      </c>
      <c r="I614" t="n">
        <v>0</v>
      </c>
      <c r="J614" t="n">
        <v>0</v>
      </c>
      <c r="K614" t="n">
        <v>0</v>
      </c>
      <c r="L614" t="n">
        <v>0</v>
      </c>
      <c r="M614" t="n">
        <v>0</v>
      </c>
      <c r="N614" t="n">
        <v>0</v>
      </c>
      <c r="O614" t="n">
        <v>0</v>
      </c>
      <c r="P614" t="n">
        <v>0</v>
      </c>
      <c r="Q614" t="n">
        <v>0</v>
      </c>
      <c r="R614" s="2" t="inlineStr"/>
    </row>
    <row r="615" ht="15" customHeight="1">
      <c r="A615" t="inlineStr">
        <is>
          <t>A 481-2024</t>
        </is>
      </c>
      <c r="B615" s="1" t="n">
        <v>45298</v>
      </c>
      <c r="C615" s="1" t="n">
        <v>45989</v>
      </c>
      <c r="D615" t="inlineStr">
        <is>
          <t>DALARNAS LÄN</t>
        </is>
      </c>
      <c r="E615" t="inlineStr">
        <is>
          <t>LEKSAND</t>
        </is>
      </c>
      <c r="G615" t="n">
        <v>7</v>
      </c>
      <c r="H615" t="n">
        <v>0</v>
      </c>
      <c r="I615" t="n">
        <v>0</v>
      </c>
      <c r="J615" t="n">
        <v>0</v>
      </c>
      <c r="K615" t="n">
        <v>0</v>
      </c>
      <c r="L615" t="n">
        <v>0</v>
      </c>
      <c r="M615" t="n">
        <v>0</v>
      </c>
      <c r="N615" t="n">
        <v>0</v>
      </c>
      <c r="O615" t="n">
        <v>0</v>
      </c>
      <c r="P615" t="n">
        <v>0</v>
      </c>
      <c r="Q615" t="n">
        <v>0</v>
      </c>
      <c r="R615" s="2" t="inlineStr"/>
    </row>
    <row r="616" ht="15" customHeight="1">
      <c r="A616" t="inlineStr">
        <is>
          <t>A 50278-2023</t>
        </is>
      </c>
      <c r="B616" s="1" t="n">
        <v>45216.43444444444</v>
      </c>
      <c r="C616" s="1" t="n">
        <v>45989</v>
      </c>
      <c r="D616" t="inlineStr">
        <is>
          <t>DALARNAS LÄN</t>
        </is>
      </c>
      <c r="E616" t="inlineStr">
        <is>
          <t>LEKSAND</t>
        </is>
      </c>
      <c r="G616" t="n">
        <v>0.4</v>
      </c>
      <c r="H616" t="n">
        <v>0</v>
      </c>
      <c r="I616" t="n">
        <v>0</v>
      </c>
      <c r="J616" t="n">
        <v>0</v>
      </c>
      <c r="K616" t="n">
        <v>0</v>
      </c>
      <c r="L616" t="n">
        <v>0</v>
      </c>
      <c r="M616" t="n">
        <v>0</v>
      </c>
      <c r="N616" t="n">
        <v>0</v>
      </c>
      <c r="O616" t="n">
        <v>0</v>
      </c>
      <c r="P616" t="n">
        <v>0</v>
      </c>
      <c r="Q616" t="n">
        <v>0</v>
      </c>
      <c r="R616" s="2" t="inlineStr"/>
    </row>
    <row r="617" ht="15" customHeight="1">
      <c r="A617" t="inlineStr">
        <is>
          <t>A 16197-2024</t>
        </is>
      </c>
      <c r="B617" s="1" t="n">
        <v>45406.70356481482</v>
      </c>
      <c r="C617" s="1" t="n">
        <v>45989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5453-2025</t>
        </is>
      </c>
      <c r="B618" s="1" t="n">
        <v>45692.95231481481</v>
      </c>
      <c r="C618" s="1" t="n">
        <v>45989</v>
      </c>
      <c r="D618" t="inlineStr">
        <is>
          <t>DALARNAS LÄN</t>
        </is>
      </c>
      <c r="E618" t="inlineStr">
        <is>
          <t>LEKSAND</t>
        </is>
      </c>
      <c r="G618" t="n">
        <v>2.2</v>
      </c>
      <c r="H618" t="n">
        <v>0</v>
      </c>
      <c r="I618" t="n">
        <v>0</v>
      </c>
      <c r="J618" t="n">
        <v>0</v>
      </c>
      <c r="K618" t="n">
        <v>0</v>
      </c>
      <c r="L618" t="n">
        <v>0</v>
      </c>
      <c r="M618" t="n">
        <v>0</v>
      </c>
      <c r="N618" t="n">
        <v>0</v>
      </c>
      <c r="O618" t="n">
        <v>0</v>
      </c>
      <c r="P618" t="n">
        <v>0</v>
      </c>
      <c r="Q618" t="n">
        <v>0</v>
      </c>
      <c r="R618" s="2" t="inlineStr"/>
    </row>
    <row r="619" ht="15" customHeight="1">
      <c r="A619" t="inlineStr">
        <is>
          <t>A 57925-2024</t>
        </is>
      </c>
      <c r="B619" s="1" t="n">
        <v>45630</v>
      </c>
      <c r="C619" s="1" t="n">
        <v>45989</v>
      </c>
      <c r="D619" t="inlineStr">
        <is>
          <t>DALARNAS LÄN</t>
        </is>
      </c>
      <c r="E619" t="inlineStr">
        <is>
          <t>LEKSAND</t>
        </is>
      </c>
      <c r="G619" t="n">
        <v>1.1</v>
      </c>
      <c r="H619" t="n">
        <v>0</v>
      </c>
      <c r="I619" t="n">
        <v>0</v>
      </c>
      <c r="J619" t="n">
        <v>0</v>
      </c>
      <c r="K619" t="n">
        <v>0</v>
      </c>
      <c r="L619" t="n">
        <v>0</v>
      </c>
      <c r="M619" t="n">
        <v>0</v>
      </c>
      <c r="N619" t="n">
        <v>0</v>
      </c>
      <c r="O619" t="n">
        <v>0</v>
      </c>
      <c r="P619" t="n">
        <v>0</v>
      </c>
      <c r="Q619" t="n">
        <v>0</v>
      </c>
      <c r="R619" s="2" t="inlineStr"/>
    </row>
    <row r="620" ht="15" customHeight="1">
      <c r="A620" t="inlineStr">
        <is>
          <t>A 27445-2024</t>
        </is>
      </c>
      <c r="B620" s="1" t="n">
        <v>45474.42474537037</v>
      </c>
      <c r="C620" s="1" t="n">
        <v>45989</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27446-2024</t>
        </is>
      </c>
      <c r="B621" s="1" t="n">
        <v>45474.42671296297</v>
      </c>
      <c r="C621" s="1" t="n">
        <v>45989</v>
      </c>
      <c r="D621" t="inlineStr">
        <is>
          <t>DALARNAS LÄN</t>
        </is>
      </c>
      <c r="E621" t="inlineStr">
        <is>
          <t>LEKSAND</t>
        </is>
      </c>
      <c r="G621" t="n">
        <v>2.9</v>
      </c>
      <c r="H621" t="n">
        <v>0</v>
      </c>
      <c r="I621" t="n">
        <v>0</v>
      </c>
      <c r="J621" t="n">
        <v>0</v>
      </c>
      <c r="K621" t="n">
        <v>0</v>
      </c>
      <c r="L621" t="n">
        <v>0</v>
      </c>
      <c r="M621" t="n">
        <v>0</v>
      </c>
      <c r="N621" t="n">
        <v>0</v>
      </c>
      <c r="O621" t="n">
        <v>0</v>
      </c>
      <c r="P621" t="n">
        <v>0</v>
      </c>
      <c r="Q621" t="n">
        <v>0</v>
      </c>
      <c r="R621" s="2" t="inlineStr"/>
    </row>
    <row r="622" ht="15" customHeight="1">
      <c r="A622" t="inlineStr">
        <is>
          <t>A 18837-2023</t>
        </is>
      </c>
      <c r="B622" s="1" t="n">
        <v>45044.42940972222</v>
      </c>
      <c r="C622" s="1" t="n">
        <v>45989</v>
      </c>
      <c r="D622" t="inlineStr">
        <is>
          <t>DALARNAS LÄN</t>
        </is>
      </c>
      <c r="E622" t="inlineStr">
        <is>
          <t>LEKSAND</t>
        </is>
      </c>
      <c r="G622" t="n">
        <v>1.5</v>
      </c>
      <c r="H622" t="n">
        <v>0</v>
      </c>
      <c r="I622" t="n">
        <v>0</v>
      </c>
      <c r="J622" t="n">
        <v>0</v>
      </c>
      <c r="K622" t="n">
        <v>0</v>
      </c>
      <c r="L622" t="n">
        <v>0</v>
      </c>
      <c r="M622" t="n">
        <v>0</v>
      </c>
      <c r="N622" t="n">
        <v>0</v>
      </c>
      <c r="O622" t="n">
        <v>0</v>
      </c>
      <c r="P622" t="n">
        <v>0</v>
      </c>
      <c r="Q622" t="n">
        <v>0</v>
      </c>
      <c r="R622" s="2" t="inlineStr"/>
    </row>
    <row r="623" ht="15" customHeight="1">
      <c r="A623" t="inlineStr">
        <is>
          <t>A 17730-2024</t>
        </is>
      </c>
      <c r="B623" s="1" t="n">
        <v>45418</v>
      </c>
      <c r="C623" s="1" t="n">
        <v>45989</v>
      </c>
      <c r="D623" t="inlineStr">
        <is>
          <t>DALARNAS LÄN</t>
        </is>
      </c>
      <c r="E623" t="inlineStr">
        <is>
          <t>LEKSAND</t>
        </is>
      </c>
      <c r="G623" t="n">
        <v>2.4</v>
      </c>
      <c r="H623" t="n">
        <v>0</v>
      </c>
      <c r="I623" t="n">
        <v>0</v>
      </c>
      <c r="J623" t="n">
        <v>0</v>
      </c>
      <c r="K623" t="n">
        <v>0</v>
      </c>
      <c r="L623" t="n">
        <v>0</v>
      </c>
      <c r="M623" t="n">
        <v>0</v>
      </c>
      <c r="N623" t="n">
        <v>0</v>
      </c>
      <c r="O623" t="n">
        <v>0</v>
      </c>
      <c r="P623" t="n">
        <v>0</v>
      </c>
      <c r="Q623" t="n">
        <v>0</v>
      </c>
      <c r="R623" s="2" t="inlineStr"/>
    </row>
    <row r="624" ht="15" customHeight="1">
      <c r="A624" t="inlineStr">
        <is>
          <t>A 64933-2023</t>
        </is>
      </c>
      <c r="B624" s="1" t="n">
        <v>45282</v>
      </c>
      <c r="C624" s="1" t="n">
        <v>45989</v>
      </c>
      <c r="D624" t="inlineStr">
        <is>
          <t>DALARNAS LÄN</t>
        </is>
      </c>
      <c r="E624" t="inlineStr">
        <is>
          <t>LEKSAND</t>
        </is>
      </c>
      <c r="G624" t="n">
        <v>2.3</v>
      </c>
      <c r="H624" t="n">
        <v>0</v>
      </c>
      <c r="I624" t="n">
        <v>0</v>
      </c>
      <c r="J624" t="n">
        <v>0</v>
      </c>
      <c r="K624" t="n">
        <v>0</v>
      </c>
      <c r="L624" t="n">
        <v>0</v>
      </c>
      <c r="M624" t="n">
        <v>0</v>
      </c>
      <c r="N624" t="n">
        <v>0</v>
      </c>
      <c r="O624" t="n">
        <v>0</v>
      </c>
      <c r="P624" t="n">
        <v>0</v>
      </c>
      <c r="Q624" t="n">
        <v>0</v>
      </c>
      <c r="R624" s="2" t="inlineStr"/>
    </row>
    <row r="625" ht="15" customHeight="1">
      <c r="A625" t="inlineStr">
        <is>
          <t>A 39620-2024</t>
        </is>
      </c>
      <c r="B625" s="1" t="n">
        <v>45552.43163194445</v>
      </c>
      <c r="C625" s="1" t="n">
        <v>45989</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57907-2024</t>
        </is>
      </c>
      <c r="B626" s="1" t="n">
        <v>45630</v>
      </c>
      <c r="C626" s="1" t="n">
        <v>45989</v>
      </c>
      <c r="D626" t="inlineStr">
        <is>
          <t>DALARNAS LÄN</t>
        </is>
      </c>
      <c r="E626" t="inlineStr">
        <is>
          <t>LEKSAND</t>
        </is>
      </c>
      <c r="G626" t="n">
        <v>1.4</v>
      </c>
      <c r="H626" t="n">
        <v>0</v>
      </c>
      <c r="I626" t="n">
        <v>0</v>
      </c>
      <c r="J626" t="n">
        <v>0</v>
      </c>
      <c r="K626" t="n">
        <v>0</v>
      </c>
      <c r="L626" t="n">
        <v>0</v>
      </c>
      <c r="M626" t="n">
        <v>0</v>
      </c>
      <c r="N626" t="n">
        <v>0</v>
      </c>
      <c r="O626" t="n">
        <v>0</v>
      </c>
      <c r="P626" t="n">
        <v>0</v>
      </c>
      <c r="Q626" t="n">
        <v>0</v>
      </c>
      <c r="R626" s="2" t="inlineStr"/>
    </row>
    <row r="627" ht="15" customHeight="1">
      <c r="A627" t="inlineStr">
        <is>
          <t>A 59236-2024</t>
        </is>
      </c>
      <c r="B627" s="1" t="n">
        <v>45637.58795138889</v>
      </c>
      <c r="C627" s="1" t="n">
        <v>45989</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34038-2024</t>
        </is>
      </c>
      <c r="B628" s="1" t="n">
        <v>45523.59578703704</v>
      </c>
      <c r="C628" s="1" t="n">
        <v>45989</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34041-2024</t>
        </is>
      </c>
      <c r="B629" s="1" t="n">
        <v>45523.59895833334</v>
      </c>
      <c r="C629" s="1" t="n">
        <v>45989</v>
      </c>
      <c r="D629" t="inlineStr">
        <is>
          <t>DALARNAS LÄN</t>
        </is>
      </c>
      <c r="E629" t="inlineStr">
        <is>
          <t>LEKSAND</t>
        </is>
      </c>
      <c r="G629" t="n">
        <v>4</v>
      </c>
      <c r="H629" t="n">
        <v>0</v>
      </c>
      <c r="I629" t="n">
        <v>0</v>
      </c>
      <c r="J629" t="n">
        <v>0</v>
      </c>
      <c r="K629" t="n">
        <v>0</v>
      </c>
      <c r="L629" t="n">
        <v>0</v>
      </c>
      <c r="M629" t="n">
        <v>0</v>
      </c>
      <c r="N629" t="n">
        <v>0</v>
      </c>
      <c r="O629" t="n">
        <v>0</v>
      </c>
      <c r="P629" t="n">
        <v>0</v>
      </c>
      <c r="Q629" t="n">
        <v>0</v>
      </c>
      <c r="R629" s="2" t="inlineStr"/>
    </row>
    <row r="630" ht="15" customHeight="1">
      <c r="A630" t="inlineStr">
        <is>
          <t>A 10833-2023</t>
        </is>
      </c>
      <c r="B630" s="1" t="n">
        <v>44990</v>
      </c>
      <c r="C630" s="1" t="n">
        <v>45989</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17233-2023</t>
        </is>
      </c>
      <c r="B631" s="1" t="n">
        <v>45035</v>
      </c>
      <c r="C631" s="1" t="n">
        <v>45989</v>
      </c>
      <c r="D631" t="inlineStr">
        <is>
          <t>DALARNAS LÄN</t>
        </is>
      </c>
      <c r="E631" t="inlineStr">
        <is>
          <t>LEKSAND</t>
        </is>
      </c>
      <c r="G631" t="n">
        <v>1.6</v>
      </c>
      <c r="H631" t="n">
        <v>0</v>
      </c>
      <c r="I631" t="n">
        <v>0</v>
      </c>
      <c r="J631" t="n">
        <v>0</v>
      </c>
      <c r="K631" t="n">
        <v>0</v>
      </c>
      <c r="L631" t="n">
        <v>0</v>
      </c>
      <c r="M631" t="n">
        <v>0</v>
      </c>
      <c r="N631" t="n">
        <v>0</v>
      </c>
      <c r="O631" t="n">
        <v>0</v>
      </c>
      <c r="P631" t="n">
        <v>0</v>
      </c>
      <c r="Q631" t="n">
        <v>0</v>
      </c>
      <c r="R631" s="2" t="inlineStr"/>
    </row>
    <row r="632" ht="15" customHeight="1">
      <c r="A632" t="inlineStr">
        <is>
          <t>A 16231-2021</t>
        </is>
      </c>
      <c r="B632" s="1" t="n">
        <v>44292</v>
      </c>
      <c r="C632" s="1" t="n">
        <v>45989</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12857-2023</t>
        </is>
      </c>
      <c r="B633" s="1" t="n">
        <v>45001.5000462963</v>
      </c>
      <c r="C633" s="1" t="n">
        <v>45989</v>
      </c>
      <c r="D633" t="inlineStr">
        <is>
          <t>DALARNAS LÄN</t>
        </is>
      </c>
      <c r="E633" t="inlineStr">
        <is>
          <t>LEKSAND</t>
        </is>
      </c>
      <c r="G633" t="n">
        <v>0.2</v>
      </c>
      <c r="H633" t="n">
        <v>0</v>
      </c>
      <c r="I633" t="n">
        <v>0</v>
      </c>
      <c r="J633" t="n">
        <v>0</v>
      </c>
      <c r="K633" t="n">
        <v>0</v>
      </c>
      <c r="L633" t="n">
        <v>0</v>
      </c>
      <c r="M633" t="n">
        <v>0</v>
      </c>
      <c r="N633" t="n">
        <v>0</v>
      </c>
      <c r="O633" t="n">
        <v>0</v>
      </c>
      <c r="P633" t="n">
        <v>0</v>
      </c>
      <c r="Q633" t="n">
        <v>0</v>
      </c>
      <c r="R633" s="2" t="inlineStr"/>
    </row>
    <row r="634" ht="15" customHeight="1">
      <c r="A634" t="inlineStr">
        <is>
          <t>A 28674-2024</t>
        </is>
      </c>
      <c r="B634" s="1" t="n">
        <v>45478.47863425926</v>
      </c>
      <c r="C634" s="1" t="n">
        <v>45989</v>
      </c>
      <c r="D634" t="inlineStr">
        <is>
          <t>DALARNAS LÄN</t>
        </is>
      </c>
      <c r="E634" t="inlineStr">
        <is>
          <t>LEKSAND</t>
        </is>
      </c>
      <c r="G634" t="n">
        <v>4.9</v>
      </c>
      <c r="H634" t="n">
        <v>0</v>
      </c>
      <c r="I634" t="n">
        <v>0</v>
      </c>
      <c r="J634" t="n">
        <v>0</v>
      </c>
      <c r="K634" t="n">
        <v>0</v>
      </c>
      <c r="L634" t="n">
        <v>0</v>
      </c>
      <c r="M634" t="n">
        <v>0</v>
      </c>
      <c r="N634" t="n">
        <v>0</v>
      </c>
      <c r="O634" t="n">
        <v>0</v>
      </c>
      <c r="P634" t="n">
        <v>0</v>
      </c>
      <c r="Q634" t="n">
        <v>0</v>
      </c>
      <c r="R634" s="2" t="inlineStr"/>
    </row>
    <row r="635" ht="15" customHeight="1">
      <c r="A635" t="inlineStr">
        <is>
          <t>A 19622-2024</t>
        </is>
      </c>
      <c r="B635" s="1" t="n">
        <v>45432.33592592592</v>
      </c>
      <c r="C635" s="1" t="n">
        <v>45989</v>
      </c>
      <c r="D635" t="inlineStr">
        <is>
          <t>DALARNAS LÄN</t>
        </is>
      </c>
      <c r="E635" t="inlineStr">
        <is>
          <t>LEKSAND</t>
        </is>
      </c>
      <c r="G635" t="n">
        <v>1.3</v>
      </c>
      <c r="H635" t="n">
        <v>0</v>
      </c>
      <c r="I635" t="n">
        <v>0</v>
      </c>
      <c r="J635" t="n">
        <v>0</v>
      </c>
      <c r="K635" t="n">
        <v>0</v>
      </c>
      <c r="L635" t="n">
        <v>0</v>
      </c>
      <c r="M635" t="n">
        <v>0</v>
      </c>
      <c r="N635" t="n">
        <v>0</v>
      </c>
      <c r="O635" t="n">
        <v>0</v>
      </c>
      <c r="P635" t="n">
        <v>0</v>
      </c>
      <c r="Q635" t="n">
        <v>0</v>
      </c>
      <c r="R635" s="2" t="inlineStr"/>
    </row>
    <row r="636" ht="15" customHeight="1">
      <c r="A636" t="inlineStr">
        <is>
          <t>A 27317-2021</t>
        </is>
      </c>
      <c r="B636" s="1" t="n">
        <v>44351</v>
      </c>
      <c r="C636" s="1" t="n">
        <v>45989</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61055-2023</t>
        </is>
      </c>
      <c r="B637" s="1" t="n">
        <v>45261</v>
      </c>
      <c r="C637" s="1" t="n">
        <v>45989</v>
      </c>
      <c r="D637" t="inlineStr">
        <is>
          <t>DALARNAS LÄN</t>
        </is>
      </c>
      <c r="E637" t="inlineStr">
        <is>
          <t>LEKSAND</t>
        </is>
      </c>
      <c r="G637" t="n">
        <v>0.3</v>
      </c>
      <c r="H637" t="n">
        <v>0</v>
      </c>
      <c r="I637" t="n">
        <v>0</v>
      </c>
      <c r="J637" t="n">
        <v>0</v>
      </c>
      <c r="K637" t="n">
        <v>0</v>
      </c>
      <c r="L637" t="n">
        <v>0</v>
      </c>
      <c r="M637" t="n">
        <v>0</v>
      </c>
      <c r="N637" t="n">
        <v>0</v>
      </c>
      <c r="O637" t="n">
        <v>0</v>
      </c>
      <c r="P637" t="n">
        <v>0</v>
      </c>
      <c r="Q637" t="n">
        <v>0</v>
      </c>
      <c r="R637" s="2" t="inlineStr"/>
    </row>
    <row r="638" ht="15" customHeight="1">
      <c r="A638" t="inlineStr">
        <is>
          <t>A 10743-2024</t>
        </is>
      </c>
      <c r="B638" s="1" t="n">
        <v>45369.52167824074</v>
      </c>
      <c r="C638" s="1" t="n">
        <v>45989</v>
      </c>
      <c r="D638" t="inlineStr">
        <is>
          <t>DALARNAS LÄN</t>
        </is>
      </c>
      <c r="E638" t="inlineStr">
        <is>
          <t>LEKSAND</t>
        </is>
      </c>
      <c r="G638" t="n">
        <v>2.7</v>
      </c>
      <c r="H638" t="n">
        <v>0</v>
      </c>
      <c r="I638" t="n">
        <v>0</v>
      </c>
      <c r="J638" t="n">
        <v>0</v>
      </c>
      <c r="K638" t="n">
        <v>0</v>
      </c>
      <c r="L638" t="n">
        <v>0</v>
      </c>
      <c r="M638" t="n">
        <v>0</v>
      </c>
      <c r="N638" t="n">
        <v>0</v>
      </c>
      <c r="O638" t="n">
        <v>0</v>
      </c>
      <c r="P638" t="n">
        <v>0</v>
      </c>
      <c r="Q638" t="n">
        <v>0</v>
      </c>
      <c r="R638" s="2" t="inlineStr"/>
    </row>
    <row r="639" ht="15" customHeight="1">
      <c r="A639" t="inlineStr">
        <is>
          <t>A 10367-2023</t>
        </is>
      </c>
      <c r="B639" s="1" t="n">
        <v>44987</v>
      </c>
      <c r="C639" s="1" t="n">
        <v>45989</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1946-2024</t>
        </is>
      </c>
      <c r="B640" s="1" t="n">
        <v>45308</v>
      </c>
      <c r="C640" s="1" t="n">
        <v>45989</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59763-2023</t>
        </is>
      </c>
      <c r="B641" s="1" t="n">
        <v>45257</v>
      </c>
      <c r="C641" s="1" t="n">
        <v>45989</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17533-2023</t>
        </is>
      </c>
      <c r="B642" s="1" t="n">
        <v>45036</v>
      </c>
      <c r="C642" s="1" t="n">
        <v>45989</v>
      </c>
      <c r="D642" t="inlineStr">
        <is>
          <t>DALARNAS LÄN</t>
        </is>
      </c>
      <c r="E642" t="inlineStr">
        <is>
          <t>LEKSAND</t>
        </is>
      </c>
      <c r="G642" t="n">
        <v>3</v>
      </c>
      <c r="H642" t="n">
        <v>0</v>
      </c>
      <c r="I642" t="n">
        <v>0</v>
      </c>
      <c r="J642" t="n">
        <v>0</v>
      </c>
      <c r="K642" t="n">
        <v>0</v>
      </c>
      <c r="L642" t="n">
        <v>0</v>
      </c>
      <c r="M642" t="n">
        <v>0</v>
      </c>
      <c r="N642" t="n">
        <v>0</v>
      </c>
      <c r="O642" t="n">
        <v>0</v>
      </c>
      <c r="P642" t="n">
        <v>0</v>
      </c>
      <c r="Q642" t="n">
        <v>0</v>
      </c>
      <c r="R642" s="2" t="inlineStr"/>
    </row>
    <row r="643" ht="15" customHeight="1">
      <c r="A643" t="inlineStr">
        <is>
          <t>A 49397-2024</t>
        </is>
      </c>
      <c r="B643" s="1" t="n">
        <v>45595</v>
      </c>
      <c r="C643" s="1" t="n">
        <v>45989</v>
      </c>
      <c r="D643" t="inlineStr">
        <is>
          <t>DALARNAS LÄN</t>
        </is>
      </c>
      <c r="E643" t="inlineStr">
        <is>
          <t>LEKSAND</t>
        </is>
      </c>
      <c r="G643" t="n">
        <v>4.3</v>
      </c>
      <c r="H643" t="n">
        <v>0</v>
      </c>
      <c r="I643" t="n">
        <v>0</v>
      </c>
      <c r="J643" t="n">
        <v>0</v>
      </c>
      <c r="K643" t="n">
        <v>0</v>
      </c>
      <c r="L643" t="n">
        <v>0</v>
      </c>
      <c r="M643" t="n">
        <v>0</v>
      </c>
      <c r="N643" t="n">
        <v>0</v>
      </c>
      <c r="O643" t="n">
        <v>0</v>
      </c>
      <c r="P643" t="n">
        <v>0</v>
      </c>
      <c r="Q643" t="n">
        <v>0</v>
      </c>
      <c r="R643" s="2" t="inlineStr"/>
    </row>
    <row r="644" ht="15" customHeight="1">
      <c r="A644" t="inlineStr">
        <is>
          <t>A 6027-2025</t>
        </is>
      </c>
      <c r="B644" s="1" t="n">
        <v>45695</v>
      </c>
      <c r="C644" s="1" t="n">
        <v>45989</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53717-2023</t>
        </is>
      </c>
      <c r="B645" s="1" t="n">
        <v>45230</v>
      </c>
      <c r="C645" s="1" t="n">
        <v>45989</v>
      </c>
      <c r="D645" t="inlineStr">
        <is>
          <t>DALARNAS LÄN</t>
        </is>
      </c>
      <c r="E645" t="inlineStr">
        <is>
          <t>LEKSAND</t>
        </is>
      </c>
      <c r="G645" t="n">
        <v>2.4</v>
      </c>
      <c r="H645" t="n">
        <v>0</v>
      </c>
      <c r="I645" t="n">
        <v>0</v>
      </c>
      <c r="J645" t="n">
        <v>0</v>
      </c>
      <c r="K645" t="n">
        <v>0</v>
      </c>
      <c r="L645" t="n">
        <v>0</v>
      </c>
      <c r="M645" t="n">
        <v>0</v>
      </c>
      <c r="N645" t="n">
        <v>0</v>
      </c>
      <c r="O645" t="n">
        <v>0</v>
      </c>
      <c r="P645" t="n">
        <v>0</v>
      </c>
      <c r="Q645" t="n">
        <v>0</v>
      </c>
      <c r="R645" s="2" t="inlineStr"/>
    </row>
    <row r="646" ht="15" customHeight="1">
      <c r="A646" t="inlineStr">
        <is>
          <t>A 43470-2024</t>
        </is>
      </c>
      <c r="B646" s="1" t="n">
        <v>45568</v>
      </c>
      <c r="C646" s="1" t="n">
        <v>45989</v>
      </c>
      <c r="D646" t="inlineStr">
        <is>
          <t>DALARNAS LÄN</t>
        </is>
      </c>
      <c r="E646" t="inlineStr">
        <is>
          <t>LEKSAND</t>
        </is>
      </c>
      <c r="G646" t="n">
        <v>3.1</v>
      </c>
      <c r="H646" t="n">
        <v>0</v>
      </c>
      <c r="I646" t="n">
        <v>0</v>
      </c>
      <c r="J646" t="n">
        <v>0</v>
      </c>
      <c r="K646" t="n">
        <v>0</v>
      </c>
      <c r="L646" t="n">
        <v>0</v>
      </c>
      <c r="M646" t="n">
        <v>0</v>
      </c>
      <c r="N646" t="n">
        <v>0</v>
      </c>
      <c r="O646" t="n">
        <v>0</v>
      </c>
      <c r="P646" t="n">
        <v>0</v>
      </c>
      <c r="Q646" t="n">
        <v>0</v>
      </c>
      <c r="R646" s="2" t="inlineStr"/>
    </row>
    <row r="647" ht="15" customHeight="1">
      <c r="A647" t="inlineStr">
        <is>
          <t>A 60873-2023</t>
        </is>
      </c>
      <c r="B647" s="1" t="n">
        <v>45261.03266203704</v>
      </c>
      <c r="C647" s="1" t="n">
        <v>45989</v>
      </c>
      <c r="D647" t="inlineStr">
        <is>
          <t>DALARNAS LÄN</t>
        </is>
      </c>
      <c r="E647" t="inlineStr">
        <is>
          <t>LEKSAND</t>
        </is>
      </c>
      <c r="G647" t="n">
        <v>5.2</v>
      </c>
      <c r="H647" t="n">
        <v>0</v>
      </c>
      <c r="I647" t="n">
        <v>0</v>
      </c>
      <c r="J647" t="n">
        <v>0</v>
      </c>
      <c r="K647" t="n">
        <v>0</v>
      </c>
      <c r="L647" t="n">
        <v>0</v>
      </c>
      <c r="M647" t="n">
        <v>0</v>
      </c>
      <c r="N647" t="n">
        <v>0</v>
      </c>
      <c r="O647" t="n">
        <v>0</v>
      </c>
      <c r="P647" t="n">
        <v>0</v>
      </c>
      <c r="Q647" t="n">
        <v>0</v>
      </c>
      <c r="R647" s="2" t="inlineStr"/>
    </row>
    <row r="648" ht="15" customHeight="1">
      <c r="A648" t="inlineStr">
        <is>
          <t>A 54914-2024</t>
        </is>
      </c>
      <c r="B648" s="1" t="n">
        <v>45618.69380787037</v>
      </c>
      <c r="C648" s="1" t="n">
        <v>45989</v>
      </c>
      <c r="D648" t="inlineStr">
        <is>
          <t>DALARNAS LÄN</t>
        </is>
      </c>
      <c r="E648" t="inlineStr">
        <is>
          <t>LEKSAND</t>
        </is>
      </c>
      <c r="G648" t="n">
        <v>1.7</v>
      </c>
      <c r="H648" t="n">
        <v>0</v>
      </c>
      <c r="I648" t="n">
        <v>0</v>
      </c>
      <c r="J648" t="n">
        <v>0</v>
      </c>
      <c r="K648" t="n">
        <v>0</v>
      </c>
      <c r="L648" t="n">
        <v>0</v>
      </c>
      <c r="M648" t="n">
        <v>0</v>
      </c>
      <c r="N648" t="n">
        <v>0</v>
      </c>
      <c r="O648" t="n">
        <v>0</v>
      </c>
      <c r="P648" t="n">
        <v>0</v>
      </c>
      <c r="Q648" t="n">
        <v>0</v>
      </c>
      <c r="R648" s="2" t="inlineStr"/>
    </row>
    <row r="649" ht="15" customHeight="1">
      <c r="A649" t="inlineStr">
        <is>
          <t>A 167-2023</t>
        </is>
      </c>
      <c r="B649" s="1" t="n">
        <v>44918</v>
      </c>
      <c r="C649" s="1" t="n">
        <v>45989</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56950-2024</t>
        </is>
      </c>
      <c r="B650" s="1" t="n">
        <v>45625</v>
      </c>
      <c r="C650" s="1" t="n">
        <v>45989</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9938-2023</t>
        </is>
      </c>
      <c r="B651" s="1" t="n">
        <v>44985</v>
      </c>
      <c r="C651" s="1" t="n">
        <v>45989</v>
      </c>
      <c r="D651" t="inlineStr">
        <is>
          <t>DALARNAS LÄN</t>
        </is>
      </c>
      <c r="E651" t="inlineStr">
        <is>
          <t>LEKSAND</t>
        </is>
      </c>
      <c r="G651" t="n">
        <v>3.1</v>
      </c>
      <c r="H651" t="n">
        <v>0</v>
      </c>
      <c r="I651" t="n">
        <v>0</v>
      </c>
      <c r="J651" t="n">
        <v>0</v>
      </c>
      <c r="K651" t="n">
        <v>0</v>
      </c>
      <c r="L651" t="n">
        <v>0</v>
      </c>
      <c r="M651" t="n">
        <v>0</v>
      </c>
      <c r="N651" t="n">
        <v>0</v>
      </c>
      <c r="O651" t="n">
        <v>0</v>
      </c>
      <c r="P651" t="n">
        <v>0</v>
      </c>
      <c r="Q651" t="n">
        <v>0</v>
      </c>
      <c r="R651" s="2" t="inlineStr"/>
    </row>
    <row r="652" ht="15" customHeight="1">
      <c r="A652" t="inlineStr">
        <is>
          <t>A 59103-2024</t>
        </is>
      </c>
      <c r="B652" s="1" t="n">
        <v>45637.34184027778</v>
      </c>
      <c r="C652" s="1" t="n">
        <v>45989</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70099-2021</t>
        </is>
      </c>
      <c r="B653" s="1" t="n">
        <v>44533</v>
      </c>
      <c r="C653" s="1" t="n">
        <v>45989</v>
      </c>
      <c r="D653" t="inlineStr">
        <is>
          <t>DALARNAS LÄN</t>
        </is>
      </c>
      <c r="E653" t="inlineStr">
        <is>
          <t>LEKSAND</t>
        </is>
      </c>
      <c r="G653" t="n">
        <v>2.8</v>
      </c>
      <c r="H653" t="n">
        <v>0</v>
      </c>
      <c r="I653" t="n">
        <v>0</v>
      </c>
      <c r="J653" t="n">
        <v>0</v>
      </c>
      <c r="K653" t="n">
        <v>0</v>
      </c>
      <c r="L653" t="n">
        <v>0</v>
      </c>
      <c r="M653" t="n">
        <v>0</v>
      </c>
      <c r="N653" t="n">
        <v>0</v>
      </c>
      <c r="O653" t="n">
        <v>0</v>
      </c>
      <c r="P653" t="n">
        <v>0</v>
      </c>
      <c r="Q653" t="n">
        <v>0</v>
      </c>
      <c r="R653" s="2" t="inlineStr"/>
    </row>
    <row r="654" ht="15" customHeight="1">
      <c r="A654" t="inlineStr">
        <is>
          <t>A 13401-2023</t>
        </is>
      </c>
      <c r="B654" s="1" t="n">
        <v>45005</v>
      </c>
      <c r="C654" s="1" t="n">
        <v>45989</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60113-2022</t>
        </is>
      </c>
      <c r="B655" s="1" t="n">
        <v>44909</v>
      </c>
      <c r="C655" s="1" t="n">
        <v>45989</v>
      </c>
      <c r="D655" t="inlineStr">
        <is>
          <t>DALARNAS LÄN</t>
        </is>
      </c>
      <c r="E655" t="inlineStr">
        <is>
          <t>LEKSAND</t>
        </is>
      </c>
      <c r="G655" t="n">
        <v>3.7</v>
      </c>
      <c r="H655" t="n">
        <v>0</v>
      </c>
      <c r="I655" t="n">
        <v>0</v>
      </c>
      <c r="J655" t="n">
        <v>0</v>
      </c>
      <c r="K655" t="n">
        <v>0</v>
      </c>
      <c r="L655" t="n">
        <v>0</v>
      </c>
      <c r="M655" t="n">
        <v>0</v>
      </c>
      <c r="N655" t="n">
        <v>0</v>
      </c>
      <c r="O655" t="n">
        <v>0</v>
      </c>
      <c r="P655" t="n">
        <v>0</v>
      </c>
      <c r="Q655" t="n">
        <v>0</v>
      </c>
      <c r="R655" s="2" t="inlineStr"/>
    </row>
    <row r="656" ht="15" customHeight="1">
      <c r="A656" t="inlineStr">
        <is>
          <t>A 15173-2025</t>
        </is>
      </c>
      <c r="B656" s="1" t="n">
        <v>45744.50858796296</v>
      </c>
      <c r="C656" s="1" t="n">
        <v>45989</v>
      </c>
      <c r="D656" t="inlineStr">
        <is>
          <t>DALARNAS LÄN</t>
        </is>
      </c>
      <c r="E656" t="inlineStr">
        <is>
          <t>LEKSAND</t>
        </is>
      </c>
      <c r="G656" t="n">
        <v>0.3</v>
      </c>
      <c r="H656" t="n">
        <v>0</v>
      </c>
      <c r="I656" t="n">
        <v>0</v>
      </c>
      <c r="J656" t="n">
        <v>0</v>
      </c>
      <c r="K656" t="n">
        <v>0</v>
      </c>
      <c r="L656" t="n">
        <v>0</v>
      </c>
      <c r="M656" t="n">
        <v>0</v>
      </c>
      <c r="N656" t="n">
        <v>0</v>
      </c>
      <c r="O656" t="n">
        <v>0</v>
      </c>
      <c r="P656" t="n">
        <v>0</v>
      </c>
      <c r="Q656" t="n">
        <v>0</v>
      </c>
      <c r="R656" s="2" t="inlineStr"/>
    </row>
    <row r="657" ht="15" customHeight="1">
      <c r="A657" t="inlineStr">
        <is>
          <t>A 30611-2023</t>
        </is>
      </c>
      <c r="B657" s="1" t="n">
        <v>45112</v>
      </c>
      <c r="C657" s="1" t="n">
        <v>45989</v>
      </c>
      <c r="D657" t="inlineStr">
        <is>
          <t>DALARNAS LÄN</t>
        </is>
      </c>
      <c r="E657" t="inlineStr">
        <is>
          <t>LEKSAND</t>
        </is>
      </c>
      <c r="G657" t="n">
        <v>3.1</v>
      </c>
      <c r="H657" t="n">
        <v>0</v>
      </c>
      <c r="I657" t="n">
        <v>0</v>
      </c>
      <c r="J657" t="n">
        <v>0</v>
      </c>
      <c r="K657" t="n">
        <v>0</v>
      </c>
      <c r="L657" t="n">
        <v>0</v>
      </c>
      <c r="M657" t="n">
        <v>0</v>
      </c>
      <c r="N657" t="n">
        <v>0</v>
      </c>
      <c r="O657" t="n">
        <v>0</v>
      </c>
      <c r="P657" t="n">
        <v>0</v>
      </c>
      <c r="Q657" t="n">
        <v>0</v>
      </c>
      <c r="R657" s="2" t="inlineStr"/>
    </row>
    <row r="658" ht="15" customHeight="1">
      <c r="A658" t="inlineStr">
        <is>
          <t>A 31254-2023</t>
        </is>
      </c>
      <c r="B658" s="1" t="n">
        <v>45114</v>
      </c>
      <c r="C658" s="1" t="n">
        <v>45989</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62306-2023</t>
        </is>
      </c>
      <c r="B659" s="1" t="n">
        <v>45266</v>
      </c>
      <c r="C659" s="1" t="n">
        <v>45989</v>
      </c>
      <c r="D659" t="inlineStr">
        <is>
          <t>DALARNAS LÄN</t>
        </is>
      </c>
      <c r="E659" t="inlineStr">
        <is>
          <t>LEKSAND</t>
        </is>
      </c>
      <c r="G659" t="n">
        <v>1.1</v>
      </c>
      <c r="H659" t="n">
        <v>0</v>
      </c>
      <c r="I659" t="n">
        <v>0</v>
      </c>
      <c r="J659" t="n">
        <v>0</v>
      </c>
      <c r="K659" t="n">
        <v>0</v>
      </c>
      <c r="L659" t="n">
        <v>0</v>
      </c>
      <c r="M659" t="n">
        <v>0</v>
      </c>
      <c r="N659" t="n">
        <v>0</v>
      </c>
      <c r="O659" t="n">
        <v>0</v>
      </c>
      <c r="P659" t="n">
        <v>0</v>
      </c>
      <c r="Q659" t="n">
        <v>0</v>
      </c>
      <c r="R659" s="2" t="inlineStr"/>
    </row>
    <row r="660" ht="15" customHeight="1">
      <c r="A660" t="inlineStr">
        <is>
          <t>A 30175-2023</t>
        </is>
      </c>
      <c r="B660" s="1" t="n">
        <v>45110</v>
      </c>
      <c r="C660" s="1" t="n">
        <v>45989</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28921-2023</t>
        </is>
      </c>
      <c r="B661" s="1" t="n">
        <v>45104</v>
      </c>
      <c r="C661" s="1" t="n">
        <v>45989</v>
      </c>
      <c r="D661" t="inlineStr">
        <is>
          <t>DALARNAS LÄN</t>
        </is>
      </c>
      <c r="E661" t="inlineStr">
        <is>
          <t>LEKSAND</t>
        </is>
      </c>
      <c r="G661" t="n">
        <v>4.4</v>
      </c>
      <c r="H661" t="n">
        <v>0</v>
      </c>
      <c r="I661" t="n">
        <v>0</v>
      </c>
      <c r="J661" t="n">
        <v>0</v>
      </c>
      <c r="K661" t="n">
        <v>0</v>
      </c>
      <c r="L661" t="n">
        <v>0</v>
      </c>
      <c r="M661" t="n">
        <v>0</v>
      </c>
      <c r="N661" t="n">
        <v>0</v>
      </c>
      <c r="O661" t="n">
        <v>0</v>
      </c>
      <c r="P661" t="n">
        <v>0</v>
      </c>
      <c r="Q661" t="n">
        <v>0</v>
      </c>
      <c r="R661" s="2" t="inlineStr"/>
    </row>
    <row r="662" ht="15" customHeight="1">
      <c r="A662" t="inlineStr">
        <is>
          <t>A 8940-2023</t>
        </is>
      </c>
      <c r="B662" s="1" t="n">
        <v>44974</v>
      </c>
      <c r="C662" s="1" t="n">
        <v>45989</v>
      </c>
      <c r="D662" t="inlineStr">
        <is>
          <t>DALARNAS LÄN</t>
        </is>
      </c>
      <c r="E662" t="inlineStr">
        <is>
          <t>LEKSAND</t>
        </is>
      </c>
      <c r="G662" t="n">
        <v>1.5</v>
      </c>
      <c r="H662" t="n">
        <v>0</v>
      </c>
      <c r="I662" t="n">
        <v>0</v>
      </c>
      <c r="J662" t="n">
        <v>0</v>
      </c>
      <c r="K662" t="n">
        <v>0</v>
      </c>
      <c r="L662" t="n">
        <v>0</v>
      </c>
      <c r="M662" t="n">
        <v>0</v>
      </c>
      <c r="N662" t="n">
        <v>0</v>
      </c>
      <c r="O662" t="n">
        <v>0</v>
      </c>
      <c r="P662" t="n">
        <v>0</v>
      </c>
      <c r="Q662" t="n">
        <v>0</v>
      </c>
      <c r="R662" s="2" t="inlineStr"/>
    </row>
    <row r="663" ht="15" customHeight="1">
      <c r="A663" t="inlineStr">
        <is>
          <t>A 9459-2023</t>
        </is>
      </c>
      <c r="B663" s="1" t="n">
        <v>44977</v>
      </c>
      <c r="C663" s="1" t="n">
        <v>45989</v>
      </c>
      <c r="D663" t="inlineStr">
        <is>
          <t>DALARNAS LÄN</t>
        </is>
      </c>
      <c r="E663" t="inlineStr">
        <is>
          <t>LEKSAND</t>
        </is>
      </c>
      <c r="G663" t="n">
        <v>1.1</v>
      </c>
      <c r="H663" t="n">
        <v>0</v>
      </c>
      <c r="I663" t="n">
        <v>0</v>
      </c>
      <c r="J663" t="n">
        <v>0</v>
      </c>
      <c r="K663" t="n">
        <v>0</v>
      </c>
      <c r="L663" t="n">
        <v>0</v>
      </c>
      <c r="M663" t="n">
        <v>0</v>
      </c>
      <c r="N663" t="n">
        <v>0</v>
      </c>
      <c r="O663" t="n">
        <v>0</v>
      </c>
      <c r="P663" t="n">
        <v>0</v>
      </c>
      <c r="Q663" t="n">
        <v>0</v>
      </c>
      <c r="R663" s="2" t="inlineStr"/>
    </row>
    <row r="664" ht="15" customHeight="1">
      <c r="A664" t="inlineStr">
        <is>
          <t>A 56941-2024</t>
        </is>
      </c>
      <c r="B664" s="1" t="n">
        <v>45625</v>
      </c>
      <c r="C664" s="1" t="n">
        <v>45989</v>
      </c>
      <c r="D664" t="inlineStr">
        <is>
          <t>DALARNAS LÄN</t>
        </is>
      </c>
      <c r="E664" t="inlineStr">
        <is>
          <t>LEKSAND</t>
        </is>
      </c>
      <c r="G664" t="n">
        <v>1.8</v>
      </c>
      <c r="H664" t="n">
        <v>0</v>
      </c>
      <c r="I664" t="n">
        <v>0</v>
      </c>
      <c r="J664" t="n">
        <v>0</v>
      </c>
      <c r="K664" t="n">
        <v>0</v>
      </c>
      <c r="L664" t="n">
        <v>0</v>
      </c>
      <c r="M664" t="n">
        <v>0</v>
      </c>
      <c r="N664" t="n">
        <v>0</v>
      </c>
      <c r="O664" t="n">
        <v>0</v>
      </c>
      <c r="P664" t="n">
        <v>0</v>
      </c>
      <c r="Q664" t="n">
        <v>0</v>
      </c>
      <c r="R664" s="2" t="inlineStr"/>
    </row>
    <row r="665" ht="15" customHeight="1">
      <c r="A665" t="inlineStr">
        <is>
          <t>A 48721-2023</t>
        </is>
      </c>
      <c r="B665" s="1" t="n">
        <v>45203</v>
      </c>
      <c r="C665" s="1" t="n">
        <v>45989</v>
      </c>
      <c r="D665" t="inlineStr">
        <is>
          <t>DALARNAS LÄN</t>
        </is>
      </c>
      <c r="E665" t="inlineStr">
        <is>
          <t>LEKSAND</t>
        </is>
      </c>
      <c r="G665" t="n">
        <v>2.9</v>
      </c>
      <c r="H665" t="n">
        <v>0</v>
      </c>
      <c r="I665" t="n">
        <v>0</v>
      </c>
      <c r="J665" t="n">
        <v>0</v>
      </c>
      <c r="K665" t="n">
        <v>0</v>
      </c>
      <c r="L665" t="n">
        <v>0</v>
      </c>
      <c r="M665" t="n">
        <v>0</v>
      </c>
      <c r="N665" t="n">
        <v>0</v>
      </c>
      <c r="O665" t="n">
        <v>0</v>
      </c>
      <c r="P665" t="n">
        <v>0</v>
      </c>
      <c r="Q665" t="n">
        <v>0</v>
      </c>
      <c r="R665" s="2" t="inlineStr"/>
    </row>
    <row r="666" ht="15" customHeight="1">
      <c r="A666" t="inlineStr">
        <is>
          <t>A 33463-2023</t>
        </is>
      </c>
      <c r="B666" s="1" t="n">
        <v>45131</v>
      </c>
      <c r="C666" s="1" t="n">
        <v>45989</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8755-2023</t>
        </is>
      </c>
      <c r="B667" s="1" t="n">
        <v>44978</v>
      </c>
      <c r="C667" s="1" t="n">
        <v>45989</v>
      </c>
      <c r="D667" t="inlineStr">
        <is>
          <t>DALARNAS LÄN</t>
        </is>
      </c>
      <c r="E667" t="inlineStr">
        <is>
          <t>LEKSAND</t>
        </is>
      </c>
      <c r="G667" t="n">
        <v>2.3</v>
      </c>
      <c r="H667" t="n">
        <v>0</v>
      </c>
      <c r="I667" t="n">
        <v>0</v>
      </c>
      <c r="J667" t="n">
        <v>0</v>
      </c>
      <c r="K667" t="n">
        <v>0</v>
      </c>
      <c r="L667" t="n">
        <v>0</v>
      </c>
      <c r="M667" t="n">
        <v>0</v>
      </c>
      <c r="N667" t="n">
        <v>0</v>
      </c>
      <c r="O667" t="n">
        <v>0</v>
      </c>
      <c r="P667" t="n">
        <v>0</v>
      </c>
      <c r="Q667" t="n">
        <v>0</v>
      </c>
      <c r="R667" s="2" t="inlineStr"/>
    </row>
    <row r="668" ht="15" customHeight="1">
      <c r="A668" t="inlineStr">
        <is>
          <t>A 59840-2024</t>
        </is>
      </c>
      <c r="B668" s="1" t="n">
        <v>45638</v>
      </c>
      <c r="C668" s="1" t="n">
        <v>45989</v>
      </c>
      <c r="D668" t="inlineStr">
        <is>
          <t>DALARNAS LÄN</t>
        </is>
      </c>
      <c r="E668" t="inlineStr">
        <is>
          <t>LEKSAND</t>
        </is>
      </c>
      <c r="G668" t="n">
        <v>0.6</v>
      </c>
      <c r="H668" t="n">
        <v>0</v>
      </c>
      <c r="I668" t="n">
        <v>0</v>
      </c>
      <c r="J668" t="n">
        <v>0</v>
      </c>
      <c r="K668" t="n">
        <v>0</v>
      </c>
      <c r="L668" t="n">
        <v>0</v>
      </c>
      <c r="M668" t="n">
        <v>0</v>
      </c>
      <c r="N668" t="n">
        <v>0</v>
      </c>
      <c r="O668" t="n">
        <v>0</v>
      </c>
      <c r="P668" t="n">
        <v>0</v>
      </c>
      <c r="Q668" t="n">
        <v>0</v>
      </c>
      <c r="R668" s="2" t="inlineStr"/>
    </row>
    <row r="669" ht="15" customHeight="1">
      <c r="A669" t="inlineStr">
        <is>
          <t>A 10967-2023</t>
        </is>
      </c>
      <c r="B669" s="1" t="n">
        <v>44991.58001157407</v>
      </c>
      <c r="C669" s="1" t="n">
        <v>45989</v>
      </c>
      <c r="D669" t="inlineStr">
        <is>
          <t>DALARNAS LÄN</t>
        </is>
      </c>
      <c r="E669" t="inlineStr">
        <is>
          <t>LEKSAND</t>
        </is>
      </c>
      <c r="G669" t="n">
        <v>0.5</v>
      </c>
      <c r="H669" t="n">
        <v>0</v>
      </c>
      <c r="I669" t="n">
        <v>0</v>
      </c>
      <c r="J669" t="n">
        <v>0</v>
      </c>
      <c r="K669" t="n">
        <v>0</v>
      </c>
      <c r="L669" t="n">
        <v>0</v>
      </c>
      <c r="M669" t="n">
        <v>0</v>
      </c>
      <c r="N669" t="n">
        <v>0</v>
      </c>
      <c r="O669" t="n">
        <v>0</v>
      </c>
      <c r="P669" t="n">
        <v>0</v>
      </c>
      <c r="Q669" t="n">
        <v>0</v>
      </c>
      <c r="R669" s="2" t="inlineStr"/>
    </row>
    <row r="670" ht="15" customHeight="1">
      <c r="A670" t="inlineStr">
        <is>
          <t>A 10974-2023</t>
        </is>
      </c>
      <c r="B670" s="1" t="n">
        <v>44991.59049768518</v>
      </c>
      <c r="C670" s="1" t="n">
        <v>45989</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55516-2024</t>
        </is>
      </c>
      <c r="B671" s="1" t="n">
        <v>45621</v>
      </c>
      <c r="C671" s="1" t="n">
        <v>45989</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30858-2024</t>
        </is>
      </c>
      <c r="B672" s="1" t="n">
        <v>45497.67601851852</v>
      </c>
      <c r="C672" s="1" t="n">
        <v>45989</v>
      </c>
      <c r="D672" t="inlineStr">
        <is>
          <t>DALARNAS LÄN</t>
        </is>
      </c>
      <c r="E672" t="inlineStr">
        <is>
          <t>LEKSAND</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11015-2022</t>
        </is>
      </c>
      <c r="B673" s="1" t="n">
        <v>44628.52340277778</v>
      </c>
      <c r="C673" s="1" t="n">
        <v>45989</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12582-2025</t>
        </is>
      </c>
      <c r="B674" s="1" t="n">
        <v>45732.62988425926</v>
      </c>
      <c r="C674" s="1" t="n">
        <v>45989</v>
      </c>
      <c r="D674" t="inlineStr">
        <is>
          <t>DALARNAS LÄN</t>
        </is>
      </c>
      <c r="E674" t="inlineStr">
        <is>
          <t>LEKSAND</t>
        </is>
      </c>
      <c r="G674" t="n">
        <v>1.3</v>
      </c>
      <c r="H674" t="n">
        <v>0</v>
      </c>
      <c r="I674" t="n">
        <v>0</v>
      </c>
      <c r="J674" t="n">
        <v>0</v>
      </c>
      <c r="K674" t="n">
        <v>0</v>
      </c>
      <c r="L674" t="n">
        <v>0</v>
      </c>
      <c r="M674" t="n">
        <v>0</v>
      </c>
      <c r="N674" t="n">
        <v>0</v>
      </c>
      <c r="O674" t="n">
        <v>0</v>
      </c>
      <c r="P674" t="n">
        <v>0</v>
      </c>
      <c r="Q674" t="n">
        <v>0</v>
      </c>
      <c r="R674" s="2" t="inlineStr"/>
    </row>
    <row r="675" ht="15" customHeight="1">
      <c r="A675" t="inlineStr">
        <is>
          <t>A 1182-2025</t>
        </is>
      </c>
      <c r="B675" s="1" t="n">
        <v>45667.35712962963</v>
      </c>
      <c r="C675" s="1" t="n">
        <v>45989</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1519-2024</t>
        </is>
      </c>
      <c r="B676" s="1" t="n">
        <v>45306</v>
      </c>
      <c r="C676" s="1" t="n">
        <v>45989</v>
      </c>
      <c r="D676" t="inlineStr">
        <is>
          <t>DALARNAS LÄN</t>
        </is>
      </c>
      <c r="E676" t="inlineStr">
        <is>
          <t>LEKSAND</t>
        </is>
      </c>
      <c r="G676" t="n">
        <v>3.3</v>
      </c>
      <c r="H676" t="n">
        <v>0</v>
      </c>
      <c r="I676" t="n">
        <v>0</v>
      </c>
      <c r="J676" t="n">
        <v>0</v>
      </c>
      <c r="K676" t="n">
        <v>0</v>
      </c>
      <c r="L676" t="n">
        <v>0</v>
      </c>
      <c r="M676" t="n">
        <v>0</v>
      </c>
      <c r="N676" t="n">
        <v>0</v>
      </c>
      <c r="O676" t="n">
        <v>0</v>
      </c>
      <c r="P676" t="n">
        <v>0</v>
      </c>
      <c r="Q676" t="n">
        <v>0</v>
      </c>
      <c r="R676" s="2" t="inlineStr"/>
    </row>
    <row r="677" ht="15" customHeight="1">
      <c r="A677" t="inlineStr">
        <is>
          <t>A 71817-2021</t>
        </is>
      </c>
      <c r="B677" s="1" t="n">
        <v>44543.59780092593</v>
      </c>
      <c r="C677" s="1" t="n">
        <v>45989</v>
      </c>
      <c r="D677" t="inlineStr">
        <is>
          <t>DALARNAS LÄN</t>
        </is>
      </c>
      <c r="E677" t="inlineStr">
        <is>
          <t>LEKSAND</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32-2024</t>
        </is>
      </c>
      <c r="B678" s="1" t="n">
        <v>45293</v>
      </c>
      <c r="C678" s="1" t="n">
        <v>45989</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36932-2023</t>
        </is>
      </c>
      <c r="B679" s="1" t="n">
        <v>45154</v>
      </c>
      <c r="C679" s="1" t="n">
        <v>45989</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23663-2024</t>
        </is>
      </c>
      <c r="B680" s="1" t="n">
        <v>45454.57049768518</v>
      </c>
      <c r="C680" s="1" t="n">
        <v>45989</v>
      </c>
      <c r="D680" t="inlineStr">
        <is>
          <t>DALARNAS LÄN</t>
        </is>
      </c>
      <c r="E680" t="inlineStr">
        <is>
          <t>LEKSAND</t>
        </is>
      </c>
      <c r="G680" t="n">
        <v>2.5</v>
      </c>
      <c r="H680" t="n">
        <v>0</v>
      </c>
      <c r="I680" t="n">
        <v>0</v>
      </c>
      <c r="J680" t="n">
        <v>0</v>
      </c>
      <c r="K680" t="n">
        <v>0</v>
      </c>
      <c r="L680" t="n">
        <v>0</v>
      </c>
      <c r="M680" t="n">
        <v>0</v>
      </c>
      <c r="N680" t="n">
        <v>0</v>
      </c>
      <c r="O680" t="n">
        <v>0</v>
      </c>
      <c r="P680" t="n">
        <v>0</v>
      </c>
      <c r="Q680" t="n">
        <v>0</v>
      </c>
      <c r="R680" s="2" t="inlineStr"/>
    </row>
    <row r="681" ht="15" customHeight="1">
      <c r="A681" t="inlineStr">
        <is>
          <t>A 33180-2024</t>
        </is>
      </c>
      <c r="B681" s="1" t="n">
        <v>45518.44481481481</v>
      </c>
      <c r="C681" s="1" t="n">
        <v>45989</v>
      </c>
      <c r="D681" t="inlineStr">
        <is>
          <t>DALARNAS LÄN</t>
        </is>
      </c>
      <c r="E681" t="inlineStr">
        <is>
          <t>LEKSAND</t>
        </is>
      </c>
      <c r="G681" t="n">
        <v>7.6</v>
      </c>
      <c r="H681" t="n">
        <v>0</v>
      </c>
      <c r="I681" t="n">
        <v>0</v>
      </c>
      <c r="J681" t="n">
        <v>0</v>
      </c>
      <c r="K681" t="n">
        <v>0</v>
      </c>
      <c r="L681" t="n">
        <v>0</v>
      </c>
      <c r="M681" t="n">
        <v>0</v>
      </c>
      <c r="N681" t="n">
        <v>0</v>
      </c>
      <c r="O681" t="n">
        <v>0</v>
      </c>
      <c r="P681" t="n">
        <v>0</v>
      </c>
      <c r="Q681" t="n">
        <v>0</v>
      </c>
      <c r="R681" s="2" t="inlineStr"/>
    </row>
    <row r="682" ht="15" customHeight="1">
      <c r="A682" t="inlineStr">
        <is>
          <t>A 60715-2022</t>
        </is>
      </c>
      <c r="B682" s="1" t="n">
        <v>44912</v>
      </c>
      <c r="C682" s="1" t="n">
        <v>45989</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11092-2023</t>
        </is>
      </c>
      <c r="B683" s="1" t="n">
        <v>44992</v>
      </c>
      <c r="C683" s="1" t="n">
        <v>45989</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15882-2023</t>
        </is>
      </c>
      <c r="B684" s="1" t="n">
        <v>45022</v>
      </c>
      <c r="C684" s="1" t="n">
        <v>45989</v>
      </c>
      <c r="D684" t="inlineStr">
        <is>
          <t>DALARNAS LÄN</t>
        </is>
      </c>
      <c r="E684" t="inlineStr">
        <is>
          <t>LEKSAND</t>
        </is>
      </c>
      <c r="G684" t="n">
        <v>0.1</v>
      </c>
      <c r="H684" t="n">
        <v>0</v>
      </c>
      <c r="I684" t="n">
        <v>0</v>
      </c>
      <c r="J684" t="n">
        <v>0</v>
      </c>
      <c r="K684" t="n">
        <v>0</v>
      </c>
      <c r="L684" t="n">
        <v>0</v>
      </c>
      <c r="M684" t="n">
        <v>0</v>
      </c>
      <c r="N684" t="n">
        <v>0</v>
      </c>
      <c r="O684" t="n">
        <v>0</v>
      </c>
      <c r="P684" t="n">
        <v>0</v>
      </c>
      <c r="Q684" t="n">
        <v>0</v>
      </c>
      <c r="R684" s="2" t="inlineStr"/>
    </row>
    <row r="685" ht="15" customHeight="1">
      <c r="A685" t="inlineStr">
        <is>
          <t>A 1443-2024</t>
        </is>
      </c>
      <c r="B685" s="1" t="n">
        <v>45303</v>
      </c>
      <c r="C685" s="1" t="n">
        <v>45989</v>
      </c>
      <c r="D685" t="inlineStr">
        <is>
          <t>DALARNAS LÄN</t>
        </is>
      </c>
      <c r="E685" t="inlineStr">
        <is>
          <t>LEKSAND</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1457-2024</t>
        </is>
      </c>
      <c r="B686" s="1" t="n">
        <v>45303</v>
      </c>
      <c r="C686" s="1" t="n">
        <v>45989</v>
      </c>
      <c r="D686" t="inlineStr">
        <is>
          <t>DALARNAS LÄN</t>
        </is>
      </c>
      <c r="E686" t="inlineStr">
        <is>
          <t>LEKSAND</t>
        </is>
      </c>
      <c r="G686" t="n">
        <v>4.4</v>
      </c>
      <c r="H686" t="n">
        <v>0</v>
      </c>
      <c r="I686" t="n">
        <v>0</v>
      </c>
      <c r="J686" t="n">
        <v>0</v>
      </c>
      <c r="K686" t="n">
        <v>0</v>
      </c>
      <c r="L686" t="n">
        <v>0</v>
      </c>
      <c r="M686" t="n">
        <v>0</v>
      </c>
      <c r="N686" t="n">
        <v>0</v>
      </c>
      <c r="O686" t="n">
        <v>0</v>
      </c>
      <c r="P686" t="n">
        <v>0</v>
      </c>
      <c r="Q686" t="n">
        <v>0</v>
      </c>
      <c r="R686" s="2" t="inlineStr"/>
    </row>
    <row r="687" ht="15" customHeight="1">
      <c r="A687" t="inlineStr">
        <is>
          <t>A 1215-2024</t>
        </is>
      </c>
      <c r="B687" s="1" t="n">
        <v>45302</v>
      </c>
      <c r="C687" s="1" t="n">
        <v>45989</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53464-2024</t>
        </is>
      </c>
      <c r="B688" s="1" t="n">
        <v>45611</v>
      </c>
      <c r="C688" s="1" t="n">
        <v>45989</v>
      </c>
      <c r="D688" t="inlineStr">
        <is>
          <t>DALARNAS LÄN</t>
        </is>
      </c>
      <c r="E688" t="inlineStr">
        <is>
          <t>LEKSAND</t>
        </is>
      </c>
      <c r="G688" t="n">
        <v>1.7</v>
      </c>
      <c r="H688" t="n">
        <v>0</v>
      </c>
      <c r="I688" t="n">
        <v>0</v>
      </c>
      <c r="J688" t="n">
        <v>0</v>
      </c>
      <c r="K688" t="n">
        <v>0</v>
      </c>
      <c r="L688" t="n">
        <v>0</v>
      </c>
      <c r="M688" t="n">
        <v>0</v>
      </c>
      <c r="N688" t="n">
        <v>0</v>
      </c>
      <c r="O688" t="n">
        <v>0</v>
      </c>
      <c r="P688" t="n">
        <v>0</v>
      </c>
      <c r="Q688" t="n">
        <v>0</v>
      </c>
      <c r="R688" s="2" t="inlineStr"/>
    </row>
    <row r="689" ht="15" customHeight="1">
      <c r="A689" t="inlineStr">
        <is>
          <t>A 56330-2022</t>
        </is>
      </c>
      <c r="B689" s="1" t="n">
        <v>44890.62630787037</v>
      </c>
      <c r="C689" s="1" t="n">
        <v>45989</v>
      </c>
      <c r="D689" t="inlineStr">
        <is>
          <t>DALARNAS LÄN</t>
        </is>
      </c>
      <c r="E689" t="inlineStr">
        <is>
          <t>LEKSAND</t>
        </is>
      </c>
      <c r="G689" t="n">
        <v>4.9</v>
      </c>
      <c r="H689" t="n">
        <v>0</v>
      </c>
      <c r="I689" t="n">
        <v>0</v>
      </c>
      <c r="J689" t="n">
        <v>0</v>
      </c>
      <c r="K689" t="n">
        <v>0</v>
      </c>
      <c r="L689" t="n">
        <v>0</v>
      </c>
      <c r="M689" t="n">
        <v>0</v>
      </c>
      <c r="N689" t="n">
        <v>0</v>
      </c>
      <c r="O689" t="n">
        <v>0</v>
      </c>
      <c r="P689" t="n">
        <v>0</v>
      </c>
      <c r="Q689" t="n">
        <v>0</v>
      </c>
      <c r="R689" s="2" t="inlineStr"/>
    </row>
    <row r="690" ht="15" customHeight="1">
      <c r="A690" t="inlineStr">
        <is>
          <t>A 2140-2024</t>
        </is>
      </c>
      <c r="B690" s="1" t="n">
        <v>45309</v>
      </c>
      <c r="C690" s="1" t="n">
        <v>45989</v>
      </c>
      <c r="D690" t="inlineStr">
        <is>
          <t>DALARNAS LÄN</t>
        </is>
      </c>
      <c r="E690" t="inlineStr">
        <is>
          <t>LEKSAND</t>
        </is>
      </c>
      <c r="G690" t="n">
        <v>1.5</v>
      </c>
      <c r="H690" t="n">
        <v>0</v>
      </c>
      <c r="I690" t="n">
        <v>0</v>
      </c>
      <c r="J690" t="n">
        <v>0</v>
      </c>
      <c r="K690" t="n">
        <v>0</v>
      </c>
      <c r="L690" t="n">
        <v>0</v>
      </c>
      <c r="M690" t="n">
        <v>0</v>
      </c>
      <c r="N690" t="n">
        <v>0</v>
      </c>
      <c r="O690" t="n">
        <v>0</v>
      </c>
      <c r="P690" t="n">
        <v>0</v>
      </c>
      <c r="Q690" t="n">
        <v>0</v>
      </c>
      <c r="R690" s="2" t="inlineStr"/>
    </row>
    <row r="691" ht="15" customHeight="1">
      <c r="A691" t="inlineStr">
        <is>
          <t>A 2694-2025</t>
        </is>
      </c>
      <c r="B691" s="1" t="n">
        <v>45677.38246527778</v>
      </c>
      <c r="C691" s="1" t="n">
        <v>45989</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18176-2024</t>
        </is>
      </c>
      <c r="B692" s="1" t="n">
        <v>45420.63901620371</v>
      </c>
      <c r="C692" s="1" t="n">
        <v>45989</v>
      </c>
      <c r="D692" t="inlineStr">
        <is>
          <t>DALARNAS LÄN</t>
        </is>
      </c>
      <c r="E692" t="inlineStr">
        <is>
          <t>LEKSAND</t>
        </is>
      </c>
      <c r="F692" t="inlineStr">
        <is>
          <t>Bergvik skog väst AB</t>
        </is>
      </c>
      <c r="G692" t="n">
        <v>0.9</v>
      </c>
      <c r="H692" t="n">
        <v>0</v>
      </c>
      <c r="I692" t="n">
        <v>0</v>
      </c>
      <c r="J692" t="n">
        <v>0</v>
      </c>
      <c r="K692" t="n">
        <v>0</v>
      </c>
      <c r="L692" t="n">
        <v>0</v>
      </c>
      <c r="M692" t="n">
        <v>0</v>
      </c>
      <c r="N692" t="n">
        <v>0</v>
      </c>
      <c r="O692" t="n">
        <v>0</v>
      </c>
      <c r="P692" t="n">
        <v>0</v>
      </c>
      <c r="Q692" t="n">
        <v>0</v>
      </c>
      <c r="R692" s="2" t="inlineStr"/>
    </row>
    <row r="693" ht="15" customHeight="1">
      <c r="A693" t="inlineStr">
        <is>
          <t>A 55268-2024</t>
        </is>
      </c>
      <c r="B693" s="1" t="n">
        <v>45621.61266203703</v>
      </c>
      <c r="C693" s="1" t="n">
        <v>45989</v>
      </c>
      <c r="D693" t="inlineStr">
        <is>
          <t>DALARNAS LÄN</t>
        </is>
      </c>
      <c r="E693" t="inlineStr">
        <is>
          <t>LEKSAND</t>
        </is>
      </c>
      <c r="G693" t="n">
        <v>4.2</v>
      </c>
      <c r="H693" t="n">
        <v>0</v>
      </c>
      <c r="I693" t="n">
        <v>0</v>
      </c>
      <c r="J693" t="n">
        <v>0</v>
      </c>
      <c r="K693" t="n">
        <v>0</v>
      </c>
      <c r="L693" t="n">
        <v>0</v>
      </c>
      <c r="M693" t="n">
        <v>0</v>
      </c>
      <c r="N693" t="n">
        <v>0</v>
      </c>
      <c r="O693" t="n">
        <v>0</v>
      </c>
      <c r="P693" t="n">
        <v>0</v>
      </c>
      <c r="Q693" t="n">
        <v>0</v>
      </c>
      <c r="R693" s="2" t="inlineStr"/>
    </row>
    <row r="694" ht="15" customHeight="1">
      <c r="A694" t="inlineStr">
        <is>
          <t>A 62130-2024</t>
        </is>
      </c>
      <c r="B694" s="1" t="n">
        <v>45656.61827546296</v>
      </c>
      <c r="C694" s="1" t="n">
        <v>45989</v>
      </c>
      <c r="D694" t="inlineStr">
        <is>
          <t>DALARNAS LÄN</t>
        </is>
      </c>
      <c r="E694" t="inlineStr">
        <is>
          <t>LEKSAND</t>
        </is>
      </c>
      <c r="G694" t="n">
        <v>11.4</v>
      </c>
      <c r="H694" t="n">
        <v>0</v>
      </c>
      <c r="I694" t="n">
        <v>0</v>
      </c>
      <c r="J694" t="n">
        <v>0</v>
      </c>
      <c r="K694" t="n">
        <v>0</v>
      </c>
      <c r="L694" t="n">
        <v>0</v>
      </c>
      <c r="M694" t="n">
        <v>0</v>
      </c>
      <c r="N694" t="n">
        <v>0</v>
      </c>
      <c r="O694" t="n">
        <v>0</v>
      </c>
      <c r="P694" t="n">
        <v>0</v>
      </c>
      <c r="Q694" t="n">
        <v>0</v>
      </c>
      <c r="R694" s="2" t="inlineStr"/>
    </row>
    <row r="695" ht="15" customHeight="1">
      <c r="A695" t="inlineStr">
        <is>
          <t>A 30998-2023</t>
        </is>
      </c>
      <c r="B695" s="1" t="n">
        <v>45113.54193287037</v>
      </c>
      <c r="C695" s="1" t="n">
        <v>45989</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6519-2025</t>
        </is>
      </c>
      <c r="B696" s="1" t="n">
        <v>45699</v>
      </c>
      <c r="C696" s="1" t="n">
        <v>45989</v>
      </c>
      <c r="D696" t="inlineStr">
        <is>
          <t>DALARNAS LÄN</t>
        </is>
      </c>
      <c r="E696" t="inlineStr">
        <is>
          <t>LEKSAND</t>
        </is>
      </c>
      <c r="G696" t="n">
        <v>0.8</v>
      </c>
      <c r="H696" t="n">
        <v>0</v>
      </c>
      <c r="I696" t="n">
        <v>0</v>
      </c>
      <c r="J696" t="n">
        <v>0</v>
      </c>
      <c r="K696" t="n">
        <v>0</v>
      </c>
      <c r="L696" t="n">
        <v>0</v>
      </c>
      <c r="M696" t="n">
        <v>0</v>
      </c>
      <c r="N696" t="n">
        <v>0</v>
      </c>
      <c r="O696" t="n">
        <v>0</v>
      </c>
      <c r="P696" t="n">
        <v>0</v>
      </c>
      <c r="Q696" t="n">
        <v>0</v>
      </c>
      <c r="R696" s="2" t="inlineStr"/>
    </row>
    <row r="697" ht="15" customHeight="1">
      <c r="A697" t="inlineStr">
        <is>
          <t>A 9143-2023</t>
        </is>
      </c>
      <c r="B697" s="1" t="n">
        <v>44974</v>
      </c>
      <c r="C697" s="1" t="n">
        <v>45989</v>
      </c>
      <c r="D697" t="inlineStr">
        <is>
          <t>DALARNAS LÄN</t>
        </is>
      </c>
      <c r="E697" t="inlineStr">
        <is>
          <t>LEKSAND</t>
        </is>
      </c>
      <c r="G697" t="n">
        <v>4.3</v>
      </c>
      <c r="H697" t="n">
        <v>0</v>
      </c>
      <c r="I697" t="n">
        <v>0</v>
      </c>
      <c r="J697" t="n">
        <v>0</v>
      </c>
      <c r="K697" t="n">
        <v>0</v>
      </c>
      <c r="L697" t="n">
        <v>0</v>
      </c>
      <c r="M697" t="n">
        <v>0</v>
      </c>
      <c r="N697" t="n">
        <v>0</v>
      </c>
      <c r="O697" t="n">
        <v>0</v>
      </c>
      <c r="P697" t="n">
        <v>0</v>
      </c>
      <c r="Q697" t="n">
        <v>0</v>
      </c>
      <c r="R697" s="2" t="inlineStr"/>
    </row>
    <row r="698" ht="15" customHeight="1">
      <c r="A698" t="inlineStr">
        <is>
          <t>A 36262-2023</t>
        </is>
      </c>
      <c r="B698" s="1" t="n">
        <v>45151.9096875</v>
      </c>
      <c r="C698" s="1" t="n">
        <v>45989</v>
      </c>
      <c r="D698" t="inlineStr">
        <is>
          <t>DALARNAS LÄN</t>
        </is>
      </c>
      <c r="E698" t="inlineStr">
        <is>
          <t>LEKSAND</t>
        </is>
      </c>
      <c r="G698" t="n">
        <v>1.2</v>
      </c>
      <c r="H698" t="n">
        <v>0</v>
      </c>
      <c r="I698" t="n">
        <v>0</v>
      </c>
      <c r="J698" t="n">
        <v>0</v>
      </c>
      <c r="K698" t="n">
        <v>0</v>
      </c>
      <c r="L698" t="n">
        <v>0</v>
      </c>
      <c r="M698" t="n">
        <v>0</v>
      </c>
      <c r="N698" t="n">
        <v>0</v>
      </c>
      <c r="O698" t="n">
        <v>0</v>
      </c>
      <c r="P698" t="n">
        <v>0</v>
      </c>
      <c r="Q698" t="n">
        <v>0</v>
      </c>
      <c r="R698" s="2" t="inlineStr"/>
    </row>
    <row r="699" ht="15" customHeight="1">
      <c r="A699" t="inlineStr">
        <is>
          <t>A 60095-2022</t>
        </is>
      </c>
      <c r="B699" s="1" t="n">
        <v>44909</v>
      </c>
      <c r="C699" s="1" t="n">
        <v>45989</v>
      </c>
      <c r="D699" t="inlineStr">
        <is>
          <t>DALARNAS LÄN</t>
        </is>
      </c>
      <c r="E699" t="inlineStr">
        <is>
          <t>LEKSAND</t>
        </is>
      </c>
      <c r="G699" t="n">
        <v>2.4</v>
      </c>
      <c r="H699" t="n">
        <v>0</v>
      </c>
      <c r="I699" t="n">
        <v>0</v>
      </c>
      <c r="J699" t="n">
        <v>0</v>
      </c>
      <c r="K699" t="n">
        <v>0</v>
      </c>
      <c r="L699" t="n">
        <v>0</v>
      </c>
      <c r="M699" t="n">
        <v>0</v>
      </c>
      <c r="N699" t="n">
        <v>0</v>
      </c>
      <c r="O699" t="n">
        <v>0</v>
      </c>
      <c r="P699" t="n">
        <v>0</v>
      </c>
      <c r="Q699" t="n">
        <v>0</v>
      </c>
      <c r="R699" s="2" t="inlineStr"/>
    </row>
    <row r="700" ht="15" customHeight="1">
      <c r="A700" t="inlineStr">
        <is>
          <t>A 38117-2023</t>
        </is>
      </c>
      <c r="B700" s="1" t="n">
        <v>45161</v>
      </c>
      <c r="C700" s="1" t="n">
        <v>45989</v>
      </c>
      <c r="D700" t="inlineStr">
        <is>
          <t>DALARNAS LÄN</t>
        </is>
      </c>
      <c r="E700" t="inlineStr">
        <is>
          <t>LEKSAND</t>
        </is>
      </c>
      <c r="G700" t="n">
        <v>1.5</v>
      </c>
      <c r="H700" t="n">
        <v>0</v>
      </c>
      <c r="I700" t="n">
        <v>0</v>
      </c>
      <c r="J700" t="n">
        <v>0</v>
      </c>
      <c r="K700" t="n">
        <v>0</v>
      </c>
      <c r="L700" t="n">
        <v>0</v>
      </c>
      <c r="M700" t="n">
        <v>0</v>
      </c>
      <c r="N700" t="n">
        <v>0</v>
      </c>
      <c r="O700" t="n">
        <v>0</v>
      </c>
      <c r="P700" t="n">
        <v>0</v>
      </c>
      <c r="Q700" t="n">
        <v>0</v>
      </c>
      <c r="R700" s="2" t="inlineStr"/>
    </row>
    <row r="701" ht="15" customHeight="1">
      <c r="A701" t="inlineStr">
        <is>
          <t>A 11418-2023</t>
        </is>
      </c>
      <c r="B701" s="1" t="n">
        <v>44993</v>
      </c>
      <c r="C701" s="1" t="n">
        <v>45989</v>
      </c>
      <c r="D701" t="inlineStr">
        <is>
          <t>DALARNAS LÄN</t>
        </is>
      </c>
      <c r="E701" t="inlineStr">
        <is>
          <t>LEKSAND</t>
        </is>
      </c>
      <c r="G701" t="n">
        <v>2.7</v>
      </c>
      <c r="H701" t="n">
        <v>0</v>
      </c>
      <c r="I701" t="n">
        <v>0</v>
      </c>
      <c r="J701" t="n">
        <v>0</v>
      </c>
      <c r="K701" t="n">
        <v>0</v>
      </c>
      <c r="L701" t="n">
        <v>0</v>
      </c>
      <c r="M701" t="n">
        <v>0</v>
      </c>
      <c r="N701" t="n">
        <v>0</v>
      </c>
      <c r="O701" t="n">
        <v>0</v>
      </c>
      <c r="P701" t="n">
        <v>0</v>
      </c>
      <c r="Q701" t="n">
        <v>0</v>
      </c>
      <c r="R701" s="2" t="inlineStr"/>
    </row>
    <row r="702" ht="15" customHeight="1">
      <c r="A702" t="inlineStr">
        <is>
          <t>A 39558-2023</t>
        </is>
      </c>
      <c r="B702" s="1" t="n">
        <v>45167.38664351852</v>
      </c>
      <c r="C702" s="1" t="n">
        <v>45989</v>
      </c>
      <c r="D702" t="inlineStr">
        <is>
          <t>DALARNAS LÄN</t>
        </is>
      </c>
      <c r="E702" t="inlineStr">
        <is>
          <t>LEKSAND</t>
        </is>
      </c>
      <c r="G702" t="n">
        <v>39.9</v>
      </c>
      <c r="H702" t="n">
        <v>0</v>
      </c>
      <c r="I702" t="n">
        <v>0</v>
      </c>
      <c r="J702" t="n">
        <v>0</v>
      </c>
      <c r="K702" t="n">
        <v>0</v>
      </c>
      <c r="L702" t="n">
        <v>0</v>
      </c>
      <c r="M702" t="n">
        <v>0</v>
      </c>
      <c r="N702" t="n">
        <v>0</v>
      </c>
      <c r="O702" t="n">
        <v>0</v>
      </c>
      <c r="P702" t="n">
        <v>0</v>
      </c>
      <c r="Q702" t="n">
        <v>0</v>
      </c>
      <c r="R702" s="2" t="inlineStr"/>
    </row>
    <row r="703" ht="15" customHeight="1">
      <c r="A703" t="inlineStr">
        <is>
          <t>A 43222-2024</t>
        </is>
      </c>
      <c r="B703" s="1" t="n">
        <v>45567.87177083334</v>
      </c>
      <c r="C703" s="1" t="n">
        <v>45989</v>
      </c>
      <c r="D703" t="inlineStr">
        <is>
          <t>DALARNAS LÄN</t>
        </is>
      </c>
      <c r="E703" t="inlineStr">
        <is>
          <t>LEKSAND</t>
        </is>
      </c>
      <c r="F703" t="inlineStr">
        <is>
          <t>Bergvik skog väst AB</t>
        </is>
      </c>
      <c r="G703" t="n">
        <v>8.6</v>
      </c>
      <c r="H703" t="n">
        <v>0</v>
      </c>
      <c r="I703" t="n">
        <v>0</v>
      </c>
      <c r="J703" t="n">
        <v>0</v>
      </c>
      <c r="K703" t="n">
        <v>0</v>
      </c>
      <c r="L703" t="n">
        <v>0</v>
      </c>
      <c r="M703" t="n">
        <v>0</v>
      </c>
      <c r="N703" t="n">
        <v>0</v>
      </c>
      <c r="O703" t="n">
        <v>0</v>
      </c>
      <c r="P703" t="n">
        <v>0</v>
      </c>
      <c r="Q703" t="n">
        <v>0</v>
      </c>
      <c r="R703" s="2" t="inlineStr"/>
    </row>
    <row r="704" ht="15" customHeight="1">
      <c r="A704" t="inlineStr">
        <is>
          <t>A 43231-2024</t>
        </is>
      </c>
      <c r="B704" s="1" t="n">
        <v>45567.89709490741</v>
      </c>
      <c r="C704" s="1" t="n">
        <v>45989</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45989</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64516-2023</t>
        </is>
      </c>
      <c r="B706" s="1" t="n">
        <v>45280</v>
      </c>
      <c r="C706" s="1" t="n">
        <v>45989</v>
      </c>
      <c r="D706" t="inlineStr">
        <is>
          <t>DALARNAS LÄN</t>
        </is>
      </c>
      <c r="E706" t="inlineStr">
        <is>
          <t>LEKSAND</t>
        </is>
      </c>
      <c r="G706" t="n">
        <v>4.4</v>
      </c>
      <c r="H706" t="n">
        <v>0</v>
      </c>
      <c r="I706" t="n">
        <v>0</v>
      </c>
      <c r="J706" t="n">
        <v>0</v>
      </c>
      <c r="K706" t="n">
        <v>0</v>
      </c>
      <c r="L706" t="n">
        <v>0</v>
      </c>
      <c r="M706" t="n">
        <v>0</v>
      </c>
      <c r="N706" t="n">
        <v>0</v>
      </c>
      <c r="O706" t="n">
        <v>0</v>
      </c>
      <c r="P706" t="n">
        <v>0</v>
      </c>
      <c r="Q706" t="n">
        <v>0</v>
      </c>
      <c r="R706" s="2" t="inlineStr"/>
    </row>
    <row r="707" ht="15" customHeight="1">
      <c r="A707" t="inlineStr">
        <is>
          <t>A 53799-2023</t>
        </is>
      </c>
      <c r="B707" s="1" t="n">
        <v>45231.35564814815</v>
      </c>
      <c r="C707" s="1" t="n">
        <v>45989</v>
      </c>
      <c r="D707" t="inlineStr">
        <is>
          <t>DALARNAS LÄN</t>
        </is>
      </c>
      <c r="E707" t="inlineStr">
        <is>
          <t>LEKSAND</t>
        </is>
      </c>
      <c r="F707" t="inlineStr">
        <is>
          <t>Bergvik skog väst AB</t>
        </is>
      </c>
      <c r="G707" t="n">
        <v>0.9</v>
      </c>
      <c r="H707" t="n">
        <v>0</v>
      </c>
      <c r="I707" t="n">
        <v>0</v>
      </c>
      <c r="J707" t="n">
        <v>0</v>
      </c>
      <c r="K707" t="n">
        <v>0</v>
      </c>
      <c r="L707" t="n">
        <v>0</v>
      </c>
      <c r="M707" t="n">
        <v>0</v>
      </c>
      <c r="N707" t="n">
        <v>0</v>
      </c>
      <c r="O707" t="n">
        <v>0</v>
      </c>
      <c r="P707" t="n">
        <v>0</v>
      </c>
      <c r="Q707" t="n">
        <v>0</v>
      </c>
      <c r="R707" s="2" t="inlineStr"/>
    </row>
    <row r="708" ht="15" customHeight="1">
      <c r="A708" t="inlineStr">
        <is>
          <t>A 40193-2024</t>
        </is>
      </c>
      <c r="B708" s="1" t="n">
        <v>45554.5734375</v>
      </c>
      <c r="C708" s="1" t="n">
        <v>45989</v>
      </c>
      <c r="D708" t="inlineStr">
        <is>
          <t>DALARNAS LÄN</t>
        </is>
      </c>
      <c r="E708" t="inlineStr">
        <is>
          <t>LEKSAND</t>
        </is>
      </c>
      <c r="F708" t="inlineStr">
        <is>
          <t>Övriga statliga verk och myndigheter</t>
        </is>
      </c>
      <c r="G708" t="n">
        <v>1</v>
      </c>
      <c r="H708" t="n">
        <v>0</v>
      </c>
      <c r="I708" t="n">
        <v>0</v>
      </c>
      <c r="J708" t="n">
        <v>0</v>
      </c>
      <c r="K708" t="n">
        <v>0</v>
      </c>
      <c r="L708" t="n">
        <v>0</v>
      </c>
      <c r="M708" t="n">
        <v>0</v>
      </c>
      <c r="N708" t="n">
        <v>0</v>
      </c>
      <c r="O708" t="n">
        <v>0</v>
      </c>
      <c r="P708" t="n">
        <v>0</v>
      </c>
      <c r="Q708" t="n">
        <v>0</v>
      </c>
      <c r="R708" s="2" t="inlineStr"/>
    </row>
    <row r="709" ht="15" customHeight="1">
      <c r="A709" t="inlineStr">
        <is>
          <t>A 31728-2024</t>
        </is>
      </c>
      <c r="B709" s="1" t="n">
        <v>45509.34517361111</v>
      </c>
      <c r="C709" s="1" t="n">
        <v>45989</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32394-2024</t>
        </is>
      </c>
      <c r="B710" s="1" t="n">
        <v>45512.64349537037</v>
      </c>
      <c r="C710" s="1" t="n">
        <v>45989</v>
      </c>
      <c r="D710" t="inlineStr">
        <is>
          <t>DALARNAS LÄN</t>
        </is>
      </c>
      <c r="E710" t="inlineStr">
        <is>
          <t>LEKSAND</t>
        </is>
      </c>
      <c r="F710" t="inlineStr">
        <is>
          <t>Bergvik skog väst AB</t>
        </is>
      </c>
      <c r="G710" t="n">
        <v>6</v>
      </c>
      <c r="H710" t="n">
        <v>0</v>
      </c>
      <c r="I710" t="n">
        <v>0</v>
      </c>
      <c r="J710" t="n">
        <v>0</v>
      </c>
      <c r="K710" t="n">
        <v>0</v>
      </c>
      <c r="L710" t="n">
        <v>0</v>
      </c>
      <c r="M710" t="n">
        <v>0</v>
      </c>
      <c r="N710" t="n">
        <v>0</v>
      </c>
      <c r="O710" t="n">
        <v>0</v>
      </c>
      <c r="P710" t="n">
        <v>0</v>
      </c>
      <c r="Q710" t="n">
        <v>0</v>
      </c>
      <c r="R710" s="2" t="inlineStr"/>
    </row>
    <row r="711" ht="15" customHeight="1">
      <c r="A711" t="inlineStr">
        <is>
          <t>A 43221-2024</t>
        </is>
      </c>
      <c r="B711" s="1" t="n">
        <v>45567.86695601852</v>
      </c>
      <c r="C711" s="1" t="n">
        <v>45989</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21839-2022</t>
        </is>
      </c>
      <c r="B712" s="1" t="n">
        <v>44711</v>
      </c>
      <c r="C712" s="1" t="n">
        <v>45989</v>
      </c>
      <c r="D712" t="inlineStr">
        <is>
          <t>DALARNAS LÄN</t>
        </is>
      </c>
      <c r="E712" t="inlineStr">
        <is>
          <t>LEKSAND</t>
        </is>
      </c>
      <c r="F712" t="inlineStr">
        <is>
          <t>Bergvik skog väst AB</t>
        </is>
      </c>
      <c r="G712" t="n">
        <v>3</v>
      </c>
      <c r="H712" t="n">
        <v>0</v>
      </c>
      <c r="I712" t="n">
        <v>0</v>
      </c>
      <c r="J712" t="n">
        <v>0</v>
      </c>
      <c r="K712" t="n">
        <v>0</v>
      </c>
      <c r="L712" t="n">
        <v>0</v>
      </c>
      <c r="M712" t="n">
        <v>0</v>
      </c>
      <c r="N712" t="n">
        <v>0</v>
      </c>
      <c r="O712" t="n">
        <v>0</v>
      </c>
      <c r="P712" t="n">
        <v>0</v>
      </c>
      <c r="Q712" t="n">
        <v>0</v>
      </c>
      <c r="R712" s="2" t="inlineStr"/>
    </row>
    <row r="713" ht="15" customHeight="1">
      <c r="A713" t="inlineStr">
        <is>
          <t>A 22388-2024</t>
        </is>
      </c>
      <c r="B713" s="1" t="n">
        <v>45446</v>
      </c>
      <c r="C713" s="1" t="n">
        <v>45989</v>
      </c>
      <c r="D713" t="inlineStr">
        <is>
          <t>DALARNAS LÄN</t>
        </is>
      </c>
      <c r="E713" t="inlineStr">
        <is>
          <t>LEKSAND</t>
        </is>
      </c>
      <c r="F713" t="inlineStr">
        <is>
          <t>Bergvik skog väst AB</t>
        </is>
      </c>
      <c r="G713" t="n">
        <v>5.3</v>
      </c>
      <c r="H713" t="n">
        <v>0</v>
      </c>
      <c r="I713" t="n">
        <v>0</v>
      </c>
      <c r="J713" t="n">
        <v>0</v>
      </c>
      <c r="K713" t="n">
        <v>0</v>
      </c>
      <c r="L713" t="n">
        <v>0</v>
      </c>
      <c r="M713" t="n">
        <v>0</v>
      </c>
      <c r="N713" t="n">
        <v>0</v>
      </c>
      <c r="O713" t="n">
        <v>0</v>
      </c>
      <c r="P713" t="n">
        <v>0</v>
      </c>
      <c r="Q713" t="n">
        <v>0</v>
      </c>
      <c r="R713" s="2" t="inlineStr"/>
    </row>
    <row r="714" ht="15" customHeight="1">
      <c r="A714" t="inlineStr">
        <is>
          <t>A 15120-2023</t>
        </is>
      </c>
      <c r="B714" s="1" t="n">
        <v>45016.46484953703</v>
      </c>
      <c r="C714" s="1" t="n">
        <v>45989</v>
      </c>
      <c r="D714" t="inlineStr">
        <is>
          <t>DALARNAS LÄN</t>
        </is>
      </c>
      <c r="E714" t="inlineStr">
        <is>
          <t>LEKSAND</t>
        </is>
      </c>
      <c r="G714" t="n">
        <v>2.7</v>
      </c>
      <c r="H714" t="n">
        <v>0</v>
      </c>
      <c r="I714" t="n">
        <v>0</v>
      </c>
      <c r="J714" t="n">
        <v>0</v>
      </c>
      <c r="K714" t="n">
        <v>0</v>
      </c>
      <c r="L714" t="n">
        <v>0</v>
      </c>
      <c r="M714" t="n">
        <v>0</v>
      </c>
      <c r="N714" t="n">
        <v>0</v>
      </c>
      <c r="O714" t="n">
        <v>0</v>
      </c>
      <c r="P714" t="n">
        <v>0</v>
      </c>
      <c r="Q714" t="n">
        <v>0</v>
      </c>
      <c r="R714" s="2" t="inlineStr"/>
    </row>
    <row r="715" ht="15" customHeight="1">
      <c r="A715" t="inlineStr">
        <is>
          <t>A 17413-2023</t>
        </is>
      </c>
      <c r="B715" s="1" t="n">
        <v>45035</v>
      </c>
      <c r="C715" s="1" t="n">
        <v>45989</v>
      </c>
      <c r="D715" t="inlineStr">
        <is>
          <t>DALARNAS LÄN</t>
        </is>
      </c>
      <c r="E715" t="inlineStr">
        <is>
          <t>LEKSAND</t>
        </is>
      </c>
      <c r="G715" t="n">
        <v>1.7</v>
      </c>
      <c r="H715" t="n">
        <v>0</v>
      </c>
      <c r="I715" t="n">
        <v>0</v>
      </c>
      <c r="J715" t="n">
        <v>0</v>
      </c>
      <c r="K715" t="n">
        <v>0</v>
      </c>
      <c r="L715" t="n">
        <v>0</v>
      </c>
      <c r="M715" t="n">
        <v>0</v>
      </c>
      <c r="N715" t="n">
        <v>0</v>
      </c>
      <c r="O715" t="n">
        <v>0</v>
      </c>
      <c r="P715" t="n">
        <v>0</v>
      </c>
      <c r="Q715" t="n">
        <v>0</v>
      </c>
      <c r="R715" s="2" t="inlineStr"/>
    </row>
    <row r="716" ht="15" customHeight="1">
      <c r="A716" t="inlineStr">
        <is>
          <t>A 9138-2023</t>
        </is>
      </c>
      <c r="B716" s="1" t="n">
        <v>44974</v>
      </c>
      <c r="C716" s="1" t="n">
        <v>45989</v>
      </c>
      <c r="D716" t="inlineStr">
        <is>
          <t>DALARNAS LÄN</t>
        </is>
      </c>
      <c r="E716" t="inlineStr">
        <is>
          <t>LEKSAND</t>
        </is>
      </c>
      <c r="G716" t="n">
        <v>4.6</v>
      </c>
      <c r="H716" t="n">
        <v>0</v>
      </c>
      <c r="I716" t="n">
        <v>0</v>
      </c>
      <c r="J716" t="n">
        <v>0</v>
      </c>
      <c r="K716" t="n">
        <v>0</v>
      </c>
      <c r="L716" t="n">
        <v>0</v>
      </c>
      <c r="M716" t="n">
        <v>0</v>
      </c>
      <c r="N716" t="n">
        <v>0</v>
      </c>
      <c r="O716" t="n">
        <v>0</v>
      </c>
      <c r="P716" t="n">
        <v>0</v>
      </c>
      <c r="Q716" t="n">
        <v>0</v>
      </c>
      <c r="R716" s="2" t="inlineStr"/>
    </row>
    <row r="717" ht="15" customHeight="1">
      <c r="A717" t="inlineStr">
        <is>
          <t>A 61680-2024</t>
        </is>
      </c>
      <c r="B717" s="1" t="n">
        <v>45647.42890046296</v>
      </c>
      <c r="C717" s="1" t="n">
        <v>45989</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54911-2024</t>
        </is>
      </c>
      <c r="B718" s="1" t="n">
        <v>45618.68929398148</v>
      </c>
      <c r="C718" s="1" t="n">
        <v>45989</v>
      </c>
      <c r="D718" t="inlineStr">
        <is>
          <t>DALARNAS LÄN</t>
        </is>
      </c>
      <c r="E718" t="inlineStr">
        <is>
          <t>LEKSAND</t>
        </is>
      </c>
      <c r="G718" t="n">
        <v>0.9</v>
      </c>
      <c r="H718" t="n">
        <v>0</v>
      </c>
      <c r="I718" t="n">
        <v>0</v>
      </c>
      <c r="J718" t="n">
        <v>0</v>
      </c>
      <c r="K718" t="n">
        <v>0</v>
      </c>
      <c r="L718" t="n">
        <v>0</v>
      </c>
      <c r="M718" t="n">
        <v>0</v>
      </c>
      <c r="N718" t="n">
        <v>0</v>
      </c>
      <c r="O718" t="n">
        <v>0</v>
      </c>
      <c r="P718" t="n">
        <v>0</v>
      </c>
      <c r="Q718" t="n">
        <v>0</v>
      </c>
      <c r="R718" s="2" t="inlineStr"/>
    </row>
    <row r="719" ht="15" customHeight="1">
      <c r="A719" t="inlineStr">
        <is>
          <t>A 16611-2024</t>
        </is>
      </c>
      <c r="B719" s="1" t="n">
        <v>45408.55504629629</v>
      </c>
      <c r="C719" s="1" t="n">
        <v>45989</v>
      </c>
      <c r="D719" t="inlineStr">
        <is>
          <t>DALARNAS LÄN</t>
        </is>
      </c>
      <c r="E719" t="inlineStr">
        <is>
          <t>LEKSAND</t>
        </is>
      </c>
      <c r="G719" t="n">
        <v>5.9</v>
      </c>
      <c r="H719" t="n">
        <v>0</v>
      </c>
      <c r="I719" t="n">
        <v>0</v>
      </c>
      <c r="J719" t="n">
        <v>0</v>
      </c>
      <c r="K719" t="n">
        <v>0</v>
      </c>
      <c r="L719" t="n">
        <v>0</v>
      </c>
      <c r="M719" t="n">
        <v>0</v>
      </c>
      <c r="N719" t="n">
        <v>0</v>
      </c>
      <c r="O719" t="n">
        <v>0</v>
      </c>
      <c r="P719" t="n">
        <v>0</v>
      </c>
      <c r="Q719" t="n">
        <v>0</v>
      </c>
      <c r="R719" s="2" t="inlineStr"/>
    </row>
    <row r="720" ht="15" customHeight="1">
      <c r="A720" t="inlineStr">
        <is>
          <t>A 5574-2024</t>
        </is>
      </c>
      <c r="B720" s="1" t="n">
        <v>45334</v>
      </c>
      <c r="C720" s="1" t="n">
        <v>45989</v>
      </c>
      <c r="D720" t="inlineStr">
        <is>
          <t>DALARNAS LÄN</t>
        </is>
      </c>
      <c r="E720" t="inlineStr">
        <is>
          <t>LEKSAND</t>
        </is>
      </c>
      <c r="G720" t="n">
        <v>0.4</v>
      </c>
      <c r="H720" t="n">
        <v>0</v>
      </c>
      <c r="I720" t="n">
        <v>0</v>
      </c>
      <c r="J720" t="n">
        <v>0</v>
      </c>
      <c r="K720" t="n">
        <v>0</v>
      </c>
      <c r="L720" t="n">
        <v>0</v>
      </c>
      <c r="M720" t="n">
        <v>0</v>
      </c>
      <c r="N720" t="n">
        <v>0</v>
      </c>
      <c r="O720" t="n">
        <v>0</v>
      </c>
      <c r="P720" t="n">
        <v>0</v>
      </c>
      <c r="Q720" t="n">
        <v>0</v>
      </c>
      <c r="R720" s="2" t="inlineStr"/>
    </row>
    <row r="721" ht="15" customHeight="1">
      <c r="A721" t="inlineStr">
        <is>
          <t>A 45512-2023</t>
        </is>
      </c>
      <c r="B721" s="1" t="n">
        <v>45194.49178240741</v>
      </c>
      <c r="C721" s="1" t="n">
        <v>45989</v>
      </c>
      <c r="D721" t="inlineStr">
        <is>
          <t>DALARNAS LÄN</t>
        </is>
      </c>
      <c r="E721" t="inlineStr">
        <is>
          <t>LEKSAND</t>
        </is>
      </c>
      <c r="F721" t="inlineStr">
        <is>
          <t>Bergvik skog väst AB</t>
        </is>
      </c>
      <c r="G721" t="n">
        <v>3.4</v>
      </c>
      <c r="H721" t="n">
        <v>0</v>
      </c>
      <c r="I721" t="n">
        <v>0</v>
      </c>
      <c r="J721" t="n">
        <v>0</v>
      </c>
      <c r="K721" t="n">
        <v>0</v>
      </c>
      <c r="L721" t="n">
        <v>0</v>
      </c>
      <c r="M721" t="n">
        <v>0</v>
      </c>
      <c r="N721" t="n">
        <v>0</v>
      </c>
      <c r="O721" t="n">
        <v>0</v>
      </c>
      <c r="P721" t="n">
        <v>0</v>
      </c>
      <c r="Q721" t="n">
        <v>0</v>
      </c>
      <c r="R721" s="2" t="inlineStr"/>
    </row>
    <row r="722" ht="15" customHeight="1">
      <c r="A722" t="inlineStr">
        <is>
          <t>A 402-2024</t>
        </is>
      </c>
      <c r="B722" s="1" t="n">
        <v>45296.45545138889</v>
      </c>
      <c r="C722" s="1" t="n">
        <v>45989</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7778-2025</t>
        </is>
      </c>
      <c r="B723" s="1" t="n">
        <v>45706</v>
      </c>
      <c r="C723" s="1" t="n">
        <v>45989</v>
      </c>
      <c r="D723" t="inlineStr">
        <is>
          <t>DALARNAS LÄN</t>
        </is>
      </c>
      <c r="E723" t="inlineStr">
        <is>
          <t>LEKSAND</t>
        </is>
      </c>
      <c r="G723" t="n">
        <v>2.2</v>
      </c>
      <c r="H723" t="n">
        <v>0</v>
      </c>
      <c r="I723" t="n">
        <v>0</v>
      </c>
      <c r="J723" t="n">
        <v>0</v>
      </c>
      <c r="K723" t="n">
        <v>0</v>
      </c>
      <c r="L723" t="n">
        <v>0</v>
      </c>
      <c r="M723" t="n">
        <v>0</v>
      </c>
      <c r="N723" t="n">
        <v>0</v>
      </c>
      <c r="O723" t="n">
        <v>0</v>
      </c>
      <c r="P723" t="n">
        <v>0</v>
      </c>
      <c r="Q723" t="n">
        <v>0</v>
      </c>
      <c r="R723" s="2" t="inlineStr"/>
    </row>
    <row r="724" ht="15" customHeight="1">
      <c r="A724" t="inlineStr">
        <is>
          <t>A 19590-2023</t>
        </is>
      </c>
      <c r="B724" s="1" t="n">
        <v>45049</v>
      </c>
      <c r="C724" s="1" t="n">
        <v>45989</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39807-2024</t>
        </is>
      </c>
      <c r="B725" s="1" t="n">
        <v>45553.35763888889</v>
      </c>
      <c r="C725" s="1" t="n">
        <v>45989</v>
      </c>
      <c r="D725" t="inlineStr">
        <is>
          <t>DALARNAS LÄN</t>
        </is>
      </c>
      <c r="E725" t="inlineStr">
        <is>
          <t>LEKSAND</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31850-2024</t>
        </is>
      </c>
      <c r="B726" s="1" t="n">
        <v>45509.67334490741</v>
      </c>
      <c r="C726" s="1" t="n">
        <v>45989</v>
      </c>
      <c r="D726" t="inlineStr">
        <is>
          <t>DALARNAS LÄN</t>
        </is>
      </c>
      <c r="E726" t="inlineStr">
        <is>
          <t>LEKSAND</t>
        </is>
      </c>
      <c r="G726" t="n">
        <v>0.5</v>
      </c>
      <c r="H726" t="n">
        <v>0</v>
      </c>
      <c r="I726" t="n">
        <v>0</v>
      </c>
      <c r="J726" t="n">
        <v>0</v>
      </c>
      <c r="K726" t="n">
        <v>0</v>
      </c>
      <c r="L726" t="n">
        <v>0</v>
      </c>
      <c r="M726" t="n">
        <v>0</v>
      </c>
      <c r="N726" t="n">
        <v>0</v>
      </c>
      <c r="O726" t="n">
        <v>0</v>
      </c>
      <c r="P726" t="n">
        <v>0</v>
      </c>
      <c r="Q726" t="n">
        <v>0</v>
      </c>
      <c r="R726" s="2" t="inlineStr"/>
    </row>
    <row r="727" ht="15" customHeight="1">
      <c r="A727" t="inlineStr">
        <is>
          <t>A 11277-2025</t>
        </is>
      </c>
      <c r="B727" s="1" t="n">
        <v>45726.41565972222</v>
      </c>
      <c r="C727" s="1" t="n">
        <v>45989</v>
      </c>
      <c r="D727" t="inlineStr">
        <is>
          <t>DALARNAS LÄN</t>
        </is>
      </c>
      <c r="E727" t="inlineStr">
        <is>
          <t>LEKSAND</t>
        </is>
      </c>
      <c r="G727" t="n">
        <v>2</v>
      </c>
      <c r="H727" t="n">
        <v>0</v>
      </c>
      <c r="I727" t="n">
        <v>0</v>
      </c>
      <c r="J727" t="n">
        <v>0</v>
      </c>
      <c r="K727" t="n">
        <v>0</v>
      </c>
      <c r="L727" t="n">
        <v>0</v>
      </c>
      <c r="M727" t="n">
        <v>0</v>
      </c>
      <c r="N727" t="n">
        <v>0</v>
      </c>
      <c r="O727" t="n">
        <v>0</v>
      </c>
      <c r="P727" t="n">
        <v>0</v>
      </c>
      <c r="Q727" t="n">
        <v>0</v>
      </c>
      <c r="R727" s="2" t="inlineStr"/>
    </row>
    <row r="728" ht="15" customHeight="1">
      <c r="A728" t="inlineStr">
        <is>
          <t>A 325-2023</t>
        </is>
      </c>
      <c r="B728" s="1" t="n">
        <v>44929</v>
      </c>
      <c r="C728" s="1" t="n">
        <v>45989</v>
      </c>
      <c r="D728" t="inlineStr">
        <is>
          <t>DALARNAS LÄN</t>
        </is>
      </c>
      <c r="E728" t="inlineStr">
        <is>
          <t>LEKSAND</t>
        </is>
      </c>
      <c r="F728" t="inlineStr">
        <is>
          <t>Övriga Aktiebolag</t>
        </is>
      </c>
      <c r="G728" t="n">
        <v>7.1</v>
      </c>
      <c r="H728" t="n">
        <v>0</v>
      </c>
      <c r="I728" t="n">
        <v>0</v>
      </c>
      <c r="J728" t="n">
        <v>0</v>
      </c>
      <c r="K728" t="n">
        <v>0</v>
      </c>
      <c r="L728" t="n">
        <v>0</v>
      </c>
      <c r="M728" t="n">
        <v>0</v>
      </c>
      <c r="N728" t="n">
        <v>0</v>
      </c>
      <c r="O728" t="n">
        <v>0</v>
      </c>
      <c r="P728" t="n">
        <v>0</v>
      </c>
      <c r="Q728" t="n">
        <v>0</v>
      </c>
      <c r="R728" s="2" t="inlineStr"/>
    </row>
    <row r="729" ht="15" customHeight="1">
      <c r="A729" t="inlineStr">
        <is>
          <t>A 11678-2025</t>
        </is>
      </c>
      <c r="B729" s="1" t="n">
        <v>45726</v>
      </c>
      <c r="C729" s="1" t="n">
        <v>45989</v>
      </c>
      <c r="D729" t="inlineStr">
        <is>
          <t>DALARNAS LÄN</t>
        </is>
      </c>
      <c r="E729" t="inlineStr">
        <is>
          <t>LEKSAND</t>
        </is>
      </c>
      <c r="G729" t="n">
        <v>9.4</v>
      </c>
      <c r="H729" t="n">
        <v>0</v>
      </c>
      <c r="I729" t="n">
        <v>0</v>
      </c>
      <c r="J729" t="n">
        <v>0</v>
      </c>
      <c r="K729" t="n">
        <v>0</v>
      </c>
      <c r="L729" t="n">
        <v>0</v>
      </c>
      <c r="M729" t="n">
        <v>0</v>
      </c>
      <c r="N729" t="n">
        <v>0</v>
      </c>
      <c r="O729" t="n">
        <v>0</v>
      </c>
      <c r="P729" t="n">
        <v>0</v>
      </c>
      <c r="Q729" t="n">
        <v>0</v>
      </c>
      <c r="R729" s="2" t="inlineStr"/>
    </row>
    <row r="730" ht="15" customHeight="1">
      <c r="A730" t="inlineStr">
        <is>
          <t>A 28630-2023</t>
        </is>
      </c>
      <c r="B730" s="1" t="n">
        <v>45103.61003472222</v>
      </c>
      <c r="C730" s="1" t="n">
        <v>45989</v>
      </c>
      <c r="D730" t="inlineStr">
        <is>
          <t>DALARNAS LÄN</t>
        </is>
      </c>
      <c r="E730" t="inlineStr">
        <is>
          <t>LEKSAND</t>
        </is>
      </c>
      <c r="F730" t="inlineStr">
        <is>
          <t>Bergvik skog väst AB</t>
        </is>
      </c>
      <c r="G730" t="n">
        <v>0.3</v>
      </c>
      <c r="H730" t="n">
        <v>0</v>
      </c>
      <c r="I730" t="n">
        <v>0</v>
      </c>
      <c r="J730" t="n">
        <v>0</v>
      </c>
      <c r="K730" t="n">
        <v>0</v>
      </c>
      <c r="L730" t="n">
        <v>0</v>
      </c>
      <c r="M730" t="n">
        <v>0</v>
      </c>
      <c r="N730" t="n">
        <v>0</v>
      </c>
      <c r="O730" t="n">
        <v>0</v>
      </c>
      <c r="P730" t="n">
        <v>0</v>
      </c>
      <c r="Q730" t="n">
        <v>0</v>
      </c>
      <c r="R730" s="2" t="inlineStr"/>
    </row>
    <row r="731" ht="15" customHeight="1">
      <c r="A731" t="inlineStr">
        <is>
          <t>A 7759-2025</t>
        </is>
      </c>
      <c r="B731" s="1" t="n">
        <v>45706.53827546296</v>
      </c>
      <c r="C731" s="1" t="n">
        <v>45989</v>
      </c>
      <c r="D731" t="inlineStr">
        <is>
          <t>DALARNAS LÄN</t>
        </is>
      </c>
      <c r="E731" t="inlineStr">
        <is>
          <t>LEKSAND</t>
        </is>
      </c>
      <c r="G731" t="n">
        <v>3.3</v>
      </c>
      <c r="H731" t="n">
        <v>0</v>
      </c>
      <c r="I731" t="n">
        <v>0</v>
      </c>
      <c r="J731" t="n">
        <v>0</v>
      </c>
      <c r="K731" t="n">
        <v>0</v>
      </c>
      <c r="L731" t="n">
        <v>0</v>
      </c>
      <c r="M731" t="n">
        <v>0</v>
      </c>
      <c r="N731" t="n">
        <v>0</v>
      </c>
      <c r="O731" t="n">
        <v>0</v>
      </c>
      <c r="P731" t="n">
        <v>0</v>
      </c>
      <c r="Q731" t="n">
        <v>0</v>
      </c>
      <c r="R731" s="2" t="inlineStr"/>
    </row>
    <row r="732" ht="15" customHeight="1">
      <c r="A732" t="inlineStr">
        <is>
          <t>A 17078-2023</t>
        </is>
      </c>
      <c r="B732" s="1" t="n">
        <v>45034</v>
      </c>
      <c r="C732" s="1" t="n">
        <v>45989</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14865-2025</t>
        </is>
      </c>
      <c r="B733" s="1" t="n">
        <v>45743.43929398148</v>
      </c>
      <c r="C733" s="1" t="n">
        <v>45989</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16854-2025</t>
        </is>
      </c>
      <c r="B734" s="1" t="n">
        <v>45754.72883101852</v>
      </c>
      <c r="C734" s="1" t="n">
        <v>45989</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5847-2025</t>
        </is>
      </c>
      <c r="B735" s="1" t="n">
        <v>45695.30824074074</v>
      </c>
      <c r="C735" s="1" t="n">
        <v>45989</v>
      </c>
      <c r="D735" t="inlineStr">
        <is>
          <t>DALARNAS LÄN</t>
        </is>
      </c>
      <c r="E735" t="inlineStr">
        <is>
          <t>LEKSAND</t>
        </is>
      </c>
      <c r="G735" t="n">
        <v>2.6</v>
      </c>
      <c r="H735" t="n">
        <v>0</v>
      </c>
      <c r="I735" t="n">
        <v>0</v>
      </c>
      <c r="J735" t="n">
        <v>0</v>
      </c>
      <c r="K735" t="n">
        <v>0</v>
      </c>
      <c r="L735" t="n">
        <v>0</v>
      </c>
      <c r="M735" t="n">
        <v>0</v>
      </c>
      <c r="N735" t="n">
        <v>0</v>
      </c>
      <c r="O735" t="n">
        <v>0</v>
      </c>
      <c r="P735" t="n">
        <v>0</v>
      </c>
      <c r="Q735" t="n">
        <v>0</v>
      </c>
      <c r="R735" s="2" t="inlineStr"/>
    </row>
    <row r="736" ht="15" customHeight="1">
      <c r="A736" t="inlineStr">
        <is>
          <t>A 5873-2025</t>
        </is>
      </c>
      <c r="B736" s="1" t="n">
        <v>45695.36715277778</v>
      </c>
      <c r="C736" s="1" t="n">
        <v>45989</v>
      </c>
      <c r="D736" t="inlineStr">
        <is>
          <t>DALARNAS LÄN</t>
        </is>
      </c>
      <c r="E736" t="inlineStr">
        <is>
          <t>LEKSAND</t>
        </is>
      </c>
      <c r="G736" t="n">
        <v>1.4</v>
      </c>
      <c r="H736" t="n">
        <v>0</v>
      </c>
      <c r="I736" t="n">
        <v>0</v>
      </c>
      <c r="J736" t="n">
        <v>0</v>
      </c>
      <c r="K736" t="n">
        <v>0</v>
      </c>
      <c r="L736" t="n">
        <v>0</v>
      </c>
      <c r="M736" t="n">
        <v>0</v>
      </c>
      <c r="N736" t="n">
        <v>0</v>
      </c>
      <c r="O736" t="n">
        <v>0</v>
      </c>
      <c r="P736" t="n">
        <v>0</v>
      </c>
      <c r="Q736" t="n">
        <v>0</v>
      </c>
      <c r="R736" s="2" t="inlineStr"/>
    </row>
    <row r="737" ht="15" customHeight="1">
      <c r="A737" t="inlineStr">
        <is>
          <t>A 18481-2024</t>
        </is>
      </c>
      <c r="B737" s="1" t="n">
        <v>45425.52193287037</v>
      </c>
      <c r="C737" s="1" t="n">
        <v>45989</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18484-2024</t>
        </is>
      </c>
      <c r="B738" s="1" t="n">
        <v>45425.52559027778</v>
      </c>
      <c r="C738" s="1" t="n">
        <v>45989</v>
      </c>
      <c r="D738" t="inlineStr">
        <is>
          <t>DALARNAS LÄN</t>
        </is>
      </c>
      <c r="E738" t="inlineStr">
        <is>
          <t>LEKSAND</t>
        </is>
      </c>
      <c r="G738" t="n">
        <v>2</v>
      </c>
      <c r="H738" t="n">
        <v>0</v>
      </c>
      <c r="I738" t="n">
        <v>0</v>
      </c>
      <c r="J738" t="n">
        <v>0</v>
      </c>
      <c r="K738" t="n">
        <v>0</v>
      </c>
      <c r="L738" t="n">
        <v>0</v>
      </c>
      <c r="M738" t="n">
        <v>0</v>
      </c>
      <c r="N738" t="n">
        <v>0</v>
      </c>
      <c r="O738" t="n">
        <v>0</v>
      </c>
      <c r="P738" t="n">
        <v>0</v>
      </c>
      <c r="Q738" t="n">
        <v>0</v>
      </c>
      <c r="R738" s="2" t="inlineStr"/>
    </row>
    <row r="739" ht="15" customHeight="1">
      <c r="A739" t="inlineStr">
        <is>
          <t>A 53193-2024</t>
        </is>
      </c>
      <c r="B739" s="1" t="n">
        <v>45610</v>
      </c>
      <c r="C739" s="1" t="n">
        <v>45989</v>
      </c>
      <c r="D739" t="inlineStr">
        <is>
          <t>DALARNAS LÄN</t>
        </is>
      </c>
      <c r="E739" t="inlineStr">
        <is>
          <t>LEKSAND</t>
        </is>
      </c>
      <c r="G739" t="n">
        <v>1.4</v>
      </c>
      <c r="H739" t="n">
        <v>0</v>
      </c>
      <c r="I739" t="n">
        <v>0</v>
      </c>
      <c r="J739" t="n">
        <v>0</v>
      </c>
      <c r="K739" t="n">
        <v>0</v>
      </c>
      <c r="L739" t="n">
        <v>0</v>
      </c>
      <c r="M739" t="n">
        <v>0</v>
      </c>
      <c r="N739" t="n">
        <v>0</v>
      </c>
      <c r="O739" t="n">
        <v>0</v>
      </c>
      <c r="P739" t="n">
        <v>0</v>
      </c>
      <c r="Q739" t="n">
        <v>0</v>
      </c>
      <c r="R739" s="2" t="inlineStr"/>
    </row>
    <row r="740" ht="15" customHeight="1">
      <c r="A740" t="inlineStr">
        <is>
          <t>A 11080-2023</t>
        </is>
      </c>
      <c r="B740" s="1" t="n">
        <v>44992</v>
      </c>
      <c r="C740" s="1" t="n">
        <v>45989</v>
      </c>
      <c r="D740" t="inlineStr">
        <is>
          <t>DALARNAS LÄN</t>
        </is>
      </c>
      <c r="E740" t="inlineStr">
        <is>
          <t>LEKSAND</t>
        </is>
      </c>
      <c r="G740" t="n">
        <v>6.9</v>
      </c>
      <c r="H740" t="n">
        <v>0</v>
      </c>
      <c r="I740" t="n">
        <v>0</v>
      </c>
      <c r="J740" t="n">
        <v>0</v>
      </c>
      <c r="K740" t="n">
        <v>0</v>
      </c>
      <c r="L740" t="n">
        <v>0</v>
      </c>
      <c r="M740" t="n">
        <v>0</v>
      </c>
      <c r="N740" t="n">
        <v>0</v>
      </c>
      <c r="O740" t="n">
        <v>0</v>
      </c>
      <c r="P740" t="n">
        <v>0</v>
      </c>
      <c r="Q740" t="n">
        <v>0</v>
      </c>
      <c r="R740" s="2" t="inlineStr"/>
    </row>
    <row r="741" ht="15" customHeight="1">
      <c r="A741" t="inlineStr">
        <is>
          <t>A 26957-2023</t>
        </is>
      </c>
      <c r="B741" s="1" t="n">
        <v>45093</v>
      </c>
      <c r="C741" s="1" t="n">
        <v>45989</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19371-2024</t>
        </is>
      </c>
      <c r="B742" s="1" t="n">
        <v>45429.34969907408</v>
      </c>
      <c r="C742" s="1" t="n">
        <v>45989</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7827-2024</t>
        </is>
      </c>
      <c r="B743" s="1" t="n">
        <v>45349.7467824074</v>
      </c>
      <c r="C743" s="1" t="n">
        <v>45989</v>
      </c>
      <c r="D743" t="inlineStr">
        <is>
          <t>DALARNAS LÄN</t>
        </is>
      </c>
      <c r="E743" t="inlineStr">
        <is>
          <t>LEKSAND</t>
        </is>
      </c>
      <c r="G743" t="n">
        <v>2.2</v>
      </c>
      <c r="H743" t="n">
        <v>0</v>
      </c>
      <c r="I743" t="n">
        <v>0</v>
      </c>
      <c r="J743" t="n">
        <v>0</v>
      </c>
      <c r="K743" t="n">
        <v>0</v>
      </c>
      <c r="L743" t="n">
        <v>0</v>
      </c>
      <c r="M743" t="n">
        <v>0</v>
      </c>
      <c r="N743" t="n">
        <v>0</v>
      </c>
      <c r="O743" t="n">
        <v>0</v>
      </c>
      <c r="P743" t="n">
        <v>0</v>
      </c>
      <c r="Q743" t="n">
        <v>0</v>
      </c>
      <c r="R743" s="2" t="inlineStr"/>
    </row>
    <row r="744" ht="15" customHeight="1">
      <c r="A744" t="inlineStr">
        <is>
          <t>A 49405-2024</t>
        </is>
      </c>
      <c r="B744" s="1" t="n">
        <v>45595</v>
      </c>
      <c r="C744" s="1" t="n">
        <v>45989</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20683-2025</t>
        </is>
      </c>
      <c r="B745" s="1" t="n">
        <v>45776</v>
      </c>
      <c r="C745" s="1" t="n">
        <v>45989</v>
      </c>
      <c r="D745" t="inlineStr">
        <is>
          <t>DALARNAS LÄN</t>
        </is>
      </c>
      <c r="E745" t="inlineStr">
        <is>
          <t>LEKSAND</t>
        </is>
      </c>
      <c r="F745" t="inlineStr">
        <is>
          <t>Bergvik skog väst AB</t>
        </is>
      </c>
      <c r="G745" t="n">
        <v>4.1</v>
      </c>
      <c r="H745" t="n">
        <v>0</v>
      </c>
      <c r="I745" t="n">
        <v>0</v>
      </c>
      <c r="J745" t="n">
        <v>0</v>
      </c>
      <c r="K745" t="n">
        <v>0</v>
      </c>
      <c r="L745" t="n">
        <v>0</v>
      </c>
      <c r="M745" t="n">
        <v>0</v>
      </c>
      <c r="N745" t="n">
        <v>0</v>
      </c>
      <c r="O745" t="n">
        <v>0</v>
      </c>
      <c r="P745" t="n">
        <v>0</v>
      </c>
      <c r="Q745" t="n">
        <v>0</v>
      </c>
      <c r="R745" s="2" t="inlineStr"/>
    </row>
    <row r="746" ht="15" customHeight="1">
      <c r="A746" t="inlineStr">
        <is>
          <t>A 20937-2025</t>
        </is>
      </c>
      <c r="B746" s="1" t="n">
        <v>45777.42769675926</v>
      </c>
      <c r="C746" s="1" t="n">
        <v>45989</v>
      </c>
      <c r="D746" t="inlineStr">
        <is>
          <t>DALARNAS LÄN</t>
        </is>
      </c>
      <c r="E746" t="inlineStr">
        <is>
          <t>LEKSAND</t>
        </is>
      </c>
      <c r="G746" t="n">
        <v>2.2</v>
      </c>
      <c r="H746" t="n">
        <v>0</v>
      </c>
      <c r="I746" t="n">
        <v>0</v>
      </c>
      <c r="J746" t="n">
        <v>0</v>
      </c>
      <c r="K746" t="n">
        <v>0</v>
      </c>
      <c r="L746" t="n">
        <v>0</v>
      </c>
      <c r="M746" t="n">
        <v>0</v>
      </c>
      <c r="N746" t="n">
        <v>0</v>
      </c>
      <c r="O746" t="n">
        <v>0</v>
      </c>
      <c r="P746" t="n">
        <v>0</v>
      </c>
      <c r="Q746" t="n">
        <v>0</v>
      </c>
      <c r="R746" s="2" t="inlineStr"/>
    </row>
    <row r="747" ht="15" customHeight="1">
      <c r="A747" t="inlineStr">
        <is>
          <t>A 21457-2025</t>
        </is>
      </c>
      <c r="B747" s="1" t="n">
        <v>45782.55451388889</v>
      </c>
      <c r="C747" s="1" t="n">
        <v>45989</v>
      </c>
      <c r="D747" t="inlineStr">
        <is>
          <t>DALARNAS LÄN</t>
        </is>
      </c>
      <c r="E747" t="inlineStr">
        <is>
          <t>LEKSAND</t>
        </is>
      </c>
      <c r="G747" t="n">
        <v>1</v>
      </c>
      <c r="H747" t="n">
        <v>0</v>
      </c>
      <c r="I747" t="n">
        <v>0</v>
      </c>
      <c r="J747" t="n">
        <v>0</v>
      </c>
      <c r="K747" t="n">
        <v>0</v>
      </c>
      <c r="L747" t="n">
        <v>0</v>
      </c>
      <c r="M747" t="n">
        <v>0</v>
      </c>
      <c r="N747" t="n">
        <v>0</v>
      </c>
      <c r="O747" t="n">
        <v>0</v>
      </c>
      <c r="P747" t="n">
        <v>0</v>
      </c>
      <c r="Q747" t="n">
        <v>0</v>
      </c>
      <c r="R747" s="2" t="inlineStr"/>
    </row>
    <row r="748" ht="15" customHeight="1">
      <c r="A748" t="inlineStr">
        <is>
          <t>A 21230-2025</t>
        </is>
      </c>
      <c r="B748" s="1" t="n">
        <v>45779.54589120371</v>
      </c>
      <c r="C748" s="1" t="n">
        <v>45989</v>
      </c>
      <c r="D748" t="inlineStr">
        <is>
          <t>DALARNAS LÄN</t>
        </is>
      </c>
      <c r="E748" t="inlineStr">
        <is>
          <t>LEKSAND</t>
        </is>
      </c>
      <c r="G748" t="n">
        <v>0.5</v>
      </c>
      <c r="H748" t="n">
        <v>0</v>
      </c>
      <c r="I748" t="n">
        <v>0</v>
      </c>
      <c r="J748" t="n">
        <v>0</v>
      </c>
      <c r="K748" t="n">
        <v>0</v>
      </c>
      <c r="L748" t="n">
        <v>0</v>
      </c>
      <c r="M748" t="n">
        <v>0</v>
      </c>
      <c r="N748" t="n">
        <v>0</v>
      </c>
      <c r="O748" t="n">
        <v>0</v>
      </c>
      <c r="P748" t="n">
        <v>0</v>
      </c>
      <c r="Q748" t="n">
        <v>0</v>
      </c>
      <c r="R748" s="2" t="inlineStr"/>
    </row>
    <row r="749" ht="15" customHeight="1">
      <c r="A749" t="inlineStr">
        <is>
          <t>A 21193-2025</t>
        </is>
      </c>
      <c r="B749" s="1" t="n">
        <v>45779.46675925926</v>
      </c>
      <c r="C749" s="1" t="n">
        <v>45989</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11872-2024</t>
        </is>
      </c>
      <c r="B750" s="1" t="n">
        <v>45376.46833333333</v>
      </c>
      <c r="C750" s="1" t="n">
        <v>45989</v>
      </c>
      <c r="D750" t="inlineStr">
        <is>
          <t>DALARNAS LÄN</t>
        </is>
      </c>
      <c r="E750" t="inlineStr">
        <is>
          <t>LEKSAND</t>
        </is>
      </c>
      <c r="G750" t="n">
        <v>3.1</v>
      </c>
      <c r="H750" t="n">
        <v>0</v>
      </c>
      <c r="I750" t="n">
        <v>0</v>
      </c>
      <c r="J750" t="n">
        <v>0</v>
      </c>
      <c r="K750" t="n">
        <v>0</v>
      </c>
      <c r="L750" t="n">
        <v>0</v>
      </c>
      <c r="M750" t="n">
        <v>0</v>
      </c>
      <c r="N750" t="n">
        <v>0</v>
      </c>
      <c r="O750" t="n">
        <v>0</v>
      </c>
      <c r="P750" t="n">
        <v>0</v>
      </c>
      <c r="Q750" t="n">
        <v>0</v>
      </c>
      <c r="R750" s="2" t="inlineStr"/>
    </row>
    <row r="751" ht="15" customHeight="1">
      <c r="A751" t="inlineStr">
        <is>
          <t>A 21600-2025</t>
        </is>
      </c>
      <c r="B751" s="1" t="n">
        <v>45783.3521875</v>
      </c>
      <c r="C751" s="1" t="n">
        <v>45989</v>
      </c>
      <c r="D751" t="inlineStr">
        <is>
          <t>DALARNAS LÄN</t>
        </is>
      </c>
      <c r="E751" t="inlineStr">
        <is>
          <t>LEKSAND</t>
        </is>
      </c>
      <c r="G751" t="n">
        <v>7.7</v>
      </c>
      <c r="H751" t="n">
        <v>0</v>
      </c>
      <c r="I751" t="n">
        <v>0</v>
      </c>
      <c r="J751" t="n">
        <v>0</v>
      </c>
      <c r="K751" t="n">
        <v>0</v>
      </c>
      <c r="L751" t="n">
        <v>0</v>
      </c>
      <c r="M751" t="n">
        <v>0</v>
      </c>
      <c r="N751" t="n">
        <v>0</v>
      </c>
      <c r="O751" t="n">
        <v>0</v>
      </c>
      <c r="P751" t="n">
        <v>0</v>
      </c>
      <c r="Q751" t="n">
        <v>0</v>
      </c>
      <c r="R751" s="2" t="inlineStr"/>
    </row>
    <row r="752" ht="15" customHeight="1">
      <c r="A752" t="inlineStr">
        <is>
          <t>A 40627-2023</t>
        </is>
      </c>
      <c r="B752" s="1" t="n">
        <v>45170</v>
      </c>
      <c r="C752" s="1" t="n">
        <v>45989</v>
      </c>
      <c r="D752" t="inlineStr">
        <is>
          <t>DALARNAS LÄN</t>
        </is>
      </c>
      <c r="E752" t="inlineStr">
        <is>
          <t>LEKSAND</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21916-2025</t>
        </is>
      </c>
      <c r="B753" s="1" t="n">
        <v>45784.50115740741</v>
      </c>
      <c r="C753" s="1" t="n">
        <v>45989</v>
      </c>
      <c r="D753" t="inlineStr">
        <is>
          <t>DALARNAS LÄN</t>
        </is>
      </c>
      <c r="E753" t="inlineStr">
        <is>
          <t>LEKSAND</t>
        </is>
      </c>
      <c r="G753" t="n">
        <v>2.6</v>
      </c>
      <c r="H753" t="n">
        <v>0</v>
      </c>
      <c r="I753" t="n">
        <v>0</v>
      </c>
      <c r="J753" t="n">
        <v>0</v>
      </c>
      <c r="K753" t="n">
        <v>0</v>
      </c>
      <c r="L753" t="n">
        <v>0</v>
      </c>
      <c r="M753" t="n">
        <v>0</v>
      </c>
      <c r="N753" t="n">
        <v>0</v>
      </c>
      <c r="O753" t="n">
        <v>0</v>
      </c>
      <c r="P753" t="n">
        <v>0</v>
      </c>
      <c r="Q753" t="n">
        <v>0</v>
      </c>
      <c r="R753" s="2" t="inlineStr"/>
    </row>
    <row r="754" ht="15" customHeight="1">
      <c r="A754" t="inlineStr">
        <is>
          <t>A 14967-2023</t>
        </is>
      </c>
      <c r="B754" s="1" t="n">
        <v>45015</v>
      </c>
      <c r="C754" s="1" t="n">
        <v>45989</v>
      </c>
      <c r="D754" t="inlineStr">
        <is>
          <t>DALARNAS LÄN</t>
        </is>
      </c>
      <c r="E754" t="inlineStr">
        <is>
          <t>LEKSAND</t>
        </is>
      </c>
      <c r="G754" t="n">
        <v>1.4</v>
      </c>
      <c r="H754" t="n">
        <v>0</v>
      </c>
      <c r="I754" t="n">
        <v>0</v>
      </c>
      <c r="J754" t="n">
        <v>0</v>
      </c>
      <c r="K754" t="n">
        <v>0</v>
      </c>
      <c r="L754" t="n">
        <v>0</v>
      </c>
      <c r="M754" t="n">
        <v>0</v>
      </c>
      <c r="N754" t="n">
        <v>0</v>
      </c>
      <c r="O754" t="n">
        <v>0</v>
      </c>
      <c r="P754" t="n">
        <v>0</v>
      </c>
      <c r="Q754" t="n">
        <v>0</v>
      </c>
      <c r="R754" s="2" t="inlineStr"/>
    </row>
    <row r="755" ht="15" customHeight="1">
      <c r="A755" t="inlineStr">
        <is>
          <t>A 62307-2023</t>
        </is>
      </c>
      <c r="B755" s="1" t="n">
        <v>45266</v>
      </c>
      <c r="C755" s="1" t="n">
        <v>45989</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61554-2024</t>
        </is>
      </c>
      <c r="B756" s="1" t="n">
        <v>45646.60748842593</v>
      </c>
      <c r="C756" s="1" t="n">
        <v>45989</v>
      </c>
      <c r="D756" t="inlineStr">
        <is>
          <t>DALARNAS LÄN</t>
        </is>
      </c>
      <c r="E756" t="inlineStr">
        <is>
          <t>LEKSAND</t>
        </is>
      </c>
      <c r="G756" t="n">
        <v>2.6</v>
      </c>
      <c r="H756" t="n">
        <v>0</v>
      </c>
      <c r="I756" t="n">
        <v>0</v>
      </c>
      <c r="J756" t="n">
        <v>0</v>
      </c>
      <c r="K756" t="n">
        <v>0</v>
      </c>
      <c r="L756" t="n">
        <v>0</v>
      </c>
      <c r="M756" t="n">
        <v>0</v>
      </c>
      <c r="N756" t="n">
        <v>0</v>
      </c>
      <c r="O756" t="n">
        <v>0</v>
      </c>
      <c r="P756" t="n">
        <v>0</v>
      </c>
      <c r="Q756" t="n">
        <v>0</v>
      </c>
      <c r="R756" s="2" t="inlineStr"/>
    </row>
    <row r="757" ht="15" customHeight="1">
      <c r="A757" t="inlineStr">
        <is>
          <t>A 36534-2024</t>
        </is>
      </c>
      <c r="B757" s="1" t="n">
        <v>45537.45143518518</v>
      </c>
      <c r="C757" s="1" t="n">
        <v>45989</v>
      </c>
      <c r="D757" t="inlineStr">
        <is>
          <t>DALARNAS LÄN</t>
        </is>
      </c>
      <c r="E757" t="inlineStr">
        <is>
          <t>LEKSAND</t>
        </is>
      </c>
      <c r="G757" t="n">
        <v>4</v>
      </c>
      <c r="H757" t="n">
        <v>0</v>
      </c>
      <c r="I757" t="n">
        <v>0</v>
      </c>
      <c r="J757" t="n">
        <v>0</v>
      </c>
      <c r="K757" t="n">
        <v>0</v>
      </c>
      <c r="L757" t="n">
        <v>0</v>
      </c>
      <c r="M757" t="n">
        <v>0</v>
      </c>
      <c r="N757" t="n">
        <v>0</v>
      </c>
      <c r="O757" t="n">
        <v>0</v>
      </c>
      <c r="P757" t="n">
        <v>0</v>
      </c>
      <c r="Q757" t="n">
        <v>0</v>
      </c>
      <c r="R757" s="2" t="inlineStr"/>
    </row>
    <row r="758" ht="15" customHeight="1">
      <c r="A758" t="inlineStr">
        <is>
          <t>A 34244-2024</t>
        </is>
      </c>
      <c r="B758" s="1" t="n">
        <v>45524.58349537037</v>
      </c>
      <c r="C758" s="1" t="n">
        <v>45989</v>
      </c>
      <c r="D758" t="inlineStr">
        <is>
          <t>DALARNAS LÄN</t>
        </is>
      </c>
      <c r="E758" t="inlineStr">
        <is>
          <t>LEKSAND</t>
        </is>
      </c>
      <c r="G758" t="n">
        <v>1.5</v>
      </c>
      <c r="H758" t="n">
        <v>0</v>
      </c>
      <c r="I758" t="n">
        <v>0</v>
      </c>
      <c r="J758" t="n">
        <v>0</v>
      </c>
      <c r="K758" t="n">
        <v>0</v>
      </c>
      <c r="L758" t="n">
        <v>0</v>
      </c>
      <c r="M758" t="n">
        <v>0</v>
      </c>
      <c r="N758" t="n">
        <v>0</v>
      </c>
      <c r="O758" t="n">
        <v>0</v>
      </c>
      <c r="P758" t="n">
        <v>0</v>
      </c>
      <c r="Q758" t="n">
        <v>0</v>
      </c>
      <c r="R758" s="2" t="inlineStr"/>
    </row>
    <row r="759" ht="15" customHeight="1">
      <c r="A759" t="inlineStr">
        <is>
          <t>A 7861-2024</t>
        </is>
      </c>
      <c r="B759" s="1" t="n">
        <v>45350.30831018519</v>
      </c>
      <c r="C759" s="1" t="n">
        <v>45989</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22080-2025</t>
        </is>
      </c>
      <c r="B760" s="1" t="n">
        <v>45785</v>
      </c>
      <c r="C760" s="1" t="n">
        <v>45989</v>
      </c>
      <c r="D760" t="inlineStr">
        <is>
          <t>DALARNAS LÄN</t>
        </is>
      </c>
      <c r="E760" t="inlineStr">
        <is>
          <t>LEKSAND</t>
        </is>
      </c>
      <c r="G760" t="n">
        <v>7</v>
      </c>
      <c r="H760" t="n">
        <v>0</v>
      </c>
      <c r="I760" t="n">
        <v>0</v>
      </c>
      <c r="J760" t="n">
        <v>0</v>
      </c>
      <c r="K760" t="n">
        <v>0</v>
      </c>
      <c r="L760" t="n">
        <v>0</v>
      </c>
      <c r="M760" t="n">
        <v>0</v>
      </c>
      <c r="N760" t="n">
        <v>0</v>
      </c>
      <c r="O760" t="n">
        <v>0</v>
      </c>
      <c r="P760" t="n">
        <v>0</v>
      </c>
      <c r="Q760" t="n">
        <v>0</v>
      </c>
      <c r="R760" s="2" t="inlineStr"/>
    </row>
    <row r="761" ht="15" customHeight="1">
      <c r="A761" t="inlineStr">
        <is>
          <t>A 22536-2025</t>
        </is>
      </c>
      <c r="B761" s="1" t="n">
        <v>45787.33037037037</v>
      </c>
      <c r="C761" s="1" t="n">
        <v>45989</v>
      </c>
      <c r="D761" t="inlineStr">
        <is>
          <t>DALARNAS LÄN</t>
        </is>
      </c>
      <c r="E761" t="inlineStr">
        <is>
          <t>LEKSAND</t>
        </is>
      </c>
      <c r="G761" t="n">
        <v>1.8</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45989</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22876-2025</t>
        </is>
      </c>
      <c r="B763" s="1" t="n">
        <v>45790.3728587963</v>
      </c>
      <c r="C763" s="1" t="n">
        <v>45989</v>
      </c>
      <c r="D763" t="inlineStr">
        <is>
          <t>DALARNAS LÄN</t>
        </is>
      </c>
      <c r="E763" t="inlineStr">
        <is>
          <t>LEKSAND</t>
        </is>
      </c>
      <c r="G763" t="n">
        <v>5.9</v>
      </c>
      <c r="H763" t="n">
        <v>0</v>
      </c>
      <c r="I763" t="n">
        <v>0</v>
      </c>
      <c r="J763" t="n">
        <v>0</v>
      </c>
      <c r="K763" t="n">
        <v>0</v>
      </c>
      <c r="L763" t="n">
        <v>0</v>
      </c>
      <c r="M763" t="n">
        <v>0</v>
      </c>
      <c r="N763" t="n">
        <v>0</v>
      </c>
      <c r="O763" t="n">
        <v>0</v>
      </c>
      <c r="P763" t="n">
        <v>0</v>
      </c>
      <c r="Q763" t="n">
        <v>0</v>
      </c>
      <c r="R763" s="2" t="inlineStr"/>
    </row>
    <row r="764" ht="15" customHeight="1">
      <c r="A764" t="inlineStr">
        <is>
          <t>A 23517-2025</t>
        </is>
      </c>
      <c r="B764" s="1" t="n">
        <v>45792</v>
      </c>
      <c r="C764" s="1" t="n">
        <v>45989</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23058-2025</t>
        </is>
      </c>
      <c r="B765" s="1" t="n">
        <v>45790.78076388889</v>
      </c>
      <c r="C765" s="1" t="n">
        <v>45989</v>
      </c>
      <c r="D765" t="inlineStr">
        <is>
          <t>DALARNAS LÄN</t>
        </is>
      </c>
      <c r="E765" t="inlineStr">
        <is>
          <t>LEKSAND</t>
        </is>
      </c>
      <c r="G765" t="n">
        <v>6.7</v>
      </c>
      <c r="H765" t="n">
        <v>0</v>
      </c>
      <c r="I765" t="n">
        <v>0</v>
      </c>
      <c r="J765" t="n">
        <v>0</v>
      </c>
      <c r="K765" t="n">
        <v>0</v>
      </c>
      <c r="L765" t="n">
        <v>0</v>
      </c>
      <c r="M765" t="n">
        <v>0</v>
      </c>
      <c r="N765" t="n">
        <v>0</v>
      </c>
      <c r="O765" t="n">
        <v>0</v>
      </c>
      <c r="P765" t="n">
        <v>0</v>
      </c>
      <c r="Q765" t="n">
        <v>0</v>
      </c>
      <c r="R765" s="2" t="inlineStr"/>
    </row>
    <row r="766" ht="15" customHeight="1">
      <c r="A766" t="inlineStr">
        <is>
          <t>A 23076-2025</t>
        </is>
      </c>
      <c r="B766" s="1" t="n">
        <v>45790.90960648148</v>
      </c>
      <c r="C766" s="1" t="n">
        <v>45989</v>
      </c>
      <c r="D766" t="inlineStr">
        <is>
          <t>DALARNAS LÄN</t>
        </is>
      </c>
      <c r="E766" t="inlineStr">
        <is>
          <t>LEKSAND</t>
        </is>
      </c>
      <c r="G766" t="n">
        <v>0.9</v>
      </c>
      <c r="H766" t="n">
        <v>0</v>
      </c>
      <c r="I766" t="n">
        <v>0</v>
      </c>
      <c r="J766" t="n">
        <v>0</v>
      </c>
      <c r="K766" t="n">
        <v>0</v>
      </c>
      <c r="L766" t="n">
        <v>0</v>
      </c>
      <c r="M766" t="n">
        <v>0</v>
      </c>
      <c r="N766" t="n">
        <v>0</v>
      </c>
      <c r="O766" t="n">
        <v>0</v>
      </c>
      <c r="P766" t="n">
        <v>0</v>
      </c>
      <c r="Q766" t="n">
        <v>0</v>
      </c>
      <c r="R766" s="2" t="inlineStr"/>
    </row>
    <row r="767" ht="15" customHeight="1">
      <c r="A767" t="inlineStr">
        <is>
          <t>A 57468-2023</t>
        </is>
      </c>
      <c r="B767" s="1" t="n">
        <v>45246</v>
      </c>
      <c r="C767" s="1" t="n">
        <v>45989</v>
      </c>
      <c r="D767" t="inlineStr">
        <is>
          <t>DALARNAS LÄN</t>
        </is>
      </c>
      <c r="E767" t="inlineStr">
        <is>
          <t>LEKSAND</t>
        </is>
      </c>
      <c r="G767" t="n">
        <v>4.6</v>
      </c>
      <c r="H767" t="n">
        <v>0</v>
      </c>
      <c r="I767" t="n">
        <v>0</v>
      </c>
      <c r="J767" t="n">
        <v>0</v>
      </c>
      <c r="K767" t="n">
        <v>0</v>
      </c>
      <c r="L767" t="n">
        <v>0</v>
      </c>
      <c r="M767" t="n">
        <v>0</v>
      </c>
      <c r="N767" t="n">
        <v>0</v>
      </c>
      <c r="O767" t="n">
        <v>0</v>
      </c>
      <c r="P767" t="n">
        <v>0</v>
      </c>
      <c r="Q767" t="n">
        <v>0</v>
      </c>
      <c r="R767" s="2" t="inlineStr"/>
    </row>
    <row r="768" ht="15" customHeight="1">
      <c r="A768" t="inlineStr">
        <is>
          <t>A 44822-2024</t>
        </is>
      </c>
      <c r="B768" s="1" t="n">
        <v>45574.6646412037</v>
      </c>
      <c r="C768" s="1" t="n">
        <v>45989</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49499-2024</t>
        </is>
      </c>
      <c r="B769" s="1" t="n">
        <v>45596</v>
      </c>
      <c r="C769" s="1" t="n">
        <v>45989</v>
      </c>
      <c r="D769" t="inlineStr">
        <is>
          <t>DALARNAS LÄN</t>
        </is>
      </c>
      <c r="E769" t="inlineStr">
        <is>
          <t>LEKSAND</t>
        </is>
      </c>
      <c r="G769" t="n">
        <v>1</v>
      </c>
      <c r="H769" t="n">
        <v>0</v>
      </c>
      <c r="I769" t="n">
        <v>0</v>
      </c>
      <c r="J769" t="n">
        <v>0</v>
      </c>
      <c r="K769" t="n">
        <v>0</v>
      </c>
      <c r="L769" t="n">
        <v>0</v>
      </c>
      <c r="M769" t="n">
        <v>0</v>
      </c>
      <c r="N769" t="n">
        <v>0</v>
      </c>
      <c r="O769" t="n">
        <v>0</v>
      </c>
      <c r="P769" t="n">
        <v>0</v>
      </c>
      <c r="Q769" t="n">
        <v>0</v>
      </c>
      <c r="R769" s="2" t="inlineStr"/>
    </row>
    <row r="770" ht="15" customHeight="1">
      <c r="A770" t="inlineStr">
        <is>
          <t>A 23855-2025</t>
        </is>
      </c>
      <c r="B770" s="1" t="n">
        <v>45793.65900462963</v>
      </c>
      <c r="C770" s="1" t="n">
        <v>45989</v>
      </c>
      <c r="D770" t="inlineStr">
        <is>
          <t>DALARNAS LÄN</t>
        </is>
      </c>
      <c r="E770" t="inlineStr">
        <is>
          <t>LEKSAND</t>
        </is>
      </c>
      <c r="G770" t="n">
        <v>0.6</v>
      </c>
      <c r="H770" t="n">
        <v>0</v>
      </c>
      <c r="I770" t="n">
        <v>0</v>
      </c>
      <c r="J770" t="n">
        <v>0</v>
      </c>
      <c r="K770" t="n">
        <v>0</v>
      </c>
      <c r="L770" t="n">
        <v>0</v>
      </c>
      <c r="M770" t="n">
        <v>0</v>
      </c>
      <c r="N770" t="n">
        <v>0</v>
      </c>
      <c r="O770" t="n">
        <v>0</v>
      </c>
      <c r="P770" t="n">
        <v>0</v>
      </c>
      <c r="Q770" t="n">
        <v>0</v>
      </c>
      <c r="R770" s="2" t="inlineStr"/>
    </row>
    <row r="771" ht="15" customHeight="1">
      <c r="A771" t="inlineStr">
        <is>
          <t>A 24919-2024</t>
        </is>
      </c>
      <c r="B771" s="1" t="n">
        <v>45461.60636574074</v>
      </c>
      <c r="C771" s="1" t="n">
        <v>45989</v>
      </c>
      <c r="D771" t="inlineStr">
        <is>
          <t>DALARNAS LÄN</t>
        </is>
      </c>
      <c r="E771" t="inlineStr">
        <is>
          <t>LEKSAND</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7450-2023</t>
        </is>
      </c>
      <c r="B772" s="1" t="n">
        <v>44971</v>
      </c>
      <c r="C772" s="1" t="n">
        <v>45989</v>
      </c>
      <c r="D772" t="inlineStr">
        <is>
          <t>DALARNAS LÄN</t>
        </is>
      </c>
      <c r="E772" t="inlineStr">
        <is>
          <t>LEKSAND</t>
        </is>
      </c>
      <c r="G772" t="n">
        <v>3</v>
      </c>
      <c r="H772" t="n">
        <v>0</v>
      </c>
      <c r="I772" t="n">
        <v>0</v>
      </c>
      <c r="J772" t="n">
        <v>0</v>
      </c>
      <c r="K772" t="n">
        <v>0</v>
      </c>
      <c r="L772" t="n">
        <v>0</v>
      </c>
      <c r="M772" t="n">
        <v>0</v>
      </c>
      <c r="N772" t="n">
        <v>0</v>
      </c>
      <c r="O772" t="n">
        <v>0</v>
      </c>
      <c r="P772" t="n">
        <v>0</v>
      </c>
      <c r="Q772" t="n">
        <v>0</v>
      </c>
      <c r="R772" s="2" t="inlineStr"/>
    </row>
    <row r="773" ht="15" customHeight="1">
      <c r="A773" t="inlineStr">
        <is>
          <t>A 23891-2025</t>
        </is>
      </c>
      <c r="B773" s="1" t="n">
        <v>45793</v>
      </c>
      <c r="C773" s="1" t="n">
        <v>45989</v>
      </c>
      <c r="D773" t="inlineStr">
        <is>
          <t>DALARNAS LÄN</t>
        </is>
      </c>
      <c r="E773" t="inlineStr">
        <is>
          <t>LEKSAND</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24187-2025</t>
        </is>
      </c>
      <c r="B774" s="1" t="n">
        <v>45796</v>
      </c>
      <c r="C774" s="1" t="n">
        <v>45989</v>
      </c>
      <c r="D774" t="inlineStr">
        <is>
          <t>DALARNAS LÄN</t>
        </is>
      </c>
      <c r="E774" t="inlineStr">
        <is>
          <t>LEKSAND</t>
        </is>
      </c>
      <c r="G774" t="n">
        <v>2.1</v>
      </c>
      <c r="H774" t="n">
        <v>0</v>
      </c>
      <c r="I774" t="n">
        <v>0</v>
      </c>
      <c r="J774" t="n">
        <v>0</v>
      </c>
      <c r="K774" t="n">
        <v>0</v>
      </c>
      <c r="L774" t="n">
        <v>0</v>
      </c>
      <c r="M774" t="n">
        <v>0</v>
      </c>
      <c r="N774" t="n">
        <v>0</v>
      </c>
      <c r="O774" t="n">
        <v>0</v>
      </c>
      <c r="P774" t="n">
        <v>0</v>
      </c>
      <c r="Q774" t="n">
        <v>0</v>
      </c>
      <c r="R774" s="2" t="inlineStr"/>
    </row>
    <row r="775" ht="15" customHeight="1">
      <c r="A775" t="inlineStr">
        <is>
          <t>A 24188-2025</t>
        </is>
      </c>
      <c r="B775" s="1" t="n">
        <v>45796</v>
      </c>
      <c r="C775" s="1" t="n">
        <v>45989</v>
      </c>
      <c r="D775" t="inlineStr">
        <is>
          <t>DALARNAS LÄN</t>
        </is>
      </c>
      <c r="E775" t="inlineStr">
        <is>
          <t>LEKSAND</t>
        </is>
      </c>
      <c r="G775" t="n">
        <v>0.9</v>
      </c>
      <c r="H775" t="n">
        <v>0</v>
      </c>
      <c r="I775" t="n">
        <v>0</v>
      </c>
      <c r="J775" t="n">
        <v>0</v>
      </c>
      <c r="K775" t="n">
        <v>0</v>
      </c>
      <c r="L775" t="n">
        <v>0</v>
      </c>
      <c r="M775" t="n">
        <v>0</v>
      </c>
      <c r="N775" t="n">
        <v>0</v>
      </c>
      <c r="O775" t="n">
        <v>0</v>
      </c>
      <c r="P775" t="n">
        <v>0</v>
      </c>
      <c r="Q775" t="n">
        <v>0</v>
      </c>
      <c r="R775" s="2" t="inlineStr"/>
    </row>
    <row r="776">
      <c r="A776" t="inlineStr">
        <is>
          <t>A 56211-2023</t>
        </is>
      </c>
      <c r="B776" s="1" t="n">
        <v>45240</v>
      </c>
      <c r="C776" s="1" t="n">
        <v>45989</v>
      </c>
      <c r="D776" t="inlineStr">
        <is>
          <t>DALARNAS LÄN</t>
        </is>
      </c>
      <c r="E776" t="inlineStr">
        <is>
          <t>LEKSAND</t>
        </is>
      </c>
      <c r="G776" t="n">
        <v>1.5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2025-11-28T10:20:19Z</dcterms:created>
  <dcterms:modified xmlns:dcterms="http://purl.org/dc/terms/" xmlns:xsi="http://www.w3.org/2001/XMLSchema-instance" xsi:type="dcterms:W3CDTF">2025-11-28T10:20:19Z</dcterms:modified>
</cp:coreProperties>
</file>