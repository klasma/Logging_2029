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45939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45939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45939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45939</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45939</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45939</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45939</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45939</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45939</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55519-2021</t>
        </is>
      </c>
      <c r="B23" s="1" t="n">
        <v>44475</v>
      </c>
      <c r="C23" s="1" t="n">
        <v>45939</v>
      </c>
      <c r="D23" t="inlineStr">
        <is>
          <t>DALARNAS LÄN</t>
        </is>
      </c>
      <c r="E23" t="inlineStr">
        <is>
          <t>LEKSAND</t>
        </is>
      </c>
      <c r="G23" t="n">
        <v>1.8</v>
      </c>
      <c r="H23" t="n">
        <v>2</v>
      </c>
      <c r="I23" t="n">
        <v>0</v>
      </c>
      <c r="J23" t="n">
        <v>0</v>
      </c>
      <c r="K23" t="n">
        <v>0</v>
      </c>
      <c r="L23" t="n">
        <v>0</v>
      </c>
      <c r="M23" t="n">
        <v>0</v>
      </c>
      <c r="N23" t="n">
        <v>0</v>
      </c>
      <c r="O23" t="n">
        <v>0</v>
      </c>
      <c r="P23" t="n">
        <v>0</v>
      </c>
      <c r="Q23" t="n">
        <v>2</v>
      </c>
      <c r="R23" s="2" t="inlineStr">
        <is>
          <t>Fläcknycklar
Mattlummer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9408-2024</t>
        </is>
      </c>
      <c r="B24" s="1" t="n">
        <v>45358</v>
      </c>
      <c r="C24" s="1" t="n">
        <v>45939</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45939</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45939</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18860-2025</t>
        </is>
      </c>
      <c r="B27" s="1" t="n">
        <v>45764.42738425926</v>
      </c>
      <c r="C27" s="1" t="n">
        <v>45939</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35865-2025</t>
        </is>
      </c>
      <c r="B28" s="1" t="n">
        <v>45861.7066087963</v>
      </c>
      <c r="C28" s="1" t="n">
        <v>45939</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45939</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45375-2025</t>
        </is>
      </c>
      <c r="B30" s="1" t="n">
        <v>45922.39347222223</v>
      </c>
      <c r="C30" s="1" t="n">
        <v>45939</v>
      </c>
      <c r="D30" t="inlineStr">
        <is>
          <t>DALARNAS LÄN</t>
        </is>
      </c>
      <c r="E30" t="inlineStr">
        <is>
          <t>LEKSAND</t>
        </is>
      </c>
      <c r="G30" t="n">
        <v>4.3</v>
      </c>
      <c r="H30" t="n">
        <v>1</v>
      </c>
      <c r="I30" t="n">
        <v>0</v>
      </c>
      <c r="J30" t="n">
        <v>0</v>
      </c>
      <c r="K30" t="n">
        <v>0</v>
      </c>
      <c r="L30" t="n">
        <v>1</v>
      </c>
      <c r="M30" t="n">
        <v>0</v>
      </c>
      <c r="N30" t="n">
        <v>0</v>
      </c>
      <c r="O30" t="n">
        <v>1</v>
      </c>
      <c r="P30" t="n">
        <v>1</v>
      </c>
      <c r="Q30" t="n">
        <v>1</v>
      </c>
      <c r="R30" s="2" t="inlineStr">
        <is>
          <t>Mosippa</t>
        </is>
      </c>
      <c r="S30">
        <f>HYPERLINK("https://klasma.github.io/Logging_2029/artfynd/A 45375-2025 artfynd.xlsx", "A 45375-2025")</f>
        <v/>
      </c>
      <c r="T30">
        <f>HYPERLINK("https://klasma.github.io/Logging_2029/kartor/A 45375-2025 karta.png", "A 45375-2025")</f>
        <v/>
      </c>
      <c r="V30">
        <f>HYPERLINK("https://klasma.github.io/Logging_2029/klagomål/A 45375-2025 FSC-klagomål.docx", "A 45375-2025")</f>
        <v/>
      </c>
      <c r="W30">
        <f>HYPERLINK("https://klasma.github.io/Logging_2029/klagomålsmail/A 45375-2025 FSC-klagomål mail.docx", "A 45375-2025")</f>
        <v/>
      </c>
      <c r="X30">
        <f>HYPERLINK("https://klasma.github.io/Logging_2029/tillsyn/A 45375-2025 tillsynsbegäran.docx", "A 45375-2025")</f>
        <v/>
      </c>
      <c r="Y30">
        <f>HYPERLINK("https://klasma.github.io/Logging_2029/tillsynsmail/A 45375-2025 tillsynsbegäran mail.docx", "A 45375-2025")</f>
        <v/>
      </c>
    </row>
    <row r="31" ht="15" customHeight="1">
      <c r="A31" t="inlineStr">
        <is>
          <t>A 6029-2025</t>
        </is>
      </c>
      <c r="B31" s="1" t="n">
        <v>45695</v>
      </c>
      <c r="C31" s="1" t="n">
        <v>45939</v>
      </c>
      <c r="D31" t="inlineStr">
        <is>
          <t>DALARNAS LÄN</t>
        </is>
      </c>
      <c r="E31" t="inlineStr">
        <is>
          <t>LEKSAND</t>
        </is>
      </c>
      <c r="G31" t="n">
        <v>3.5</v>
      </c>
      <c r="H31" t="n">
        <v>1</v>
      </c>
      <c r="I31" t="n">
        <v>0</v>
      </c>
      <c r="J31" t="n">
        <v>1</v>
      </c>
      <c r="K31" t="n">
        <v>0</v>
      </c>
      <c r="L31" t="n">
        <v>0</v>
      </c>
      <c r="M31" t="n">
        <v>0</v>
      </c>
      <c r="N31" t="n">
        <v>0</v>
      </c>
      <c r="O31" t="n">
        <v>1</v>
      </c>
      <c r="P31" t="n">
        <v>0</v>
      </c>
      <c r="Q31" t="n">
        <v>1</v>
      </c>
      <c r="R31" s="2" t="inlineStr">
        <is>
          <t>Spillkråka</t>
        </is>
      </c>
      <c r="S31">
        <f>HYPERLINK("https://klasma.github.io/Logging_2029/artfynd/A 6029-2025 artfynd.xlsx", "A 6029-2025")</f>
        <v/>
      </c>
      <c r="T31">
        <f>HYPERLINK("https://klasma.github.io/Logging_2029/kartor/A 6029-2025 karta.png", "A 6029-2025")</f>
        <v/>
      </c>
      <c r="V31">
        <f>HYPERLINK("https://klasma.github.io/Logging_2029/klagomål/A 6029-2025 FSC-klagomål.docx", "A 6029-2025")</f>
        <v/>
      </c>
      <c r="W31">
        <f>HYPERLINK("https://klasma.github.io/Logging_2029/klagomålsmail/A 6029-2025 FSC-klagomål mail.docx", "A 6029-2025")</f>
        <v/>
      </c>
      <c r="X31">
        <f>HYPERLINK("https://klasma.github.io/Logging_2029/tillsyn/A 6029-2025 tillsynsbegäran.docx", "A 6029-2025")</f>
        <v/>
      </c>
      <c r="Y31">
        <f>HYPERLINK("https://klasma.github.io/Logging_2029/tillsynsmail/A 6029-2025 tillsynsbegäran mail.docx", "A 6029-2025")</f>
        <v/>
      </c>
      <c r="Z31">
        <f>HYPERLINK("https://klasma.github.io/Logging_2029/fåglar/A 6029-2025 prioriterade fågelarter.docx", "A 6029-2025")</f>
        <v/>
      </c>
    </row>
    <row r="32" ht="15" customHeight="1">
      <c r="A32" t="inlineStr">
        <is>
          <t>A 53633-2024</t>
        </is>
      </c>
      <c r="B32" s="1" t="n">
        <v>45614.83726851852</v>
      </c>
      <c r="C32" s="1" t="n">
        <v>45939</v>
      </c>
      <c r="D32" t="inlineStr">
        <is>
          <t>DALARNAS LÄN</t>
        </is>
      </c>
      <c r="E32" t="inlineStr">
        <is>
          <t>LEKSAND</t>
        </is>
      </c>
      <c r="G32" t="n">
        <v>1.6</v>
      </c>
      <c r="H32" t="n">
        <v>1</v>
      </c>
      <c r="I32" t="n">
        <v>0</v>
      </c>
      <c r="J32" t="n">
        <v>1</v>
      </c>
      <c r="K32" t="n">
        <v>0</v>
      </c>
      <c r="L32" t="n">
        <v>0</v>
      </c>
      <c r="M32" t="n">
        <v>0</v>
      </c>
      <c r="N32" t="n">
        <v>0</v>
      </c>
      <c r="O32" t="n">
        <v>1</v>
      </c>
      <c r="P32" t="n">
        <v>0</v>
      </c>
      <c r="Q32" t="n">
        <v>1</v>
      </c>
      <c r="R32" s="2" t="inlineStr">
        <is>
          <t>Tretåig hackspett</t>
        </is>
      </c>
      <c r="S32">
        <f>HYPERLINK("https://klasma.github.io/Logging_2029/artfynd/A 53633-2024 artfynd.xlsx", "A 53633-2024")</f>
        <v/>
      </c>
      <c r="T32">
        <f>HYPERLINK("https://klasma.github.io/Logging_2029/kartor/A 53633-2024 karta.png", "A 53633-2024")</f>
        <v/>
      </c>
      <c r="V32">
        <f>HYPERLINK("https://klasma.github.io/Logging_2029/klagomål/A 53633-2024 FSC-klagomål.docx", "A 53633-2024")</f>
        <v/>
      </c>
      <c r="W32">
        <f>HYPERLINK("https://klasma.github.io/Logging_2029/klagomålsmail/A 53633-2024 FSC-klagomål mail.docx", "A 53633-2024")</f>
        <v/>
      </c>
      <c r="X32">
        <f>HYPERLINK("https://klasma.github.io/Logging_2029/tillsyn/A 53633-2024 tillsynsbegäran.docx", "A 53633-2024")</f>
        <v/>
      </c>
      <c r="Y32">
        <f>HYPERLINK("https://klasma.github.io/Logging_2029/tillsynsmail/A 53633-2024 tillsynsbegäran mail.docx", "A 53633-2024")</f>
        <v/>
      </c>
      <c r="Z32">
        <f>HYPERLINK("https://klasma.github.io/Logging_2029/fåglar/A 53633-2024 prioriterade fågelarter.docx", "A 53633-2024")</f>
        <v/>
      </c>
    </row>
    <row r="33" ht="15" customHeight="1">
      <c r="A33" t="inlineStr">
        <is>
          <t>A 41873-2022</t>
        </is>
      </c>
      <c r="B33" s="1" t="n">
        <v>44829</v>
      </c>
      <c r="C33" s="1" t="n">
        <v>45939</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164-2024</t>
        </is>
      </c>
      <c r="B34" s="1" t="n">
        <v>45294.49954861111</v>
      </c>
      <c r="C34" s="1" t="n">
        <v>45939</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4974-2025</t>
        </is>
      </c>
      <c r="B35" s="1" t="n">
        <v>45690.8478587963</v>
      </c>
      <c r="C35" s="1" t="n">
        <v>45939</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16333-2023</t>
        </is>
      </c>
      <c r="B36" s="1" t="n">
        <v>45028</v>
      </c>
      <c r="C36" s="1" t="n">
        <v>45939</v>
      </c>
      <c r="D36" t="inlineStr">
        <is>
          <t>DALARNAS LÄN</t>
        </is>
      </c>
      <c r="E36" t="inlineStr">
        <is>
          <t>LEKSAND</t>
        </is>
      </c>
      <c r="G36" t="n">
        <v>1.5</v>
      </c>
      <c r="H36" t="n">
        <v>0</v>
      </c>
      <c r="I36" t="n">
        <v>1</v>
      </c>
      <c r="J36" t="n">
        <v>0</v>
      </c>
      <c r="K36" t="n">
        <v>0</v>
      </c>
      <c r="L36" t="n">
        <v>0</v>
      </c>
      <c r="M36" t="n">
        <v>0</v>
      </c>
      <c r="N36" t="n">
        <v>0</v>
      </c>
      <c r="O36" t="n">
        <v>0</v>
      </c>
      <c r="P36" t="n">
        <v>0</v>
      </c>
      <c r="Q36" t="n">
        <v>1</v>
      </c>
      <c r="R36" s="2" t="inlineStr">
        <is>
          <t>Läderskål</t>
        </is>
      </c>
      <c r="S36">
        <f>HYPERLINK("https://klasma.github.io/Logging_2029/artfynd/A 16333-2023 artfynd.xlsx", "A 16333-2023")</f>
        <v/>
      </c>
      <c r="T36">
        <f>HYPERLINK("https://klasma.github.io/Logging_2029/kartor/A 16333-2023 karta.png", "A 16333-2023")</f>
        <v/>
      </c>
      <c r="V36">
        <f>HYPERLINK("https://klasma.github.io/Logging_2029/klagomål/A 16333-2023 FSC-klagomål.docx", "A 16333-2023")</f>
        <v/>
      </c>
      <c r="W36">
        <f>HYPERLINK("https://klasma.github.io/Logging_2029/klagomålsmail/A 16333-2023 FSC-klagomål mail.docx", "A 16333-2023")</f>
        <v/>
      </c>
      <c r="X36">
        <f>HYPERLINK("https://klasma.github.io/Logging_2029/tillsyn/A 16333-2023 tillsynsbegäran.docx", "A 16333-2023")</f>
        <v/>
      </c>
      <c r="Y36">
        <f>HYPERLINK("https://klasma.github.io/Logging_2029/tillsynsmail/A 16333-2023 tillsynsbegäran mail.docx", "A 16333-2023")</f>
        <v/>
      </c>
    </row>
    <row r="37" ht="15" customHeight="1">
      <c r="A37" t="inlineStr">
        <is>
          <t>A 26287-2023</t>
        </is>
      </c>
      <c r="B37" s="1" t="n">
        <v>45091</v>
      </c>
      <c r="C37" s="1" t="n">
        <v>45939</v>
      </c>
      <c r="D37" t="inlineStr">
        <is>
          <t>DALARNAS LÄN</t>
        </is>
      </c>
      <c r="E37" t="inlineStr">
        <is>
          <t>LEKSAND</t>
        </is>
      </c>
      <c r="G37" t="n">
        <v>2.4</v>
      </c>
      <c r="H37" t="n">
        <v>0</v>
      </c>
      <c r="I37" t="n">
        <v>1</v>
      </c>
      <c r="J37" t="n">
        <v>0</v>
      </c>
      <c r="K37" t="n">
        <v>0</v>
      </c>
      <c r="L37" t="n">
        <v>0</v>
      </c>
      <c r="M37" t="n">
        <v>0</v>
      </c>
      <c r="N37" t="n">
        <v>0</v>
      </c>
      <c r="O37" t="n">
        <v>0</v>
      </c>
      <c r="P37" t="n">
        <v>0</v>
      </c>
      <c r="Q37" t="n">
        <v>1</v>
      </c>
      <c r="R37" s="2" t="inlineStr">
        <is>
          <t>Mindre märgborre</t>
        </is>
      </c>
      <c r="S37">
        <f>HYPERLINK("https://klasma.github.io/Logging_2029/artfynd/A 26287-2023 artfynd.xlsx", "A 26287-2023")</f>
        <v/>
      </c>
      <c r="T37">
        <f>HYPERLINK("https://klasma.github.io/Logging_2029/kartor/A 26287-2023 karta.png", "A 26287-2023")</f>
        <v/>
      </c>
      <c r="V37">
        <f>HYPERLINK("https://klasma.github.io/Logging_2029/klagomål/A 26287-2023 FSC-klagomål.docx", "A 26287-2023")</f>
        <v/>
      </c>
      <c r="W37">
        <f>HYPERLINK("https://klasma.github.io/Logging_2029/klagomålsmail/A 26287-2023 FSC-klagomål mail.docx", "A 26287-2023")</f>
        <v/>
      </c>
      <c r="X37">
        <f>HYPERLINK("https://klasma.github.io/Logging_2029/tillsyn/A 26287-2023 tillsynsbegäran.docx", "A 26287-2023")</f>
        <v/>
      </c>
      <c r="Y37">
        <f>HYPERLINK("https://klasma.github.io/Logging_2029/tillsynsmail/A 26287-2023 tillsynsbegäran mail.docx", "A 26287-2023")</f>
        <v/>
      </c>
    </row>
    <row r="38" ht="15" customHeight="1">
      <c r="A38" t="inlineStr">
        <is>
          <t>A 16735-2025</t>
        </is>
      </c>
      <c r="B38" s="1" t="n">
        <v>45754.54314814815</v>
      </c>
      <c r="C38" s="1" t="n">
        <v>45939</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23137-2022</t>
        </is>
      </c>
      <c r="B39" s="1" t="n">
        <v>44719</v>
      </c>
      <c r="C39" s="1" t="n">
        <v>45939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47601-2025</t>
        </is>
      </c>
      <c r="B40" s="1" t="n">
        <v>45931.46008101852</v>
      </c>
      <c r="C40" s="1" t="n">
        <v>45939</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31124-2024</t>
        </is>
      </c>
      <c r="B41" s="1" t="n">
        <v>45502.62886574074</v>
      </c>
      <c r="C41" s="1" t="n">
        <v>45939</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55633-2024</t>
        </is>
      </c>
      <c r="B42" s="1" t="n">
        <v>45621</v>
      </c>
      <c r="C42" s="1" t="n">
        <v>45939</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52600-2024</t>
        </is>
      </c>
      <c r="B43" s="1" t="n">
        <v>45609</v>
      </c>
      <c r="C43" s="1" t="n">
        <v>45939</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59205-2023</t>
        </is>
      </c>
      <c r="B44" s="1" t="n">
        <v>45251</v>
      </c>
      <c r="C44" s="1" t="n">
        <v>45939</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36778-2025</t>
        </is>
      </c>
      <c r="B45" s="1" t="n">
        <v>45873</v>
      </c>
      <c r="C45" s="1" t="n">
        <v>45939</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31951-2025</t>
        </is>
      </c>
      <c r="B46" s="1" t="n">
        <v>45835.33481481481</v>
      </c>
      <c r="C46" s="1" t="n">
        <v>45939</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34993-2025</t>
        </is>
      </c>
      <c r="B47" s="1" t="n">
        <v>45849.82383101852</v>
      </c>
      <c r="C47" s="1" t="n">
        <v>45939</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45939</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1078-2021</t>
        </is>
      </c>
      <c r="B49" s="1" t="n">
        <v>44207</v>
      </c>
      <c r="C49" s="1" t="n">
        <v>45939</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45939</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45939</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45939</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45939</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45939</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45939</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45939</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45939</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45939</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45939</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45939</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45939</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45939</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45939</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45939</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45939</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45939</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45939</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45939</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45939</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45939</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45939</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45939</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45939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45939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45939</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45939</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45939</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45939</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45939</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45939</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45939</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45939</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45939</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19677-2021</t>
        </is>
      </c>
      <c r="B86" s="1" t="n">
        <v>44312</v>
      </c>
      <c r="C86" s="1" t="n">
        <v>45939</v>
      </c>
      <c r="D86" t="inlineStr">
        <is>
          <t>DALARNAS LÄN</t>
        </is>
      </c>
      <c r="E86" t="inlineStr">
        <is>
          <t>LEKSAND</t>
        </is>
      </c>
      <c r="F86" t="inlineStr">
        <is>
          <t>Bergvik skog väst AB</t>
        </is>
      </c>
      <c r="G86" t="n">
        <v>3.1</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45939</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45939</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26289-2022</t>
        </is>
      </c>
      <c r="B89" s="1" t="n">
        <v>44735</v>
      </c>
      <c r="C89" s="1" t="n">
        <v>45939</v>
      </c>
      <c r="D89" t="inlineStr">
        <is>
          <t>DALARNAS LÄN</t>
        </is>
      </c>
      <c r="E89" t="inlineStr">
        <is>
          <t>LEKSAND</t>
        </is>
      </c>
      <c r="G89" t="n">
        <v>1</v>
      </c>
      <c r="H89" t="n">
        <v>0</v>
      </c>
      <c r="I89" t="n">
        <v>0</v>
      </c>
      <c r="J89" t="n">
        <v>0</v>
      </c>
      <c r="K89" t="n">
        <v>0</v>
      </c>
      <c r="L89" t="n">
        <v>0</v>
      </c>
      <c r="M89" t="n">
        <v>0</v>
      </c>
      <c r="N89" t="n">
        <v>0</v>
      </c>
      <c r="O89" t="n">
        <v>0</v>
      </c>
      <c r="P89" t="n">
        <v>0</v>
      </c>
      <c r="Q89" t="n">
        <v>0</v>
      </c>
      <c r="R89" s="2" t="inlineStr"/>
    </row>
    <row r="90" ht="15" customHeight="1">
      <c r="A90" t="inlineStr">
        <is>
          <t>A 34317-2022</t>
        </is>
      </c>
      <c r="B90" s="1" t="n">
        <v>44792.38814814815</v>
      </c>
      <c r="C90" s="1" t="n">
        <v>45939</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45939</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45939</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32635-2021</t>
        </is>
      </c>
      <c r="B93" s="1" t="n">
        <v>44374</v>
      </c>
      <c r="C93" s="1" t="n">
        <v>45939</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64449-2020</t>
        </is>
      </c>
      <c r="B94" s="1" t="n">
        <v>44168</v>
      </c>
      <c r="C94" s="1" t="n">
        <v>45939</v>
      </c>
      <c r="D94" t="inlineStr">
        <is>
          <t>DALARNAS LÄN</t>
        </is>
      </c>
      <c r="E94" t="inlineStr">
        <is>
          <t>LEKSAND</t>
        </is>
      </c>
      <c r="G94" t="n">
        <v>1.1</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45939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18866-2022</t>
        </is>
      </c>
      <c r="B96" s="1" t="n">
        <v>44690</v>
      </c>
      <c r="C96" s="1" t="n">
        <v>45939</v>
      </c>
      <c r="D96" t="inlineStr">
        <is>
          <t>DALARNAS LÄN</t>
        </is>
      </c>
      <c r="E96" t="inlineStr">
        <is>
          <t>LEKSAND</t>
        </is>
      </c>
      <c r="F96" t="inlineStr">
        <is>
          <t>Övriga Aktiebolag</t>
        </is>
      </c>
      <c r="G96" t="n">
        <v>5.1</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45939</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45939</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38619-2021</t>
        </is>
      </c>
      <c r="B99" s="1" t="n">
        <v>44409</v>
      </c>
      <c r="C99" s="1" t="n">
        <v>45939</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45939</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45040-2021</t>
        </is>
      </c>
      <c r="B101" s="1" t="n">
        <v>44438</v>
      </c>
      <c r="C101" s="1" t="n">
        <v>45939</v>
      </c>
      <c r="D101" t="inlineStr">
        <is>
          <t>DALARNAS LÄN</t>
        </is>
      </c>
      <c r="E101" t="inlineStr">
        <is>
          <t>LEKSAND</t>
        </is>
      </c>
      <c r="G101" t="n">
        <v>2.7</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45939</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45939</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45939</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31871-2022</t>
        </is>
      </c>
      <c r="B105" s="1" t="n">
        <v>44777.37854166667</v>
      </c>
      <c r="C105" s="1" t="n">
        <v>45939</v>
      </c>
      <c r="D105" t="inlineStr">
        <is>
          <t>DALARNAS LÄN</t>
        </is>
      </c>
      <c r="E105" t="inlineStr">
        <is>
          <t>LEKSAND</t>
        </is>
      </c>
      <c r="G105" t="n">
        <v>4.1</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45939</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30449-2022</t>
        </is>
      </c>
      <c r="B107" s="1" t="n">
        <v>44761.59276620371</v>
      </c>
      <c r="C107" s="1" t="n">
        <v>45939</v>
      </c>
      <c r="D107" t="inlineStr">
        <is>
          <t>DALARNAS LÄN</t>
        </is>
      </c>
      <c r="E107" t="inlineStr">
        <is>
          <t>LEKSAND</t>
        </is>
      </c>
      <c r="G107" t="n">
        <v>5.7</v>
      </c>
      <c r="H107" t="n">
        <v>0</v>
      </c>
      <c r="I107" t="n">
        <v>0</v>
      </c>
      <c r="J107" t="n">
        <v>0</v>
      </c>
      <c r="K107" t="n">
        <v>0</v>
      </c>
      <c r="L107" t="n">
        <v>0</v>
      </c>
      <c r="M107" t="n">
        <v>0</v>
      </c>
      <c r="N107" t="n">
        <v>0</v>
      </c>
      <c r="O107" t="n">
        <v>0</v>
      </c>
      <c r="P107" t="n">
        <v>0</v>
      </c>
      <c r="Q107" t="n">
        <v>0</v>
      </c>
      <c r="R107" s="2" t="inlineStr"/>
    </row>
    <row r="108" ht="15" customHeight="1">
      <c r="A108" t="inlineStr">
        <is>
          <t>A 19559-2023</t>
        </is>
      </c>
      <c r="B108" s="1" t="n">
        <v>45050</v>
      </c>
      <c r="C108" s="1" t="n">
        <v>45939</v>
      </c>
      <c r="D108" t="inlineStr">
        <is>
          <t>DALARNAS LÄN</t>
        </is>
      </c>
      <c r="E108" t="inlineStr">
        <is>
          <t>LEKSAND</t>
        </is>
      </c>
      <c r="G108" t="n">
        <v>0.1</v>
      </c>
      <c r="H108" t="n">
        <v>0</v>
      </c>
      <c r="I108" t="n">
        <v>0</v>
      </c>
      <c r="J108" t="n">
        <v>0</v>
      </c>
      <c r="K108" t="n">
        <v>0</v>
      </c>
      <c r="L108" t="n">
        <v>0</v>
      </c>
      <c r="M108" t="n">
        <v>0</v>
      </c>
      <c r="N108" t="n">
        <v>0</v>
      </c>
      <c r="O108" t="n">
        <v>0</v>
      </c>
      <c r="P108" t="n">
        <v>0</v>
      </c>
      <c r="Q108" t="n">
        <v>0</v>
      </c>
      <c r="R108" s="2" t="inlineStr"/>
    </row>
    <row r="109" ht="15" customHeight="1">
      <c r="A109" t="inlineStr">
        <is>
          <t>A 8046-2024</t>
        </is>
      </c>
      <c r="B109" s="1" t="n">
        <v>45351.31555555556</v>
      </c>
      <c r="C109" s="1" t="n">
        <v>45939</v>
      </c>
      <c r="D109" t="inlineStr">
        <is>
          <t>DALARNAS LÄN</t>
        </is>
      </c>
      <c r="E109" t="inlineStr">
        <is>
          <t>LEKSAND</t>
        </is>
      </c>
      <c r="G109" t="n">
        <v>2.9</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45939</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28128-2022</t>
        </is>
      </c>
      <c r="B111" s="1" t="n">
        <v>44746.50628472222</v>
      </c>
      <c r="C111" s="1" t="n">
        <v>45939</v>
      </c>
      <c r="D111" t="inlineStr">
        <is>
          <t>DALARNAS LÄN</t>
        </is>
      </c>
      <c r="E111" t="inlineStr">
        <is>
          <t>LEKSAND</t>
        </is>
      </c>
      <c r="G111" t="n">
        <v>3.5</v>
      </c>
      <c r="H111" t="n">
        <v>0</v>
      </c>
      <c r="I111" t="n">
        <v>0</v>
      </c>
      <c r="J111" t="n">
        <v>0</v>
      </c>
      <c r="K111" t="n">
        <v>0</v>
      </c>
      <c r="L111" t="n">
        <v>0</v>
      </c>
      <c r="M111" t="n">
        <v>0</v>
      </c>
      <c r="N111" t="n">
        <v>0</v>
      </c>
      <c r="O111" t="n">
        <v>0</v>
      </c>
      <c r="P111" t="n">
        <v>0</v>
      </c>
      <c r="Q111" t="n">
        <v>0</v>
      </c>
      <c r="R111" s="2" t="inlineStr"/>
    </row>
    <row r="112" ht="15" customHeight="1">
      <c r="A112" t="inlineStr">
        <is>
          <t>A 38001-2023</t>
        </is>
      </c>
      <c r="B112" s="1" t="n">
        <v>45160</v>
      </c>
      <c r="C112" s="1" t="n">
        <v>45939</v>
      </c>
      <c r="D112" t="inlineStr">
        <is>
          <t>DALARNAS LÄN</t>
        </is>
      </c>
      <c r="E112" t="inlineStr">
        <is>
          <t>LEKSAND</t>
        </is>
      </c>
      <c r="G112" t="n">
        <v>3.6</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45939</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45939</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5583-2024</t>
        </is>
      </c>
      <c r="B115" s="1" t="n">
        <v>45334</v>
      </c>
      <c r="C115" s="1" t="n">
        <v>45939</v>
      </c>
      <c r="D115" t="inlineStr">
        <is>
          <t>DALARNAS LÄN</t>
        </is>
      </c>
      <c r="E115" t="inlineStr">
        <is>
          <t>LEKSAND</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46672-2022</t>
        </is>
      </c>
      <c r="B116" s="1" t="n">
        <v>44851</v>
      </c>
      <c r="C116" s="1" t="n">
        <v>45939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44432.60814814815</v>
      </c>
      <c r="C117" s="1" t="n">
        <v>45939</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31915-2024</t>
        </is>
      </c>
      <c r="B118" s="1" t="n">
        <v>45510.38956018518</v>
      </c>
      <c r="C118" s="1" t="n">
        <v>45939</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49581-2022</t>
        </is>
      </c>
      <c r="B119" s="1" t="n">
        <v>44862.36287037037</v>
      </c>
      <c r="C119" s="1" t="n">
        <v>45939</v>
      </c>
      <c r="D119" t="inlineStr">
        <is>
          <t>DALARNAS LÄN</t>
        </is>
      </c>
      <c r="E119" t="inlineStr">
        <is>
          <t>LEKSAND</t>
        </is>
      </c>
      <c r="G119" t="n">
        <v>1.8</v>
      </c>
      <c r="H119" t="n">
        <v>0</v>
      </c>
      <c r="I119" t="n">
        <v>0</v>
      </c>
      <c r="J119" t="n">
        <v>0</v>
      </c>
      <c r="K119" t="n">
        <v>0</v>
      </c>
      <c r="L119" t="n">
        <v>0</v>
      </c>
      <c r="M119" t="n">
        <v>0</v>
      </c>
      <c r="N119" t="n">
        <v>0</v>
      </c>
      <c r="O119" t="n">
        <v>0</v>
      </c>
      <c r="P119" t="n">
        <v>0</v>
      </c>
      <c r="Q119" t="n">
        <v>0</v>
      </c>
      <c r="R119" s="2" t="inlineStr"/>
    </row>
    <row r="120" ht="15" customHeight="1">
      <c r="A120" t="inlineStr">
        <is>
          <t>A 56153-2021</t>
        </is>
      </c>
      <c r="B120" s="1" t="n">
        <v>44477</v>
      </c>
      <c r="C120" s="1" t="n">
        <v>45939</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72155-2021</t>
        </is>
      </c>
      <c r="B121" s="1" t="n">
        <v>44543</v>
      </c>
      <c r="C121" s="1" t="n">
        <v>45939</v>
      </c>
      <c r="D121" t="inlineStr">
        <is>
          <t>DALARNAS LÄN</t>
        </is>
      </c>
      <c r="E121" t="inlineStr">
        <is>
          <t>LEKSAND</t>
        </is>
      </c>
      <c r="G121" t="n">
        <v>2.5</v>
      </c>
      <c r="H121" t="n">
        <v>0</v>
      </c>
      <c r="I121" t="n">
        <v>0</v>
      </c>
      <c r="J121" t="n">
        <v>0</v>
      </c>
      <c r="K121" t="n">
        <v>0</v>
      </c>
      <c r="L121" t="n">
        <v>0</v>
      </c>
      <c r="M121" t="n">
        <v>0</v>
      </c>
      <c r="N121" t="n">
        <v>0</v>
      </c>
      <c r="O121" t="n">
        <v>0</v>
      </c>
      <c r="P121" t="n">
        <v>0</v>
      </c>
      <c r="Q121" t="n">
        <v>0</v>
      </c>
      <c r="R121" s="2" t="inlineStr"/>
    </row>
    <row r="122" ht="15" customHeight="1">
      <c r="A122" t="inlineStr">
        <is>
          <t>A 35080-2022</t>
        </is>
      </c>
      <c r="B122" s="1" t="n">
        <v>44797</v>
      </c>
      <c r="C122" s="1" t="n">
        <v>45939</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45939</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70098-2021</t>
        </is>
      </c>
      <c r="B124" s="1" t="n">
        <v>44533</v>
      </c>
      <c r="C124" s="1" t="n">
        <v>45939</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7417-2024</t>
        </is>
      </c>
      <c r="B125" s="1" t="n">
        <v>45345.62378472222</v>
      </c>
      <c r="C125" s="1" t="n">
        <v>45939</v>
      </c>
      <c r="D125" t="inlineStr">
        <is>
          <t>DALARNAS LÄN</t>
        </is>
      </c>
      <c r="E125" t="inlineStr">
        <is>
          <t>LEKSAND</t>
        </is>
      </c>
      <c r="G125" t="n">
        <v>2.8</v>
      </c>
      <c r="H125" t="n">
        <v>0</v>
      </c>
      <c r="I125" t="n">
        <v>0</v>
      </c>
      <c r="J125" t="n">
        <v>0</v>
      </c>
      <c r="K125" t="n">
        <v>0</v>
      </c>
      <c r="L125" t="n">
        <v>0</v>
      </c>
      <c r="M125" t="n">
        <v>0</v>
      </c>
      <c r="N125" t="n">
        <v>0</v>
      </c>
      <c r="O125" t="n">
        <v>0</v>
      </c>
      <c r="P125" t="n">
        <v>0</v>
      </c>
      <c r="Q125" t="n">
        <v>0</v>
      </c>
      <c r="R125" s="2" t="inlineStr"/>
    </row>
    <row r="126" ht="15" customHeight="1">
      <c r="A126" t="inlineStr">
        <is>
          <t>A 13161-2024</t>
        </is>
      </c>
      <c r="B126" s="1" t="n">
        <v>45386.38972222222</v>
      </c>
      <c r="C126" s="1" t="n">
        <v>45939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45939</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12356-2023</t>
        </is>
      </c>
      <c r="B128" s="1" t="n">
        <v>44998</v>
      </c>
      <c r="C128" s="1" t="n">
        <v>45939</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6758-2024</t>
        </is>
      </c>
      <c r="B129" s="1" t="n">
        <v>45342.46857638889</v>
      </c>
      <c r="C129" s="1" t="n">
        <v>45939</v>
      </c>
      <c r="D129" t="inlineStr">
        <is>
          <t>DALARNAS LÄN</t>
        </is>
      </c>
      <c r="E129" t="inlineStr">
        <is>
          <t>LEKSAND</t>
        </is>
      </c>
      <c r="F129" t="inlineStr">
        <is>
          <t>Bergvik skog väst AB</t>
        </is>
      </c>
      <c r="G129" t="n">
        <v>6.2</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45939</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41046-2024</t>
        </is>
      </c>
      <c r="B131" s="1" t="n">
        <v>45559.36677083333</v>
      </c>
      <c r="C131" s="1" t="n">
        <v>45939</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56016-2024</t>
        </is>
      </c>
      <c r="B132" s="1" t="n">
        <v>45623.87737268519</v>
      </c>
      <c r="C132" s="1" t="n">
        <v>45939</v>
      </c>
      <c r="D132" t="inlineStr">
        <is>
          <t>DALARNAS LÄN</t>
        </is>
      </c>
      <c r="E132" t="inlineStr">
        <is>
          <t>LEKSAND</t>
        </is>
      </c>
      <c r="G132" t="n">
        <v>6.1</v>
      </c>
      <c r="H132" t="n">
        <v>0</v>
      </c>
      <c r="I132" t="n">
        <v>0</v>
      </c>
      <c r="J132" t="n">
        <v>0</v>
      </c>
      <c r="K132" t="n">
        <v>0</v>
      </c>
      <c r="L132" t="n">
        <v>0</v>
      </c>
      <c r="M132" t="n">
        <v>0</v>
      </c>
      <c r="N132" t="n">
        <v>0</v>
      </c>
      <c r="O132" t="n">
        <v>0</v>
      </c>
      <c r="P132" t="n">
        <v>0</v>
      </c>
      <c r="Q132" t="n">
        <v>0</v>
      </c>
      <c r="R132" s="2" t="inlineStr"/>
    </row>
    <row r="133" ht="15" customHeight="1">
      <c r="A133" t="inlineStr">
        <is>
          <t>A 17233-2023</t>
        </is>
      </c>
      <c r="B133" s="1" t="n">
        <v>45035</v>
      </c>
      <c r="C133" s="1" t="n">
        <v>45939</v>
      </c>
      <c r="D133" t="inlineStr">
        <is>
          <t>DALARNAS LÄN</t>
        </is>
      </c>
      <c r="E133" t="inlineStr">
        <is>
          <t>LEKSAND</t>
        </is>
      </c>
      <c r="G133" t="n">
        <v>1.6</v>
      </c>
      <c r="H133" t="n">
        <v>0</v>
      </c>
      <c r="I133" t="n">
        <v>0</v>
      </c>
      <c r="J133" t="n">
        <v>0</v>
      </c>
      <c r="K133" t="n">
        <v>0</v>
      </c>
      <c r="L133" t="n">
        <v>0</v>
      </c>
      <c r="M133" t="n">
        <v>0</v>
      </c>
      <c r="N133" t="n">
        <v>0</v>
      </c>
      <c r="O133" t="n">
        <v>0</v>
      </c>
      <c r="P133" t="n">
        <v>0</v>
      </c>
      <c r="Q133" t="n">
        <v>0</v>
      </c>
      <c r="R133" s="2" t="inlineStr"/>
    </row>
    <row r="134" ht="15" customHeight="1">
      <c r="A134" t="inlineStr">
        <is>
          <t>A 16231-2021</t>
        </is>
      </c>
      <c r="B134" s="1" t="n">
        <v>44292</v>
      </c>
      <c r="C134" s="1" t="n">
        <v>45939</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48644-2023</t>
        </is>
      </c>
      <c r="B135" s="1" t="n">
        <v>45208.58997685185</v>
      </c>
      <c r="C135" s="1" t="n">
        <v>45939</v>
      </c>
      <c r="D135" t="inlineStr">
        <is>
          <t>DALARNAS LÄN</t>
        </is>
      </c>
      <c r="E135" t="inlineStr">
        <is>
          <t>LEKSAND</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44519-2025</t>
        </is>
      </c>
      <c r="B136" s="1" t="n">
        <v>45916.71483796297</v>
      </c>
      <c r="C136" s="1" t="n">
        <v>45939</v>
      </c>
      <c r="D136" t="inlineStr">
        <is>
          <t>DALARNAS LÄN</t>
        </is>
      </c>
      <c r="E136" t="inlineStr">
        <is>
          <t>LEKSAND</t>
        </is>
      </c>
      <c r="G136" t="n">
        <v>3.6</v>
      </c>
      <c r="H136" t="n">
        <v>0</v>
      </c>
      <c r="I136" t="n">
        <v>0</v>
      </c>
      <c r="J136" t="n">
        <v>0</v>
      </c>
      <c r="K136" t="n">
        <v>0</v>
      </c>
      <c r="L136" t="n">
        <v>0</v>
      </c>
      <c r="M136" t="n">
        <v>0</v>
      </c>
      <c r="N136" t="n">
        <v>0</v>
      </c>
      <c r="O136" t="n">
        <v>0</v>
      </c>
      <c r="P136" t="n">
        <v>0</v>
      </c>
      <c r="Q136" t="n">
        <v>0</v>
      </c>
      <c r="R136" s="2" t="inlineStr"/>
    </row>
    <row r="137" ht="15" customHeight="1">
      <c r="A137" t="inlineStr">
        <is>
          <t>A 12857-2023</t>
        </is>
      </c>
      <c r="B137" s="1" t="n">
        <v>45001.5000462963</v>
      </c>
      <c r="C137" s="1" t="n">
        <v>45939</v>
      </c>
      <c r="D137" t="inlineStr">
        <is>
          <t>DALARNAS LÄN</t>
        </is>
      </c>
      <c r="E137" t="inlineStr">
        <is>
          <t>LEKSAND</t>
        </is>
      </c>
      <c r="G137" t="n">
        <v>0.2</v>
      </c>
      <c r="H137" t="n">
        <v>0</v>
      </c>
      <c r="I137" t="n">
        <v>0</v>
      </c>
      <c r="J137" t="n">
        <v>0</v>
      </c>
      <c r="K137" t="n">
        <v>0</v>
      </c>
      <c r="L137" t="n">
        <v>0</v>
      </c>
      <c r="M137" t="n">
        <v>0</v>
      </c>
      <c r="N137" t="n">
        <v>0</v>
      </c>
      <c r="O137" t="n">
        <v>0</v>
      </c>
      <c r="P137" t="n">
        <v>0</v>
      </c>
      <c r="Q137" t="n">
        <v>0</v>
      </c>
      <c r="R137" s="2" t="inlineStr"/>
    </row>
    <row r="138" ht="15" customHeight="1">
      <c r="A138" t="inlineStr">
        <is>
          <t>A 25025-2023</t>
        </is>
      </c>
      <c r="B138" s="1" t="n">
        <v>45085.92146990741</v>
      </c>
      <c r="C138" s="1" t="n">
        <v>45939</v>
      </c>
      <c r="D138" t="inlineStr">
        <is>
          <t>DALARNAS LÄN</t>
        </is>
      </c>
      <c r="E138" t="inlineStr">
        <is>
          <t>LEKSAND</t>
        </is>
      </c>
      <c r="G138" t="n">
        <v>3</v>
      </c>
      <c r="H138" t="n">
        <v>0</v>
      </c>
      <c r="I138" t="n">
        <v>0</v>
      </c>
      <c r="J138" t="n">
        <v>0</v>
      </c>
      <c r="K138" t="n">
        <v>0</v>
      </c>
      <c r="L138" t="n">
        <v>0</v>
      </c>
      <c r="M138" t="n">
        <v>0</v>
      </c>
      <c r="N138" t="n">
        <v>0</v>
      </c>
      <c r="O138" t="n">
        <v>0</v>
      </c>
      <c r="P138" t="n">
        <v>0</v>
      </c>
      <c r="Q138" t="n">
        <v>0</v>
      </c>
      <c r="R138" s="2" t="inlineStr"/>
    </row>
    <row r="139" ht="15" customHeight="1">
      <c r="A139" t="inlineStr">
        <is>
          <t>A 25038-2023</t>
        </is>
      </c>
      <c r="B139" s="1" t="n">
        <v>45085</v>
      </c>
      <c r="C139" s="1" t="n">
        <v>45939</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28674-2024</t>
        </is>
      </c>
      <c r="B140" s="1" t="n">
        <v>45478.47863425926</v>
      </c>
      <c r="C140" s="1" t="n">
        <v>45939</v>
      </c>
      <c r="D140" t="inlineStr">
        <is>
          <t>DALARNAS LÄN</t>
        </is>
      </c>
      <c r="E140" t="inlineStr">
        <is>
          <t>LEKSAND</t>
        </is>
      </c>
      <c r="G140" t="n">
        <v>4.9</v>
      </c>
      <c r="H140" t="n">
        <v>0</v>
      </c>
      <c r="I140" t="n">
        <v>0</v>
      </c>
      <c r="J140" t="n">
        <v>0</v>
      </c>
      <c r="K140" t="n">
        <v>0</v>
      </c>
      <c r="L140" t="n">
        <v>0</v>
      </c>
      <c r="M140" t="n">
        <v>0</v>
      </c>
      <c r="N140" t="n">
        <v>0</v>
      </c>
      <c r="O140" t="n">
        <v>0</v>
      </c>
      <c r="P140" t="n">
        <v>0</v>
      </c>
      <c r="Q140" t="n">
        <v>0</v>
      </c>
      <c r="R140" s="2" t="inlineStr"/>
    </row>
    <row r="141" ht="15" customHeight="1">
      <c r="A141" t="inlineStr">
        <is>
          <t>A 55926-2024</t>
        </is>
      </c>
      <c r="B141" s="1" t="n">
        <v>45623.601875</v>
      </c>
      <c r="C141" s="1" t="n">
        <v>45939</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16293-2025</t>
        </is>
      </c>
      <c r="B142" s="1" t="n">
        <v>45751.33447916667</v>
      </c>
      <c r="C142" s="1" t="n">
        <v>45939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51860-2024</t>
        </is>
      </c>
      <c r="B143" s="1" t="n">
        <v>45607.54511574074</v>
      </c>
      <c r="C143" s="1" t="n">
        <v>45939</v>
      </c>
      <c r="D143" t="inlineStr">
        <is>
          <t>DALARNAS LÄN</t>
        </is>
      </c>
      <c r="E143" t="inlineStr">
        <is>
          <t>LEKSAND</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44237-2025</t>
        </is>
      </c>
      <c r="B144" s="1" t="n">
        <v>45915.6677199074</v>
      </c>
      <c r="C144" s="1" t="n">
        <v>45939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19622-2024</t>
        </is>
      </c>
      <c r="B145" s="1" t="n">
        <v>45432.33592592592</v>
      </c>
      <c r="C145" s="1" t="n">
        <v>45939</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12363-2023</t>
        </is>
      </c>
      <c r="B146" s="1" t="n">
        <v>44998</v>
      </c>
      <c r="C146" s="1" t="n">
        <v>45939</v>
      </c>
      <c r="D146" t="inlineStr">
        <is>
          <t>DALARNAS LÄN</t>
        </is>
      </c>
      <c r="E146" t="inlineStr">
        <is>
          <t>LEKSAND</t>
        </is>
      </c>
      <c r="G146" t="n">
        <v>10</v>
      </c>
      <c r="H146" t="n">
        <v>0</v>
      </c>
      <c r="I146" t="n">
        <v>0</v>
      </c>
      <c r="J146" t="n">
        <v>0</v>
      </c>
      <c r="K146" t="n">
        <v>0</v>
      </c>
      <c r="L146" t="n">
        <v>0</v>
      </c>
      <c r="M146" t="n">
        <v>0</v>
      </c>
      <c r="N146" t="n">
        <v>0</v>
      </c>
      <c r="O146" t="n">
        <v>0</v>
      </c>
      <c r="P146" t="n">
        <v>0</v>
      </c>
      <c r="Q146" t="n">
        <v>0</v>
      </c>
      <c r="R146" s="2" t="inlineStr"/>
    </row>
    <row r="147" ht="15" customHeight="1">
      <c r="A147" t="inlineStr">
        <is>
          <t>A 51857-2022</t>
        </is>
      </c>
      <c r="B147" s="1" t="n">
        <v>44867</v>
      </c>
      <c r="C147" s="1" t="n">
        <v>45939</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15020-2023</t>
        </is>
      </c>
      <c r="B148" s="1" t="n">
        <v>45015.6196412037</v>
      </c>
      <c r="C148" s="1" t="n">
        <v>45939</v>
      </c>
      <c r="D148" t="inlineStr">
        <is>
          <t>DALARNAS LÄN</t>
        </is>
      </c>
      <c r="E148" t="inlineStr">
        <is>
          <t>LEKSAND</t>
        </is>
      </c>
      <c r="G148" t="n">
        <v>2.6</v>
      </c>
      <c r="H148" t="n">
        <v>0</v>
      </c>
      <c r="I148" t="n">
        <v>0</v>
      </c>
      <c r="J148" t="n">
        <v>0</v>
      </c>
      <c r="K148" t="n">
        <v>0</v>
      </c>
      <c r="L148" t="n">
        <v>0</v>
      </c>
      <c r="M148" t="n">
        <v>0</v>
      </c>
      <c r="N148" t="n">
        <v>0</v>
      </c>
      <c r="O148" t="n">
        <v>0</v>
      </c>
      <c r="P148" t="n">
        <v>0</v>
      </c>
      <c r="Q148" t="n">
        <v>0</v>
      </c>
      <c r="R148" s="2" t="inlineStr"/>
    </row>
    <row r="149" ht="15" customHeight="1">
      <c r="A149" t="inlineStr">
        <is>
          <t>A 15968-2025</t>
        </is>
      </c>
      <c r="B149" s="1" t="n">
        <v>45749.54818287037</v>
      </c>
      <c r="C149" s="1" t="n">
        <v>45939</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16005-2025</t>
        </is>
      </c>
      <c r="B150" s="1" t="n">
        <v>45749.59765046297</v>
      </c>
      <c r="C150" s="1" t="n">
        <v>45939</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27317-2021</t>
        </is>
      </c>
      <c r="B151" s="1" t="n">
        <v>44351</v>
      </c>
      <c r="C151" s="1" t="n">
        <v>45939</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61055-2023</t>
        </is>
      </c>
      <c r="B152" s="1" t="n">
        <v>45261</v>
      </c>
      <c r="C152" s="1" t="n">
        <v>45939</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19820-2024</t>
        </is>
      </c>
      <c r="B153" s="1" t="n">
        <v>45433.33907407407</v>
      </c>
      <c r="C153" s="1" t="n">
        <v>45939</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19823-2024</t>
        </is>
      </c>
      <c r="B154" s="1" t="n">
        <v>45433.34469907408</v>
      </c>
      <c r="C154" s="1" t="n">
        <v>45939</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10743-2024</t>
        </is>
      </c>
      <c r="B155" s="1" t="n">
        <v>45369.52167824074</v>
      </c>
      <c r="C155" s="1" t="n">
        <v>45939</v>
      </c>
      <c r="D155" t="inlineStr">
        <is>
          <t>DALARNAS LÄN</t>
        </is>
      </c>
      <c r="E155" t="inlineStr">
        <is>
          <t>LEKSAND</t>
        </is>
      </c>
      <c r="G155" t="n">
        <v>2.7</v>
      </c>
      <c r="H155" t="n">
        <v>0</v>
      </c>
      <c r="I155" t="n">
        <v>0</v>
      </c>
      <c r="J155" t="n">
        <v>0</v>
      </c>
      <c r="K155" t="n">
        <v>0</v>
      </c>
      <c r="L155" t="n">
        <v>0</v>
      </c>
      <c r="M155" t="n">
        <v>0</v>
      </c>
      <c r="N155" t="n">
        <v>0</v>
      </c>
      <c r="O155" t="n">
        <v>0</v>
      </c>
      <c r="P155" t="n">
        <v>0</v>
      </c>
      <c r="Q155" t="n">
        <v>0</v>
      </c>
      <c r="R155" s="2" t="inlineStr"/>
    </row>
    <row r="156" ht="15" customHeight="1">
      <c r="A156" t="inlineStr">
        <is>
          <t>A 23323-2023</t>
        </is>
      </c>
      <c r="B156" s="1" t="n">
        <v>45076</v>
      </c>
      <c r="C156" s="1" t="n">
        <v>45939</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44672-2025</t>
        </is>
      </c>
      <c r="B157" s="1" t="n">
        <v>45917.56780092593</v>
      </c>
      <c r="C157" s="1" t="n">
        <v>45939</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45939</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10299-2024</t>
        </is>
      </c>
      <c r="B159" s="1" t="n">
        <v>45365.50425925926</v>
      </c>
      <c r="C159" s="1" t="n">
        <v>45939</v>
      </c>
      <c r="D159" t="inlineStr">
        <is>
          <t>DALARNAS LÄN</t>
        </is>
      </c>
      <c r="E159" t="inlineStr">
        <is>
          <t>LEKSAND</t>
        </is>
      </c>
      <c r="G159" t="n">
        <v>3.6</v>
      </c>
      <c r="H159" t="n">
        <v>0</v>
      </c>
      <c r="I159" t="n">
        <v>0</v>
      </c>
      <c r="J159" t="n">
        <v>0</v>
      </c>
      <c r="K159" t="n">
        <v>0</v>
      </c>
      <c r="L159" t="n">
        <v>0</v>
      </c>
      <c r="M159" t="n">
        <v>0</v>
      </c>
      <c r="N159" t="n">
        <v>0</v>
      </c>
      <c r="O159" t="n">
        <v>0</v>
      </c>
      <c r="P159" t="n">
        <v>0</v>
      </c>
      <c r="Q159" t="n">
        <v>0</v>
      </c>
      <c r="R159" s="2" t="inlineStr"/>
    </row>
    <row r="160" ht="15" customHeight="1">
      <c r="A160" t="inlineStr">
        <is>
          <t>A 55643-2024</t>
        </is>
      </c>
      <c r="B160" s="1" t="n">
        <v>45621</v>
      </c>
      <c r="C160" s="1" t="n">
        <v>45939</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60129-2023</t>
        </is>
      </c>
      <c r="B161" s="1" t="n">
        <v>45258.49056712963</v>
      </c>
      <c r="C161" s="1" t="n">
        <v>45939</v>
      </c>
      <c r="D161" t="inlineStr">
        <is>
          <t>DALARNAS LÄN</t>
        </is>
      </c>
      <c r="E161" t="inlineStr">
        <is>
          <t>LEKSAND</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16137-2023</t>
        </is>
      </c>
      <c r="B162" s="1" t="n">
        <v>45027</v>
      </c>
      <c r="C162" s="1" t="n">
        <v>45939</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412-2024</t>
        </is>
      </c>
      <c r="B163" s="1" t="n">
        <v>45296</v>
      </c>
      <c r="C163" s="1" t="n">
        <v>45939</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59673-2023</t>
        </is>
      </c>
      <c r="B164" s="1" t="n">
        <v>45255.44603009259</v>
      </c>
      <c r="C164" s="1" t="n">
        <v>45939</v>
      </c>
      <c r="D164" t="inlineStr">
        <is>
          <t>DALARNAS LÄN</t>
        </is>
      </c>
      <c r="E164" t="inlineStr">
        <is>
          <t>LEKSAND</t>
        </is>
      </c>
      <c r="G164" t="n">
        <v>12.2</v>
      </c>
      <c r="H164" t="n">
        <v>0</v>
      </c>
      <c r="I164" t="n">
        <v>0</v>
      </c>
      <c r="J164" t="n">
        <v>0</v>
      </c>
      <c r="K164" t="n">
        <v>0</v>
      </c>
      <c r="L164" t="n">
        <v>0</v>
      </c>
      <c r="M164" t="n">
        <v>0</v>
      </c>
      <c r="N164" t="n">
        <v>0</v>
      </c>
      <c r="O164" t="n">
        <v>0</v>
      </c>
      <c r="P164" t="n">
        <v>0</v>
      </c>
      <c r="Q164" t="n">
        <v>0</v>
      </c>
      <c r="R164" s="2" t="inlineStr"/>
    </row>
    <row r="165" ht="15" customHeight="1">
      <c r="A165" t="inlineStr">
        <is>
          <t>A 44948-2025</t>
        </is>
      </c>
      <c r="B165" s="1" t="n">
        <v>45918.60555555556</v>
      </c>
      <c r="C165" s="1" t="n">
        <v>45939</v>
      </c>
      <c r="D165" t="inlineStr">
        <is>
          <t>DALARNAS LÄN</t>
        </is>
      </c>
      <c r="E165" t="inlineStr">
        <is>
          <t>LEKSAND</t>
        </is>
      </c>
      <c r="G165" t="n">
        <v>5.1</v>
      </c>
      <c r="H165" t="n">
        <v>0</v>
      </c>
      <c r="I165" t="n">
        <v>0</v>
      </c>
      <c r="J165" t="n">
        <v>0</v>
      </c>
      <c r="K165" t="n">
        <v>0</v>
      </c>
      <c r="L165" t="n">
        <v>0</v>
      </c>
      <c r="M165" t="n">
        <v>0</v>
      </c>
      <c r="N165" t="n">
        <v>0</v>
      </c>
      <c r="O165" t="n">
        <v>0</v>
      </c>
      <c r="P165" t="n">
        <v>0</v>
      </c>
      <c r="Q165" t="n">
        <v>0</v>
      </c>
      <c r="R165" s="2" t="inlineStr"/>
    </row>
    <row r="166" ht="15" customHeight="1">
      <c r="A166" t="inlineStr">
        <is>
          <t>A 23068-2024</t>
        </is>
      </c>
      <c r="B166" s="1" t="n">
        <v>45450.45521990741</v>
      </c>
      <c r="C166" s="1" t="n">
        <v>45939</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56283-2024</t>
        </is>
      </c>
      <c r="B167" s="1" t="n">
        <v>45624.67864583333</v>
      </c>
      <c r="C167" s="1" t="n">
        <v>45939</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56299-2024</t>
        </is>
      </c>
      <c r="B168" s="1" t="n">
        <v>45624.68607638889</v>
      </c>
      <c r="C168" s="1" t="n">
        <v>45939</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22281-2024</t>
        </is>
      </c>
      <c r="B169" s="1" t="n">
        <v>45446.54756944445</v>
      </c>
      <c r="C169" s="1" t="n">
        <v>45939</v>
      </c>
      <c r="D169" t="inlineStr">
        <is>
          <t>DALARNAS LÄN</t>
        </is>
      </c>
      <c r="E169" t="inlineStr">
        <is>
          <t>LEKSAND</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10367-2023</t>
        </is>
      </c>
      <c r="B170" s="1" t="n">
        <v>44987</v>
      </c>
      <c r="C170" s="1" t="n">
        <v>45939</v>
      </c>
      <c r="D170" t="inlineStr">
        <is>
          <t>DALARNAS LÄN</t>
        </is>
      </c>
      <c r="E170" t="inlineStr">
        <is>
          <t>LEKSAND</t>
        </is>
      </c>
      <c r="G170" t="n">
        <v>0.7</v>
      </c>
      <c r="H170" t="n">
        <v>0</v>
      </c>
      <c r="I170" t="n">
        <v>0</v>
      </c>
      <c r="J170" t="n">
        <v>0</v>
      </c>
      <c r="K170" t="n">
        <v>0</v>
      </c>
      <c r="L170" t="n">
        <v>0</v>
      </c>
      <c r="M170" t="n">
        <v>0</v>
      </c>
      <c r="N170" t="n">
        <v>0</v>
      </c>
      <c r="O170" t="n">
        <v>0</v>
      </c>
      <c r="P170" t="n">
        <v>0</v>
      </c>
      <c r="Q170" t="n">
        <v>0</v>
      </c>
      <c r="R170" s="2" t="inlineStr"/>
    </row>
    <row r="171" ht="15" customHeight="1">
      <c r="A171" t="inlineStr">
        <is>
          <t>A 43077-2024</t>
        </is>
      </c>
      <c r="B171" s="1" t="n">
        <v>45567.50030092592</v>
      </c>
      <c r="C171" s="1" t="n">
        <v>45939</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37508-2025</t>
        </is>
      </c>
      <c r="B172" s="1" t="n">
        <v>45877.66282407408</v>
      </c>
      <c r="C172" s="1" t="n">
        <v>45939</v>
      </c>
      <c r="D172" t="inlineStr">
        <is>
          <t>DALARNAS LÄN</t>
        </is>
      </c>
      <c r="E172" t="inlineStr">
        <is>
          <t>LEKSAND</t>
        </is>
      </c>
      <c r="G172" t="n">
        <v>1.3</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45939</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1946-2024</t>
        </is>
      </c>
      <c r="B174" s="1" t="n">
        <v>45308</v>
      </c>
      <c r="C174" s="1" t="n">
        <v>45939</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40755-2024</t>
        </is>
      </c>
      <c r="B175" s="1" t="n">
        <v>45558.45815972222</v>
      </c>
      <c r="C175" s="1" t="n">
        <v>45939</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23615-2024</t>
        </is>
      </c>
      <c r="B176" s="1" t="n">
        <v>45454.43050925926</v>
      </c>
      <c r="C176" s="1" t="n">
        <v>45939</v>
      </c>
      <c r="D176" t="inlineStr">
        <is>
          <t>DALARNAS LÄN</t>
        </is>
      </c>
      <c r="E176" t="inlineStr">
        <is>
          <t>LEKSAND</t>
        </is>
      </c>
      <c r="G176" t="n">
        <v>1.7</v>
      </c>
      <c r="H176" t="n">
        <v>0</v>
      </c>
      <c r="I176" t="n">
        <v>0</v>
      </c>
      <c r="J176" t="n">
        <v>0</v>
      </c>
      <c r="K176" t="n">
        <v>0</v>
      </c>
      <c r="L176" t="n">
        <v>0</v>
      </c>
      <c r="M176" t="n">
        <v>0</v>
      </c>
      <c r="N176" t="n">
        <v>0</v>
      </c>
      <c r="O176" t="n">
        <v>0</v>
      </c>
      <c r="P176" t="n">
        <v>0</v>
      </c>
      <c r="Q176" t="n">
        <v>0</v>
      </c>
      <c r="R176" s="2" t="inlineStr"/>
    </row>
    <row r="177" ht="15" customHeight="1">
      <c r="A177" t="inlineStr">
        <is>
          <t>A 24005-2024</t>
        </is>
      </c>
      <c r="B177" s="1" t="n">
        <v>45456.39239583333</v>
      </c>
      <c r="C177" s="1" t="n">
        <v>45939</v>
      </c>
      <c r="D177" t="inlineStr">
        <is>
          <t>DALARNAS LÄN</t>
        </is>
      </c>
      <c r="E177" t="inlineStr">
        <is>
          <t>LEKSAND</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59763-2023</t>
        </is>
      </c>
      <c r="B178" s="1" t="n">
        <v>45257</v>
      </c>
      <c r="C178" s="1" t="n">
        <v>45939</v>
      </c>
      <c r="D178" t="inlineStr">
        <is>
          <t>DALARNAS LÄN</t>
        </is>
      </c>
      <c r="E178" t="inlineStr">
        <is>
          <t>LEKSAND</t>
        </is>
      </c>
      <c r="G178" t="n">
        <v>1.6</v>
      </c>
      <c r="H178" t="n">
        <v>0</v>
      </c>
      <c r="I178" t="n">
        <v>0</v>
      </c>
      <c r="J178" t="n">
        <v>0</v>
      </c>
      <c r="K178" t="n">
        <v>0</v>
      </c>
      <c r="L178" t="n">
        <v>0</v>
      </c>
      <c r="M178" t="n">
        <v>0</v>
      </c>
      <c r="N178" t="n">
        <v>0</v>
      </c>
      <c r="O178" t="n">
        <v>0</v>
      </c>
      <c r="P178" t="n">
        <v>0</v>
      </c>
      <c r="Q178" t="n">
        <v>0</v>
      </c>
      <c r="R178" s="2" t="inlineStr"/>
    </row>
    <row r="179" ht="15" customHeight="1">
      <c r="A179" t="inlineStr">
        <is>
          <t>A 45101-2025</t>
        </is>
      </c>
      <c r="B179" s="1" t="n">
        <v>45919.39679398148</v>
      </c>
      <c r="C179" s="1" t="n">
        <v>45939</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1984-2025</t>
        </is>
      </c>
      <c r="B180" s="1" t="n">
        <v>45670</v>
      </c>
      <c r="C180" s="1" t="n">
        <v>45939</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59199-2024</t>
        </is>
      </c>
      <c r="B181" s="1" t="n">
        <v>45637</v>
      </c>
      <c r="C181" s="1" t="n">
        <v>45939</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45300-2025</t>
        </is>
      </c>
      <c r="B182" s="1" t="n">
        <v>45921.30490740741</v>
      </c>
      <c r="C182" s="1" t="n">
        <v>45939</v>
      </c>
      <c r="D182" t="inlineStr">
        <is>
          <t>DALARNAS LÄN</t>
        </is>
      </c>
      <c r="E182" t="inlineStr">
        <is>
          <t>LEKSAND</t>
        </is>
      </c>
      <c r="G182" t="n">
        <v>2.3</v>
      </c>
      <c r="H182" t="n">
        <v>0</v>
      </c>
      <c r="I182" t="n">
        <v>0</v>
      </c>
      <c r="J182" t="n">
        <v>0</v>
      </c>
      <c r="K182" t="n">
        <v>0</v>
      </c>
      <c r="L182" t="n">
        <v>0</v>
      </c>
      <c r="M182" t="n">
        <v>0</v>
      </c>
      <c r="N182" t="n">
        <v>0</v>
      </c>
      <c r="O182" t="n">
        <v>0</v>
      </c>
      <c r="P182" t="n">
        <v>0</v>
      </c>
      <c r="Q182" t="n">
        <v>0</v>
      </c>
      <c r="R182" s="2" t="inlineStr"/>
    </row>
    <row r="183" ht="15" customHeight="1">
      <c r="A183" t="inlineStr">
        <is>
          <t>A 33310-2023</t>
        </is>
      </c>
      <c r="B183" s="1" t="n">
        <v>45127.82231481482</v>
      </c>
      <c r="C183" s="1" t="n">
        <v>45939</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57899-2024</t>
        </is>
      </c>
      <c r="B184" s="1" t="n">
        <v>45630</v>
      </c>
      <c r="C184" s="1" t="n">
        <v>45939</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11110-2023</t>
        </is>
      </c>
      <c r="B185" s="1" t="n">
        <v>44992</v>
      </c>
      <c r="C185" s="1" t="n">
        <v>45939</v>
      </c>
      <c r="D185" t="inlineStr">
        <is>
          <t>DALARNAS LÄN</t>
        </is>
      </c>
      <c r="E185" t="inlineStr">
        <is>
          <t>LEKSAND</t>
        </is>
      </c>
      <c r="G185" t="n">
        <v>11.2</v>
      </c>
      <c r="H185" t="n">
        <v>0</v>
      </c>
      <c r="I185" t="n">
        <v>0</v>
      </c>
      <c r="J185" t="n">
        <v>0</v>
      </c>
      <c r="K185" t="n">
        <v>0</v>
      </c>
      <c r="L185" t="n">
        <v>0</v>
      </c>
      <c r="M185" t="n">
        <v>0</v>
      </c>
      <c r="N185" t="n">
        <v>0</v>
      </c>
      <c r="O185" t="n">
        <v>0</v>
      </c>
      <c r="P185" t="n">
        <v>0</v>
      </c>
      <c r="Q185" t="n">
        <v>0</v>
      </c>
      <c r="R185" s="2" t="inlineStr"/>
    </row>
    <row r="186" ht="15" customHeight="1">
      <c r="A186" t="inlineStr">
        <is>
          <t>A 17533-2023</t>
        </is>
      </c>
      <c r="B186" s="1" t="n">
        <v>45036</v>
      </c>
      <c r="C186" s="1" t="n">
        <v>45939</v>
      </c>
      <c r="D186" t="inlineStr">
        <is>
          <t>DALARNAS LÄN</t>
        </is>
      </c>
      <c r="E186" t="inlineStr">
        <is>
          <t>LEKSAND</t>
        </is>
      </c>
      <c r="G186" t="n">
        <v>3</v>
      </c>
      <c r="H186" t="n">
        <v>0</v>
      </c>
      <c r="I186" t="n">
        <v>0</v>
      </c>
      <c r="J186" t="n">
        <v>0</v>
      </c>
      <c r="K186" t="n">
        <v>0</v>
      </c>
      <c r="L186" t="n">
        <v>0</v>
      </c>
      <c r="M186" t="n">
        <v>0</v>
      </c>
      <c r="N186" t="n">
        <v>0</v>
      </c>
      <c r="O186" t="n">
        <v>0</v>
      </c>
      <c r="P186" t="n">
        <v>0</v>
      </c>
      <c r="Q186" t="n">
        <v>0</v>
      </c>
      <c r="R186" s="2" t="inlineStr"/>
    </row>
    <row r="187" ht="15" customHeight="1">
      <c r="A187" t="inlineStr">
        <is>
          <t>A 56753-2023</t>
        </is>
      </c>
      <c r="B187" s="1" t="n">
        <v>45244.37094907407</v>
      </c>
      <c r="C187" s="1" t="n">
        <v>45939</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49397-2024</t>
        </is>
      </c>
      <c r="B188" s="1" t="n">
        <v>45595</v>
      </c>
      <c r="C188" s="1" t="n">
        <v>45939</v>
      </c>
      <c r="D188" t="inlineStr">
        <is>
          <t>DALARNAS LÄN</t>
        </is>
      </c>
      <c r="E188" t="inlineStr">
        <is>
          <t>LEKSAND</t>
        </is>
      </c>
      <c r="G188" t="n">
        <v>4.3</v>
      </c>
      <c r="H188" t="n">
        <v>0</v>
      </c>
      <c r="I188" t="n">
        <v>0</v>
      </c>
      <c r="J188" t="n">
        <v>0</v>
      </c>
      <c r="K188" t="n">
        <v>0</v>
      </c>
      <c r="L188" t="n">
        <v>0</v>
      </c>
      <c r="M188" t="n">
        <v>0</v>
      </c>
      <c r="N188" t="n">
        <v>0</v>
      </c>
      <c r="O188" t="n">
        <v>0</v>
      </c>
      <c r="P188" t="n">
        <v>0</v>
      </c>
      <c r="Q188" t="n">
        <v>0</v>
      </c>
      <c r="R188" s="2" t="inlineStr"/>
    </row>
    <row r="189" ht="15" customHeight="1">
      <c r="A189" t="inlineStr">
        <is>
          <t>A 45318-2025</t>
        </is>
      </c>
      <c r="B189" s="1" t="n">
        <v>45921.85230324074</v>
      </c>
      <c r="C189" s="1" t="n">
        <v>45939</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45381-2025</t>
        </is>
      </c>
      <c r="B190" s="1" t="n">
        <v>45922.39989583333</v>
      </c>
      <c r="C190" s="1" t="n">
        <v>45939</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5738-2023</t>
        </is>
      </c>
      <c r="B191" s="1" t="n">
        <v>44962</v>
      </c>
      <c r="C191" s="1" t="n">
        <v>45939</v>
      </c>
      <c r="D191" t="inlineStr">
        <is>
          <t>DALARNAS LÄN</t>
        </is>
      </c>
      <c r="E191" t="inlineStr">
        <is>
          <t>LEKSAND</t>
        </is>
      </c>
      <c r="G191" t="n">
        <v>0.2</v>
      </c>
      <c r="H191" t="n">
        <v>0</v>
      </c>
      <c r="I191" t="n">
        <v>0</v>
      </c>
      <c r="J191" t="n">
        <v>0</v>
      </c>
      <c r="K191" t="n">
        <v>0</v>
      </c>
      <c r="L191" t="n">
        <v>0</v>
      </c>
      <c r="M191" t="n">
        <v>0</v>
      </c>
      <c r="N191" t="n">
        <v>0</v>
      </c>
      <c r="O191" t="n">
        <v>0</v>
      </c>
      <c r="P191" t="n">
        <v>0</v>
      </c>
      <c r="Q191" t="n">
        <v>0</v>
      </c>
      <c r="R191" s="2" t="inlineStr"/>
    </row>
    <row r="192" ht="15" customHeight="1">
      <c r="A192" t="inlineStr">
        <is>
          <t>A 5570-2024</t>
        </is>
      </c>
      <c r="B192" s="1" t="n">
        <v>45334</v>
      </c>
      <c r="C192" s="1" t="n">
        <v>45939</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43693-2022</t>
        </is>
      </c>
      <c r="B193" s="1" t="n">
        <v>44837.6369212963</v>
      </c>
      <c r="C193" s="1" t="n">
        <v>45939</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57933-2024</t>
        </is>
      </c>
      <c r="B194" s="1" t="n">
        <v>45630</v>
      </c>
      <c r="C194" s="1" t="n">
        <v>45939</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43735-2022</t>
        </is>
      </c>
      <c r="B195" s="1" t="n">
        <v>44837.70210648148</v>
      </c>
      <c r="C195" s="1" t="n">
        <v>45939</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17726-2024</t>
        </is>
      </c>
      <c r="B196" s="1" t="n">
        <v>45418.55609953704</v>
      </c>
      <c r="C196" s="1" t="n">
        <v>45939</v>
      </c>
      <c r="D196" t="inlineStr">
        <is>
          <t>DALARNAS LÄN</t>
        </is>
      </c>
      <c r="E196" t="inlineStr">
        <is>
          <t>LEKSAND</t>
        </is>
      </c>
      <c r="G196" t="n">
        <v>5.2</v>
      </c>
      <c r="H196" t="n">
        <v>0</v>
      </c>
      <c r="I196" t="n">
        <v>0</v>
      </c>
      <c r="J196" t="n">
        <v>0</v>
      </c>
      <c r="K196" t="n">
        <v>0</v>
      </c>
      <c r="L196" t="n">
        <v>0</v>
      </c>
      <c r="M196" t="n">
        <v>0</v>
      </c>
      <c r="N196" t="n">
        <v>0</v>
      </c>
      <c r="O196" t="n">
        <v>0</v>
      </c>
      <c r="P196" t="n">
        <v>0</v>
      </c>
      <c r="Q196" t="n">
        <v>0</v>
      </c>
      <c r="R196" s="2" t="inlineStr"/>
    </row>
    <row r="197" ht="15" customHeight="1">
      <c r="A197" t="inlineStr">
        <is>
          <t>A 11403-2023</t>
        </is>
      </c>
      <c r="B197" s="1" t="n">
        <v>44993</v>
      </c>
      <c r="C197" s="1" t="n">
        <v>45939</v>
      </c>
      <c r="D197" t="inlineStr">
        <is>
          <t>DALARNAS LÄN</t>
        </is>
      </c>
      <c r="E197" t="inlineStr">
        <is>
          <t>LEKSAND</t>
        </is>
      </c>
      <c r="G197" t="n">
        <v>0.1</v>
      </c>
      <c r="H197" t="n">
        <v>0</v>
      </c>
      <c r="I197" t="n">
        <v>0</v>
      </c>
      <c r="J197" t="n">
        <v>0</v>
      </c>
      <c r="K197" t="n">
        <v>0</v>
      </c>
      <c r="L197" t="n">
        <v>0</v>
      </c>
      <c r="M197" t="n">
        <v>0</v>
      </c>
      <c r="N197" t="n">
        <v>0</v>
      </c>
      <c r="O197" t="n">
        <v>0</v>
      </c>
      <c r="P197" t="n">
        <v>0</v>
      </c>
      <c r="Q197" t="n">
        <v>0</v>
      </c>
      <c r="R197" s="2" t="inlineStr"/>
    </row>
    <row r="198" ht="15" customHeight="1">
      <c r="A198" t="inlineStr">
        <is>
          <t>A 22683-2022</t>
        </is>
      </c>
      <c r="B198" s="1" t="n">
        <v>44714</v>
      </c>
      <c r="C198" s="1" t="n">
        <v>45939</v>
      </c>
      <c r="D198" t="inlineStr">
        <is>
          <t>DALARNAS LÄN</t>
        </is>
      </c>
      <c r="E198" t="inlineStr">
        <is>
          <t>LEKSAND</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52755-2024</t>
        </is>
      </c>
      <c r="B199" s="1" t="n">
        <v>45610.50217592593</v>
      </c>
      <c r="C199" s="1" t="n">
        <v>45939</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6027-2025</t>
        </is>
      </c>
      <c r="B200" s="1" t="n">
        <v>45695</v>
      </c>
      <c r="C200" s="1" t="n">
        <v>45939</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6846-2023</t>
        </is>
      </c>
      <c r="B201" s="1" t="n">
        <v>44967.43953703704</v>
      </c>
      <c r="C201" s="1" t="n">
        <v>45939</v>
      </c>
      <c r="D201" t="inlineStr">
        <is>
          <t>DALARNAS LÄN</t>
        </is>
      </c>
      <c r="E201" t="inlineStr">
        <is>
          <t>LEKSAND</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2517-2024</t>
        </is>
      </c>
      <c r="B202" s="1" t="n">
        <v>45313</v>
      </c>
      <c r="C202" s="1" t="n">
        <v>45939</v>
      </c>
      <c r="D202" t="inlineStr">
        <is>
          <t>DALARNAS LÄN</t>
        </is>
      </c>
      <c r="E202" t="inlineStr">
        <is>
          <t>LEKSAND</t>
        </is>
      </c>
      <c r="F202" t="inlineStr">
        <is>
          <t>Bergvik skog väst AB</t>
        </is>
      </c>
      <c r="G202" t="n">
        <v>4</v>
      </c>
      <c r="H202" t="n">
        <v>0</v>
      </c>
      <c r="I202" t="n">
        <v>0</v>
      </c>
      <c r="J202" t="n">
        <v>0</v>
      </c>
      <c r="K202" t="n">
        <v>0</v>
      </c>
      <c r="L202" t="n">
        <v>0</v>
      </c>
      <c r="M202" t="n">
        <v>0</v>
      </c>
      <c r="N202" t="n">
        <v>0</v>
      </c>
      <c r="O202" t="n">
        <v>0</v>
      </c>
      <c r="P202" t="n">
        <v>0</v>
      </c>
      <c r="Q202" t="n">
        <v>0</v>
      </c>
      <c r="R202" s="2" t="inlineStr"/>
    </row>
    <row r="203" ht="15" customHeight="1">
      <c r="A203" t="inlineStr">
        <is>
          <t>A 37996-2025</t>
        </is>
      </c>
      <c r="B203" s="1" t="n">
        <v>45881.8299537037</v>
      </c>
      <c r="C203" s="1" t="n">
        <v>45939</v>
      </c>
      <c r="D203" t="inlineStr">
        <is>
          <t>DALARNAS LÄN</t>
        </is>
      </c>
      <c r="E203" t="inlineStr">
        <is>
          <t>LEKSAND</t>
        </is>
      </c>
      <c r="G203" t="n">
        <v>4.2</v>
      </c>
      <c r="H203" t="n">
        <v>0</v>
      </c>
      <c r="I203" t="n">
        <v>0</v>
      </c>
      <c r="J203" t="n">
        <v>0</v>
      </c>
      <c r="K203" t="n">
        <v>0</v>
      </c>
      <c r="L203" t="n">
        <v>0</v>
      </c>
      <c r="M203" t="n">
        <v>0</v>
      </c>
      <c r="N203" t="n">
        <v>0</v>
      </c>
      <c r="O203" t="n">
        <v>0</v>
      </c>
      <c r="P203" t="n">
        <v>0</v>
      </c>
      <c r="Q203" t="n">
        <v>0</v>
      </c>
      <c r="R203" s="2" t="inlineStr"/>
    </row>
    <row r="204" ht="15" customHeight="1">
      <c r="A204" t="inlineStr">
        <is>
          <t>A 53717-2023</t>
        </is>
      </c>
      <c r="B204" s="1" t="n">
        <v>45230</v>
      </c>
      <c r="C204" s="1" t="n">
        <v>45939</v>
      </c>
      <c r="D204" t="inlineStr">
        <is>
          <t>DALARNAS LÄN</t>
        </is>
      </c>
      <c r="E204" t="inlineStr">
        <is>
          <t>LEKSAND</t>
        </is>
      </c>
      <c r="G204" t="n">
        <v>2.4</v>
      </c>
      <c r="H204" t="n">
        <v>0</v>
      </c>
      <c r="I204" t="n">
        <v>0</v>
      </c>
      <c r="J204" t="n">
        <v>0</v>
      </c>
      <c r="K204" t="n">
        <v>0</v>
      </c>
      <c r="L204" t="n">
        <v>0</v>
      </c>
      <c r="M204" t="n">
        <v>0</v>
      </c>
      <c r="N204" t="n">
        <v>0</v>
      </c>
      <c r="O204" t="n">
        <v>0</v>
      </c>
      <c r="P204" t="n">
        <v>0</v>
      </c>
      <c r="Q204" t="n">
        <v>0</v>
      </c>
      <c r="R204" s="2" t="inlineStr"/>
    </row>
    <row r="205" ht="15" customHeight="1">
      <c r="A205" t="inlineStr">
        <is>
          <t>A 60692-2023</t>
        </is>
      </c>
      <c r="B205" s="1" t="n">
        <v>45260.50008101852</v>
      </c>
      <c r="C205" s="1" t="n">
        <v>45939</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43470-2024</t>
        </is>
      </c>
      <c r="B206" s="1" t="n">
        <v>45568</v>
      </c>
      <c r="C206" s="1" t="n">
        <v>45939</v>
      </c>
      <c r="D206" t="inlineStr">
        <is>
          <t>DALARNAS LÄN</t>
        </is>
      </c>
      <c r="E206" t="inlineStr">
        <is>
          <t>LEKSAND</t>
        </is>
      </c>
      <c r="G206" t="n">
        <v>3.1</v>
      </c>
      <c r="H206" t="n">
        <v>0</v>
      </c>
      <c r="I206" t="n">
        <v>0</v>
      </c>
      <c r="J206" t="n">
        <v>0</v>
      </c>
      <c r="K206" t="n">
        <v>0</v>
      </c>
      <c r="L206" t="n">
        <v>0</v>
      </c>
      <c r="M206" t="n">
        <v>0</v>
      </c>
      <c r="N206" t="n">
        <v>0</v>
      </c>
      <c r="O206" t="n">
        <v>0</v>
      </c>
      <c r="P206" t="n">
        <v>0</v>
      </c>
      <c r="Q206" t="n">
        <v>0</v>
      </c>
      <c r="R206" s="2" t="inlineStr"/>
    </row>
    <row r="207" ht="15" customHeight="1">
      <c r="A207" t="inlineStr">
        <is>
          <t>A 60873-2023</t>
        </is>
      </c>
      <c r="B207" s="1" t="n">
        <v>45261.03266203704</v>
      </c>
      <c r="C207" s="1" t="n">
        <v>45939</v>
      </c>
      <c r="D207" t="inlineStr">
        <is>
          <t>DALARNAS LÄN</t>
        </is>
      </c>
      <c r="E207" t="inlineStr">
        <is>
          <t>LEKSAND</t>
        </is>
      </c>
      <c r="G207" t="n">
        <v>5.2</v>
      </c>
      <c r="H207" t="n">
        <v>0</v>
      </c>
      <c r="I207" t="n">
        <v>0</v>
      </c>
      <c r="J207" t="n">
        <v>0</v>
      </c>
      <c r="K207" t="n">
        <v>0</v>
      </c>
      <c r="L207" t="n">
        <v>0</v>
      </c>
      <c r="M207" t="n">
        <v>0</v>
      </c>
      <c r="N207" t="n">
        <v>0</v>
      </c>
      <c r="O207" t="n">
        <v>0</v>
      </c>
      <c r="P207" t="n">
        <v>0</v>
      </c>
      <c r="Q207" t="n">
        <v>0</v>
      </c>
      <c r="R207" s="2" t="inlineStr"/>
    </row>
    <row r="208" ht="15" customHeight="1">
      <c r="A208" t="inlineStr">
        <is>
          <t>A 46176-2025</t>
        </is>
      </c>
      <c r="B208" s="1" t="n">
        <v>45924.65101851852</v>
      </c>
      <c r="C208" s="1" t="n">
        <v>45939</v>
      </c>
      <c r="D208" t="inlineStr">
        <is>
          <t>DALARNAS LÄN</t>
        </is>
      </c>
      <c r="E208" t="inlineStr">
        <is>
          <t>LEKSAND</t>
        </is>
      </c>
      <c r="G208" t="n">
        <v>2.4</v>
      </c>
      <c r="H208" t="n">
        <v>0</v>
      </c>
      <c r="I208" t="n">
        <v>0</v>
      </c>
      <c r="J208" t="n">
        <v>0</v>
      </c>
      <c r="K208" t="n">
        <v>0</v>
      </c>
      <c r="L208" t="n">
        <v>0</v>
      </c>
      <c r="M208" t="n">
        <v>0</v>
      </c>
      <c r="N208" t="n">
        <v>0</v>
      </c>
      <c r="O208" t="n">
        <v>0</v>
      </c>
      <c r="P208" t="n">
        <v>0</v>
      </c>
      <c r="Q208" t="n">
        <v>0</v>
      </c>
      <c r="R208" s="2" t="inlineStr"/>
    </row>
    <row r="209" ht="15" customHeight="1">
      <c r="A209" t="inlineStr">
        <is>
          <t>A 43888-2025</t>
        </is>
      </c>
      <c r="B209" s="1" t="n">
        <v>45912</v>
      </c>
      <c r="C209" s="1" t="n">
        <v>45939</v>
      </c>
      <c r="D209" t="inlineStr">
        <is>
          <t>DALARNAS LÄN</t>
        </is>
      </c>
      <c r="E209" t="inlineStr">
        <is>
          <t>LEKSAND</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54914-2024</t>
        </is>
      </c>
      <c r="B210" s="1" t="n">
        <v>45618.69380787037</v>
      </c>
      <c r="C210" s="1" t="n">
        <v>45939</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38090-2025</t>
        </is>
      </c>
      <c r="B211" s="1" t="n">
        <v>45882.48440972222</v>
      </c>
      <c r="C211" s="1" t="n">
        <v>45939</v>
      </c>
      <c r="D211" t="inlineStr">
        <is>
          <t>DALARNAS LÄN</t>
        </is>
      </c>
      <c r="E211" t="inlineStr">
        <is>
          <t>LEKSAND</t>
        </is>
      </c>
      <c r="G211" t="n">
        <v>1.6</v>
      </c>
      <c r="H211" t="n">
        <v>0</v>
      </c>
      <c r="I211" t="n">
        <v>0</v>
      </c>
      <c r="J211" t="n">
        <v>0</v>
      </c>
      <c r="K211" t="n">
        <v>0</v>
      </c>
      <c r="L211" t="n">
        <v>0</v>
      </c>
      <c r="M211" t="n">
        <v>0</v>
      </c>
      <c r="N211" t="n">
        <v>0</v>
      </c>
      <c r="O211" t="n">
        <v>0</v>
      </c>
      <c r="P211" t="n">
        <v>0</v>
      </c>
      <c r="Q211" t="n">
        <v>0</v>
      </c>
      <c r="R211" s="2" t="inlineStr"/>
    </row>
    <row r="212" ht="15" customHeight="1">
      <c r="A212" t="inlineStr">
        <is>
          <t>A 23892-2025</t>
        </is>
      </c>
      <c r="B212" s="1" t="n">
        <v>45793</v>
      </c>
      <c r="C212" s="1" t="n">
        <v>45939</v>
      </c>
      <c r="D212" t="inlineStr">
        <is>
          <t>DALARNAS LÄN</t>
        </is>
      </c>
      <c r="E212" t="inlineStr">
        <is>
          <t>LEKSAND</t>
        </is>
      </c>
      <c r="F212" t="inlineStr">
        <is>
          <t>Kommuner</t>
        </is>
      </c>
      <c r="G212" t="n">
        <v>1.5</v>
      </c>
      <c r="H212" t="n">
        <v>0</v>
      </c>
      <c r="I212" t="n">
        <v>0</v>
      </c>
      <c r="J212" t="n">
        <v>0</v>
      </c>
      <c r="K212" t="n">
        <v>0</v>
      </c>
      <c r="L212" t="n">
        <v>0</v>
      </c>
      <c r="M212" t="n">
        <v>0</v>
      </c>
      <c r="N212" t="n">
        <v>0</v>
      </c>
      <c r="O212" t="n">
        <v>0</v>
      </c>
      <c r="P212" t="n">
        <v>0</v>
      </c>
      <c r="Q212" t="n">
        <v>0</v>
      </c>
      <c r="R212" s="2" t="inlineStr"/>
    </row>
    <row r="213" ht="15" customHeight="1">
      <c r="A213" t="inlineStr">
        <is>
          <t>A 30204-2024</t>
        </is>
      </c>
      <c r="B213" s="1" t="n">
        <v>45490.35402777778</v>
      </c>
      <c r="C213" s="1" t="n">
        <v>45939</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19618-2024</t>
        </is>
      </c>
      <c r="B214" s="1" t="n">
        <v>45432.32896990741</v>
      </c>
      <c r="C214" s="1" t="n">
        <v>45939</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43830-2025</t>
        </is>
      </c>
      <c r="B215" s="1" t="n">
        <v>45912</v>
      </c>
      <c r="C215" s="1" t="n">
        <v>45939</v>
      </c>
      <c r="D215" t="inlineStr">
        <is>
          <t>DALARNAS LÄN</t>
        </is>
      </c>
      <c r="E215" t="inlineStr">
        <is>
          <t>LEKSAND</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6030-2025</t>
        </is>
      </c>
      <c r="B216" s="1" t="n">
        <v>45695</v>
      </c>
      <c r="C216" s="1" t="n">
        <v>45939</v>
      </c>
      <c r="D216" t="inlineStr">
        <is>
          <t>DALARNAS LÄN</t>
        </is>
      </c>
      <c r="E216" t="inlineStr">
        <is>
          <t>LEKSAND</t>
        </is>
      </c>
      <c r="G216" t="n">
        <v>1.4</v>
      </c>
      <c r="H216" t="n">
        <v>0</v>
      </c>
      <c r="I216" t="n">
        <v>0</v>
      </c>
      <c r="J216" t="n">
        <v>0</v>
      </c>
      <c r="K216" t="n">
        <v>0</v>
      </c>
      <c r="L216" t="n">
        <v>0</v>
      </c>
      <c r="M216" t="n">
        <v>0</v>
      </c>
      <c r="N216" t="n">
        <v>0</v>
      </c>
      <c r="O216" t="n">
        <v>0</v>
      </c>
      <c r="P216" t="n">
        <v>0</v>
      </c>
      <c r="Q216" t="n">
        <v>0</v>
      </c>
      <c r="R216" s="2" t="inlineStr"/>
    </row>
    <row r="217" ht="15" customHeight="1">
      <c r="A217" t="inlineStr">
        <is>
          <t>A 47503-2024</t>
        </is>
      </c>
      <c r="B217" s="1" t="n">
        <v>45587.60262731482</v>
      </c>
      <c r="C217" s="1" t="n">
        <v>45939</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23283-2024</t>
        </is>
      </c>
      <c r="B218" s="1" t="n">
        <v>45453</v>
      </c>
      <c r="C218" s="1" t="n">
        <v>45939</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167-2023</t>
        </is>
      </c>
      <c r="B219" s="1" t="n">
        <v>44918</v>
      </c>
      <c r="C219" s="1" t="n">
        <v>45939</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56950-2024</t>
        </is>
      </c>
      <c r="B220" s="1" t="n">
        <v>45625</v>
      </c>
      <c r="C220" s="1" t="n">
        <v>45939</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45939</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32688-2024</t>
        </is>
      </c>
      <c r="B222" s="1" t="n">
        <v>45515.83091435185</v>
      </c>
      <c r="C222" s="1" t="n">
        <v>45939</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53981-2024</t>
        </is>
      </c>
      <c r="B223" s="1" t="n">
        <v>45615</v>
      </c>
      <c r="C223" s="1" t="n">
        <v>45939</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17589-2025</t>
        </is>
      </c>
      <c r="B224" s="1" t="n">
        <v>45757.67844907408</v>
      </c>
      <c r="C224" s="1" t="n">
        <v>45939</v>
      </c>
      <c r="D224" t="inlineStr">
        <is>
          <t>DALARNAS LÄN</t>
        </is>
      </c>
      <c r="E224" t="inlineStr">
        <is>
          <t>LEKSAND</t>
        </is>
      </c>
      <c r="G224" t="n">
        <v>5.8</v>
      </c>
      <c r="H224" t="n">
        <v>0</v>
      </c>
      <c r="I224" t="n">
        <v>0</v>
      </c>
      <c r="J224" t="n">
        <v>0</v>
      </c>
      <c r="K224" t="n">
        <v>0</v>
      </c>
      <c r="L224" t="n">
        <v>0</v>
      </c>
      <c r="M224" t="n">
        <v>0</v>
      </c>
      <c r="N224" t="n">
        <v>0</v>
      </c>
      <c r="O224" t="n">
        <v>0</v>
      </c>
      <c r="P224" t="n">
        <v>0</v>
      </c>
      <c r="Q224" t="n">
        <v>0</v>
      </c>
      <c r="R224" s="2" t="inlineStr"/>
    </row>
    <row r="225" ht="15" customHeight="1">
      <c r="A225" t="inlineStr">
        <is>
          <t>A 4121-2024</t>
        </is>
      </c>
      <c r="B225" s="1" t="n">
        <v>45323</v>
      </c>
      <c r="C225" s="1" t="n">
        <v>45939</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72575-2021</t>
        </is>
      </c>
      <c r="B226" s="1" t="n">
        <v>44546</v>
      </c>
      <c r="C226" s="1" t="n">
        <v>45939</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44546.46354166666</v>
      </c>
      <c r="C227" s="1" t="n">
        <v>45939</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61614-2023</t>
        </is>
      </c>
      <c r="B228" s="1" t="n">
        <v>45261</v>
      </c>
      <c r="C228" s="1" t="n">
        <v>45939</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26062-2024</t>
        </is>
      </c>
      <c r="B229" s="1" t="n">
        <v>45468.3509375</v>
      </c>
      <c r="C229" s="1" t="n">
        <v>45939</v>
      </c>
      <c r="D229" t="inlineStr">
        <is>
          <t>DALARNAS LÄN</t>
        </is>
      </c>
      <c r="E229" t="inlineStr">
        <is>
          <t>LEKSAND</t>
        </is>
      </c>
      <c r="F229" t="inlineStr">
        <is>
          <t>Övriga statliga verk och myndigheter</t>
        </is>
      </c>
      <c r="G229" t="n">
        <v>6.4</v>
      </c>
      <c r="H229" t="n">
        <v>0</v>
      </c>
      <c r="I229" t="n">
        <v>0</v>
      </c>
      <c r="J229" t="n">
        <v>0</v>
      </c>
      <c r="K229" t="n">
        <v>0</v>
      </c>
      <c r="L229" t="n">
        <v>0</v>
      </c>
      <c r="M229" t="n">
        <v>0</v>
      </c>
      <c r="N229" t="n">
        <v>0</v>
      </c>
      <c r="O229" t="n">
        <v>0</v>
      </c>
      <c r="P229" t="n">
        <v>0</v>
      </c>
      <c r="Q229" t="n">
        <v>0</v>
      </c>
      <c r="R229" s="2" t="inlineStr"/>
    </row>
    <row r="230" ht="15" customHeight="1">
      <c r="A230" t="inlineStr">
        <is>
          <t>A 9938-2023</t>
        </is>
      </c>
      <c r="B230" s="1" t="n">
        <v>44985</v>
      </c>
      <c r="C230" s="1" t="n">
        <v>45939</v>
      </c>
      <c r="D230" t="inlineStr">
        <is>
          <t>DALARNAS LÄN</t>
        </is>
      </c>
      <c r="E230" t="inlineStr">
        <is>
          <t>LEKSAND</t>
        </is>
      </c>
      <c r="G230" t="n">
        <v>3.1</v>
      </c>
      <c r="H230" t="n">
        <v>0</v>
      </c>
      <c r="I230" t="n">
        <v>0</v>
      </c>
      <c r="J230" t="n">
        <v>0</v>
      </c>
      <c r="K230" t="n">
        <v>0</v>
      </c>
      <c r="L230" t="n">
        <v>0</v>
      </c>
      <c r="M230" t="n">
        <v>0</v>
      </c>
      <c r="N230" t="n">
        <v>0</v>
      </c>
      <c r="O230" t="n">
        <v>0</v>
      </c>
      <c r="P230" t="n">
        <v>0</v>
      </c>
      <c r="Q230" t="n">
        <v>0</v>
      </c>
      <c r="R230" s="2" t="inlineStr"/>
    </row>
    <row r="231" ht="15" customHeight="1">
      <c r="A231" t="inlineStr">
        <is>
          <t>A 59103-2024</t>
        </is>
      </c>
      <c r="B231" s="1" t="n">
        <v>45637.34184027778</v>
      </c>
      <c r="C231" s="1" t="n">
        <v>45939</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34585-2024</t>
        </is>
      </c>
      <c r="B232" s="1" t="n">
        <v>45526.37697916666</v>
      </c>
      <c r="C232" s="1" t="n">
        <v>45939</v>
      </c>
      <c r="D232" t="inlineStr">
        <is>
          <t>DALARNAS LÄN</t>
        </is>
      </c>
      <c r="E232" t="inlineStr">
        <is>
          <t>LEKSAND</t>
        </is>
      </c>
      <c r="G232" t="n">
        <v>0.9</v>
      </c>
      <c r="H232" t="n">
        <v>0</v>
      </c>
      <c r="I232" t="n">
        <v>0</v>
      </c>
      <c r="J232" t="n">
        <v>0</v>
      </c>
      <c r="K232" t="n">
        <v>0</v>
      </c>
      <c r="L232" t="n">
        <v>0</v>
      </c>
      <c r="M232" t="n">
        <v>0</v>
      </c>
      <c r="N232" t="n">
        <v>0</v>
      </c>
      <c r="O232" t="n">
        <v>0</v>
      </c>
      <c r="P232" t="n">
        <v>0</v>
      </c>
      <c r="Q232" t="n">
        <v>0</v>
      </c>
      <c r="R232" s="2" t="inlineStr"/>
    </row>
    <row r="233" ht="15" customHeight="1">
      <c r="A233" t="inlineStr">
        <is>
          <t>A 11740-2025</t>
        </is>
      </c>
      <c r="B233" s="1" t="n">
        <v>45727.62582175926</v>
      </c>
      <c r="C233" s="1" t="n">
        <v>45939</v>
      </c>
      <c r="D233" t="inlineStr">
        <is>
          <t>DALARNAS LÄN</t>
        </is>
      </c>
      <c r="E233" t="inlineStr">
        <is>
          <t>LEKSAND</t>
        </is>
      </c>
      <c r="F233" t="inlineStr">
        <is>
          <t>Övriga Aktiebolag</t>
        </is>
      </c>
      <c r="G233" t="n">
        <v>1.3</v>
      </c>
      <c r="H233" t="n">
        <v>0</v>
      </c>
      <c r="I233" t="n">
        <v>0</v>
      </c>
      <c r="J233" t="n">
        <v>0</v>
      </c>
      <c r="K233" t="n">
        <v>0</v>
      </c>
      <c r="L233" t="n">
        <v>0</v>
      </c>
      <c r="M233" t="n">
        <v>0</v>
      </c>
      <c r="N233" t="n">
        <v>0</v>
      </c>
      <c r="O233" t="n">
        <v>0</v>
      </c>
      <c r="P233" t="n">
        <v>0</v>
      </c>
      <c r="Q233" t="n">
        <v>0</v>
      </c>
      <c r="R233" s="2" t="inlineStr"/>
    </row>
    <row r="234" ht="15" customHeight="1">
      <c r="A234" t="inlineStr">
        <is>
          <t>A 70099-2021</t>
        </is>
      </c>
      <c r="B234" s="1" t="n">
        <v>44533</v>
      </c>
      <c r="C234" s="1" t="n">
        <v>45939</v>
      </c>
      <c r="D234" t="inlineStr">
        <is>
          <t>DALARNAS LÄN</t>
        </is>
      </c>
      <c r="E234" t="inlineStr">
        <is>
          <t>LEKSAND</t>
        </is>
      </c>
      <c r="G234" t="n">
        <v>2.8</v>
      </c>
      <c r="H234" t="n">
        <v>0</v>
      </c>
      <c r="I234" t="n">
        <v>0</v>
      </c>
      <c r="J234" t="n">
        <v>0</v>
      </c>
      <c r="K234" t="n">
        <v>0</v>
      </c>
      <c r="L234" t="n">
        <v>0</v>
      </c>
      <c r="M234" t="n">
        <v>0</v>
      </c>
      <c r="N234" t="n">
        <v>0</v>
      </c>
      <c r="O234" t="n">
        <v>0</v>
      </c>
      <c r="P234" t="n">
        <v>0</v>
      </c>
      <c r="Q234" t="n">
        <v>0</v>
      </c>
      <c r="R234" s="2" t="inlineStr"/>
    </row>
    <row r="235" ht="15" customHeight="1">
      <c r="A235" t="inlineStr">
        <is>
          <t>A 63514-2023</t>
        </is>
      </c>
      <c r="B235" s="1" t="n">
        <v>45274</v>
      </c>
      <c r="C235" s="1" t="n">
        <v>45939</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13401-2023</t>
        </is>
      </c>
      <c r="B236" s="1" t="n">
        <v>45005</v>
      </c>
      <c r="C236" s="1" t="n">
        <v>45939</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60113-2022</t>
        </is>
      </c>
      <c r="B237" s="1" t="n">
        <v>44909</v>
      </c>
      <c r="C237" s="1" t="n">
        <v>45939</v>
      </c>
      <c r="D237" t="inlineStr">
        <is>
          <t>DALARNAS LÄN</t>
        </is>
      </c>
      <c r="E237" t="inlineStr">
        <is>
          <t>LEKSAND</t>
        </is>
      </c>
      <c r="G237" t="n">
        <v>3.7</v>
      </c>
      <c r="H237" t="n">
        <v>0</v>
      </c>
      <c r="I237" t="n">
        <v>0</v>
      </c>
      <c r="J237" t="n">
        <v>0</v>
      </c>
      <c r="K237" t="n">
        <v>0</v>
      </c>
      <c r="L237" t="n">
        <v>0</v>
      </c>
      <c r="M237" t="n">
        <v>0</v>
      </c>
      <c r="N237" t="n">
        <v>0</v>
      </c>
      <c r="O237" t="n">
        <v>0</v>
      </c>
      <c r="P237" t="n">
        <v>0</v>
      </c>
      <c r="Q237" t="n">
        <v>0</v>
      </c>
      <c r="R237" s="2" t="inlineStr"/>
    </row>
    <row r="238" ht="15" customHeight="1">
      <c r="A238" t="inlineStr">
        <is>
          <t>A 15173-2025</t>
        </is>
      </c>
      <c r="B238" s="1" t="n">
        <v>45744.50858796296</v>
      </c>
      <c r="C238" s="1" t="n">
        <v>45939</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30611-2023</t>
        </is>
      </c>
      <c r="B239" s="1" t="n">
        <v>45112</v>
      </c>
      <c r="C239" s="1" t="n">
        <v>45939</v>
      </c>
      <c r="D239" t="inlineStr">
        <is>
          <t>DALARNAS LÄN</t>
        </is>
      </c>
      <c r="E239" t="inlineStr">
        <is>
          <t>LEKSAND</t>
        </is>
      </c>
      <c r="G239" t="n">
        <v>3.1</v>
      </c>
      <c r="H239" t="n">
        <v>0</v>
      </c>
      <c r="I239" t="n">
        <v>0</v>
      </c>
      <c r="J239" t="n">
        <v>0</v>
      </c>
      <c r="K239" t="n">
        <v>0</v>
      </c>
      <c r="L239" t="n">
        <v>0</v>
      </c>
      <c r="M239" t="n">
        <v>0</v>
      </c>
      <c r="N239" t="n">
        <v>0</v>
      </c>
      <c r="O239" t="n">
        <v>0</v>
      </c>
      <c r="P239" t="n">
        <v>0</v>
      </c>
      <c r="Q239" t="n">
        <v>0</v>
      </c>
      <c r="R239" s="2" t="inlineStr"/>
    </row>
    <row r="240" ht="15" customHeight="1">
      <c r="A240" t="inlineStr">
        <is>
          <t>A 31254-2023</t>
        </is>
      </c>
      <c r="B240" s="1" t="n">
        <v>45114</v>
      </c>
      <c r="C240" s="1" t="n">
        <v>45939</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62306-2023</t>
        </is>
      </c>
      <c r="B241" s="1" t="n">
        <v>45266</v>
      </c>
      <c r="C241" s="1" t="n">
        <v>45939</v>
      </c>
      <c r="D241" t="inlineStr">
        <is>
          <t>DALARNAS LÄN</t>
        </is>
      </c>
      <c r="E241" t="inlineStr">
        <is>
          <t>LEKSAND</t>
        </is>
      </c>
      <c r="G241" t="n">
        <v>1.1</v>
      </c>
      <c r="H241" t="n">
        <v>0</v>
      </c>
      <c r="I241" t="n">
        <v>0</v>
      </c>
      <c r="J241" t="n">
        <v>0</v>
      </c>
      <c r="K241" t="n">
        <v>0</v>
      </c>
      <c r="L241" t="n">
        <v>0</v>
      </c>
      <c r="M241" t="n">
        <v>0</v>
      </c>
      <c r="N241" t="n">
        <v>0</v>
      </c>
      <c r="O241" t="n">
        <v>0</v>
      </c>
      <c r="P241" t="n">
        <v>0</v>
      </c>
      <c r="Q241" t="n">
        <v>0</v>
      </c>
      <c r="R241" s="2" t="inlineStr"/>
    </row>
    <row r="242" ht="15" customHeight="1">
      <c r="A242" t="inlineStr">
        <is>
          <t>A 30175-2023</t>
        </is>
      </c>
      <c r="B242" s="1" t="n">
        <v>45110</v>
      </c>
      <c r="C242" s="1" t="n">
        <v>45939</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28921-2023</t>
        </is>
      </c>
      <c r="B243" s="1" t="n">
        <v>45104</v>
      </c>
      <c r="C243" s="1" t="n">
        <v>45939</v>
      </c>
      <c r="D243" t="inlineStr">
        <is>
          <t>DALARNAS LÄN</t>
        </is>
      </c>
      <c r="E243" t="inlineStr">
        <is>
          <t>LEKSAND</t>
        </is>
      </c>
      <c r="G243" t="n">
        <v>4.4</v>
      </c>
      <c r="H243" t="n">
        <v>0</v>
      </c>
      <c r="I243" t="n">
        <v>0</v>
      </c>
      <c r="J243" t="n">
        <v>0</v>
      </c>
      <c r="K243" t="n">
        <v>0</v>
      </c>
      <c r="L243" t="n">
        <v>0</v>
      </c>
      <c r="M243" t="n">
        <v>0</v>
      </c>
      <c r="N243" t="n">
        <v>0</v>
      </c>
      <c r="O243" t="n">
        <v>0</v>
      </c>
      <c r="P243" t="n">
        <v>0</v>
      </c>
      <c r="Q243" t="n">
        <v>0</v>
      </c>
      <c r="R243" s="2" t="inlineStr"/>
    </row>
    <row r="244" ht="15" customHeight="1">
      <c r="A244" t="inlineStr">
        <is>
          <t>A 8940-2023</t>
        </is>
      </c>
      <c r="B244" s="1" t="n">
        <v>44974</v>
      </c>
      <c r="C244" s="1" t="n">
        <v>45939</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7928-2023</t>
        </is>
      </c>
      <c r="B245" s="1" t="n">
        <v>44973</v>
      </c>
      <c r="C245" s="1" t="n">
        <v>45939</v>
      </c>
      <c r="D245" t="inlineStr">
        <is>
          <t>DALARNAS LÄN</t>
        </is>
      </c>
      <c r="E245" t="inlineStr">
        <is>
          <t>LEKSAND</t>
        </is>
      </c>
      <c r="G245" t="n">
        <v>1.9</v>
      </c>
      <c r="H245" t="n">
        <v>0</v>
      </c>
      <c r="I245" t="n">
        <v>0</v>
      </c>
      <c r="J245" t="n">
        <v>0</v>
      </c>
      <c r="K245" t="n">
        <v>0</v>
      </c>
      <c r="L245" t="n">
        <v>0</v>
      </c>
      <c r="M245" t="n">
        <v>0</v>
      </c>
      <c r="N245" t="n">
        <v>0</v>
      </c>
      <c r="O245" t="n">
        <v>0</v>
      </c>
      <c r="P245" t="n">
        <v>0</v>
      </c>
      <c r="Q245" t="n">
        <v>0</v>
      </c>
      <c r="R245" s="2" t="inlineStr"/>
    </row>
    <row r="246" ht="15" customHeight="1">
      <c r="A246" t="inlineStr">
        <is>
          <t>A 9459-2023</t>
        </is>
      </c>
      <c r="B246" s="1" t="n">
        <v>44977</v>
      </c>
      <c r="C246" s="1" t="n">
        <v>45939</v>
      </c>
      <c r="D246" t="inlineStr">
        <is>
          <t>DALARNAS LÄN</t>
        </is>
      </c>
      <c r="E246" t="inlineStr">
        <is>
          <t>LEKSAND</t>
        </is>
      </c>
      <c r="G246" t="n">
        <v>1.1</v>
      </c>
      <c r="H246" t="n">
        <v>0</v>
      </c>
      <c r="I246" t="n">
        <v>0</v>
      </c>
      <c r="J246" t="n">
        <v>0</v>
      </c>
      <c r="K246" t="n">
        <v>0</v>
      </c>
      <c r="L246" t="n">
        <v>0</v>
      </c>
      <c r="M246" t="n">
        <v>0</v>
      </c>
      <c r="N246" t="n">
        <v>0</v>
      </c>
      <c r="O246" t="n">
        <v>0</v>
      </c>
      <c r="P246" t="n">
        <v>0</v>
      </c>
      <c r="Q246" t="n">
        <v>0</v>
      </c>
      <c r="R246" s="2" t="inlineStr"/>
    </row>
    <row r="247" ht="15" customHeight="1">
      <c r="A247" t="inlineStr">
        <is>
          <t>A 56941-2024</t>
        </is>
      </c>
      <c r="B247" s="1" t="n">
        <v>45625</v>
      </c>
      <c r="C247" s="1" t="n">
        <v>45939</v>
      </c>
      <c r="D247" t="inlineStr">
        <is>
          <t>DALARNAS LÄN</t>
        </is>
      </c>
      <c r="E247" t="inlineStr">
        <is>
          <t>LEKSAND</t>
        </is>
      </c>
      <c r="G247" t="n">
        <v>1.8</v>
      </c>
      <c r="H247" t="n">
        <v>0</v>
      </c>
      <c r="I247" t="n">
        <v>0</v>
      </c>
      <c r="J247" t="n">
        <v>0</v>
      </c>
      <c r="K247" t="n">
        <v>0</v>
      </c>
      <c r="L247" t="n">
        <v>0</v>
      </c>
      <c r="M247" t="n">
        <v>0</v>
      </c>
      <c r="N247" t="n">
        <v>0</v>
      </c>
      <c r="O247" t="n">
        <v>0</v>
      </c>
      <c r="P247" t="n">
        <v>0</v>
      </c>
      <c r="Q247" t="n">
        <v>0</v>
      </c>
      <c r="R247" s="2" t="inlineStr"/>
    </row>
    <row r="248" ht="15" customHeight="1">
      <c r="A248" t="inlineStr">
        <is>
          <t>A 48721-2023</t>
        </is>
      </c>
      <c r="B248" s="1" t="n">
        <v>45203</v>
      </c>
      <c r="C248" s="1" t="n">
        <v>45939</v>
      </c>
      <c r="D248" t="inlineStr">
        <is>
          <t>DALARNAS LÄN</t>
        </is>
      </c>
      <c r="E248" t="inlineStr">
        <is>
          <t>LEKSAND</t>
        </is>
      </c>
      <c r="G248" t="n">
        <v>2.9</v>
      </c>
      <c r="H248" t="n">
        <v>0</v>
      </c>
      <c r="I248" t="n">
        <v>0</v>
      </c>
      <c r="J248" t="n">
        <v>0</v>
      </c>
      <c r="K248" t="n">
        <v>0</v>
      </c>
      <c r="L248" t="n">
        <v>0</v>
      </c>
      <c r="M248" t="n">
        <v>0</v>
      </c>
      <c r="N248" t="n">
        <v>0</v>
      </c>
      <c r="O248" t="n">
        <v>0</v>
      </c>
      <c r="P248" t="n">
        <v>0</v>
      </c>
      <c r="Q248" t="n">
        <v>0</v>
      </c>
      <c r="R248" s="2" t="inlineStr"/>
    </row>
    <row r="249" ht="15" customHeight="1">
      <c r="A249" t="inlineStr">
        <is>
          <t>A 30860-2024</t>
        </is>
      </c>
      <c r="B249" s="1" t="n">
        <v>45497.69108796296</v>
      </c>
      <c r="C249" s="1" t="n">
        <v>45939</v>
      </c>
      <c r="D249" t="inlineStr">
        <is>
          <t>DALARNAS LÄN</t>
        </is>
      </c>
      <c r="E249" t="inlineStr">
        <is>
          <t>LEKSAND</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30864-2024</t>
        </is>
      </c>
      <c r="B250" s="1" t="n">
        <v>45497.71550925926</v>
      </c>
      <c r="C250" s="1" t="n">
        <v>45939</v>
      </c>
      <c r="D250" t="inlineStr">
        <is>
          <t>DALARNAS LÄN</t>
        </is>
      </c>
      <c r="E250" t="inlineStr">
        <is>
          <t>LEKSAND</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44491-2023</t>
        </is>
      </c>
      <c r="B251" s="1" t="n">
        <v>45183</v>
      </c>
      <c r="C251" s="1" t="n">
        <v>45939</v>
      </c>
      <c r="D251" t="inlineStr">
        <is>
          <t>DALARNAS LÄN</t>
        </is>
      </c>
      <c r="E251" t="inlineStr">
        <is>
          <t>LEKSAND</t>
        </is>
      </c>
      <c r="G251" t="n">
        <v>2.6</v>
      </c>
      <c r="H251" t="n">
        <v>0</v>
      </c>
      <c r="I251" t="n">
        <v>0</v>
      </c>
      <c r="J251" t="n">
        <v>0</v>
      </c>
      <c r="K251" t="n">
        <v>0</v>
      </c>
      <c r="L251" t="n">
        <v>0</v>
      </c>
      <c r="M251" t="n">
        <v>0</v>
      </c>
      <c r="N251" t="n">
        <v>0</v>
      </c>
      <c r="O251" t="n">
        <v>0</v>
      </c>
      <c r="P251" t="n">
        <v>0</v>
      </c>
      <c r="Q251" t="n">
        <v>0</v>
      </c>
      <c r="R251" s="2" t="inlineStr"/>
    </row>
    <row r="252" ht="15" customHeight="1">
      <c r="A252" t="inlineStr">
        <is>
          <t>A 33463-2023</t>
        </is>
      </c>
      <c r="B252" s="1" t="n">
        <v>45131</v>
      </c>
      <c r="C252" s="1" t="n">
        <v>45939</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33001-2023</t>
        </is>
      </c>
      <c r="B253" s="1" t="n">
        <v>45125</v>
      </c>
      <c r="C253" s="1" t="n">
        <v>45939</v>
      </c>
      <c r="D253" t="inlineStr">
        <is>
          <t>DALARNAS LÄN</t>
        </is>
      </c>
      <c r="E253" t="inlineStr">
        <is>
          <t>LEKSAND</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5582-2024</t>
        </is>
      </c>
      <c r="B254" s="1" t="n">
        <v>45334</v>
      </c>
      <c r="C254" s="1" t="n">
        <v>45939</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5584-2024</t>
        </is>
      </c>
      <c r="B255" s="1" t="n">
        <v>45334</v>
      </c>
      <c r="C255" s="1" t="n">
        <v>45939</v>
      </c>
      <c r="D255" t="inlineStr">
        <is>
          <t>DALARNAS LÄN</t>
        </is>
      </c>
      <c r="E255" t="inlineStr">
        <is>
          <t>LEKSAND</t>
        </is>
      </c>
      <c r="F255" t="inlineStr">
        <is>
          <t>Kyrkan</t>
        </is>
      </c>
      <c r="G255" t="n">
        <v>0.4</v>
      </c>
      <c r="H255" t="n">
        <v>0</v>
      </c>
      <c r="I255" t="n">
        <v>0</v>
      </c>
      <c r="J255" t="n">
        <v>0</v>
      </c>
      <c r="K255" t="n">
        <v>0</v>
      </c>
      <c r="L255" t="n">
        <v>0</v>
      </c>
      <c r="M255" t="n">
        <v>0</v>
      </c>
      <c r="N255" t="n">
        <v>0</v>
      </c>
      <c r="O255" t="n">
        <v>0</v>
      </c>
      <c r="P255" t="n">
        <v>0</v>
      </c>
      <c r="Q255" t="n">
        <v>0</v>
      </c>
      <c r="R255" s="2" t="inlineStr"/>
    </row>
    <row r="256" ht="15" customHeight="1">
      <c r="A256" t="inlineStr">
        <is>
          <t>A 8755-2023</t>
        </is>
      </c>
      <c r="B256" s="1" t="n">
        <v>44978</v>
      </c>
      <c r="C256" s="1" t="n">
        <v>45939</v>
      </c>
      <c r="D256" t="inlineStr">
        <is>
          <t>DALARNAS LÄN</t>
        </is>
      </c>
      <c r="E256" t="inlineStr">
        <is>
          <t>LEKSAND</t>
        </is>
      </c>
      <c r="G256" t="n">
        <v>2.3</v>
      </c>
      <c r="H256" t="n">
        <v>0</v>
      </c>
      <c r="I256" t="n">
        <v>0</v>
      </c>
      <c r="J256" t="n">
        <v>0</v>
      </c>
      <c r="K256" t="n">
        <v>0</v>
      </c>
      <c r="L256" t="n">
        <v>0</v>
      </c>
      <c r="M256" t="n">
        <v>0</v>
      </c>
      <c r="N256" t="n">
        <v>0</v>
      </c>
      <c r="O256" t="n">
        <v>0</v>
      </c>
      <c r="P256" t="n">
        <v>0</v>
      </c>
      <c r="Q256" t="n">
        <v>0</v>
      </c>
      <c r="R256" s="2" t="inlineStr"/>
    </row>
    <row r="257" ht="15" customHeight="1">
      <c r="A257" t="inlineStr">
        <is>
          <t>A 59840-2024</t>
        </is>
      </c>
      <c r="B257" s="1" t="n">
        <v>45638</v>
      </c>
      <c r="C257" s="1" t="n">
        <v>45939</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33674-2023</t>
        </is>
      </c>
      <c r="B258" s="1" t="n">
        <v>45132</v>
      </c>
      <c r="C258" s="1" t="n">
        <v>45939</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10967-2023</t>
        </is>
      </c>
      <c r="B259" s="1" t="n">
        <v>44991.58001157407</v>
      </c>
      <c r="C259" s="1" t="n">
        <v>45939</v>
      </c>
      <c r="D259" t="inlineStr">
        <is>
          <t>DALARNAS LÄN</t>
        </is>
      </c>
      <c r="E259" t="inlineStr">
        <is>
          <t>LEKSAND</t>
        </is>
      </c>
      <c r="G259" t="n">
        <v>0.5</v>
      </c>
      <c r="H259" t="n">
        <v>0</v>
      </c>
      <c r="I259" t="n">
        <v>0</v>
      </c>
      <c r="J259" t="n">
        <v>0</v>
      </c>
      <c r="K259" t="n">
        <v>0</v>
      </c>
      <c r="L259" t="n">
        <v>0</v>
      </c>
      <c r="M259" t="n">
        <v>0</v>
      </c>
      <c r="N259" t="n">
        <v>0</v>
      </c>
      <c r="O259" t="n">
        <v>0</v>
      </c>
      <c r="P259" t="n">
        <v>0</v>
      </c>
      <c r="Q259" t="n">
        <v>0</v>
      </c>
      <c r="R259" s="2" t="inlineStr"/>
    </row>
    <row r="260" ht="15" customHeight="1">
      <c r="A260" t="inlineStr">
        <is>
          <t>A 10974-2023</t>
        </is>
      </c>
      <c r="B260" s="1" t="n">
        <v>44991.59049768518</v>
      </c>
      <c r="C260" s="1" t="n">
        <v>45939</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55516-2024</t>
        </is>
      </c>
      <c r="B261" s="1" t="n">
        <v>45621</v>
      </c>
      <c r="C261" s="1" t="n">
        <v>45939</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30858-2024</t>
        </is>
      </c>
      <c r="B262" s="1" t="n">
        <v>45497.67601851852</v>
      </c>
      <c r="C262" s="1" t="n">
        <v>45939</v>
      </c>
      <c r="D262" t="inlineStr">
        <is>
          <t>DALARNAS LÄN</t>
        </is>
      </c>
      <c r="E262" t="inlineStr">
        <is>
          <t>LEKSAND</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40752-2024</t>
        </is>
      </c>
      <c r="B263" s="1" t="n">
        <v>45558.45638888889</v>
      </c>
      <c r="C263" s="1" t="n">
        <v>45939</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44628.52340277778</v>
      </c>
      <c r="C264" s="1" t="n">
        <v>45939</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16135-2023</t>
        </is>
      </c>
      <c r="B265" s="1" t="n">
        <v>45027.63717592593</v>
      </c>
      <c r="C265" s="1" t="n">
        <v>45939</v>
      </c>
      <c r="D265" t="inlineStr">
        <is>
          <t>DALARNAS LÄN</t>
        </is>
      </c>
      <c r="E265" t="inlineStr">
        <is>
          <t>LEKSAND</t>
        </is>
      </c>
      <c r="G265" t="n">
        <v>4.9</v>
      </c>
      <c r="H265" t="n">
        <v>0</v>
      </c>
      <c r="I265" t="n">
        <v>0</v>
      </c>
      <c r="J265" t="n">
        <v>0</v>
      </c>
      <c r="K265" t="n">
        <v>0</v>
      </c>
      <c r="L265" t="n">
        <v>0</v>
      </c>
      <c r="M265" t="n">
        <v>0</v>
      </c>
      <c r="N265" t="n">
        <v>0</v>
      </c>
      <c r="O265" t="n">
        <v>0</v>
      </c>
      <c r="P265" t="n">
        <v>0</v>
      </c>
      <c r="Q265" t="n">
        <v>0</v>
      </c>
      <c r="R265" s="2" t="inlineStr"/>
    </row>
    <row r="266" ht="15" customHeight="1">
      <c r="A266" t="inlineStr">
        <is>
          <t>A 30198-2024</t>
        </is>
      </c>
      <c r="B266" s="1" t="n">
        <v>45490.34765046297</v>
      </c>
      <c r="C266" s="1" t="n">
        <v>45939</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12582-2025</t>
        </is>
      </c>
      <c r="B267" s="1" t="n">
        <v>45732.62988425926</v>
      </c>
      <c r="C267" s="1" t="n">
        <v>45939</v>
      </c>
      <c r="D267" t="inlineStr">
        <is>
          <t>DALARNAS LÄN</t>
        </is>
      </c>
      <c r="E267" t="inlineStr">
        <is>
          <t>LEKSAND</t>
        </is>
      </c>
      <c r="G267" t="n">
        <v>1.3</v>
      </c>
      <c r="H267" t="n">
        <v>0</v>
      </c>
      <c r="I267" t="n">
        <v>0</v>
      </c>
      <c r="J267" t="n">
        <v>0</v>
      </c>
      <c r="K267" t="n">
        <v>0</v>
      </c>
      <c r="L267" t="n">
        <v>0</v>
      </c>
      <c r="M267" t="n">
        <v>0</v>
      </c>
      <c r="N267" t="n">
        <v>0</v>
      </c>
      <c r="O267" t="n">
        <v>0</v>
      </c>
      <c r="P267" t="n">
        <v>0</v>
      </c>
      <c r="Q267" t="n">
        <v>0</v>
      </c>
      <c r="R267" s="2" t="inlineStr"/>
    </row>
    <row r="268" ht="15" customHeight="1">
      <c r="A268" t="inlineStr">
        <is>
          <t>A 1182-2025</t>
        </is>
      </c>
      <c r="B268" s="1" t="n">
        <v>45667.35712962963</v>
      </c>
      <c r="C268" s="1" t="n">
        <v>45939</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10373-2023</t>
        </is>
      </c>
      <c r="B269" s="1" t="n">
        <v>44987</v>
      </c>
      <c r="C269" s="1" t="n">
        <v>45939</v>
      </c>
      <c r="D269" t="inlineStr">
        <is>
          <t>DALARNAS LÄN</t>
        </is>
      </c>
      <c r="E269" t="inlineStr">
        <is>
          <t>LEKSAND</t>
        </is>
      </c>
      <c r="G269" t="n">
        <v>0.3</v>
      </c>
      <c r="H269" t="n">
        <v>0</v>
      </c>
      <c r="I269" t="n">
        <v>0</v>
      </c>
      <c r="J269" t="n">
        <v>0</v>
      </c>
      <c r="K269" t="n">
        <v>0</v>
      </c>
      <c r="L269" t="n">
        <v>0</v>
      </c>
      <c r="M269" t="n">
        <v>0</v>
      </c>
      <c r="N269" t="n">
        <v>0</v>
      </c>
      <c r="O269" t="n">
        <v>0</v>
      </c>
      <c r="P269" t="n">
        <v>0</v>
      </c>
      <c r="Q269" t="n">
        <v>0</v>
      </c>
      <c r="R269" s="2" t="inlineStr"/>
    </row>
    <row r="270" ht="15" customHeight="1">
      <c r="A270" t="inlineStr">
        <is>
          <t>A 1519-2024</t>
        </is>
      </c>
      <c r="B270" s="1" t="n">
        <v>45306</v>
      </c>
      <c r="C270" s="1" t="n">
        <v>45939</v>
      </c>
      <c r="D270" t="inlineStr">
        <is>
          <t>DALARNAS LÄN</t>
        </is>
      </c>
      <c r="E270" t="inlineStr">
        <is>
          <t>LEKSAND</t>
        </is>
      </c>
      <c r="G270" t="n">
        <v>3.3</v>
      </c>
      <c r="H270" t="n">
        <v>0</v>
      </c>
      <c r="I270" t="n">
        <v>0</v>
      </c>
      <c r="J270" t="n">
        <v>0</v>
      </c>
      <c r="K270" t="n">
        <v>0</v>
      </c>
      <c r="L270" t="n">
        <v>0</v>
      </c>
      <c r="M270" t="n">
        <v>0</v>
      </c>
      <c r="N270" t="n">
        <v>0</v>
      </c>
      <c r="O270" t="n">
        <v>0</v>
      </c>
      <c r="P270" t="n">
        <v>0</v>
      </c>
      <c r="Q270" t="n">
        <v>0</v>
      </c>
      <c r="R270" s="2" t="inlineStr"/>
    </row>
    <row r="271" ht="15" customHeight="1">
      <c r="A271" t="inlineStr">
        <is>
          <t>A 19296-2024</t>
        </is>
      </c>
      <c r="B271" s="1" t="n">
        <v>45428.69438657408</v>
      </c>
      <c r="C271" s="1" t="n">
        <v>45939</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71817-2021</t>
        </is>
      </c>
      <c r="B272" s="1" t="n">
        <v>44543.59780092593</v>
      </c>
      <c r="C272" s="1" t="n">
        <v>45939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58244-2024</t>
        </is>
      </c>
      <c r="B273" s="1" t="n">
        <v>45631</v>
      </c>
      <c r="C273" s="1" t="n">
        <v>45939</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32-2024</t>
        </is>
      </c>
      <c r="B274" s="1" t="n">
        <v>45293</v>
      </c>
      <c r="C274" s="1" t="n">
        <v>45939</v>
      </c>
      <c r="D274" t="inlineStr">
        <is>
          <t>DALARNAS LÄN</t>
        </is>
      </c>
      <c r="E274" t="inlineStr">
        <is>
          <t>LEKSAND</t>
        </is>
      </c>
      <c r="G274" t="n">
        <v>0.6</v>
      </c>
      <c r="H274" t="n">
        <v>0</v>
      </c>
      <c r="I274" t="n">
        <v>0</v>
      </c>
      <c r="J274" t="n">
        <v>0</v>
      </c>
      <c r="K274" t="n">
        <v>0</v>
      </c>
      <c r="L274" t="n">
        <v>0</v>
      </c>
      <c r="M274" t="n">
        <v>0</v>
      </c>
      <c r="N274" t="n">
        <v>0</v>
      </c>
      <c r="O274" t="n">
        <v>0</v>
      </c>
      <c r="P274" t="n">
        <v>0</v>
      </c>
      <c r="Q274" t="n">
        <v>0</v>
      </c>
      <c r="R274" s="2" t="inlineStr"/>
    </row>
    <row r="275" ht="15" customHeight="1">
      <c r="A275" t="inlineStr">
        <is>
          <t>A 62161-2024</t>
        </is>
      </c>
      <c r="B275" s="1" t="n">
        <v>45656.86009259259</v>
      </c>
      <c r="C275" s="1" t="n">
        <v>45939</v>
      </c>
      <c r="D275" t="inlineStr">
        <is>
          <t>DALARNAS LÄN</t>
        </is>
      </c>
      <c r="E275" t="inlineStr">
        <is>
          <t>LEKSAND</t>
        </is>
      </c>
      <c r="G275" t="n">
        <v>2</v>
      </c>
      <c r="H275" t="n">
        <v>0</v>
      </c>
      <c r="I275" t="n">
        <v>0</v>
      </c>
      <c r="J275" t="n">
        <v>0</v>
      </c>
      <c r="K275" t="n">
        <v>0</v>
      </c>
      <c r="L275" t="n">
        <v>0</v>
      </c>
      <c r="M275" t="n">
        <v>0</v>
      </c>
      <c r="N275" t="n">
        <v>0</v>
      </c>
      <c r="O275" t="n">
        <v>0</v>
      </c>
      <c r="P275" t="n">
        <v>0</v>
      </c>
      <c r="Q275" t="n">
        <v>0</v>
      </c>
      <c r="R275" s="2" t="inlineStr"/>
    </row>
    <row r="276" ht="15" customHeight="1">
      <c r="A276" t="inlineStr">
        <is>
          <t>A 33566-2023</t>
        </is>
      </c>
      <c r="B276" s="1" t="n">
        <v>45131.64390046296</v>
      </c>
      <c r="C276" s="1" t="n">
        <v>45939</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11606-2025</t>
        </is>
      </c>
      <c r="B277" s="1" t="n">
        <v>45727</v>
      </c>
      <c r="C277" s="1" t="n">
        <v>45939</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21954-2023</t>
        </is>
      </c>
      <c r="B278" s="1" t="n">
        <v>45068</v>
      </c>
      <c r="C278" s="1" t="n">
        <v>45939</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16592-2023</t>
        </is>
      </c>
      <c r="B279" s="1" t="n">
        <v>45030</v>
      </c>
      <c r="C279" s="1" t="n">
        <v>45939</v>
      </c>
      <c r="D279" t="inlineStr">
        <is>
          <t>DALARNAS LÄN</t>
        </is>
      </c>
      <c r="E279" t="inlineStr">
        <is>
          <t>LEKSAND</t>
        </is>
      </c>
      <c r="G279" t="n">
        <v>11.5</v>
      </c>
      <c r="H279" t="n">
        <v>0</v>
      </c>
      <c r="I279" t="n">
        <v>0</v>
      </c>
      <c r="J279" t="n">
        <v>0</v>
      </c>
      <c r="K279" t="n">
        <v>0</v>
      </c>
      <c r="L279" t="n">
        <v>0</v>
      </c>
      <c r="M279" t="n">
        <v>0</v>
      </c>
      <c r="N279" t="n">
        <v>0</v>
      </c>
      <c r="O279" t="n">
        <v>0</v>
      </c>
      <c r="P279" t="n">
        <v>0</v>
      </c>
      <c r="Q279" t="n">
        <v>0</v>
      </c>
      <c r="R279" s="2" t="inlineStr"/>
    </row>
    <row r="280" ht="15" customHeight="1">
      <c r="A280" t="inlineStr">
        <is>
          <t>A 36932-2023</t>
        </is>
      </c>
      <c r="B280" s="1" t="n">
        <v>45154</v>
      </c>
      <c r="C280" s="1" t="n">
        <v>45939</v>
      </c>
      <c r="D280" t="inlineStr">
        <is>
          <t>DALARNAS LÄN</t>
        </is>
      </c>
      <c r="E280" t="inlineStr">
        <is>
          <t>LEKSAND</t>
        </is>
      </c>
      <c r="G280" t="n">
        <v>1.3</v>
      </c>
      <c r="H280" t="n">
        <v>0</v>
      </c>
      <c r="I280" t="n">
        <v>0</v>
      </c>
      <c r="J280" t="n">
        <v>0</v>
      </c>
      <c r="K280" t="n">
        <v>0</v>
      </c>
      <c r="L280" t="n">
        <v>0</v>
      </c>
      <c r="M280" t="n">
        <v>0</v>
      </c>
      <c r="N280" t="n">
        <v>0</v>
      </c>
      <c r="O280" t="n">
        <v>0</v>
      </c>
      <c r="P280" t="n">
        <v>0</v>
      </c>
      <c r="Q280" t="n">
        <v>0</v>
      </c>
      <c r="R280" s="2" t="inlineStr"/>
    </row>
    <row r="281" ht="15" customHeight="1">
      <c r="A281" t="inlineStr">
        <is>
          <t>A 7395-2025</t>
        </is>
      </c>
      <c r="B281" s="1" t="n">
        <v>45705.34516203704</v>
      </c>
      <c r="C281" s="1" t="n">
        <v>45939</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23663-2024</t>
        </is>
      </c>
      <c r="B282" s="1" t="n">
        <v>45454.57049768518</v>
      </c>
      <c r="C282" s="1" t="n">
        <v>45939</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8743-2023</t>
        </is>
      </c>
      <c r="B283" s="1" t="n">
        <v>44978</v>
      </c>
      <c r="C283" s="1" t="n">
        <v>45939</v>
      </c>
      <c r="D283" t="inlineStr">
        <is>
          <t>DALARNAS LÄN</t>
        </is>
      </c>
      <c r="E283" t="inlineStr">
        <is>
          <t>LEKSAND</t>
        </is>
      </c>
      <c r="G283" t="n">
        <v>3</v>
      </c>
      <c r="H283" t="n">
        <v>0</v>
      </c>
      <c r="I283" t="n">
        <v>0</v>
      </c>
      <c r="J283" t="n">
        <v>0</v>
      </c>
      <c r="K283" t="n">
        <v>0</v>
      </c>
      <c r="L283" t="n">
        <v>0</v>
      </c>
      <c r="M283" t="n">
        <v>0</v>
      </c>
      <c r="N283" t="n">
        <v>0</v>
      </c>
      <c r="O283" t="n">
        <v>0</v>
      </c>
      <c r="P283" t="n">
        <v>0</v>
      </c>
      <c r="Q283" t="n">
        <v>0</v>
      </c>
      <c r="R283" s="2" t="inlineStr"/>
    </row>
    <row r="284" ht="15" customHeight="1">
      <c r="A284" t="inlineStr">
        <is>
          <t>A 33180-2024</t>
        </is>
      </c>
      <c r="B284" s="1" t="n">
        <v>45518.44481481481</v>
      </c>
      <c r="C284" s="1" t="n">
        <v>45939</v>
      </c>
      <c r="D284" t="inlineStr">
        <is>
          <t>DALARNAS LÄN</t>
        </is>
      </c>
      <c r="E284" t="inlineStr">
        <is>
          <t>LEKSAND</t>
        </is>
      </c>
      <c r="G284" t="n">
        <v>7.6</v>
      </c>
      <c r="H284" t="n">
        <v>0</v>
      </c>
      <c r="I284" t="n">
        <v>0</v>
      </c>
      <c r="J284" t="n">
        <v>0</v>
      </c>
      <c r="K284" t="n">
        <v>0</v>
      </c>
      <c r="L284" t="n">
        <v>0</v>
      </c>
      <c r="M284" t="n">
        <v>0</v>
      </c>
      <c r="N284" t="n">
        <v>0</v>
      </c>
      <c r="O284" t="n">
        <v>0</v>
      </c>
      <c r="P284" t="n">
        <v>0</v>
      </c>
      <c r="Q284" t="n">
        <v>0</v>
      </c>
      <c r="R284" s="2" t="inlineStr"/>
    </row>
    <row r="285" ht="15" customHeight="1">
      <c r="A285" t="inlineStr">
        <is>
          <t>A 31971-2024</t>
        </is>
      </c>
      <c r="B285" s="1" t="n">
        <v>45510.55171296297</v>
      </c>
      <c r="C285" s="1" t="n">
        <v>45939</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60715-2022</t>
        </is>
      </c>
      <c r="B286" s="1" t="n">
        <v>44912</v>
      </c>
      <c r="C286" s="1" t="n">
        <v>45939</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11092-2023</t>
        </is>
      </c>
      <c r="B287" s="1" t="n">
        <v>44992</v>
      </c>
      <c r="C287" s="1" t="n">
        <v>45939</v>
      </c>
      <c r="D287" t="inlineStr">
        <is>
          <t>DALARNAS LÄN</t>
        </is>
      </c>
      <c r="E287" t="inlineStr">
        <is>
          <t>LEKSAND</t>
        </is>
      </c>
      <c r="G287" t="n">
        <v>0.5</v>
      </c>
      <c r="H287" t="n">
        <v>0</v>
      </c>
      <c r="I287" t="n">
        <v>0</v>
      </c>
      <c r="J287" t="n">
        <v>0</v>
      </c>
      <c r="K287" t="n">
        <v>0</v>
      </c>
      <c r="L287" t="n">
        <v>0</v>
      </c>
      <c r="M287" t="n">
        <v>0</v>
      </c>
      <c r="N287" t="n">
        <v>0</v>
      </c>
      <c r="O287" t="n">
        <v>0</v>
      </c>
      <c r="P287" t="n">
        <v>0</v>
      </c>
      <c r="Q287" t="n">
        <v>0</v>
      </c>
      <c r="R287" s="2" t="inlineStr"/>
    </row>
    <row r="288" ht="15" customHeight="1">
      <c r="A288" t="inlineStr">
        <is>
          <t>A 15882-2023</t>
        </is>
      </c>
      <c r="B288" s="1" t="n">
        <v>45022</v>
      </c>
      <c r="C288" s="1" t="n">
        <v>45939</v>
      </c>
      <c r="D288" t="inlineStr">
        <is>
          <t>DALARNAS LÄN</t>
        </is>
      </c>
      <c r="E288" t="inlineStr">
        <is>
          <t>LEKSAND</t>
        </is>
      </c>
      <c r="G288" t="n">
        <v>0.1</v>
      </c>
      <c r="H288" t="n">
        <v>0</v>
      </c>
      <c r="I288" t="n">
        <v>0</v>
      </c>
      <c r="J288" t="n">
        <v>0</v>
      </c>
      <c r="K288" t="n">
        <v>0</v>
      </c>
      <c r="L288" t="n">
        <v>0</v>
      </c>
      <c r="M288" t="n">
        <v>0</v>
      </c>
      <c r="N288" t="n">
        <v>0</v>
      </c>
      <c r="O288" t="n">
        <v>0</v>
      </c>
      <c r="P288" t="n">
        <v>0</v>
      </c>
      <c r="Q288" t="n">
        <v>0</v>
      </c>
      <c r="R288" s="2" t="inlineStr"/>
    </row>
    <row r="289" ht="15" customHeight="1">
      <c r="A289" t="inlineStr">
        <is>
          <t>A 63544-2023</t>
        </is>
      </c>
      <c r="B289" s="1" t="n">
        <v>45275</v>
      </c>
      <c r="C289" s="1" t="n">
        <v>45939</v>
      </c>
      <c r="D289" t="inlineStr">
        <is>
          <t>DALARNAS LÄN</t>
        </is>
      </c>
      <c r="E289" t="inlineStr">
        <is>
          <t>LEKSAND</t>
        </is>
      </c>
      <c r="G289" t="n">
        <v>0.3</v>
      </c>
      <c r="H289" t="n">
        <v>0</v>
      </c>
      <c r="I289" t="n">
        <v>0</v>
      </c>
      <c r="J289" t="n">
        <v>0</v>
      </c>
      <c r="K289" t="n">
        <v>0</v>
      </c>
      <c r="L289" t="n">
        <v>0</v>
      </c>
      <c r="M289" t="n">
        <v>0</v>
      </c>
      <c r="N289" t="n">
        <v>0</v>
      </c>
      <c r="O289" t="n">
        <v>0</v>
      </c>
      <c r="P289" t="n">
        <v>0</v>
      </c>
      <c r="Q289" t="n">
        <v>0</v>
      </c>
      <c r="R289" s="2" t="inlineStr"/>
    </row>
    <row r="290" ht="15" customHeight="1">
      <c r="A290" t="inlineStr">
        <is>
          <t>A 61546-2021</t>
        </is>
      </c>
      <c r="B290" s="1" t="n">
        <v>44501</v>
      </c>
      <c r="C290" s="1" t="n">
        <v>45939</v>
      </c>
      <c r="D290" t="inlineStr">
        <is>
          <t>DALARNAS LÄN</t>
        </is>
      </c>
      <c r="E290" t="inlineStr">
        <is>
          <t>LEKSAND</t>
        </is>
      </c>
      <c r="G290" t="n">
        <v>3</v>
      </c>
      <c r="H290" t="n">
        <v>0</v>
      </c>
      <c r="I290" t="n">
        <v>0</v>
      </c>
      <c r="J290" t="n">
        <v>0</v>
      </c>
      <c r="K290" t="n">
        <v>0</v>
      </c>
      <c r="L290" t="n">
        <v>0</v>
      </c>
      <c r="M290" t="n">
        <v>0</v>
      </c>
      <c r="N290" t="n">
        <v>0</v>
      </c>
      <c r="O290" t="n">
        <v>0</v>
      </c>
      <c r="P290" t="n">
        <v>0</v>
      </c>
      <c r="Q290" t="n">
        <v>0</v>
      </c>
      <c r="R290" s="2" t="inlineStr"/>
    </row>
    <row r="291" ht="15" customHeight="1">
      <c r="A291" t="inlineStr">
        <is>
          <t>A 46405-2025</t>
        </is>
      </c>
      <c r="B291" s="1" t="n">
        <v>45925.56306712963</v>
      </c>
      <c r="C291" s="1" t="n">
        <v>45939</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1443-2024</t>
        </is>
      </c>
      <c r="B292" s="1" t="n">
        <v>45303</v>
      </c>
      <c r="C292" s="1" t="n">
        <v>45939</v>
      </c>
      <c r="D292" t="inlineStr">
        <is>
          <t>DALARNAS LÄN</t>
        </is>
      </c>
      <c r="E292" t="inlineStr">
        <is>
          <t>LEKSAND</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1457-2024</t>
        </is>
      </c>
      <c r="B293" s="1" t="n">
        <v>45303</v>
      </c>
      <c r="C293" s="1" t="n">
        <v>45939</v>
      </c>
      <c r="D293" t="inlineStr">
        <is>
          <t>DALARNAS LÄN</t>
        </is>
      </c>
      <c r="E293" t="inlineStr">
        <is>
          <t>LEKSAND</t>
        </is>
      </c>
      <c r="G293" t="n">
        <v>4.4</v>
      </c>
      <c r="H293" t="n">
        <v>0</v>
      </c>
      <c r="I293" t="n">
        <v>0</v>
      </c>
      <c r="J293" t="n">
        <v>0</v>
      </c>
      <c r="K293" t="n">
        <v>0</v>
      </c>
      <c r="L293" t="n">
        <v>0</v>
      </c>
      <c r="M293" t="n">
        <v>0</v>
      </c>
      <c r="N293" t="n">
        <v>0</v>
      </c>
      <c r="O293" t="n">
        <v>0</v>
      </c>
      <c r="P293" t="n">
        <v>0</v>
      </c>
      <c r="Q293" t="n">
        <v>0</v>
      </c>
      <c r="R293" s="2" t="inlineStr"/>
    </row>
    <row r="294" ht="15" customHeight="1">
      <c r="A294" t="inlineStr">
        <is>
          <t>A 1215-2024</t>
        </is>
      </c>
      <c r="B294" s="1" t="n">
        <v>45302</v>
      </c>
      <c r="C294" s="1" t="n">
        <v>45939</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7653-2025</t>
        </is>
      </c>
      <c r="B295" s="1" t="n">
        <v>45705.95238425926</v>
      </c>
      <c r="C295" s="1" t="n">
        <v>45939</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53464-2024</t>
        </is>
      </c>
      <c r="B296" s="1" t="n">
        <v>45611</v>
      </c>
      <c r="C296" s="1" t="n">
        <v>45939</v>
      </c>
      <c r="D296" t="inlineStr">
        <is>
          <t>DALARNAS LÄN</t>
        </is>
      </c>
      <c r="E296" t="inlineStr">
        <is>
          <t>LEKSAND</t>
        </is>
      </c>
      <c r="G296" t="n">
        <v>1.7</v>
      </c>
      <c r="H296" t="n">
        <v>0</v>
      </c>
      <c r="I296" t="n">
        <v>0</v>
      </c>
      <c r="J296" t="n">
        <v>0</v>
      </c>
      <c r="K296" t="n">
        <v>0</v>
      </c>
      <c r="L296" t="n">
        <v>0</v>
      </c>
      <c r="M296" t="n">
        <v>0</v>
      </c>
      <c r="N296" t="n">
        <v>0</v>
      </c>
      <c r="O296" t="n">
        <v>0</v>
      </c>
      <c r="P296" t="n">
        <v>0</v>
      </c>
      <c r="Q296" t="n">
        <v>0</v>
      </c>
      <c r="R296" s="2" t="inlineStr"/>
    </row>
    <row r="297" ht="15" customHeight="1">
      <c r="A297" t="inlineStr">
        <is>
          <t>A 41853-2023</t>
        </is>
      </c>
      <c r="B297" s="1" t="n">
        <v>45176.62483796296</v>
      </c>
      <c r="C297" s="1" t="n">
        <v>45939</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56330-2022</t>
        </is>
      </c>
      <c r="B298" s="1" t="n">
        <v>44890.62630787037</v>
      </c>
      <c r="C298" s="1" t="n">
        <v>45939</v>
      </c>
      <c r="D298" t="inlineStr">
        <is>
          <t>DALARNAS LÄN</t>
        </is>
      </c>
      <c r="E298" t="inlineStr">
        <is>
          <t>LEKSAND</t>
        </is>
      </c>
      <c r="G298" t="n">
        <v>4.9</v>
      </c>
      <c r="H298" t="n">
        <v>0</v>
      </c>
      <c r="I298" t="n">
        <v>0</v>
      </c>
      <c r="J298" t="n">
        <v>0</v>
      </c>
      <c r="K298" t="n">
        <v>0</v>
      </c>
      <c r="L298" t="n">
        <v>0</v>
      </c>
      <c r="M298" t="n">
        <v>0</v>
      </c>
      <c r="N298" t="n">
        <v>0</v>
      </c>
      <c r="O298" t="n">
        <v>0</v>
      </c>
      <c r="P298" t="n">
        <v>0</v>
      </c>
      <c r="Q298" t="n">
        <v>0</v>
      </c>
      <c r="R298" s="2" t="inlineStr"/>
    </row>
    <row r="299" ht="15" customHeight="1">
      <c r="A299" t="inlineStr">
        <is>
          <t>A 2140-2024</t>
        </is>
      </c>
      <c r="B299" s="1" t="n">
        <v>45309</v>
      </c>
      <c r="C299" s="1" t="n">
        <v>45939</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62116-2024</t>
        </is>
      </c>
      <c r="B300" s="1" t="n">
        <v>45646</v>
      </c>
      <c r="C300" s="1" t="n">
        <v>45939</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2694-2025</t>
        </is>
      </c>
      <c r="B301" s="1" t="n">
        <v>45677.38246527778</v>
      </c>
      <c r="C301" s="1" t="n">
        <v>45939</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18176-2024</t>
        </is>
      </c>
      <c r="B302" s="1" t="n">
        <v>45420.63901620371</v>
      </c>
      <c r="C302" s="1" t="n">
        <v>45939</v>
      </c>
      <c r="D302" t="inlineStr">
        <is>
          <t>DALARNAS LÄN</t>
        </is>
      </c>
      <c r="E302" t="inlineStr">
        <is>
          <t>LEKSAND</t>
        </is>
      </c>
      <c r="F302" t="inlineStr">
        <is>
          <t>Bergvik skog väst AB</t>
        </is>
      </c>
      <c r="G302" t="n">
        <v>0.9</v>
      </c>
      <c r="H302" t="n">
        <v>0</v>
      </c>
      <c r="I302" t="n">
        <v>0</v>
      </c>
      <c r="J302" t="n">
        <v>0</v>
      </c>
      <c r="K302" t="n">
        <v>0</v>
      </c>
      <c r="L302" t="n">
        <v>0</v>
      </c>
      <c r="M302" t="n">
        <v>0</v>
      </c>
      <c r="N302" t="n">
        <v>0</v>
      </c>
      <c r="O302" t="n">
        <v>0</v>
      </c>
      <c r="P302" t="n">
        <v>0</v>
      </c>
      <c r="Q302" t="n">
        <v>0</v>
      </c>
      <c r="R302" s="2" t="inlineStr"/>
    </row>
    <row r="303" ht="15" customHeight="1">
      <c r="A303" t="inlineStr">
        <is>
          <t>A 55268-2024</t>
        </is>
      </c>
      <c r="B303" s="1" t="n">
        <v>45621.61266203703</v>
      </c>
      <c r="C303" s="1" t="n">
        <v>45939</v>
      </c>
      <c r="D303" t="inlineStr">
        <is>
          <t>DALARNAS LÄN</t>
        </is>
      </c>
      <c r="E303" t="inlineStr">
        <is>
          <t>LEKSAND</t>
        </is>
      </c>
      <c r="G303" t="n">
        <v>4.2</v>
      </c>
      <c r="H303" t="n">
        <v>0</v>
      </c>
      <c r="I303" t="n">
        <v>0</v>
      </c>
      <c r="J303" t="n">
        <v>0</v>
      </c>
      <c r="K303" t="n">
        <v>0</v>
      </c>
      <c r="L303" t="n">
        <v>0</v>
      </c>
      <c r="M303" t="n">
        <v>0</v>
      </c>
      <c r="N303" t="n">
        <v>0</v>
      </c>
      <c r="O303" t="n">
        <v>0</v>
      </c>
      <c r="P303" t="n">
        <v>0</v>
      </c>
      <c r="Q303" t="n">
        <v>0</v>
      </c>
      <c r="R303" s="2" t="inlineStr"/>
    </row>
    <row r="304" ht="15" customHeight="1">
      <c r="A304" t="inlineStr">
        <is>
          <t>A 15986-2025</t>
        </is>
      </c>
      <c r="B304" s="1" t="n">
        <v>45749.57331018519</v>
      </c>
      <c r="C304" s="1" t="n">
        <v>45939</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62130-2024</t>
        </is>
      </c>
      <c r="B305" s="1" t="n">
        <v>45656.61827546296</v>
      </c>
      <c r="C305" s="1" t="n">
        <v>45939</v>
      </c>
      <c r="D305" t="inlineStr">
        <is>
          <t>DALARNAS LÄN</t>
        </is>
      </c>
      <c r="E305" t="inlineStr">
        <is>
          <t>LEKSAND</t>
        </is>
      </c>
      <c r="G305" t="n">
        <v>11.4</v>
      </c>
      <c r="H305" t="n">
        <v>0</v>
      </c>
      <c r="I305" t="n">
        <v>0</v>
      </c>
      <c r="J305" t="n">
        <v>0</v>
      </c>
      <c r="K305" t="n">
        <v>0</v>
      </c>
      <c r="L305" t="n">
        <v>0</v>
      </c>
      <c r="M305" t="n">
        <v>0</v>
      </c>
      <c r="N305" t="n">
        <v>0</v>
      </c>
      <c r="O305" t="n">
        <v>0</v>
      </c>
      <c r="P305" t="n">
        <v>0</v>
      </c>
      <c r="Q305" t="n">
        <v>0</v>
      </c>
      <c r="R305" s="2" t="inlineStr"/>
    </row>
    <row r="306" ht="15" customHeight="1">
      <c r="A306" t="inlineStr">
        <is>
          <t>A 62295-2023</t>
        </is>
      </c>
      <c r="B306" s="1" t="n">
        <v>45267</v>
      </c>
      <c r="C306" s="1" t="n">
        <v>45939</v>
      </c>
      <c r="D306" t="inlineStr">
        <is>
          <t>DALARNAS LÄN</t>
        </is>
      </c>
      <c r="E306" t="inlineStr">
        <is>
          <t>LEKSAND</t>
        </is>
      </c>
      <c r="G306" t="n">
        <v>2.5</v>
      </c>
      <c r="H306" t="n">
        <v>0</v>
      </c>
      <c r="I306" t="n">
        <v>0</v>
      </c>
      <c r="J306" t="n">
        <v>0</v>
      </c>
      <c r="K306" t="n">
        <v>0</v>
      </c>
      <c r="L306" t="n">
        <v>0</v>
      </c>
      <c r="M306" t="n">
        <v>0</v>
      </c>
      <c r="N306" t="n">
        <v>0</v>
      </c>
      <c r="O306" t="n">
        <v>0</v>
      </c>
      <c r="P306" t="n">
        <v>0</v>
      </c>
      <c r="Q306" t="n">
        <v>0</v>
      </c>
      <c r="R306" s="2" t="inlineStr"/>
    </row>
    <row r="307" ht="15" customHeight="1">
      <c r="A307" t="inlineStr">
        <is>
          <t>A 30998-2023</t>
        </is>
      </c>
      <c r="B307" s="1" t="n">
        <v>45113.54193287037</v>
      </c>
      <c r="C307" s="1" t="n">
        <v>45939</v>
      </c>
      <c r="D307" t="inlineStr">
        <is>
          <t>DALARNAS LÄN</t>
        </is>
      </c>
      <c r="E307" t="inlineStr">
        <is>
          <t>LEKSAND</t>
        </is>
      </c>
      <c r="G307" t="n">
        <v>0.5</v>
      </c>
      <c r="H307" t="n">
        <v>0</v>
      </c>
      <c r="I307" t="n">
        <v>0</v>
      </c>
      <c r="J307" t="n">
        <v>0</v>
      </c>
      <c r="K307" t="n">
        <v>0</v>
      </c>
      <c r="L307" t="n">
        <v>0</v>
      </c>
      <c r="M307" t="n">
        <v>0</v>
      </c>
      <c r="N307" t="n">
        <v>0</v>
      </c>
      <c r="O307" t="n">
        <v>0</v>
      </c>
      <c r="P307" t="n">
        <v>0</v>
      </c>
      <c r="Q307" t="n">
        <v>0</v>
      </c>
      <c r="R307" s="2" t="inlineStr"/>
    </row>
    <row r="308" ht="15" customHeight="1">
      <c r="A308" t="inlineStr">
        <is>
          <t>A 10771-2024</t>
        </is>
      </c>
      <c r="B308" s="1" t="n">
        <v>45369.57342592593</v>
      </c>
      <c r="C308" s="1" t="n">
        <v>45939</v>
      </c>
      <c r="D308" t="inlineStr">
        <is>
          <t>DALARNAS LÄN</t>
        </is>
      </c>
      <c r="E308" t="inlineStr">
        <is>
          <t>LEKSAND</t>
        </is>
      </c>
      <c r="G308" t="n">
        <v>0.4</v>
      </c>
      <c r="H308" t="n">
        <v>0</v>
      </c>
      <c r="I308" t="n">
        <v>0</v>
      </c>
      <c r="J308" t="n">
        <v>0</v>
      </c>
      <c r="K308" t="n">
        <v>0</v>
      </c>
      <c r="L308" t="n">
        <v>0</v>
      </c>
      <c r="M308" t="n">
        <v>0</v>
      </c>
      <c r="N308" t="n">
        <v>0</v>
      </c>
      <c r="O308" t="n">
        <v>0</v>
      </c>
      <c r="P308" t="n">
        <v>0</v>
      </c>
      <c r="Q308" t="n">
        <v>0</v>
      </c>
      <c r="R308" s="2" t="inlineStr"/>
    </row>
    <row r="309" ht="15" customHeight="1">
      <c r="A309" t="inlineStr">
        <is>
          <t>A 28032-2024</t>
        </is>
      </c>
      <c r="B309" s="1" t="n">
        <v>45476.49346064815</v>
      </c>
      <c r="C309" s="1" t="n">
        <v>45939</v>
      </c>
      <c r="D309" t="inlineStr">
        <is>
          <t>DALARNAS LÄN</t>
        </is>
      </c>
      <c r="E309" t="inlineStr">
        <is>
          <t>LEKSAND</t>
        </is>
      </c>
      <c r="G309" t="n">
        <v>2</v>
      </c>
      <c r="H309" t="n">
        <v>0</v>
      </c>
      <c r="I309" t="n">
        <v>0</v>
      </c>
      <c r="J309" t="n">
        <v>0</v>
      </c>
      <c r="K309" t="n">
        <v>0</v>
      </c>
      <c r="L309" t="n">
        <v>0</v>
      </c>
      <c r="M309" t="n">
        <v>0</v>
      </c>
      <c r="N309" t="n">
        <v>0</v>
      </c>
      <c r="O309" t="n">
        <v>0</v>
      </c>
      <c r="P309" t="n">
        <v>0</v>
      </c>
      <c r="Q309" t="n">
        <v>0</v>
      </c>
      <c r="R309" s="2" t="inlineStr"/>
    </row>
    <row r="310" ht="15" customHeight="1">
      <c r="A310" t="inlineStr">
        <is>
          <t>A 19550-2023</t>
        </is>
      </c>
      <c r="B310" s="1" t="n">
        <v>45049</v>
      </c>
      <c r="C310" s="1" t="n">
        <v>45939</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6519-2025</t>
        </is>
      </c>
      <c r="B311" s="1" t="n">
        <v>45699</v>
      </c>
      <c r="C311" s="1" t="n">
        <v>45939</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33593-2024</t>
        </is>
      </c>
      <c r="B312" s="1" t="n">
        <v>45520.36055555556</v>
      </c>
      <c r="C312" s="1" t="n">
        <v>45939</v>
      </c>
      <c r="D312" t="inlineStr">
        <is>
          <t>DALARNAS LÄN</t>
        </is>
      </c>
      <c r="E312" t="inlineStr">
        <is>
          <t>LEKSAND</t>
        </is>
      </c>
      <c r="G312" t="n">
        <v>0.3</v>
      </c>
      <c r="H312" t="n">
        <v>0</v>
      </c>
      <c r="I312" t="n">
        <v>0</v>
      </c>
      <c r="J312" t="n">
        <v>0</v>
      </c>
      <c r="K312" t="n">
        <v>0</v>
      </c>
      <c r="L312" t="n">
        <v>0</v>
      </c>
      <c r="M312" t="n">
        <v>0</v>
      </c>
      <c r="N312" t="n">
        <v>0</v>
      </c>
      <c r="O312" t="n">
        <v>0</v>
      </c>
      <c r="P312" t="n">
        <v>0</v>
      </c>
      <c r="Q312" t="n">
        <v>0</v>
      </c>
      <c r="R312" s="2" t="inlineStr"/>
    </row>
    <row r="313" ht="15" customHeight="1">
      <c r="A313" t="inlineStr">
        <is>
          <t>A 9143-2023</t>
        </is>
      </c>
      <c r="B313" s="1" t="n">
        <v>44974</v>
      </c>
      <c r="C313" s="1" t="n">
        <v>45939</v>
      </c>
      <c r="D313" t="inlineStr">
        <is>
          <t>DALARNAS LÄN</t>
        </is>
      </c>
      <c r="E313" t="inlineStr">
        <is>
          <t>LEKSAND</t>
        </is>
      </c>
      <c r="G313" t="n">
        <v>4.3</v>
      </c>
      <c r="H313" t="n">
        <v>0</v>
      </c>
      <c r="I313" t="n">
        <v>0</v>
      </c>
      <c r="J313" t="n">
        <v>0</v>
      </c>
      <c r="K313" t="n">
        <v>0</v>
      </c>
      <c r="L313" t="n">
        <v>0</v>
      </c>
      <c r="M313" t="n">
        <v>0</v>
      </c>
      <c r="N313" t="n">
        <v>0</v>
      </c>
      <c r="O313" t="n">
        <v>0</v>
      </c>
      <c r="P313" t="n">
        <v>0</v>
      </c>
      <c r="Q313" t="n">
        <v>0</v>
      </c>
      <c r="R313" s="2" t="inlineStr"/>
    </row>
    <row r="314" ht="15" customHeight="1">
      <c r="A314" t="inlineStr">
        <is>
          <t>A 47203-2023</t>
        </is>
      </c>
      <c r="B314" s="1" t="n">
        <v>45202</v>
      </c>
      <c r="C314" s="1" t="n">
        <v>45939</v>
      </c>
      <c r="D314" t="inlineStr">
        <is>
          <t>DALARNAS LÄN</t>
        </is>
      </c>
      <c r="E314" t="inlineStr">
        <is>
          <t>LEKSAND</t>
        </is>
      </c>
      <c r="G314" t="n">
        <v>2.1</v>
      </c>
      <c r="H314" t="n">
        <v>0</v>
      </c>
      <c r="I314" t="n">
        <v>0</v>
      </c>
      <c r="J314" t="n">
        <v>0</v>
      </c>
      <c r="K314" t="n">
        <v>0</v>
      </c>
      <c r="L314" t="n">
        <v>0</v>
      </c>
      <c r="M314" t="n">
        <v>0</v>
      </c>
      <c r="N314" t="n">
        <v>0</v>
      </c>
      <c r="O314" t="n">
        <v>0</v>
      </c>
      <c r="P314" t="n">
        <v>0</v>
      </c>
      <c r="Q314" t="n">
        <v>0</v>
      </c>
      <c r="R314" s="2" t="inlineStr"/>
    </row>
    <row r="315" ht="15" customHeight="1">
      <c r="A315" t="inlineStr">
        <is>
          <t>A 9105-2024</t>
        </is>
      </c>
      <c r="B315" s="1" t="n">
        <v>45357</v>
      </c>
      <c r="C315" s="1" t="n">
        <v>45939</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50447-2023</t>
        </is>
      </c>
      <c r="B316" s="1" t="n">
        <v>45216.72185185185</v>
      </c>
      <c r="C316" s="1" t="n">
        <v>45939</v>
      </c>
      <c r="D316" t="inlineStr">
        <is>
          <t>DALARNAS LÄN</t>
        </is>
      </c>
      <c r="E316" t="inlineStr">
        <is>
          <t>LEKSAND</t>
        </is>
      </c>
      <c r="G316" t="n">
        <v>1.1</v>
      </c>
      <c r="H316" t="n">
        <v>0</v>
      </c>
      <c r="I316" t="n">
        <v>0</v>
      </c>
      <c r="J316" t="n">
        <v>0</v>
      </c>
      <c r="K316" t="n">
        <v>0</v>
      </c>
      <c r="L316" t="n">
        <v>0</v>
      </c>
      <c r="M316" t="n">
        <v>0</v>
      </c>
      <c r="N316" t="n">
        <v>0</v>
      </c>
      <c r="O316" t="n">
        <v>0</v>
      </c>
      <c r="P316" t="n">
        <v>0</v>
      </c>
      <c r="Q316" t="n">
        <v>0</v>
      </c>
      <c r="R316" s="2" t="inlineStr"/>
    </row>
    <row r="317" ht="15" customHeight="1">
      <c r="A317" t="inlineStr">
        <is>
          <t>A 60945-2024</t>
        </is>
      </c>
      <c r="B317" s="1" t="n">
        <v>45645.37893518519</v>
      </c>
      <c r="C317" s="1" t="n">
        <v>45939</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61787-2022</t>
        </is>
      </c>
      <c r="B318" s="1" t="n">
        <v>44917</v>
      </c>
      <c r="C318" s="1" t="n">
        <v>45939</v>
      </c>
      <c r="D318" t="inlineStr">
        <is>
          <t>DALARNAS LÄN</t>
        </is>
      </c>
      <c r="E318" t="inlineStr">
        <is>
          <t>LEKSAND</t>
        </is>
      </c>
      <c r="G318" t="n">
        <v>1</v>
      </c>
      <c r="H318" t="n">
        <v>0</v>
      </c>
      <c r="I318" t="n">
        <v>0</v>
      </c>
      <c r="J318" t="n">
        <v>0</v>
      </c>
      <c r="K318" t="n">
        <v>0</v>
      </c>
      <c r="L318" t="n">
        <v>0</v>
      </c>
      <c r="M318" t="n">
        <v>0</v>
      </c>
      <c r="N318" t="n">
        <v>0</v>
      </c>
      <c r="O318" t="n">
        <v>0</v>
      </c>
      <c r="P318" t="n">
        <v>0</v>
      </c>
      <c r="Q318" t="n">
        <v>0</v>
      </c>
      <c r="R318" s="2" t="inlineStr"/>
    </row>
    <row r="319" ht="15" customHeight="1">
      <c r="A319" t="inlineStr">
        <is>
          <t>A 36262-2023</t>
        </is>
      </c>
      <c r="B319" s="1" t="n">
        <v>45151.9096875</v>
      </c>
      <c r="C319" s="1" t="n">
        <v>45939</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28913-2024</t>
        </is>
      </c>
      <c r="B320" s="1" t="n">
        <v>45480.75318287037</v>
      </c>
      <c r="C320" s="1" t="n">
        <v>45939</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39921-2024</t>
        </is>
      </c>
      <c r="B321" s="1" t="n">
        <v>45553</v>
      </c>
      <c r="C321" s="1" t="n">
        <v>45939</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41015-2024</t>
        </is>
      </c>
      <c r="B322" s="1" t="n">
        <v>45559.32537037037</v>
      </c>
      <c r="C322" s="1" t="n">
        <v>45939</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60095-2022</t>
        </is>
      </c>
      <c r="B323" s="1" t="n">
        <v>44909</v>
      </c>
      <c r="C323" s="1" t="n">
        <v>45939</v>
      </c>
      <c r="D323" t="inlineStr">
        <is>
          <t>DALARNAS LÄN</t>
        </is>
      </c>
      <c r="E323" t="inlineStr">
        <is>
          <t>LEKSAND</t>
        </is>
      </c>
      <c r="G323" t="n">
        <v>2.4</v>
      </c>
      <c r="H323" t="n">
        <v>0</v>
      </c>
      <c r="I323" t="n">
        <v>0</v>
      </c>
      <c r="J323" t="n">
        <v>0</v>
      </c>
      <c r="K323" t="n">
        <v>0</v>
      </c>
      <c r="L323" t="n">
        <v>0</v>
      </c>
      <c r="M323" t="n">
        <v>0</v>
      </c>
      <c r="N323" t="n">
        <v>0</v>
      </c>
      <c r="O323" t="n">
        <v>0</v>
      </c>
      <c r="P323" t="n">
        <v>0</v>
      </c>
      <c r="Q323" t="n">
        <v>0</v>
      </c>
      <c r="R323" s="2" t="inlineStr"/>
    </row>
    <row r="324" ht="15" customHeight="1">
      <c r="A324" t="inlineStr">
        <is>
          <t>A 6050-2023</t>
        </is>
      </c>
      <c r="B324" s="1" t="n">
        <v>44959</v>
      </c>
      <c r="C324" s="1" t="n">
        <v>45939</v>
      </c>
      <c r="D324" t="inlineStr">
        <is>
          <t>DALARNAS LÄN</t>
        </is>
      </c>
      <c r="E324" t="inlineStr">
        <is>
          <t>LEKSAND</t>
        </is>
      </c>
      <c r="G324" t="n">
        <v>6.2</v>
      </c>
      <c r="H324" t="n">
        <v>0</v>
      </c>
      <c r="I324" t="n">
        <v>0</v>
      </c>
      <c r="J324" t="n">
        <v>0</v>
      </c>
      <c r="K324" t="n">
        <v>0</v>
      </c>
      <c r="L324" t="n">
        <v>0</v>
      </c>
      <c r="M324" t="n">
        <v>0</v>
      </c>
      <c r="N324" t="n">
        <v>0</v>
      </c>
      <c r="O324" t="n">
        <v>0</v>
      </c>
      <c r="P324" t="n">
        <v>0</v>
      </c>
      <c r="Q324" t="n">
        <v>0</v>
      </c>
      <c r="R324" s="2" t="inlineStr"/>
    </row>
    <row r="325" ht="15" customHeight="1">
      <c r="A325" t="inlineStr">
        <is>
          <t>A 46834-2023</t>
        </is>
      </c>
      <c r="B325" s="1" t="n">
        <v>45199.35668981481</v>
      </c>
      <c r="C325" s="1" t="n">
        <v>45939</v>
      </c>
      <c r="D325" t="inlineStr">
        <is>
          <t>DALARNAS LÄN</t>
        </is>
      </c>
      <c r="E325" t="inlineStr">
        <is>
          <t>LEKSAND</t>
        </is>
      </c>
      <c r="G325" t="n">
        <v>16.3</v>
      </c>
      <c r="H325" t="n">
        <v>0</v>
      </c>
      <c r="I325" t="n">
        <v>0</v>
      </c>
      <c r="J325" t="n">
        <v>0</v>
      </c>
      <c r="K325" t="n">
        <v>0</v>
      </c>
      <c r="L325" t="n">
        <v>0</v>
      </c>
      <c r="M325" t="n">
        <v>0</v>
      </c>
      <c r="N325" t="n">
        <v>0</v>
      </c>
      <c r="O325" t="n">
        <v>0</v>
      </c>
      <c r="P325" t="n">
        <v>0</v>
      </c>
      <c r="Q325" t="n">
        <v>0</v>
      </c>
      <c r="R325" s="2" t="inlineStr"/>
    </row>
    <row r="326" ht="15" customHeight="1">
      <c r="A326" t="inlineStr">
        <is>
          <t>A 27791-2023</t>
        </is>
      </c>
      <c r="B326" s="1" t="n">
        <v>45098</v>
      </c>
      <c r="C326" s="1" t="n">
        <v>45939</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1983-2025</t>
        </is>
      </c>
      <c r="B327" s="1" t="n">
        <v>45670</v>
      </c>
      <c r="C327" s="1" t="n">
        <v>45939</v>
      </c>
      <c r="D327" t="inlineStr">
        <is>
          <t>DALARNAS LÄN</t>
        </is>
      </c>
      <c r="E327" t="inlineStr">
        <is>
          <t>LEKSAND</t>
        </is>
      </c>
      <c r="G327" t="n">
        <v>1.5</v>
      </c>
      <c r="H327" t="n">
        <v>0</v>
      </c>
      <c r="I327" t="n">
        <v>0</v>
      </c>
      <c r="J327" t="n">
        <v>0</v>
      </c>
      <c r="K327" t="n">
        <v>0</v>
      </c>
      <c r="L327" t="n">
        <v>0</v>
      </c>
      <c r="M327" t="n">
        <v>0</v>
      </c>
      <c r="N327" t="n">
        <v>0</v>
      </c>
      <c r="O327" t="n">
        <v>0</v>
      </c>
      <c r="P327" t="n">
        <v>0</v>
      </c>
      <c r="Q327" t="n">
        <v>0</v>
      </c>
      <c r="R327" s="2" t="inlineStr"/>
    </row>
    <row r="328" ht="15" customHeight="1">
      <c r="A328" t="inlineStr">
        <is>
          <t>A 21402-2023</t>
        </is>
      </c>
      <c r="B328" s="1" t="n">
        <v>45061</v>
      </c>
      <c r="C328" s="1" t="n">
        <v>45939</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38117-2023</t>
        </is>
      </c>
      <c r="B329" s="1" t="n">
        <v>45161</v>
      </c>
      <c r="C329" s="1" t="n">
        <v>45939</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11418-2023</t>
        </is>
      </c>
      <c r="B330" s="1" t="n">
        <v>44993</v>
      </c>
      <c r="C330" s="1" t="n">
        <v>45939</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43142-2024</t>
        </is>
      </c>
      <c r="B331" s="1" t="n">
        <v>45567.62144675926</v>
      </c>
      <c r="C331" s="1" t="n">
        <v>45939</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14504-2025</t>
        </is>
      </c>
      <c r="B332" s="1" t="n">
        <v>45741</v>
      </c>
      <c r="C332" s="1" t="n">
        <v>45939</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40007-2024</t>
        </is>
      </c>
      <c r="B333" s="1" t="n">
        <v>45553.6516550926</v>
      </c>
      <c r="C333" s="1" t="n">
        <v>45939</v>
      </c>
      <c r="D333" t="inlineStr">
        <is>
          <t>DALARNAS LÄN</t>
        </is>
      </c>
      <c r="E333" t="inlineStr">
        <is>
          <t>LEKSAND</t>
        </is>
      </c>
      <c r="F333" t="inlineStr">
        <is>
          <t>Bergvik skog väst AB</t>
        </is>
      </c>
      <c r="G333" t="n">
        <v>3.2</v>
      </c>
      <c r="H333" t="n">
        <v>0</v>
      </c>
      <c r="I333" t="n">
        <v>0</v>
      </c>
      <c r="J333" t="n">
        <v>0</v>
      </c>
      <c r="K333" t="n">
        <v>0</v>
      </c>
      <c r="L333" t="n">
        <v>0</v>
      </c>
      <c r="M333" t="n">
        <v>0</v>
      </c>
      <c r="N333" t="n">
        <v>0</v>
      </c>
      <c r="O333" t="n">
        <v>0</v>
      </c>
      <c r="P333" t="n">
        <v>0</v>
      </c>
      <c r="Q333" t="n">
        <v>0</v>
      </c>
      <c r="R333" s="2" t="inlineStr"/>
    </row>
    <row r="334" ht="15" customHeight="1">
      <c r="A334" t="inlineStr">
        <is>
          <t>A 2311-2021</t>
        </is>
      </c>
      <c r="B334" s="1" t="n">
        <v>44213</v>
      </c>
      <c r="C334" s="1" t="n">
        <v>45939</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45939</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47673-2023</t>
        </is>
      </c>
      <c r="B336" s="1" t="n">
        <v>45203</v>
      </c>
      <c r="C336" s="1" t="n">
        <v>45939</v>
      </c>
      <c r="D336" t="inlineStr">
        <is>
          <t>DALARNAS LÄN</t>
        </is>
      </c>
      <c r="E336" t="inlineStr">
        <is>
          <t>LEKSAND</t>
        </is>
      </c>
      <c r="G336" t="n">
        <v>2</v>
      </c>
      <c r="H336" t="n">
        <v>0</v>
      </c>
      <c r="I336" t="n">
        <v>0</v>
      </c>
      <c r="J336" t="n">
        <v>0</v>
      </c>
      <c r="K336" t="n">
        <v>0</v>
      </c>
      <c r="L336" t="n">
        <v>0</v>
      </c>
      <c r="M336" t="n">
        <v>0</v>
      </c>
      <c r="N336" t="n">
        <v>0</v>
      </c>
      <c r="O336" t="n">
        <v>0</v>
      </c>
      <c r="P336" t="n">
        <v>0</v>
      </c>
      <c r="Q336" t="n">
        <v>0</v>
      </c>
      <c r="R336" s="2" t="inlineStr"/>
    </row>
    <row r="337" ht="15" customHeight="1">
      <c r="A337" t="inlineStr">
        <is>
          <t>A 13165-2023</t>
        </is>
      </c>
      <c r="B337" s="1" t="n">
        <v>45002.57731481481</v>
      </c>
      <c r="C337" s="1" t="n">
        <v>45939</v>
      </c>
      <c r="D337" t="inlineStr">
        <is>
          <t>DALARNAS LÄN</t>
        </is>
      </c>
      <c r="E337" t="inlineStr">
        <is>
          <t>LEKSAND</t>
        </is>
      </c>
      <c r="G337" t="n">
        <v>2.4</v>
      </c>
      <c r="H337" t="n">
        <v>0</v>
      </c>
      <c r="I337" t="n">
        <v>0</v>
      </c>
      <c r="J337" t="n">
        <v>0</v>
      </c>
      <c r="K337" t="n">
        <v>0</v>
      </c>
      <c r="L337" t="n">
        <v>0</v>
      </c>
      <c r="M337" t="n">
        <v>0</v>
      </c>
      <c r="N337" t="n">
        <v>0</v>
      </c>
      <c r="O337" t="n">
        <v>0</v>
      </c>
      <c r="P337" t="n">
        <v>0</v>
      </c>
      <c r="Q337" t="n">
        <v>0</v>
      </c>
      <c r="R337" s="2" t="inlineStr"/>
    </row>
    <row r="338" ht="15" customHeight="1">
      <c r="A338" t="inlineStr">
        <is>
          <t>A 7467-2023</t>
        </is>
      </c>
      <c r="B338" s="1" t="n">
        <v>44966</v>
      </c>
      <c r="C338" s="1" t="n">
        <v>45939</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45788-2021</t>
        </is>
      </c>
      <c r="B339" s="1" t="n">
        <v>44441</v>
      </c>
      <c r="C339" s="1" t="n">
        <v>45939</v>
      </c>
      <c r="D339" t="inlineStr">
        <is>
          <t>DALARNAS LÄN</t>
        </is>
      </c>
      <c r="E339" t="inlineStr">
        <is>
          <t>LEKSAND</t>
        </is>
      </c>
      <c r="G339" t="n">
        <v>3</v>
      </c>
      <c r="H339" t="n">
        <v>0</v>
      </c>
      <c r="I339" t="n">
        <v>0</v>
      </c>
      <c r="J339" t="n">
        <v>0</v>
      </c>
      <c r="K339" t="n">
        <v>0</v>
      </c>
      <c r="L339" t="n">
        <v>0</v>
      </c>
      <c r="M339" t="n">
        <v>0</v>
      </c>
      <c r="N339" t="n">
        <v>0</v>
      </c>
      <c r="O339" t="n">
        <v>0</v>
      </c>
      <c r="P339" t="n">
        <v>0</v>
      </c>
      <c r="Q339" t="n">
        <v>0</v>
      </c>
      <c r="R339" s="2" t="inlineStr"/>
    </row>
    <row r="340" ht="15" customHeight="1">
      <c r="A340" t="inlineStr">
        <is>
          <t>A 39558-2023</t>
        </is>
      </c>
      <c r="B340" s="1" t="n">
        <v>45167.38664351852</v>
      </c>
      <c r="C340" s="1" t="n">
        <v>45939</v>
      </c>
      <c r="D340" t="inlineStr">
        <is>
          <t>DALARNAS LÄN</t>
        </is>
      </c>
      <c r="E340" t="inlineStr">
        <is>
          <t>LEKSAND</t>
        </is>
      </c>
      <c r="G340" t="n">
        <v>39.9</v>
      </c>
      <c r="H340" t="n">
        <v>0</v>
      </c>
      <c r="I340" t="n">
        <v>0</v>
      </c>
      <c r="J340" t="n">
        <v>0</v>
      </c>
      <c r="K340" t="n">
        <v>0</v>
      </c>
      <c r="L340" t="n">
        <v>0</v>
      </c>
      <c r="M340" t="n">
        <v>0</v>
      </c>
      <c r="N340" t="n">
        <v>0</v>
      </c>
      <c r="O340" t="n">
        <v>0</v>
      </c>
      <c r="P340" t="n">
        <v>0</v>
      </c>
      <c r="Q340" t="n">
        <v>0</v>
      </c>
      <c r="R340" s="2" t="inlineStr"/>
    </row>
    <row r="341" ht="15" customHeight="1">
      <c r="A341" t="inlineStr">
        <is>
          <t>A 28592-2023</t>
        </is>
      </c>
      <c r="B341" s="1" t="n">
        <v>45103</v>
      </c>
      <c r="C341" s="1" t="n">
        <v>45939</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59718-2023</t>
        </is>
      </c>
      <c r="B342" s="1" t="n">
        <v>45257</v>
      </c>
      <c r="C342" s="1" t="n">
        <v>45939</v>
      </c>
      <c r="D342" t="inlineStr">
        <is>
          <t>DALARNAS LÄN</t>
        </is>
      </c>
      <c r="E342" t="inlineStr">
        <is>
          <t>LEKSAND</t>
        </is>
      </c>
      <c r="G342" t="n">
        <v>2.2</v>
      </c>
      <c r="H342" t="n">
        <v>0</v>
      </c>
      <c r="I342" t="n">
        <v>0</v>
      </c>
      <c r="J342" t="n">
        <v>0</v>
      </c>
      <c r="K342" t="n">
        <v>0</v>
      </c>
      <c r="L342" t="n">
        <v>0</v>
      </c>
      <c r="M342" t="n">
        <v>0</v>
      </c>
      <c r="N342" t="n">
        <v>0</v>
      </c>
      <c r="O342" t="n">
        <v>0</v>
      </c>
      <c r="P342" t="n">
        <v>0</v>
      </c>
      <c r="Q342" t="n">
        <v>0</v>
      </c>
      <c r="R342" s="2" t="inlineStr"/>
    </row>
    <row r="343" ht="15" customHeight="1">
      <c r="A343" t="inlineStr">
        <is>
          <t>A 43222-2024</t>
        </is>
      </c>
      <c r="B343" s="1" t="n">
        <v>45567.87177083334</v>
      </c>
      <c r="C343" s="1" t="n">
        <v>45939</v>
      </c>
      <c r="D343" t="inlineStr">
        <is>
          <t>DALARNAS LÄN</t>
        </is>
      </c>
      <c r="E343" t="inlineStr">
        <is>
          <t>LEKSAND</t>
        </is>
      </c>
      <c r="F343" t="inlineStr">
        <is>
          <t>Bergvik skog väst AB</t>
        </is>
      </c>
      <c r="G343" t="n">
        <v>8.6</v>
      </c>
      <c r="H343" t="n">
        <v>0</v>
      </c>
      <c r="I343" t="n">
        <v>0</v>
      </c>
      <c r="J343" t="n">
        <v>0</v>
      </c>
      <c r="K343" t="n">
        <v>0</v>
      </c>
      <c r="L343" t="n">
        <v>0</v>
      </c>
      <c r="M343" t="n">
        <v>0</v>
      </c>
      <c r="N343" t="n">
        <v>0</v>
      </c>
      <c r="O343" t="n">
        <v>0</v>
      </c>
      <c r="P343" t="n">
        <v>0</v>
      </c>
      <c r="Q343" t="n">
        <v>0</v>
      </c>
      <c r="R343" s="2" t="inlineStr"/>
    </row>
    <row r="344" ht="15" customHeight="1">
      <c r="A344" t="inlineStr">
        <is>
          <t>A 43231-2024</t>
        </is>
      </c>
      <c r="B344" s="1" t="n">
        <v>45567.89709490741</v>
      </c>
      <c r="C344" s="1" t="n">
        <v>45939</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53122-2023</t>
        </is>
      </c>
      <c r="B345" s="1" t="n">
        <v>45228</v>
      </c>
      <c r="C345" s="1" t="n">
        <v>45939</v>
      </c>
      <c r="D345" t="inlineStr">
        <is>
          <t>DALARNAS LÄN</t>
        </is>
      </c>
      <c r="E345" t="inlineStr">
        <is>
          <t>LEKSAND</t>
        </is>
      </c>
      <c r="G345" t="n">
        <v>1.9</v>
      </c>
      <c r="H345" t="n">
        <v>0</v>
      </c>
      <c r="I345" t="n">
        <v>0</v>
      </c>
      <c r="J345" t="n">
        <v>0</v>
      </c>
      <c r="K345" t="n">
        <v>0</v>
      </c>
      <c r="L345" t="n">
        <v>0</v>
      </c>
      <c r="M345" t="n">
        <v>0</v>
      </c>
      <c r="N345" t="n">
        <v>0</v>
      </c>
      <c r="O345" t="n">
        <v>0</v>
      </c>
      <c r="P345" t="n">
        <v>0</v>
      </c>
      <c r="Q345" t="n">
        <v>0</v>
      </c>
      <c r="R345" s="2" t="inlineStr"/>
    </row>
    <row r="346" ht="15" customHeight="1">
      <c r="A346" t="inlineStr">
        <is>
          <t>A 1775-2022</t>
        </is>
      </c>
      <c r="B346" s="1" t="n">
        <v>44574</v>
      </c>
      <c r="C346" s="1" t="n">
        <v>45939</v>
      </c>
      <c r="D346" t="inlineStr">
        <is>
          <t>DALARNAS LÄN</t>
        </is>
      </c>
      <c r="E346" t="inlineStr">
        <is>
          <t>LEKSAND</t>
        </is>
      </c>
      <c r="G346" t="n">
        <v>2</v>
      </c>
      <c r="H346" t="n">
        <v>0</v>
      </c>
      <c r="I346" t="n">
        <v>0</v>
      </c>
      <c r="J346" t="n">
        <v>0</v>
      </c>
      <c r="K346" t="n">
        <v>0</v>
      </c>
      <c r="L346" t="n">
        <v>0</v>
      </c>
      <c r="M346" t="n">
        <v>0</v>
      </c>
      <c r="N346" t="n">
        <v>0</v>
      </c>
      <c r="O346" t="n">
        <v>0</v>
      </c>
      <c r="P346" t="n">
        <v>0</v>
      </c>
      <c r="Q346" t="n">
        <v>0</v>
      </c>
      <c r="R346" s="2" t="inlineStr"/>
    </row>
    <row r="347" ht="15" customHeight="1">
      <c r="A347" t="inlineStr">
        <is>
          <t>A 30994-2023</t>
        </is>
      </c>
      <c r="B347" s="1" t="n">
        <v>45113</v>
      </c>
      <c r="C347" s="1" t="n">
        <v>45939</v>
      </c>
      <c r="D347" t="inlineStr">
        <is>
          <t>DALARNAS LÄN</t>
        </is>
      </c>
      <c r="E347" t="inlineStr">
        <is>
          <t>LEKSAND</t>
        </is>
      </c>
      <c r="G347" t="n">
        <v>1.1</v>
      </c>
      <c r="H347" t="n">
        <v>0</v>
      </c>
      <c r="I347" t="n">
        <v>0</v>
      </c>
      <c r="J347" t="n">
        <v>0</v>
      </c>
      <c r="K347" t="n">
        <v>0</v>
      </c>
      <c r="L347" t="n">
        <v>0</v>
      </c>
      <c r="M347" t="n">
        <v>0</v>
      </c>
      <c r="N347" t="n">
        <v>0</v>
      </c>
      <c r="O347" t="n">
        <v>0</v>
      </c>
      <c r="P347" t="n">
        <v>0</v>
      </c>
      <c r="Q347" t="n">
        <v>0</v>
      </c>
      <c r="R347" s="2" t="inlineStr"/>
    </row>
    <row r="348" ht="15" customHeight="1">
      <c r="A348" t="inlineStr">
        <is>
          <t>A 64516-2023</t>
        </is>
      </c>
      <c r="B348" s="1" t="n">
        <v>45280</v>
      </c>
      <c r="C348" s="1" t="n">
        <v>45939</v>
      </c>
      <c r="D348" t="inlineStr">
        <is>
          <t>DALARNAS LÄN</t>
        </is>
      </c>
      <c r="E348" t="inlineStr">
        <is>
          <t>LEKSAND</t>
        </is>
      </c>
      <c r="G348" t="n">
        <v>4.4</v>
      </c>
      <c r="H348" t="n">
        <v>0</v>
      </c>
      <c r="I348" t="n">
        <v>0</v>
      </c>
      <c r="J348" t="n">
        <v>0</v>
      </c>
      <c r="K348" t="n">
        <v>0</v>
      </c>
      <c r="L348" t="n">
        <v>0</v>
      </c>
      <c r="M348" t="n">
        <v>0</v>
      </c>
      <c r="N348" t="n">
        <v>0</v>
      </c>
      <c r="O348" t="n">
        <v>0</v>
      </c>
      <c r="P348" t="n">
        <v>0</v>
      </c>
      <c r="Q348" t="n">
        <v>0</v>
      </c>
      <c r="R348" s="2" t="inlineStr"/>
    </row>
    <row r="349" ht="15" customHeight="1">
      <c r="A349" t="inlineStr">
        <is>
          <t>A 46483-2025</t>
        </is>
      </c>
      <c r="B349" s="1" t="n">
        <v>45925.70248842592</v>
      </c>
      <c r="C349" s="1" t="n">
        <v>45939</v>
      </c>
      <c r="D349" t="inlineStr">
        <is>
          <t>DALARNAS LÄN</t>
        </is>
      </c>
      <c r="E349" t="inlineStr">
        <is>
          <t>LEKSAND</t>
        </is>
      </c>
      <c r="G349" t="n">
        <v>3.6</v>
      </c>
      <c r="H349" t="n">
        <v>0</v>
      </c>
      <c r="I349" t="n">
        <v>0</v>
      </c>
      <c r="J349" t="n">
        <v>0</v>
      </c>
      <c r="K349" t="n">
        <v>0</v>
      </c>
      <c r="L349" t="n">
        <v>0</v>
      </c>
      <c r="M349" t="n">
        <v>0</v>
      </c>
      <c r="N349" t="n">
        <v>0</v>
      </c>
      <c r="O349" t="n">
        <v>0</v>
      </c>
      <c r="P349" t="n">
        <v>0</v>
      </c>
      <c r="Q349" t="n">
        <v>0</v>
      </c>
      <c r="R349" s="2" t="inlineStr"/>
    </row>
    <row r="350" ht="15" customHeight="1">
      <c r="A350" t="inlineStr">
        <is>
          <t>A 57665-2023</t>
        </is>
      </c>
      <c r="B350" s="1" t="n">
        <v>45246</v>
      </c>
      <c r="C350" s="1" t="n">
        <v>45939</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2630-2025</t>
        </is>
      </c>
      <c r="B351" s="1" t="n">
        <v>45675.85865740741</v>
      </c>
      <c r="C351" s="1" t="n">
        <v>45939</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53799-2023</t>
        </is>
      </c>
      <c r="B352" s="1" t="n">
        <v>45231.35564814815</v>
      </c>
      <c r="C352" s="1" t="n">
        <v>45939</v>
      </c>
      <c r="D352" t="inlineStr">
        <is>
          <t>DALARNAS LÄN</t>
        </is>
      </c>
      <c r="E352" t="inlineStr">
        <is>
          <t>LEKSAND</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51480-2022</t>
        </is>
      </c>
      <c r="B353" s="1" t="n">
        <v>44869.57961805556</v>
      </c>
      <c r="C353" s="1" t="n">
        <v>45939</v>
      </c>
      <c r="D353" t="inlineStr">
        <is>
          <t>DALARNAS LÄN</t>
        </is>
      </c>
      <c r="E353" t="inlineStr">
        <is>
          <t>LEKSAND</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40193-2024</t>
        </is>
      </c>
      <c r="B354" s="1" t="n">
        <v>45554.5734375</v>
      </c>
      <c r="C354" s="1" t="n">
        <v>45939</v>
      </c>
      <c r="D354" t="inlineStr">
        <is>
          <t>DALARNAS LÄN</t>
        </is>
      </c>
      <c r="E354" t="inlineStr">
        <is>
          <t>LEKSAND</t>
        </is>
      </c>
      <c r="F354" t="inlineStr">
        <is>
          <t>Övriga statliga verk och myndigheter</t>
        </is>
      </c>
      <c r="G354" t="n">
        <v>1</v>
      </c>
      <c r="H354" t="n">
        <v>0</v>
      </c>
      <c r="I354" t="n">
        <v>0</v>
      </c>
      <c r="J354" t="n">
        <v>0</v>
      </c>
      <c r="K354" t="n">
        <v>0</v>
      </c>
      <c r="L354" t="n">
        <v>0</v>
      </c>
      <c r="M354" t="n">
        <v>0</v>
      </c>
      <c r="N354" t="n">
        <v>0</v>
      </c>
      <c r="O354" t="n">
        <v>0</v>
      </c>
      <c r="P354" t="n">
        <v>0</v>
      </c>
      <c r="Q354" t="n">
        <v>0</v>
      </c>
      <c r="R354" s="2" t="inlineStr"/>
    </row>
    <row r="355" ht="15" customHeight="1">
      <c r="A355" t="inlineStr">
        <is>
          <t>A 13063-2023</t>
        </is>
      </c>
      <c r="B355" s="1" t="n">
        <v>45001</v>
      </c>
      <c r="C355" s="1" t="n">
        <v>45939</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31728-2024</t>
        </is>
      </c>
      <c r="B356" s="1" t="n">
        <v>45509.34517361111</v>
      </c>
      <c r="C356" s="1" t="n">
        <v>45939</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32394-2024</t>
        </is>
      </c>
      <c r="B357" s="1" t="n">
        <v>45512.64349537037</v>
      </c>
      <c r="C357" s="1" t="n">
        <v>45939</v>
      </c>
      <c r="D357" t="inlineStr">
        <is>
          <t>DALARNAS LÄN</t>
        </is>
      </c>
      <c r="E357" t="inlineStr">
        <is>
          <t>LEKSAND</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43221-2024</t>
        </is>
      </c>
      <c r="B358" s="1" t="n">
        <v>45567.86695601852</v>
      </c>
      <c r="C358" s="1" t="n">
        <v>45939</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43237-2024</t>
        </is>
      </c>
      <c r="B359" s="1" t="n">
        <v>45567</v>
      </c>
      <c r="C359" s="1" t="n">
        <v>45939</v>
      </c>
      <c r="D359" t="inlineStr">
        <is>
          <t>DALARNAS LÄN</t>
        </is>
      </c>
      <c r="E359" t="inlineStr">
        <is>
          <t>LEKSAND</t>
        </is>
      </c>
      <c r="G359" t="n">
        <v>0.8</v>
      </c>
      <c r="H359" t="n">
        <v>0</v>
      </c>
      <c r="I359" t="n">
        <v>0</v>
      </c>
      <c r="J359" t="n">
        <v>0</v>
      </c>
      <c r="K359" t="n">
        <v>0</v>
      </c>
      <c r="L359" t="n">
        <v>0</v>
      </c>
      <c r="M359" t="n">
        <v>0</v>
      </c>
      <c r="N359" t="n">
        <v>0</v>
      </c>
      <c r="O359" t="n">
        <v>0</v>
      </c>
      <c r="P359" t="n">
        <v>0</v>
      </c>
      <c r="Q359" t="n">
        <v>0</v>
      </c>
      <c r="R359" s="2" t="inlineStr"/>
    </row>
    <row r="360" ht="15" customHeight="1">
      <c r="A360" t="inlineStr">
        <is>
          <t>A 42727-2024</t>
        </is>
      </c>
      <c r="B360" s="1" t="n">
        <v>45566</v>
      </c>
      <c r="C360" s="1" t="n">
        <v>45939</v>
      </c>
      <c r="D360" t="inlineStr">
        <is>
          <t>DALARNAS LÄN</t>
        </is>
      </c>
      <c r="E360" t="inlineStr">
        <is>
          <t>LEKSAND</t>
        </is>
      </c>
      <c r="G360" t="n">
        <v>0.8</v>
      </c>
      <c r="H360" t="n">
        <v>0</v>
      </c>
      <c r="I360" t="n">
        <v>0</v>
      </c>
      <c r="J360" t="n">
        <v>0</v>
      </c>
      <c r="K360" t="n">
        <v>0</v>
      </c>
      <c r="L360" t="n">
        <v>0</v>
      </c>
      <c r="M360" t="n">
        <v>0</v>
      </c>
      <c r="N360" t="n">
        <v>0</v>
      </c>
      <c r="O360" t="n">
        <v>0</v>
      </c>
      <c r="P360" t="n">
        <v>0</v>
      </c>
      <c r="Q360" t="n">
        <v>0</v>
      </c>
      <c r="R360" s="2" t="inlineStr"/>
    </row>
    <row r="361" ht="15" customHeight="1">
      <c r="A361" t="inlineStr">
        <is>
          <t>A 36444-2023</t>
        </is>
      </c>
      <c r="B361" s="1" t="n">
        <v>45152.63138888889</v>
      </c>
      <c r="C361" s="1" t="n">
        <v>45939</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34482-2022</t>
        </is>
      </c>
      <c r="B362" s="1" t="n">
        <v>44792</v>
      </c>
      <c r="C362" s="1" t="n">
        <v>45939</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17485-2025</t>
        </is>
      </c>
      <c r="B363" s="1" t="n">
        <v>45757.49976851852</v>
      </c>
      <c r="C363" s="1" t="n">
        <v>45939</v>
      </c>
      <c r="D363" t="inlineStr">
        <is>
          <t>DALARNAS LÄN</t>
        </is>
      </c>
      <c r="E363" t="inlineStr">
        <is>
          <t>LEKSAND</t>
        </is>
      </c>
      <c r="G363" t="n">
        <v>3.7</v>
      </c>
      <c r="H363" t="n">
        <v>0</v>
      </c>
      <c r="I363" t="n">
        <v>0</v>
      </c>
      <c r="J363" t="n">
        <v>0</v>
      </c>
      <c r="K363" t="n">
        <v>0</v>
      </c>
      <c r="L363" t="n">
        <v>0</v>
      </c>
      <c r="M363" t="n">
        <v>0</v>
      </c>
      <c r="N363" t="n">
        <v>0</v>
      </c>
      <c r="O363" t="n">
        <v>0</v>
      </c>
      <c r="P363" t="n">
        <v>0</v>
      </c>
      <c r="Q363" t="n">
        <v>0</v>
      </c>
      <c r="R363" s="2" t="inlineStr"/>
    </row>
    <row r="364" ht="15" customHeight="1">
      <c r="A364" t="inlineStr">
        <is>
          <t>A 38498-2025</t>
        </is>
      </c>
      <c r="B364" s="1" t="n">
        <v>45884.3706712963</v>
      </c>
      <c r="C364" s="1" t="n">
        <v>45939</v>
      </c>
      <c r="D364" t="inlineStr">
        <is>
          <t>DALARNAS LÄN</t>
        </is>
      </c>
      <c r="E364" t="inlineStr">
        <is>
          <t>LEKSAND</t>
        </is>
      </c>
      <c r="G364" t="n">
        <v>2.1</v>
      </c>
      <c r="H364" t="n">
        <v>0</v>
      </c>
      <c r="I364" t="n">
        <v>0</v>
      </c>
      <c r="J364" t="n">
        <v>0</v>
      </c>
      <c r="K364" t="n">
        <v>0</v>
      </c>
      <c r="L364" t="n">
        <v>0</v>
      </c>
      <c r="M364" t="n">
        <v>0</v>
      </c>
      <c r="N364" t="n">
        <v>0</v>
      </c>
      <c r="O364" t="n">
        <v>0</v>
      </c>
      <c r="P364" t="n">
        <v>0</v>
      </c>
      <c r="Q364" t="n">
        <v>0</v>
      </c>
      <c r="R364" s="2" t="inlineStr"/>
    </row>
    <row r="365" ht="15" customHeight="1">
      <c r="A365" t="inlineStr">
        <is>
          <t>A 40407-2024</t>
        </is>
      </c>
      <c r="B365" s="1" t="n">
        <v>45555</v>
      </c>
      <c r="C365" s="1" t="n">
        <v>45939</v>
      </c>
      <c r="D365" t="inlineStr">
        <is>
          <t>DALARNAS LÄN</t>
        </is>
      </c>
      <c r="E365" t="inlineStr">
        <is>
          <t>LEKSAND</t>
        </is>
      </c>
      <c r="G365" t="n">
        <v>1.4</v>
      </c>
      <c r="H365" t="n">
        <v>0</v>
      </c>
      <c r="I365" t="n">
        <v>0</v>
      </c>
      <c r="J365" t="n">
        <v>0</v>
      </c>
      <c r="K365" t="n">
        <v>0</v>
      </c>
      <c r="L365" t="n">
        <v>0</v>
      </c>
      <c r="M365" t="n">
        <v>0</v>
      </c>
      <c r="N365" t="n">
        <v>0</v>
      </c>
      <c r="O365" t="n">
        <v>0</v>
      </c>
      <c r="P365" t="n">
        <v>0</v>
      </c>
      <c r="Q365" t="n">
        <v>0</v>
      </c>
      <c r="R365" s="2" t="inlineStr"/>
    </row>
    <row r="366" ht="15" customHeight="1">
      <c r="A366" t="inlineStr">
        <is>
          <t>A 21839-2022</t>
        </is>
      </c>
      <c r="B366" s="1" t="n">
        <v>44711</v>
      </c>
      <c r="C366" s="1" t="n">
        <v>45939</v>
      </c>
      <c r="D366" t="inlineStr">
        <is>
          <t>DALARNAS LÄN</t>
        </is>
      </c>
      <c r="E366" t="inlineStr">
        <is>
          <t>LEKSAND</t>
        </is>
      </c>
      <c r="F366" t="inlineStr">
        <is>
          <t>Bergvik skog väst AB</t>
        </is>
      </c>
      <c r="G366" t="n">
        <v>3</v>
      </c>
      <c r="H366" t="n">
        <v>0</v>
      </c>
      <c r="I366" t="n">
        <v>0</v>
      </c>
      <c r="J366" t="n">
        <v>0</v>
      </c>
      <c r="K366" t="n">
        <v>0</v>
      </c>
      <c r="L366" t="n">
        <v>0</v>
      </c>
      <c r="M366" t="n">
        <v>0</v>
      </c>
      <c r="N366" t="n">
        <v>0</v>
      </c>
      <c r="O366" t="n">
        <v>0</v>
      </c>
      <c r="P366" t="n">
        <v>0</v>
      </c>
      <c r="Q366" t="n">
        <v>0</v>
      </c>
      <c r="R366" s="2" t="inlineStr"/>
    </row>
    <row r="367" ht="15" customHeight="1">
      <c r="A367" t="inlineStr">
        <is>
          <t>A 30595-2023</t>
        </is>
      </c>
      <c r="B367" s="1" t="n">
        <v>45112</v>
      </c>
      <c r="C367" s="1" t="n">
        <v>45939</v>
      </c>
      <c r="D367" t="inlineStr">
        <is>
          <t>DALARNAS LÄN</t>
        </is>
      </c>
      <c r="E367" t="inlineStr">
        <is>
          <t>LEKSAND</t>
        </is>
      </c>
      <c r="G367" t="n">
        <v>1.1</v>
      </c>
      <c r="H367" t="n">
        <v>0</v>
      </c>
      <c r="I367" t="n">
        <v>0</v>
      </c>
      <c r="J367" t="n">
        <v>0</v>
      </c>
      <c r="K367" t="n">
        <v>0</v>
      </c>
      <c r="L367" t="n">
        <v>0</v>
      </c>
      <c r="M367" t="n">
        <v>0</v>
      </c>
      <c r="N367" t="n">
        <v>0</v>
      </c>
      <c r="O367" t="n">
        <v>0</v>
      </c>
      <c r="P367" t="n">
        <v>0</v>
      </c>
      <c r="Q367" t="n">
        <v>0</v>
      </c>
      <c r="R367" s="2" t="inlineStr"/>
    </row>
    <row r="368" ht="15" customHeight="1">
      <c r="A368" t="inlineStr">
        <is>
          <t>A 22388-2024</t>
        </is>
      </c>
      <c r="B368" s="1" t="n">
        <v>45446</v>
      </c>
      <c r="C368" s="1" t="n">
        <v>45939</v>
      </c>
      <c r="D368" t="inlineStr">
        <is>
          <t>DALARNAS LÄN</t>
        </is>
      </c>
      <c r="E368" t="inlineStr">
        <is>
          <t>LEKSAND</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56943-2024</t>
        </is>
      </c>
      <c r="B369" s="1" t="n">
        <v>45625</v>
      </c>
      <c r="C369" s="1" t="n">
        <v>45939</v>
      </c>
      <c r="D369" t="inlineStr">
        <is>
          <t>DALARNAS LÄN</t>
        </is>
      </c>
      <c r="E369" t="inlineStr">
        <is>
          <t>LEKSAND</t>
        </is>
      </c>
      <c r="G369" t="n">
        <v>0.7</v>
      </c>
      <c r="H369" t="n">
        <v>0</v>
      </c>
      <c r="I369" t="n">
        <v>0</v>
      </c>
      <c r="J369" t="n">
        <v>0</v>
      </c>
      <c r="K369" t="n">
        <v>0</v>
      </c>
      <c r="L369" t="n">
        <v>0</v>
      </c>
      <c r="M369" t="n">
        <v>0</v>
      </c>
      <c r="N369" t="n">
        <v>0</v>
      </c>
      <c r="O369" t="n">
        <v>0</v>
      </c>
      <c r="P369" t="n">
        <v>0</v>
      </c>
      <c r="Q369" t="n">
        <v>0</v>
      </c>
      <c r="R369" s="2" t="inlineStr"/>
    </row>
    <row r="370" ht="15" customHeight="1">
      <c r="A370" t="inlineStr">
        <is>
          <t>A 16748-2025</t>
        </is>
      </c>
      <c r="B370" s="1" t="n">
        <v>45754</v>
      </c>
      <c r="C370" s="1" t="n">
        <v>45939</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15257-2025</t>
        </is>
      </c>
      <c r="B371" s="1" t="n">
        <v>45744</v>
      </c>
      <c r="C371" s="1" t="n">
        <v>45939</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24142-2021</t>
        </is>
      </c>
      <c r="B372" s="1" t="n">
        <v>44336</v>
      </c>
      <c r="C372" s="1" t="n">
        <v>45939</v>
      </c>
      <c r="D372" t="inlineStr">
        <is>
          <t>DALARNAS LÄN</t>
        </is>
      </c>
      <c r="E372" t="inlineStr">
        <is>
          <t>LEKSAND</t>
        </is>
      </c>
      <c r="F372" t="inlineStr">
        <is>
          <t>Bergvik skog väst AB</t>
        </is>
      </c>
      <c r="G372" t="n">
        <v>18.9</v>
      </c>
      <c r="H372" t="n">
        <v>0</v>
      </c>
      <c r="I372" t="n">
        <v>0</v>
      </c>
      <c r="J372" t="n">
        <v>0</v>
      </c>
      <c r="K372" t="n">
        <v>0</v>
      </c>
      <c r="L372" t="n">
        <v>0</v>
      </c>
      <c r="M372" t="n">
        <v>0</v>
      </c>
      <c r="N372" t="n">
        <v>0</v>
      </c>
      <c r="O372" t="n">
        <v>0</v>
      </c>
      <c r="P372" t="n">
        <v>0</v>
      </c>
      <c r="Q372" t="n">
        <v>0</v>
      </c>
      <c r="R372" s="2" t="inlineStr"/>
    </row>
    <row r="373" ht="15" customHeight="1">
      <c r="A373" t="inlineStr">
        <is>
          <t>A 15120-2023</t>
        </is>
      </c>
      <c r="B373" s="1" t="n">
        <v>45016.46484953703</v>
      </c>
      <c r="C373" s="1" t="n">
        <v>45939</v>
      </c>
      <c r="D373" t="inlineStr">
        <is>
          <t>DALARNAS LÄN</t>
        </is>
      </c>
      <c r="E373" t="inlineStr">
        <is>
          <t>LEKSAND</t>
        </is>
      </c>
      <c r="G373" t="n">
        <v>2.7</v>
      </c>
      <c r="H373" t="n">
        <v>0</v>
      </c>
      <c r="I373" t="n">
        <v>0</v>
      </c>
      <c r="J373" t="n">
        <v>0</v>
      </c>
      <c r="K373" t="n">
        <v>0</v>
      </c>
      <c r="L373" t="n">
        <v>0</v>
      </c>
      <c r="M373" t="n">
        <v>0</v>
      </c>
      <c r="N373" t="n">
        <v>0</v>
      </c>
      <c r="O373" t="n">
        <v>0</v>
      </c>
      <c r="P373" t="n">
        <v>0</v>
      </c>
      <c r="Q373" t="n">
        <v>0</v>
      </c>
      <c r="R373" s="2" t="inlineStr"/>
    </row>
    <row r="374" ht="15" customHeight="1">
      <c r="A374" t="inlineStr">
        <is>
          <t>A 16815-2025</t>
        </is>
      </c>
      <c r="B374" s="1" t="n">
        <v>45754</v>
      </c>
      <c r="C374" s="1" t="n">
        <v>45939</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17413-2023</t>
        </is>
      </c>
      <c r="B375" s="1" t="n">
        <v>45035</v>
      </c>
      <c r="C375" s="1" t="n">
        <v>45939</v>
      </c>
      <c r="D375" t="inlineStr">
        <is>
          <t>DALARNAS LÄN</t>
        </is>
      </c>
      <c r="E375" t="inlineStr">
        <is>
          <t>LEKSAND</t>
        </is>
      </c>
      <c r="G375" t="n">
        <v>1.7</v>
      </c>
      <c r="H375" t="n">
        <v>0</v>
      </c>
      <c r="I375" t="n">
        <v>0</v>
      </c>
      <c r="J375" t="n">
        <v>0</v>
      </c>
      <c r="K375" t="n">
        <v>0</v>
      </c>
      <c r="L375" t="n">
        <v>0</v>
      </c>
      <c r="M375" t="n">
        <v>0</v>
      </c>
      <c r="N375" t="n">
        <v>0</v>
      </c>
      <c r="O375" t="n">
        <v>0</v>
      </c>
      <c r="P375" t="n">
        <v>0</v>
      </c>
      <c r="Q375" t="n">
        <v>0</v>
      </c>
      <c r="R375" s="2" t="inlineStr"/>
    </row>
    <row r="376" ht="15" customHeight="1">
      <c r="A376" t="inlineStr">
        <is>
          <t>A 61208-2023</t>
        </is>
      </c>
      <c r="B376" s="1" t="n">
        <v>45260</v>
      </c>
      <c r="C376" s="1" t="n">
        <v>45939</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46628-2024</t>
        </is>
      </c>
      <c r="B377" s="1" t="n">
        <v>45583.33195601852</v>
      </c>
      <c r="C377" s="1" t="n">
        <v>45939</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52977-2022</t>
        </is>
      </c>
      <c r="B378" s="1" t="n">
        <v>44875</v>
      </c>
      <c r="C378" s="1" t="n">
        <v>45939</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9138-2023</t>
        </is>
      </c>
      <c r="B379" s="1" t="n">
        <v>44974</v>
      </c>
      <c r="C379" s="1" t="n">
        <v>45939</v>
      </c>
      <c r="D379" t="inlineStr">
        <is>
          <t>DALARNAS LÄN</t>
        </is>
      </c>
      <c r="E379" t="inlineStr">
        <is>
          <t>LEKSAND</t>
        </is>
      </c>
      <c r="G379" t="n">
        <v>4.6</v>
      </c>
      <c r="H379" t="n">
        <v>0</v>
      </c>
      <c r="I379" t="n">
        <v>0</v>
      </c>
      <c r="J379" t="n">
        <v>0</v>
      </c>
      <c r="K379" t="n">
        <v>0</v>
      </c>
      <c r="L379" t="n">
        <v>0</v>
      </c>
      <c r="M379" t="n">
        <v>0</v>
      </c>
      <c r="N379" t="n">
        <v>0</v>
      </c>
      <c r="O379" t="n">
        <v>0</v>
      </c>
      <c r="P379" t="n">
        <v>0</v>
      </c>
      <c r="Q379" t="n">
        <v>0</v>
      </c>
      <c r="R379" s="2" t="inlineStr"/>
    </row>
    <row r="380" ht="15" customHeight="1">
      <c r="A380" t="inlineStr">
        <is>
          <t>A 25921-2024</t>
        </is>
      </c>
      <c r="B380" s="1" t="n">
        <v>45467.6053587963</v>
      </c>
      <c r="C380" s="1" t="n">
        <v>45939</v>
      </c>
      <c r="D380" t="inlineStr">
        <is>
          <t>DALARNAS LÄN</t>
        </is>
      </c>
      <c r="E380" t="inlineStr">
        <is>
          <t>LEKSAND</t>
        </is>
      </c>
      <c r="G380" t="n">
        <v>2.8</v>
      </c>
      <c r="H380" t="n">
        <v>0</v>
      </c>
      <c r="I380" t="n">
        <v>0</v>
      </c>
      <c r="J380" t="n">
        <v>0</v>
      </c>
      <c r="K380" t="n">
        <v>0</v>
      </c>
      <c r="L380" t="n">
        <v>0</v>
      </c>
      <c r="M380" t="n">
        <v>0</v>
      </c>
      <c r="N380" t="n">
        <v>0</v>
      </c>
      <c r="O380" t="n">
        <v>0</v>
      </c>
      <c r="P380" t="n">
        <v>0</v>
      </c>
      <c r="Q380" t="n">
        <v>0</v>
      </c>
      <c r="R380" s="2" t="inlineStr"/>
    </row>
    <row r="381" ht="15" customHeight="1">
      <c r="A381" t="inlineStr">
        <is>
          <t>A 9141-2023</t>
        </is>
      </c>
      <c r="B381" s="1" t="n">
        <v>44974</v>
      </c>
      <c r="C381" s="1" t="n">
        <v>45939</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61680-2024</t>
        </is>
      </c>
      <c r="B382" s="1" t="n">
        <v>45647.42890046296</v>
      </c>
      <c r="C382" s="1" t="n">
        <v>45939</v>
      </c>
      <c r="D382" t="inlineStr">
        <is>
          <t>DALARNAS LÄN</t>
        </is>
      </c>
      <c r="E382" t="inlineStr">
        <is>
          <t>LEKSAND</t>
        </is>
      </c>
      <c r="G382" t="n">
        <v>3.6</v>
      </c>
      <c r="H382" t="n">
        <v>0</v>
      </c>
      <c r="I382" t="n">
        <v>0</v>
      </c>
      <c r="J382" t="n">
        <v>0</v>
      </c>
      <c r="K382" t="n">
        <v>0</v>
      </c>
      <c r="L382" t="n">
        <v>0</v>
      </c>
      <c r="M382" t="n">
        <v>0</v>
      </c>
      <c r="N382" t="n">
        <v>0</v>
      </c>
      <c r="O382" t="n">
        <v>0</v>
      </c>
      <c r="P382" t="n">
        <v>0</v>
      </c>
      <c r="Q382" t="n">
        <v>0</v>
      </c>
      <c r="R382" s="2" t="inlineStr"/>
    </row>
    <row r="383" ht="15" customHeight="1">
      <c r="A383" t="inlineStr">
        <is>
          <t>A 54911-2024</t>
        </is>
      </c>
      <c r="B383" s="1" t="n">
        <v>45618.68929398148</v>
      </c>
      <c r="C383" s="1" t="n">
        <v>45939</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54844-2021</t>
        </is>
      </c>
      <c r="B384" s="1" t="n">
        <v>44474.30614583333</v>
      </c>
      <c r="C384" s="1" t="n">
        <v>45939</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28892-2022</t>
        </is>
      </c>
      <c r="B385" s="1" t="n">
        <v>44749</v>
      </c>
      <c r="C385" s="1" t="n">
        <v>45939</v>
      </c>
      <c r="D385" t="inlineStr">
        <is>
          <t>DALARNAS LÄN</t>
        </is>
      </c>
      <c r="E385" t="inlineStr">
        <is>
          <t>LEKSAND</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8211-2023</t>
        </is>
      </c>
      <c r="B386" s="1" t="n">
        <v>44974</v>
      </c>
      <c r="C386" s="1" t="n">
        <v>45939</v>
      </c>
      <c r="D386" t="inlineStr">
        <is>
          <t>DALARNAS LÄN</t>
        </is>
      </c>
      <c r="E386" t="inlineStr">
        <is>
          <t>LEKSAND</t>
        </is>
      </c>
      <c r="G386" t="n">
        <v>5.2</v>
      </c>
      <c r="H386" t="n">
        <v>0</v>
      </c>
      <c r="I386" t="n">
        <v>0</v>
      </c>
      <c r="J386" t="n">
        <v>0</v>
      </c>
      <c r="K386" t="n">
        <v>0</v>
      </c>
      <c r="L386" t="n">
        <v>0</v>
      </c>
      <c r="M386" t="n">
        <v>0</v>
      </c>
      <c r="N386" t="n">
        <v>0</v>
      </c>
      <c r="O386" t="n">
        <v>0</v>
      </c>
      <c r="P386" t="n">
        <v>0</v>
      </c>
      <c r="Q386" t="n">
        <v>0</v>
      </c>
      <c r="R386" s="2" t="inlineStr"/>
    </row>
    <row r="387" ht="15" customHeight="1">
      <c r="A387" t="inlineStr">
        <is>
          <t>A 16611-2024</t>
        </is>
      </c>
      <c r="B387" s="1" t="n">
        <v>45408.55504629629</v>
      </c>
      <c r="C387" s="1" t="n">
        <v>45939</v>
      </c>
      <c r="D387" t="inlineStr">
        <is>
          <t>DALARNAS LÄN</t>
        </is>
      </c>
      <c r="E387" t="inlineStr">
        <is>
          <t>LEKSAND</t>
        </is>
      </c>
      <c r="G387" t="n">
        <v>5.9</v>
      </c>
      <c r="H387" t="n">
        <v>0</v>
      </c>
      <c r="I387" t="n">
        <v>0</v>
      </c>
      <c r="J387" t="n">
        <v>0</v>
      </c>
      <c r="K387" t="n">
        <v>0</v>
      </c>
      <c r="L387" t="n">
        <v>0</v>
      </c>
      <c r="M387" t="n">
        <v>0</v>
      </c>
      <c r="N387" t="n">
        <v>0</v>
      </c>
      <c r="O387" t="n">
        <v>0</v>
      </c>
      <c r="P387" t="n">
        <v>0</v>
      </c>
      <c r="Q387" t="n">
        <v>0</v>
      </c>
      <c r="R387" s="2" t="inlineStr"/>
    </row>
    <row r="388" ht="15" customHeight="1">
      <c r="A388" t="inlineStr">
        <is>
          <t>A 5574-2024</t>
        </is>
      </c>
      <c r="B388" s="1" t="n">
        <v>45334</v>
      </c>
      <c r="C388" s="1" t="n">
        <v>45939</v>
      </c>
      <c r="D388" t="inlineStr">
        <is>
          <t>DALARNAS LÄN</t>
        </is>
      </c>
      <c r="E388" t="inlineStr">
        <is>
          <t>LEKSAND</t>
        </is>
      </c>
      <c r="G388" t="n">
        <v>0.4</v>
      </c>
      <c r="H388" t="n">
        <v>0</v>
      </c>
      <c r="I388" t="n">
        <v>0</v>
      </c>
      <c r="J388" t="n">
        <v>0</v>
      </c>
      <c r="K388" t="n">
        <v>0</v>
      </c>
      <c r="L388" t="n">
        <v>0</v>
      </c>
      <c r="M388" t="n">
        <v>0</v>
      </c>
      <c r="N388" t="n">
        <v>0</v>
      </c>
      <c r="O388" t="n">
        <v>0</v>
      </c>
      <c r="P388" t="n">
        <v>0</v>
      </c>
      <c r="Q388" t="n">
        <v>0</v>
      </c>
      <c r="R388" s="2" t="inlineStr"/>
    </row>
    <row r="389" ht="15" customHeight="1">
      <c r="A389" t="inlineStr">
        <is>
          <t>A 320-2023</t>
        </is>
      </c>
      <c r="B389" s="1" t="n">
        <v>44929</v>
      </c>
      <c r="C389" s="1" t="n">
        <v>45939</v>
      </c>
      <c r="D389" t="inlineStr">
        <is>
          <t>DALARNAS LÄN</t>
        </is>
      </c>
      <c r="E389" t="inlineStr">
        <is>
          <t>LEKSAND</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45512-2023</t>
        </is>
      </c>
      <c r="B390" s="1" t="n">
        <v>45194.49178240741</v>
      </c>
      <c r="C390" s="1" t="n">
        <v>45939</v>
      </c>
      <c r="D390" t="inlineStr">
        <is>
          <t>DALARNAS LÄN</t>
        </is>
      </c>
      <c r="E390" t="inlineStr">
        <is>
          <t>LEKSAND</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46665-2023</t>
        </is>
      </c>
      <c r="B391" s="1" t="n">
        <v>45198.47399305556</v>
      </c>
      <c r="C391" s="1" t="n">
        <v>45939</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12581-2025</t>
        </is>
      </c>
      <c r="B392" s="1" t="n">
        <v>45732.62201388889</v>
      </c>
      <c r="C392" s="1" t="n">
        <v>45939</v>
      </c>
      <c r="D392" t="inlineStr">
        <is>
          <t>DALARNAS LÄN</t>
        </is>
      </c>
      <c r="E392" t="inlineStr">
        <is>
          <t>LEKSAND</t>
        </is>
      </c>
      <c r="G392" t="n">
        <v>5.1</v>
      </c>
      <c r="H392" t="n">
        <v>0</v>
      </c>
      <c r="I392" t="n">
        <v>0</v>
      </c>
      <c r="J392" t="n">
        <v>0</v>
      </c>
      <c r="K392" t="n">
        <v>0</v>
      </c>
      <c r="L392" t="n">
        <v>0</v>
      </c>
      <c r="M392" t="n">
        <v>0</v>
      </c>
      <c r="N392" t="n">
        <v>0</v>
      </c>
      <c r="O392" t="n">
        <v>0</v>
      </c>
      <c r="P392" t="n">
        <v>0</v>
      </c>
      <c r="Q392" t="n">
        <v>0</v>
      </c>
      <c r="R392" s="2" t="inlineStr"/>
    </row>
    <row r="393" ht="15" customHeight="1">
      <c r="A393" t="inlineStr">
        <is>
          <t>A 12620-2025</t>
        </is>
      </c>
      <c r="B393" s="1" t="n">
        <v>45733.35498842593</v>
      </c>
      <c r="C393" s="1" t="n">
        <v>45939</v>
      </c>
      <c r="D393" t="inlineStr">
        <is>
          <t>DALARNAS LÄN</t>
        </is>
      </c>
      <c r="E393" t="inlineStr">
        <is>
          <t>LEKSAND</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12623-2025</t>
        </is>
      </c>
      <c r="B394" s="1" t="n">
        <v>45733.36079861111</v>
      </c>
      <c r="C394" s="1" t="n">
        <v>45939</v>
      </c>
      <c r="D394" t="inlineStr">
        <is>
          <t>DALARNAS LÄN</t>
        </is>
      </c>
      <c r="E394" t="inlineStr">
        <is>
          <t>LEKSAND</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32666-2023</t>
        </is>
      </c>
      <c r="B395" s="1" t="n">
        <v>45121</v>
      </c>
      <c r="C395" s="1" t="n">
        <v>45939</v>
      </c>
      <c r="D395" t="inlineStr">
        <is>
          <t>DALARNAS LÄN</t>
        </is>
      </c>
      <c r="E395" t="inlineStr">
        <is>
          <t>LEKSAND</t>
        </is>
      </c>
      <c r="G395" t="n">
        <v>9.9</v>
      </c>
      <c r="H395" t="n">
        <v>0</v>
      </c>
      <c r="I395" t="n">
        <v>0</v>
      </c>
      <c r="J395" t="n">
        <v>0</v>
      </c>
      <c r="K395" t="n">
        <v>0</v>
      </c>
      <c r="L395" t="n">
        <v>0</v>
      </c>
      <c r="M395" t="n">
        <v>0</v>
      </c>
      <c r="N395" t="n">
        <v>0</v>
      </c>
      <c r="O395" t="n">
        <v>0</v>
      </c>
      <c r="P395" t="n">
        <v>0</v>
      </c>
      <c r="Q395" t="n">
        <v>0</v>
      </c>
      <c r="R395" s="2" t="inlineStr"/>
    </row>
    <row r="396" ht="15" customHeight="1">
      <c r="A396" t="inlineStr">
        <is>
          <t>A 402-2024</t>
        </is>
      </c>
      <c r="B396" s="1" t="n">
        <v>45296.45545138889</v>
      </c>
      <c r="C396" s="1" t="n">
        <v>45939</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5231-2024</t>
        </is>
      </c>
      <c r="B397" s="1" t="n">
        <v>45330</v>
      </c>
      <c r="C397" s="1" t="n">
        <v>45939</v>
      </c>
      <c r="D397" t="inlineStr">
        <is>
          <t>DALARNAS LÄN</t>
        </is>
      </c>
      <c r="E397" t="inlineStr">
        <is>
          <t>LEKSAND</t>
        </is>
      </c>
      <c r="F397" t="inlineStr">
        <is>
          <t>Bergvik skog väst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7778-2025</t>
        </is>
      </c>
      <c r="B398" s="1" t="n">
        <v>45706</v>
      </c>
      <c r="C398" s="1" t="n">
        <v>45939</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23896-2024</t>
        </is>
      </c>
      <c r="B399" s="1" t="n">
        <v>45455.6758449074</v>
      </c>
      <c r="C399" s="1" t="n">
        <v>45939</v>
      </c>
      <c r="D399" t="inlineStr">
        <is>
          <t>DALARNAS LÄN</t>
        </is>
      </c>
      <c r="E399" t="inlineStr">
        <is>
          <t>LEKSAND</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47640-2024</t>
        </is>
      </c>
      <c r="B400" s="1" t="n">
        <v>45588.36508101852</v>
      </c>
      <c r="C400" s="1" t="n">
        <v>45939</v>
      </c>
      <c r="D400" t="inlineStr">
        <is>
          <t>DALARNAS LÄN</t>
        </is>
      </c>
      <c r="E400" t="inlineStr">
        <is>
          <t>LEKSAND</t>
        </is>
      </c>
      <c r="G400" t="n">
        <v>9.1</v>
      </c>
      <c r="H400" t="n">
        <v>0</v>
      </c>
      <c r="I400" t="n">
        <v>0</v>
      </c>
      <c r="J400" t="n">
        <v>0</v>
      </c>
      <c r="K400" t="n">
        <v>0</v>
      </c>
      <c r="L400" t="n">
        <v>0</v>
      </c>
      <c r="M400" t="n">
        <v>0</v>
      </c>
      <c r="N400" t="n">
        <v>0</v>
      </c>
      <c r="O400" t="n">
        <v>0</v>
      </c>
      <c r="P400" t="n">
        <v>0</v>
      </c>
      <c r="Q400" t="n">
        <v>0</v>
      </c>
      <c r="R400" s="2" t="inlineStr"/>
    </row>
    <row r="401" ht="15" customHeight="1">
      <c r="A401" t="inlineStr">
        <is>
          <t>A 28578-2023</t>
        </is>
      </c>
      <c r="B401" s="1" t="n">
        <v>45103</v>
      </c>
      <c r="C401" s="1" t="n">
        <v>45939</v>
      </c>
      <c r="D401" t="inlineStr">
        <is>
          <t>DALARNAS LÄN</t>
        </is>
      </c>
      <c r="E401" t="inlineStr">
        <is>
          <t>LEKSAND</t>
        </is>
      </c>
      <c r="G401" t="n">
        <v>4.4</v>
      </c>
      <c r="H401" t="n">
        <v>0</v>
      </c>
      <c r="I401" t="n">
        <v>0</v>
      </c>
      <c r="J401" t="n">
        <v>0</v>
      </c>
      <c r="K401" t="n">
        <v>0</v>
      </c>
      <c r="L401" t="n">
        <v>0</v>
      </c>
      <c r="M401" t="n">
        <v>0</v>
      </c>
      <c r="N401" t="n">
        <v>0</v>
      </c>
      <c r="O401" t="n">
        <v>0</v>
      </c>
      <c r="P401" t="n">
        <v>0</v>
      </c>
      <c r="Q401" t="n">
        <v>0</v>
      </c>
      <c r="R401" s="2" t="inlineStr"/>
    </row>
    <row r="402" ht="15" customHeight="1">
      <c r="A402" t="inlineStr">
        <is>
          <t>A 61288-2022</t>
        </is>
      </c>
      <c r="B402" s="1" t="n">
        <v>44915</v>
      </c>
      <c r="C402" s="1" t="n">
        <v>45939</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20936-2023</t>
        </is>
      </c>
      <c r="B403" s="1" t="n">
        <v>45061</v>
      </c>
      <c r="C403" s="1" t="n">
        <v>45939</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14615-2024</t>
        </is>
      </c>
      <c r="B404" s="1" t="n">
        <v>45397.26047453703</v>
      </c>
      <c r="C404" s="1" t="n">
        <v>45939</v>
      </c>
      <c r="D404" t="inlineStr">
        <is>
          <t>DALARNAS LÄN</t>
        </is>
      </c>
      <c r="E404" t="inlineStr">
        <is>
          <t>LEKSAND</t>
        </is>
      </c>
      <c r="G404" t="n">
        <v>0.4</v>
      </c>
      <c r="H404" t="n">
        <v>0</v>
      </c>
      <c r="I404" t="n">
        <v>0</v>
      </c>
      <c r="J404" t="n">
        <v>0</v>
      </c>
      <c r="K404" t="n">
        <v>0</v>
      </c>
      <c r="L404" t="n">
        <v>0</v>
      </c>
      <c r="M404" t="n">
        <v>0</v>
      </c>
      <c r="N404" t="n">
        <v>0</v>
      </c>
      <c r="O404" t="n">
        <v>0</v>
      </c>
      <c r="P404" t="n">
        <v>0</v>
      </c>
      <c r="Q404" t="n">
        <v>0</v>
      </c>
      <c r="R404" s="2" t="inlineStr"/>
    </row>
    <row r="405" ht="15" customHeight="1">
      <c r="A405" t="inlineStr">
        <is>
          <t>A 46949-2025</t>
        </is>
      </c>
      <c r="B405" s="1" t="n">
        <v>45929.46811342592</v>
      </c>
      <c r="C405" s="1" t="n">
        <v>45939</v>
      </c>
      <c r="D405" t="inlineStr">
        <is>
          <t>DALARNAS LÄN</t>
        </is>
      </c>
      <c r="E405" t="inlineStr">
        <is>
          <t>LEKSAND</t>
        </is>
      </c>
      <c r="G405" t="n">
        <v>5</v>
      </c>
      <c r="H405" t="n">
        <v>0</v>
      </c>
      <c r="I405" t="n">
        <v>0</v>
      </c>
      <c r="J405" t="n">
        <v>0</v>
      </c>
      <c r="K405" t="n">
        <v>0</v>
      </c>
      <c r="L405" t="n">
        <v>0</v>
      </c>
      <c r="M405" t="n">
        <v>0</v>
      </c>
      <c r="N405" t="n">
        <v>0</v>
      </c>
      <c r="O405" t="n">
        <v>0</v>
      </c>
      <c r="P405" t="n">
        <v>0</v>
      </c>
      <c r="Q405" t="n">
        <v>0</v>
      </c>
      <c r="R405" s="2" t="inlineStr"/>
    </row>
    <row r="406" ht="15" customHeight="1">
      <c r="A406" t="inlineStr">
        <is>
          <t>A 30863-2024</t>
        </is>
      </c>
      <c r="B406" s="1" t="n">
        <v>45497.71074074074</v>
      </c>
      <c r="C406" s="1" t="n">
        <v>45939</v>
      </c>
      <c r="D406" t="inlineStr">
        <is>
          <t>DALARNAS LÄN</t>
        </is>
      </c>
      <c r="E406" t="inlineStr">
        <is>
          <t>LEKSAND</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19590-2023</t>
        </is>
      </c>
      <c r="B407" s="1" t="n">
        <v>45049</v>
      </c>
      <c r="C407" s="1" t="n">
        <v>45939</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39807-2024</t>
        </is>
      </c>
      <c r="B408" s="1" t="n">
        <v>45553.35763888889</v>
      </c>
      <c r="C408" s="1" t="n">
        <v>45939</v>
      </c>
      <c r="D408" t="inlineStr">
        <is>
          <t>DALARNAS LÄN</t>
        </is>
      </c>
      <c r="E408" t="inlineStr">
        <is>
          <t>LEKSAND</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7897-2025</t>
        </is>
      </c>
      <c r="B409" s="1" t="n">
        <v>45707.30969907407</v>
      </c>
      <c r="C409" s="1" t="n">
        <v>45939</v>
      </c>
      <c r="D409" t="inlineStr">
        <is>
          <t>DALARNAS LÄN</t>
        </is>
      </c>
      <c r="E409" t="inlineStr">
        <is>
          <t>LEKSAND</t>
        </is>
      </c>
      <c r="G409" t="n">
        <v>3.1</v>
      </c>
      <c r="H409" t="n">
        <v>0</v>
      </c>
      <c r="I409" t="n">
        <v>0</v>
      </c>
      <c r="J409" t="n">
        <v>0</v>
      </c>
      <c r="K409" t="n">
        <v>0</v>
      </c>
      <c r="L409" t="n">
        <v>0</v>
      </c>
      <c r="M409" t="n">
        <v>0</v>
      </c>
      <c r="N409" t="n">
        <v>0</v>
      </c>
      <c r="O409" t="n">
        <v>0</v>
      </c>
      <c r="P409" t="n">
        <v>0</v>
      </c>
      <c r="Q409" t="n">
        <v>0</v>
      </c>
      <c r="R409" s="2" t="inlineStr"/>
    </row>
    <row r="410" ht="15" customHeight="1">
      <c r="A410" t="inlineStr">
        <is>
          <t>A 38721-2025</t>
        </is>
      </c>
      <c r="B410" s="1" t="n">
        <v>45886.83605324074</v>
      </c>
      <c r="C410" s="1" t="n">
        <v>45939</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31850-2024</t>
        </is>
      </c>
      <c r="B411" s="1" t="n">
        <v>45509.67334490741</v>
      </c>
      <c r="C411" s="1" t="n">
        <v>45939</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54289-2023</t>
        </is>
      </c>
      <c r="B412" s="1" t="n">
        <v>45232.71193287037</v>
      </c>
      <c r="C412" s="1" t="n">
        <v>45939</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11277-2025</t>
        </is>
      </c>
      <c r="B413" s="1" t="n">
        <v>45726.41565972222</v>
      </c>
      <c r="C413" s="1" t="n">
        <v>45939</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325-2023</t>
        </is>
      </c>
      <c r="B414" s="1" t="n">
        <v>44929</v>
      </c>
      <c r="C414" s="1" t="n">
        <v>45939</v>
      </c>
      <c r="D414" t="inlineStr">
        <is>
          <t>DALARNAS LÄN</t>
        </is>
      </c>
      <c r="E414" t="inlineStr">
        <is>
          <t>LEKSAND</t>
        </is>
      </c>
      <c r="F414" t="inlineStr">
        <is>
          <t>Övriga Aktiebolag</t>
        </is>
      </c>
      <c r="G414" t="n">
        <v>7.1</v>
      </c>
      <c r="H414" t="n">
        <v>0</v>
      </c>
      <c r="I414" t="n">
        <v>0</v>
      </c>
      <c r="J414" t="n">
        <v>0</v>
      </c>
      <c r="K414" t="n">
        <v>0</v>
      </c>
      <c r="L414" t="n">
        <v>0</v>
      </c>
      <c r="M414" t="n">
        <v>0</v>
      </c>
      <c r="N414" t="n">
        <v>0</v>
      </c>
      <c r="O414" t="n">
        <v>0</v>
      </c>
      <c r="P414" t="n">
        <v>0</v>
      </c>
      <c r="Q414" t="n">
        <v>0</v>
      </c>
      <c r="R414" s="2" t="inlineStr"/>
    </row>
    <row r="415" ht="15" customHeight="1">
      <c r="A415" t="inlineStr">
        <is>
          <t>A 47068-2025</t>
        </is>
      </c>
      <c r="B415" s="1" t="n">
        <v>45929.63511574074</v>
      </c>
      <c r="C415" s="1" t="n">
        <v>45939</v>
      </c>
      <c r="D415" t="inlineStr">
        <is>
          <t>DALARNAS LÄN</t>
        </is>
      </c>
      <c r="E415" t="inlineStr">
        <is>
          <t>LEKSAND</t>
        </is>
      </c>
      <c r="G415" t="n">
        <v>3.4</v>
      </c>
      <c r="H415" t="n">
        <v>0</v>
      </c>
      <c r="I415" t="n">
        <v>0</v>
      </c>
      <c r="J415" t="n">
        <v>0</v>
      </c>
      <c r="K415" t="n">
        <v>0</v>
      </c>
      <c r="L415" t="n">
        <v>0</v>
      </c>
      <c r="M415" t="n">
        <v>0</v>
      </c>
      <c r="N415" t="n">
        <v>0</v>
      </c>
      <c r="O415" t="n">
        <v>0</v>
      </c>
      <c r="P415" t="n">
        <v>0</v>
      </c>
      <c r="Q415" t="n">
        <v>0</v>
      </c>
      <c r="R415" s="2" t="inlineStr"/>
    </row>
    <row r="416" ht="15" customHeight="1">
      <c r="A416" t="inlineStr">
        <is>
          <t>A 11678-2025</t>
        </is>
      </c>
      <c r="B416" s="1" t="n">
        <v>45726</v>
      </c>
      <c r="C416" s="1" t="n">
        <v>45939</v>
      </c>
      <c r="D416" t="inlineStr">
        <is>
          <t>DALARNAS LÄN</t>
        </is>
      </c>
      <c r="E416" t="inlineStr">
        <is>
          <t>LEKSAND</t>
        </is>
      </c>
      <c r="G416" t="n">
        <v>9.4</v>
      </c>
      <c r="H416" t="n">
        <v>0</v>
      </c>
      <c r="I416" t="n">
        <v>0</v>
      </c>
      <c r="J416" t="n">
        <v>0</v>
      </c>
      <c r="K416" t="n">
        <v>0</v>
      </c>
      <c r="L416" t="n">
        <v>0</v>
      </c>
      <c r="M416" t="n">
        <v>0</v>
      </c>
      <c r="N416" t="n">
        <v>0</v>
      </c>
      <c r="O416" t="n">
        <v>0</v>
      </c>
      <c r="P416" t="n">
        <v>0</v>
      </c>
      <c r="Q416" t="n">
        <v>0</v>
      </c>
      <c r="R416" s="2" t="inlineStr"/>
    </row>
    <row r="417" ht="15" customHeight="1">
      <c r="A417" t="inlineStr">
        <is>
          <t>A 46978-2025</t>
        </is>
      </c>
      <c r="B417" s="1" t="n">
        <v>45929.51811342593</v>
      </c>
      <c r="C417" s="1" t="n">
        <v>45939</v>
      </c>
      <c r="D417" t="inlineStr">
        <is>
          <t>DALARNAS LÄN</t>
        </is>
      </c>
      <c r="E417" t="inlineStr">
        <is>
          <t>LEKSAND</t>
        </is>
      </c>
      <c r="G417" t="n">
        <v>2</v>
      </c>
      <c r="H417" t="n">
        <v>0</v>
      </c>
      <c r="I417" t="n">
        <v>0</v>
      </c>
      <c r="J417" t="n">
        <v>0</v>
      </c>
      <c r="K417" t="n">
        <v>0</v>
      </c>
      <c r="L417" t="n">
        <v>0</v>
      </c>
      <c r="M417" t="n">
        <v>0</v>
      </c>
      <c r="N417" t="n">
        <v>0</v>
      </c>
      <c r="O417" t="n">
        <v>0</v>
      </c>
      <c r="P417" t="n">
        <v>0</v>
      </c>
      <c r="Q417" t="n">
        <v>0</v>
      </c>
      <c r="R417" s="2" t="inlineStr"/>
    </row>
    <row r="418" ht="15" customHeight="1">
      <c r="A418" t="inlineStr">
        <is>
          <t>A 29157-2022</t>
        </is>
      </c>
      <c r="B418" s="1" t="n">
        <v>44750.48355324074</v>
      </c>
      <c r="C418" s="1" t="n">
        <v>45939</v>
      </c>
      <c r="D418" t="inlineStr">
        <is>
          <t>DALARNAS LÄN</t>
        </is>
      </c>
      <c r="E418" t="inlineStr">
        <is>
          <t>LEKSAND</t>
        </is>
      </c>
      <c r="F418" t="inlineStr">
        <is>
          <t>Bergvik skog väst AB</t>
        </is>
      </c>
      <c r="G418" t="n">
        <v>2.7</v>
      </c>
      <c r="H418" t="n">
        <v>0</v>
      </c>
      <c r="I418" t="n">
        <v>0</v>
      </c>
      <c r="J418" t="n">
        <v>0</v>
      </c>
      <c r="K418" t="n">
        <v>0</v>
      </c>
      <c r="L418" t="n">
        <v>0</v>
      </c>
      <c r="M418" t="n">
        <v>0</v>
      </c>
      <c r="N418" t="n">
        <v>0</v>
      </c>
      <c r="O418" t="n">
        <v>0</v>
      </c>
      <c r="P418" t="n">
        <v>0</v>
      </c>
      <c r="Q418" t="n">
        <v>0</v>
      </c>
      <c r="R418" s="2" t="inlineStr"/>
    </row>
    <row r="419" ht="15" customHeight="1">
      <c r="A419" t="inlineStr">
        <is>
          <t>A 28630-2023</t>
        </is>
      </c>
      <c r="B419" s="1" t="n">
        <v>45103.61003472222</v>
      </c>
      <c r="C419" s="1" t="n">
        <v>45939</v>
      </c>
      <c r="D419" t="inlineStr">
        <is>
          <t>DALARNAS LÄN</t>
        </is>
      </c>
      <c r="E419" t="inlineStr">
        <is>
          <t>LEKSAND</t>
        </is>
      </c>
      <c r="F419" t="inlineStr">
        <is>
          <t>Bergvik skog väst AB</t>
        </is>
      </c>
      <c r="G419" t="n">
        <v>0.3</v>
      </c>
      <c r="H419" t="n">
        <v>0</v>
      </c>
      <c r="I419" t="n">
        <v>0</v>
      </c>
      <c r="J419" t="n">
        <v>0</v>
      </c>
      <c r="K419" t="n">
        <v>0</v>
      </c>
      <c r="L419" t="n">
        <v>0</v>
      </c>
      <c r="M419" t="n">
        <v>0</v>
      </c>
      <c r="N419" t="n">
        <v>0</v>
      </c>
      <c r="O419" t="n">
        <v>0</v>
      </c>
      <c r="P419" t="n">
        <v>0</v>
      </c>
      <c r="Q419" t="n">
        <v>0</v>
      </c>
      <c r="R419" s="2" t="inlineStr"/>
    </row>
    <row r="420" ht="15" customHeight="1">
      <c r="A420" t="inlineStr">
        <is>
          <t>A 39546-2025</t>
        </is>
      </c>
      <c r="B420" s="1" t="n">
        <v>45890.45706018519</v>
      </c>
      <c r="C420" s="1" t="n">
        <v>45939</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39572-2025</t>
        </is>
      </c>
      <c r="B421" s="1" t="n">
        <v>45890</v>
      </c>
      <c r="C421" s="1" t="n">
        <v>45939</v>
      </c>
      <c r="D421" t="inlineStr">
        <is>
          <t>DALARNAS LÄN</t>
        </is>
      </c>
      <c r="E421" t="inlineStr">
        <is>
          <t>LEKSAND</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7759-2025</t>
        </is>
      </c>
      <c r="B422" s="1" t="n">
        <v>45706.53827546296</v>
      </c>
      <c r="C422" s="1" t="n">
        <v>45939</v>
      </c>
      <c r="D422" t="inlineStr">
        <is>
          <t>DALARNAS LÄN</t>
        </is>
      </c>
      <c r="E422" t="inlineStr">
        <is>
          <t>LEKSAND</t>
        </is>
      </c>
      <c r="G422" t="n">
        <v>3.3</v>
      </c>
      <c r="H422" t="n">
        <v>0</v>
      </c>
      <c r="I422" t="n">
        <v>0</v>
      </c>
      <c r="J422" t="n">
        <v>0</v>
      </c>
      <c r="K422" t="n">
        <v>0</v>
      </c>
      <c r="L422" t="n">
        <v>0</v>
      </c>
      <c r="M422" t="n">
        <v>0</v>
      </c>
      <c r="N422" t="n">
        <v>0</v>
      </c>
      <c r="O422" t="n">
        <v>0</v>
      </c>
      <c r="P422" t="n">
        <v>0</v>
      </c>
      <c r="Q422" t="n">
        <v>0</v>
      </c>
      <c r="R422" s="2" t="inlineStr"/>
    </row>
    <row r="423" ht="15" customHeight="1">
      <c r="A423" t="inlineStr">
        <is>
          <t>A 47976-2025</t>
        </is>
      </c>
      <c r="B423" s="1" t="n">
        <v>45932.60846064815</v>
      </c>
      <c r="C423" s="1" t="n">
        <v>45939</v>
      </c>
      <c r="D423" t="inlineStr">
        <is>
          <t>DALARNAS LÄN</t>
        </is>
      </c>
      <c r="E423" t="inlineStr">
        <is>
          <t>LEKSAND</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47977-2025</t>
        </is>
      </c>
      <c r="B424" s="1" t="n">
        <v>45932.60920138889</v>
      </c>
      <c r="C424" s="1" t="n">
        <v>45939</v>
      </c>
      <c r="D424" t="inlineStr">
        <is>
          <t>DALARNAS LÄN</t>
        </is>
      </c>
      <c r="E424" t="inlineStr">
        <is>
          <t>LEKSAND</t>
        </is>
      </c>
      <c r="F424" t="inlineStr">
        <is>
          <t>Bergvik skog väst AB</t>
        </is>
      </c>
      <c r="G424" t="n">
        <v>0.2</v>
      </c>
      <c r="H424" t="n">
        <v>0</v>
      </c>
      <c r="I424" t="n">
        <v>0</v>
      </c>
      <c r="J424" t="n">
        <v>0</v>
      </c>
      <c r="K424" t="n">
        <v>0</v>
      </c>
      <c r="L424" t="n">
        <v>0</v>
      </c>
      <c r="M424" t="n">
        <v>0</v>
      </c>
      <c r="N424" t="n">
        <v>0</v>
      </c>
      <c r="O424" t="n">
        <v>0</v>
      </c>
      <c r="P424" t="n">
        <v>0</v>
      </c>
      <c r="Q424" t="n">
        <v>0</v>
      </c>
      <c r="R424" s="2" t="inlineStr"/>
    </row>
    <row r="425" ht="15" customHeight="1">
      <c r="A425" t="inlineStr">
        <is>
          <t>A 17377-2025</t>
        </is>
      </c>
      <c r="B425" s="1" t="n">
        <v>45756.983125</v>
      </c>
      <c r="C425" s="1" t="n">
        <v>45939</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61269-2022</t>
        </is>
      </c>
      <c r="B426" s="1" t="n">
        <v>44909</v>
      </c>
      <c r="C426" s="1" t="n">
        <v>45939</v>
      </c>
      <c r="D426" t="inlineStr">
        <is>
          <t>DALARNAS LÄN</t>
        </is>
      </c>
      <c r="E426" t="inlineStr">
        <is>
          <t>LEKSAND</t>
        </is>
      </c>
      <c r="G426" t="n">
        <v>4.2</v>
      </c>
      <c r="H426" t="n">
        <v>0</v>
      </c>
      <c r="I426" t="n">
        <v>0</v>
      </c>
      <c r="J426" t="n">
        <v>0</v>
      </c>
      <c r="K426" t="n">
        <v>0</v>
      </c>
      <c r="L426" t="n">
        <v>0</v>
      </c>
      <c r="M426" t="n">
        <v>0</v>
      </c>
      <c r="N426" t="n">
        <v>0</v>
      </c>
      <c r="O426" t="n">
        <v>0</v>
      </c>
      <c r="P426" t="n">
        <v>0</v>
      </c>
      <c r="Q426" t="n">
        <v>0</v>
      </c>
      <c r="R426" s="2" t="inlineStr"/>
    </row>
    <row r="427" ht="15" customHeight="1">
      <c r="A427" t="inlineStr">
        <is>
          <t>A 53817-2023</t>
        </is>
      </c>
      <c r="B427" s="1" t="n">
        <v>45231.40488425926</v>
      </c>
      <c r="C427" s="1" t="n">
        <v>45939</v>
      </c>
      <c r="D427" t="inlineStr">
        <is>
          <t>DALARNAS LÄN</t>
        </is>
      </c>
      <c r="E427" t="inlineStr">
        <is>
          <t>LEKSAND</t>
        </is>
      </c>
      <c r="G427" t="n">
        <v>1.2</v>
      </c>
      <c r="H427" t="n">
        <v>0</v>
      </c>
      <c r="I427" t="n">
        <v>0</v>
      </c>
      <c r="J427" t="n">
        <v>0</v>
      </c>
      <c r="K427" t="n">
        <v>0</v>
      </c>
      <c r="L427" t="n">
        <v>0</v>
      </c>
      <c r="M427" t="n">
        <v>0</v>
      </c>
      <c r="N427" t="n">
        <v>0</v>
      </c>
      <c r="O427" t="n">
        <v>0</v>
      </c>
      <c r="P427" t="n">
        <v>0</v>
      </c>
      <c r="Q427" t="n">
        <v>0</v>
      </c>
      <c r="R427" s="2" t="inlineStr"/>
    </row>
    <row r="428" ht="15" customHeight="1">
      <c r="A428" t="inlineStr">
        <is>
          <t>A 48421-2025</t>
        </is>
      </c>
      <c r="B428" s="1" t="n">
        <v>45934.67564814815</v>
      </c>
      <c r="C428" s="1" t="n">
        <v>45939</v>
      </c>
      <c r="D428" t="inlineStr">
        <is>
          <t>DALARNAS LÄN</t>
        </is>
      </c>
      <c r="E428" t="inlineStr">
        <is>
          <t>LEKSAND</t>
        </is>
      </c>
      <c r="G428" t="n">
        <v>2.2</v>
      </c>
      <c r="H428" t="n">
        <v>0</v>
      </c>
      <c r="I428" t="n">
        <v>0</v>
      </c>
      <c r="J428" t="n">
        <v>0</v>
      </c>
      <c r="K428" t="n">
        <v>0</v>
      </c>
      <c r="L428" t="n">
        <v>0</v>
      </c>
      <c r="M428" t="n">
        <v>0</v>
      </c>
      <c r="N428" t="n">
        <v>0</v>
      </c>
      <c r="O428" t="n">
        <v>0</v>
      </c>
      <c r="P428" t="n">
        <v>0</v>
      </c>
      <c r="Q428" t="n">
        <v>0</v>
      </c>
      <c r="R428" s="2" t="inlineStr"/>
    </row>
    <row r="429" ht="15" customHeight="1">
      <c r="A429" t="inlineStr">
        <is>
          <t>A 17078-2023</t>
        </is>
      </c>
      <c r="B429" s="1" t="n">
        <v>45034</v>
      </c>
      <c r="C429" s="1" t="n">
        <v>45939</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39569-2025</t>
        </is>
      </c>
      <c r="B430" s="1" t="n">
        <v>45890</v>
      </c>
      <c r="C430" s="1" t="n">
        <v>45939</v>
      </c>
      <c r="D430" t="inlineStr">
        <is>
          <t>DALARNAS LÄN</t>
        </is>
      </c>
      <c r="E430" t="inlineStr">
        <is>
          <t>LEKSAND</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14865-2025</t>
        </is>
      </c>
      <c r="B431" s="1" t="n">
        <v>45743.43929398148</v>
      </c>
      <c r="C431" s="1" t="n">
        <v>45939</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16854-2025</t>
        </is>
      </c>
      <c r="B432" s="1" t="n">
        <v>45754.72883101852</v>
      </c>
      <c r="C432" s="1" t="n">
        <v>45939</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28633-2023</t>
        </is>
      </c>
      <c r="B433" s="1" t="n">
        <v>45103.61575231481</v>
      </c>
      <c r="C433" s="1" t="n">
        <v>45939</v>
      </c>
      <c r="D433" t="inlineStr">
        <is>
          <t>DALARNAS LÄN</t>
        </is>
      </c>
      <c r="E433" t="inlineStr">
        <is>
          <t>LEKSAND</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48616-2025</t>
        </is>
      </c>
      <c r="B434" s="1" t="n">
        <v>45936.48783564815</v>
      </c>
      <c r="C434" s="1" t="n">
        <v>45939</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45939</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41840-2024</t>
        </is>
      </c>
      <c r="B436" s="1" t="n">
        <v>45561.42170138889</v>
      </c>
      <c r="C436" s="1" t="n">
        <v>45939</v>
      </c>
      <c r="D436" t="inlineStr">
        <is>
          <t>DALARNAS LÄN</t>
        </is>
      </c>
      <c r="E436" t="inlineStr">
        <is>
          <t>LEKSAND</t>
        </is>
      </c>
      <c r="G436" t="n">
        <v>0.4</v>
      </c>
      <c r="H436" t="n">
        <v>0</v>
      </c>
      <c r="I436" t="n">
        <v>0</v>
      </c>
      <c r="J436" t="n">
        <v>0</v>
      </c>
      <c r="K436" t="n">
        <v>0</v>
      </c>
      <c r="L436" t="n">
        <v>0</v>
      </c>
      <c r="M436" t="n">
        <v>0</v>
      </c>
      <c r="N436" t="n">
        <v>0</v>
      </c>
      <c r="O436" t="n">
        <v>0</v>
      </c>
      <c r="P436" t="n">
        <v>0</v>
      </c>
      <c r="Q436" t="n">
        <v>0</v>
      </c>
      <c r="R436" s="2" t="inlineStr"/>
    </row>
    <row r="437" ht="15" customHeight="1">
      <c r="A437" t="inlineStr">
        <is>
          <t>A 33143-2024</t>
        </is>
      </c>
      <c r="B437" s="1" t="n">
        <v>45518</v>
      </c>
      <c r="C437" s="1" t="n">
        <v>45939</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5847-2025</t>
        </is>
      </c>
      <c r="B438" s="1" t="n">
        <v>45695.30824074074</v>
      </c>
      <c r="C438" s="1" t="n">
        <v>45939</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5873-2025</t>
        </is>
      </c>
      <c r="B439" s="1" t="n">
        <v>45695.36715277778</v>
      </c>
      <c r="C439" s="1" t="n">
        <v>45939</v>
      </c>
      <c r="D439" t="inlineStr">
        <is>
          <t>DALARNAS LÄN</t>
        </is>
      </c>
      <c r="E439" t="inlineStr">
        <is>
          <t>LEKSAND</t>
        </is>
      </c>
      <c r="G439" t="n">
        <v>1.4</v>
      </c>
      <c r="H439" t="n">
        <v>0</v>
      </c>
      <c r="I439" t="n">
        <v>0</v>
      </c>
      <c r="J439" t="n">
        <v>0</v>
      </c>
      <c r="K439" t="n">
        <v>0</v>
      </c>
      <c r="L439" t="n">
        <v>0</v>
      </c>
      <c r="M439" t="n">
        <v>0</v>
      </c>
      <c r="N439" t="n">
        <v>0</v>
      </c>
      <c r="O439" t="n">
        <v>0</v>
      </c>
      <c r="P439" t="n">
        <v>0</v>
      </c>
      <c r="Q439" t="n">
        <v>0</v>
      </c>
      <c r="R439" s="2" t="inlineStr"/>
    </row>
    <row r="440" ht="15" customHeight="1">
      <c r="A440" t="inlineStr">
        <is>
          <t>A 18481-2024</t>
        </is>
      </c>
      <c r="B440" s="1" t="n">
        <v>45425.52193287037</v>
      </c>
      <c r="C440" s="1" t="n">
        <v>45939</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18484-2024</t>
        </is>
      </c>
      <c r="B441" s="1" t="n">
        <v>45425.52559027778</v>
      </c>
      <c r="C441" s="1" t="n">
        <v>45939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53193-2024</t>
        </is>
      </c>
      <c r="B442" s="1" t="n">
        <v>45610</v>
      </c>
      <c r="C442" s="1" t="n">
        <v>45939</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11080-2023</t>
        </is>
      </c>
      <c r="B443" s="1" t="n">
        <v>44992</v>
      </c>
      <c r="C443" s="1" t="n">
        <v>45939</v>
      </c>
      <c r="D443" t="inlineStr">
        <is>
          <t>DALARNAS LÄN</t>
        </is>
      </c>
      <c r="E443" t="inlineStr">
        <is>
          <t>LEKSAND</t>
        </is>
      </c>
      <c r="G443" t="n">
        <v>6.9</v>
      </c>
      <c r="H443" t="n">
        <v>0</v>
      </c>
      <c r="I443" t="n">
        <v>0</v>
      </c>
      <c r="J443" t="n">
        <v>0</v>
      </c>
      <c r="K443" t="n">
        <v>0</v>
      </c>
      <c r="L443" t="n">
        <v>0</v>
      </c>
      <c r="M443" t="n">
        <v>0</v>
      </c>
      <c r="N443" t="n">
        <v>0</v>
      </c>
      <c r="O443" t="n">
        <v>0</v>
      </c>
      <c r="P443" t="n">
        <v>0</v>
      </c>
      <c r="Q443" t="n">
        <v>0</v>
      </c>
      <c r="R443" s="2" t="inlineStr"/>
    </row>
    <row r="444" ht="15" customHeight="1">
      <c r="A444" t="inlineStr">
        <is>
          <t>A 26957-2023</t>
        </is>
      </c>
      <c r="B444" s="1" t="n">
        <v>45093</v>
      </c>
      <c r="C444" s="1" t="n">
        <v>45939</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48824-2025</t>
        </is>
      </c>
      <c r="B445" s="1" t="n">
        <v>45937.37949074074</v>
      </c>
      <c r="C445" s="1" t="n">
        <v>45939</v>
      </c>
      <c r="D445" t="inlineStr">
        <is>
          <t>DALARNAS LÄN</t>
        </is>
      </c>
      <c r="E445" t="inlineStr">
        <is>
          <t>LEKSAND</t>
        </is>
      </c>
      <c r="G445" t="n">
        <v>6.3</v>
      </c>
      <c r="H445" t="n">
        <v>0</v>
      </c>
      <c r="I445" t="n">
        <v>0</v>
      </c>
      <c r="J445" t="n">
        <v>0</v>
      </c>
      <c r="K445" t="n">
        <v>0</v>
      </c>
      <c r="L445" t="n">
        <v>0</v>
      </c>
      <c r="M445" t="n">
        <v>0</v>
      </c>
      <c r="N445" t="n">
        <v>0</v>
      </c>
      <c r="O445" t="n">
        <v>0</v>
      </c>
      <c r="P445" t="n">
        <v>0</v>
      </c>
      <c r="Q445" t="n">
        <v>0</v>
      </c>
      <c r="R445" s="2" t="inlineStr"/>
    </row>
    <row r="446" ht="15" customHeight="1">
      <c r="A446" t="inlineStr">
        <is>
          <t>A 39516-2025</t>
        </is>
      </c>
      <c r="B446" s="1" t="n">
        <v>45890.42633101852</v>
      </c>
      <c r="C446" s="1" t="n">
        <v>45939</v>
      </c>
      <c r="D446" t="inlineStr">
        <is>
          <t>DALARNAS LÄN</t>
        </is>
      </c>
      <c r="E446" t="inlineStr">
        <is>
          <t>LEKSAND</t>
        </is>
      </c>
      <c r="G446" t="n">
        <v>3.6</v>
      </c>
      <c r="H446" t="n">
        <v>0</v>
      </c>
      <c r="I446" t="n">
        <v>0</v>
      </c>
      <c r="J446" t="n">
        <v>0</v>
      </c>
      <c r="K446" t="n">
        <v>0</v>
      </c>
      <c r="L446" t="n">
        <v>0</v>
      </c>
      <c r="M446" t="n">
        <v>0</v>
      </c>
      <c r="N446" t="n">
        <v>0</v>
      </c>
      <c r="O446" t="n">
        <v>0</v>
      </c>
      <c r="P446" t="n">
        <v>0</v>
      </c>
      <c r="Q446" t="n">
        <v>0</v>
      </c>
      <c r="R446" s="2" t="inlineStr"/>
    </row>
    <row r="447" ht="15" customHeight="1">
      <c r="A447" t="inlineStr">
        <is>
          <t>A 19371-2024</t>
        </is>
      </c>
      <c r="B447" s="1" t="n">
        <v>45429.34969907408</v>
      </c>
      <c r="C447" s="1" t="n">
        <v>45939</v>
      </c>
      <c r="D447" t="inlineStr">
        <is>
          <t>DALARNAS LÄN</t>
        </is>
      </c>
      <c r="E447" t="inlineStr">
        <is>
          <t>LEKSAND</t>
        </is>
      </c>
      <c r="G447" t="n">
        <v>0.6</v>
      </c>
      <c r="H447" t="n">
        <v>0</v>
      </c>
      <c r="I447" t="n">
        <v>0</v>
      </c>
      <c r="J447" t="n">
        <v>0</v>
      </c>
      <c r="K447" t="n">
        <v>0</v>
      </c>
      <c r="L447" t="n">
        <v>0</v>
      </c>
      <c r="M447" t="n">
        <v>0</v>
      </c>
      <c r="N447" t="n">
        <v>0</v>
      </c>
      <c r="O447" t="n">
        <v>0</v>
      </c>
      <c r="P447" t="n">
        <v>0</v>
      </c>
      <c r="Q447" t="n">
        <v>0</v>
      </c>
      <c r="R447" s="2" t="inlineStr"/>
    </row>
    <row r="448" ht="15" customHeight="1">
      <c r="A448" t="inlineStr">
        <is>
          <t>A 39660-2025</t>
        </is>
      </c>
      <c r="B448" s="1" t="n">
        <v>45890.63006944444</v>
      </c>
      <c r="C448" s="1" t="n">
        <v>45939</v>
      </c>
      <c r="D448" t="inlineStr">
        <is>
          <t>DALARNAS LÄN</t>
        </is>
      </c>
      <c r="E448" t="inlineStr">
        <is>
          <t>LEKSAND</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39693-2025</t>
        </is>
      </c>
      <c r="B449" s="1" t="n">
        <v>45890.68304398148</v>
      </c>
      <c r="C449" s="1" t="n">
        <v>45939</v>
      </c>
      <c r="D449" t="inlineStr">
        <is>
          <t>DALARNAS LÄN</t>
        </is>
      </c>
      <c r="E449" t="inlineStr">
        <is>
          <t>LEKSAND</t>
        </is>
      </c>
      <c r="G449" t="n">
        <v>3.1</v>
      </c>
      <c r="H449" t="n">
        <v>0</v>
      </c>
      <c r="I449" t="n">
        <v>0</v>
      </c>
      <c r="J449" t="n">
        <v>0</v>
      </c>
      <c r="K449" t="n">
        <v>0</v>
      </c>
      <c r="L449" t="n">
        <v>0</v>
      </c>
      <c r="M449" t="n">
        <v>0</v>
      </c>
      <c r="N449" t="n">
        <v>0</v>
      </c>
      <c r="O449" t="n">
        <v>0</v>
      </c>
      <c r="P449" t="n">
        <v>0</v>
      </c>
      <c r="Q449" t="n">
        <v>0</v>
      </c>
      <c r="R449" s="2" t="inlineStr"/>
    </row>
    <row r="450" ht="15" customHeight="1">
      <c r="A450" t="inlineStr">
        <is>
          <t>A 7827-2024</t>
        </is>
      </c>
      <c r="B450" s="1" t="n">
        <v>45349.7467824074</v>
      </c>
      <c r="C450" s="1" t="n">
        <v>45939</v>
      </c>
      <c r="D450" t="inlineStr">
        <is>
          <t>DALARNAS LÄN</t>
        </is>
      </c>
      <c r="E450" t="inlineStr">
        <is>
          <t>LEKSAND</t>
        </is>
      </c>
      <c r="G450" t="n">
        <v>2.2</v>
      </c>
      <c r="H450" t="n">
        <v>0</v>
      </c>
      <c r="I450" t="n">
        <v>0</v>
      </c>
      <c r="J450" t="n">
        <v>0</v>
      </c>
      <c r="K450" t="n">
        <v>0</v>
      </c>
      <c r="L450" t="n">
        <v>0</v>
      </c>
      <c r="M450" t="n">
        <v>0</v>
      </c>
      <c r="N450" t="n">
        <v>0</v>
      </c>
      <c r="O450" t="n">
        <v>0</v>
      </c>
      <c r="P450" t="n">
        <v>0</v>
      </c>
      <c r="Q450" t="n">
        <v>0</v>
      </c>
      <c r="R450" s="2" t="inlineStr"/>
    </row>
    <row r="451" ht="15" customHeight="1">
      <c r="A451" t="inlineStr">
        <is>
          <t>A 49076-2025</t>
        </is>
      </c>
      <c r="B451" s="1" t="n">
        <v>45937.65601851852</v>
      </c>
      <c r="C451" s="1" t="n">
        <v>45939</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471-2025</t>
        </is>
      </c>
      <c r="B452" s="1" t="n">
        <v>45664.43394675926</v>
      </c>
      <c r="C452" s="1" t="n">
        <v>45939</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48922-2025</t>
        </is>
      </c>
      <c r="B453" s="1" t="n">
        <v>45937.50077546296</v>
      </c>
      <c r="C453" s="1" t="n">
        <v>45939</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48829-2025</t>
        </is>
      </c>
      <c r="B454" s="1" t="n">
        <v>45936</v>
      </c>
      <c r="C454" s="1" t="n">
        <v>45939</v>
      </c>
      <c r="D454" t="inlineStr">
        <is>
          <t>DALARNAS LÄN</t>
        </is>
      </c>
      <c r="E454" t="inlineStr">
        <is>
          <t>LEKSAND</t>
        </is>
      </c>
      <c r="G454" t="n">
        <v>1.9</v>
      </c>
      <c r="H454" t="n">
        <v>0</v>
      </c>
      <c r="I454" t="n">
        <v>0</v>
      </c>
      <c r="J454" t="n">
        <v>0</v>
      </c>
      <c r="K454" t="n">
        <v>0</v>
      </c>
      <c r="L454" t="n">
        <v>0</v>
      </c>
      <c r="M454" t="n">
        <v>0</v>
      </c>
      <c r="N454" t="n">
        <v>0</v>
      </c>
      <c r="O454" t="n">
        <v>0</v>
      </c>
      <c r="P454" t="n">
        <v>0</v>
      </c>
      <c r="Q454" t="n">
        <v>0</v>
      </c>
      <c r="R454" s="2" t="inlineStr"/>
    </row>
    <row r="455" ht="15" customHeight="1">
      <c r="A455" t="inlineStr">
        <is>
          <t>A 49405-2024</t>
        </is>
      </c>
      <c r="B455" s="1" t="n">
        <v>45595</v>
      </c>
      <c r="C455" s="1" t="n">
        <v>45939</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40517-2025</t>
        </is>
      </c>
      <c r="B456" s="1" t="n">
        <v>45896.36368055556</v>
      </c>
      <c r="C456" s="1" t="n">
        <v>45939</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41169-2024</t>
        </is>
      </c>
      <c r="B457" s="1" t="n">
        <v>45559.48637731482</v>
      </c>
      <c r="C457" s="1" t="n">
        <v>45939</v>
      </c>
      <c r="D457" t="inlineStr">
        <is>
          <t>DALARNAS LÄN</t>
        </is>
      </c>
      <c r="E457" t="inlineStr">
        <is>
          <t>LEKSAND</t>
        </is>
      </c>
      <c r="G457" t="n">
        <v>8.9</v>
      </c>
      <c r="H457" t="n">
        <v>0</v>
      </c>
      <c r="I457" t="n">
        <v>0</v>
      </c>
      <c r="J457" t="n">
        <v>0</v>
      </c>
      <c r="K457" t="n">
        <v>0</v>
      </c>
      <c r="L457" t="n">
        <v>0</v>
      </c>
      <c r="M457" t="n">
        <v>0</v>
      </c>
      <c r="N457" t="n">
        <v>0</v>
      </c>
      <c r="O457" t="n">
        <v>0</v>
      </c>
      <c r="P457" t="n">
        <v>0</v>
      </c>
      <c r="Q457" t="n">
        <v>0</v>
      </c>
      <c r="R457" s="2" t="inlineStr"/>
    </row>
    <row r="458" ht="15" customHeight="1">
      <c r="A458" t="inlineStr">
        <is>
          <t>A 20683-2025</t>
        </is>
      </c>
      <c r="B458" s="1" t="n">
        <v>45776</v>
      </c>
      <c r="C458" s="1" t="n">
        <v>45939</v>
      </c>
      <c r="D458" t="inlineStr">
        <is>
          <t>DALARNAS LÄN</t>
        </is>
      </c>
      <c r="E458" t="inlineStr">
        <is>
          <t>LEKSAND</t>
        </is>
      </c>
      <c r="F458" t="inlineStr">
        <is>
          <t>Bergvik skog väst AB</t>
        </is>
      </c>
      <c r="G458" t="n">
        <v>4.1</v>
      </c>
      <c r="H458" t="n">
        <v>0</v>
      </c>
      <c r="I458" t="n">
        <v>0</v>
      </c>
      <c r="J458" t="n">
        <v>0</v>
      </c>
      <c r="K458" t="n">
        <v>0</v>
      </c>
      <c r="L458" t="n">
        <v>0</v>
      </c>
      <c r="M458" t="n">
        <v>0</v>
      </c>
      <c r="N458" t="n">
        <v>0</v>
      </c>
      <c r="O458" t="n">
        <v>0</v>
      </c>
      <c r="P458" t="n">
        <v>0</v>
      </c>
      <c r="Q458" t="n">
        <v>0</v>
      </c>
      <c r="R458" s="2" t="inlineStr"/>
    </row>
    <row r="459" ht="15" customHeight="1">
      <c r="A459" t="inlineStr">
        <is>
          <t>A 11128-2023</t>
        </is>
      </c>
      <c r="B459" s="1" t="n">
        <v>44992</v>
      </c>
      <c r="C459" s="1" t="n">
        <v>45939</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11218-2023</t>
        </is>
      </c>
      <c r="B460" s="1" t="n">
        <v>44992.62401620371</v>
      </c>
      <c r="C460" s="1" t="n">
        <v>45939</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60024-2023</t>
        </is>
      </c>
      <c r="B461" s="1" t="n">
        <v>45258</v>
      </c>
      <c r="C461" s="1" t="n">
        <v>45939</v>
      </c>
      <c r="D461" t="inlineStr">
        <is>
          <t>DALARNAS LÄN</t>
        </is>
      </c>
      <c r="E461" t="inlineStr">
        <is>
          <t>LEKSAND</t>
        </is>
      </c>
      <c r="G461" t="n">
        <v>4.2</v>
      </c>
      <c r="H461" t="n">
        <v>0</v>
      </c>
      <c r="I461" t="n">
        <v>0</v>
      </c>
      <c r="J461" t="n">
        <v>0</v>
      </c>
      <c r="K461" t="n">
        <v>0</v>
      </c>
      <c r="L461" t="n">
        <v>0</v>
      </c>
      <c r="M461" t="n">
        <v>0</v>
      </c>
      <c r="N461" t="n">
        <v>0</v>
      </c>
      <c r="O461" t="n">
        <v>0</v>
      </c>
      <c r="P461" t="n">
        <v>0</v>
      </c>
      <c r="Q461" t="n">
        <v>0</v>
      </c>
      <c r="R461" s="2" t="inlineStr"/>
    </row>
    <row r="462" ht="15" customHeight="1">
      <c r="A462" t="inlineStr">
        <is>
          <t>A 11859-2024</t>
        </is>
      </c>
      <c r="B462" s="1" t="n">
        <v>45376.44569444445</v>
      </c>
      <c r="C462" s="1" t="n">
        <v>45939</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40513-2025</t>
        </is>
      </c>
      <c r="B463" s="1" t="n">
        <v>45896.35100694445</v>
      </c>
      <c r="C463" s="1" t="n">
        <v>45939</v>
      </c>
      <c r="D463" t="inlineStr">
        <is>
          <t>DALARNAS LÄN</t>
        </is>
      </c>
      <c r="E463" t="inlineStr">
        <is>
          <t>LEKSAND</t>
        </is>
      </c>
      <c r="G463" t="n">
        <v>7.1</v>
      </c>
      <c r="H463" t="n">
        <v>0</v>
      </c>
      <c r="I463" t="n">
        <v>0</v>
      </c>
      <c r="J463" t="n">
        <v>0</v>
      </c>
      <c r="K463" t="n">
        <v>0</v>
      </c>
      <c r="L463" t="n">
        <v>0</v>
      </c>
      <c r="M463" t="n">
        <v>0</v>
      </c>
      <c r="N463" t="n">
        <v>0</v>
      </c>
      <c r="O463" t="n">
        <v>0</v>
      </c>
      <c r="P463" t="n">
        <v>0</v>
      </c>
      <c r="Q463" t="n">
        <v>0</v>
      </c>
      <c r="R463" s="2" t="inlineStr"/>
    </row>
    <row r="464" ht="15" customHeight="1">
      <c r="A464" t="inlineStr">
        <is>
          <t>A 62133-2023</t>
        </is>
      </c>
      <c r="B464" s="1" t="n">
        <v>45267.35582175926</v>
      </c>
      <c r="C464" s="1" t="n">
        <v>45939</v>
      </c>
      <c r="D464" t="inlineStr">
        <is>
          <t>DALARNAS LÄN</t>
        </is>
      </c>
      <c r="E464" t="inlineStr">
        <is>
          <t>LEKSAND</t>
        </is>
      </c>
      <c r="G464" t="n">
        <v>1.3</v>
      </c>
      <c r="H464" t="n">
        <v>0</v>
      </c>
      <c r="I464" t="n">
        <v>0</v>
      </c>
      <c r="J464" t="n">
        <v>0</v>
      </c>
      <c r="K464" t="n">
        <v>0</v>
      </c>
      <c r="L464" t="n">
        <v>0</v>
      </c>
      <c r="M464" t="n">
        <v>0</v>
      </c>
      <c r="N464" t="n">
        <v>0</v>
      </c>
      <c r="O464" t="n">
        <v>0</v>
      </c>
      <c r="P464" t="n">
        <v>0</v>
      </c>
      <c r="Q464" t="n">
        <v>0</v>
      </c>
      <c r="R464" s="2" t="inlineStr"/>
    </row>
    <row r="465" ht="15" customHeight="1">
      <c r="A465" t="inlineStr">
        <is>
          <t>A 20937-2025</t>
        </is>
      </c>
      <c r="B465" s="1" t="n">
        <v>45777.42769675926</v>
      </c>
      <c r="C465" s="1" t="n">
        <v>45939</v>
      </c>
      <c r="D465" t="inlineStr">
        <is>
          <t>DALARNAS LÄN</t>
        </is>
      </c>
      <c r="E465" t="inlineStr">
        <is>
          <t>LEKSAND</t>
        </is>
      </c>
      <c r="G465" t="n">
        <v>2.2</v>
      </c>
      <c r="H465" t="n">
        <v>0</v>
      </c>
      <c r="I465" t="n">
        <v>0</v>
      </c>
      <c r="J465" t="n">
        <v>0</v>
      </c>
      <c r="K465" t="n">
        <v>0</v>
      </c>
      <c r="L465" t="n">
        <v>0</v>
      </c>
      <c r="M465" t="n">
        <v>0</v>
      </c>
      <c r="N465" t="n">
        <v>0</v>
      </c>
      <c r="O465" t="n">
        <v>0</v>
      </c>
      <c r="P465" t="n">
        <v>0</v>
      </c>
      <c r="Q465" t="n">
        <v>0</v>
      </c>
      <c r="R465" s="2" t="inlineStr"/>
    </row>
    <row r="466" ht="15" customHeight="1">
      <c r="A466" t="inlineStr">
        <is>
          <t>A 58495-2023</t>
        </is>
      </c>
      <c r="B466" s="1" t="n">
        <v>45251</v>
      </c>
      <c r="C466" s="1" t="n">
        <v>45939</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21457-2025</t>
        </is>
      </c>
      <c r="B467" s="1" t="n">
        <v>45782.55451388889</v>
      </c>
      <c r="C467" s="1" t="n">
        <v>45939</v>
      </c>
      <c r="D467" t="inlineStr">
        <is>
          <t>DALARNAS LÄN</t>
        </is>
      </c>
      <c r="E467" t="inlineStr">
        <is>
          <t>LEKSAND</t>
        </is>
      </c>
      <c r="G467" t="n">
        <v>1</v>
      </c>
      <c r="H467" t="n">
        <v>0</v>
      </c>
      <c r="I467" t="n">
        <v>0</v>
      </c>
      <c r="J467" t="n">
        <v>0</v>
      </c>
      <c r="K467" t="n">
        <v>0</v>
      </c>
      <c r="L467" t="n">
        <v>0</v>
      </c>
      <c r="M467" t="n">
        <v>0</v>
      </c>
      <c r="N467" t="n">
        <v>0</v>
      </c>
      <c r="O467" t="n">
        <v>0</v>
      </c>
      <c r="P467" t="n">
        <v>0</v>
      </c>
      <c r="Q467" t="n">
        <v>0</v>
      </c>
      <c r="R467" s="2" t="inlineStr"/>
    </row>
    <row r="468" ht="15" customHeight="1">
      <c r="A468" t="inlineStr">
        <is>
          <t>A 6039-2023</t>
        </is>
      </c>
      <c r="B468" s="1" t="n">
        <v>44959</v>
      </c>
      <c r="C468" s="1" t="n">
        <v>45939</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22517-2024</t>
        </is>
      </c>
      <c r="B469" s="1" t="n">
        <v>45447.40143518519</v>
      </c>
      <c r="C469" s="1" t="n">
        <v>45939</v>
      </c>
      <c r="D469" t="inlineStr">
        <is>
          <t>DALARNAS LÄN</t>
        </is>
      </c>
      <c r="E469" t="inlineStr">
        <is>
          <t>LEKSAND</t>
        </is>
      </c>
      <c r="G469" t="n">
        <v>0.4</v>
      </c>
      <c r="H469" t="n">
        <v>0</v>
      </c>
      <c r="I469" t="n">
        <v>0</v>
      </c>
      <c r="J469" t="n">
        <v>0</v>
      </c>
      <c r="K469" t="n">
        <v>0</v>
      </c>
      <c r="L469" t="n">
        <v>0</v>
      </c>
      <c r="M469" t="n">
        <v>0</v>
      </c>
      <c r="N469" t="n">
        <v>0</v>
      </c>
      <c r="O469" t="n">
        <v>0</v>
      </c>
      <c r="P469" t="n">
        <v>0</v>
      </c>
      <c r="Q469" t="n">
        <v>0</v>
      </c>
      <c r="R469" s="2" t="inlineStr"/>
    </row>
    <row r="470" ht="15" customHeight="1">
      <c r="A470" t="inlineStr">
        <is>
          <t>A 49209-2025</t>
        </is>
      </c>
      <c r="B470" s="1" t="n">
        <v>45938.43589120371</v>
      </c>
      <c r="C470" s="1" t="n">
        <v>45939</v>
      </c>
      <c r="D470" t="inlineStr">
        <is>
          <t>DALARNAS LÄN</t>
        </is>
      </c>
      <c r="E470" t="inlineStr">
        <is>
          <t>LEKSAND</t>
        </is>
      </c>
      <c r="G470" t="n">
        <v>4.8</v>
      </c>
      <c r="H470" t="n">
        <v>0</v>
      </c>
      <c r="I470" t="n">
        <v>0</v>
      </c>
      <c r="J470" t="n">
        <v>0</v>
      </c>
      <c r="K470" t="n">
        <v>0</v>
      </c>
      <c r="L470" t="n">
        <v>0</v>
      </c>
      <c r="M470" t="n">
        <v>0</v>
      </c>
      <c r="N470" t="n">
        <v>0</v>
      </c>
      <c r="O470" t="n">
        <v>0</v>
      </c>
      <c r="P470" t="n">
        <v>0</v>
      </c>
      <c r="Q470" t="n">
        <v>0</v>
      </c>
      <c r="R470" s="2" t="inlineStr"/>
    </row>
    <row r="471" ht="15" customHeight="1">
      <c r="A471" t="inlineStr">
        <is>
          <t>A 49212-2025</t>
        </is>
      </c>
      <c r="B471" s="1" t="n">
        <v>45938.43855324074</v>
      </c>
      <c r="C471" s="1" t="n">
        <v>45939</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21230-2025</t>
        </is>
      </c>
      <c r="B472" s="1" t="n">
        <v>45779.54589120371</v>
      </c>
      <c r="C472" s="1" t="n">
        <v>45939</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52801-2023</t>
        </is>
      </c>
      <c r="B473" s="1" t="n">
        <v>45219</v>
      </c>
      <c r="C473" s="1" t="n">
        <v>45939</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21193-2025</t>
        </is>
      </c>
      <c r="B474" s="1" t="n">
        <v>45779.46675925926</v>
      </c>
      <c r="C474" s="1" t="n">
        <v>45939</v>
      </c>
      <c r="D474" t="inlineStr">
        <is>
          <t>DALARNAS LÄN</t>
        </is>
      </c>
      <c r="E474" t="inlineStr">
        <is>
          <t>LEKSAND</t>
        </is>
      </c>
      <c r="G474" t="n">
        <v>3.7</v>
      </c>
      <c r="H474" t="n">
        <v>0</v>
      </c>
      <c r="I474" t="n">
        <v>0</v>
      </c>
      <c r="J474" t="n">
        <v>0</v>
      </c>
      <c r="K474" t="n">
        <v>0</v>
      </c>
      <c r="L474" t="n">
        <v>0</v>
      </c>
      <c r="M474" t="n">
        <v>0</v>
      </c>
      <c r="N474" t="n">
        <v>0</v>
      </c>
      <c r="O474" t="n">
        <v>0</v>
      </c>
      <c r="P474" t="n">
        <v>0</v>
      </c>
      <c r="Q474" t="n">
        <v>0</v>
      </c>
      <c r="R474" s="2" t="inlineStr"/>
    </row>
    <row r="475" ht="15" customHeight="1">
      <c r="A475" t="inlineStr">
        <is>
          <t>A 45768-2023</t>
        </is>
      </c>
      <c r="B475" s="1" t="n">
        <v>45195</v>
      </c>
      <c r="C475" s="1" t="n">
        <v>45939</v>
      </c>
      <c r="D475" t="inlineStr">
        <is>
          <t>DALARNAS LÄN</t>
        </is>
      </c>
      <c r="E475" t="inlineStr">
        <is>
          <t>LEKSAND</t>
        </is>
      </c>
      <c r="G475" t="n">
        <v>0.4</v>
      </c>
      <c r="H475" t="n">
        <v>0</v>
      </c>
      <c r="I475" t="n">
        <v>0</v>
      </c>
      <c r="J475" t="n">
        <v>0</v>
      </c>
      <c r="K475" t="n">
        <v>0</v>
      </c>
      <c r="L475" t="n">
        <v>0</v>
      </c>
      <c r="M475" t="n">
        <v>0</v>
      </c>
      <c r="N475" t="n">
        <v>0</v>
      </c>
      <c r="O475" t="n">
        <v>0</v>
      </c>
      <c r="P475" t="n">
        <v>0</v>
      </c>
      <c r="Q475" t="n">
        <v>0</v>
      </c>
      <c r="R475" s="2" t="inlineStr"/>
    </row>
    <row r="476" ht="15" customHeight="1">
      <c r="A476" t="inlineStr">
        <is>
          <t>A 41306-2024</t>
        </is>
      </c>
      <c r="B476" s="1" t="n">
        <v>45559.62550925926</v>
      </c>
      <c r="C476" s="1" t="n">
        <v>45939</v>
      </c>
      <c r="D476" t="inlineStr">
        <is>
          <t>DALARNAS LÄN</t>
        </is>
      </c>
      <c r="E476" t="inlineStr">
        <is>
          <t>LEKSAND</t>
        </is>
      </c>
      <c r="G476" t="n">
        <v>0.5</v>
      </c>
      <c r="H476" t="n">
        <v>0</v>
      </c>
      <c r="I476" t="n">
        <v>0</v>
      </c>
      <c r="J476" t="n">
        <v>0</v>
      </c>
      <c r="K476" t="n">
        <v>0</v>
      </c>
      <c r="L476" t="n">
        <v>0</v>
      </c>
      <c r="M476" t="n">
        <v>0</v>
      </c>
      <c r="N476" t="n">
        <v>0</v>
      </c>
      <c r="O476" t="n">
        <v>0</v>
      </c>
      <c r="P476" t="n">
        <v>0</v>
      </c>
      <c r="Q476" t="n">
        <v>0</v>
      </c>
      <c r="R476" s="2" t="inlineStr"/>
    </row>
    <row r="477" ht="15" customHeight="1">
      <c r="A477" t="inlineStr">
        <is>
          <t>A 36450-2023</t>
        </is>
      </c>
      <c r="B477" s="1" t="n">
        <v>45152.64842592592</v>
      </c>
      <c r="C477" s="1" t="n">
        <v>45939</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11872-2024</t>
        </is>
      </c>
      <c r="B478" s="1" t="n">
        <v>45376.46833333333</v>
      </c>
      <c r="C478" s="1" t="n">
        <v>45939</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21600-2025</t>
        </is>
      </c>
      <c r="B479" s="1" t="n">
        <v>45783.3521875</v>
      </c>
      <c r="C479" s="1" t="n">
        <v>45939</v>
      </c>
      <c r="D479" t="inlineStr">
        <is>
          <t>DALARNAS LÄN</t>
        </is>
      </c>
      <c r="E479" t="inlineStr">
        <is>
          <t>LEKSAND</t>
        </is>
      </c>
      <c r="G479" t="n">
        <v>7.7</v>
      </c>
      <c r="H479" t="n">
        <v>0</v>
      </c>
      <c r="I479" t="n">
        <v>0</v>
      </c>
      <c r="J479" t="n">
        <v>0</v>
      </c>
      <c r="K479" t="n">
        <v>0</v>
      </c>
      <c r="L479" t="n">
        <v>0</v>
      </c>
      <c r="M479" t="n">
        <v>0</v>
      </c>
      <c r="N479" t="n">
        <v>0</v>
      </c>
      <c r="O479" t="n">
        <v>0</v>
      </c>
      <c r="P479" t="n">
        <v>0</v>
      </c>
      <c r="Q479" t="n">
        <v>0</v>
      </c>
      <c r="R479" s="2" t="inlineStr"/>
    </row>
    <row r="480" ht="15" customHeight="1">
      <c r="A480" t="inlineStr">
        <is>
          <t>A 1458-2024</t>
        </is>
      </c>
      <c r="B480" s="1" t="n">
        <v>45303</v>
      </c>
      <c r="C480" s="1" t="n">
        <v>45939</v>
      </c>
      <c r="D480" t="inlineStr">
        <is>
          <t>DALARNAS LÄN</t>
        </is>
      </c>
      <c r="E480" t="inlineStr">
        <is>
          <t>LEKSAND</t>
        </is>
      </c>
      <c r="G480" t="n">
        <v>2</v>
      </c>
      <c r="H480" t="n">
        <v>0</v>
      </c>
      <c r="I480" t="n">
        <v>0</v>
      </c>
      <c r="J480" t="n">
        <v>0</v>
      </c>
      <c r="K480" t="n">
        <v>0</v>
      </c>
      <c r="L480" t="n">
        <v>0</v>
      </c>
      <c r="M480" t="n">
        <v>0</v>
      </c>
      <c r="N480" t="n">
        <v>0</v>
      </c>
      <c r="O480" t="n">
        <v>0</v>
      </c>
      <c r="P480" t="n">
        <v>0</v>
      </c>
      <c r="Q480" t="n">
        <v>0</v>
      </c>
      <c r="R480" s="2" t="inlineStr"/>
    </row>
    <row r="481" ht="15" customHeight="1">
      <c r="A481" t="inlineStr">
        <is>
          <t>A 1461-2024</t>
        </is>
      </c>
      <c r="B481" s="1" t="n">
        <v>45303</v>
      </c>
      <c r="C481" s="1" t="n">
        <v>45939</v>
      </c>
      <c r="D481" t="inlineStr">
        <is>
          <t>DALARNAS LÄN</t>
        </is>
      </c>
      <c r="E481" t="inlineStr">
        <is>
          <t>LEKSAND</t>
        </is>
      </c>
      <c r="G481" t="n">
        <v>2.4</v>
      </c>
      <c r="H481" t="n">
        <v>0</v>
      </c>
      <c r="I481" t="n">
        <v>0</v>
      </c>
      <c r="J481" t="n">
        <v>0</v>
      </c>
      <c r="K481" t="n">
        <v>0</v>
      </c>
      <c r="L481" t="n">
        <v>0</v>
      </c>
      <c r="M481" t="n">
        <v>0</v>
      </c>
      <c r="N481" t="n">
        <v>0</v>
      </c>
      <c r="O481" t="n">
        <v>0</v>
      </c>
      <c r="P481" t="n">
        <v>0</v>
      </c>
      <c r="Q481" t="n">
        <v>0</v>
      </c>
      <c r="R481" s="2" t="inlineStr"/>
    </row>
    <row r="482" ht="15" customHeight="1">
      <c r="A482" t="inlineStr">
        <is>
          <t>A 40627-2023</t>
        </is>
      </c>
      <c r="B482" s="1" t="n">
        <v>45170</v>
      </c>
      <c r="C482" s="1" t="n">
        <v>45939</v>
      </c>
      <c r="D482" t="inlineStr">
        <is>
          <t>DALARNAS LÄN</t>
        </is>
      </c>
      <c r="E482" t="inlineStr">
        <is>
          <t>LEKSAND</t>
        </is>
      </c>
      <c r="F482" t="inlineStr">
        <is>
          <t>Bergvik skog väst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3737-2023</t>
        </is>
      </c>
      <c r="B483" s="1" t="n">
        <v>44951.42983796296</v>
      </c>
      <c r="C483" s="1" t="n">
        <v>45939</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21916-2025</t>
        </is>
      </c>
      <c r="B484" s="1" t="n">
        <v>45784.50115740741</v>
      </c>
      <c r="C484" s="1" t="n">
        <v>45939</v>
      </c>
      <c r="D484" t="inlineStr">
        <is>
          <t>DALARNAS LÄN</t>
        </is>
      </c>
      <c r="E484" t="inlineStr">
        <is>
          <t>LEKSAND</t>
        </is>
      </c>
      <c r="G484" t="n">
        <v>2.6</v>
      </c>
      <c r="H484" t="n">
        <v>0</v>
      </c>
      <c r="I484" t="n">
        <v>0</v>
      </c>
      <c r="J484" t="n">
        <v>0</v>
      </c>
      <c r="K484" t="n">
        <v>0</v>
      </c>
      <c r="L484" t="n">
        <v>0</v>
      </c>
      <c r="M484" t="n">
        <v>0</v>
      </c>
      <c r="N484" t="n">
        <v>0</v>
      </c>
      <c r="O484" t="n">
        <v>0</v>
      </c>
      <c r="P484" t="n">
        <v>0</v>
      </c>
      <c r="Q484" t="n">
        <v>0</v>
      </c>
      <c r="R484" s="2" t="inlineStr"/>
    </row>
    <row r="485" ht="15" customHeight="1">
      <c r="A485" t="inlineStr">
        <is>
          <t>A 14967-2023</t>
        </is>
      </c>
      <c r="B485" s="1" t="n">
        <v>45015</v>
      </c>
      <c r="C485" s="1" t="n">
        <v>45939</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62307-2023</t>
        </is>
      </c>
      <c r="B486" s="1" t="n">
        <v>45266</v>
      </c>
      <c r="C486" s="1" t="n">
        <v>45939</v>
      </c>
      <c r="D486" t="inlineStr">
        <is>
          <t>DALARNAS LÄN</t>
        </is>
      </c>
      <c r="E486" t="inlineStr">
        <is>
          <t>LEKSAND</t>
        </is>
      </c>
      <c r="G486" t="n">
        <v>3.9</v>
      </c>
      <c r="H486" t="n">
        <v>0</v>
      </c>
      <c r="I486" t="n">
        <v>0</v>
      </c>
      <c r="J486" t="n">
        <v>0</v>
      </c>
      <c r="K486" t="n">
        <v>0</v>
      </c>
      <c r="L486" t="n">
        <v>0</v>
      </c>
      <c r="M486" t="n">
        <v>0</v>
      </c>
      <c r="N486" t="n">
        <v>0</v>
      </c>
      <c r="O486" t="n">
        <v>0</v>
      </c>
      <c r="P486" t="n">
        <v>0</v>
      </c>
      <c r="Q486" t="n">
        <v>0</v>
      </c>
      <c r="R486" s="2" t="inlineStr"/>
    </row>
    <row r="487" ht="15" customHeight="1">
      <c r="A487" t="inlineStr">
        <is>
          <t>A 61554-2024</t>
        </is>
      </c>
      <c r="B487" s="1" t="n">
        <v>45646.60748842593</v>
      </c>
      <c r="C487" s="1" t="n">
        <v>45939</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36534-2024</t>
        </is>
      </c>
      <c r="B488" s="1" t="n">
        <v>45537.45143518518</v>
      </c>
      <c r="C488" s="1" t="n">
        <v>45939</v>
      </c>
      <c r="D488" t="inlineStr">
        <is>
          <t>DALARNAS LÄN</t>
        </is>
      </c>
      <c r="E488" t="inlineStr">
        <is>
          <t>LEKSAND</t>
        </is>
      </c>
      <c r="G488" t="n">
        <v>4</v>
      </c>
      <c r="H488" t="n">
        <v>0</v>
      </c>
      <c r="I488" t="n">
        <v>0</v>
      </c>
      <c r="J488" t="n">
        <v>0</v>
      </c>
      <c r="K488" t="n">
        <v>0</v>
      </c>
      <c r="L488" t="n">
        <v>0</v>
      </c>
      <c r="M488" t="n">
        <v>0</v>
      </c>
      <c r="N488" t="n">
        <v>0</v>
      </c>
      <c r="O488" t="n">
        <v>0</v>
      </c>
      <c r="P488" t="n">
        <v>0</v>
      </c>
      <c r="Q488" t="n">
        <v>0</v>
      </c>
      <c r="R488" s="2" t="inlineStr"/>
    </row>
    <row r="489" ht="15" customHeight="1">
      <c r="A489" t="inlineStr">
        <is>
          <t>A 11678-2023</t>
        </is>
      </c>
      <c r="B489" s="1" t="n">
        <v>44994</v>
      </c>
      <c r="C489" s="1" t="n">
        <v>45939</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13288-2023</t>
        </is>
      </c>
      <c r="B490" s="1" t="n">
        <v>45004.8160300926</v>
      </c>
      <c r="C490" s="1" t="n">
        <v>45939</v>
      </c>
      <c r="D490" t="inlineStr">
        <is>
          <t>DALARNAS LÄN</t>
        </is>
      </c>
      <c r="E490" t="inlineStr">
        <is>
          <t>LEKSAND</t>
        </is>
      </c>
      <c r="G490" t="n">
        <v>1.3</v>
      </c>
      <c r="H490" t="n">
        <v>0</v>
      </c>
      <c r="I490" t="n">
        <v>0</v>
      </c>
      <c r="J490" t="n">
        <v>0</v>
      </c>
      <c r="K490" t="n">
        <v>0</v>
      </c>
      <c r="L490" t="n">
        <v>0</v>
      </c>
      <c r="M490" t="n">
        <v>0</v>
      </c>
      <c r="N490" t="n">
        <v>0</v>
      </c>
      <c r="O490" t="n">
        <v>0</v>
      </c>
      <c r="P490" t="n">
        <v>0</v>
      </c>
      <c r="Q490" t="n">
        <v>0</v>
      </c>
      <c r="R490" s="2" t="inlineStr"/>
    </row>
    <row r="491" ht="15" customHeight="1">
      <c r="A491" t="inlineStr">
        <is>
          <t>A 11869-2024</t>
        </is>
      </c>
      <c r="B491" s="1" t="n">
        <v>45376.45800925926</v>
      </c>
      <c r="C491" s="1" t="n">
        <v>45939</v>
      </c>
      <c r="D491" t="inlineStr">
        <is>
          <t>DALARNAS LÄN</t>
        </is>
      </c>
      <c r="E491" t="inlineStr">
        <is>
          <t>LEKSAND</t>
        </is>
      </c>
      <c r="G491" t="n">
        <v>0.5</v>
      </c>
      <c r="H491" t="n">
        <v>0</v>
      </c>
      <c r="I491" t="n">
        <v>0</v>
      </c>
      <c r="J491" t="n">
        <v>0</v>
      </c>
      <c r="K491" t="n">
        <v>0</v>
      </c>
      <c r="L491" t="n">
        <v>0</v>
      </c>
      <c r="M491" t="n">
        <v>0</v>
      </c>
      <c r="N491" t="n">
        <v>0</v>
      </c>
      <c r="O491" t="n">
        <v>0</v>
      </c>
      <c r="P491" t="n">
        <v>0</v>
      </c>
      <c r="Q491" t="n">
        <v>0</v>
      </c>
      <c r="R491" s="2" t="inlineStr"/>
    </row>
    <row r="492" ht="15" customHeight="1">
      <c r="A492" t="inlineStr">
        <is>
          <t>A 27520-2023</t>
        </is>
      </c>
      <c r="B492" s="1" t="n">
        <v>45097</v>
      </c>
      <c r="C492" s="1" t="n">
        <v>45939</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30169-2023</t>
        </is>
      </c>
      <c r="B493" s="1" t="n">
        <v>45110</v>
      </c>
      <c r="C493" s="1" t="n">
        <v>45939</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37952-2024</t>
        </is>
      </c>
      <c r="B494" s="1" t="n">
        <v>45544.5200462963</v>
      </c>
      <c r="C494" s="1" t="n">
        <v>45939</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3352-2024</t>
        </is>
      </c>
      <c r="B495" s="1" t="n">
        <v>45317</v>
      </c>
      <c r="C495" s="1" t="n">
        <v>45939</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34244-2024</t>
        </is>
      </c>
      <c r="B496" s="1" t="n">
        <v>45524.58349537037</v>
      </c>
      <c r="C496" s="1" t="n">
        <v>45939</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31391-2024</t>
        </is>
      </c>
      <c r="B497" s="1" t="n">
        <v>45505.46616898148</v>
      </c>
      <c r="C497" s="1" t="n">
        <v>45939</v>
      </c>
      <c r="D497" t="inlineStr">
        <is>
          <t>DALARNAS LÄN</t>
        </is>
      </c>
      <c r="E497" t="inlineStr">
        <is>
          <t>LEKSAND</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7861-2024</t>
        </is>
      </c>
      <c r="B498" s="1" t="n">
        <v>45350.30831018519</v>
      </c>
      <c r="C498" s="1" t="n">
        <v>45939</v>
      </c>
      <c r="D498" t="inlineStr">
        <is>
          <t>DALARNAS LÄN</t>
        </is>
      </c>
      <c r="E498" t="inlineStr">
        <is>
          <t>LEKSAND</t>
        </is>
      </c>
      <c r="G498" t="n">
        <v>1.8</v>
      </c>
      <c r="H498" t="n">
        <v>0</v>
      </c>
      <c r="I498" t="n">
        <v>0</v>
      </c>
      <c r="J498" t="n">
        <v>0</v>
      </c>
      <c r="K498" t="n">
        <v>0</v>
      </c>
      <c r="L498" t="n">
        <v>0</v>
      </c>
      <c r="M498" t="n">
        <v>0</v>
      </c>
      <c r="N498" t="n">
        <v>0</v>
      </c>
      <c r="O498" t="n">
        <v>0</v>
      </c>
      <c r="P498" t="n">
        <v>0</v>
      </c>
      <c r="Q498" t="n">
        <v>0</v>
      </c>
      <c r="R498" s="2" t="inlineStr"/>
    </row>
    <row r="499" ht="15" customHeight="1">
      <c r="A499" t="inlineStr">
        <is>
          <t>A 22080-2025</t>
        </is>
      </c>
      <c r="B499" s="1" t="n">
        <v>45785</v>
      </c>
      <c r="C499" s="1" t="n">
        <v>45939</v>
      </c>
      <c r="D499" t="inlineStr">
        <is>
          <t>DALARNAS LÄN</t>
        </is>
      </c>
      <c r="E499" t="inlineStr">
        <is>
          <t>LEKSAND</t>
        </is>
      </c>
      <c r="G499" t="n">
        <v>7</v>
      </c>
      <c r="H499" t="n">
        <v>0</v>
      </c>
      <c r="I499" t="n">
        <v>0</v>
      </c>
      <c r="J499" t="n">
        <v>0</v>
      </c>
      <c r="K499" t="n">
        <v>0</v>
      </c>
      <c r="L499" t="n">
        <v>0</v>
      </c>
      <c r="M499" t="n">
        <v>0</v>
      </c>
      <c r="N499" t="n">
        <v>0</v>
      </c>
      <c r="O499" t="n">
        <v>0</v>
      </c>
      <c r="P499" t="n">
        <v>0</v>
      </c>
      <c r="Q499" t="n">
        <v>0</v>
      </c>
      <c r="R499" s="2" t="inlineStr"/>
    </row>
    <row r="500" ht="15" customHeight="1">
      <c r="A500" t="inlineStr">
        <is>
          <t>A 11004-2023</t>
        </is>
      </c>
      <c r="B500" s="1" t="n">
        <v>44986</v>
      </c>
      <c r="C500" s="1" t="n">
        <v>45939</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27244-2023</t>
        </is>
      </c>
      <c r="B501" s="1" t="n">
        <v>45096</v>
      </c>
      <c r="C501" s="1" t="n">
        <v>45939</v>
      </c>
      <c r="D501" t="inlineStr">
        <is>
          <t>DALARNAS LÄN</t>
        </is>
      </c>
      <c r="E501" t="inlineStr">
        <is>
          <t>LEKSAND</t>
        </is>
      </c>
      <c r="G501" t="n">
        <v>5</v>
      </c>
      <c r="H501" t="n">
        <v>0</v>
      </c>
      <c r="I501" t="n">
        <v>0</v>
      </c>
      <c r="J501" t="n">
        <v>0</v>
      </c>
      <c r="K501" t="n">
        <v>0</v>
      </c>
      <c r="L501" t="n">
        <v>0</v>
      </c>
      <c r="M501" t="n">
        <v>0</v>
      </c>
      <c r="N501" t="n">
        <v>0</v>
      </c>
      <c r="O501" t="n">
        <v>0</v>
      </c>
      <c r="P501" t="n">
        <v>0</v>
      </c>
      <c r="Q501" t="n">
        <v>0</v>
      </c>
      <c r="R501" s="2" t="inlineStr"/>
    </row>
    <row r="502" ht="15" customHeight="1">
      <c r="A502" t="inlineStr">
        <is>
          <t>A 18107-2025</t>
        </is>
      </c>
      <c r="B502" s="1" t="n">
        <v>45761.55939814815</v>
      </c>
      <c r="C502" s="1" t="n">
        <v>45939</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22536-2025</t>
        </is>
      </c>
      <c r="B503" s="1" t="n">
        <v>45787.33037037037</v>
      </c>
      <c r="C503" s="1" t="n">
        <v>45939</v>
      </c>
      <c r="D503" t="inlineStr">
        <is>
          <t>DALARNAS LÄN</t>
        </is>
      </c>
      <c r="E503" t="inlineStr">
        <is>
          <t>LEKSAND</t>
        </is>
      </c>
      <c r="G503" t="n">
        <v>1.8</v>
      </c>
      <c r="H503" t="n">
        <v>0</v>
      </c>
      <c r="I503" t="n">
        <v>0</v>
      </c>
      <c r="J503" t="n">
        <v>0</v>
      </c>
      <c r="K503" t="n">
        <v>0</v>
      </c>
      <c r="L503" t="n">
        <v>0</v>
      </c>
      <c r="M503" t="n">
        <v>0</v>
      </c>
      <c r="N503" t="n">
        <v>0</v>
      </c>
      <c r="O503" t="n">
        <v>0</v>
      </c>
      <c r="P503" t="n">
        <v>0</v>
      </c>
      <c r="Q503" t="n">
        <v>0</v>
      </c>
      <c r="R503" s="2" t="inlineStr"/>
    </row>
    <row r="504" ht="15" customHeight="1">
      <c r="A504" t="inlineStr">
        <is>
          <t>A 60042-2023</t>
        </is>
      </c>
      <c r="B504" s="1" t="n">
        <v>45256</v>
      </c>
      <c r="C504" s="1" t="n">
        <v>45939</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45939</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16051-2023</t>
        </is>
      </c>
      <c r="B506" s="1" t="n">
        <v>45027</v>
      </c>
      <c r="C506" s="1" t="n">
        <v>45939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56059-2024</t>
        </is>
      </c>
      <c r="B507" s="1" t="n">
        <v>45624.36729166667</v>
      </c>
      <c r="C507" s="1" t="n">
        <v>45939</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23517-2025</t>
        </is>
      </c>
      <c r="B508" s="1" t="n">
        <v>45792</v>
      </c>
      <c r="C508" s="1" t="n">
        <v>45939</v>
      </c>
      <c r="D508" t="inlineStr">
        <is>
          <t>DALARNAS LÄN</t>
        </is>
      </c>
      <c r="E508" t="inlineStr">
        <is>
          <t>LEKSAND</t>
        </is>
      </c>
      <c r="G508" t="n">
        <v>2.2</v>
      </c>
      <c r="H508" t="n">
        <v>0</v>
      </c>
      <c r="I508" t="n">
        <v>0</v>
      </c>
      <c r="J508" t="n">
        <v>0</v>
      </c>
      <c r="K508" t="n">
        <v>0</v>
      </c>
      <c r="L508" t="n">
        <v>0</v>
      </c>
      <c r="M508" t="n">
        <v>0</v>
      </c>
      <c r="N508" t="n">
        <v>0</v>
      </c>
      <c r="O508" t="n">
        <v>0</v>
      </c>
      <c r="P508" t="n">
        <v>0</v>
      </c>
      <c r="Q508" t="n">
        <v>0</v>
      </c>
      <c r="R508" s="2" t="inlineStr"/>
    </row>
    <row r="509" ht="15" customHeight="1">
      <c r="A509" t="inlineStr">
        <is>
          <t>A 2579-2022</t>
        </is>
      </c>
      <c r="B509" s="1" t="n">
        <v>44580</v>
      </c>
      <c r="C509" s="1" t="n">
        <v>45939</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23058-2025</t>
        </is>
      </c>
      <c r="B510" s="1" t="n">
        <v>45790.78076388889</v>
      </c>
      <c r="C510" s="1" t="n">
        <v>45939</v>
      </c>
      <c r="D510" t="inlineStr">
        <is>
          <t>DALARNAS LÄN</t>
        </is>
      </c>
      <c r="E510" t="inlineStr">
        <is>
          <t>LEKSAND</t>
        </is>
      </c>
      <c r="G510" t="n">
        <v>6.7</v>
      </c>
      <c r="H510" t="n">
        <v>0</v>
      </c>
      <c r="I510" t="n">
        <v>0</v>
      </c>
      <c r="J510" t="n">
        <v>0</v>
      </c>
      <c r="K510" t="n">
        <v>0</v>
      </c>
      <c r="L510" t="n">
        <v>0</v>
      </c>
      <c r="M510" t="n">
        <v>0</v>
      </c>
      <c r="N510" t="n">
        <v>0</v>
      </c>
      <c r="O510" t="n">
        <v>0</v>
      </c>
      <c r="P510" t="n">
        <v>0</v>
      </c>
      <c r="Q510" t="n">
        <v>0</v>
      </c>
      <c r="R510" s="2" t="inlineStr"/>
    </row>
    <row r="511" ht="15" customHeight="1">
      <c r="A511" t="inlineStr">
        <is>
          <t>A 23076-2025</t>
        </is>
      </c>
      <c r="B511" s="1" t="n">
        <v>45790.90960648148</v>
      </c>
      <c r="C511" s="1" t="n">
        <v>45939</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49395-2024</t>
        </is>
      </c>
      <c r="B512" s="1" t="n">
        <v>45595</v>
      </c>
      <c r="C512" s="1" t="n">
        <v>45939</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57468-2023</t>
        </is>
      </c>
      <c r="B513" s="1" t="n">
        <v>45246</v>
      </c>
      <c r="C513" s="1" t="n">
        <v>45939</v>
      </c>
      <c r="D513" t="inlineStr">
        <is>
          <t>DALARNAS LÄN</t>
        </is>
      </c>
      <c r="E513" t="inlineStr">
        <is>
          <t>LEKSAND</t>
        </is>
      </c>
      <c r="G513" t="n">
        <v>4.6</v>
      </c>
      <c r="H513" t="n">
        <v>0</v>
      </c>
      <c r="I513" t="n">
        <v>0</v>
      </c>
      <c r="J513" t="n">
        <v>0</v>
      </c>
      <c r="K513" t="n">
        <v>0</v>
      </c>
      <c r="L513" t="n">
        <v>0</v>
      </c>
      <c r="M513" t="n">
        <v>0</v>
      </c>
      <c r="N513" t="n">
        <v>0</v>
      </c>
      <c r="O513" t="n">
        <v>0</v>
      </c>
      <c r="P513" t="n">
        <v>0</v>
      </c>
      <c r="Q513" t="n">
        <v>0</v>
      </c>
      <c r="R513" s="2" t="inlineStr"/>
    </row>
    <row r="514" ht="15" customHeight="1">
      <c r="A514" t="inlineStr">
        <is>
          <t>A 44822-2024</t>
        </is>
      </c>
      <c r="B514" s="1" t="n">
        <v>45574.6646412037</v>
      </c>
      <c r="C514" s="1" t="n">
        <v>45939</v>
      </c>
      <c r="D514" t="inlineStr">
        <is>
          <t>DALARNAS LÄN</t>
        </is>
      </c>
      <c r="E514" t="inlineStr">
        <is>
          <t>LEKSAND</t>
        </is>
      </c>
      <c r="G514" t="n">
        <v>1</v>
      </c>
      <c r="H514" t="n">
        <v>0</v>
      </c>
      <c r="I514" t="n">
        <v>0</v>
      </c>
      <c r="J514" t="n">
        <v>0</v>
      </c>
      <c r="K514" t="n">
        <v>0</v>
      </c>
      <c r="L514" t="n">
        <v>0</v>
      </c>
      <c r="M514" t="n">
        <v>0</v>
      </c>
      <c r="N514" t="n">
        <v>0</v>
      </c>
      <c r="O514" t="n">
        <v>0</v>
      </c>
      <c r="P514" t="n">
        <v>0</v>
      </c>
      <c r="Q514" t="n">
        <v>0</v>
      </c>
      <c r="R514" s="2" t="inlineStr"/>
    </row>
    <row r="515" ht="15" customHeight="1">
      <c r="A515" t="inlineStr">
        <is>
          <t>A 49499-2024</t>
        </is>
      </c>
      <c r="B515" s="1" t="n">
        <v>45596</v>
      </c>
      <c r="C515" s="1" t="n">
        <v>45939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23855-2025</t>
        </is>
      </c>
      <c r="B516" s="1" t="n">
        <v>45793.65900462963</v>
      </c>
      <c r="C516" s="1" t="n">
        <v>45939</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24919-2024</t>
        </is>
      </c>
      <c r="B517" s="1" t="n">
        <v>45461.60636574074</v>
      </c>
      <c r="C517" s="1" t="n">
        <v>45939</v>
      </c>
      <c r="D517" t="inlineStr">
        <is>
          <t>DALARNAS LÄN</t>
        </is>
      </c>
      <c r="E517" t="inlineStr">
        <is>
          <t>LEKSAND</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7450-2023</t>
        </is>
      </c>
      <c r="B518" s="1" t="n">
        <v>44971</v>
      </c>
      <c r="C518" s="1" t="n">
        <v>45939</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33317-2023</t>
        </is>
      </c>
      <c r="B519" s="1" t="n">
        <v>45127.84586805556</v>
      </c>
      <c r="C519" s="1" t="n">
        <v>45939</v>
      </c>
      <c r="D519" t="inlineStr">
        <is>
          <t>DALARNAS LÄN</t>
        </is>
      </c>
      <c r="E519" t="inlineStr">
        <is>
          <t>LEKSAND</t>
        </is>
      </c>
      <c r="G519" t="n">
        <v>2.7</v>
      </c>
      <c r="H519" t="n">
        <v>0</v>
      </c>
      <c r="I519" t="n">
        <v>0</v>
      </c>
      <c r="J519" t="n">
        <v>0</v>
      </c>
      <c r="K519" t="n">
        <v>0</v>
      </c>
      <c r="L519" t="n">
        <v>0</v>
      </c>
      <c r="M519" t="n">
        <v>0</v>
      </c>
      <c r="N519" t="n">
        <v>0</v>
      </c>
      <c r="O519" t="n">
        <v>0</v>
      </c>
      <c r="P519" t="n">
        <v>0</v>
      </c>
      <c r="Q519" t="n">
        <v>0</v>
      </c>
      <c r="R519" s="2" t="inlineStr"/>
    </row>
    <row r="520" ht="15" customHeight="1">
      <c r="A520" t="inlineStr">
        <is>
          <t>A 33318-2023</t>
        </is>
      </c>
      <c r="B520" s="1" t="n">
        <v>45127</v>
      </c>
      <c r="C520" s="1" t="n">
        <v>45939</v>
      </c>
      <c r="D520" t="inlineStr">
        <is>
          <t>DALARNAS LÄN</t>
        </is>
      </c>
      <c r="E520" t="inlineStr">
        <is>
          <t>LEKSAND</t>
        </is>
      </c>
      <c r="G520" t="n">
        <v>5.5</v>
      </c>
      <c r="H520" t="n">
        <v>0</v>
      </c>
      <c r="I520" t="n">
        <v>0</v>
      </c>
      <c r="J520" t="n">
        <v>0</v>
      </c>
      <c r="K520" t="n">
        <v>0</v>
      </c>
      <c r="L520" t="n">
        <v>0</v>
      </c>
      <c r="M520" t="n">
        <v>0</v>
      </c>
      <c r="N520" t="n">
        <v>0</v>
      </c>
      <c r="O520" t="n">
        <v>0</v>
      </c>
      <c r="P520" t="n">
        <v>0</v>
      </c>
      <c r="Q520" t="n">
        <v>0</v>
      </c>
      <c r="R520" s="2" t="inlineStr"/>
    </row>
    <row r="521" ht="15" customHeight="1">
      <c r="A521" t="inlineStr">
        <is>
          <t>A 23891-2025</t>
        </is>
      </c>
      <c r="B521" s="1" t="n">
        <v>45793</v>
      </c>
      <c r="C521" s="1" t="n">
        <v>45939</v>
      </c>
      <c r="D521" t="inlineStr">
        <is>
          <t>DALARNAS LÄN</t>
        </is>
      </c>
      <c r="E521" t="inlineStr">
        <is>
          <t>LEKSAND</t>
        </is>
      </c>
      <c r="F521" t="inlineStr">
        <is>
          <t>Kommuner</t>
        </is>
      </c>
      <c r="G521" t="n">
        <v>1.5</v>
      </c>
      <c r="H521" t="n">
        <v>0</v>
      </c>
      <c r="I521" t="n">
        <v>0</v>
      </c>
      <c r="J521" t="n">
        <v>0</v>
      </c>
      <c r="K521" t="n">
        <v>0</v>
      </c>
      <c r="L521" t="n">
        <v>0</v>
      </c>
      <c r="M521" t="n">
        <v>0</v>
      </c>
      <c r="N521" t="n">
        <v>0</v>
      </c>
      <c r="O521" t="n">
        <v>0</v>
      </c>
      <c r="P521" t="n">
        <v>0</v>
      </c>
      <c r="Q521" t="n">
        <v>0</v>
      </c>
      <c r="R521" s="2" t="inlineStr"/>
    </row>
    <row r="522" ht="15" customHeight="1">
      <c r="A522" t="inlineStr">
        <is>
          <t>A 24187-2025</t>
        </is>
      </c>
      <c r="B522" s="1" t="n">
        <v>45796</v>
      </c>
      <c r="C522" s="1" t="n">
        <v>45939</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24188-2025</t>
        </is>
      </c>
      <c r="B523" s="1" t="n">
        <v>45796</v>
      </c>
      <c r="C523" s="1" t="n">
        <v>45939</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56211-2023</t>
        </is>
      </c>
      <c r="B524" s="1" t="n">
        <v>45240</v>
      </c>
      <c r="C524" s="1" t="n">
        <v>45939</v>
      </c>
      <c r="D524" t="inlineStr">
        <is>
          <t>DALARNAS LÄN</t>
        </is>
      </c>
      <c r="E524" t="inlineStr">
        <is>
          <t>LEKSAND</t>
        </is>
      </c>
      <c r="G524" t="n">
        <v>1.5</v>
      </c>
      <c r="H524" t="n">
        <v>0</v>
      </c>
      <c r="I524" t="n">
        <v>0</v>
      </c>
      <c r="J524" t="n">
        <v>0</v>
      </c>
      <c r="K524" t="n">
        <v>0</v>
      </c>
      <c r="L524" t="n">
        <v>0</v>
      </c>
      <c r="M524" t="n">
        <v>0</v>
      </c>
      <c r="N524" t="n">
        <v>0</v>
      </c>
      <c r="O524" t="n">
        <v>0</v>
      </c>
      <c r="P524" t="n">
        <v>0</v>
      </c>
      <c r="Q524" t="n">
        <v>0</v>
      </c>
      <c r="R524" s="2" t="inlineStr"/>
    </row>
    <row r="525" ht="15" customHeight="1">
      <c r="A525" t="inlineStr">
        <is>
          <t>A 24373-2025</t>
        </is>
      </c>
      <c r="B525" s="1" t="n">
        <v>45797.61113425926</v>
      </c>
      <c r="C525" s="1" t="n">
        <v>45939</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40009-2024</t>
        </is>
      </c>
      <c r="B526" s="1" t="n">
        <v>45553.65361111111</v>
      </c>
      <c r="C526" s="1" t="n">
        <v>45939</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52572-2024</t>
        </is>
      </c>
      <c r="B527" s="1" t="n">
        <v>45609.66488425926</v>
      </c>
      <c r="C527" s="1" t="n">
        <v>45939</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40868-2024</t>
        </is>
      </c>
      <c r="B528" s="1" t="n">
        <v>45558</v>
      </c>
      <c r="C528" s="1" t="n">
        <v>45939</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22646-2025</t>
        </is>
      </c>
      <c r="B529" s="1" t="n">
        <v>45786</v>
      </c>
      <c r="C529" s="1" t="n">
        <v>45939</v>
      </c>
      <c r="D529" t="inlineStr">
        <is>
          <t>DALARNAS LÄN</t>
        </is>
      </c>
      <c r="E529" t="inlineStr">
        <is>
          <t>LEKSAND</t>
        </is>
      </c>
      <c r="F529" t="inlineStr">
        <is>
          <t>Kommuner</t>
        </is>
      </c>
      <c r="G529" t="n">
        <v>1.6</v>
      </c>
      <c r="H529" t="n">
        <v>0</v>
      </c>
      <c r="I529" t="n">
        <v>0</v>
      </c>
      <c r="J529" t="n">
        <v>0</v>
      </c>
      <c r="K529" t="n">
        <v>0</v>
      </c>
      <c r="L529" t="n">
        <v>0</v>
      </c>
      <c r="M529" t="n">
        <v>0</v>
      </c>
      <c r="N529" t="n">
        <v>0</v>
      </c>
      <c r="O529" t="n">
        <v>0</v>
      </c>
      <c r="P529" t="n">
        <v>0</v>
      </c>
      <c r="Q529" t="n">
        <v>0</v>
      </c>
      <c r="R529" s="2" t="inlineStr"/>
    </row>
    <row r="530" ht="15" customHeight="1">
      <c r="A530" t="inlineStr">
        <is>
          <t>A 24369-2025</t>
        </is>
      </c>
      <c r="B530" s="1" t="n">
        <v>45797.60731481481</v>
      </c>
      <c r="C530" s="1" t="n">
        <v>45939</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12851-2023</t>
        </is>
      </c>
      <c r="B531" s="1" t="n">
        <v>45001.49347222222</v>
      </c>
      <c r="C531" s="1" t="n">
        <v>45939</v>
      </c>
      <c r="D531" t="inlineStr">
        <is>
          <t>DALARNAS LÄN</t>
        </is>
      </c>
      <c r="E531" t="inlineStr">
        <is>
          <t>LEKSAND</t>
        </is>
      </c>
      <c r="G531" t="n">
        <v>1.9</v>
      </c>
      <c r="H531" t="n">
        <v>0</v>
      </c>
      <c r="I531" t="n">
        <v>0</v>
      </c>
      <c r="J531" t="n">
        <v>0</v>
      </c>
      <c r="K531" t="n">
        <v>0</v>
      </c>
      <c r="L531" t="n">
        <v>0</v>
      </c>
      <c r="M531" t="n">
        <v>0</v>
      </c>
      <c r="N531" t="n">
        <v>0</v>
      </c>
      <c r="O531" t="n">
        <v>0</v>
      </c>
      <c r="P531" t="n">
        <v>0</v>
      </c>
      <c r="Q531" t="n">
        <v>0</v>
      </c>
      <c r="R531" s="2" t="inlineStr"/>
    </row>
    <row r="532" ht="15" customHeight="1">
      <c r="A532" t="inlineStr">
        <is>
          <t>A 19295-2024</t>
        </is>
      </c>
      <c r="B532" s="1" t="n">
        <v>45428.69106481481</v>
      </c>
      <c r="C532" s="1" t="n">
        <v>45939</v>
      </c>
      <c r="D532" t="inlineStr">
        <is>
          <t>DALARNAS LÄN</t>
        </is>
      </c>
      <c r="E532" t="inlineStr">
        <is>
          <t>LEKSAND</t>
        </is>
      </c>
      <c r="G532" t="n">
        <v>1.6</v>
      </c>
      <c r="H532" t="n">
        <v>0</v>
      </c>
      <c r="I532" t="n">
        <v>0</v>
      </c>
      <c r="J532" t="n">
        <v>0</v>
      </c>
      <c r="K532" t="n">
        <v>0</v>
      </c>
      <c r="L532" t="n">
        <v>0</v>
      </c>
      <c r="M532" t="n">
        <v>0</v>
      </c>
      <c r="N532" t="n">
        <v>0</v>
      </c>
      <c r="O532" t="n">
        <v>0</v>
      </c>
      <c r="P532" t="n">
        <v>0</v>
      </c>
      <c r="Q532" t="n">
        <v>0</v>
      </c>
      <c r="R532" s="2" t="inlineStr"/>
    </row>
    <row r="533" ht="15" customHeight="1">
      <c r="A533" t="inlineStr">
        <is>
          <t>A 24715-2025</t>
        </is>
      </c>
      <c r="B533" s="1" t="n">
        <v>45798.97899305556</v>
      </c>
      <c r="C533" s="1" t="n">
        <v>45939</v>
      </c>
      <c r="D533" t="inlineStr">
        <is>
          <t>DALARNAS LÄN</t>
        </is>
      </c>
      <c r="E533" t="inlineStr">
        <is>
          <t>LEKSAND</t>
        </is>
      </c>
      <c r="G533" t="n">
        <v>8.4</v>
      </c>
      <c r="H533" t="n">
        <v>0</v>
      </c>
      <c r="I533" t="n">
        <v>0</v>
      </c>
      <c r="J533" t="n">
        <v>0</v>
      </c>
      <c r="K533" t="n">
        <v>0</v>
      </c>
      <c r="L533" t="n">
        <v>0</v>
      </c>
      <c r="M533" t="n">
        <v>0</v>
      </c>
      <c r="N533" t="n">
        <v>0</v>
      </c>
      <c r="O533" t="n">
        <v>0</v>
      </c>
      <c r="P533" t="n">
        <v>0</v>
      </c>
      <c r="Q533" t="n">
        <v>0</v>
      </c>
      <c r="R533" s="2" t="inlineStr"/>
    </row>
    <row r="534" ht="15" customHeight="1">
      <c r="A534" t="inlineStr">
        <is>
          <t>A 9781-2024</t>
        </is>
      </c>
      <c r="B534" s="1" t="n">
        <v>45362.66299768518</v>
      </c>
      <c r="C534" s="1" t="n">
        <v>45939</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63513-2023</t>
        </is>
      </c>
      <c r="B535" s="1" t="n">
        <v>45274</v>
      </c>
      <c r="C535" s="1" t="n">
        <v>45939</v>
      </c>
      <c r="D535" t="inlineStr">
        <is>
          <t>DALARNAS LÄN</t>
        </is>
      </c>
      <c r="E535" t="inlineStr">
        <is>
          <t>LEKSAND</t>
        </is>
      </c>
      <c r="G535" t="n">
        <v>2.3</v>
      </c>
      <c r="H535" t="n">
        <v>0</v>
      </c>
      <c r="I535" t="n">
        <v>0</v>
      </c>
      <c r="J535" t="n">
        <v>0</v>
      </c>
      <c r="K535" t="n">
        <v>0</v>
      </c>
      <c r="L535" t="n">
        <v>0</v>
      </c>
      <c r="M535" t="n">
        <v>0</v>
      </c>
      <c r="N535" t="n">
        <v>0</v>
      </c>
      <c r="O535" t="n">
        <v>0</v>
      </c>
      <c r="P535" t="n">
        <v>0</v>
      </c>
      <c r="Q535" t="n">
        <v>0</v>
      </c>
      <c r="R535" s="2" t="inlineStr"/>
    </row>
    <row r="536" ht="15" customHeight="1">
      <c r="A536" t="inlineStr">
        <is>
          <t>A 40230-2023</t>
        </is>
      </c>
      <c r="B536" s="1" t="n">
        <v>45169.46887731482</v>
      </c>
      <c r="C536" s="1" t="n">
        <v>45939</v>
      </c>
      <c r="D536" t="inlineStr">
        <is>
          <t>DALARNAS LÄN</t>
        </is>
      </c>
      <c r="E536" t="inlineStr">
        <is>
          <t>LEKSAND</t>
        </is>
      </c>
      <c r="G536" t="n">
        <v>0.5</v>
      </c>
      <c r="H536" t="n">
        <v>0</v>
      </c>
      <c r="I536" t="n">
        <v>0</v>
      </c>
      <c r="J536" t="n">
        <v>0</v>
      </c>
      <c r="K536" t="n">
        <v>0</v>
      </c>
      <c r="L536" t="n">
        <v>0</v>
      </c>
      <c r="M536" t="n">
        <v>0</v>
      </c>
      <c r="N536" t="n">
        <v>0</v>
      </c>
      <c r="O536" t="n">
        <v>0</v>
      </c>
      <c r="P536" t="n">
        <v>0</v>
      </c>
      <c r="Q536" t="n">
        <v>0</v>
      </c>
      <c r="R536" s="2" t="inlineStr"/>
    </row>
    <row r="537" ht="15" customHeight="1">
      <c r="A537" t="inlineStr">
        <is>
          <t>A 39819-2024</t>
        </is>
      </c>
      <c r="B537" s="1" t="n">
        <v>45553.38774305556</v>
      </c>
      <c r="C537" s="1" t="n">
        <v>45939</v>
      </c>
      <c r="D537" t="inlineStr">
        <is>
          <t>DALARNAS LÄN</t>
        </is>
      </c>
      <c r="E537" t="inlineStr">
        <is>
          <t>LEKSAND</t>
        </is>
      </c>
      <c r="F537" t="inlineStr">
        <is>
          <t>Bergvik skog väst AB</t>
        </is>
      </c>
      <c r="G537" t="n">
        <v>3.7</v>
      </c>
      <c r="H537" t="n">
        <v>0</v>
      </c>
      <c r="I537" t="n">
        <v>0</v>
      </c>
      <c r="J537" t="n">
        <v>0</v>
      </c>
      <c r="K537" t="n">
        <v>0</v>
      </c>
      <c r="L537" t="n">
        <v>0</v>
      </c>
      <c r="M537" t="n">
        <v>0</v>
      </c>
      <c r="N537" t="n">
        <v>0</v>
      </c>
      <c r="O537" t="n">
        <v>0</v>
      </c>
      <c r="P537" t="n">
        <v>0</v>
      </c>
      <c r="Q537" t="n">
        <v>0</v>
      </c>
      <c r="R537" s="2" t="inlineStr"/>
    </row>
    <row r="538" ht="15" customHeight="1">
      <c r="A538" t="inlineStr">
        <is>
          <t>A 52100-2024</t>
        </is>
      </c>
      <c r="B538" s="1" t="n">
        <v>45608.41634259259</v>
      </c>
      <c r="C538" s="1" t="n">
        <v>45939</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4257-2022</t>
        </is>
      </c>
      <c r="B539" s="1" t="n">
        <v>44588</v>
      </c>
      <c r="C539" s="1" t="n">
        <v>45939</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31726-2024</t>
        </is>
      </c>
      <c r="B540" s="1" t="n">
        <v>45509.33908564815</v>
      </c>
      <c r="C540" s="1" t="n">
        <v>45939</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25096-2025</t>
        </is>
      </c>
      <c r="B541" s="1" t="n">
        <v>45800.33868055556</v>
      </c>
      <c r="C541" s="1" t="n">
        <v>45939</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25105-2025</t>
        </is>
      </c>
      <c r="B542" s="1" t="n">
        <v>45800.34751157407</v>
      </c>
      <c r="C542" s="1" t="n">
        <v>45939</v>
      </c>
      <c r="D542" t="inlineStr">
        <is>
          <t>DALARNAS LÄN</t>
        </is>
      </c>
      <c r="E542" t="inlineStr">
        <is>
          <t>LEKSAND</t>
        </is>
      </c>
      <c r="F542" t="inlineStr">
        <is>
          <t>Bergvik skog väst AB</t>
        </is>
      </c>
      <c r="G542" t="n">
        <v>1.8</v>
      </c>
      <c r="H542" t="n">
        <v>0</v>
      </c>
      <c r="I542" t="n">
        <v>0</v>
      </c>
      <c r="J542" t="n">
        <v>0</v>
      </c>
      <c r="K542" t="n">
        <v>0</v>
      </c>
      <c r="L542" t="n">
        <v>0</v>
      </c>
      <c r="M542" t="n">
        <v>0</v>
      </c>
      <c r="N542" t="n">
        <v>0</v>
      </c>
      <c r="O542" t="n">
        <v>0</v>
      </c>
      <c r="P542" t="n">
        <v>0</v>
      </c>
      <c r="Q542" t="n">
        <v>0</v>
      </c>
      <c r="R542" s="2" t="inlineStr"/>
    </row>
    <row r="543" ht="15" customHeight="1">
      <c r="A543" t="inlineStr">
        <is>
          <t>A 55512-2024</t>
        </is>
      </c>
      <c r="B543" s="1" t="n">
        <v>45621</v>
      </c>
      <c r="C543" s="1" t="n">
        <v>45939</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24714-2025</t>
        </is>
      </c>
      <c r="B544" s="1" t="n">
        <v>45798.96927083333</v>
      </c>
      <c r="C544" s="1" t="n">
        <v>45939</v>
      </c>
      <c r="D544" t="inlineStr">
        <is>
          <t>DALARNAS LÄN</t>
        </is>
      </c>
      <c r="E544" t="inlineStr">
        <is>
          <t>LEKSAND</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52059-2024</t>
        </is>
      </c>
      <c r="B545" s="1" t="n">
        <v>45608.35609953704</v>
      </c>
      <c r="C545" s="1" t="n">
        <v>45939</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12992-2022</t>
        </is>
      </c>
      <c r="B546" s="1" t="n">
        <v>44643</v>
      </c>
      <c r="C546" s="1" t="n">
        <v>45939</v>
      </c>
      <c r="D546" t="inlineStr">
        <is>
          <t>DALARNAS LÄN</t>
        </is>
      </c>
      <c r="E546" t="inlineStr">
        <is>
          <t>LEKSAND</t>
        </is>
      </c>
      <c r="G546" t="n">
        <v>1.5</v>
      </c>
      <c r="H546" t="n">
        <v>0</v>
      </c>
      <c r="I546" t="n">
        <v>0</v>
      </c>
      <c r="J546" t="n">
        <v>0</v>
      </c>
      <c r="K546" t="n">
        <v>0</v>
      </c>
      <c r="L546" t="n">
        <v>0</v>
      </c>
      <c r="M546" t="n">
        <v>0</v>
      </c>
      <c r="N546" t="n">
        <v>0</v>
      </c>
      <c r="O546" t="n">
        <v>0</v>
      </c>
      <c r="P546" t="n">
        <v>0</v>
      </c>
      <c r="Q546" t="n">
        <v>0</v>
      </c>
      <c r="R546" s="2" t="inlineStr"/>
    </row>
    <row r="547" ht="15" customHeight="1">
      <c r="A547" t="inlineStr">
        <is>
          <t>A 31255-2023</t>
        </is>
      </c>
      <c r="B547" s="1" t="n">
        <v>45114.36729166667</v>
      </c>
      <c r="C547" s="1" t="n">
        <v>45939</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11712-2025</t>
        </is>
      </c>
      <c r="B548" s="1" t="n">
        <v>45727</v>
      </c>
      <c r="C548" s="1" t="n">
        <v>45939</v>
      </c>
      <c r="D548" t="inlineStr">
        <is>
          <t>DALARNAS LÄN</t>
        </is>
      </c>
      <c r="E548" t="inlineStr">
        <is>
          <t>LEKSAND</t>
        </is>
      </c>
      <c r="G548" t="n">
        <v>6</v>
      </c>
      <c r="H548" t="n">
        <v>0</v>
      </c>
      <c r="I548" t="n">
        <v>0</v>
      </c>
      <c r="J548" t="n">
        <v>0</v>
      </c>
      <c r="K548" t="n">
        <v>0</v>
      </c>
      <c r="L548" t="n">
        <v>0</v>
      </c>
      <c r="M548" t="n">
        <v>0</v>
      </c>
      <c r="N548" t="n">
        <v>0</v>
      </c>
      <c r="O548" t="n">
        <v>0</v>
      </c>
      <c r="P548" t="n">
        <v>0</v>
      </c>
      <c r="Q548" t="n">
        <v>0</v>
      </c>
      <c r="R548" s="2" t="inlineStr"/>
    </row>
    <row r="549" ht="15" customHeight="1">
      <c r="A549" t="inlineStr">
        <is>
          <t>A 25610-2025</t>
        </is>
      </c>
      <c r="B549" s="1" t="n">
        <v>45803.56033564815</v>
      </c>
      <c r="C549" s="1" t="n">
        <v>45939</v>
      </c>
      <c r="D549" t="inlineStr">
        <is>
          <t>DALARNAS LÄN</t>
        </is>
      </c>
      <c r="E549" t="inlineStr">
        <is>
          <t>LEKSAND</t>
        </is>
      </c>
      <c r="G549" t="n">
        <v>5.2</v>
      </c>
      <c r="H549" t="n">
        <v>0</v>
      </c>
      <c r="I549" t="n">
        <v>0</v>
      </c>
      <c r="J549" t="n">
        <v>0</v>
      </c>
      <c r="K549" t="n">
        <v>0</v>
      </c>
      <c r="L549" t="n">
        <v>0</v>
      </c>
      <c r="M549" t="n">
        <v>0</v>
      </c>
      <c r="N549" t="n">
        <v>0</v>
      </c>
      <c r="O549" t="n">
        <v>0</v>
      </c>
      <c r="P549" t="n">
        <v>0</v>
      </c>
      <c r="Q549" t="n">
        <v>0</v>
      </c>
      <c r="R549" s="2" t="inlineStr"/>
    </row>
    <row r="550" ht="15" customHeight="1">
      <c r="A550" t="inlineStr">
        <is>
          <t>A 24003-2024</t>
        </is>
      </c>
      <c r="B550" s="1" t="n">
        <v>45456.39003472222</v>
      </c>
      <c r="C550" s="1" t="n">
        <v>45939</v>
      </c>
      <c r="D550" t="inlineStr">
        <is>
          <t>DALARNAS LÄN</t>
        </is>
      </c>
      <c r="E550" t="inlineStr">
        <is>
          <t>LEKSAND</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40642-2023</t>
        </is>
      </c>
      <c r="B551" s="1" t="n">
        <v>45169</v>
      </c>
      <c r="C551" s="1" t="n">
        <v>45939</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47854-2023</t>
        </is>
      </c>
      <c r="B552" s="1" t="n">
        <v>45198</v>
      </c>
      <c r="C552" s="1" t="n">
        <v>45939</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39136-2023</t>
        </is>
      </c>
      <c r="B553" s="1" t="n">
        <v>45165</v>
      </c>
      <c r="C553" s="1" t="n">
        <v>45939</v>
      </c>
      <c r="D553" t="inlineStr">
        <is>
          <t>DALARNAS LÄN</t>
        </is>
      </c>
      <c r="E553" t="inlineStr">
        <is>
          <t>LEKSAND</t>
        </is>
      </c>
      <c r="G553" t="n">
        <v>0.3</v>
      </c>
      <c r="H553" t="n">
        <v>0</v>
      </c>
      <c r="I553" t="n">
        <v>0</v>
      </c>
      <c r="J553" t="n">
        <v>0</v>
      </c>
      <c r="K553" t="n">
        <v>0</v>
      </c>
      <c r="L553" t="n">
        <v>0</v>
      </c>
      <c r="M553" t="n">
        <v>0</v>
      </c>
      <c r="N553" t="n">
        <v>0</v>
      </c>
      <c r="O553" t="n">
        <v>0</v>
      </c>
      <c r="P553" t="n">
        <v>0</v>
      </c>
      <c r="Q553" t="n">
        <v>0</v>
      </c>
      <c r="R553" s="2" t="inlineStr"/>
    </row>
    <row r="554" ht="15" customHeight="1">
      <c r="A554" t="inlineStr">
        <is>
          <t>A 44469-2024</t>
        </is>
      </c>
      <c r="B554" s="1" t="n">
        <v>45574</v>
      </c>
      <c r="C554" s="1" t="n">
        <v>45939</v>
      </c>
      <c r="D554" t="inlineStr">
        <is>
          <t>DALARNAS LÄN</t>
        </is>
      </c>
      <c r="E554" t="inlineStr">
        <is>
          <t>LEKSAND</t>
        </is>
      </c>
      <c r="G554" t="n">
        <v>2</v>
      </c>
      <c r="H554" t="n">
        <v>0</v>
      </c>
      <c r="I554" t="n">
        <v>0</v>
      </c>
      <c r="J554" t="n">
        <v>0</v>
      </c>
      <c r="K554" t="n">
        <v>0</v>
      </c>
      <c r="L554" t="n">
        <v>0</v>
      </c>
      <c r="M554" t="n">
        <v>0</v>
      </c>
      <c r="N554" t="n">
        <v>0</v>
      </c>
      <c r="O554" t="n">
        <v>0</v>
      </c>
      <c r="P554" t="n">
        <v>0</v>
      </c>
      <c r="Q554" t="n">
        <v>0</v>
      </c>
      <c r="R554" s="2" t="inlineStr"/>
    </row>
    <row r="555" ht="15" customHeight="1">
      <c r="A555" t="inlineStr">
        <is>
          <t>A 52293-2024</t>
        </is>
      </c>
      <c r="B555" s="1" t="n">
        <v>45608.71297453704</v>
      </c>
      <c r="C555" s="1" t="n">
        <v>45939</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46876-2023</t>
        </is>
      </c>
      <c r="B556" s="1" t="n">
        <v>45200</v>
      </c>
      <c r="C556" s="1" t="n">
        <v>45939</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9857-2025</t>
        </is>
      </c>
      <c r="B557" s="1" t="n">
        <v>45716.62609953704</v>
      </c>
      <c r="C557" s="1" t="n">
        <v>45939</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40181-2023</t>
        </is>
      </c>
      <c r="B558" s="1" t="n">
        <v>45169</v>
      </c>
      <c r="C558" s="1" t="n">
        <v>45939</v>
      </c>
      <c r="D558" t="inlineStr">
        <is>
          <t>DALARNAS LÄN</t>
        </is>
      </c>
      <c r="E558" t="inlineStr">
        <is>
          <t>LEKSAND</t>
        </is>
      </c>
      <c r="G558" t="n">
        <v>2.8</v>
      </c>
      <c r="H558" t="n">
        <v>0</v>
      </c>
      <c r="I558" t="n">
        <v>0</v>
      </c>
      <c r="J558" t="n">
        <v>0</v>
      </c>
      <c r="K558" t="n">
        <v>0</v>
      </c>
      <c r="L558" t="n">
        <v>0</v>
      </c>
      <c r="M558" t="n">
        <v>0</v>
      </c>
      <c r="N558" t="n">
        <v>0</v>
      </c>
      <c r="O558" t="n">
        <v>0</v>
      </c>
      <c r="P558" t="n">
        <v>0</v>
      </c>
      <c r="Q558" t="n">
        <v>0</v>
      </c>
      <c r="R558" s="2" t="inlineStr"/>
    </row>
    <row r="559" ht="15" customHeight="1">
      <c r="A559" t="inlineStr">
        <is>
          <t>A 1267-2025</t>
        </is>
      </c>
      <c r="B559" s="1" t="n">
        <v>45667</v>
      </c>
      <c r="C559" s="1" t="n">
        <v>45939</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42230-2023</t>
        </is>
      </c>
      <c r="B560" s="1" t="n">
        <v>45180</v>
      </c>
      <c r="C560" s="1" t="n">
        <v>45939</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3183-2025</t>
        </is>
      </c>
      <c r="B561" s="1" t="n">
        <v>45679.40298611111</v>
      </c>
      <c r="C561" s="1" t="n">
        <v>45939</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59751-2024</t>
        </is>
      </c>
      <c r="B562" s="1" t="n">
        <v>45638</v>
      </c>
      <c r="C562" s="1" t="n">
        <v>45939</v>
      </c>
      <c r="D562" t="inlineStr">
        <is>
          <t>DALARNAS LÄN</t>
        </is>
      </c>
      <c r="E562" t="inlineStr">
        <is>
          <t>LEKSAND</t>
        </is>
      </c>
      <c r="G562" t="n">
        <v>5.2</v>
      </c>
      <c r="H562" t="n">
        <v>0</v>
      </c>
      <c r="I562" t="n">
        <v>0</v>
      </c>
      <c r="J562" t="n">
        <v>0</v>
      </c>
      <c r="K562" t="n">
        <v>0</v>
      </c>
      <c r="L562" t="n">
        <v>0</v>
      </c>
      <c r="M562" t="n">
        <v>0</v>
      </c>
      <c r="N562" t="n">
        <v>0</v>
      </c>
      <c r="O562" t="n">
        <v>0</v>
      </c>
      <c r="P562" t="n">
        <v>0</v>
      </c>
      <c r="Q562" t="n">
        <v>0</v>
      </c>
      <c r="R562" s="2" t="inlineStr"/>
    </row>
    <row r="563" ht="15" customHeight="1">
      <c r="A563" t="inlineStr">
        <is>
          <t>A 26386-2025</t>
        </is>
      </c>
      <c r="B563" s="1" t="n">
        <v>45806</v>
      </c>
      <c r="C563" s="1" t="n">
        <v>45939</v>
      </c>
      <c r="D563" t="inlineStr">
        <is>
          <t>DALARNAS LÄN</t>
        </is>
      </c>
      <c r="E563" t="inlineStr">
        <is>
          <t>LEKSAND</t>
        </is>
      </c>
      <c r="F563" t="inlineStr">
        <is>
          <t>Bergvik skog väst AB</t>
        </is>
      </c>
      <c r="G563" t="n">
        <v>26.3</v>
      </c>
      <c r="H563" t="n">
        <v>0</v>
      </c>
      <c r="I563" t="n">
        <v>0</v>
      </c>
      <c r="J563" t="n">
        <v>0</v>
      </c>
      <c r="K563" t="n">
        <v>0</v>
      </c>
      <c r="L563" t="n">
        <v>0</v>
      </c>
      <c r="M563" t="n">
        <v>0</v>
      </c>
      <c r="N563" t="n">
        <v>0</v>
      </c>
      <c r="O563" t="n">
        <v>0</v>
      </c>
      <c r="P563" t="n">
        <v>0</v>
      </c>
      <c r="Q563" t="n">
        <v>0</v>
      </c>
      <c r="R563" s="2" t="inlineStr"/>
    </row>
    <row r="564" ht="15" customHeight="1">
      <c r="A564" t="inlineStr">
        <is>
          <t>A 54917-2024</t>
        </is>
      </c>
      <c r="B564" s="1" t="n">
        <v>45618.69581018519</v>
      </c>
      <c r="C564" s="1" t="n">
        <v>45939</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19700-2025</t>
        </is>
      </c>
      <c r="B565" s="1" t="n">
        <v>45771.32445601852</v>
      </c>
      <c r="C565" s="1" t="n">
        <v>45939</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25329-2022</t>
        </is>
      </c>
      <c r="B566" s="1" t="n">
        <v>44731.8799537037</v>
      </c>
      <c r="C566" s="1" t="n">
        <v>45939</v>
      </c>
      <c r="D566" t="inlineStr">
        <is>
          <t>DALARNAS LÄN</t>
        </is>
      </c>
      <c r="E566" t="inlineStr">
        <is>
          <t>LEKSAND</t>
        </is>
      </c>
      <c r="G566" t="n">
        <v>1.4</v>
      </c>
      <c r="H566" t="n">
        <v>0</v>
      </c>
      <c r="I566" t="n">
        <v>0</v>
      </c>
      <c r="J566" t="n">
        <v>0</v>
      </c>
      <c r="K566" t="n">
        <v>0</v>
      </c>
      <c r="L566" t="n">
        <v>0</v>
      </c>
      <c r="M566" t="n">
        <v>0</v>
      </c>
      <c r="N566" t="n">
        <v>0</v>
      </c>
      <c r="O566" t="n">
        <v>0</v>
      </c>
      <c r="P566" t="n">
        <v>0</v>
      </c>
      <c r="Q566" t="n">
        <v>0</v>
      </c>
      <c r="R566" s="2" t="inlineStr"/>
    </row>
    <row r="567" ht="15" customHeight="1">
      <c r="A567" t="inlineStr">
        <is>
          <t>A 26423-2025</t>
        </is>
      </c>
      <c r="B567" s="1" t="n">
        <v>45807.37829861111</v>
      </c>
      <c r="C567" s="1" t="n">
        <v>45939</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27323-2025</t>
        </is>
      </c>
      <c r="B568" s="1" t="n">
        <v>45812.60392361111</v>
      </c>
      <c r="C568" s="1" t="n">
        <v>45939</v>
      </c>
      <c r="D568" t="inlineStr">
        <is>
          <t>DALARNAS LÄN</t>
        </is>
      </c>
      <c r="E568" t="inlineStr">
        <is>
          <t>LEKSAND</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8045-2024</t>
        </is>
      </c>
      <c r="B569" s="1" t="n">
        <v>45351.31371527778</v>
      </c>
      <c r="C569" s="1" t="n">
        <v>45939</v>
      </c>
      <c r="D569" t="inlineStr">
        <is>
          <t>DALARNAS LÄN</t>
        </is>
      </c>
      <c r="E569" t="inlineStr">
        <is>
          <t>LEKSAND</t>
        </is>
      </c>
      <c r="G569" t="n">
        <v>6.7</v>
      </c>
      <c r="H569" t="n">
        <v>0</v>
      </c>
      <c r="I569" t="n">
        <v>0</v>
      </c>
      <c r="J569" t="n">
        <v>0</v>
      </c>
      <c r="K569" t="n">
        <v>0</v>
      </c>
      <c r="L569" t="n">
        <v>0</v>
      </c>
      <c r="M569" t="n">
        <v>0</v>
      </c>
      <c r="N569" t="n">
        <v>0</v>
      </c>
      <c r="O569" t="n">
        <v>0</v>
      </c>
      <c r="P569" t="n">
        <v>0</v>
      </c>
      <c r="Q569" t="n">
        <v>0</v>
      </c>
      <c r="R569" s="2" t="inlineStr"/>
    </row>
    <row r="570" ht="15" customHeight="1">
      <c r="A570" t="inlineStr">
        <is>
          <t>A 776-2021</t>
        </is>
      </c>
      <c r="B570" s="1" t="n">
        <v>44203</v>
      </c>
      <c r="C570" s="1" t="n">
        <v>45939</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57013-2023</t>
        </is>
      </c>
      <c r="B571" s="1" t="n">
        <v>45244</v>
      </c>
      <c r="C571" s="1" t="n">
        <v>45939</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27183-2025</t>
        </is>
      </c>
      <c r="B572" s="1" t="n">
        <v>45812.36097222222</v>
      </c>
      <c r="C572" s="1" t="n">
        <v>45939</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27262-2025</t>
        </is>
      </c>
      <c r="B573" s="1" t="n">
        <v>45812</v>
      </c>
      <c r="C573" s="1" t="n">
        <v>45939</v>
      </c>
      <c r="D573" t="inlineStr">
        <is>
          <t>DALARNAS LÄN</t>
        </is>
      </c>
      <c r="E573" t="inlineStr">
        <is>
          <t>LEKSAND</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27329-2025</t>
        </is>
      </c>
      <c r="B574" s="1" t="n">
        <v>45812.60864583333</v>
      </c>
      <c r="C574" s="1" t="n">
        <v>45939</v>
      </c>
      <c r="D574" t="inlineStr">
        <is>
          <t>DALARNAS LÄN</t>
        </is>
      </c>
      <c r="E574" t="inlineStr">
        <is>
          <t>LEKSAND</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27332-2025</t>
        </is>
      </c>
      <c r="B575" s="1" t="n">
        <v>45812.61265046296</v>
      </c>
      <c r="C575" s="1" t="n">
        <v>45939</v>
      </c>
      <c r="D575" t="inlineStr">
        <is>
          <t>DALARNAS LÄN</t>
        </is>
      </c>
      <c r="E575" t="inlineStr">
        <is>
          <t>LEKSAND</t>
        </is>
      </c>
      <c r="F575" t="inlineStr">
        <is>
          <t>Bergvik skog väst AB</t>
        </is>
      </c>
      <c r="G575" t="n">
        <v>2.9</v>
      </c>
      <c r="H575" t="n">
        <v>0</v>
      </c>
      <c r="I575" t="n">
        <v>0</v>
      </c>
      <c r="J575" t="n">
        <v>0</v>
      </c>
      <c r="K575" t="n">
        <v>0</v>
      </c>
      <c r="L575" t="n">
        <v>0</v>
      </c>
      <c r="M575" t="n">
        <v>0</v>
      </c>
      <c r="N575" t="n">
        <v>0</v>
      </c>
      <c r="O575" t="n">
        <v>0</v>
      </c>
      <c r="P575" t="n">
        <v>0</v>
      </c>
      <c r="Q575" t="n">
        <v>0</v>
      </c>
      <c r="R575" s="2" t="inlineStr"/>
    </row>
    <row r="576" ht="15" customHeight="1">
      <c r="A576" t="inlineStr">
        <is>
          <t>A 27682-2025</t>
        </is>
      </c>
      <c r="B576" s="1" t="n">
        <v>45813.64782407408</v>
      </c>
      <c r="C576" s="1" t="n">
        <v>45939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37832-2023</t>
        </is>
      </c>
      <c r="B577" s="1" t="n">
        <v>45160.3479050926</v>
      </c>
      <c r="C577" s="1" t="n">
        <v>45939</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27705-2025</t>
        </is>
      </c>
      <c r="B578" s="1" t="n">
        <v>45813</v>
      </c>
      <c r="C578" s="1" t="n">
        <v>45939</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27680-2025</t>
        </is>
      </c>
      <c r="B579" s="1" t="n">
        <v>45813.64618055556</v>
      </c>
      <c r="C579" s="1" t="n">
        <v>45939</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45939</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28483-2025</t>
        </is>
      </c>
      <c r="B581" s="1" t="n">
        <v>45818</v>
      </c>
      <c r="C581" s="1" t="n">
        <v>45939</v>
      </c>
      <c r="D581" t="inlineStr">
        <is>
          <t>DALARNAS LÄN</t>
        </is>
      </c>
      <c r="E581" t="inlineStr">
        <is>
          <t>LEKSAND</t>
        </is>
      </c>
      <c r="F581" t="inlineStr">
        <is>
          <t>Bergvik skog väst AB</t>
        </is>
      </c>
      <c r="G581" t="n">
        <v>1.6</v>
      </c>
      <c r="H581" t="n">
        <v>0</v>
      </c>
      <c r="I581" t="n">
        <v>0</v>
      </c>
      <c r="J581" t="n">
        <v>0</v>
      </c>
      <c r="K581" t="n">
        <v>0</v>
      </c>
      <c r="L581" t="n">
        <v>0</v>
      </c>
      <c r="M581" t="n">
        <v>0</v>
      </c>
      <c r="N581" t="n">
        <v>0</v>
      </c>
      <c r="O581" t="n">
        <v>0</v>
      </c>
      <c r="P581" t="n">
        <v>0</v>
      </c>
      <c r="Q581" t="n">
        <v>0</v>
      </c>
      <c r="R581" s="2" t="inlineStr"/>
    </row>
    <row r="582" ht="15" customHeight="1">
      <c r="A582" t="inlineStr">
        <is>
          <t>A 6778-2025</t>
        </is>
      </c>
      <c r="B582" s="1" t="n">
        <v>45700.64615740741</v>
      </c>
      <c r="C582" s="1" t="n">
        <v>45939</v>
      </c>
      <c r="D582" t="inlineStr">
        <is>
          <t>DALARNAS LÄN</t>
        </is>
      </c>
      <c r="E582" t="inlineStr">
        <is>
          <t>LEKSAND</t>
        </is>
      </c>
      <c r="G582" t="n">
        <v>2.4</v>
      </c>
      <c r="H582" t="n">
        <v>0</v>
      </c>
      <c r="I582" t="n">
        <v>0</v>
      </c>
      <c r="J582" t="n">
        <v>0</v>
      </c>
      <c r="K582" t="n">
        <v>0</v>
      </c>
      <c r="L582" t="n">
        <v>0</v>
      </c>
      <c r="M582" t="n">
        <v>0</v>
      </c>
      <c r="N582" t="n">
        <v>0</v>
      </c>
      <c r="O582" t="n">
        <v>0</v>
      </c>
      <c r="P582" t="n">
        <v>0</v>
      </c>
      <c r="Q582" t="n">
        <v>0</v>
      </c>
      <c r="R582" s="2" t="inlineStr"/>
    </row>
    <row r="583" ht="15" customHeight="1">
      <c r="A583" t="inlineStr">
        <is>
          <t>A 28505-2025</t>
        </is>
      </c>
      <c r="B583" s="1" t="n">
        <v>45818</v>
      </c>
      <c r="C583" s="1" t="n">
        <v>45939</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28499-2025</t>
        </is>
      </c>
      <c r="B584" s="1" t="n">
        <v>45818</v>
      </c>
      <c r="C584" s="1" t="n">
        <v>45939</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27984-2025</t>
        </is>
      </c>
      <c r="B585" s="1" t="n">
        <v>45817.57710648148</v>
      </c>
      <c r="C585" s="1" t="n">
        <v>45939</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43419-2024</t>
        </is>
      </c>
      <c r="B586" s="1" t="n">
        <v>45568</v>
      </c>
      <c r="C586" s="1" t="n">
        <v>45939</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28488-2025</t>
        </is>
      </c>
      <c r="B587" s="1" t="n">
        <v>45818</v>
      </c>
      <c r="C587" s="1" t="n">
        <v>45939</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39595-2023</t>
        </is>
      </c>
      <c r="B588" s="1" t="n">
        <v>45167</v>
      </c>
      <c r="C588" s="1" t="n">
        <v>45939</v>
      </c>
      <c r="D588" t="inlineStr">
        <is>
          <t>DALARNAS LÄN</t>
        </is>
      </c>
      <c r="E588" t="inlineStr">
        <is>
          <t>LEKSAND</t>
        </is>
      </c>
      <c r="G588" t="n">
        <v>0.9</v>
      </c>
      <c r="H588" t="n">
        <v>0</v>
      </c>
      <c r="I588" t="n">
        <v>0</v>
      </c>
      <c r="J588" t="n">
        <v>0</v>
      </c>
      <c r="K588" t="n">
        <v>0</v>
      </c>
      <c r="L588" t="n">
        <v>0</v>
      </c>
      <c r="M588" t="n">
        <v>0</v>
      </c>
      <c r="N588" t="n">
        <v>0</v>
      </c>
      <c r="O588" t="n">
        <v>0</v>
      </c>
      <c r="P588" t="n">
        <v>0</v>
      </c>
      <c r="Q588" t="n">
        <v>0</v>
      </c>
      <c r="R588" s="2" t="inlineStr"/>
    </row>
    <row r="589" ht="15" customHeight="1">
      <c r="A589" t="inlineStr">
        <is>
          <t>A 24481-2024</t>
        </is>
      </c>
      <c r="B589" s="1" t="n">
        <v>45459.36460648148</v>
      </c>
      <c r="C589" s="1" t="n">
        <v>45939</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17606-2024</t>
        </is>
      </c>
      <c r="B590" s="1" t="n">
        <v>45415</v>
      </c>
      <c r="C590" s="1" t="n">
        <v>45939</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28770-2025</t>
        </is>
      </c>
      <c r="B591" s="1" t="n">
        <v>45820</v>
      </c>
      <c r="C591" s="1" t="n">
        <v>45939</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28458-2025</t>
        </is>
      </c>
      <c r="B592" s="1" t="n">
        <v>45819.413125</v>
      </c>
      <c r="C592" s="1" t="n">
        <v>45939</v>
      </c>
      <c r="D592" t="inlineStr">
        <is>
          <t>DALARNAS LÄN</t>
        </is>
      </c>
      <c r="E592" t="inlineStr">
        <is>
          <t>LEKSAND</t>
        </is>
      </c>
      <c r="G592" t="n">
        <v>3</v>
      </c>
      <c r="H592" t="n">
        <v>0</v>
      </c>
      <c r="I592" t="n">
        <v>0</v>
      </c>
      <c r="J592" t="n">
        <v>0</v>
      </c>
      <c r="K592" t="n">
        <v>0</v>
      </c>
      <c r="L592" t="n">
        <v>0</v>
      </c>
      <c r="M592" t="n">
        <v>0</v>
      </c>
      <c r="N592" t="n">
        <v>0</v>
      </c>
      <c r="O592" t="n">
        <v>0</v>
      </c>
      <c r="P592" t="n">
        <v>0</v>
      </c>
      <c r="Q592" t="n">
        <v>0</v>
      </c>
      <c r="R592" s="2" t="inlineStr"/>
    </row>
    <row r="593" ht="15" customHeight="1">
      <c r="A593" t="inlineStr">
        <is>
          <t>A 29005-2025</t>
        </is>
      </c>
      <c r="B593" s="1" t="n">
        <v>45821.39326388889</v>
      </c>
      <c r="C593" s="1" t="n">
        <v>45939</v>
      </c>
      <c r="D593" t="inlineStr">
        <is>
          <t>DALARNAS LÄN</t>
        </is>
      </c>
      <c r="E593" t="inlineStr">
        <is>
          <t>LEKSAND</t>
        </is>
      </c>
      <c r="G593" t="n">
        <v>2.1</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45939</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28985-2025</t>
        </is>
      </c>
      <c r="B595" s="1" t="n">
        <v>45821.36862268519</v>
      </c>
      <c r="C595" s="1" t="n">
        <v>45939</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61054-2023</t>
        </is>
      </c>
      <c r="B596" s="1" t="n">
        <v>45261</v>
      </c>
      <c r="C596" s="1" t="n">
        <v>45939</v>
      </c>
      <c r="D596" t="inlineStr">
        <is>
          <t>DALARNAS LÄN</t>
        </is>
      </c>
      <c r="E596" t="inlineStr">
        <is>
          <t>LEKSAND</t>
        </is>
      </c>
      <c r="G596" t="n">
        <v>0.4</v>
      </c>
      <c r="H596" t="n">
        <v>0</v>
      </c>
      <c r="I596" t="n">
        <v>0</v>
      </c>
      <c r="J596" t="n">
        <v>0</v>
      </c>
      <c r="K596" t="n">
        <v>0</v>
      </c>
      <c r="L596" t="n">
        <v>0</v>
      </c>
      <c r="M596" t="n">
        <v>0</v>
      </c>
      <c r="N596" t="n">
        <v>0</v>
      </c>
      <c r="O596" t="n">
        <v>0</v>
      </c>
      <c r="P596" t="n">
        <v>0</v>
      </c>
      <c r="Q596" t="n">
        <v>0</v>
      </c>
      <c r="R596" s="2" t="inlineStr"/>
    </row>
    <row r="597" ht="15" customHeight="1">
      <c r="A597" t="inlineStr">
        <is>
          <t>A 61056-2023</t>
        </is>
      </c>
      <c r="B597" s="1" t="n">
        <v>45261</v>
      </c>
      <c r="C597" s="1" t="n">
        <v>45939</v>
      </c>
      <c r="D597" t="inlineStr">
        <is>
          <t>DALARNAS LÄN</t>
        </is>
      </c>
      <c r="E597" t="inlineStr">
        <is>
          <t>LEKSAND</t>
        </is>
      </c>
      <c r="G597" t="n">
        <v>0.3</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45707.30268518518</v>
      </c>
      <c r="C598" s="1" t="n">
        <v>45939</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58877-2023</t>
        </is>
      </c>
      <c r="B599" s="1" t="n">
        <v>45252</v>
      </c>
      <c r="C599" s="1" t="n">
        <v>45939</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17455-2022</t>
        </is>
      </c>
      <c r="B600" s="1" t="n">
        <v>44679.3775</v>
      </c>
      <c r="C600" s="1" t="n">
        <v>45939</v>
      </c>
      <c r="D600" t="inlineStr">
        <is>
          <t>DALARNAS LÄN</t>
        </is>
      </c>
      <c r="E600" t="inlineStr">
        <is>
          <t>LEKSAND</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29729-2025</t>
        </is>
      </c>
      <c r="B601" s="1" t="n">
        <v>45825.58077546296</v>
      </c>
      <c r="C601" s="1" t="n">
        <v>45939</v>
      </c>
      <c r="D601" t="inlineStr">
        <is>
          <t>DALARNAS LÄN</t>
        </is>
      </c>
      <c r="E601" t="inlineStr">
        <is>
          <t>LEKSAND</t>
        </is>
      </c>
      <c r="F601" t="inlineStr">
        <is>
          <t>Bergvik skog väst AB</t>
        </is>
      </c>
      <c r="G601" t="n">
        <v>4.3</v>
      </c>
      <c r="H601" t="n">
        <v>0</v>
      </c>
      <c r="I601" t="n">
        <v>0</v>
      </c>
      <c r="J601" t="n">
        <v>0</v>
      </c>
      <c r="K601" t="n">
        <v>0</v>
      </c>
      <c r="L601" t="n">
        <v>0</v>
      </c>
      <c r="M601" t="n">
        <v>0</v>
      </c>
      <c r="N601" t="n">
        <v>0</v>
      </c>
      <c r="O601" t="n">
        <v>0</v>
      </c>
      <c r="P601" t="n">
        <v>0</v>
      </c>
      <c r="Q601" t="n">
        <v>0</v>
      </c>
      <c r="R601" s="2" t="inlineStr"/>
    </row>
    <row r="602" ht="15" customHeight="1">
      <c r="A602" t="inlineStr">
        <is>
          <t>A 60040-2023</t>
        </is>
      </c>
      <c r="B602" s="1" t="n">
        <v>45256</v>
      </c>
      <c r="C602" s="1" t="n">
        <v>45939</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45939</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45939</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29553-2025</t>
        </is>
      </c>
      <c r="B605" s="1" t="n">
        <v>45825.35315972222</v>
      </c>
      <c r="C605" s="1" t="n">
        <v>45939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30254-2025</t>
        </is>
      </c>
      <c r="B606" s="1" t="n">
        <v>45827.42336805556</v>
      </c>
      <c r="C606" s="1" t="n">
        <v>45939</v>
      </c>
      <c r="D606" t="inlineStr">
        <is>
          <t>DALARNAS LÄN</t>
        </is>
      </c>
      <c r="E606" t="inlineStr">
        <is>
          <t>LEKSAND</t>
        </is>
      </c>
      <c r="G606" t="n">
        <v>3.5</v>
      </c>
      <c r="H606" t="n">
        <v>0</v>
      </c>
      <c r="I606" t="n">
        <v>0</v>
      </c>
      <c r="J606" t="n">
        <v>0</v>
      </c>
      <c r="K606" t="n">
        <v>0</v>
      </c>
      <c r="L606" t="n">
        <v>0</v>
      </c>
      <c r="M606" t="n">
        <v>0</v>
      </c>
      <c r="N606" t="n">
        <v>0</v>
      </c>
      <c r="O606" t="n">
        <v>0</v>
      </c>
      <c r="P606" t="n">
        <v>0</v>
      </c>
      <c r="Q606" t="n">
        <v>0</v>
      </c>
      <c r="R606" s="2" t="inlineStr"/>
    </row>
    <row r="607" ht="15" customHeight="1">
      <c r="A607" t="inlineStr">
        <is>
          <t>A 22681-2022</t>
        </is>
      </c>
      <c r="B607" s="1" t="n">
        <v>44714.50961805556</v>
      </c>
      <c r="C607" s="1" t="n">
        <v>45939</v>
      </c>
      <c r="D607" t="inlineStr">
        <is>
          <t>DALARNAS LÄN</t>
        </is>
      </c>
      <c r="E607" t="inlineStr">
        <is>
          <t>LEKSAND</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30196-2023</t>
        </is>
      </c>
      <c r="B608" s="1" t="n">
        <v>45110</v>
      </c>
      <c r="C608" s="1" t="n">
        <v>45939</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45939</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45939</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45939</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30911-2025</t>
        </is>
      </c>
      <c r="B612" s="1" t="n">
        <v>45832.37547453704</v>
      </c>
      <c r="C612" s="1" t="n">
        <v>45939</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46446-2023</t>
        </is>
      </c>
      <c r="B613" s="1" t="n">
        <v>45197.59344907408</v>
      </c>
      <c r="C613" s="1" t="n">
        <v>45939</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45939</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30916-2025</t>
        </is>
      </c>
      <c r="B615" s="1" t="n">
        <v>45832.37885416667</v>
      </c>
      <c r="C615" s="1" t="n">
        <v>45939</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30973-2025</t>
        </is>
      </c>
      <c r="B616" s="1" t="n">
        <v>45832.46300925926</v>
      </c>
      <c r="C616" s="1" t="n">
        <v>45939</v>
      </c>
      <c r="D616" t="inlineStr">
        <is>
          <t>DALARNAS LÄN</t>
        </is>
      </c>
      <c r="E616" t="inlineStr">
        <is>
          <t>LEKSAND</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31189-2025</t>
        </is>
      </c>
      <c r="B617" s="1" t="n">
        <v>45832.6799537037</v>
      </c>
      <c r="C617" s="1" t="n">
        <v>45939</v>
      </c>
      <c r="D617" t="inlineStr">
        <is>
          <t>DALARNAS LÄN</t>
        </is>
      </c>
      <c r="E617" t="inlineStr">
        <is>
          <t>LEKSAND</t>
        </is>
      </c>
      <c r="G617" t="n">
        <v>5</v>
      </c>
      <c r="H617" t="n">
        <v>0</v>
      </c>
      <c r="I617" t="n">
        <v>0</v>
      </c>
      <c r="J617" t="n">
        <v>0</v>
      </c>
      <c r="K617" t="n">
        <v>0</v>
      </c>
      <c r="L617" t="n">
        <v>0</v>
      </c>
      <c r="M617" t="n">
        <v>0</v>
      </c>
      <c r="N617" t="n">
        <v>0</v>
      </c>
      <c r="O617" t="n">
        <v>0</v>
      </c>
      <c r="P617" t="n">
        <v>0</v>
      </c>
      <c r="Q617" t="n">
        <v>0</v>
      </c>
      <c r="R617" s="2" t="inlineStr"/>
    </row>
    <row r="618" ht="15" customHeight="1">
      <c r="A618" t="inlineStr">
        <is>
          <t>A 31619-2025</t>
        </is>
      </c>
      <c r="B618" s="1" t="n">
        <v>45833</v>
      </c>
      <c r="C618" s="1" t="n">
        <v>45939</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54682-2023</t>
        </is>
      </c>
      <c r="B619" s="1" t="n">
        <v>45235.90439814814</v>
      </c>
      <c r="C619" s="1" t="n">
        <v>45939</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31446-2025</t>
        </is>
      </c>
      <c r="B620" s="1" t="n">
        <v>45833</v>
      </c>
      <c r="C620" s="1" t="n">
        <v>45939</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31787-2025</t>
        </is>
      </c>
      <c r="B621" s="1" t="n">
        <v>45834</v>
      </c>
      <c r="C621" s="1" t="n">
        <v>45939</v>
      </c>
      <c r="D621" t="inlineStr">
        <is>
          <t>DALARNAS LÄN</t>
        </is>
      </c>
      <c r="E621" t="inlineStr">
        <is>
          <t>LEKSAND</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31493-2025</t>
        </is>
      </c>
      <c r="B622" s="1" t="n">
        <v>45833</v>
      </c>
      <c r="C622" s="1" t="n">
        <v>45939</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1463-2024</t>
        </is>
      </c>
      <c r="B623" s="1" t="n">
        <v>45303</v>
      </c>
      <c r="C623" s="1" t="n">
        <v>45939</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32104-2025</t>
        </is>
      </c>
      <c r="B624" s="1" t="n">
        <v>45835</v>
      </c>
      <c r="C624" s="1" t="n">
        <v>45939</v>
      </c>
      <c r="D624" t="inlineStr">
        <is>
          <t>DALARNAS LÄN</t>
        </is>
      </c>
      <c r="E624" t="inlineStr">
        <is>
          <t>LEKSAND</t>
        </is>
      </c>
      <c r="G624" t="n">
        <v>3.1</v>
      </c>
      <c r="H624" t="n">
        <v>0</v>
      </c>
      <c r="I624" t="n">
        <v>0</v>
      </c>
      <c r="J624" t="n">
        <v>0</v>
      </c>
      <c r="K624" t="n">
        <v>0</v>
      </c>
      <c r="L624" t="n">
        <v>0</v>
      </c>
      <c r="M624" t="n">
        <v>0</v>
      </c>
      <c r="N624" t="n">
        <v>0</v>
      </c>
      <c r="O624" t="n">
        <v>0</v>
      </c>
      <c r="P624" t="n">
        <v>0</v>
      </c>
      <c r="Q624" t="n">
        <v>0</v>
      </c>
      <c r="R624" s="2" t="inlineStr"/>
    </row>
    <row r="625" ht="15" customHeight="1">
      <c r="A625" t="inlineStr">
        <is>
          <t>A 32593-2025</t>
        </is>
      </c>
      <c r="B625" s="1" t="n">
        <v>45838</v>
      </c>
      <c r="C625" s="1" t="n">
        <v>45939</v>
      </c>
      <c r="D625" t="inlineStr">
        <is>
          <t>DALARNAS LÄN</t>
        </is>
      </c>
      <c r="E625" t="inlineStr">
        <is>
          <t>LEKSAND</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32661-2025</t>
        </is>
      </c>
      <c r="B626" s="1" t="n">
        <v>45838.67953703704</v>
      </c>
      <c r="C626" s="1" t="n">
        <v>45939</v>
      </c>
      <c r="D626" t="inlineStr">
        <is>
          <t>DALARNAS LÄN</t>
        </is>
      </c>
      <c r="E626" t="inlineStr">
        <is>
          <t>LEKSAND</t>
        </is>
      </c>
      <c r="G626" t="n">
        <v>0.8</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45939</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30000-2023</t>
        </is>
      </c>
      <c r="B628" s="1" t="n">
        <v>45109.71128472222</v>
      </c>
      <c r="C628" s="1" t="n">
        <v>45939</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32653-2025</t>
        </is>
      </c>
      <c r="B629" s="1" t="n">
        <v>45838</v>
      </c>
      <c r="C629" s="1" t="n">
        <v>45939</v>
      </c>
      <c r="D629" t="inlineStr">
        <is>
          <t>DALARNAS LÄN</t>
        </is>
      </c>
      <c r="E629" t="inlineStr">
        <is>
          <t>LEKSAND</t>
        </is>
      </c>
      <c r="G629" t="n">
        <v>5.6</v>
      </c>
      <c r="H629" t="n">
        <v>0</v>
      </c>
      <c r="I629" t="n">
        <v>0</v>
      </c>
      <c r="J629" t="n">
        <v>0</v>
      </c>
      <c r="K629" t="n">
        <v>0</v>
      </c>
      <c r="L629" t="n">
        <v>0</v>
      </c>
      <c r="M629" t="n">
        <v>0</v>
      </c>
      <c r="N629" t="n">
        <v>0</v>
      </c>
      <c r="O629" t="n">
        <v>0</v>
      </c>
      <c r="P629" t="n">
        <v>0</v>
      </c>
      <c r="Q629" t="n">
        <v>0</v>
      </c>
      <c r="R629" s="2" t="inlineStr"/>
    </row>
    <row r="630" ht="15" customHeight="1">
      <c r="A630" t="inlineStr">
        <is>
          <t>A 17282-2025</t>
        </is>
      </c>
      <c r="B630" s="1" t="n">
        <v>45756.57114583333</v>
      </c>
      <c r="C630" s="1" t="n">
        <v>45939</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12923-2025</t>
        </is>
      </c>
      <c r="B631" s="1" t="n">
        <v>45734.29193287037</v>
      </c>
      <c r="C631" s="1" t="n">
        <v>45939</v>
      </c>
      <c r="D631" t="inlineStr">
        <is>
          <t>DALARNAS LÄN</t>
        </is>
      </c>
      <c r="E631" t="inlineStr">
        <is>
          <t>LEKSAND</t>
        </is>
      </c>
      <c r="G631" t="n">
        <v>7.2</v>
      </c>
      <c r="H631" t="n">
        <v>0</v>
      </c>
      <c r="I631" t="n">
        <v>0</v>
      </c>
      <c r="J631" t="n">
        <v>0</v>
      </c>
      <c r="K631" t="n">
        <v>0</v>
      </c>
      <c r="L631" t="n">
        <v>0</v>
      </c>
      <c r="M631" t="n">
        <v>0</v>
      </c>
      <c r="N631" t="n">
        <v>0</v>
      </c>
      <c r="O631" t="n">
        <v>0</v>
      </c>
      <c r="P631" t="n">
        <v>0</v>
      </c>
      <c r="Q631" t="n">
        <v>0</v>
      </c>
      <c r="R631" s="2" t="inlineStr"/>
    </row>
    <row r="632" ht="15" customHeight="1">
      <c r="A632" t="inlineStr">
        <is>
          <t>A 31945-2025</t>
        </is>
      </c>
      <c r="B632" s="1" t="n">
        <v>45835</v>
      </c>
      <c r="C632" s="1" t="n">
        <v>45939</v>
      </c>
      <c r="D632" t="inlineStr">
        <is>
          <t>DALARNAS LÄN</t>
        </is>
      </c>
      <c r="E632" t="inlineStr">
        <is>
          <t>LEKSAND</t>
        </is>
      </c>
      <c r="G632" t="n">
        <v>0.8</v>
      </c>
      <c r="H632" t="n">
        <v>0</v>
      </c>
      <c r="I632" t="n">
        <v>0</v>
      </c>
      <c r="J632" t="n">
        <v>0</v>
      </c>
      <c r="K632" t="n">
        <v>0</v>
      </c>
      <c r="L632" t="n">
        <v>0</v>
      </c>
      <c r="M632" t="n">
        <v>0</v>
      </c>
      <c r="N632" t="n">
        <v>0</v>
      </c>
      <c r="O632" t="n">
        <v>0</v>
      </c>
      <c r="P632" t="n">
        <v>0</v>
      </c>
      <c r="Q632" t="n">
        <v>0</v>
      </c>
      <c r="R632" s="2" t="inlineStr"/>
    </row>
    <row r="633" ht="15" customHeight="1">
      <c r="A633" t="inlineStr">
        <is>
          <t>A 32726-2025</t>
        </is>
      </c>
      <c r="B633" s="1" t="n">
        <v>45839.3969212963</v>
      </c>
      <c r="C633" s="1" t="n">
        <v>45939</v>
      </c>
      <c r="D633" t="inlineStr">
        <is>
          <t>DALARNAS LÄN</t>
        </is>
      </c>
      <c r="E633" t="inlineStr">
        <is>
          <t>LEKSAND</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2820-2024</t>
        </is>
      </c>
      <c r="B634" s="1" t="n">
        <v>45314.76287037037</v>
      </c>
      <c r="C634" s="1" t="n">
        <v>45939</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2822-2024</t>
        </is>
      </c>
      <c r="B635" s="1" t="n">
        <v>45314.76622685185</v>
      </c>
      <c r="C635" s="1" t="n">
        <v>45939</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51320-2023</t>
        </is>
      </c>
      <c r="B636" s="1" t="n">
        <v>45219.57456018519</v>
      </c>
      <c r="C636" s="1" t="n">
        <v>45939</v>
      </c>
      <c r="D636" t="inlineStr">
        <is>
          <t>DALARNAS LÄN</t>
        </is>
      </c>
      <c r="E636" t="inlineStr">
        <is>
          <t>LEKSAND</t>
        </is>
      </c>
      <c r="G636" t="n">
        <v>2.1</v>
      </c>
      <c r="H636" t="n">
        <v>0</v>
      </c>
      <c r="I636" t="n">
        <v>0</v>
      </c>
      <c r="J636" t="n">
        <v>0</v>
      </c>
      <c r="K636" t="n">
        <v>0</v>
      </c>
      <c r="L636" t="n">
        <v>0</v>
      </c>
      <c r="M636" t="n">
        <v>0</v>
      </c>
      <c r="N636" t="n">
        <v>0</v>
      </c>
      <c r="O636" t="n">
        <v>0</v>
      </c>
      <c r="P636" t="n">
        <v>0</v>
      </c>
      <c r="Q636" t="n">
        <v>0</v>
      </c>
      <c r="R636" s="2" t="inlineStr"/>
    </row>
    <row r="637" ht="15" customHeight="1">
      <c r="A637" t="inlineStr">
        <is>
          <t>A 33160-2025</t>
        </is>
      </c>
      <c r="B637" s="1" t="n">
        <v>45840</v>
      </c>
      <c r="C637" s="1" t="n">
        <v>45939</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12621-2025</t>
        </is>
      </c>
      <c r="B638" s="1" t="n">
        <v>45733.3575</v>
      </c>
      <c r="C638" s="1" t="n">
        <v>45939</v>
      </c>
      <c r="D638" t="inlineStr">
        <is>
          <t>DALARNAS LÄN</t>
        </is>
      </c>
      <c r="E638" t="inlineStr">
        <is>
          <t>LEKSAND</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32855-2025</t>
        </is>
      </c>
      <c r="B639" s="1" t="n">
        <v>45839.57643518518</v>
      </c>
      <c r="C639" s="1" t="n">
        <v>45939</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51377-2023</t>
        </is>
      </c>
      <c r="B640" s="1" t="n">
        <v>45219</v>
      </c>
      <c r="C640" s="1" t="n">
        <v>45939</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59859-2023</t>
        </is>
      </c>
      <c r="B641" s="1" t="n">
        <v>45257</v>
      </c>
      <c r="C641" s="1" t="n">
        <v>45939</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19330-2025</t>
        </is>
      </c>
      <c r="B642" s="1" t="n">
        <v>45769</v>
      </c>
      <c r="C642" s="1" t="n">
        <v>45939</v>
      </c>
      <c r="D642" t="inlineStr">
        <is>
          <t>DALARNAS LÄN</t>
        </is>
      </c>
      <c r="E642" t="inlineStr">
        <is>
          <t>LEKSAND</t>
        </is>
      </c>
      <c r="G642" t="n">
        <v>1.6</v>
      </c>
      <c r="H642" t="n">
        <v>0</v>
      </c>
      <c r="I642" t="n">
        <v>0</v>
      </c>
      <c r="J642" t="n">
        <v>0</v>
      </c>
      <c r="K642" t="n">
        <v>0</v>
      </c>
      <c r="L642" t="n">
        <v>0</v>
      </c>
      <c r="M642" t="n">
        <v>0</v>
      </c>
      <c r="N642" t="n">
        <v>0</v>
      </c>
      <c r="O642" t="n">
        <v>0</v>
      </c>
      <c r="P642" t="n">
        <v>0</v>
      </c>
      <c r="Q642" t="n">
        <v>0</v>
      </c>
      <c r="R642" s="2" t="inlineStr"/>
    </row>
    <row r="643" ht="15" customHeight="1">
      <c r="A643" t="inlineStr">
        <is>
          <t>A 33804-2025</t>
        </is>
      </c>
      <c r="B643" s="1" t="n">
        <v>45842</v>
      </c>
      <c r="C643" s="1" t="n">
        <v>45939</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45943-2022</t>
        </is>
      </c>
      <c r="B644" s="1" t="n">
        <v>44846.64418981481</v>
      </c>
      <c r="C644" s="1" t="n">
        <v>45939</v>
      </c>
      <c r="D644" t="inlineStr">
        <is>
          <t>DALARNAS LÄN</t>
        </is>
      </c>
      <c r="E644" t="inlineStr">
        <is>
          <t>LEKSAND</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60878-2023</t>
        </is>
      </c>
      <c r="B645" s="1" t="n">
        <v>45259</v>
      </c>
      <c r="C645" s="1" t="n">
        <v>45939</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61502-2023</t>
        </is>
      </c>
      <c r="B646" s="1" t="n">
        <v>45264</v>
      </c>
      <c r="C646" s="1" t="n">
        <v>45939</v>
      </c>
      <c r="D646" t="inlineStr">
        <is>
          <t>DALARNAS LÄN</t>
        </is>
      </c>
      <c r="E646" t="inlineStr">
        <is>
          <t>LEKSAND</t>
        </is>
      </c>
      <c r="G646" t="n">
        <v>5.2</v>
      </c>
      <c r="H646" t="n">
        <v>0</v>
      </c>
      <c r="I646" t="n">
        <v>0</v>
      </c>
      <c r="J646" t="n">
        <v>0</v>
      </c>
      <c r="K646" t="n">
        <v>0</v>
      </c>
      <c r="L646" t="n">
        <v>0</v>
      </c>
      <c r="M646" t="n">
        <v>0</v>
      </c>
      <c r="N646" t="n">
        <v>0</v>
      </c>
      <c r="O646" t="n">
        <v>0</v>
      </c>
      <c r="P646" t="n">
        <v>0</v>
      </c>
      <c r="Q646" t="n">
        <v>0</v>
      </c>
      <c r="R646" s="2" t="inlineStr"/>
    </row>
    <row r="647" ht="15" customHeight="1">
      <c r="A647" t="inlineStr">
        <is>
          <t>A 28965-2023</t>
        </is>
      </c>
      <c r="B647" s="1" t="n">
        <v>45104</v>
      </c>
      <c r="C647" s="1" t="n">
        <v>45939</v>
      </c>
      <c r="D647" t="inlineStr">
        <is>
          <t>DALARNAS LÄN</t>
        </is>
      </c>
      <c r="E647" t="inlineStr">
        <is>
          <t>LEKSAND</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1719-2024</t>
        </is>
      </c>
      <c r="B648" s="1" t="n">
        <v>45307</v>
      </c>
      <c r="C648" s="1" t="n">
        <v>45939</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16744-2025</t>
        </is>
      </c>
      <c r="B649" s="1" t="n">
        <v>45754</v>
      </c>
      <c r="C649" s="1" t="n">
        <v>45939</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34789-2025</t>
        </is>
      </c>
      <c r="B650" s="1" t="n">
        <v>45848</v>
      </c>
      <c r="C650" s="1" t="n">
        <v>45939</v>
      </c>
      <c r="D650" t="inlineStr">
        <is>
          <t>DALARNAS LÄN</t>
        </is>
      </c>
      <c r="E650" t="inlineStr">
        <is>
          <t>LEKSAND</t>
        </is>
      </c>
      <c r="F650" t="inlineStr">
        <is>
          <t>Bergvik skog väst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41896-2024</t>
        </is>
      </c>
      <c r="B651" s="1" t="n">
        <v>45561.51310185185</v>
      </c>
      <c r="C651" s="1" t="n">
        <v>45939</v>
      </c>
      <c r="D651" t="inlineStr">
        <is>
          <t>DALARNAS LÄN</t>
        </is>
      </c>
      <c r="E651" t="inlineStr">
        <is>
          <t>LEKSAND</t>
        </is>
      </c>
      <c r="F651" t="inlineStr">
        <is>
          <t>Bergvik skog väst AB</t>
        </is>
      </c>
      <c r="G651" t="n">
        <v>2.8</v>
      </c>
      <c r="H651" t="n">
        <v>0</v>
      </c>
      <c r="I651" t="n">
        <v>0</v>
      </c>
      <c r="J651" t="n">
        <v>0</v>
      </c>
      <c r="K651" t="n">
        <v>0</v>
      </c>
      <c r="L651" t="n">
        <v>0</v>
      </c>
      <c r="M651" t="n">
        <v>0</v>
      </c>
      <c r="N651" t="n">
        <v>0</v>
      </c>
      <c r="O651" t="n">
        <v>0</v>
      </c>
      <c r="P651" t="n">
        <v>0</v>
      </c>
      <c r="Q651" t="n">
        <v>0</v>
      </c>
      <c r="R651" s="2" t="inlineStr"/>
    </row>
    <row r="652" ht="15" customHeight="1">
      <c r="A652" t="inlineStr">
        <is>
          <t>A 22349-2024</t>
        </is>
      </c>
      <c r="B652" s="1" t="n">
        <v>45446</v>
      </c>
      <c r="C652" s="1" t="n">
        <v>45939</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11617-2024</t>
        </is>
      </c>
      <c r="B653" s="1" t="n">
        <v>45373.42898148148</v>
      </c>
      <c r="C653" s="1" t="n">
        <v>45939</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34537-2025</t>
        </is>
      </c>
      <c r="B654" s="1" t="n">
        <v>45847</v>
      </c>
      <c r="C654" s="1" t="n">
        <v>45939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61953-2023</t>
        </is>
      </c>
      <c r="B655" s="1" t="n">
        <v>45266</v>
      </c>
      <c r="C655" s="1" t="n">
        <v>45939</v>
      </c>
      <c r="D655" t="inlineStr">
        <is>
          <t>DALARNAS LÄN</t>
        </is>
      </c>
      <c r="E655" t="inlineStr">
        <is>
          <t>LEKSAND</t>
        </is>
      </c>
      <c r="G655" t="n">
        <v>0.1</v>
      </c>
      <c r="H655" t="n">
        <v>0</v>
      </c>
      <c r="I655" t="n">
        <v>0</v>
      </c>
      <c r="J655" t="n">
        <v>0</v>
      </c>
      <c r="K655" t="n">
        <v>0</v>
      </c>
      <c r="L655" t="n">
        <v>0</v>
      </c>
      <c r="M655" t="n">
        <v>0</v>
      </c>
      <c r="N655" t="n">
        <v>0</v>
      </c>
      <c r="O655" t="n">
        <v>0</v>
      </c>
      <c r="P655" t="n">
        <v>0</v>
      </c>
      <c r="Q655" t="n">
        <v>0</v>
      </c>
      <c r="R655" s="2" t="inlineStr"/>
    </row>
    <row r="656" ht="15" customHeight="1">
      <c r="A656" t="inlineStr">
        <is>
          <t>A 58619-2022</t>
        </is>
      </c>
      <c r="B656" s="1" t="n">
        <v>44902.59579861111</v>
      </c>
      <c r="C656" s="1" t="n">
        <v>45939</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35094-2025</t>
        </is>
      </c>
      <c r="B657" s="1" t="n">
        <v>45852</v>
      </c>
      <c r="C657" s="1" t="n">
        <v>45939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20946-2023</t>
        </is>
      </c>
      <c r="B658" s="1" t="n">
        <v>45061</v>
      </c>
      <c r="C658" s="1" t="n">
        <v>45939</v>
      </c>
      <c r="D658" t="inlineStr">
        <is>
          <t>DALARNAS LÄN</t>
        </is>
      </c>
      <c r="E658" t="inlineStr">
        <is>
          <t>LEKSAND</t>
        </is>
      </c>
      <c r="G658" t="n">
        <v>2.7</v>
      </c>
      <c r="H658" t="n">
        <v>0</v>
      </c>
      <c r="I658" t="n">
        <v>0</v>
      </c>
      <c r="J658" t="n">
        <v>0</v>
      </c>
      <c r="K658" t="n">
        <v>0</v>
      </c>
      <c r="L658" t="n">
        <v>0</v>
      </c>
      <c r="M658" t="n">
        <v>0</v>
      </c>
      <c r="N658" t="n">
        <v>0</v>
      </c>
      <c r="O658" t="n">
        <v>0</v>
      </c>
      <c r="P658" t="n">
        <v>0</v>
      </c>
      <c r="Q658" t="n">
        <v>0</v>
      </c>
      <c r="R658" s="2" t="inlineStr"/>
    </row>
    <row r="659" ht="15" customHeight="1">
      <c r="A659" t="inlineStr">
        <is>
          <t>A 61225-2023</t>
        </is>
      </c>
      <c r="B659" s="1" t="n">
        <v>45264</v>
      </c>
      <c r="C659" s="1" t="n">
        <v>45939</v>
      </c>
      <c r="D659" t="inlineStr">
        <is>
          <t>DALARNAS LÄN</t>
        </is>
      </c>
      <c r="E659" t="inlineStr">
        <is>
          <t>LEKSAND</t>
        </is>
      </c>
      <c r="G659" t="n">
        <v>7</v>
      </c>
      <c r="H659" t="n">
        <v>0</v>
      </c>
      <c r="I659" t="n">
        <v>0</v>
      </c>
      <c r="J659" t="n">
        <v>0</v>
      </c>
      <c r="K659" t="n">
        <v>0</v>
      </c>
      <c r="L659" t="n">
        <v>0</v>
      </c>
      <c r="M659" t="n">
        <v>0</v>
      </c>
      <c r="N659" t="n">
        <v>0</v>
      </c>
      <c r="O659" t="n">
        <v>0</v>
      </c>
      <c r="P659" t="n">
        <v>0</v>
      </c>
      <c r="Q659" t="n">
        <v>0</v>
      </c>
      <c r="R659" s="2" t="inlineStr"/>
    </row>
    <row r="660" ht="15" customHeight="1">
      <c r="A660" t="inlineStr">
        <is>
          <t>A 61252-2023</t>
        </is>
      </c>
      <c r="B660" s="1" t="n">
        <v>45261</v>
      </c>
      <c r="C660" s="1" t="n">
        <v>45939</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34965-2025</t>
        </is>
      </c>
      <c r="B661" s="1" t="n">
        <v>45849</v>
      </c>
      <c r="C661" s="1" t="n">
        <v>45939</v>
      </c>
      <c r="D661" t="inlineStr">
        <is>
          <t>DALARNAS LÄN</t>
        </is>
      </c>
      <c r="E661" t="inlineStr">
        <is>
          <t>LEKSAND</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34966-2025</t>
        </is>
      </c>
      <c r="B662" s="1" t="n">
        <v>45849</v>
      </c>
      <c r="C662" s="1" t="n">
        <v>45939</v>
      </c>
      <c r="D662" t="inlineStr">
        <is>
          <t>DALARNAS LÄN</t>
        </is>
      </c>
      <c r="E662" t="inlineStr">
        <is>
          <t>LEKSAND</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14617-2024</t>
        </is>
      </c>
      <c r="B663" s="1" t="n">
        <v>45397</v>
      </c>
      <c r="C663" s="1" t="n">
        <v>45939</v>
      </c>
      <c r="D663" t="inlineStr">
        <is>
          <t>DALARNAS LÄN</t>
        </is>
      </c>
      <c r="E663" t="inlineStr">
        <is>
          <t>LEKSAND</t>
        </is>
      </c>
      <c r="G663" t="n">
        <v>0.2</v>
      </c>
      <c r="H663" t="n">
        <v>0</v>
      </c>
      <c r="I663" t="n">
        <v>0</v>
      </c>
      <c r="J663" t="n">
        <v>0</v>
      </c>
      <c r="K663" t="n">
        <v>0</v>
      </c>
      <c r="L663" t="n">
        <v>0</v>
      </c>
      <c r="M663" t="n">
        <v>0</v>
      </c>
      <c r="N663" t="n">
        <v>0</v>
      </c>
      <c r="O663" t="n">
        <v>0</v>
      </c>
      <c r="P663" t="n">
        <v>0</v>
      </c>
      <c r="Q663" t="n">
        <v>0</v>
      </c>
      <c r="R663" s="2" t="inlineStr"/>
    </row>
    <row r="664" ht="15" customHeight="1">
      <c r="A664" t="inlineStr">
        <is>
          <t>A 46141-2022</t>
        </is>
      </c>
      <c r="B664" s="1" t="n">
        <v>44846</v>
      </c>
      <c r="C664" s="1" t="n">
        <v>45939</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62993-2023</t>
        </is>
      </c>
      <c r="B665" s="1" t="n">
        <v>45272</v>
      </c>
      <c r="C665" s="1" t="n">
        <v>45939</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61933-2023</t>
        </is>
      </c>
      <c r="B666" s="1" t="n">
        <v>45266</v>
      </c>
      <c r="C666" s="1" t="n">
        <v>45939</v>
      </c>
      <c r="D666" t="inlineStr">
        <is>
          <t>DALARNAS LÄN</t>
        </is>
      </c>
      <c r="E666" t="inlineStr">
        <is>
          <t>LEKSAND</t>
        </is>
      </c>
      <c r="G666" t="n">
        <v>0.2</v>
      </c>
      <c r="H666" t="n">
        <v>0</v>
      </c>
      <c r="I666" t="n">
        <v>0</v>
      </c>
      <c r="J666" t="n">
        <v>0</v>
      </c>
      <c r="K666" t="n">
        <v>0</v>
      </c>
      <c r="L666" t="n">
        <v>0</v>
      </c>
      <c r="M666" t="n">
        <v>0</v>
      </c>
      <c r="N666" t="n">
        <v>0</v>
      </c>
      <c r="O666" t="n">
        <v>0</v>
      </c>
      <c r="P666" t="n">
        <v>0</v>
      </c>
      <c r="Q666" t="n">
        <v>0</v>
      </c>
      <c r="R666" s="2" t="inlineStr"/>
    </row>
    <row r="667" ht="15" customHeight="1">
      <c r="A667" t="inlineStr">
        <is>
          <t>A 33198-2022</t>
        </is>
      </c>
      <c r="B667" s="1" t="n">
        <v>44785.68597222222</v>
      </c>
      <c r="C667" s="1" t="n">
        <v>45939</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15619-2025</t>
        </is>
      </c>
      <c r="B668" s="1" t="n">
        <v>45747</v>
      </c>
      <c r="C668" s="1" t="n">
        <v>45939</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46931-2023</t>
        </is>
      </c>
      <c r="B669" s="1" t="n">
        <v>45201</v>
      </c>
      <c r="C669" s="1" t="n">
        <v>45939</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17483-2025</t>
        </is>
      </c>
      <c r="B670" s="1" t="n">
        <v>45757.49408564815</v>
      </c>
      <c r="C670" s="1" t="n">
        <v>45939</v>
      </c>
      <c r="D670" t="inlineStr">
        <is>
          <t>DALARNAS LÄN</t>
        </is>
      </c>
      <c r="E670" t="inlineStr">
        <is>
          <t>LEKSAND</t>
        </is>
      </c>
      <c r="G670" t="n">
        <v>4.1</v>
      </c>
      <c r="H670" t="n">
        <v>0</v>
      </c>
      <c r="I670" t="n">
        <v>0</v>
      </c>
      <c r="J670" t="n">
        <v>0</v>
      </c>
      <c r="K670" t="n">
        <v>0</v>
      </c>
      <c r="L670" t="n">
        <v>0</v>
      </c>
      <c r="M670" t="n">
        <v>0</v>
      </c>
      <c r="N670" t="n">
        <v>0</v>
      </c>
      <c r="O670" t="n">
        <v>0</v>
      </c>
      <c r="P670" t="n">
        <v>0</v>
      </c>
      <c r="Q670" t="n">
        <v>0</v>
      </c>
      <c r="R670" s="2" t="inlineStr"/>
    </row>
    <row r="671" ht="15" customHeight="1">
      <c r="A671" t="inlineStr">
        <is>
          <t>A 17759-2023</t>
        </is>
      </c>
      <c r="B671" s="1" t="n">
        <v>45037.48765046296</v>
      </c>
      <c r="C671" s="1" t="n">
        <v>45939</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41248-2025</t>
        </is>
      </c>
      <c r="B672" s="1" t="n">
        <v>45898.60199074074</v>
      </c>
      <c r="C672" s="1" t="n">
        <v>45939</v>
      </c>
      <c r="D672" t="inlineStr">
        <is>
          <t>DALARNAS LÄN</t>
        </is>
      </c>
      <c r="E672" t="inlineStr">
        <is>
          <t>LEKSAND</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43220-2024</t>
        </is>
      </c>
      <c r="B673" s="1" t="n">
        <v>45567.86112268519</v>
      </c>
      <c r="C673" s="1" t="n">
        <v>45939</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55015-2024</t>
        </is>
      </c>
      <c r="B674" s="1" t="n">
        <v>45621.35554398148</v>
      </c>
      <c r="C674" s="1" t="n">
        <v>45939</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34039-2024</t>
        </is>
      </c>
      <c r="B675" s="1" t="n">
        <v>45523.5974537037</v>
      </c>
      <c r="C675" s="1" t="n">
        <v>45939</v>
      </c>
      <c r="D675" t="inlineStr">
        <is>
          <t>DALARNAS LÄN</t>
        </is>
      </c>
      <c r="E675" t="inlineStr">
        <is>
          <t>LEKSAND</t>
        </is>
      </c>
      <c r="G675" t="n">
        <v>7.1</v>
      </c>
      <c r="H675" t="n">
        <v>0</v>
      </c>
      <c r="I675" t="n">
        <v>0</v>
      </c>
      <c r="J675" t="n">
        <v>0</v>
      </c>
      <c r="K675" t="n">
        <v>0</v>
      </c>
      <c r="L675" t="n">
        <v>0</v>
      </c>
      <c r="M675" t="n">
        <v>0</v>
      </c>
      <c r="N675" t="n">
        <v>0</v>
      </c>
      <c r="O675" t="n">
        <v>0</v>
      </c>
      <c r="P675" t="n">
        <v>0</v>
      </c>
      <c r="Q675" t="n">
        <v>0</v>
      </c>
      <c r="R675" s="2" t="inlineStr"/>
    </row>
    <row r="676" ht="15" customHeight="1">
      <c r="A676" t="inlineStr">
        <is>
          <t>A 46505-2023</t>
        </is>
      </c>
      <c r="B676" s="1" t="n">
        <v>45197</v>
      </c>
      <c r="C676" s="1" t="n">
        <v>45939</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481-2024</t>
        </is>
      </c>
      <c r="B677" s="1" t="n">
        <v>45298</v>
      </c>
      <c r="C677" s="1" t="n">
        <v>45939</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41237-2025</t>
        </is>
      </c>
      <c r="B678" s="1" t="n">
        <v>45898.59570601852</v>
      </c>
      <c r="C678" s="1" t="n">
        <v>45939</v>
      </c>
      <c r="D678" t="inlineStr">
        <is>
          <t>DALARNAS LÄN</t>
        </is>
      </c>
      <c r="E678" t="inlineStr">
        <is>
          <t>LEKSAND</t>
        </is>
      </c>
      <c r="F678" t="inlineStr">
        <is>
          <t>Bergvik skog väst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13705-2021</t>
        </is>
      </c>
      <c r="B679" s="1" t="n">
        <v>44274</v>
      </c>
      <c r="C679" s="1" t="n">
        <v>45939</v>
      </c>
      <c r="D679" t="inlineStr">
        <is>
          <t>DALARNAS LÄN</t>
        </is>
      </c>
      <c r="E679" t="inlineStr">
        <is>
          <t>LEKSAND</t>
        </is>
      </c>
      <c r="G679" t="n">
        <v>3.8</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45216.43444444444</v>
      </c>
      <c r="C680" s="1" t="n">
        <v>45939</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41487-2025</t>
        </is>
      </c>
      <c r="B681" s="1" t="n">
        <v>45901.4815625</v>
      </c>
      <c r="C681" s="1" t="n">
        <v>45939</v>
      </c>
      <c r="D681" t="inlineStr">
        <is>
          <t>DALARNAS LÄN</t>
        </is>
      </c>
      <c r="E681" t="inlineStr">
        <is>
          <t>LEKSAND</t>
        </is>
      </c>
      <c r="F681" t="inlineStr">
        <is>
          <t>Bergvik skog väst AB</t>
        </is>
      </c>
      <c r="G681" t="n">
        <v>7.3</v>
      </c>
      <c r="H681" t="n">
        <v>0</v>
      </c>
      <c r="I681" t="n">
        <v>0</v>
      </c>
      <c r="J681" t="n">
        <v>0</v>
      </c>
      <c r="K681" t="n">
        <v>0</v>
      </c>
      <c r="L681" t="n">
        <v>0</v>
      </c>
      <c r="M681" t="n">
        <v>0</v>
      </c>
      <c r="N681" t="n">
        <v>0</v>
      </c>
      <c r="O681" t="n">
        <v>0</v>
      </c>
      <c r="P681" t="n">
        <v>0</v>
      </c>
      <c r="Q681" t="n">
        <v>0</v>
      </c>
      <c r="R681" s="2" t="inlineStr"/>
    </row>
    <row r="682" ht="15" customHeight="1">
      <c r="A682" t="inlineStr">
        <is>
          <t>A 16197-2024</t>
        </is>
      </c>
      <c r="B682" s="1" t="n">
        <v>45406.70356481482</v>
      </c>
      <c r="C682" s="1" t="n">
        <v>45939</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35746-2025</t>
        </is>
      </c>
      <c r="B683" s="1" t="n">
        <v>45860</v>
      </c>
      <c r="C683" s="1" t="n">
        <v>45939</v>
      </c>
      <c r="D683" t="inlineStr">
        <is>
          <t>DALARNAS LÄN</t>
        </is>
      </c>
      <c r="E683" t="inlineStr">
        <is>
          <t>LEKSAND</t>
        </is>
      </c>
      <c r="G683" t="n">
        <v>1.9</v>
      </c>
      <c r="H683" t="n">
        <v>0</v>
      </c>
      <c r="I683" t="n">
        <v>0</v>
      </c>
      <c r="J683" t="n">
        <v>0</v>
      </c>
      <c r="K683" t="n">
        <v>0</v>
      </c>
      <c r="L683" t="n">
        <v>0</v>
      </c>
      <c r="M683" t="n">
        <v>0</v>
      </c>
      <c r="N683" t="n">
        <v>0</v>
      </c>
      <c r="O683" t="n">
        <v>0</v>
      </c>
      <c r="P683" t="n">
        <v>0</v>
      </c>
      <c r="Q683" t="n">
        <v>0</v>
      </c>
      <c r="R683" s="2" t="inlineStr"/>
    </row>
    <row r="684" ht="15" customHeight="1">
      <c r="A684" t="inlineStr">
        <is>
          <t>A 41380-2025</t>
        </is>
      </c>
      <c r="B684" s="1" t="n">
        <v>45900.92826388889</v>
      </c>
      <c r="C684" s="1" t="n">
        <v>45939</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5453-2025</t>
        </is>
      </c>
      <c r="B685" s="1" t="n">
        <v>45692.95231481481</v>
      </c>
      <c r="C685" s="1" t="n">
        <v>45939</v>
      </c>
      <c r="D685" t="inlineStr">
        <is>
          <t>DALARNAS LÄN</t>
        </is>
      </c>
      <c r="E685" t="inlineStr">
        <is>
          <t>LEKSAND</t>
        </is>
      </c>
      <c r="G685" t="n">
        <v>2.2</v>
      </c>
      <c r="H685" t="n">
        <v>0</v>
      </c>
      <c r="I685" t="n">
        <v>0</v>
      </c>
      <c r="J685" t="n">
        <v>0</v>
      </c>
      <c r="K685" t="n">
        <v>0</v>
      </c>
      <c r="L685" t="n">
        <v>0</v>
      </c>
      <c r="M685" t="n">
        <v>0</v>
      </c>
      <c r="N685" t="n">
        <v>0</v>
      </c>
      <c r="O685" t="n">
        <v>0</v>
      </c>
      <c r="P685" t="n">
        <v>0</v>
      </c>
      <c r="Q685" t="n">
        <v>0</v>
      </c>
      <c r="R685" s="2" t="inlineStr"/>
    </row>
    <row r="686" ht="15" customHeight="1">
      <c r="A686" t="inlineStr">
        <is>
          <t>A 57925-2024</t>
        </is>
      </c>
      <c r="B686" s="1" t="n">
        <v>45630</v>
      </c>
      <c r="C686" s="1" t="n">
        <v>45939</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41335-2025</t>
        </is>
      </c>
      <c r="B687" s="1" t="n">
        <v>45899.36747685185</v>
      </c>
      <c r="C687" s="1" t="n">
        <v>45939</v>
      </c>
      <c r="D687" t="inlineStr">
        <is>
          <t>DALARNAS LÄN</t>
        </is>
      </c>
      <c r="E687" t="inlineStr">
        <is>
          <t>LEKSAND</t>
        </is>
      </c>
      <c r="G687" t="n">
        <v>5.9</v>
      </c>
      <c r="H687" t="n">
        <v>0</v>
      </c>
      <c r="I687" t="n">
        <v>0</v>
      </c>
      <c r="J687" t="n">
        <v>0</v>
      </c>
      <c r="K687" t="n">
        <v>0</v>
      </c>
      <c r="L687" t="n">
        <v>0</v>
      </c>
      <c r="M687" t="n">
        <v>0</v>
      </c>
      <c r="N687" t="n">
        <v>0</v>
      </c>
      <c r="O687" t="n">
        <v>0</v>
      </c>
      <c r="P687" t="n">
        <v>0</v>
      </c>
      <c r="Q687" t="n">
        <v>0</v>
      </c>
      <c r="R687" s="2" t="inlineStr"/>
    </row>
    <row r="688" ht="15" customHeight="1">
      <c r="A688" t="inlineStr">
        <is>
          <t>A 27445-2024</t>
        </is>
      </c>
      <c r="B688" s="1" t="n">
        <v>45474.42474537037</v>
      </c>
      <c r="C688" s="1" t="n">
        <v>45939</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27446-2024</t>
        </is>
      </c>
      <c r="B689" s="1" t="n">
        <v>45474.42671296297</v>
      </c>
      <c r="C689" s="1" t="n">
        <v>45939</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18837-2023</t>
        </is>
      </c>
      <c r="B690" s="1" t="n">
        <v>45044.42940972222</v>
      </c>
      <c r="C690" s="1" t="n">
        <v>45939</v>
      </c>
      <c r="D690" t="inlineStr">
        <is>
          <t>DALARNAS LÄN</t>
        </is>
      </c>
      <c r="E690" t="inlineStr">
        <is>
          <t>LEKSAND</t>
        </is>
      </c>
      <c r="G690" t="n">
        <v>1.5</v>
      </c>
      <c r="H690" t="n">
        <v>0</v>
      </c>
      <c r="I690" t="n">
        <v>0</v>
      </c>
      <c r="J690" t="n">
        <v>0</v>
      </c>
      <c r="K690" t="n">
        <v>0</v>
      </c>
      <c r="L690" t="n">
        <v>0</v>
      </c>
      <c r="M690" t="n">
        <v>0</v>
      </c>
      <c r="N690" t="n">
        <v>0</v>
      </c>
      <c r="O690" t="n">
        <v>0</v>
      </c>
      <c r="P690" t="n">
        <v>0</v>
      </c>
      <c r="Q690" t="n">
        <v>0</v>
      </c>
      <c r="R690" s="2" t="inlineStr"/>
    </row>
    <row r="691" ht="15" customHeight="1">
      <c r="A691" t="inlineStr">
        <is>
          <t>A 17730-2024</t>
        </is>
      </c>
      <c r="B691" s="1" t="n">
        <v>45418</v>
      </c>
      <c r="C691" s="1" t="n">
        <v>45939</v>
      </c>
      <c r="D691" t="inlineStr">
        <is>
          <t>DALARNAS LÄN</t>
        </is>
      </c>
      <c r="E691" t="inlineStr">
        <is>
          <t>LEKSAND</t>
        </is>
      </c>
      <c r="G691" t="n">
        <v>2.4</v>
      </c>
      <c r="H691" t="n">
        <v>0</v>
      </c>
      <c r="I691" t="n">
        <v>0</v>
      </c>
      <c r="J691" t="n">
        <v>0</v>
      </c>
      <c r="K691" t="n">
        <v>0</v>
      </c>
      <c r="L691" t="n">
        <v>0</v>
      </c>
      <c r="M691" t="n">
        <v>0</v>
      </c>
      <c r="N691" t="n">
        <v>0</v>
      </c>
      <c r="O691" t="n">
        <v>0</v>
      </c>
      <c r="P691" t="n">
        <v>0</v>
      </c>
      <c r="Q691" t="n">
        <v>0</v>
      </c>
      <c r="R691" s="2" t="inlineStr"/>
    </row>
    <row r="692" ht="15" customHeight="1">
      <c r="A692" t="inlineStr">
        <is>
          <t>A 64933-2023</t>
        </is>
      </c>
      <c r="B692" s="1" t="n">
        <v>45282</v>
      </c>
      <c r="C692" s="1" t="n">
        <v>45939</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35866-2025</t>
        </is>
      </c>
      <c r="B693" s="1" t="n">
        <v>45861</v>
      </c>
      <c r="C693" s="1" t="n">
        <v>45939</v>
      </c>
      <c r="D693" t="inlineStr">
        <is>
          <t>DALARNAS LÄN</t>
        </is>
      </c>
      <c r="E693" t="inlineStr">
        <is>
          <t>LEKSAND</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42284-2025</t>
        </is>
      </c>
      <c r="B694" s="1" t="n">
        <v>45903</v>
      </c>
      <c r="C694" s="1" t="n">
        <v>45939</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39620-2024</t>
        </is>
      </c>
      <c r="B695" s="1" t="n">
        <v>45552.43163194445</v>
      </c>
      <c r="C695" s="1" t="n">
        <v>45939</v>
      </c>
      <c r="D695" t="inlineStr">
        <is>
          <t>DALARNAS LÄN</t>
        </is>
      </c>
      <c r="E695" t="inlineStr">
        <is>
          <t>LEKSAND</t>
        </is>
      </c>
      <c r="G695" t="n">
        <v>2.3</v>
      </c>
      <c r="H695" t="n">
        <v>0</v>
      </c>
      <c r="I695" t="n">
        <v>0</v>
      </c>
      <c r="J695" t="n">
        <v>0</v>
      </c>
      <c r="K695" t="n">
        <v>0</v>
      </c>
      <c r="L695" t="n">
        <v>0</v>
      </c>
      <c r="M695" t="n">
        <v>0</v>
      </c>
      <c r="N695" t="n">
        <v>0</v>
      </c>
      <c r="O695" t="n">
        <v>0</v>
      </c>
      <c r="P695" t="n">
        <v>0</v>
      </c>
      <c r="Q695" t="n">
        <v>0</v>
      </c>
      <c r="R695" s="2" t="inlineStr"/>
    </row>
    <row r="696" ht="15" customHeight="1">
      <c r="A696" t="inlineStr">
        <is>
          <t>A 57907-2024</t>
        </is>
      </c>
      <c r="B696" s="1" t="n">
        <v>45630</v>
      </c>
      <c r="C696" s="1" t="n">
        <v>45939</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41934-2025</t>
        </is>
      </c>
      <c r="B697" s="1" t="n">
        <v>45903.43556712963</v>
      </c>
      <c r="C697" s="1" t="n">
        <v>45939</v>
      </c>
      <c r="D697" t="inlineStr">
        <is>
          <t>DALARNAS LÄN</t>
        </is>
      </c>
      <c r="E697" t="inlineStr">
        <is>
          <t>LEKSAND</t>
        </is>
      </c>
      <c r="F697" t="inlineStr">
        <is>
          <t>Bergvik skog väst AB</t>
        </is>
      </c>
      <c r="G697" t="n">
        <v>3</v>
      </c>
      <c r="H697" t="n">
        <v>0</v>
      </c>
      <c r="I697" t="n">
        <v>0</v>
      </c>
      <c r="J697" t="n">
        <v>0</v>
      </c>
      <c r="K697" t="n">
        <v>0</v>
      </c>
      <c r="L697" t="n">
        <v>0</v>
      </c>
      <c r="M697" t="n">
        <v>0</v>
      </c>
      <c r="N697" t="n">
        <v>0</v>
      </c>
      <c r="O697" t="n">
        <v>0</v>
      </c>
      <c r="P697" t="n">
        <v>0</v>
      </c>
      <c r="Q697" t="n">
        <v>0</v>
      </c>
      <c r="R697" s="2" t="inlineStr"/>
    </row>
    <row r="698" ht="15" customHeight="1">
      <c r="A698" t="inlineStr">
        <is>
          <t>A 59236-2024</t>
        </is>
      </c>
      <c r="B698" s="1" t="n">
        <v>45637.58795138889</v>
      </c>
      <c r="C698" s="1" t="n">
        <v>45939</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35998-2025</t>
        </is>
      </c>
      <c r="B699" s="1" t="n">
        <v>45863.51550925926</v>
      </c>
      <c r="C699" s="1" t="n">
        <v>45939</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36021-2025</t>
        </is>
      </c>
      <c r="B700" s="1" t="n">
        <v>45863.72346064815</v>
      </c>
      <c r="C700" s="1" t="n">
        <v>45939</v>
      </c>
      <c r="D700" t="inlineStr">
        <is>
          <t>DALARNAS LÄN</t>
        </is>
      </c>
      <c r="E700" t="inlineStr">
        <is>
          <t>LEKSAND</t>
        </is>
      </c>
      <c r="G700" t="n">
        <v>1.9</v>
      </c>
      <c r="H700" t="n">
        <v>0</v>
      </c>
      <c r="I700" t="n">
        <v>0</v>
      </c>
      <c r="J700" t="n">
        <v>0</v>
      </c>
      <c r="K700" t="n">
        <v>0</v>
      </c>
      <c r="L700" t="n">
        <v>0</v>
      </c>
      <c r="M700" t="n">
        <v>0</v>
      </c>
      <c r="N700" t="n">
        <v>0</v>
      </c>
      <c r="O700" t="n">
        <v>0</v>
      </c>
      <c r="P700" t="n">
        <v>0</v>
      </c>
      <c r="Q700" t="n">
        <v>0</v>
      </c>
      <c r="R700" s="2" t="inlineStr"/>
    </row>
    <row r="701" ht="15" customHeight="1">
      <c r="A701" t="inlineStr">
        <is>
          <t>A 42402-2025</t>
        </is>
      </c>
      <c r="B701" s="1" t="n">
        <v>45905.3753125</v>
      </c>
      <c r="C701" s="1" t="n">
        <v>45939</v>
      </c>
      <c r="D701" t="inlineStr">
        <is>
          <t>DALARNAS LÄN</t>
        </is>
      </c>
      <c r="E701" t="inlineStr">
        <is>
          <t>LEKSAND</t>
        </is>
      </c>
      <c r="G701" t="n">
        <v>0.6</v>
      </c>
      <c r="H701" t="n">
        <v>0</v>
      </c>
      <c r="I701" t="n">
        <v>0</v>
      </c>
      <c r="J701" t="n">
        <v>0</v>
      </c>
      <c r="K701" t="n">
        <v>0</v>
      </c>
      <c r="L701" t="n">
        <v>0</v>
      </c>
      <c r="M701" t="n">
        <v>0</v>
      </c>
      <c r="N701" t="n">
        <v>0</v>
      </c>
      <c r="O701" t="n">
        <v>0</v>
      </c>
      <c r="P701" t="n">
        <v>0</v>
      </c>
      <c r="Q701" t="n">
        <v>0</v>
      </c>
      <c r="R701" s="2" t="inlineStr"/>
    </row>
    <row r="702" ht="15" customHeight="1">
      <c r="A702" t="inlineStr">
        <is>
          <t>A 34038-2024</t>
        </is>
      </c>
      <c r="B702" s="1" t="n">
        <v>45523.59578703704</v>
      </c>
      <c r="C702" s="1" t="n">
        <v>45939</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34041-2024</t>
        </is>
      </c>
      <c r="B703" s="1" t="n">
        <v>45523.59895833334</v>
      </c>
      <c r="C703" s="1" t="n">
        <v>45939</v>
      </c>
      <c r="D703" t="inlineStr">
        <is>
          <t>DALARNAS LÄN</t>
        </is>
      </c>
      <c r="E703" t="inlineStr">
        <is>
          <t>LEKSAND</t>
        </is>
      </c>
      <c r="G703" t="n">
        <v>4</v>
      </c>
      <c r="H703" t="n">
        <v>0</v>
      </c>
      <c r="I703" t="n">
        <v>0</v>
      </c>
      <c r="J703" t="n">
        <v>0</v>
      </c>
      <c r="K703" t="n">
        <v>0</v>
      </c>
      <c r="L703" t="n">
        <v>0</v>
      </c>
      <c r="M703" t="n">
        <v>0</v>
      </c>
      <c r="N703" t="n">
        <v>0</v>
      </c>
      <c r="O703" t="n">
        <v>0</v>
      </c>
      <c r="P703" t="n">
        <v>0</v>
      </c>
      <c r="Q703" t="n">
        <v>0</v>
      </c>
      <c r="R703" s="2" t="inlineStr"/>
    </row>
    <row r="704" ht="15" customHeight="1">
      <c r="A704" t="inlineStr">
        <is>
          <t>A 36020-2025</t>
        </is>
      </c>
      <c r="B704" s="1" t="n">
        <v>45863</v>
      </c>
      <c r="C704" s="1" t="n">
        <v>45939</v>
      </c>
      <c r="D704" t="inlineStr">
        <is>
          <t>DALARNAS LÄN</t>
        </is>
      </c>
      <c r="E704" t="inlineStr">
        <is>
          <t>LEKSAND</t>
        </is>
      </c>
      <c r="F704" t="inlineStr">
        <is>
          <t>Bergvik skog väst AB</t>
        </is>
      </c>
      <c r="G704" t="n">
        <v>2.8</v>
      </c>
      <c r="H704" t="n">
        <v>0</v>
      </c>
      <c r="I704" t="n">
        <v>0</v>
      </c>
      <c r="J704" t="n">
        <v>0</v>
      </c>
      <c r="K704" t="n">
        <v>0</v>
      </c>
      <c r="L704" t="n">
        <v>0</v>
      </c>
      <c r="M704" t="n">
        <v>0</v>
      </c>
      <c r="N704" t="n">
        <v>0</v>
      </c>
      <c r="O704" t="n">
        <v>0</v>
      </c>
      <c r="P704" t="n">
        <v>0</v>
      </c>
      <c r="Q704" t="n">
        <v>0</v>
      </c>
      <c r="R704" s="2" t="inlineStr"/>
    </row>
    <row r="705" ht="15" customHeight="1">
      <c r="A705" t="inlineStr">
        <is>
          <t>A 36017-2025</t>
        </is>
      </c>
      <c r="B705" s="1" t="n">
        <v>45863</v>
      </c>
      <c r="C705" s="1" t="n">
        <v>45939</v>
      </c>
      <c r="D705" t="inlineStr">
        <is>
          <t>DALARNAS LÄN</t>
        </is>
      </c>
      <c r="E705" t="inlineStr">
        <is>
          <t>LEKSAND</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36190-2025</t>
        </is>
      </c>
      <c r="B706" s="1" t="n">
        <v>45867</v>
      </c>
      <c r="C706" s="1" t="n">
        <v>45939</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43158-2025</t>
        </is>
      </c>
      <c r="B707" s="1" t="n">
        <v>45910.35496527778</v>
      </c>
      <c r="C707" s="1" t="n">
        <v>45939</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10833-2023</t>
        </is>
      </c>
      <c r="B708" s="1" t="n">
        <v>44990</v>
      </c>
      <c r="C708" s="1" t="n">
        <v>45939</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43195-2025</t>
        </is>
      </c>
      <c r="B709" s="1" t="n">
        <v>45910.4294212963</v>
      </c>
      <c r="C709" s="1" t="n">
        <v>45939</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36540-2025</t>
        </is>
      </c>
      <c r="B710" s="1" t="n">
        <v>45869.63885416667</v>
      </c>
      <c r="C710" s="1" t="n">
        <v>45939</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43781-2025</t>
        </is>
      </c>
      <c r="B711" s="1" t="n">
        <v>45912.52229166667</v>
      </c>
      <c r="C711" s="1" t="n">
        <v>45939</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43607-2025</t>
        </is>
      </c>
      <c r="B712" s="1" t="n">
        <v>45911.66873842593</v>
      </c>
      <c r="C712" s="1" t="n">
        <v>45939</v>
      </c>
      <c r="D712" t="inlineStr">
        <is>
          <t>DALARNAS LÄN</t>
        </is>
      </c>
      <c r="E712" t="inlineStr">
        <is>
          <t>LEKSAND</t>
        </is>
      </c>
      <c r="G712" t="n">
        <v>7.3</v>
      </c>
      <c r="H712" t="n">
        <v>0</v>
      </c>
      <c r="I712" t="n">
        <v>0</v>
      </c>
      <c r="J712" t="n">
        <v>0</v>
      </c>
      <c r="K712" t="n">
        <v>0</v>
      </c>
      <c r="L712" t="n">
        <v>0</v>
      </c>
      <c r="M712" t="n">
        <v>0</v>
      </c>
      <c r="N712" t="n">
        <v>0</v>
      </c>
      <c r="O712" t="n">
        <v>0</v>
      </c>
      <c r="P712" t="n">
        <v>0</v>
      </c>
      <c r="Q712" t="n">
        <v>0</v>
      </c>
      <c r="R712" s="2" t="inlineStr"/>
    </row>
    <row r="713" ht="15" customHeight="1">
      <c r="A713" t="inlineStr">
        <is>
          <t>A 43628-2025</t>
        </is>
      </c>
      <c r="B713" s="1" t="n">
        <v>45911.70060185185</v>
      </c>
      <c r="C713" s="1" t="n">
        <v>45939</v>
      </c>
      <c r="D713" t="inlineStr">
        <is>
          <t>DALARNAS LÄN</t>
        </is>
      </c>
      <c r="E713" t="inlineStr">
        <is>
          <t>LEKSAND</t>
        </is>
      </c>
      <c r="G713" t="n">
        <v>1.4</v>
      </c>
      <c r="H713" t="n">
        <v>0</v>
      </c>
      <c r="I713" t="n">
        <v>0</v>
      </c>
      <c r="J713" t="n">
        <v>0</v>
      </c>
      <c r="K713" t="n">
        <v>0</v>
      </c>
      <c r="L713" t="n">
        <v>0</v>
      </c>
      <c r="M713" t="n">
        <v>0</v>
      </c>
      <c r="N713" t="n">
        <v>0</v>
      </c>
      <c r="O713" t="n">
        <v>0</v>
      </c>
      <c r="P713" t="n">
        <v>0</v>
      </c>
      <c r="Q713" t="n">
        <v>0</v>
      </c>
      <c r="R713" s="2" t="inlineStr"/>
    </row>
    <row r="714" ht="15" customHeight="1">
      <c r="A714" t="inlineStr">
        <is>
          <t>A 43875-2025</t>
        </is>
      </c>
      <c r="B714" s="1" t="n">
        <v>45912.67685185185</v>
      </c>
      <c r="C714" s="1" t="n">
        <v>45939</v>
      </c>
      <c r="D714" t="inlineStr">
        <is>
          <t>DALARNAS LÄN</t>
        </is>
      </c>
      <c r="E714" t="inlineStr">
        <is>
          <t>LEKSAND</t>
        </is>
      </c>
      <c r="G714" t="n">
        <v>1.7</v>
      </c>
      <c r="H714" t="n">
        <v>0</v>
      </c>
      <c r="I714" t="n">
        <v>0</v>
      </c>
      <c r="J714" t="n">
        <v>0</v>
      </c>
      <c r="K714" t="n">
        <v>0</v>
      </c>
      <c r="L714" t="n">
        <v>0</v>
      </c>
      <c r="M714" t="n">
        <v>0</v>
      </c>
      <c r="N714" t="n">
        <v>0</v>
      </c>
      <c r="O714" t="n">
        <v>0</v>
      </c>
      <c r="P714" t="n">
        <v>0</v>
      </c>
      <c r="Q714" t="n">
        <v>0</v>
      </c>
      <c r="R714" s="2" t="inlineStr"/>
    </row>
    <row r="715" ht="15" customHeight="1">
      <c r="A715" t="inlineStr">
        <is>
          <t>A 43630-2025</t>
        </is>
      </c>
      <c r="B715" s="1" t="n">
        <v>45911.70278935185</v>
      </c>
      <c r="C715" s="1" t="n">
        <v>45939</v>
      </c>
      <c r="D715" t="inlineStr">
        <is>
          <t>DALARNAS LÄN</t>
        </is>
      </c>
      <c r="E715" t="inlineStr">
        <is>
          <t>LEKSAND</t>
        </is>
      </c>
      <c r="G715" t="n">
        <v>4.7</v>
      </c>
      <c r="H715" t="n">
        <v>0</v>
      </c>
      <c r="I715" t="n">
        <v>0</v>
      </c>
      <c r="J715" t="n">
        <v>0</v>
      </c>
      <c r="K715" t="n">
        <v>0</v>
      </c>
      <c r="L715" t="n">
        <v>0</v>
      </c>
      <c r="M715" t="n">
        <v>0</v>
      </c>
      <c r="N715" t="n">
        <v>0</v>
      </c>
      <c r="O715" t="n">
        <v>0</v>
      </c>
      <c r="P715" t="n">
        <v>0</v>
      </c>
      <c r="Q715" t="n">
        <v>0</v>
      </c>
      <c r="R715" s="2" t="inlineStr"/>
    </row>
    <row r="716" ht="15" customHeight="1">
      <c r="A716" t="inlineStr">
        <is>
          <t>A 41308-2025</t>
        </is>
      </c>
      <c r="B716" s="1" t="n">
        <v>45898</v>
      </c>
      <c r="C716" s="1" t="n">
        <v>45939</v>
      </c>
      <c r="D716" t="inlineStr">
        <is>
          <t>DALARNAS LÄN</t>
        </is>
      </c>
      <c r="E716" t="inlineStr">
        <is>
          <t>LEKSAND</t>
        </is>
      </c>
      <c r="F716" t="inlineStr">
        <is>
          <t>Bergvik skog väst AB</t>
        </is>
      </c>
      <c r="G716" t="n">
        <v>6.7</v>
      </c>
      <c r="H716" t="n">
        <v>0</v>
      </c>
      <c r="I716" t="n">
        <v>0</v>
      </c>
      <c r="J716" t="n">
        <v>0</v>
      </c>
      <c r="K716" t="n">
        <v>0</v>
      </c>
      <c r="L716" t="n">
        <v>0</v>
      </c>
      <c r="M716" t="n">
        <v>0</v>
      </c>
      <c r="N716" t="n">
        <v>0</v>
      </c>
      <c r="O716" t="n">
        <v>0</v>
      </c>
      <c r="P716" t="n">
        <v>0</v>
      </c>
      <c r="Q716" t="n">
        <v>0</v>
      </c>
      <c r="R716" s="2" t="inlineStr"/>
    </row>
    <row r="717" ht="15" customHeight="1">
      <c r="A717" t="inlineStr">
        <is>
          <t>A 43629-2025</t>
        </is>
      </c>
      <c r="B717" s="1" t="n">
        <v>45911.70180555555</v>
      </c>
      <c r="C717" s="1" t="n">
        <v>45939</v>
      </c>
      <c r="D717" t="inlineStr">
        <is>
          <t>DALARNAS LÄN</t>
        </is>
      </c>
      <c r="E717" t="inlineStr">
        <is>
          <t>LEKSAND</t>
        </is>
      </c>
      <c r="G717" t="n">
        <v>2.1</v>
      </c>
      <c r="H717" t="n">
        <v>0</v>
      </c>
      <c r="I717" t="n">
        <v>0</v>
      </c>
      <c r="J717" t="n">
        <v>0</v>
      </c>
      <c r="K717" t="n">
        <v>0</v>
      </c>
      <c r="L717" t="n">
        <v>0</v>
      </c>
      <c r="M717" t="n">
        <v>0</v>
      </c>
      <c r="N717" t="n">
        <v>0</v>
      </c>
      <c r="O717" t="n">
        <v>0</v>
      </c>
      <c r="P717" t="n">
        <v>0</v>
      </c>
      <c r="Q717" t="n">
        <v>0</v>
      </c>
      <c r="R717" s="2" t="inlineStr"/>
    </row>
    <row r="718" ht="15" customHeight="1">
      <c r="A718" t="inlineStr">
        <is>
          <t>A 164-2023</t>
        </is>
      </c>
      <c r="B718" s="1" t="n">
        <v>44918</v>
      </c>
      <c r="C718" s="1" t="n">
        <v>45939</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44516-2025</t>
        </is>
      </c>
      <c r="B719" s="1" t="n">
        <v>45916.70982638889</v>
      </c>
      <c r="C719" s="1" t="n">
        <v>45939</v>
      </c>
      <c r="D719" t="inlineStr">
        <is>
          <t>DALARNAS LÄN</t>
        </is>
      </c>
      <c r="E719" t="inlineStr">
        <is>
          <t>LEKSAND</t>
        </is>
      </c>
      <c r="G719" t="n">
        <v>1.8</v>
      </c>
      <c r="H719" t="n">
        <v>0</v>
      </c>
      <c r="I719" t="n">
        <v>0</v>
      </c>
      <c r="J719" t="n">
        <v>0</v>
      </c>
      <c r="K719" t="n">
        <v>0</v>
      </c>
      <c r="L719" t="n">
        <v>0</v>
      </c>
      <c r="M719" t="n">
        <v>0</v>
      </c>
      <c r="N719" t="n">
        <v>0</v>
      </c>
      <c r="O719" t="n">
        <v>0</v>
      </c>
      <c r="P719" t="n">
        <v>0</v>
      </c>
      <c r="Q719" t="n">
        <v>0</v>
      </c>
      <c r="R719" s="2" t="inlineStr"/>
    </row>
    <row r="720">
      <c r="A720" t="inlineStr">
        <is>
          <t>A 51677-2024</t>
        </is>
      </c>
      <c r="B720" s="1" t="n">
        <v>45607.30265046296</v>
      </c>
      <c r="C720" s="1" t="n">
        <v>45939</v>
      </c>
      <c r="D720" t="inlineStr">
        <is>
          <t>DALARNAS LÄN</t>
        </is>
      </c>
      <c r="E720" t="inlineStr">
        <is>
          <t>LEKSAND</t>
        </is>
      </c>
      <c r="G720" t="n">
        <v>3.4</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2025-10-09T12:37:48Z</dcterms:created>
  <dcterms:modified xmlns:dcterms="http://purl.org/dc/terms/" xmlns:xsi="http://www.w3.org/2001/XMLSchema-instance" xsi:type="dcterms:W3CDTF">2025-10-09T12:37:48Z</dcterms:modified>
</cp:coreProperties>
</file>