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45933</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45933</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45933</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45933</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45933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45933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45933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45933</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45933</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45933</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40636-2025</t>
        </is>
      </c>
      <c r="B17" s="1" t="n">
        <v>45896.60490740741</v>
      </c>
      <c r="C17" s="1" t="n">
        <v>45933</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31957-2025</t>
        </is>
      </c>
      <c r="B18" s="1" t="n">
        <v>45835</v>
      </c>
      <c r="C18" s="1" t="n">
        <v>45933</v>
      </c>
      <c r="D18" t="inlineStr">
        <is>
          <t>DALARNAS LÄN</t>
        </is>
      </c>
      <c r="E18" t="inlineStr">
        <is>
          <t>LEKSAND</t>
        </is>
      </c>
      <c r="G18" t="n">
        <v>5.2</v>
      </c>
      <c r="H18" t="n">
        <v>2</v>
      </c>
      <c r="I18" t="n">
        <v>0</v>
      </c>
      <c r="J18" t="n">
        <v>3</v>
      </c>
      <c r="K18" t="n">
        <v>1</v>
      </c>
      <c r="L18" t="n">
        <v>0</v>
      </c>
      <c r="M18" t="n">
        <v>0</v>
      </c>
      <c r="N18" t="n">
        <v>0</v>
      </c>
      <c r="O18" t="n">
        <v>4</v>
      </c>
      <c r="P18" t="n">
        <v>1</v>
      </c>
      <c r="Q18" t="n">
        <v>5</v>
      </c>
      <c r="R18" s="2" t="inlineStr">
        <is>
          <t>Knärot
Dvärgbägarlav
Mörk kolflarnlav
Vedskivlav
Tjäder</t>
        </is>
      </c>
      <c r="S18">
        <f>HYPERLINK("https://klasma.github.io/Logging_2029/artfynd/A 31957-2025 artfynd.xlsx", "A 31957-2025")</f>
        <v/>
      </c>
      <c r="T18">
        <f>HYPERLINK("https://klasma.github.io/Logging_2029/kartor/A 31957-2025 karta.png", "A 31957-2025")</f>
        <v/>
      </c>
      <c r="U18">
        <f>HYPERLINK("https://klasma.github.io/Logging_2029/knärot/A 31957-2025 karta knärot.png", "A 31957-2025")</f>
        <v/>
      </c>
      <c r="V18">
        <f>HYPERLINK("https://klasma.github.io/Logging_2029/klagomål/A 31957-2025 FSC-klagomål.docx", "A 31957-2025")</f>
        <v/>
      </c>
      <c r="W18">
        <f>HYPERLINK("https://klasma.github.io/Logging_2029/klagomålsmail/A 31957-2025 FSC-klagomål mail.docx", "A 31957-2025")</f>
        <v/>
      </c>
      <c r="X18">
        <f>HYPERLINK("https://klasma.github.io/Logging_2029/tillsyn/A 31957-2025 tillsynsbegäran.docx", "A 31957-2025")</f>
        <v/>
      </c>
      <c r="Y18">
        <f>HYPERLINK("https://klasma.github.io/Logging_2029/tillsynsmail/A 31957-2025 tillsynsbegäran mail.docx", "A 31957-2025")</f>
        <v/>
      </c>
      <c r="Z18">
        <f>HYPERLINK("https://klasma.github.io/Logging_2029/fåglar/A 31957-2025 prioriterade fågelarter.docx", "A 31957-2025")</f>
        <v/>
      </c>
    </row>
    <row r="19" ht="15" customHeight="1">
      <c r="A19" t="inlineStr">
        <is>
          <t>A 15377-2025</t>
        </is>
      </c>
      <c r="B19" s="1" t="n">
        <v>45747.40665509259</v>
      </c>
      <c r="C19" s="1" t="n">
        <v>45933</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45933</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45933</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9408-2024</t>
        </is>
      </c>
      <c r="B23" s="1" t="n">
        <v>45358</v>
      </c>
      <c r="C23" s="1" t="n">
        <v>45933</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45933</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45933</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18860-2025</t>
        </is>
      </c>
      <c r="B26" s="1" t="n">
        <v>45764.42738425926</v>
      </c>
      <c r="C26" s="1" t="n">
        <v>45933</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35865-2025</t>
        </is>
      </c>
      <c r="B27" s="1" t="n">
        <v>45861.7066087963</v>
      </c>
      <c r="C27" s="1" t="n">
        <v>45933</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55519-2021</t>
        </is>
      </c>
      <c r="B28" s="1" t="n">
        <v>44475</v>
      </c>
      <c r="C28" s="1" t="n">
        <v>45933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41718-2021</t>
        </is>
      </c>
      <c r="B29" s="1" t="n">
        <v>44425</v>
      </c>
      <c r="C29" s="1" t="n">
        <v>45933</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164-2024</t>
        </is>
      </c>
      <c r="B30" s="1" t="n">
        <v>45294.49954861111</v>
      </c>
      <c r="C30" s="1" t="n">
        <v>45933</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55633-2024</t>
        </is>
      </c>
      <c r="B31" s="1" t="n">
        <v>45621</v>
      </c>
      <c r="C31" s="1" t="n">
        <v>45933</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36778-2025</t>
        </is>
      </c>
      <c r="B32" s="1" t="n">
        <v>45873</v>
      </c>
      <c r="C32" s="1" t="n">
        <v>45933</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31951-2025</t>
        </is>
      </c>
      <c r="B33" s="1" t="n">
        <v>45835.33481481481</v>
      </c>
      <c r="C33" s="1" t="n">
        <v>45933</v>
      </c>
      <c r="D33" t="inlineStr">
        <is>
          <t>DALARNAS LÄN</t>
        </is>
      </c>
      <c r="E33" t="inlineStr">
        <is>
          <t>LEKSAND</t>
        </is>
      </c>
      <c r="G33" t="n">
        <v>6.6</v>
      </c>
      <c r="H33" t="n">
        <v>1</v>
      </c>
      <c r="I33" t="n">
        <v>0</v>
      </c>
      <c r="J33" t="n">
        <v>0</v>
      </c>
      <c r="K33" t="n">
        <v>0</v>
      </c>
      <c r="L33" t="n">
        <v>0</v>
      </c>
      <c r="M33" t="n">
        <v>0</v>
      </c>
      <c r="N33" t="n">
        <v>0</v>
      </c>
      <c r="O33" t="n">
        <v>0</v>
      </c>
      <c r="P33" t="n">
        <v>0</v>
      </c>
      <c r="Q33" t="n">
        <v>1</v>
      </c>
      <c r="R33" s="2" t="inlineStr">
        <is>
          <t>Tjäder</t>
        </is>
      </c>
      <c r="S33">
        <f>HYPERLINK("https://klasma.github.io/Logging_2029/artfynd/A 31951-2025 artfynd.xlsx", "A 31951-2025")</f>
        <v/>
      </c>
      <c r="T33">
        <f>HYPERLINK("https://klasma.github.io/Logging_2029/kartor/A 31951-2025 karta.png", "A 31951-2025")</f>
        <v/>
      </c>
      <c r="V33">
        <f>HYPERLINK("https://klasma.github.io/Logging_2029/klagomål/A 31951-2025 FSC-klagomål.docx", "A 31951-2025")</f>
        <v/>
      </c>
      <c r="W33">
        <f>HYPERLINK("https://klasma.github.io/Logging_2029/klagomålsmail/A 31951-2025 FSC-klagomål mail.docx", "A 31951-2025")</f>
        <v/>
      </c>
      <c r="X33">
        <f>HYPERLINK("https://klasma.github.io/Logging_2029/tillsyn/A 31951-2025 tillsynsbegäran.docx", "A 31951-2025")</f>
        <v/>
      </c>
      <c r="Y33">
        <f>HYPERLINK("https://klasma.github.io/Logging_2029/tillsynsmail/A 31951-2025 tillsynsbegäran mail.docx", "A 31951-2025")</f>
        <v/>
      </c>
      <c r="Z33">
        <f>HYPERLINK("https://klasma.github.io/Logging_2029/fåglar/A 31951-2025 prioriterade fågelarter.docx", "A 31951-2025")</f>
        <v/>
      </c>
    </row>
    <row r="34" ht="15" customHeight="1">
      <c r="A34" t="inlineStr">
        <is>
          <t>A 52600-2024</t>
        </is>
      </c>
      <c r="B34" s="1" t="n">
        <v>45609</v>
      </c>
      <c r="C34" s="1" t="n">
        <v>45933</v>
      </c>
      <c r="D34" t="inlineStr">
        <is>
          <t>DALARNAS LÄN</t>
        </is>
      </c>
      <c r="E34" t="inlineStr">
        <is>
          <t>LEKSAND</t>
        </is>
      </c>
      <c r="G34" t="n">
        <v>3.4</v>
      </c>
      <c r="H34" t="n">
        <v>1</v>
      </c>
      <c r="I34" t="n">
        <v>0</v>
      </c>
      <c r="J34" t="n">
        <v>0</v>
      </c>
      <c r="K34" t="n">
        <v>0</v>
      </c>
      <c r="L34" t="n">
        <v>0</v>
      </c>
      <c r="M34" t="n">
        <v>0</v>
      </c>
      <c r="N34" t="n">
        <v>0</v>
      </c>
      <c r="O34" t="n">
        <v>0</v>
      </c>
      <c r="P34" t="n">
        <v>0</v>
      </c>
      <c r="Q34" t="n">
        <v>1</v>
      </c>
      <c r="R34" s="2" t="inlineStr">
        <is>
          <t>Fläcknycklar</t>
        </is>
      </c>
      <c r="S34">
        <f>HYPERLINK("https://klasma.github.io/Logging_2029/artfynd/A 52600-2024 artfynd.xlsx", "A 52600-2024")</f>
        <v/>
      </c>
      <c r="T34">
        <f>HYPERLINK("https://klasma.github.io/Logging_2029/kartor/A 52600-2024 karta.png", "A 52600-2024")</f>
        <v/>
      </c>
      <c r="V34">
        <f>HYPERLINK("https://klasma.github.io/Logging_2029/klagomål/A 52600-2024 FSC-klagomål.docx", "A 52600-2024")</f>
        <v/>
      </c>
      <c r="W34">
        <f>HYPERLINK("https://klasma.github.io/Logging_2029/klagomålsmail/A 52600-2024 FSC-klagomål mail.docx", "A 52600-2024")</f>
        <v/>
      </c>
      <c r="X34">
        <f>HYPERLINK("https://klasma.github.io/Logging_2029/tillsyn/A 52600-2024 tillsynsbegäran.docx", "A 52600-2024")</f>
        <v/>
      </c>
      <c r="Y34">
        <f>HYPERLINK("https://klasma.github.io/Logging_2029/tillsynsmail/A 52600-2024 tillsynsbegäran mail.docx", "A 52600-2024")</f>
        <v/>
      </c>
    </row>
    <row r="35" ht="15" customHeight="1">
      <c r="A35" t="inlineStr">
        <is>
          <t>A 34993-2025</t>
        </is>
      </c>
      <c r="B35" s="1" t="n">
        <v>45849.82383101852</v>
      </c>
      <c r="C35" s="1" t="n">
        <v>45933</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45933</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59205-2023</t>
        </is>
      </c>
      <c r="B37" s="1" t="n">
        <v>45251</v>
      </c>
      <c r="C37" s="1" t="n">
        <v>45933</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53633-2024</t>
        </is>
      </c>
      <c r="B38" s="1" t="n">
        <v>45614.83726851852</v>
      </c>
      <c r="C38" s="1" t="n">
        <v>45933</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45375-2025</t>
        </is>
      </c>
      <c r="B39" s="1" t="n">
        <v>45922.39347222223</v>
      </c>
      <c r="C39" s="1" t="n">
        <v>45933</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4974-2025</t>
        </is>
      </c>
      <c r="B40" s="1" t="n">
        <v>45690.8478587963</v>
      </c>
      <c r="C40" s="1" t="n">
        <v>45933</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47601-2025</t>
        </is>
      </c>
      <c r="B41" s="1" t="n">
        <v>45931.46008101852</v>
      </c>
      <c r="C41" s="1" t="n">
        <v>45933</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16333-2023</t>
        </is>
      </c>
      <c r="B42" s="1" t="n">
        <v>45028</v>
      </c>
      <c r="C42" s="1" t="n">
        <v>45933</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26287-2023</t>
        </is>
      </c>
      <c r="B43" s="1" t="n">
        <v>45091</v>
      </c>
      <c r="C43" s="1" t="n">
        <v>45933</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41873-2022</t>
        </is>
      </c>
      <c r="B44" s="1" t="n">
        <v>44829</v>
      </c>
      <c r="C44" s="1" t="n">
        <v>45933</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6029-2025</t>
        </is>
      </c>
      <c r="B45" s="1" t="n">
        <v>45695</v>
      </c>
      <c r="C45" s="1" t="n">
        <v>45933</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16735-2025</t>
        </is>
      </c>
      <c r="B46" s="1" t="n">
        <v>45754.54314814815</v>
      </c>
      <c r="C46" s="1" t="n">
        <v>45933</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23137-2022</t>
        </is>
      </c>
      <c r="B47" s="1" t="n">
        <v>44719</v>
      </c>
      <c r="C47" s="1" t="n">
        <v>45933</v>
      </c>
      <c r="D47" t="inlineStr">
        <is>
          <t>DALARNAS LÄN</t>
        </is>
      </c>
      <c r="E47" t="inlineStr">
        <is>
          <t>LEKSAND</t>
        </is>
      </c>
      <c r="G47" t="n">
        <v>3</v>
      </c>
      <c r="H47" t="n">
        <v>0</v>
      </c>
      <c r="I47" t="n">
        <v>0</v>
      </c>
      <c r="J47" t="n">
        <v>0</v>
      </c>
      <c r="K47" t="n">
        <v>1</v>
      </c>
      <c r="L47" t="n">
        <v>0</v>
      </c>
      <c r="M47" t="n">
        <v>0</v>
      </c>
      <c r="N47" t="n">
        <v>0</v>
      </c>
      <c r="O47" t="n">
        <v>1</v>
      </c>
      <c r="P47" t="n">
        <v>1</v>
      </c>
      <c r="Q47" t="n">
        <v>1</v>
      </c>
      <c r="R47" s="2" t="inlineStr">
        <is>
          <t>Koppartaggsvamp</t>
        </is>
      </c>
      <c r="S47">
        <f>HYPERLINK("https://klasma.github.io/Logging_2029/artfynd/A 23137-2022 artfynd.xlsx", "A 23137-2022")</f>
        <v/>
      </c>
      <c r="T47">
        <f>HYPERLINK("https://klasma.github.io/Logging_2029/kartor/A 23137-2022 karta.png", "A 23137-2022")</f>
        <v/>
      </c>
      <c r="V47">
        <f>HYPERLINK("https://klasma.github.io/Logging_2029/klagomål/A 23137-2022 FSC-klagomål.docx", "A 23137-2022")</f>
        <v/>
      </c>
      <c r="W47">
        <f>HYPERLINK("https://klasma.github.io/Logging_2029/klagomålsmail/A 23137-2022 FSC-klagomål mail.docx", "A 23137-2022")</f>
        <v/>
      </c>
      <c r="X47">
        <f>HYPERLINK("https://klasma.github.io/Logging_2029/tillsyn/A 23137-2022 tillsynsbegäran.docx", "A 23137-2022")</f>
        <v/>
      </c>
      <c r="Y47">
        <f>HYPERLINK("https://klasma.github.io/Logging_2029/tillsynsmail/A 23137-2022 tillsynsbegäran mail.docx", "A 23137-2022")</f>
        <v/>
      </c>
    </row>
    <row r="48" ht="15" customHeight="1">
      <c r="A48" t="inlineStr">
        <is>
          <t>A 31124-2024</t>
        </is>
      </c>
      <c r="B48" s="1" t="n">
        <v>45502.62886574074</v>
      </c>
      <c r="C48" s="1" t="n">
        <v>45933</v>
      </c>
      <c r="D48" t="inlineStr">
        <is>
          <t>DALARNAS LÄN</t>
        </is>
      </c>
      <c r="E48" t="inlineStr">
        <is>
          <t>LEKSAND</t>
        </is>
      </c>
      <c r="G48" t="n">
        <v>1.9</v>
      </c>
      <c r="H48" t="n">
        <v>1</v>
      </c>
      <c r="I48" t="n">
        <v>0</v>
      </c>
      <c r="J48" t="n">
        <v>0</v>
      </c>
      <c r="K48" t="n">
        <v>1</v>
      </c>
      <c r="L48" t="n">
        <v>0</v>
      </c>
      <c r="M48" t="n">
        <v>0</v>
      </c>
      <c r="N48" t="n">
        <v>0</v>
      </c>
      <c r="O48" t="n">
        <v>1</v>
      </c>
      <c r="P48" t="n">
        <v>1</v>
      </c>
      <c r="Q48" t="n">
        <v>1</v>
      </c>
      <c r="R48" s="2" t="inlineStr">
        <is>
          <t>Väddnätfjäril</t>
        </is>
      </c>
      <c r="S48">
        <f>HYPERLINK("https://klasma.github.io/Logging_2029/artfynd/A 31124-2024 artfynd.xlsx", "A 31124-2024")</f>
        <v/>
      </c>
      <c r="T48">
        <f>HYPERLINK("https://klasma.github.io/Logging_2029/kartor/A 31124-2024 karta.png", "A 31124-2024")</f>
        <v/>
      </c>
      <c r="V48">
        <f>HYPERLINK("https://klasma.github.io/Logging_2029/klagomål/A 31124-2024 FSC-klagomål.docx", "A 31124-2024")</f>
        <v/>
      </c>
      <c r="W48">
        <f>HYPERLINK("https://klasma.github.io/Logging_2029/klagomålsmail/A 31124-2024 FSC-klagomål mail.docx", "A 31124-2024")</f>
        <v/>
      </c>
      <c r="X48">
        <f>HYPERLINK("https://klasma.github.io/Logging_2029/tillsyn/A 31124-2024 tillsynsbegäran.docx", "A 31124-2024")</f>
        <v/>
      </c>
      <c r="Y48">
        <f>HYPERLINK("https://klasma.github.io/Logging_2029/tillsynsmail/A 31124-2024 tillsynsbegäran mail.docx", "A 31124-2024")</f>
        <v/>
      </c>
    </row>
    <row r="49" ht="15" customHeight="1">
      <c r="A49" t="inlineStr">
        <is>
          <t>A 1078-2021</t>
        </is>
      </c>
      <c r="B49" s="1" t="n">
        <v>44207</v>
      </c>
      <c r="C49" s="1" t="n">
        <v>45933</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45933</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45933</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45933</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45933</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45933</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45933</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45933</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45933</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45933</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45933</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45933</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45933</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45933</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45933</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45933</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45933</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45933</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45933</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45933</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45933</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45933</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45933</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45933</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45933</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45933</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45933</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45933</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45933</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45933</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26289-2022</t>
        </is>
      </c>
      <c r="B80" s="1" t="n">
        <v>44735</v>
      </c>
      <c r="C80" s="1" t="n">
        <v>45933</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34317-2022</t>
        </is>
      </c>
      <c r="B81" s="1" t="n">
        <v>44792.38814814815</v>
      </c>
      <c r="C81" s="1" t="n">
        <v>45933</v>
      </c>
      <c r="D81" t="inlineStr">
        <is>
          <t>DALARNAS LÄN</t>
        </is>
      </c>
      <c r="E81" t="inlineStr">
        <is>
          <t>LEKSAND</t>
        </is>
      </c>
      <c r="G81" t="n">
        <v>0.8</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45933</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45933</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19677-2021</t>
        </is>
      </c>
      <c r="B84" s="1" t="n">
        <v>44312</v>
      </c>
      <c r="C84" s="1" t="n">
        <v>45933</v>
      </c>
      <c r="D84" t="inlineStr">
        <is>
          <t>DALARNAS LÄN</t>
        </is>
      </c>
      <c r="E84" t="inlineStr">
        <is>
          <t>LEKSAND</t>
        </is>
      </c>
      <c r="F84" t="inlineStr">
        <is>
          <t>Bergvik skog väst AB</t>
        </is>
      </c>
      <c r="G84" t="n">
        <v>3.1</v>
      </c>
      <c r="H84" t="n">
        <v>0</v>
      </c>
      <c r="I84" t="n">
        <v>0</v>
      </c>
      <c r="J84" t="n">
        <v>0</v>
      </c>
      <c r="K84" t="n">
        <v>0</v>
      </c>
      <c r="L84" t="n">
        <v>0</v>
      </c>
      <c r="M84" t="n">
        <v>0</v>
      </c>
      <c r="N84" t="n">
        <v>0</v>
      </c>
      <c r="O84" t="n">
        <v>0</v>
      </c>
      <c r="P84" t="n">
        <v>0</v>
      </c>
      <c r="Q84" t="n">
        <v>0</v>
      </c>
      <c r="R84" s="2" t="inlineStr"/>
    </row>
    <row r="85" ht="15" customHeight="1">
      <c r="A85" t="inlineStr">
        <is>
          <t>A 64449-2020</t>
        </is>
      </c>
      <c r="B85" s="1" t="n">
        <v>44168</v>
      </c>
      <c r="C85" s="1" t="n">
        <v>45933</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18866-2022</t>
        </is>
      </c>
      <c r="B86" s="1" t="n">
        <v>44690</v>
      </c>
      <c r="C86" s="1" t="n">
        <v>45933</v>
      </c>
      <c r="D86" t="inlineStr">
        <is>
          <t>DALARNAS LÄN</t>
        </is>
      </c>
      <c r="E86" t="inlineStr">
        <is>
          <t>LEKSAND</t>
        </is>
      </c>
      <c r="F86" t="inlineStr">
        <is>
          <t>Övriga Aktiebolag</t>
        </is>
      </c>
      <c r="G86" t="n">
        <v>5.1</v>
      </c>
      <c r="H86" t="n">
        <v>0</v>
      </c>
      <c r="I86" t="n">
        <v>0</v>
      </c>
      <c r="J86" t="n">
        <v>0</v>
      </c>
      <c r="K86" t="n">
        <v>0</v>
      </c>
      <c r="L86" t="n">
        <v>0</v>
      </c>
      <c r="M86" t="n">
        <v>0</v>
      </c>
      <c r="N86" t="n">
        <v>0</v>
      </c>
      <c r="O86" t="n">
        <v>0</v>
      </c>
      <c r="P86" t="n">
        <v>0</v>
      </c>
      <c r="Q86" t="n">
        <v>0</v>
      </c>
      <c r="R86" s="2" t="inlineStr"/>
    </row>
    <row r="87" ht="15" customHeight="1">
      <c r="A87" t="inlineStr">
        <is>
          <t>A 18870-2022</t>
        </is>
      </c>
      <c r="B87" s="1" t="n">
        <v>44690.50725694445</v>
      </c>
      <c r="C87" s="1" t="n">
        <v>45933</v>
      </c>
      <c r="D87" t="inlineStr">
        <is>
          <t>DALARNAS LÄN</t>
        </is>
      </c>
      <c r="E87" t="inlineStr">
        <is>
          <t>LEKSAND</t>
        </is>
      </c>
      <c r="F87" t="inlineStr">
        <is>
          <t>Övriga Aktiebolag</t>
        </is>
      </c>
      <c r="G87" t="n">
        <v>3.1</v>
      </c>
      <c r="H87" t="n">
        <v>0</v>
      </c>
      <c r="I87" t="n">
        <v>0</v>
      </c>
      <c r="J87" t="n">
        <v>0</v>
      </c>
      <c r="K87" t="n">
        <v>0</v>
      </c>
      <c r="L87" t="n">
        <v>0</v>
      </c>
      <c r="M87" t="n">
        <v>0</v>
      </c>
      <c r="N87" t="n">
        <v>0</v>
      </c>
      <c r="O87" t="n">
        <v>0</v>
      </c>
      <c r="P87" t="n">
        <v>0</v>
      </c>
      <c r="Q87" t="n">
        <v>0</v>
      </c>
      <c r="R87" s="2" t="inlineStr"/>
    </row>
    <row r="88" ht="15" customHeight="1">
      <c r="A88" t="inlineStr">
        <is>
          <t>A 36956-2021</t>
        </is>
      </c>
      <c r="B88" s="1" t="n">
        <v>44393.55643518519</v>
      </c>
      <c r="C88" s="1" t="n">
        <v>45933</v>
      </c>
      <c r="D88" t="inlineStr">
        <is>
          <t>DALARNAS LÄN</t>
        </is>
      </c>
      <c r="E88" t="inlineStr">
        <is>
          <t>LEKSAND</t>
        </is>
      </c>
      <c r="G88" t="n">
        <v>4.1</v>
      </c>
      <c r="H88" t="n">
        <v>0</v>
      </c>
      <c r="I88" t="n">
        <v>0</v>
      </c>
      <c r="J88" t="n">
        <v>0</v>
      </c>
      <c r="K88" t="n">
        <v>0</v>
      </c>
      <c r="L88" t="n">
        <v>0</v>
      </c>
      <c r="M88" t="n">
        <v>0</v>
      </c>
      <c r="N88" t="n">
        <v>0</v>
      </c>
      <c r="O88" t="n">
        <v>0</v>
      </c>
      <c r="P88" t="n">
        <v>0</v>
      </c>
      <c r="Q88" t="n">
        <v>0</v>
      </c>
      <c r="R88" s="2" t="inlineStr"/>
    </row>
    <row r="89" ht="15" customHeight="1">
      <c r="A89" t="inlineStr">
        <is>
          <t>A 18140-2022</t>
        </is>
      </c>
      <c r="B89" s="1" t="n">
        <v>44684.58278935185</v>
      </c>
      <c r="C89" s="1" t="n">
        <v>45933</v>
      </c>
      <c r="D89" t="inlineStr">
        <is>
          <t>DALARNAS LÄN</t>
        </is>
      </c>
      <c r="E89" t="inlineStr">
        <is>
          <t>LEKSAND</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45933</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45933</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8501-2022</t>
        </is>
      </c>
      <c r="B92" s="1" t="n">
        <v>44613.40672453704</v>
      </c>
      <c r="C92" s="1" t="n">
        <v>45933</v>
      </c>
      <c r="D92" t="inlineStr">
        <is>
          <t>DALARNAS LÄN</t>
        </is>
      </c>
      <c r="E92" t="inlineStr">
        <is>
          <t>LEKSAND</t>
        </is>
      </c>
      <c r="G92" t="n">
        <v>3</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45933</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31871-2022</t>
        </is>
      </c>
      <c r="B94" s="1" t="n">
        <v>44777.37854166667</v>
      </c>
      <c r="C94" s="1" t="n">
        <v>45933</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68573-2021</t>
        </is>
      </c>
      <c r="B95" s="1" t="n">
        <v>44529</v>
      </c>
      <c r="C95" s="1" t="n">
        <v>45933</v>
      </c>
      <c r="D95" t="inlineStr">
        <is>
          <t>DALARNAS LÄN</t>
        </is>
      </c>
      <c r="E95" t="inlineStr">
        <is>
          <t>LEKSAND</t>
        </is>
      </c>
      <c r="G95" t="n">
        <v>1.6</v>
      </c>
      <c r="H95" t="n">
        <v>0</v>
      </c>
      <c r="I95" t="n">
        <v>0</v>
      </c>
      <c r="J95" t="n">
        <v>0</v>
      </c>
      <c r="K95" t="n">
        <v>0</v>
      </c>
      <c r="L95" t="n">
        <v>0</v>
      </c>
      <c r="M95" t="n">
        <v>0</v>
      </c>
      <c r="N95" t="n">
        <v>0</v>
      </c>
      <c r="O95" t="n">
        <v>0</v>
      </c>
      <c r="P95" t="n">
        <v>0</v>
      </c>
      <c r="Q95" t="n">
        <v>0</v>
      </c>
      <c r="R95" s="2" t="inlineStr"/>
    </row>
    <row r="96" ht="15" customHeight="1">
      <c r="A96" t="inlineStr">
        <is>
          <t>A 14140-2022</t>
        </is>
      </c>
      <c r="B96" s="1" t="n">
        <v>44651</v>
      </c>
      <c r="C96" s="1" t="n">
        <v>45933</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45933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40584-2021</t>
        </is>
      </c>
      <c r="B98" s="1" t="n">
        <v>44420</v>
      </c>
      <c r="C98" s="1" t="n">
        <v>45933</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45933</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45155-2021</t>
        </is>
      </c>
      <c r="B100" s="1" t="n">
        <v>44439</v>
      </c>
      <c r="C100" s="1" t="n">
        <v>45933</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21965-2021</t>
        </is>
      </c>
      <c r="B101" s="1" t="n">
        <v>44323</v>
      </c>
      <c r="C101" s="1" t="n">
        <v>45933</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21969-2021</t>
        </is>
      </c>
      <c r="B102" s="1" t="n">
        <v>44323</v>
      </c>
      <c r="C102" s="1" t="n">
        <v>45933</v>
      </c>
      <c r="D102" t="inlineStr">
        <is>
          <t>DALARNAS LÄN</t>
        </is>
      </c>
      <c r="E102" t="inlineStr">
        <is>
          <t>LEKSAND</t>
        </is>
      </c>
      <c r="G102" t="n">
        <v>3.8</v>
      </c>
      <c r="H102" t="n">
        <v>0</v>
      </c>
      <c r="I102" t="n">
        <v>0</v>
      </c>
      <c r="J102" t="n">
        <v>0</v>
      </c>
      <c r="K102" t="n">
        <v>0</v>
      </c>
      <c r="L102" t="n">
        <v>0</v>
      </c>
      <c r="M102" t="n">
        <v>0</v>
      </c>
      <c r="N102" t="n">
        <v>0</v>
      </c>
      <c r="O102" t="n">
        <v>0</v>
      </c>
      <c r="P102" t="n">
        <v>0</v>
      </c>
      <c r="Q102" t="n">
        <v>0</v>
      </c>
      <c r="R102" s="2" t="inlineStr"/>
    </row>
    <row r="103" ht="15" customHeight="1">
      <c r="A103" t="inlineStr">
        <is>
          <t>A 70296-2021</t>
        </is>
      </c>
      <c r="B103" s="1" t="n">
        <v>44536.40434027778</v>
      </c>
      <c r="C103" s="1" t="n">
        <v>45933</v>
      </c>
      <c r="D103" t="inlineStr">
        <is>
          <t>DALARNAS LÄN</t>
        </is>
      </c>
      <c r="E103" t="inlineStr">
        <is>
          <t>LEKSAND</t>
        </is>
      </c>
      <c r="G103" t="n">
        <v>2.7</v>
      </c>
      <c r="H103" t="n">
        <v>0</v>
      </c>
      <c r="I103" t="n">
        <v>0</v>
      </c>
      <c r="J103" t="n">
        <v>0</v>
      </c>
      <c r="K103" t="n">
        <v>0</v>
      </c>
      <c r="L103" t="n">
        <v>0</v>
      </c>
      <c r="M103" t="n">
        <v>0</v>
      </c>
      <c r="N103" t="n">
        <v>0</v>
      </c>
      <c r="O103" t="n">
        <v>0</v>
      </c>
      <c r="P103" t="n">
        <v>0</v>
      </c>
      <c r="Q103" t="n">
        <v>0</v>
      </c>
      <c r="R103" s="2" t="inlineStr"/>
    </row>
    <row r="104" ht="15" customHeight="1">
      <c r="A104" t="inlineStr">
        <is>
          <t>A 49581-2022</t>
        </is>
      </c>
      <c r="B104" s="1" t="n">
        <v>44862.36287037037</v>
      </c>
      <c r="C104" s="1" t="n">
        <v>45933</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56153-2021</t>
        </is>
      </c>
      <c r="B105" s="1" t="n">
        <v>44477</v>
      </c>
      <c r="C105" s="1" t="n">
        <v>45933</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35080-2022</t>
        </is>
      </c>
      <c r="B106" s="1" t="n">
        <v>44797</v>
      </c>
      <c r="C106" s="1" t="n">
        <v>45933</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70098-2021</t>
        </is>
      </c>
      <c r="B107" s="1" t="n">
        <v>44533</v>
      </c>
      <c r="C107" s="1" t="n">
        <v>45933</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50219-2022</t>
        </is>
      </c>
      <c r="B108" s="1" t="n">
        <v>44865.64244212963</v>
      </c>
      <c r="C108" s="1" t="n">
        <v>45933</v>
      </c>
      <c r="D108" t="inlineStr">
        <is>
          <t>DALARNAS LÄN</t>
        </is>
      </c>
      <c r="E108" t="inlineStr">
        <is>
          <t>LEKSAND</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23283-2024</t>
        </is>
      </c>
      <c r="B109" s="1" t="n">
        <v>45453</v>
      </c>
      <c r="C109" s="1" t="n">
        <v>45933</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40165-2022</t>
        </is>
      </c>
      <c r="B110" s="1" t="n">
        <v>44820.56857638889</v>
      </c>
      <c r="C110" s="1" t="n">
        <v>45933</v>
      </c>
      <c r="D110" t="inlineStr">
        <is>
          <t>DALARNAS LÄN</t>
        </is>
      </c>
      <c r="E110" t="inlineStr">
        <is>
          <t>LEKSAND</t>
        </is>
      </c>
      <c r="G110" t="n">
        <v>1.9</v>
      </c>
      <c r="H110" t="n">
        <v>0</v>
      </c>
      <c r="I110" t="n">
        <v>0</v>
      </c>
      <c r="J110" t="n">
        <v>0</v>
      </c>
      <c r="K110" t="n">
        <v>0</v>
      </c>
      <c r="L110" t="n">
        <v>0</v>
      </c>
      <c r="M110" t="n">
        <v>0</v>
      </c>
      <c r="N110" t="n">
        <v>0</v>
      </c>
      <c r="O110" t="n">
        <v>0</v>
      </c>
      <c r="P110" t="n">
        <v>0</v>
      </c>
      <c r="Q110" t="n">
        <v>0</v>
      </c>
      <c r="R110" s="2" t="inlineStr"/>
    </row>
    <row r="111" ht="15" customHeight="1">
      <c r="A111" t="inlineStr">
        <is>
          <t>A 47121-2021</t>
        </is>
      </c>
      <c r="B111" s="1" t="n">
        <v>44446</v>
      </c>
      <c r="C111" s="1" t="n">
        <v>45933</v>
      </c>
      <c r="D111" t="inlineStr">
        <is>
          <t>DALARNAS LÄN</t>
        </is>
      </c>
      <c r="E111" t="inlineStr">
        <is>
          <t>LEKSAND</t>
        </is>
      </c>
      <c r="G111" t="n">
        <v>3.5</v>
      </c>
      <c r="H111" t="n">
        <v>0</v>
      </c>
      <c r="I111" t="n">
        <v>0</v>
      </c>
      <c r="J111" t="n">
        <v>0</v>
      </c>
      <c r="K111" t="n">
        <v>0</v>
      </c>
      <c r="L111" t="n">
        <v>0</v>
      </c>
      <c r="M111" t="n">
        <v>0</v>
      </c>
      <c r="N111" t="n">
        <v>0</v>
      </c>
      <c r="O111" t="n">
        <v>0</v>
      </c>
      <c r="P111" t="n">
        <v>0</v>
      </c>
      <c r="Q111" t="n">
        <v>0</v>
      </c>
      <c r="R111" s="2" t="inlineStr"/>
    </row>
    <row r="112" ht="15" customHeight="1">
      <c r="A112" t="inlineStr">
        <is>
          <t>A 32688-2024</t>
        </is>
      </c>
      <c r="B112" s="1" t="n">
        <v>45515.83091435185</v>
      </c>
      <c r="C112" s="1" t="n">
        <v>45933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3352-2024</t>
        </is>
      </c>
      <c r="B113" s="1" t="n">
        <v>45317</v>
      </c>
      <c r="C113" s="1" t="n">
        <v>45933</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4121-2024</t>
        </is>
      </c>
      <c r="B114" s="1" t="n">
        <v>45323</v>
      </c>
      <c r="C114" s="1" t="n">
        <v>45933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31391-2024</t>
        </is>
      </c>
      <c r="B115" s="1" t="n">
        <v>45505.46616898148</v>
      </c>
      <c r="C115" s="1" t="n">
        <v>45933</v>
      </c>
      <c r="D115" t="inlineStr">
        <is>
          <t>DALARNAS LÄN</t>
        </is>
      </c>
      <c r="E115" t="inlineStr">
        <is>
          <t>LEKSAND</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72575-2021</t>
        </is>
      </c>
      <c r="B116" s="1" t="n">
        <v>44546</v>
      </c>
      <c r="C116" s="1" t="n">
        <v>45933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72581-2021</t>
        </is>
      </c>
      <c r="B117" s="1" t="n">
        <v>44546.46354166666</v>
      </c>
      <c r="C117" s="1" t="n">
        <v>45933</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43275-2022</t>
        </is>
      </c>
      <c r="B118" s="1" t="n">
        <v>44824</v>
      </c>
      <c r="C118" s="1" t="n">
        <v>45933</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43304-2022</t>
        </is>
      </c>
      <c r="B119" s="1" t="n">
        <v>44834</v>
      </c>
      <c r="C119" s="1" t="n">
        <v>45933</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61614-2023</t>
        </is>
      </c>
      <c r="B120" s="1" t="n">
        <v>45261</v>
      </c>
      <c r="C120" s="1" t="n">
        <v>45933</v>
      </c>
      <c r="D120" t="inlineStr">
        <is>
          <t>DALARNAS LÄN</t>
        </is>
      </c>
      <c r="E120" t="inlineStr">
        <is>
          <t>LEKSAND</t>
        </is>
      </c>
      <c r="G120" t="n">
        <v>0.8</v>
      </c>
      <c r="H120" t="n">
        <v>0</v>
      </c>
      <c r="I120" t="n">
        <v>0</v>
      </c>
      <c r="J120" t="n">
        <v>0</v>
      </c>
      <c r="K120" t="n">
        <v>0</v>
      </c>
      <c r="L120" t="n">
        <v>0</v>
      </c>
      <c r="M120" t="n">
        <v>0</v>
      </c>
      <c r="N120" t="n">
        <v>0</v>
      </c>
      <c r="O120" t="n">
        <v>0</v>
      </c>
      <c r="P120" t="n">
        <v>0</v>
      </c>
      <c r="Q120" t="n">
        <v>0</v>
      </c>
      <c r="R120" s="2" t="inlineStr"/>
    </row>
    <row r="121" ht="15" customHeight="1">
      <c r="A121" t="inlineStr">
        <is>
          <t>A 26062-2024</t>
        </is>
      </c>
      <c r="B121" s="1" t="n">
        <v>45468.3509375</v>
      </c>
      <c r="C121" s="1" t="n">
        <v>45933</v>
      </c>
      <c r="D121" t="inlineStr">
        <is>
          <t>DALARNAS LÄN</t>
        </is>
      </c>
      <c r="E121" t="inlineStr">
        <is>
          <t>LEKSAND</t>
        </is>
      </c>
      <c r="F121" t="inlineStr">
        <is>
          <t>Övriga statliga verk och myndigheter</t>
        </is>
      </c>
      <c r="G121" t="n">
        <v>6.4</v>
      </c>
      <c r="H121" t="n">
        <v>0</v>
      </c>
      <c r="I121" t="n">
        <v>0</v>
      </c>
      <c r="J121" t="n">
        <v>0</v>
      </c>
      <c r="K121" t="n">
        <v>0</v>
      </c>
      <c r="L121" t="n">
        <v>0</v>
      </c>
      <c r="M121" t="n">
        <v>0</v>
      </c>
      <c r="N121" t="n">
        <v>0</v>
      </c>
      <c r="O121" t="n">
        <v>0</v>
      </c>
      <c r="P121" t="n">
        <v>0</v>
      </c>
      <c r="Q121" t="n">
        <v>0</v>
      </c>
      <c r="R121" s="2" t="inlineStr"/>
    </row>
    <row r="122" ht="15" customHeight="1">
      <c r="A122" t="inlineStr">
        <is>
          <t>A 19480-2022</t>
        </is>
      </c>
      <c r="B122" s="1" t="n">
        <v>44693</v>
      </c>
      <c r="C122" s="1" t="n">
        <v>45933</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34585-2024</t>
        </is>
      </c>
      <c r="B123" s="1" t="n">
        <v>45526.37697916666</v>
      </c>
      <c r="C123" s="1" t="n">
        <v>45933</v>
      </c>
      <c r="D123" t="inlineStr">
        <is>
          <t>DALARNAS LÄN</t>
        </is>
      </c>
      <c r="E123" t="inlineStr">
        <is>
          <t>LEKSAND</t>
        </is>
      </c>
      <c r="G123" t="n">
        <v>0.9</v>
      </c>
      <c r="H123" t="n">
        <v>0</v>
      </c>
      <c r="I123" t="n">
        <v>0</v>
      </c>
      <c r="J123" t="n">
        <v>0</v>
      </c>
      <c r="K123" t="n">
        <v>0</v>
      </c>
      <c r="L123" t="n">
        <v>0</v>
      </c>
      <c r="M123" t="n">
        <v>0</v>
      </c>
      <c r="N123" t="n">
        <v>0</v>
      </c>
      <c r="O123" t="n">
        <v>0</v>
      </c>
      <c r="P123" t="n">
        <v>0</v>
      </c>
      <c r="Q123" t="n">
        <v>0</v>
      </c>
      <c r="R123" s="2" t="inlineStr"/>
    </row>
    <row r="124" ht="15" customHeight="1">
      <c r="A124" t="inlineStr">
        <is>
          <t>A 11004-2023</t>
        </is>
      </c>
      <c r="B124" s="1" t="n">
        <v>44986</v>
      </c>
      <c r="C124" s="1" t="n">
        <v>45933</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63514-2023</t>
        </is>
      </c>
      <c r="B125" s="1" t="n">
        <v>45274</v>
      </c>
      <c r="C125" s="1" t="n">
        <v>45933</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67307-2020</t>
        </is>
      </c>
      <c r="B126" s="1" t="n">
        <v>44181</v>
      </c>
      <c r="C126" s="1" t="n">
        <v>45933</v>
      </c>
      <c r="D126" t="inlineStr">
        <is>
          <t>DALARNAS LÄN</t>
        </is>
      </c>
      <c r="E126" t="inlineStr">
        <is>
          <t>LEKSAND</t>
        </is>
      </c>
      <c r="G126" t="n">
        <v>5.9</v>
      </c>
      <c r="H126" t="n">
        <v>0</v>
      </c>
      <c r="I126" t="n">
        <v>0</v>
      </c>
      <c r="J126" t="n">
        <v>0</v>
      </c>
      <c r="K126" t="n">
        <v>0</v>
      </c>
      <c r="L126" t="n">
        <v>0</v>
      </c>
      <c r="M126" t="n">
        <v>0</v>
      </c>
      <c r="N126" t="n">
        <v>0</v>
      </c>
      <c r="O126" t="n">
        <v>0</v>
      </c>
      <c r="P126" t="n">
        <v>0</v>
      </c>
      <c r="Q126" t="n">
        <v>0</v>
      </c>
      <c r="R126" s="2" t="inlineStr"/>
    </row>
    <row r="127" ht="15" customHeight="1">
      <c r="A127" t="inlineStr">
        <is>
          <t>A 27244-2023</t>
        </is>
      </c>
      <c r="B127" s="1" t="n">
        <v>45096</v>
      </c>
      <c r="C127" s="1" t="n">
        <v>45933</v>
      </c>
      <c r="D127" t="inlineStr">
        <is>
          <t>DALARNAS LÄN</t>
        </is>
      </c>
      <c r="E127" t="inlineStr">
        <is>
          <t>LEKSAND</t>
        </is>
      </c>
      <c r="G127" t="n">
        <v>5</v>
      </c>
      <c r="H127" t="n">
        <v>0</v>
      </c>
      <c r="I127" t="n">
        <v>0</v>
      </c>
      <c r="J127" t="n">
        <v>0</v>
      </c>
      <c r="K127" t="n">
        <v>0</v>
      </c>
      <c r="L127" t="n">
        <v>0</v>
      </c>
      <c r="M127" t="n">
        <v>0</v>
      </c>
      <c r="N127" t="n">
        <v>0</v>
      </c>
      <c r="O127" t="n">
        <v>0</v>
      </c>
      <c r="P127" t="n">
        <v>0</v>
      </c>
      <c r="Q127" t="n">
        <v>0</v>
      </c>
      <c r="R127" s="2" t="inlineStr"/>
    </row>
    <row r="128" ht="15" customHeight="1">
      <c r="A128" t="inlineStr">
        <is>
          <t>A 7928-2023</t>
        </is>
      </c>
      <c r="B128" s="1" t="n">
        <v>44973</v>
      </c>
      <c r="C128" s="1" t="n">
        <v>45933</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32635-2021</t>
        </is>
      </c>
      <c r="B129" s="1" t="n">
        <v>44374</v>
      </c>
      <c r="C129" s="1" t="n">
        <v>45933</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30860-2024</t>
        </is>
      </c>
      <c r="B130" s="1" t="n">
        <v>45497.69108796296</v>
      </c>
      <c r="C130" s="1" t="n">
        <v>45933</v>
      </c>
      <c r="D130" t="inlineStr">
        <is>
          <t>DALARNAS LÄN</t>
        </is>
      </c>
      <c r="E130" t="inlineStr">
        <is>
          <t>LEKSAND</t>
        </is>
      </c>
      <c r="F130" t="inlineStr">
        <is>
          <t>Bergvik skog väst AB</t>
        </is>
      </c>
      <c r="G130" t="n">
        <v>0.7</v>
      </c>
      <c r="H130" t="n">
        <v>0</v>
      </c>
      <c r="I130" t="n">
        <v>0</v>
      </c>
      <c r="J130" t="n">
        <v>0</v>
      </c>
      <c r="K130" t="n">
        <v>0</v>
      </c>
      <c r="L130" t="n">
        <v>0</v>
      </c>
      <c r="M130" t="n">
        <v>0</v>
      </c>
      <c r="N130" t="n">
        <v>0</v>
      </c>
      <c r="O130" t="n">
        <v>0</v>
      </c>
      <c r="P130" t="n">
        <v>0</v>
      </c>
      <c r="Q130" t="n">
        <v>0</v>
      </c>
      <c r="R130" s="2" t="inlineStr"/>
    </row>
    <row r="131" ht="15" customHeight="1">
      <c r="A131" t="inlineStr">
        <is>
          <t>A 30864-2024</t>
        </is>
      </c>
      <c r="B131" s="1" t="n">
        <v>45497.71550925926</v>
      </c>
      <c r="C131" s="1" t="n">
        <v>45933</v>
      </c>
      <c r="D131" t="inlineStr">
        <is>
          <t>DALARNAS LÄN</t>
        </is>
      </c>
      <c r="E131" t="inlineStr">
        <is>
          <t>LEKSAND</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45040-2021</t>
        </is>
      </c>
      <c r="B132" s="1" t="n">
        <v>44438</v>
      </c>
      <c r="C132" s="1" t="n">
        <v>45933</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18107-2025</t>
        </is>
      </c>
      <c r="B133" s="1" t="n">
        <v>45761.55939814815</v>
      </c>
      <c r="C133" s="1" t="n">
        <v>45933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16051-2023</t>
        </is>
      </c>
      <c r="B134" s="1" t="n">
        <v>45027</v>
      </c>
      <c r="C134" s="1" t="n">
        <v>45933</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56059-2024</t>
        </is>
      </c>
      <c r="B135" s="1" t="n">
        <v>45624.36729166667</v>
      </c>
      <c r="C135" s="1" t="n">
        <v>45933</v>
      </c>
      <c r="D135" t="inlineStr">
        <is>
          <t>DALARNAS LÄN</t>
        </is>
      </c>
      <c r="E135" t="inlineStr">
        <is>
          <t>LEKSAND</t>
        </is>
      </c>
      <c r="G135" t="n">
        <v>3.1</v>
      </c>
      <c r="H135" t="n">
        <v>0</v>
      </c>
      <c r="I135" t="n">
        <v>0</v>
      </c>
      <c r="J135" t="n">
        <v>0</v>
      </c>
      <c r="K135" t="n">
        <v>0</v>
      </c>
      <c r="L135" t="n">
        <v>0</v>
      </c>
      <c r="M135" t="n">
        <v>0</v>
      </c>
      <c r="N135" t="n">
        <v>0</v>
      </c>
      <c r="O135" t="n">
        <v>0</v>
      </c>
      <c r="P135" t="n">
        <v>0</v>
      </c>
      <c r="Q135" t="n">
        <v>0</v>
      </c>
      <c r="R135" s="2" t="inlineStr"/>
    </row>
    <row r="136" ht="15" customHeight="1">
      <c r="A136" t="inlineStr">
        <is>
          <t>A 2579-2022</t>
        </is>
      </c>
      <c r="B136" s="1" t="n">
        <v>44580</v>
      </c>
      <c r="C136" s="1" t="n">
        <v>45933</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5582-2024</t>
        </is>
      </c>
      <c r="B137" s="1" t="n">
        <v>45334</v>
      </c>
      <c r="C137" s="1" t="n">
        <v>45933</v>
      </c>
      <c r="D137" t="inlineStr">
        <is>
          <t>DALARNAS LÄN</t>
        </is>
      </c>
      <c r="E137" t="inlineStr">
        <is>
          <t>LEKSAND</t>
        </is>
      </c>
      <c r="G137" t="n">
        <v>0.5</v>
      </c>
      <c r="H137" t="n">
        <v>0</v>
      </c>
      <c r="I137" t="n">
        <v>0</v>
      </c>
      <c r="J137" t="n">
        <v>0</v>
      </c>
      <c r="K137" t="n">
        <v>0</v>
      </c>
      <c r="L137" t="n">
        <v>0</v>
      </c>
      <c r="M137" t="n">
        <v>0</v>
      </c>
      <c r="N137" t="n">
        <v>0</v>
      </c>
      <c r="O137" t="n">
        <v>0</v>
      </c>
      <c r="P137" t="n">
        <v>0</v>
      </c>
      <c r="Q137" t="n">
        <v>0</v>
      </c>
      <c r="R137" s="2" t="inlineStr"/>
    </row>
    <row r="138" ht="15" customHeight="1">
      <c r="A138" t="inlineStr">
        <is>
          <t>A 5584-2024</t>
        </is>
      </c>
      <c r="B138" s="1" t="n">
        <v>45334</v>
      </c>
      <c r="C138" s="1" t="n">
        <v>45933</v>
      </c>
      <c r="D138" t="inlineStr">
        <is>
          <t>DALARNAS LÄN</t>
        </is>
      </c>
      <c r="E138" t="inlineStr">
        <is>
          <t>LEKSAND</t>
        </is>
      </c>
      <c r="F138" t="inlineStr">
        <is>
          <t>Kyrkan</t>
        </is>
      </c>
      <c r="G138" t="n">
        <v>0.4</v>
      </c>
      <c r="H138" t="n">
        <v>0</v>
      </c>
      <c r="I138" t="n">
        <v>0</v>
      </c>
      <c r="J138" t="n">
        <v>0</v>
      </c>
      <c r="K138" t="n">
        <v>0</v>
      </c>
      <c r="L138" t="n">
        <v>0</v>
      </c>
      <c r="M138" t="n">
        <v>0</v>
      </c>
      <c r="N138" t="n">
        <v>0</v>
      </c>
      <c r="O138" t="n">
        <v>0</v>
      </c>
      <c r="P138" t="n">
        <v>0</v>
      </c>
      <c r="Q138" t="n">
        <v>0</v>
      </c>
      <c r="R138" s="2" t="inlineStr"/>
    </row>
    <row r="139" ht="15" customHeight="1">
      <c r="A139" t="inlineStr">
        <is>
          <t>A 49395-2024</t>
        </is>
      </c>
      <c r="B139" s="1" t="n">
        <v>45595</v>
      </c>
      <c r="C139" s="1" t="n">
        <v>45933</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26386-2025</t>
        </is>
      </c>
      <c r="B140" s="1" t="n">
        <v>45806</v>
      </c>
      <c r="C140" s="1" t="n">
        <v>45933</v>
      </c>
      <c r="D140" t="inlineStr">
        <is>
          <t>DALARNAS LÄN</t>
        </is>
      </c>
      <c r="E140" t="inlineStr">
        <is>
          <t>LEKSAND</t>
        </is>
      </c>
      <c r="F140" t="inlineStr">
        <is>
          <t>Bergvik skog väst AB</t>
        </is>
      </c>
      <c r="G140" t="n">
        <v>26.3</v>
      </c>
      <c r="H140" t="n">
        <v>0</v>
      </c>
      <c r="I140" t="n">
        <v>0</v>
      </c>
      <c r="J140" t="n">
        <v>0</v>
      </c>
      <c r="K140" t="n">
        <v>0</v>
      </c>
      <c r="L140" t="n">
        <v>0</v>
      </c>
      <c r="M140" t="n">
        <v>0</v>
      </c>
      <c r="N140" t="n">
        <v>0</v>
      </c>
      <c r="O140" t="n">
        <v>0</v>
      </c>
      <c r="P140" t="n">
        <v>0</v>
      </c>
      <c r="Q140" t="n">
        <v>0</v>
      </c>
      <c r="R140" s="2" t="inlineStr"/>
    </row>
    <row r="141" ht="15" customHeight="1">
      <c r="A141" t="inlineStr">
        <is>
          <t>A 25329-2022</t>
        </is>
      </c>
      <c r="B141" s="1" t="n">
        <v>44731.8799537037</v>
      </c>
      <c r="C141" s="1" t="n">
        <v>45933</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40752-2024</t>
        </is>
      </c>
      <c r="B142" s="1" t="n">
        <v>45558.45638888889</v>
      </c>
      <c r="C142" s="1" t="n">
        <v>45933</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26423-2025</t>
        </is>
      </c>
      <c r="B143" s="1" t="n">
        <v>45807.37829861111</v>
      </c>
      <c r="C143" s="1" t="n">
        <v>45933</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27323-2025</t>
        </is>
      </c>
      <c r="B144" s="1" t="n">
        <v>45812.60392361111</v>
      </c>
      <c r="C144" s="1" t="n">
        <v>45933</v>
      </c>
      <c r="D144" t="inlineStr">
        <is>
          <t>DALARNAS LÄN</t>
        </is>
      </c>
      <c r="E144" t="inlineStr">
        <is>
          <t>LEKSAND</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30449-2022</t>
        </is>
      </c>
      <c r="B145" s="1" t="n">
        <v>44761.59276620371</v>
      </c>
      <c r="C145" s="1" t="n">
        <v>45933</v>
      </c>
      <c r="D145" t="inlineStr">
        <is>
          <t>DALARNAS LÄN</t>
        </is>
      </c>
      <c r="E145" t="inlineStr">
        <is>
          <t>LEKSAND</t>
        </is>
      </c>
      <c r="G145" t="n">
        <v>5.7</v>
      </c>
      <c r="H145" t="n">
        <v>0</v>
      </c>
      <c r="I145" t="n">
        <v>0</v>
      </c>
      <c r="J145" t="n">
        <v>0</v>
      </c>
      <c r="K145" t="n">
        <v>0</v>
      </c>
      <c r="L145" t="n">
        <v>0</v>
      </c>
      <c r="M145" t="n">
        <v>0</v>
      </c>
      <c r="N145" t="n">
        <v>0</v>
      </c>
      <c r="O145" t="n">
        <v>0</v>
      </c>
      <c r="P145" t="n">
        <v>0</v>
      </c>
      <c r="Q145" t="n">
        <v>0</v>
      </c>
      <c r="R145" s="2" t="inlineStr"/>
    </row>
    <row r="146" ht="15" customHeight="1">
      <c r="A146" t="inlineStr">
        <is>
          <t>A 33317-2023</t>
        </is>
      </c>
      <c r="B146" s="1" t="n">
        <v>45127.84586805556</v>
      </c>
      <c r="C146" s="1" t="n">
        <v>45933</v>
      </c>
      <c r="D146" t="inlineStr">
        <is>
          <t>DALARNAS LÄN</t>
        </is>
      </c>
      <c r="E146" t="inlineStr">
        <is>
          <t>LEKSAND</t>
        </is>
      </c>
      <c r="G146" t="n">
        <v>2.7</v>
      </c>
      <c r="H146" t="n">
        <v>0</v>
      </c>
      <c r="I146" t="n">
        <v>0</v>
      </c>
      <c r="J146" t="n">
        <v>0</v>
      </c>
      <c r="K146" t="n">
        <v>0</v>
      </c>
      <c r="L146" t="n">
        <v>0</v>
      </c>
      <c r="M146" t="n">
        <v>0</v>
      </c>
      <c r="N146" t="n">
        <v>0</v>
      </c>
      <c r="O146" t="n">
        <v>0</v>
      </c>
      <c r="P146" t="n">
        <v>0</v>
      </c>
      <c r="Q146" t="n">
        <v>0</v>
      </c>
      <c r="R146" s="2" t="inlineStr"/>
    </row>
    <row r="147" ht="15" customHeight="1">
      <c r="A147" t="inlineStr">
        <is>
          <t>A 33318-2023</t>
        </is>
      </c>
      <c r="B147" s="1" t="n">
        <v>45127</v>
      </c>
      <c r="C147" s="1" t="n">
        <v>45933</v>
      </c>
      <c r="D147" t="inlineStr">
        <is>
          <t>DALARNAS LÄN</t>
        </is>
      </c>
      <c r="E147" t="inlineStr">
        <is>
          <t>LEKSAND</t>
        </is>
      </c>
      <c r="G147" t="n">
        <v>5.5</v>
      </c>
      <c r="H147" t="n">
        <v>0</v>
      </c>
      <c r="I147" t="n">
        <v>0</v>
      </c>
      <c r="J147" t="n">
        <v>0</v>
      </c>
      <c r="K147" t="n">
        <v>0</v>
      </c>
      <c r="L147" t="n">
        <v>0</v>
      </c>
      <c r="M147" t="n">
        <v>0</v>
      </c>
      <c r="N147" t="n">
        <v>0</v>
      </c>
      <c r="O147" t="n">
        <v>0</v>
      </c>
      <c r="P147" t="n">
        <v>0</v>
      </c>
      <c r="Q147" t="n">
        <v>0</v>
      </c>
      <c r="R147" s="2" t="inlineStr"/>
    </row>
    <row r="148" ht="15" customHeight="1">
      <c r="A148" t="inlineStr">
        <is>
          <t>A 27183-2025</t>
        </is>
      </c>
      <c r="B148" s="1" t="n">
        <v>45812.36097222222</v>
      </c>
      <c r="C148" s="1" t="n">
        <v>45933</v>
      </c>
      <c r="D148" t="inlineStr">
        <is>
          <t>DALARNAS LÄN</t>
        </is>
      </c>
      <c r="E148" t="inlineStr">
        <is>
          <t>LEKSAND</t>
        </is>
      </c>
      <c r="G148" t="n">
        <v>1</v>
      </c>
      <c r="H148" t="n">
        <v>0</v>
      </c>
      <c r="I148" t="n">
        <v>0</v>
      </c>
      <c r="J148" t="n">
        <v>0</v>
      </c>
      <c r="K148" t="n">
        <v>0</v>
      </c>
      <c r="L148" t="n">
        <v>0</v>
      </c>
      <c r="M148" t="n">
        <v>0</v>
      </c>
      <c r="N148" t="n">
        <v>0</v>
      </c>
      <c r="O148" t="n">
        <v>0</v>
      </c>
      <c r="P148" t="n">
        <v>0</v>
      </c>
      <c r="Q148" t="n">
        <v>0</v>
      </c>
      <c r="R148" s="2" t="inlineStr"/>
    </row>
    <row r="149" ht="15" customHeight="1">
      <c r="A149" t="inlineStr">
        <is>
          <t>A 27262-2025</t>
        </is>
      </c>
      <c r="B149" s="1" t="n">
        <v>45812</v>
      </c>
      <c r="C149" s="1" t="n">
        <v>45933</v>
      </c>
      <c r="D149" t="inlineStr">
        <is>
          <t>DALARNAS LÄN</t>
        </is>
      </c>
      <c r="E149" t="inlineStr">
        <is>
          <t>LEKSAND</t>
        </is>
      </c>
      <c r="F149" t="inlineStr">
        <is>
          <t>Bergvik skog väst AB</t>
        </is>
      </c>
      <c r="G149" t="n">
        <v>7.7</v>
      </c>
      <c r="H149" t="n">
        <v>0</v>
      </c>
      <c r="I149" t="n">
        <v>0</v>
      </c>
      <c r="J149" t="n">
        <v>0</v>
      </c>
      <c r="K149" t="n">
        <v>0</v>
      </c>
      <c r="L149" t="n">
        <v>0</v>
      </c>
      <c r="M149" t="n">
        <v>0</v>
      </c>
      <c r="N149" t="n">
        <v>0</v>
      </c>
      <c r="O149" t="n">
        <v>0</v>
      </c>
      <c r="P149" t="n">
        <v>0</v>
      </c>
      <c r="Q149" t="n">
        <v>0</v>
      </c>
      <c r="R149" s="2" t="inlineStr"/>
    </row>
    <row r="150" ht="15" customHeight="1">
      <c r="A150" t="inlineStr">
        <is>
          <t>A 27329-2025</t>
        </is>
      </c>
      <c r="B150" s="1" t="n">
        <v>45812.60864583333</v>
      </c>
      <c r="C150" s="1" t="n">
        <v>45933</v>
      </c>
      <c r="D150" t="inlineStr">
        <is>
          <t>DALARNAS LÄN</t>
        </is>
      </c>
      <c r="E150" t="inlineStr">
        <is>
          <t>LEKSAND</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27332-2025</t>
        </is>
      </c>
      <c r="B151" s="1" t="n">
        <v>45812.61265046296</v>
      </c>
      <c r="C151" s="1" t="n">
        <v>45933</v>
      </c>
      <c r="D151" t="inlineStr">
        <is>
          <t>DALARNAS LÄN</t>
        </is>
      </c>
      <c r="E151" t="inlineStr">
        <is>
          <t>LEKSAND</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58244-2024</t>
        </is>
      </c>
      <c r="B152" s="1" t="n">
        <v>45631</v>
      </c>
      <c r="C152" s="1" t="n">
        <v>45933</v>
      </c>
      <c r="D152" t="inlineStr">
        <is>
          <t>DALARNAS LÄN</t>
        </is>
      </c>
      <c r="E152" t="inlineStr">
        <is>
          <t>LEKSAND</t>
        </is>
      </c>
      <c r="G152" t="n">
        <v>1.9</v>
      </c>
      <c r="H152" t="n">
        <v>0</v>
      </c>
      <c r="I152" t="n">
        <v>0</v>
      </c>
      <c r="J152" t="n">
        <v>0</v>
      </c>
      <c r="K152" t="n">
        <v>0</v>
      </c>
      <c r="L152" t="n">
        <v>0</v>
      </c>
      <c r="M152" t="n">
        <v>0</v>
      </c>
      <c r="N152" t="n">
        <v>0</v>
      </c>
      <c r="O152" t="n">
        <v>0</v>
      </c>
      <c r="P152" t="n">
        <v>0</v>
      </c>
      <c r="Q152" t="n">
        <v>0</v>
      </c>
      <c r="R152" s="2" t="inlineStr"/>
    </row>
    <row r="153" ht="15" customHeight="1">
      <c r="A153" t="inlineStr">
        <is>
          <t>A 62161-2024</t>
        </is>
      </c>
      <c r="B153" s="1" t="n">
        <v>45656.86009259259</v>
      </c>
      <c r="C153" s="1" t="n">
        <v>45933</v>
      </c>
      <c r="D153" t="inlineStr">
        <is>
          <t>DALARNAS LÄN</t>
        </is>
      </c>
      <c r="E153" t="inlineStr">
        <is>
          <t>LEKSAND</t>
        </is>
      </c>
      <c r="G153" t="n">
        <v>2</v>
      </c>
      <c r="H153" t="n">
        <v>0</v>
      </c>
      <c r="I153" t="n">
        <v>0</v>
      </c>
      <c r="J153" t="n">
        <v>0</v>
      </c>
      <c r="K153" t="n">
        <v>0</v>
      </c>
      <c r="L153" t="n">
        <v>0</v>
      </c>
      <c r="M153" t="n">
        <v>0</v>
      </c>
      <c r="N153" t="n">
        <v>0</v>
      </c>
      <c r="O153" t="n">
        <v>0</v>
      </c>
      <c r="P153" t="n">
        <v>0</v>
      </c>
      <c r="Q153" t="n">
        <v>0</v>
      </c>
      <c r="R153" s="2" t="inlineStr"/>
    </row>
    <row r="154" ht="15" customHeight="1">
      <c r="A154" t="inlineStr">
        <is>
          <t>A 27682-2025</t>
        </is>
      </c>
      <c r="B154" s="1" t="n">
        <v>45813.64782407408</v>
      </c>
      <c r="C154" s="1" t="n">
        <v>45933</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19559-2023</t>
        </is>
      </c>
      <c r="B155" s="1" t="n">
        <v>45050</v>
      </c>
      <c r="C155" s="1" t="n">
        <v>45933</v>
      </c>
      <c r="D155" t="inlineStr">
        <is>
          <t>DALARNAS LÄN</t>
        </is>
      </c>
      <c r="E155" t="inlineStr">
        <is>
          <t>LEKSAND</t>
        </is>
      </c>
      <c r="G155" t="n">
        <v>0.1</v>
      </c>
      <c r="H155" t="n">
        <v>0</v>
      </c>
      <c r="I155" t="n">
        <v>0</v>
      </c>
      <c r="J155" t="n">
        <v>0</v>
      </c>
      <c r="K155" t="n">
        <v>0</v>
      </c>
      <c r="L155" t="n">
        <v>0</v>
      </c>
      <c r="M155" t="n">
        <v>0</v>
      </c>
      <c r="N155" t="n">
        <v>0</v>
      </c>
      <c r="O155" t="n">
        <v>0</v>
      </c>
      <c r="P155" t="n">
        <v>0</v>
      </c>
      <c r="Q155" t="n">
        <v>0</v>
      </c>
      <c r="R155" s="2" t="inlineStr"/>
    </row>
    <row r="156" ht="15" customHeight="1">
      <c r="A156" t="inlineStr">
        <is>
          <t>A 8046-2024</t>
        </is>
      </c>
      <c r="B156" s="1" t="n">
        <v>45351.31555555556</v>
      </c>
      <c r="C156" s="1" t="n">
        <v>45933</v>
      </c>
      <c r="D156" t="inlineStr">
        <is>
          <t>DALARNAS LÄN</t>
        </is>
      </c>
      <c r="E156" t="inlineStr">
        <is>
          <t>LEKSAND</t>
        </is>
      </c>
      <c r="G156" t="n">
        <v>2.9</v>
      </c>
      <c r="H156" t="n">
        <v>0</v>
      </c>
      <c r="I156" t="n">
        <v>0</v>
      </c>
      <c r="J156" t="n">
        <v>0</v>
      </c>
      <c r="K156" t="n">
        <v>0</v>
      </c>
      <c r="L156" t="n">
        <v>0</v>
      </c>
      <c r="M156" t="n">
        <v>0</v>
      </c>
      <c r="N156" t="n">
        <v>0</v>
      </c>
      <c r="O156" t="n">
        <v>0</v>
      </c>
      <c r="P156" t="n">
        <v>0</v>
      </c>
      <c r="Q156" t="n">
        <v>0</v>
      </c>
      <c r="R156" s="2" t="inlineStr"/>
    </row>
    <row r="157" ht="15" customHeight="1">
      <c r="A157" t="inlineStr">
        <is>
          <t>A 27705-2025</t>
        </is>
      </c>
      <c r="B157" s="1" t="n">
        <v>45813</v>
      </c>
      <c r="C157" s="1" t="n">
        <v>45933</v>
      </c>
      <c r="D157" t="inlineStr">
        <is>
          <t>DALARNAS LÄN</t>
        </is>
      </c>
      <c r="E157" t="inlineStr">
        <is>
          <t>LEKSAND</t>
        </is>
      </c>
      <c r="G157" t="n">
        <v>0.8</v>
      </c>
      <c r="H157" t="n">
        <v>0</v>
      </c>
      <c r="I157" t="n">
        <v>0</v>
      </c>
      <c r="J157" t="n">
        <v>0</v>
      </c>
      <c r="K157" t="n">
        <v>0</v>
      </c>
      <c r="L157" t="n">
        <v>0</v>
      </c>
      <c r="M157" t="n">
        <v>0</v>
      </c>
      <c r="N157" t="n">
        <v>0</v>
      </c>
      <c r="O157" t="n">
        <v>0</v>
      </c>
      <c r="P157" t="n">
        <v>0</v>
      </c>
      <c r="Q157" t="n">
        <v>0</v>
      </c>
      <c r="R157" s="2" t="inlineStr"/>
    </row>
    <row r="158" ht="15" customHeight="1">
      <c r="A158" t="inlineStr">
        <is>
          <t>A 27680-2025</t>
        </is>
      </c>
      <c r="B158" s="1" t="n">
        <v>45813.64618055556</v>
      </c>
      <c r="C158" s="1" t="n">
        <v>45933</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28483-2025</t>
        </is>
      </c>
      <c r="B159" s="1" t="n">
        <v>45818</v>
      </c>
      <c r="C159" s="1" t="n">
        <v>45933</v>
      </c>
      <c r="D159" t="inlineStr">
        <is>
          <t>DALARNAS LÄN</t>
        </is>
      </c>
      <c r="E159" t="inlineStr">
        <is>
          <t>LEKSAND</t>
        </is>
      </c>
      <c r="F159" t="inlineStr">
        <is>
          <t>Bergvik skog väst AB</t>
        </is>
      </c>
      <c r="G159" t="n">
        <v>1.6</v>
      </c>
      <c r="H159" t="n">
        <v>0</v>
      </c>
      <c r="I159" t="n">
        <v>0</v>
      </c>
      <c r="J159" t="n">
        <v>0</v>
      </c>
      <c r="K159" t="n">
        <v>0</v>
      </c>
      <c r="L159" t="n">
        <v>0</v>
      </c>
      <c r="M159" t="n">
        <v>0</v>
      </c>
      <c r="N159" t="n">
        <v>0</v>
      </c>
      <c r="O159" t="n">
        <v>0</v>
      </c>
      <c r="P159" t="n">
        <v>0</v>
      </c>
      <c r="Q159" t="n">
        <v>0</v>
      </c>
      <c r="R159" s="2" t="inlineStr"/>
    </row>
    <row r="160" ht="15" customHeight="1">
      <c r="A160" t="inlineStr">
        <is>
          <t>A 14797-2025</t>
        </is>
      </c>
      <c r="B160" s="1" t="n">
        <v>45742.90363425926</v>
      </c>
      <c r="C160" s="1" t="n">
        <v>45933</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11606-2025</t>
        </is>
      </c>
      <c r="B161" s="1" t="n">
        <v>45727</v>
      </c>
      <c r="C161" s="1" t="n">
        <v>45933</v>
      </c>
      <c r="D161" t="inlineStr">
        <is>
          <t>DALARNAS LÄN</t>
        </is>
      </c>
      <c r="E161" t="inlineStr">
        <is>
          <t>LEKSAND</t>
        </is>
      </c>
      <c r="G161" t="n">
        <v>2.3</v>
      </c>
      <c r="H161" t="n">
        <v>0</v>
      </c>
      <c r="I161" t="n">
        <v>0</v>
      </c>
      <c r="J161" t="n">
        <v>0</v>
      </c>
      <c r="K161" t="n">
        <v>0</v>
      </c>
      <c r="L161" t="n">
        <v>0</v>
      </c>
      <c r="M161" t="n">
        <v>0</v>
      </c>
      <c r="N161" t="n">
        <v>0</v>
      </c>
      <c r="O161" t="n">
        <v>0</v>
      </c>
      <c r="P161" t="n">
        <v>0</v>
      </c>
      <c r="Q161" t="n">
        <v>0</v>
      </c>
      <c r="R161" s="2" t="inlineStr"/>
    </row>
    <row r="162" ht="15" customHeight="1">
      <c r="A162" t="inlineStr">
        <is>
          <t>A 28505-2025</t>
        </is>
      </c>
      <c r="B162" s="1" t="n">
        <v>45818</v>
      </c>
      <c r="C162" s="1" t="n">
        <v>45933</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28128-2022</t>
        </is>
      </c>
      <c r="B163" s="1" t="n">
        <v>44746.50628472222</v>
      </c>
      <c r="C163" s="1" t="n">
        <v>45933</v>
      </c>
      <c r="D163" t="inlineStr">
        <is>
          <t>DALARNAS LÄN</t>
        </is>
      </c>
      <c r="E163" t="inlineStr">
        <is>
          <t>LEKSAND</t>
        </is>
      </c>
      <c r="G163" t="n">
        <v>3.5</v>
      </c>
      <c r="H163" t="n">
        <v>0</v>
      </c>
      <c r="I163" t="n">
        <v>0</v>
      </c>
      <c r="J163" t="n">
        <v>0</v>
      </c>
      <c r="K163" t="n">
        <v>0</v>
      </c>
      <c r="L163" t="n">
        <v>0</v>
      </c>
      <c r="M163" t="n">
        <v>0</v>
      </c>
      <c r="N163" t="n">
        <v>0</v>
      </c>
      <c r="O163" t="n">
        <v>0</v>
      </c>
      <c r="P163" t="n">
        <v>0</v>
      </c>
      <c r="Q163" t="n">
        <v>0</v>
      </c>
      <c r="R163" s="2" t="inlineStr"/>
    </row>
    <row r="164" ht="15" customHeight="1">
      <c r="A164" t="inlineStr">
        <is>
          <t>A 21954-2023</t>
        </is>
      </c>
      <c r="B164" s="1" t="n">
        <v>45068</v>
      </c>
      <c r="C164" s="1" t="n">
        <v>45933</v>
      </c>
      <c r="D164" t="inlineStr">
        <is>
          <t>DALARNAS LÄN</t>
        </is>
      </c>
      <c r="E164" t="inlineStr">
        <is>
          <t>LEKSAND</t>
        </is>
      </c>
      <c r="G164" t="n">
        <v>0.8</v>
      </c>
      <c r="H164" t="n">
        <v>0</v>
      </c>
      <c r="I164" t="n">
        <v>0</v>
      </c>
      <c r="J164" t="n">
        <v>0</v>
      </c>
      <c r="K164" t="n">
        <v>0</v>
      </c>
      <c r="L164" t="n">
        <v>0</v>
      </c>
      <c r="M164" t="n">
        <v>0</v>
      </c>
      <c r="N164" t="n">
        <v>0</v>
      </c>
      <c r="O164" t="n">
        <v>0</v>
      </c>
      <c r="P164" t="n">
        <v>0</v>
      </c>
      <c r="Q164" t="n">
        <v>0</v>
      </c>
      <c r="R164" s="2" t="inlineStr"/>
    </row>
    <row r="165" ht="15" customHeight="1">
      <c r="A165" t="inlineStr">
        <is>
          <t>A 28499-2025</t>
        </is>
      </c>
      <c r="B165" s="1" t="n">
        <v>45818</v>
      </c>
      <c r="C165" s="1" t="n">
        <v>45933</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27984-2025</t>
        </is>
      </c>
      <c r="B166" s="1" t="n">
        <v>45817.57710648148</v>
      </c>
      <c r="C166" s="1" t="n">
        <v>45933</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8743-2023</t>
        </is>
      </c>
      <c r="B167" s="1" t="n">
        <v>44978</v>
      </c>
      <c r="C167" s="1" t="n">
        <v>45933</v>
      </c>
      <c r="D167" t="inlineStr">
        <is>
          <t>DALARNAS LÄN</t>
        </is>
      </c>
      <c r="E167" t="inlineStr">
        <is>
          <t>LEKSAND</t>
        </is>
      </c>
      <c r="G167" t="n">
        <v>3</v>
      </c>
      <c r="H167" t="n">
        <v>0</v>
      </c>
      <c r="I167" t="n">
        <v>0</v>
      </c>
      <c r="J167" t="n">
        <v>0</v>
      </c>
      <c r="K167" t="n">
        <v>0</v>
      </c>
      <c r="L167" t="n">
        <v>0</v>
      </c>
      <c r="M167" t="n">
        <v>0</v>
      </c>
      <c r="N167" t="n">
        <v>0</v>
      </c>
      <c r="O167" t="n">
        <v>0</v>
      </c>
      <c r="P167" t="n">
        <v>0</v>
      </c>
      <c r="Q167" t="n">
        <v>0</v>
      </c>
      <c r="R167" s="2" t="inlineStr"/>
    </row>
    <row r="168" ht="15" customHeight="1">
      <c r="A168" t="inlineStr">
        <is>
          <t>A 38001-2023</t>
        </is>
      </c>
      <c r="B168" s="1" t="n">
        <v>45160</v>
      </c>
      <c r="C168" s="1" t="n">
        <v>45933</v>
      </c>
      <c r="D168" t="inlineStr">
        <is>
          <t>DALARNAS LÄN</t>
        </is>
      </c>
      <c r="E168" t="inlineStr">
        <is>
          <t>LEKSAND</t>
        </is>
      </c>
      <c r="G168" t="n">
        <v>3.6</v>
      </c>
      <c r="H168" t="n">
        <v>0</v>
      </c>
      <c r="I168" t="n">
        <v>0</v>
      </c>
      <c r="J168" t="n">
        <v>0</v>
      </c>
      <c r="K168" t="n">
        <v>0</v>
      </c>
      <c r="L168" t="n">
        <v>0</v>
      </c>
      <c r="M168" t="n">
        <v>0</v>
      </c>
      <c r="N168" t="n">
        <v>0</v>
      </c>
      <c r="O168" t="n">
        <v>0</v>
      </c>
      <c r="P168" t="n">
        <v>0</v>
      </c>
      <c r="Q168" t="n">
        <v>0</v>
      </c>
      <c r="R168" s="2" t="inlineStr"/>
    </row>
    <row r="169" ht="15" customHeight="1">
      <c r="A169" t="inlineStr">
        <is>
          <t>A 28488-2025</t>
        </is>
      </c>
      <c r="B169" s="1" t="n">
        <v>45818</v>
      </c>
      <c r="C169" s="1" t="n">
        <v>45933</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63544-2023</t>
        </is>
      </c>
      <c r="B170" s="1" t="n">
        <v>45275</v>
      </c>
      <c r="C170" s="1" t="n">
        <v>45933</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5583-2024</t>
        </is>
      </c>
      <c r="B171" s="1" t="n">
        <v>45334</v>
      </c>
      <c r="C171" s="1" t="n">
        <v>45933</v>
      </c>
      <c r="D171" t="inlineStr">
        <is>
          <t>DALARNAS LÄN</t>
        </is>
      </c>
      <c r="E171" t="inlineStr">
        <is>
          <t>LEKSAND</t>
        </is>
      </c>
      <c r="F171" t="inlineStr">
        <is>
          <t>Kyrkan</t>
        </is>
      </c>
      <c r="G171" t="n">
        <v>0.4</v>
      </c>
      <c r="H171" t="n">
        <v>0</v>
      </c>
      <c r="I171" t="n">
        <v>0</v>
      </c>
      <c r="J171" t="n">
        <v>0</v>
      </c>
      <c r="K171" t="n">
        <v>0</v>
      </c>
      <c r="L171" t="n">
        <v>0</v>
      </c>
      <c r="M171" t="n">
        <v>0</v>
      </c>
      <c r="N171" t="n">
        <v>0</v>
      </c>
      <c r="O171" t="n">
        <v>0</v>
      </c>
      <c r="P171" t="n">
        <v>0</v>
      </c>
      <c r="Q171" t="n">
        <v>0</v>
      </c>
      <c r="R171" s="2" t="inlineStr"/>
    </row>
    <row r="172" ht="15" customHeight="1">
      <c r="A172" t="inlineStr">
        <is>
          <t>A 28770-2025</t>
        </is>
      </c>
      <c r="B172" s="1" t="n">
        <v>45820</v>
      </c>
      <c r="C172" s="1" t="n">
        <v>45933</v>
      </c>
      <c r="D172" t="inlineStr">
        <is>
          <t>DALARNAS LÄN</t>
        </is>
      </c>
      <c r="E172" t="inlineStr">
        <is>
          <t>LEKSAND</t>
        </is>
      </c>
      <c r="G172" t="n">
        <v>0.7</v>
      </c>
      <c r="H172" t="n">
        <v>0</v>
      </c>
      <c r="I172" t="n">
        <v>0</v>
      </c>
      <c r="J172" t="n">
        <v>0</v>
      </c>
      <c r="K172" t="n">
        <v>0</v>
      </c>
      <c r="L172" t="n">
        <v>0</v>
      </c>
      <c r="M172" t="n">
        <v>0</v>
      </c>
      <c r="N172" t="n">
        <v>0</v>
      </c>
      <c r="O172" t="n">
        <v>0</v>
      </c>
      <c r="P172" t="n">
        <v>0</v>
      </c>
      <c r="Q172" t="n">
        <v>0</v>
      </c>
      <c r="R172" s="2" t="inlineStr"/>
    </row>
    <row r="173" ht="15" customHeight="1">
      <c r="A173" t="inlineStr">
        <is>
          <t>A 40009-2024</t>
        </is>
      </c>
      <c r="B173" s="1" t="n">
        <v>45553.65361111111</v>
      </c>
      <c r="C173" s="1" t="n">
        <v>45933</v>
      </c>
      <c r="D173" t="inlineStr">
        <is>
          <t>DALARNAS LÄN</t>
        </is>
      </c>
      <c r="E173" t="inlineStr">
        <is>
          <t>LEKSAND</t>
        </is>
      </c>
      <c r="F173" t="inlineStr">
        <is>
          <t>Bergvik skog väst AB</t>
        </is>
      </c>
      <c r="G173" t="n">
        <v>3</v>
      </c>
      <c r="H173" t="n">
        <v>0</v>
      </c>
      <c r="I173" t="n">
        <v>0</v>
      </c>
      <c r="J173" t="n">
        <v>0</v>
      </c>
      <c r="K173" t="n">
        <v>0</v>
      </c>
      <c r="L173" t="n">
        <v>0</v>
      </c>
      <c r="M173" t="n">
        <v>0</v>
      </c>
      <c r="N173" t="n">
        <v>0</v>
      </c>
      <c r="O173" t="n">
        <v>0</v>
      </c>
      <c r="P173" t="n">
        <v>0</v>
      </c>
      <c r="Q173" t="n">
        <v>0</v>
      </c>
      <c r="R173" s="2" t="inlineStr"/>
    </row>
    <row r="174" ht="15" customHeight="1">
      <c r="A174" t="inlineStr">
        <is>
          <t>A 52572-2024</t>
        </is>
      </c>
      <c r="B174" s="1" t="n">
        <v>45609.66488425926</v>
      </c>
      <c r="C174" s="1" t="n">
        <v>45933</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31915-2024</t>
        </is>
      </c>
      <c r="B175" s="1" t="n">
        <v>45510.38956018518</v>
      </c>
      <c r="C175" s="1" t="n">
        <v>45933</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28458-2025</t>
        </is>
      </c>
      <c r="B176" s="1" t="n">
        <v>45819.413125</v>
      </c>
      <c r="C176" s="1" t="n">
        <v>45933</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59826-2023</t>
        </is>
      </c>
      <c r="B177" s="1" t="n">
        <v>45254</v>
      </c>
      <c r="C177" s="1" t="n">
        <v>45933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7417-2024</t>
        </is>
      </c>
      <c r="B178" s="1" t="n">
        <v>45345.62378472222</v>
      </c>
      <c r="C178" s="1" t="n">
        <v>45933</v>
      </c>
      <c r="D178" t="inlineStr">
        <is>
          <t>DALARNAS LÄN</t>
        </is>
      </c>
      <c r="E178" t="inlineStr">
        <is>
          <t>LEKSAND</t>
        </is>
      </c>
      <c r="G178" t="n">
        <v>2.8</v>
      </c>
      <c r="H178" t="n">
        <v>0</v>
      </c>
      <c r="I178" t="n">
        <v>0</v>
      </c>
      <c r="J178" t="n">
        <v>0</v>
      </c>
      <c r="K178" t="n">
        <v>0</v>
      </c>
      <c r="L178" t="n">
        <v>0</v>
      </c>
      <c r="M178" t="n">
        <v>0</v>
      </c>
      <c r="N178" t="n">
        <v>0</v>
      </c>
      <c r="O178" t="n">
        <v>0</v>
      </c>
      <c r="P178" t="n">
        <v>0</v>
      </c>
      <c r="Q178" t="n">
        <v>0</v>
      </c>
      <c r="R178" s="2" t="inlineStr"/>
    </row>
    <row r="179" ht="15" customHeight="1">
      <c r="A179" t="inlineStr">
        <is>
          <t>A 13161-2024</t>
        </is>
      </c>
      <c r="B179" s="1" t="n">
        <v>45386.38972222222</v>
      </c>
      <c r="C179" s="1" t="n">
        <v>45933</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12851-2023</t>
        </is>
      </c>
      <c r="B180" s="1" t="n">
        <v>45001.49347222222</v>
      </c>
      <c r="C180" s="1" t="n">
        <v>45933</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19295-2024</t>
        </is>
      </c>
      <c r="B181" s="1" t="n">
        <v>45428.69106481481</v>
      </c>
      <c r="C181" s="1" t="n">
        <v>45933</v>
      </c>
      <c r="D181" t="inlineStr">
        <is>
          <t>DALARNAS LÄN</t>
        </is>
      </c>
      <c r="E181" t="inlineStr">
        <is>
          <t>LEKSAND</t>
        </is>
      </c>
      <c r="G181" t="n">
        <v>1.6</v>
      </c>
      <c r="H181" t="n">
        <v>0</v>
      </c>
      <c r="I181" t="n">
        <v>0</v>
      </c>
      <c r="J181" t="n">
        <v>0</v>
      </c>
      <c r="K181" t="n">
        <v>0</v>
      </c>
      <c r="L181" t="n">
        <v>0</v>
      </c>
      <c r="M181" t="n">
        <v>0</v>
      </c>
      <c r="N181" t="n">
        <v>0</v>
      </c>
      <c r="O181" t="n">
        <v>0</v>
      </c>
      <c r="P181" t="n">
        <v>0</v>
      </c>
      <c r="Q181" t="n">
        <v>0</v>
      </c>
      <c r="R181" s="2" t="inlineStr"/>
    </row>
    <row r="182" ht="15" customHeight="1">
      <c r="A182" t="inlineStr">
        <is>
          <t>A 29005-2025</t>
        </is>
      </c>
      <c r="B182" s="1" t="n">
        <v>45821.39326388889</v>
      </c>
      <c r="C182" s="1" t="n">
        <v>45933</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28032-2024</t>
        </is>
      </c>
      <c r="B183" s="1" t="n">
        <v>45476.49346064815</v>
      </c>
      <c r="C183" s="1" t="n">
        <v>45933</v>
      </c>
      <c r="D183" t="inlineStr">
        <is>
          <t>DALARNAS LÄN</t>
        </is>
      </c>
      <c r="E183" t="inlineStr">
        <is>
          <t>LEKSAND</t>
        </is>
      </c>
      <c r="G183" t="n">
        <v>2</v>
      </c>
      <c r="H183" t="n">
        <v>0</v>
      </c>
      <c r="I183" t="n">
        <v>0</v>
      </c>
      <c r="J183" t="n">
        <v>0</v>
      </c>
      <c r="K183" t="n">
        <v>0</v>
      </c>
      <c r="L183" t="n">
        <v>0</v>
      </c>
      <c r="M183" t="n">
        <v>0</v>
      </c>
      <c r="N183" t="n">
        <v>0</v>
      </c>
      <c r="O183" t="n">
        <v>0</v>
      </c>
      <c r="P183" t="n">
        <v>0</v>
      </c>
      <c r="Q183" t="n">
        <v>0</v>
      </c>
      <c r="R183" s="2" t="inlineStr"/>
    </row>
    <row r="184" ht="15" customHeight="1">
      <c r="A184" t="inlineStr">
        <is>
          <t>A 19550-2023</t>
        </is>
      </c>
      <c r="B184" s="1" t="n">
        <v>45049</v>
      </c>
      <c r="C184" s="1" t="n">
        <v>45933</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33593-2024</t>
        </is>
      </c>
      <c r="B185" s="1" t="n">
        <v>45520.36055555556</v>
      </c>
      <c r="C185" s="1" t="n">
        <v>45933</v>
      </c>
      <c r="D185" t="inlineStr">
        <is>
          <t>DALARNAS LÄN</t>
        </is>
      </c>
      <c r="E185" t="inlineStr">
        <is>
          <t>LEKSAND</t>
        </is>
      </c>
      <c r="G185" t="n">
        <v>0.3</v>
      </c>
      <c r="H185" t="n">
        <v>0</v>
      </c>
      <c r="I185" t="n">
        <v>0</v>
      </c>
      <c r="J185" t="n">
        <v>0</v>
      </c>
      <c r="K185" t="n">
        <v>0</v>
      </c>
      <c r="L185" t="n">
        <v>0</v>
      </c>
      <c r="M185" t="n">
        <v>0</v>
      </c>
      <c r="N185" t="n">
        <v>0</v>
      </c>
      <c r="O185" t="n">
        <v>0</v>
      </c>
      <c r="P185" t="n">
        <v>0</v>
      </c>
      <c r="Q185" t="n">
        <v>0</v>
      </c>
      <c r="R185" s="2" t="inlineStr"/>
    </row>
    <row r="186" ht="15" customHeight="1">
      <c r="A186" t="inlineStr">
        <is>
          <t>A 28985-2025</t>
        </is>
      </c>
      <c r="B186" s="1" t="n">
        <v>45821.36862268519</v>
      </c>
      <c r="C186" s="1" t="n">
        <v>45933</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12290-2024</t>
        </is>
      </c>
      <c r="B187" s="1" t="n">
        <v>45378.57877314815</v>
      </c>
      <c r="C187" s="1" t="n">
        <v>45933</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9781-2024</t>
        </is>
      </c>
      <c r="B188" s="1" t="n">
        <v>45362.66299768518</v>
      </c>
      <c r="C188" s="1" t="n">
        <v>45933</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47203-2023</t>
        </is>
      </c>
      <c r="B189" s="1" t="n">
        <v>45202</v>
      </c>
      <c r="C189" s="1" t="n">
        <v>45933</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9105-2024</t>
        </is>
      </c>
      <c r="B190" s="1" t="n">
        <v>45357</v>
      </c>
      <c r="C190" s="1" t="n">
        <v>45933</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50447-2023</t>
        </is>
      </c>
      <c r="B191" s="1" t="n">
        <v>45216.72185185185</v>
      </c>
      <c r="C191" s="1" t="n">
        <v>45933</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60945-2024</t>
        </is>
      </c>
      <c r="B192" s="1" t="n">
        <v>45645.37893518519</v>
      </c>
      <c r="C192" s="1" t="n">
        <v>45933</v>
      </c>
      <c r="D192" t="inlineStr">
        <is>
          <t>DALARNAS LÄN</t>
        </is>
      </c>
      <c r="E192" t="inlineStr">
        <is>
          <t>LEKSAND</t>
        </is>
      </c>
      <c r="G192" t="n">
        <v>2.2</v>
      </c>
      <c r="H192" t="n">
        <v>0</v>
      </c>
      <c r="I192" t="n">
        <v>0</v>
      </c>
      <c r="J192" t="n">
        <v>0</v>
      </c>
      <c r="K192" t="n">
        <v>0</v>
      </c>
      <c r="L192" t="n">
        <v>0</v>
      </c>
      <c r="M192" t="n">
        <v>0</v>
      </c>
      <c r="N192" t="n">
        <v>0</v>
      </c>
      <c r="O192" t="n">
        <v>0</v>
      </c>
      <c r="P192" t="n">
        <v>0</v>
      </c>
      <c r="Q192" t="n">
        <v>0</v>
      </c>
      <c r="R192" s="2" t="inlineStr"/>
    </row>
    <row r="193" ht="15" customHeight="1">
      <c r="A193" t="inlineStr">
        <is>
          <t>A 63513-2023</t>
        </is>
      </c>
      <c r="B193" s="1" t="n">
        <v>45274</v>
      </c>
      <c r="C193" s="1" t="n">
        <v>45933</v>
      </c>
      <c r="D193" t="inlineStr">
        <is>
          <t>DALARNAS LÄN</t>
        </is>
      </c>
      <c r="E193" t="inlineStr">
        <is>
          <t>LEKSAND</t>
        </is>
      </c>
      <c r="G193" t="n">
        <v>2.3</v>
      </c>
      <c r="H193" t="n">
        <v>0</v>
      </c>
      <c r="I193" t="n">
        <v>0</v>
      </c>
      <c r="J193" t="n">
        <v>0</v>
      </c>
      <c r="K193" t="n">
        <v>0</v>
      </c>
      <c r="L193" t="n">
        <v>0</v>
      </c>
      <c r="M193" t="n">
        <v>0</v>
      </c>
      <c r="N193" t="n">
        <v>0</v>
      </c>
      <c r="O193" t="n">
        <v>0</v>
      </c>
      <c r="P193" t="n">
        <v>0</v>
      </c>
      <c r="Q193" t="n">
        <v>0</v>
      </c>
      <c r="R193" s="2" t="inlineStr"/>
    </row>
    <row r="194" ht="15" customHeight="1">
      <c r="A194" t="inlineStr">
        <is>
          <t>A 40230-2023</t>
        </is>
      </c>
      <c r="B194" s="1" t="n">
        <v>45169.46887731482</v>
      </c>
      <c r="C194" s="1" t="n">
        <v>45933</v>
      </c>
      <c r="D194" t="inlineStr">
        <is>
          <t>DALARNAS LÄN</t>
        </is>
      </c>
      <c r="E194" t="inlineStr">
        <is>
          <t>LEKSAND</t>
        </is>
      </c>
      <c r="G194" t="n">
        <v>0.5</v>
      </c>
      <c r="H194" t="n">
        <v>0</v>
      </c>
      <c r="I194" t="n">
        <v>0</v>
      </c>
      <c r="J194" t="n">
        <v>0</v>
      </c>
      <c r="K194" t="n">
        <v>0</v>
      </c>
      <c r="L194" t="n">
        <v>0</v>
      </c>
      <c r="M194" t="n">
        <v>0</v>
      </c>
      <c r="N194" t="n">
        <v>0</v>
      </c>
      <c r="O194" t="n">
        <v>0</v>
      </c>
      <c r="P194" t="n">
        <v>0</v>
      </c>
      <c r="Q194" t="n">
        <v>0</v>
      </c>
      <c r="R194" s="2" t="inlineStr"/>
    </row>
    <row r="195" ht="15" customHeight="1">
      <c r="A195" t="inlineStr">
        <is>
          <t>A 61787-2022</t>
        </is>
      </c>
      <c r="B195" s="1" t="n">
        <v>44917</v>
      </c>
      <c r="C195" s="1" t="n">
        <v>45933</v>
      </c>
      <c r="D195" t="inlineStr">
        <is>
          <t>DALARNAS LÄN</t>
        </is>
      </c>
      <c r="E195" t="inlineStr">
        <is>
          <t>LEKSAND</t>
        </is>
      </c>
      <c r="G195" t="n">
        <v>1</v>
      </c>
      <c r="H195" t="n">
        <v>0</v>
      </c>
      <c r="I195" t="n">
        <v>0</v>
      </c>
      <c r="J195" t="n">
        <v>0</v>
      </c>
      <c r="K195" t="n">
        <v>0</v>
      </c>
      <c r="L195" t="n">
        <v>0</v>
      </c>
      <c r="M195" t="n">
        <v>0</v>
      </c>
      <c r="N195" t="n">
        <v>0</v>
      </c>
      <c r="O195" t="n">
        <v>0</v>
      </c>
      <c r="P195" t="n">
        <v>0</v>
      </c>
      <c r="Q195" t="n">
        <v>0</v>
      </c>
      <c r="R195" s="2" t="inlineStr"/>
    </row>
    <row r="196" ht="15" customHeight="1">
      <c r="A196" t="inlineStr">
        <is>
          <t>A 39819-2024</t>
        </is>
      </c>
      <c r="B196" s="1" t="n">
        <v>45553.38774305556</v>
      </c>
      <c r="C196" s="1" t="n">
        <v>45933</v>
      </c>
      <c r="D196" t="inlineStr">
        <is>
          <t>DALARNAS LÄN</t>
        </is>
      </c>
      <c r="E196" t="inlineStr">
        <is>
          <t>LEKSAND</t>
        </is>
      </c>
      <c r="F196" t="inlineStr">
        <is>
          <t>Bergvik skog väst AB</t>
        </is>
      </c>
      <c r="G196" t="n">
        <v>3.7</v>
      </c>
      <c r="H196" t="n">
        <v>0</v>
      </c>
      <c r="I196" t="n">
        <v>0</v>
      </c>
      <c r="J196" t="n">
        <v>0</v>
      </c>
      <c r="K196" t="n">
        <v>0</v>
      </c>
      <c r="L196" t="n">
        <v>0</v>
      </c>
      <c r="M196" t="n">
        <v>0</v>
      </c>
      <c r="N196" t="n">
        <v>0</v>
      </c>
      <c r="O196" t="n">
        <v>0</v>
      </c>
      <c r="P196" t="n">
        <v>0</v>
      </c>
      <c r="Q196" t="n">
        <v>0</v>
      </c>
      <c r="R196" s="2" t="inlineStr"/>
    </row>
    <row r="197" ht="15" customHeight="1">
      <c r="A197" t="inlineStr">
        <is>
          <t>A 52100-2024</t>
        </is>
      </c>
      <c r="B197" s="1" t="n">
        <v>45608.41634259259</v>
      </c>
      <c r="C197" s="1" t="n">
        <v>45933</v>
      </c>
      <c r="D197" t="inlineStr">
        <is>
          <t>DALARNAS LÄN</t>
        </is>
      </c>
      <c r="E197" t="inlineStr">
        <is>
          <t>LEKSAND</t>
        </is>
      </c>
      <c r="G197" t="n">
        <v>1.9</v>
      </c>
      <c r="H197" t="n">
        <v>0</v>
      </c>
      <c r="I197" t="n">
        <v>0</v>
      </c>
      <c r="J197" t="n">
        <v>0</v>
      </c>
      <c r="K197" t="n">
        <v>0</v>
      </c>
      <c r="L197" t="n">
        <v>0</v>
      </c>
      <c r="M197" t="n">
        <v>0</v>
      </c>
      <c r="N197" t="n">
        <v>0</v>
      </c>
      <c r="O197" t="n">
        <v>0</v>
      </c>
      <c r="P197" t="n">
        <v>0</v>
      </c>
      <c r="Q197" t="n">
        <v>0</v>
      </c>
      <c r="R197" s="2" t="inlineStr"/>
    </row>
    <row r="198" ht="15" customHeight="1">
      <c r="A198" t="inlineStr">
        <is>
          <t>A 4257-2022</t>
        </is>
      </c>
      <c r="B198" s="1" t="n">
        <v>44588</v>
      </c>
      <c r="C198" s="1" t="n">
        <v>45933</v>
      </c>
      <c r="D198" t="inlineStr">
        <is>
          <t>DALARNAS LÄN</t>
        </is>
      </c>
      <c r="E198" t="inlineStr">
        <is>
          <t>LEKSAND</t>
        </is>
      </c>
      <c r="G198" t="n">
        <v>6.8</v>
      </c>
      <c r="H198" t="n">
        <v>0</v>
      </c>
      <c r="I198" t="n">
        <v>0</v>
      </c>
      <c r="J198" t="n">
        <v>0</v>
      </c>
      <c r="K198" t="n">
        <v>0</v>
      </c>
      <c r="L198" t="n">
        <v>0</v>
      </c>
      <c r="M198" t="n">
        <v>0</v>
      </c>
      <c r="N198" t="n">
        <v>0</v>
      </c>
      <c r="O198" t="n">
        <v>0</v>
      </c>
      <c r="P198" t="n">
        <v>0</v>
      </c>
      <c r="Q198" t="n">
        <v>0</v>
      </c>
      <c r="R198" s="2" t="inlineStr"/>
    </row>
    <row r="199" ht="15" customHeight="1">
      <c r="A199" t="inlineStr">
        <is>
          <t>A 6758-2024</t>
        </is>
      </c>
      <c r="B199" s="1" t="n">
        <v>45342.46857638889</v>
      </c>
      <c r="C199" s="1" t="n">
        <v>45933</v>
      </c>
      <c r="D199" t="inlineStr">
        <is>
          <t>DALARNAS LÄN</t>
        </is>
      </c>
      <c r="E199" t="inlineStr">
        <is>
          <t>LEKSAND</t>
        </is>
      </c>
      <c r="F199" t="inlineStr">
        <is>
          <t>Bergvik skog väst AB</t>
        </is>
      </c>
      <c r="G199" t="n">
        <v>6.2</v>
      </c>
      <c r="H199" t="n">
        <v>0</v>
      </c>
      <c r="I199" t="n">
        <v>0</v>
      </c>
      <c r="J199" t="n">
        <v>0</v>
      </c>
      <c r="K199" t="n">
        <v>0</v>
      </c>
      <c r="L199" t="n">
        <v>0</v>
      </c>
      <c r="M199" t="n">
        <v>0</v>
      </c>
      <c r="N199" t="n">
        <v>0</v>
      </c>
      <c r="O199" t="n">
        <v>0</v>
      </c>
      <c r="P199" t="n">
        <v>0</v>
      </c>
      <c r="Q199" t="n">
        <v>0</v>
      </c>
      <c r="R199" s="2" t="inlineStr"/>
    </row>
    <row r="200" ht="15" customHeight="1">
      <c r="A200" t="inlineStr">
        <is>
          <t>A 31726-2024</t>
        </is>
      </c>
      <c r="B200" s="1" t="n">
        <v>45509.33908564815</v>
      </c>
      <c r="C200" s="1" t="n">
        <v>45933</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28913-2024</t>
        </is>
      </c>
      <c r="B201" s="1" t="n">
        <v>45480.75318287037</v>
      </c>
      <c r="C201" s="1" t="n">
        <v>45933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14616-2024</t>
        </is>
      </c>
      <c r="B202" s="1" t="n">
        <v>45397.2624537037</v>
      </c>
      <c r="C202" s="1" t="n">
        <v>45933</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39921-2024</t>
        </is>
      </c>
      <c r="B203" s="1" t="n">
        <v>45553</v>
      </c>
      <c r="C203" s="1" t="n">
        <v>45933</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41015-2024</t>
        </is>
      </c>
      <c r="B204" s="1" t="n">
        <v>45559.32537037037</v>
      </c>
      <c r="C204" s="1" t="n">
        <v>45933</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55512-2024</t>
        </is>
      </c>
      <c r="B205" s="1" t="n">
        <v>45621</v>
      </c>
      <c r="C205" s="1" t="n">
        <v>45933</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6050-2023</t>
        </is>
      </c>
      <c r="B206" s="1" t="n">
        <v>44959</v>
      </c>
      <c r="C206" s="1" t="n">
        <v>45933</v>
      </c>
      <c r="D206" t="inlineStr">
        <is>
          <t>DALARNAS LÄN</t>
        </is>
      </c>
      <c r="E206" t="inlineStr">
        <is>
          <t>LEKSAND</t>
        </is>
      </c>
      <c r="G206" t="n">
        <v>6.2</v>
      </c>
      <c r="H206" t="n">
        <v>0</v>
      </c>
      <c r="I206" t="n">
        <v>0</v>
      </c>
      <c r="J206" t="n">
        <v>0</v>
      </c>
      <c r="K206" t="n">
        <v>0</v>
      </c>
      <c r="L206" t="n">
        <v>0</v>
      </c>
      <c r="M206" t="n">
        <v>0</v>
      </c>
      <c r="N206" t="n">
        <v>0</v>
      </c>
      <c r="O206" t="n">
        <v>0</v>
      </c>
      <c r="P206" t="n">
        <v>0</v>
      </c>
      <c r="Q206" t="n">
        <v>0</v>
      </c>
      <c r="R206" s="2" t="inlineStr"/>
    </row>
    <row r="207" ht="15" customHeight="1">
      <c r="A207" t="inlineStr">
        <is>
          <t>A 52059-2024</t>
        </is>
      </c>
      <c r="B207" s="1" t="n">
        <v>45608.35609953704</v>
      </c>
      <c r="C207" s="1" t="n">
        <v>45933</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48644-2023</t>
        </is>
      </c>
      <c r="B208" s="1" t="n">
        <v>45208.58997685185</v>
      </c>
      <c r="C208" s="1" t="n">
        <v>45933</v>
      </c>
      <c r="D208" t="inlineStr">
        <is>
          <t>DALARNAS LÄN</t>
        </is>
      </c>
      <c r="E208" t="inlineStr">
        <is>
          <t>LEKSAND</t>
        </is>
      </c>
      <c r="F208" t="inlineStr">
        <is>
          <t>Bergvik skog väst AB</t>
        </is>
      </c>
      <c r="G208" t="n">
        <v>1.3</v>
      </c>
      <c r="H208" t="n">
        <v>0</v>
      </c>
      <c r="I208" t="n">
        <v>0</v>
      </c>
      <c r="J208" t="n">
        <v>0</v>
      </c>
      <c r="K208" t="n">
        <v>0</v>
      </c>
      <c r="L208" t="n">
        <v>0</v>
      </c>
      <c r="M208" t="n">
        <v>0</v>
      </c>
      <c r="N208" t="n">
        <v>0</v>
      </c>
      <c r="O208" t="n">
        <v>0</v>
      </c>
      <c r="P208" t="n">
        <v>0</v>
      </c>
      <c r="Q208" t="n">
        <v>0</v>
      </c>
      <c r="R208" s="2" t="inlineStr"/>
    </row>
    <row r="209" ht="15" customHeight="1">
      <c r="A209" t="inlineStr">
        <is>
          <t>A 29729-2025</t>
        </is>
      </c>
      <c r="B209" s="1" t="n">
        <v>45825.58077546296</v>
      </c>
      <c r="C209" s="1" t="n">
        <v>45933</v>
      </c>
      <c r="D209" t="inlineStr">
        <is>
          <t>DALARNAS LÄN</t>
        </is>
      </c>
      <c r="E209" t="inlineStr">
        <is>
          <t>LEKSAND</t>
        </is>
      </c>
      <c r="F209" t="inlineStr">
        <is>
          <t>Bergvik skog väst AB</t>
        </is>
      </c>
      <c r="G209" t="n">
        <v>4.3</v>
      </c>
      <c r="H209" t="n">
        <v>0</v>
      </c>
      <c r="I209" t="n">
        <v>0</v>
      </c>
      <c r="J209" t="n">
        <v>0</v>
      </c>
      <c r="K209" t="n">
        <v>0</v>
      </c>
      <c r="L209" t="n">
        <v>0</v>
      </c>
      <c r="M209" t="n">
        <v>0</v>
      </c>
      <c r="N209" t="n">
        <v>0</v>
      </c>
      <c r="O209" t="n">
        <v>0</v>
      </c>
      <c r="P209" t="n">
        <v>0</v>
      </c>
      <c r="Q209" t="n">
        <v>0</v>
      </c>
      <c r="R209" s="2" t="inlineStr"/>
    </row>
    <row r="210" ht="15" customHeight="1">
      <c r="A210" t="inlineStr">
        <is>
          <t>A 27791-2023</t>
        </is>
      </c>
      <c r="B210" s="1" t="n">
        <v>45098</v>
      </c>
      <c r="C210" s="1" t="n">
        <v>45933</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12992-2022</t>
        </is>
      </c>
      <c r="B211" s="1" t="n">
        <v>44643</v>
      </c>
      <c r="C211" s="1" t="n">
        <v>45933</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29553-2025</t>
        </is>
      </c>
      <c r="B212" s="1" t="n">
        <v>45825.35315972222</v>
      </c>
      <c r="C212" s="1" t="n">
        <v>45933</v>
      </c>
      <c r="D212" t="inlineStr">
        <is>
          <t>DALARNAS LÄN</t>
        </is>
      </c>
      <c r="E212" t="inlineStr">
        <is>
          <t>LEKSAND</t>
        </is>
      </c>
      <c r="G212" t="n">
        <v>1.8</v>
      </c>
      <c r="H212" t="n">
        <v>0</v>
      </c>
      <c r="I212" t="n">
        <v>0</v>
      </c>
      <c r="J212" t="n">
        <v>0</v>
      </c>
      <c r="K212" t="n">
        <v>0</v>
      </c>
      <c r="L212" t="n">
        <v>0</v>
      </c>
      <c r="M212" t="n">
        <v>0</v>
      </c>
      <c r="N212" t="n">
        <v>0</v>
      </c>
      <c r="O212" t="n">
        <v>0</v>
      </c>
      <c r="P212" t="n">
        <v>0</v>
      </c>
      <c r="Q212" t="n">
        <v>0</v>
      </c>
      <c r="R212" s="2" t="inlineStr"/>
    </row>
    <row r="213" ht="15" customHeight="1">
      <c r="A213" t="inlineStr">
        <is>
          <t>A 25025-2023</t>
        </is>
      </c>
      <c r="B213" s="1" t="n">
        <v>45085.92146990741</v>
      </c>
      <c r="C213" s="1" t="n">
        <v>45933</v>
      </c>
      <c r="D213" t="inlineStr">
        <is>
          <t>DALARNAS LÄN</t>
        </is>
      </c>
      <c r="E213" t="inlineStr">
        <is>
          <t>LEKSAND</t>
        </is>
      </c>
      <c r="G213" t="n">
        <v>3</v>
      </c>
      <c r="H213" t="n">
        <v>0</v>
      </c>
      <c r="I213" t="n">
        <v>0</v>
      </c>
      <c r="J213" t="n">
        <v>0</v>
      </c>
      <c r="K213" t="n">
        <v>0</v>
      </c>
      <c r="L213" t="n">
        <v>0</v>
      </c>
      <c r="M213" t="n">
        <v>0</v>
      </c>
      <c r="N213" t="n">
        <v>0</v>
      </c>
      <c r="O213" t="n">
        <v>0</v>
      </c>
      <c r="P213" t="n">
        <v>0</v>
      </c>
      <c r="Q213" t="n">
        <v>0</v>
      </c>
      <c r="R213" s="2" t="inlineStr"/>
    </row>
    <row r="214" ht="15" customHeight="1">
      <c r="A214" t="inlineStr">
        <is>
          <t>A 25038-2023</t>
        </is>
      </c>
      <c r="B214" s="1" t="n">
        <v>45085</v>
      </c>
      <c r="C214" s="1" t="n">
        <v>45933</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14504-2025</t>
        </is>
      </c>
      <c r="B215" s="1" t="n">
        <v>45741</v>
      </c>
      <c r="C215" s="1" t="n">
        <v>45933</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11712-2025</t>
        </is>
      </c>
      <c r="B216" s="1" t="n">
        <v>45727</v>
      </c>
      <c r="C216" s="1" t="n">
        <v>45933</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30254-2025</t>
        </is>
      </c>
      <c r="B217" s="1" t="n">
        <v>45827.42336805556</v>
      </c>
      <c r="C217" s="1" t="n">
        <v>45933</v>
      </c>
      <c r="D217" t="inlineStr">
        <is>
          <t>DALARNAS LÄN</t>
        </is>
      </c>
      <c r="E217" t="inlineStr">
        <is>
          <t>LEKSAND</t>
        </is>
      </c>
      <c r="G217" t="n">
        <v>3.5</v>
      </c>
      <c r="H217" t="n">
        <v>0</v>
      </c>
      <c r="I217" t="n">
        <v>0</v>
      </c>
      <c r="J217" t="n">
        <v>0</v>
      </c>
      <c r="K217" t="n">
        <v>0</v>
      </c>
      <c r="L217" t="n">
        <v>0</v>
      </c>
      <c r="M217" t="n">
        <v>0</v>
      </c>
      <c r="N217" t="n">
        <v>0</v>
      </c>
      <c r="O217" t="n">
        <v>0</v>
      </c>
      <c r="P217" t="n">
        <v>0</v>
      </c>
      <c r="Q217" t="n">
        <v>0</v>
      </c>
      <c r="R217" s="2" t="inlineStr"/>
    </row>
    <row r="218" ht="15" customHeight="1">
      <c r="A218" t="inlineStr">
        <is>
          <t>A 51857-2022</t>
        </is>
      </c>
      <c r="B218" s="1" t="n">
        <v>44867</v>
      </c>
      <c r="C218" s="1" t="n">
        <v>45933</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40007-2024</t>
        </is>
      </c>
      <c r="B219" s="1" t="n">
        <v>45553.6516550926</v>
      </c>
      <c r="C219" s="1" t="n">
        <v>45933</v>
      </c>
      <c r="D219" t="inlineStr">
        <is>
          <t>DALARNAS LÄN</t>
        </is>
      </c>
      <c r="E219" t="inlineStr">
        <is>
          <t>LEKSAND</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2311-2021</t>
        </is>
      </c>
      <c r="B220" s="1" t="n">
        <v>44213</v>
      </c>
      <c r="C220" s="1" t="n">
        <v>45933</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32072-2024</t>
        </is>
      </c>
      <c r="B221" s="1" t="n">
        <v>45510.98405092592</v>
      </c>
      <c r="C221" s="1" t="n">
        <v>45933</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15968-2025</t>
        </is>
      </c>
      <c r="B222" s="1" t="n">
        <v>45749.54818287037</v>
      </c>
      <c r="C222" s="1" t="n">
        <v>45933</v>
      </c>
      <c r="D222" t="inlineStr">
        <is>
          <t>DALARNAS LÄN</t>
        </is>
      </c>
      <c r="E222" t="inlineStr">
        <is>
          <t>LEKSAND</t>
        </is>
      </c>
      <c r="G222" t="n">
        <v>3.2</v>
      </c>
      <c r="H222" t="n">
        <v>0</v>
      </c>
      <c r="I222" t="n">
        <v>0</v>
      </c>
      <c r="J222" t="n">
        <v>0</v>
      </c>
      <c r="K222" t="n">
        <v>0</v>
      </c>
      <c r="L222" t="n">
        <v>0</v>
      </c>
      <c r="M222" t="n">
        <v>0</v>
      </c>
      <c r="N222" t="n">
        <v>0</v>
      </c>
      <c r="O222" t="n">
        <v>0</v>
      </c>
      <c r="P222" t="n">
        <v>0</v>
      </c>
      <c r="Q222" t="n">
        <v>0</v>
      </c>
      <c r="R222" s="2" t="inlineStr"/>
    </row>
    <row r="223" ht="15" customHeight="1">
      <c r="A223" t="inlineStr">
        <is>
          <t>A 16005-2025</t>
        </is>
      </c>
      <c r="B223" s="1" t="n">
        <v>45749.59765046297</v>
      </c>
      <c r="C223" s="1" t="n">
        <v>45933</v>
      </c>
      <c r="D223" t="inlineStr">
        <is>
          <t>DALARNAS LÄN</t>
        </is>
      </c>
      <c r="E223" t="inlineStr">
        <is>
          <t>LEKSAND</t>
        </is>
      </c>
      <c r="G223" t="n">
        <v>2.1</v>
      </c>
      <c r="H223" t="n">
        <v>0</v>
      </c>
      <c r="I223" t="n">
        <v>0</v>
      </c>
      <c r="J223" t="n">
        <v>0</v>
      </c>
      <c r="K223" t="n">
        <v>0</v>
      </c>
      <c r="L223" t="n">
        <v>0</v>
      </c>
      <c r="M223" t="n">
        <v>0</v>
      </c>
      <c r="N223" t="n">
        <v>0</v>
      </c>
      <c r="O223" t="n">
        <v>0</v>
      </c>
      <c r="P223" t="n">
        <v>0</v>
      </c>
      <c r="Q223" t="n">
        <v>0</v>
      </c>
      <c r="R223" s="2" t="inlineStr"/>
    </row>
    <row r="224" ht="15" customHeight="1">
      <c r="A224" t="inlineStr">
        <is>
          <t>A 19820-2024</t>
        </is>
      </c>
      <c r="B224" s="1" t="n">
        <v>45433.33907407407</v>
      </c>
      <c r="C224" s="1" t="n">
        <v>45933</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19823-2024</t>
        </is>
      </c>
      <c r="B225" s="1" t="n">
        <v>45433.34469907408</v>
      </c>
      <c r="C225" s="1" t="n">
        <v>45933</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24003-2024</t>
        </is>
      </c>
      <c r="B226" s="1" t="n">
        <v>45456.39003472222</v>
      </c>
      <c r="C226" s="1" t="n">
        <v>45933</v>
      </c>
      <c r="D226" t="inlineStr">
        <is>
          <t>DALARNAS LÄN</t>
        </is>
      </c>
      <c r="E226" t="inlineStr">
        <is>
          <t>LEKSAND</t>
        </is>
      </c>
      <c r="F226" t="inlineStr">
        <is>
          <t>Bergvik skog väst AB</t>
        </is>
      </c>
      <c r="G226" t="n">
        <v>3.2</v>
      </c>
      <c r="H226" t="n">
        <v>0</v>
      </c>
      <c r="I226" t="n">
        <v>0</v>
      </c>
      <c r="J226" t="n">
        <v>0</v>
      </c>
      <c r="K226" t="n">
        <v>0</v>
      </c>
      <c r="L226" t="n">
        <v>0</v>
      </c>
      <c r="M226" t="n">
        <v>0</v>
      </c>
      <c r="N226" t="n">
        <v>0</v>
      </c>
      <c r="O226" t="n">
        <v>0</v>
      </c>
      <c r="P226" t="n">
        <v>0</v>
      </c>
      <c r="Q226" t="n">
        <v>0</v>
      </c>
      <c r="R226" s="2" t="inlineStr"/>
    </row>
    <row r="227" ht="15" customHeight="1">
      <c r="A227" t="inlineStr">
        <is>
          <t>A 13165-2023</t>
        </is>
      </c>
      <c r="B227" s="1" t="n">
        <v>45002.57731481481</v>
      </c>
      <c r="C227" s="1" t="n">
        <v>45933</v>
      </c>
      <c r="D227" t="inlineStr">
        <is>
          <t>DALARNAS LÄN</t>
        </is>
      </c>
      <c r="E227" t="inlineStr">
        <is>
          <t>LEKSAND</t>
        </is>
      </c>
      <c r="G227" t="n">
        <v>2.4</v>
      </c>
      <c r="H227" t="n">
        <v>0</v>
      </c>
      <c r="I227" t="n">
        <v>0</v>
      </c>
      <c r="J227" t="n">
        <v>0</v>
      </c>
      <c r="K227" t="n">
        <v>0</v>
      </c>
      <c r="L227" t="n">
        <v>0</v>
      </c>
      <c r="M227" t="n">
        <v>0</v>
      </c>
      <c r="N227" t="n">
        <v>0</v>
      </c>
      <c r="O227" t="n">
        <v>0</v>
      </c>
      <c r="P227" t="n">
        <v>0</v>
      </c>
      <c r="Q227" t="n">
        <v>0</v>
      </c>
      <c r="R227" s="2" t="inlineStr"/>
    </row>
    <row r="228" ht="15" customHeight="1">
      <c r="A228" t="inlineStr">
        <is>
          <t>A 40642-2023</t>
        </is>
      </c>
      <c r="B228" s="1" t="n">
        <v>45169</v>
      </c>
      <c r="C228" s="1" t="n">
        <v>45933</v>
      </c>
      <c r="D228" t="inlineStr">
        <is>
          <t>DALARNAS LÄN</t>
        </is>
      </c>
      <c r="E228" t="inlineStr">
        <is>
          <t>LEKSAND</t>
        </is>
      </c>
      <c r="G228" t="n">
        <v>1.9</v>
      </c>
      <c r="H228" t="n">
        <v>0</v>
      </c>
      <c r="I228" t="n">
        <v>0</v>
      </c>
      <c r="J228" t="n">
        <v>0</v>
      </c>
      <c r="K228" t="n">
        <v>0</v>
      </c>
      <c r="L228" t="n">
        <v>0</v>
      </c>
      <c r="M228" t="n">
        <v>0</v>
      </c>
      <c r="N228" t="n">
        <v>0</v>
      </c>
      <c r="O228" t="n">
        <v>0</v>
      </c>
      <c r="P228" t="n">
        <v>0</v>
      </c>
      <c r="Q228" t="n">
        <v>0</v>
      </c>
      <c r="R228" s="2" t="inlineStr"/>
    </row>
    <row r="229" ht="15" customHeight="1">
      <c r="A229" t="inlineStr">
        <is>
          <t>A 7467-2023</t>
        </is>
      </c>
      <c r="B229" s="1" t="n">
        <v>44966</v>
      </c>
      <c r="C229" s="1" t="n">
        <v>45933</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30917-2025</t>
        </is>
      </c>
      <c r="B230" s="1" t="n">
        <v>45832.37989583334</v>
      </c>
      <c r="C230" s="1" t="n">
        <v>45933</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31179-2025</t>
        </is>
      </c>
      <c r="B231" s="1" t="n">
        <v>45832.67648148148</v>
      </c>
      <c r="C231" s="1" t="n">
        <v>45933</v>
      </c>
      <c r="D231" t="inlineStr">
        <is>
          <t>DALARNAS LÄN</t>
        </is>
      </c>
      <c r="E231" t="inlineStr">
        <is>
          <t>LEKSAND</t>
        </is>
      </c>
      <c r="G231" t="n">
        <v>4.7</v>
      </c>
      <c r="H231" t="n">
        <v>0</v>
      </c>
      <c r="I231" t="n">
        <v>0</v>
      </c>
      <c r="J231" t="n">
        <v>0</v>
      </c>
      <c r="K231" t="n">
        <v>0</v>
      </c>
      <c r="L231" t="n">
        <v>0</v>
      </c>
      <c r="M231" t="n">
        <v>0</v>
      </c>
      <c r="N231" t="n">
        <v>0</v>
      </c>
      <c r="O231" t="n">
        <v>0</v>
      </c>
      <c r="P231" t="n">
        <v>0</v>
      </c>
      <c r="Q231" t="n">
        <v>0</v>
      </c>
      <c r="R231" s="2" t="inlineStr"/>
    </row>
    <row r="232" ht="15" customHeight="1">
      <c r="A232" t="inlineStr">
        <is>
          <t>A 45788-2021</t>
        </is>
      </c>
      <c r="B232" s="1" t="n">
        <v>44441</v>
      </c>
      <c r="C232" s="1" t="n">
        <v>45933</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30969-2025</t>
        </is>
      </c>
      <c r="B233" s="1" t="n">
        <v>45832.45914351852</v>
      </c>
      <c r="C233" s="1" t="n">
        <v>45933</v>
      </c>
      <c r="D233" t="inlineStr">
        <is>
          <t>DALARNAS LÄN</t>
        </is>
      </c>
      <c r="E233" t="inlineStr">
        <is>
          <t>LEKSAND</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45933</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30911-2025</t>
        </is>
      </c>
      <c r="B235" s="1" t="n">
        <v>45832.37547453704</v>
      </c>
      <c r="C235" s="1" t="n">
        <v>45933</v>
      </c>
      <c r="D235" t="inlineStr">
        <is>
          <t>DALARNAS LÄN</t>
        </is>
      </c>
      <c r="E235" t="inlineStr">
        <is>
          <t>LEKSAND</t>
        </is>
      </c>
      <c r="G235" t="n">
        <v>0.5</v>
      </c>
      <c r="H235" t="n">
        <v>0</v>
      </c>
      <c r="I235" t="n">
        <v>0</v>
      </c>
      <c r="J235" t="n">
        <v>0</v>
      </c>
      <c r="K235" t="n">
        <v>0</v>
      </c>
      <c r="L235" t="n">
        <v>0</v>
      </c>
      <c r="M235" t="n">
        <v>0</v>
      </c>
      <c r="N235" t="n">
        <v>0</v>
      </c>
      <c r="O235" t="n">
        <v>0</v>
      </c>
      <c r="P235" t="n">
        <v>0</v>
      </c>
      <c r="Q235" t="n">
        <v>0</v>
      </c>
      <c r="R235" s="2" t="inlineStr"/>
    </row>
    <row r="236" ht="15" customHeight="1">
      <c r="A236" t="inlineStr">
        <is>
          <t>A 47854-2023</t>
        </is>
      </c>
      <c r="B236" s="1" t="n">
        <v>45198</v>
      </c>
      <c r="C236" s="1" t="n">
        <v>45933</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30920-2025</t>
        </is>
      </c>
      <c r="B237" s="1" t="n">
        <v>45832.38484953704</v>
      </c>
      <c r="C237" s="1" t="n">
        <v>45933</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39136-2023</t>
        </is>
      </c>
      <c r="B238" s="1" t="n">
        <v>45165</v>
      </c>
      <c r="C238" s="1" t="n">
        <v>45933</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412-2024</t>
        </is>
      </c>
      <c r="B239" s="1" t="n">
        <v>45296</v>
      </c>
      <c r="C239" s="1" t="n">
        <v>45933</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30916-2025</t>
        </is>
      </c>
      <c r="B240" s="1" t="n">
        <v>45832.37885416667</v>
      </c>
      <c r="C240" s="1" t="n">
        <v>45933</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59673-2023</t>
        </is>
      </c>
      <c r="B241" s="1" t="n">
        <v>45255.44603009259</v>
      </c>
      <c r="C241" s="1" t="n">
        <v>45933</v>
      </c>
      <c r="D241" t="inlineStr">
        <is>
          <t>DALARNAS LÄN</t>
        </is>
      </c>
      <c r="E241" t="inlineStr">
        <is>
          <t>LEKSAND</t>
        </is>
      </c>
      <c r="G241" t="n">
        <v>12.2</v>
      </c>
      <c r="H241" t="n">
        <v>0</v>
      </c>
      <c r="I241" t="n">
        <v>0</v>
      </c>
      <c r="J241" t="n">
        <v>0</v>
      </c>
      <c r="K241" t="n">
        <v>0</v>
      </c>
      <c r="L241" t="n">
        <v>0</v>
      </c>
      <c r="M241" t="n">
        <v>0</v>
      </c>
      <c r="N241" t="n">
        <v>0</v>
      </c>
      <c r="O241" t="n">
        <v>0</v>
      </c>
      <c r="P241" t="n">
        <v>0</v>
      </c>
      <c r="Q241" t="n">
        <v>0</v>
      </c>
      <c r="R241" s="2" t="inlineStr"/>
    </row>
    <row r="242" ht="15" customHeight="1">
      <c r="A242" t="inlineStr">
        <is>
          <t>A 30973-2025</t>
        </is>
      </c>
      <c r="B242" s="1" t="n">
        <v>45832.46300925926</v>
      </c>
      <c r="C242" s="1" t="n">
        <v>45933</v>
      </c>
      <c r="D242" t="inlineStr">
        <is>
          <t>DALARNAS LÄN</t>
        </is>
      </c>
      <c r="E242" t="inlineStr">
        <is>
          <t>LEKSAND</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23068-2024</t>
        </is>
      </c>
      <c r="B243" s="1" t="n">
        <v>45450.45521990741</v>
      </c>
      <c r="C243" s="1" t="n">
        <v>45933</v>
      </c>
      <c r="D243" t="inlineStr">
        <is>
          <t>DALARNAS LÄN</t>
        </is>
      </c>
      <c r="E243" t="inlineStr">
        <is>
          <t>LEKSAND</t>
        </is>
      </c>
      <c r="G243" t="n">
        <v>2.4</v>
      </c>
      <c r="H243" t="n">
        <v>0</v>
      </c>
      <c r="I243" t="n">
        <v>0</v>
      </c>
      <c r="J243" t="n">
        <v>0</v>
      </c>
      <c r="K243" t="n">
        <v>0</v>
      </c>
      <c r="L243" t="n">
        <v>0</v>
      </c>
      <c r="M243" t="n">
        <v>0</v>
      </c>
      <c r="N243" t="n">
        <v>0</v>
      </c>
      <c r="O243" t="n">
        <v>0</v>
      </c>
      <c r="P243" t="n">
        <v>0</v>
      </c>
      <c r="Q243" t="n">
        <v>0</v>
      </c>
      <c r="R243" s="2" t="inlineStr"/>
    </row>
    <row r="244" ht="15" customHeight="1">
      <c r="A244" t="inlineStr">
        <is>
          <t>A 31189-2025</t>
        </is>
      </c>
      <c r="B244" s="1" t="n">
        <v>45832.6799537037</v>
      </c>
      <c r="C244" s="1" t="n">
        <v>45933</v>
      </c>
      <c r="D244" t="inlineStr">
        <is>
          <t>DALARNAS LÄN</t>
        </is>
      </c>
      <c r="E244" t="inlineStr">
        <is>
          <t>LEKSAND</t>
        </is>
      </c>
      <c r="G244" t="n">
        <v>5</v>
      </c>
      <c r="H244" t="n">
        <v>0</v>
      </c>
      <c r="I244" t="n">
        <v>0</v>
      </c>
      <c r="J244" t="n">
        <v>0</v>
      </c>
      <c r="K244" t="n">
        <v>0</v>
      </c>
      <c r="L244" t="n">
        <v>0</v>
      </c>
      <c r="M244" t="n">
        <v>0</v>
      </c>
      <c r="N244" t="n">
        <v>0</v>
      </c>
      <c r="O244" t="n">
        <v>0</v>
      </c>
      <c r="P244" t="n">
        <v>0</v>
      </c>
      <c r="Q244" t="n">
        <v>0</v>
      </c>
      <c r="R244" s="2" t="inlineStr"/>
    </row>
    <row r="245" ht="15" customHeight="1">
      <c r="A245" t="inlineStr">
        <is>
          <t>A 28592-2023</t>
        </is>
      </c>
      <c r="B245" s="1" t="n">
        <v>45103</v>
      </c>
      <c r="C245" s="1" t="n">
        <v>45933</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22281-2024</t>
        </is>
      </c>
      <c r="B246" s="1" t="n">
        <v>45446.54756944445</v>
      </c>
      <c r="C246" s="1" t="n">
        <v>45933</v>
      </c>
      <c r="D246" t="inlineStr">
        <is>
          <t>DALARNAS LÄN</t>
        </is>
      </c>
      <c r="E246" t="inlineStr">
        <is>
          <t>LEKSAND</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31619-2025</t>
        </is>
      </c>
      <c r="B247" s="1" t="n">
        <v>45833</v>
      </c>
      <c r="C247" s="1" t="n">
        <v>45933</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44469-2024</t>
        </is>
      </c>
      <c r="B248" s="1" t="n">
        <v>45574</v>
      </c>
      <c r="C248" s="1" t="n">
        <v>45933</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31446-2025</t>
        </is>
      </c>
      <c r="B249" s="1" t="n">
        <v>45833</v>
      </c>
      <c r="C249" s="1" t="n">
        <v>45933</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52293-2024</t>
        </is>
      </c>
      <c r="B250" s="1" t="n">
        <v>45608.71297453704</v>
      </c>
      <c r="C250" s="1" t="n">
        <v>45933</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60920-2020</t>
        </is>
      </c>
      <c r="B251" s="1" t="n">
        <v>44153</v>
      </c>
      <c r="C251" s="1" t="n">
        <v>45933</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40755-2024</t>
        </is>
      </c>
      <c r="B252" s="1" t="n">
        <v>45558.45815972222</v>
      </c>
      <c r="C252" s="1" t="n">
        <v>45933</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23615-2024</t>
        </is>
      </c>
      <c r="B253" s="1" t="n">
        <v>45454.43050925926</v>
      </c>
      <c r="C253" s="1" t="n">
        <v>45933</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46876-2023</t>
        </is>
      </c>
      <c r="B254" s="1" t="n">
        <v>45200</v>
      </c>
      <c r="C254" s="1" t="n">
        <v>45933</v>
      </c>
      <c r="D254" t="inlineStr">
        <is>
          <t>DALARNAS LÄN</t>
        </is>
      </c>
      <c r="E254" t="inlineStr">
        <is>
          <t>LEKSAND</t>
        </is>
      </c>
      <c r="G254" t="n">
        <v>2.4</v>
      </c>
      <c r="H254" t="n">
        <v>0</v>
      </c>
      <c r="I254" t="n">
        <v>0</v>
      </c>
      <c r="J254" t="n">
        <v>0</v>
      </c>
      <c r="K254" t="n">
        <v>0</v>
      </c>
      <c r="L254" t="n">
        <v>0</v>
      </c>
      <c r="M254" t="n">
        <v>0</v>
      </c>
      <c r="N254" t="n">
        <v>0</v>
      </c>
      <c r="O254" t="n">
        <v>0</v>
      </c>
      <c r="P254" t="n">
        <v>0</v>
      </c>
      <c r="Q254" t="n">
        <v>0</v>
      </c>
      <c r="R254" s="2" t="inlineStr"/>
    </row>
    <row r="255" ht="15" customHeight="1">
      <c r="A255" t="inlineStr">
        <is>
          <t>A 31787-2025</t>
        </is>
      </c>
      <c r="B255" s="1" t="n">
        <v>45834</v>
      </c>
      <c r="C255" s="1" t="n">
        <v>45933</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31493-2025</t>
        </is>
      </c>
      <c r="B256" s="1" t="n">
        <v>45833</v>
      </c>
      <c r="C256" s="1" t="n">
        <v>45933</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2630-2025</t>
        </is>
      </c>
      <c r="B257" s="1" t="n">
        <v>45675.85865740741</v>
      </c>
      <c r="C257" s="1" t="n">
        <v>45933</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32104-2025</t>
        </is>
      </c>
      <c r="B258" s="1" t="n">
        <v>45835</v>
      </c>
      <c r="C258" s="1" t="n">
        <v>45933</v>
      </c>
      <c r="D258" t="inlineStr">
        <is>
          <t>DALARNAS LÄN</t>
        </is>
      </c>
      <c r="E258" t="inlineStr">
        <is>
          <t>LEKSAND</t>
        </is>
      </c>
      <c r="G258" t="n">
        <v>3.1</v>
      </c>
      <c r="H258" t="n">
        <v>0</v>
      </c>
      <c r="I258" t="n">
        <v>0</v>
      </c>
      <c r="J258" t="n">
        <v>0</v>
      </c>
      <c r="K258" t="n">
        <v>0</v>
      </c>
      <c r="L258" t="n">
        <v>0</v>
      </c>
      <c r="M258" t="n">
        <v>0</v>
      </c>
      <c r="N258" t="n">
        <v>0</v>
      </c>
      <c r="O258" t="n">
        <v>0</v>
      </c>
      <c r="P258" t="n">
        <v>0</v>
      </c>
      <c r="Q258" t="n">
        <v>0</v>
      </c>
      <c r="R258" s="2" t="inlineStr"/>
    </row>
    <row r="259" ht="15" customHeight="1">
      <c r="A259" t="inlineStr">
        <is>
          <t>A 9857-2025</t>
        </is>
      </c>
      <c r="B259" s="1" t="n">
        <v>45716.62609953704</v>
      </c>
      <c r="C259" s="1" t="n">
        <v>45933</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32593-2025</t>
        </is>
      </c>
      <c r="B260" s="1" t="n">
        <v>45838</v>
      </c>
      <c r="C260" s="1" t="n">
        <v>45933</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32661-2025</t>
        </is>
      </c>
      <c r="B261" s="1" t="n">
        <v>45838.67953703704</v>
      </c>
      <c r="C261" s="1" t="n">
        <v>45933</v>
      </c>
      <c r="D261" t="inlineStr">
        <is>
          <t>DALARNAS LÄN</t>
        </is>
      </c>
      <c r="E261" t="inlineStr">
        <is>
          <t>LEKSAND</t>
        </is>
      </c>
      <c r="G261" t="n">
        <v>0.8</v>
      </c>
      <c r="H261" t="n">
        <v>0</v>
      </c>
      <c r="I261" t="n">
        <v>0</v>
      </c>
      <c r="J261" t="n">
        <v>0</v>
      </c>
      <c r="K261" t="n">
        <v>0</v>
      </c>
      <c r="L261" t="n">
        <v>0</v>
      </c>
      <c r="M261" t="n">
        <v>0</v>
      </c>
      <c r="N261" t="n">
        <v>0</v>
      </c>
      <c r="O261" t="n">
        <v>0</v>
      </c>
      <c r="P261" t="n">
        <v>0</v>
      </c>
      <c r="Q261" t="n">
        <v>0</v>
      </c>
      <c r="R261" s="2" t="inlineStr"/>
    </row>
    <row r="262" ht="15" customHeight="1">
      <c r="A262" t="inlineStr">
        <is>
          <t>A 40181-2023</t>
        </is>
      </c>
      <c r="B262" s="1" t="n">
        <v>45169</v>
      </c>
      <c r="C262" s="1" t="n">
        <v>45933</v>
      </c>
      <c r="D262" t="inlineStr">
        <is>
          <t>DALARNAS LÄN</t>
        </is>
      </c>
      <c r="E262" t="inlineStr">
        <is>
          <t>LEKSAND</t>
        </is>
      </c>
      <c r="G262" t="n">
        <v>2.8</v>
      </c>
      <c r="H262" t="n">
        <v>0</v>
      </c>
      <c r="I262" t="n">
        <v>0</v>
      </c>
      <c r="J262" t="n">
        <v>0</v>
      </c>
      <c r="K262" t="n">
        <v>0</v>
      </c>
      <c r="L262" t="n">
        <v>0</v>
      </c>
      <c r="M262" t="n">
        <v>0</v>
      </c>
      <c r="N262" t="n">
        <v>0</v>
      </c>
      <c r="O262" t="n">
        <v>0</v>
      </c>
      <c r="P262" t="n">
        <v>0</v>
      </c>
      <c r="Q262" t="n">
        <v>0</v>
      </c>
      <c r="R262" s="2" t="inlineStr"/>
    </row>
    <row r="263" ht="15" customHeight="1">
      <c r="A263" t="inlineStr">
        <is>
          <t>A 32274-2025</t>
        </is>
      </c>
      <c r="B263" s="1" t="n">
        <v>45835</v>
      </c>
      <c r="C263" s="1" t="n">
        <v>45933</v>
      </c>
      <c r="D263" t="inlineStr">
        <is>
          <t>DALARNAS LÄN</t>
        </is>
      </c>
      <c r="E263" t="inlineStr">
        <is>
          <t>LEKSAND</t>
        </is>
      </c>
      <c r="G263" t="n">
        <v>4.5</v>
      </c>
      <c r="H263" t="n">
        <v>0</v>
      </c>
      <c r="I263" t="n">
        <v>0</v>
      </c>
      <c r="J263" t="n">
        <v>0</v>
      </c>
      <c r="K263" t="n">
        <v>0</v>
      </c>
      <c r="L263" t="n">
        <v>0</v>
      </c>
      <c r="M263" t="n">
        <v>0</v>
      </c>
      <c r="N263" t="n">
        <v>0</v>
      </c>
      <c r="O263" t="n">
        <v>0</v>
      </c>
      <c r="P263" t="n">
        <v>0</v>
      </c>
      <c r="Q263" t="n">
        <v>0</v>
      </c>
      <c r="R263" s="2" t="inlineStr"/>
    </row>
    <row r="264" ht="15" customHeight="1">
      <c r="A264" t="inlineStr">
        <is>
          <t>A 32301-2025</t>
        </is>
      </c>
      <c r="B264" s="1" t="n">
        <v>45835</v>
      </c>
      <c r="C264" s="1" t="n">
        <v>45933</v>
      </c>
      <c r="D264" t="inlineStr">
        <is>
          <t>DALARNAS LÄN</t>
        </is>
      </c>
      <c r="E264" t="inlineStr">
        <is>
          <t>LEKSAND</t>
        </is>
      </c>
      <c r="G264" t="n">
        <v>2.2</v>
      </c>
      <c r="H264" t="n">
        <v>0</v>
      </c>
      <c r="I264" t="n">
        <v>0</v>
      </c>
      <c r="J264" t="n">
        <v>0</v>
      </c>
      <c r="K264" t="n">
        <v>0</v>
      </c>
      <c r="L264" t="n">
        <v>0</v>
      </c>
      <c r="M264" t="n">
        <v>0</v>
      </c>
      <c r="N264" t="n">
        <v>0</v>
      </c>
      <c r="O264" t="n">
        <v>0</v>
      </c>
      <c r="P264" t="n">
        <v>0</v>
      </c>
      <c r="Q264" t="n">
        <v>0</v>
      </c>
      <c r="R264" s="2" t="inlineStr"/>
    </row>
    <row r="265" ht="15" customHeight="1">
      <c r="A265" t="inlineStr">
        <is>
          <t>A 13063-2023</t>
        </is>
      </c>
      <c r="B265" s="1" t="n">
        <v>45001</v>
      </c>
      <c r="C265" s="1" t="n">
        <v>45933</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32653-2025</t>
        </is>
      </c>
      <c r="B266" s="1" t="n">
        <v>45838</v>
      </c>
      <c r="C266" s="1" t="n">
        <v>45933</v>
      </c>
      <c r="D266" t="inlineStr">
        <is>
          <t>DALARNAS LÄN</t>
        </is>
      </c>
      <c r="E266" t="inlineStr">
        <is>
          <t>LEKSAND</t>
        </is>
      </c>
      <c r="G266" t="n">
        <v>5.6</v>
      </c>
      <c r="H266" t="n">
        <v>0</v>
      </c>
      <c r="I266" t="n">
        <v>0</v>
      </c>
      <c r="J266" t="n">
        <v>0</v>
      </c>
      <c r="K266" t="n">
        <v>0</v>
      </c>
      <c r="L266" t="n">
        <v>0</v>
      </c>
      <c r="M266" t="n">
        <v>0</v>
      </c>
      <c r="N266" t="n">
        <v>0</v>
      </c>
      <c r="O266" t="n">
        <v>0</v>
      </c>
      <c r="P266" t="n">
        <v>0</v>
      </c>
      <c r="Q266" t="n">
        <v>0</v>
      </c>
      <c r="R266" s="2" t="inlineStr"/>
    </row>
    <row r="267" ht="15" customHeight="1">
      <c r="A267" t="inlineStr">
        <is>
          <t>A 5738-2023</t>
        </is>
      </c>
      <c r="B267" s="1" t="n">
        <v>44962</v>
      </c>
      <c r="C267" s="1" t="n">
        <v>45933</v>
      </c>
      <c r="D267" t="inlineStr">
        <is>
          <t>DALARNAS LÄN</t>
        </is>
      </c>
      <c r="E267" t="inlineStr">
        <is>
          <t>LEKSAND</t>
        </is>
      </c>
      <c r="G267" t="n">
        <v>0.2</v>
      </c>
      <c r="H267" t="n">
        <v>0</v>
      </c>
      <c r="I267" t="n">
        <v>0</v>
      </c>
      <c r="J267" t="n">
        <v>0</v>
      </c>
      <c r="K267" t="n">
        <v>0</v>
      </c>
      <c r="L267" t="n">
        <v>0</v>
      </c>
      <c r="M267" t="n">
        <v>0</v>
      </c>
      <c r="N267" t="n">
        <v>0</v>
      </c>
      <c r="O267" t="n">
        <v>0</v>
      </c>
      <c r="P267" t="n">
        <v>0</v>
      </c>
      <c r="Q267" t="n">
        <v>0</v>
      </c>
      <c r="R267" s="2" t="inlineStr"/>
    </row>
    <row r="268" ht="15" customHeight="1">
      <c r="A268" t="inlineStr">
        <is>
          <t>A 5570-2024</t>
        </is>
      </c>
      <c r="B268" s="1" t="n">
        <v>45334</v>
      </c>
      <c r="C268" s="1" t="n">
        <v>45933</v>
      </c>
      <c r="D268" t="inlineStr">
        <is>
          <t>DALARNAS LÄN</t>
        </is>
      </c>
      <c r="E268" t="inlineStr">
        <is>
          <t>LEKSAND</t>
        </is>
      </c>
      <c r="G268" t="n">
        <v>0.3</v>
      </c>
      <c r="H268" t="n">
        <v>0</v>
      </c>
      <c r="I268" t="n">
        <v>0</v>
      </c>
      <c r="J268" t="n">
        <v>0</v>
      </c>
      <c r="K268" t="n">
        <v>0</v>
      </c>
      <c r="L268" t="n">
        <v>0</v>
      </c>
      <c r="M268" t="n">
        <v>0</v>
      </c>
      <c r="N268" t="n">
        <v>0</v>
      </c>
      <c r="O268" t="n">
        <v>0</v>
      </c>
      <c r="P268" t="n">
        <v>0</v>
      </c>
      <c r="Q268" t="n">
        <v>0</v>
      </c>
      <c r="R268" s="2" t="inlineStr"/>
    </row>
    <row r="269" ht="15" customHeight="1">
      <c r="A269" t="inlineStr">
        <is>
          <t>A 42727-2024</t>
        </is>
      </c>
      <c r="B269" s="1" t="n">
        <v>45566</v>
      </c>
      <c r="C269" s="1" t="n">
        <v>45933</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36444-2023</t>
        </is>
      </c>
      <c r="B270" s="1" t="n">
        <v>45152.63138888889</v>
      </c>
      <c r="C270" s="1" t="n">
        <v>45933</v>
      </c>
      <c r="D270" t="inlineStr">
        <is>
          <t>DALARNAS LÄN</t>
        </is>
      </c>
      <c r="E270" t="inlineStr">
        <is>
          <t>LEKSAND</t>
        </is>
      </c>
      <c r="G270" t="n">
        <v>0.5</v>
      </c>
      <c r="H270" t="n">
        <v>0</v>
      </c>
      <c r="I270" t="n">
        <v>0</v>
      </c>
      <c r="J270" t="n">
        <v>0</v>
      </c>
      <c r="K270" t="n">
        <v>0</v>
      </c>
      <c r="L270" t="n">
        <v>0</v>
      </c>
      <c r="M270" t="n">
        <v>0</v>
      </c>
      <c r="N270" t="n">
        <v>0</v>
      </c>
      <c r="O270" t="n">
        <v>0</v>
      </c>
      <c r="P270" t="n">
        <v>0</v>
      </c>
      <c r="Q270" t="n">
        <v>0</v>
      </c>
      <c r="R270" s="2" t="inlineStr"/>
    </row>
    <row r="271" ht="15" customHeight="1">
      <c r="A271" t="inlineStr">
        <is>
          <t>A 43693-2022</t>
        </is>
      </c>
      <c r="B271" s="1" t="n">
        <v>44837.6369212963</v>
      </c>
      <c r="C271" s="1" t="n">
        <v>45933</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31945-2025</t>
        </is>
      </c>
      <c r="B272" s="1" t="n">
        <v>45835</v>
      </c>
      <c r="C272" s="1" t="n">
        <v>45933</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43735-2022</t>
        </is>
      </c>
      <c r="B273" s="1" t="n">
        <v>44837.70210648148</v>
      </c>
      <c r="C273" s="1" t="n">
        <v>45933</v>
      </c>
      <c r="D273" t="inlineStr">
        <is>
          <t>DALARNAS LÄN</t>
        </is>
      </c>
      <c r="E273" t="inlineStr">
        <is>
          <t>LEKSAND</t>
        </is>
      </c>
      <c r="G273" t="n">
        <v>2.9</v>
      </c>
      <c r="H273" t="n">
        <v>0</v>
      </c>
      <c r="I273" t="n">
        <v>0</v>
      </c>
      <c r="J273" t="n">
        <v>0</v>
      </c>
      <c r="K273" t="n">
        <v>0</v>
      </c>
      <c r="L273" t="n">
        <v>0</v>
      </c>
      <c r="M273" t="n">
        <v>0</v>
      </c>
      <c r="N273" t="n">
        <v>0</v>
      </c>
      <c r="O273" t="n">
        <v>0</v>
      </c>
      <c r="P273" t="n">
        <v>0</v>
      </c>
      <c r="Q273" t="n">
        <v>0</v>
      </c>
      <c r="R273" s="2" t="inlineStr"/>
    </row>
    <row r="274" ht="15" customHeight="1">
      <c r="A274" t="inlineStr">
        <is>
          <t>A 40407-2024</t>
        </is>
      </c>
      <c r="B274" s="1" t="n">
        <v>45555</v>
      </c>
      <c r="C274" s="1" t="n">
        <v>45933</v>
      </c>
      <c r="D274" t="inlineStr">
        <is>
          <t>DALARNAS LÄN</t>
        </is>
      </c>
      <c r="E274" t="inlineStr">
        <is>
          <t>LEKSAND</t>
        </is>
      </c>
      <c r="G274" t="n">
        <v>1.4</v>
      </c>
      <c r="H274" t="n">
        <v>0</v>
      </c>
      <c r="I274" t="n">
        <v>0</v>
      </c>
      <c r="J274" t="n">
        <v>0</v>
      </c>
      <c r="K274" t="n">
        <v>0</v>
      </c>
      <c r="L274" t="n">
        <v>0</v>
      </c>
      <c r="M274" t="n">
        <v>0</v>
      </c>
      <c r="N274" t="n">
        <v>0</v>
      </c>
      <c r="O274" t="n">
        <v>0</v>
      </c>
      <c r="P274" t="n">
        <v>0</v>
      </c>
      <c r="Q274" t="n">
        <v>0</v>
      </c>
      <c r="R274" s="2" t="inlineStr"/>
    </row>
    <row r="275" ht="15" customHeight="1">
      <c r="A275" t="inlineStr">
        <is>
          <t>A 17726-2024</t>
        </is>
      </c>
      <c r="B275" s="1" t="n">
        <v>45418.55609953704</v>
      </c>
      <c r="C275" s="1" t="n">
        <v>45933</v>
      </c>
      <c r="D275" t="inlineStr">
        <is>
          <t>DALARNAS LÄN</t>
        </is>
      </c>
      <c r="E275" t="inlineStr">
        <is>
          <t>LEKSAND</t>
        </is>
      </c>
      <c r="G275" t="n">
        <v>5.2</v>
      </c>
      <c r="H275" t="n">
        <v>0</v>
      </c>
      <c r="I275" t="n">
        <v>0</v>
      </c>
      <c r="J275" t="n">
        <v>0</v>
      </c>
      <c r="K275" t="n">
        <v>0</v>
      </c>
      <c r="L275" t="n">
        <v>0</v>
      </c>
      <c r="M275" t="n">
        <v>0</v>
      </c>
      <c r="N275" t="n">
        <v>0</v>
      </c>
      <c r="O275" t="n">
        <v>0</v>
      </c>
      <c r="P275" t="n">
        <v>0</v>
      </c>
      <c r="Q275" t="n">
        <v>0</v>
      </c>
      <c r="R275" s="2" t="inlineStr"/>
    </row>
    <row r="276" ht="15" customHeight="1">
      <c r="A276" t="inlineStr">
        <is>
          <t>A 32726-2025</t>
        </is>
      </c>
      <c r="B276" s="1" t="n">
        <v>45839.3969212963</v>
      </c>
      <c r="C276" s="1" t="n">
        <v>45933</v>
      </c>
      <c r="D276" t="inlineStr">
        <is>
          <t>DALARNAS LÄN</t>
        </is>
      </c>
      <c r="E276" t="inlineStr">
        <is>
          <t>LEKSAND</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1267-2025</t>
        </is>
      </c>
      <c r="B277" s="1" t="n">
        <v>45667</v>
      </c>
      <c r="C277" s="1" t="n">
        <v>45933</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33160-2025</t>
        </is>
      </c>
      <c r="B278" s="1" t="n">
        <v>45840</v>
      </c>
      <c r="C278" s="1" t="n">
        <v>45933</v>
      </c>
      <c r="D278" t="inlineStr">
        <is>
          <t>DALARNAS LÄN</t>
        </is>
      </c>
      <c r="E278" t="inlineStr">
        <is>
          <t>LEKSAND</t>
        </is>
      </c>
      <c r="G278" t="n">
        <v>2.3</v>
      </c>
      <c r="H278" t="n">
        <v>0</v>
      </c>
      <c r="I278" t="n">
        <v>0</v>
      </c>
      <c r="J278" t="n">
        <v>0</v>
      </c>
      <c r="K278" t="n">
        <v>0</v>
      </c>
      <c r="L278" t="n">
        <v>0</v>
      </c>
      <c r="M278" t="n">
        <v>0</v>
      </c>
      <c r="N278" t="n">
        <v>0</v>
      </c>
      <c r="O278" t="n">
        <v>0</v>
      </c>
      <c r="P278" t="n">
        <v>0</v>
      </c>
      <c r="Q278" t="n">
        <v>0</v>
      </c>
      <c r="R278" s="2" t="inlineStr"/>
    </row>
    <row r="279" ht="15" customHeight="1">
      <c r="A279" t="inlineStr">
        <is>
          <t>A 2517-2024</t>
        </is>
      </c>
      <c r="B279" s="1" t="n">
        <v>45313</v>
      </c>
      <c r="C279" s="1" t="n">
        <v>45933</v>
      </c>
      <c r="D279" t="inlineStr">
        <is>
          <t>DALARNAS LÄN</t>
        </is>
      </c>
      <c r="E279" t="inlineStr">
        <is>
          <t>LEKSAND</t>
        </is>
      </c>
      <c r="F279" t="inlineStr">
        <is>
          <t>Bergvik skog väst AB</t>
        </is>
      </c>
      <c r="G279" t="n">
        <v>4</v>
      </c>
      <c r="H279" t="n">
        <v>0</v>
      </c>
      <c r="I279" t="n">
        <v>0</v>
      </c>
      <c r="J279" t="n">
        <v>0</v>
      </c>
      <c r="K279" t="n">
        <v>0</v>
      </c>
      <c r="L279" t="n">
        <v>0</v>
      </c>
      <c r="M279" t="n">
        <v>0</v>
      </c>
      <c r="N279" t="n">
        <v>0</v>
      </c>
      <c r="O279" t="n">
        <v>0</v>
      </c>
      <c r="P279" t="n">
        <v>0</v>
      </c>
      <c r="Q279" t="n">
        <v>0</v>
      </c>
      <c r="R279" s="2" t="inlineStr"/>
    </row>
    <row r="280" ht="15" customHeight="1">
      <c r="A280" t="inlineStr">
        <is>
          <t>A 60692-2023</t>
        </is>
      </c>
      <c r="B280" s="1" t="n">
        <v>45260.50008101852</v>
      </c>
      <c r="C280" s="1" t="n">
        <v>45933</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42230-2023</t>
        </is>
      </c>
      <c r="B281" s="1" t="n">
        <v>45180</v>
      </c>
      <c r="C281" s="1" t="n">
        <v>45933</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46628-2024</t>
        </is>
      </c>
      <c r="B282" s="1" t="n">
        <v>45583.33195601852</v>
      </c>
      <c r="C282" s="1" t="n">
        <v>45933</v>
      </c>
      <c r="D282" t="inlineStr">
        <is>
          <t>DALARNAS LÄN</t>
        </is>
      </c>
      <c r="E282" t="inlineStr">
        <is>
          <t>LEKSAND</t>
        </is>
      </c>
      <c r="G282" t="n">
        <v>0.2</v>
      </c>
      <c r="H282" t="n">
        <v>0</v>
      </c>
      <c r="I282" t="n">
        <v>0</v>
      </c>
      <c r="J282" t="n">
        <v>0</v>
      </c>
      <c r="K282" t="n">
        <v>0</v>
      </c>
      <c r="L282" t="n">
        <v>0</v>
      </c>
      <c r="M282" t="n">
        <v>0</v>
      </c>
      <c r="N282" t="n">
        <v>0</v>
      </c>
      <c r="O282" t="n">
        <v>0</v>
      </c>
      <c r="P282" t="n">
        <v>0</v>
      </c>
      <c r="Q282" t="n">
        <v>0</v>
      </c>
      <c r="R282" s="2" t="inlineStr"/>
    </row>
    <row r="283" ht="15" customHeight="1">
      <c r="A283" t="inlineStr">
        <is>
          <t>A 3183-2025</t>
        </is>
      </c>
      <c r="B283" s="1" t="n">
        <v>45679.40298611111</v>
      </c>
      <c r="C283" s="1" t="n">
        <v>45933</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32855-2025</t>
        </is>
      </c>
      <c r="B284" s="1" t="n">
        <v>45839.57643518518</v>
      </c>
      <c r="C284" s="1" t="n">
        <v>45933</v>
      </c>
      <c r="D284" t="inlineStr">
        <is>
          <t>DALARNAS LÄN</t>
        </is>
      </c>
      <c r="E284" t="inlineStr">
        <is>
          <t>LEKSAND</t>
        </is>
      </c>
      <c r="G284" t="n">
        <v>0.7</v>
      </c>
      <c r="H284" t="n">
        <v>0</v>
      </c>
      <c r="I284" t="n">
        <v>0</v>
      </c>
      <c r="J284" t="n">
        <v>0</v>
      </c>
      <c r="K284" t="n">
        <v>0</v>
      </c>
      <c r="L284" t="n">
        <v>0</v>
      </c>
      <c r="M284" t="n">
        <v>0</v>
      </c>
      <c r="N284" t="n">
        <v>0</v>
      </c>
      <c r="O284" t="n">
        <v>0</v>
      </c>
      <c r="P284" t="n">
        <v>0</v>
      </c>
      <c r="Q284" t="n">
        <v>0</v>
      </c>
      <c r="R284" s="2" t="inlineStr"/>
    </row>
    <row r="285" ht="15" customHeight="1">
      <c r="A285" t="inlineStr">
        <is>
          <t>A 9141-2023</t>
        </is>
      </c>
      <c r="B285" s="1" t="n">
        <v>44974</v>
      </c>
      <c r="C285" s="1" t="n">
        <v>45933</v>
      </c>
      <c r="D285" t="inlineStr">
        <is>
          <t>DALARNAS LÄN</t>
        </is>
      </c>
      <c r="E285" t="inlineStr">
        <is>
          <t>LEKSAND</t>
        </is>
      </c>
      <c r="G285" t="n">
        <v>1.9</v>
      </c>
      <c r="H285" t="n">
        <v>0</v>
      </c>
      <c r="I285" t="n">
        <v>0</v>
      </c>
      <c r="J285" t="n">
        <v>0</v>
      </c>
      <c r="K285" t="n">
        <v>0</v>
      </c>
      <c r="L285" t="n">
        <v>0</v>
      </c>
      <c r="M285" t="n">
        <v>0</v>
      </c>
      <c r="N285" t="n">
        <v>0</v>
      </c>
      <c r="O285" t="n">
        <v>0</v>
      </c>
      <c r="P285" t="n">
        <v>0</v>
      </c>
      <c r="Q285" t="n">
        <v>0</v>
      </c>
      <c r="R285" s="2" t="inlineStr"/>
    </row>
    <row r="286" ht="15" customHeight="1">
      <c r="A286" t="inlineStr">
        <is>
          <t>A 59751-2024</t>
        </is>
      </c>
      <c r="B286" s="1" t="n">
        <v>45638</v>
      </c>
      <c r="C286" s="1" t="n">
        <v>45933</v>
      </c>
      <c r="D286" t="inlineStr">
        <is>
          <t>DALARNAS LÄN</t>
        </is>
      </c>
      <c r="E286" t="inlineStr">
        <is>
          <t>LEKSAND</t>
        </is>
      </c>
      <c r="G286" t="n">
        <v>5.2</v>
      </c>
      <c r="H286" t="n">
        <v>0</v>
      </c>
      <c r="I286" t="n">
        <v>0</v>
      </c>
      <c r="J286" t="n">
        <v>0</v>
      </c>
      <c r="K286" t="n">
        <v>0</v>
      </c>
      <c r="L286" t="n">
        <v>0</v>
      </c>
      <c r="M286" t="n">
        <v>0</v>
      </c>
      <c r="N286" t="n">
        <v>0</v>
      </c>
      <c r="O286" t="n">
        <v>0</v>
      </c>
      <c r="P286" t="n">
        <v>0</v>
      </c>
      <c r="Q286" t="n">
        <v>0</v>
      </c>
      <c r="R286" s="2" t="inlineStr"/>
    </row>
    <row r="287" ht="15" customHeight="1">
      <c r="A287" t="inlineStr">
        <is>
          <t>A 54844-2021</t>
        </is>
      </c>
      <c r="B287" s="1" t="n">
        <v>44474.30614583333</v>
      </c>
      <c r="C287" s="1" t="n">
        <v>45933</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8211-2023</t>
        </is>
      </c>
      <c r="B288" s="1" t="n">
        <v>44974</v>
      </c>
      <c r="C288" s="1" t="n">
        <v>45933</v>
      </c>
      <c r="D288" t="inlineStr">
        <is>
          <t>DALARNAS LÄN</t>
        </is>
      </c>
      <c r="E288" t="inlineStr">
        <is>
          <t>LEKSAND</t>
        </is>
      </c>
      <c r="G288" t="n">
        <v>5.2</v>
      </c>
      <c r="H288" t="n">
        <v>0</v>
      </c>
      <c r="I288" t="n">
        <v>0</v>
      </c>
      <c r="J288" t="n">
        <v>0</v>
      </c>
      <c r="K288" t="n">
        <v>0</v>
      </c>
      <c r="L288" t="n">
        <v>0</v>
      </c>
      <c r="M288" t="n">
        <v>0</v>
      </c>
      <c r="N288" t="n">
        <v>0</v>
      </c>
      <c r="O288" t="n">
        <v>0</v>
      </c>
      <c r="P288" t="n">
        <v>0</v>
      </c>
      <c r="Q288" t="n">
        <v>0</v>
      </c>
      <c r="R288" s="2" t="inlineStr"/>
    </row>
    <row r="289" ht="15" customHeight="1">
      <c r="A289" t="inlineStr">
        <is>
          <t>A 30204-2024</t>
        </is>
      </c>
      <c r="B289" s="1" t="n">
        <v>45490.35402777778</v>
      </c>
      <c r="C289" s="1" t="n">
        <v>45933</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19618-2024</t>
        </is>
      </c>
      <c r="B290" s="1" t="n">
        <v>45432.32896990741</v>
      </c>
      <c r="C290" s="1" t="n">
        <v>45933</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54917-2024</t>
        </is>
      </c>
      <c r="B291" s="1" t="n">
        <v>45618.69581018519</v>
      </c>
      <c r="C291" s="1" t="n">
        <v>45933</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19700-2025</t>
        </is>
      </c>
      <c r="B292" s="1" t="n">
        <v>45771.32445601852</v>
      </c>
      <c r="C292" s="1" t="n">
        <v>45933</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33804-2025</t>
        </is>
      </c>
      <c r="B293" s="1" t="n">
        <v>45842</v>
      </c>
      <c r="C293" s="1" t="n">
        <v>45933</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46665-2023</t>
        </is>
      </c>
      <c r="B294" s="1" t="n">
        <v>45198.47399305556</v>
      </c>
      <c r="C294" s="1" t="n">
        <v>45933</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14615-2024</t>
        </is>
      </c>
      <c r="B295" s="1" t="n">
        <v>45397.26047453703</v>
      </c>
      <c r="C295" s="1" t="n">
        <v>45933</v>
      </c>
      <c r="D295" t="inlineStr">
        <is>
          <t>DALARNAS LÄN</t>
        </is>
      </c>
      <c r="E295" t="inlineStr">
        <is>
          <t>LEKSAND</t>
        </is>
      </c>
      <c r="G295" t="n">
        <v>0.4</v>
      </c>
      <c r="H295" t="n">
        <v>0</v>
      </c>
      <c r="I295" t="n">
        <v>0</v>
      </c>
      <c r="J295" t="n">
        <v>0</v>
      </c>
      <c r="K295" t="n">
        <v>0</v>
      </c>
      <c r="L295" t="n">
        <v>0</v>
      </c>
      <c r="M295" t="n">
        <v>0</v>
      </c>
      <c r="N295" t="n">
        <v>0</v>
      </c>
      <c r="O295" t="n">
        <v>0</v>
      </c>
      <c r="P295" t="n">
        <v>0</v>
      </c>
      <c r="Q295" t="n">
        <v>0</v>
      </c>
      <c r="R295" s="2" t="inlineStr"/>
    </row>
    <row r="296" ht="15" customHeight="1">
      <c r="A296" t="inlineStr">
        <is>
          <t>A 46405-2025</t>
        </is>
      </c>
      <c r="B296" s="1" t="n">
        <v>45925.56306712963</v>
      </c>
      <c r="C296" s="1" t="n">
        <v>45933</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30863-2024</t>
        </is>
      </c>
      <c r="B297" s="1" t="n">
        <v>45497.71074074074</v>
      </c>
      <c r="C297" s="1" t="n">
        <v>45933</v>
      </c>
      <c r="D297" t="inlineStr">
        <is>
          <t>DALARNAS LÄN</t>
        </is>
      </c>
      <c r="E297" t="inlineStr">
        <is>
          <t>LEKSAND</t>
        </is>
      </c>
      <c r="F297" t="inlineStr">
        <is>
          <t>Bergvik skog väst AB</t>
        </is>
      </c>
      <c r="G297" t="n">
        <v>0.6</v>
      </c>
      <c r="H297" t="n">
        <v>0</v>
      </c>
      <c r="I297" t="n">
        <v>0</v>
      </c>
      <c r="J297" t="n">
        <v>0</v>
      </c>
      <c r="K297" t="n">
        <v>0</v>
      </c>
      <c r="L297" t="n">
        <v>0</v>
      </c>
      <c r="M297" t="n">
        <v>0</v>
      </c>
      <c r="N297" t="n">
        <v>0</v>
      </c>
      <c r="O297" t="n">
        <v>0</v>
      </c>
      <c r="P297" t="n">
        <v>0</v>
      </c>
      <c r="Q297" t="n">
        <v>0</v>
      </c>
      <c r="R297" s="2" t="inlineStr"/>
    </row>
    <row r="298" ht="15" customHeight="1">
      <c r="A298" t="inlineStr">
        <is>
          <t>A 8045-2024</t>
        </is>
      </c>
      <c r="B298" s="1" t="n">
        <v>45351.31371527778</v>
      </c>
      <c r="C298" s="1" t="n">
        <v>45933</v>
      </c>
      <c r="D298" t="inlineStr">
        <is>
          <t>DALARNAS LÄN</t>
        </is>
      </c>
      <c r="E298" t="inlineStr">
        <is>
          <t>LEKSAND</t>
        </is>
      </c>
      <c r="G298" t="n">
        <v>6.7</v>
      </c>
      <c r="H298" t="n">
        <v>0</v>
      </c>
      <c r="I298" t="n">
        <v>0</v>
      </c>
      <c r="J298" t="n">
        <v>0</v>
      </c>
      <c r="K298" t="n">
        <v>0</v>
      </c>
      <c r="L298" t="n">
        <v>0</v>
      </c>
      <c r="M298" t="n">
        <v>0</v>
      </c>
      <c r="N298" t="n">
        <v>0</v>
      </c>
      <c r="O298" t="n">
        <v>0</v>
      </c>
      <c r="P298" t="n">
        <v>0</v>
      </c>
      <c r="Q298" t="n">
        <v>0</v>
      </c>
      <c r="R298" s="2" t="inlineStr"/>
    </row>
    <row r="299" ht="15" customHeight="1">
      <c r="A299" t="inlineStr">
        <is>
          <t>A 54289-2023</t>
        </is>
      </c>
      <c r="B299" s="1" t="n">
        <v>45232.71193287037</v>
      </c>
      <c r="C299" s="1" t="n">
        <v>45933</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776-2021</t>
        </is>
      </c>
      <c r="B300" s="1" t="n">
        <v>44203</v>
      </c>
      <c r="C300" s="1" t="n">
        <v>45933</v>
      </c>
      <c r="D300" t="inlineStr">
        <is>
          <t>DALARNAS LÄN</t>
        </is>
      </c>
      <c r="E300" t="inlineStr">
        <is>
          <t>LEKSAND</t>
        </is>
      </c>
      <c r="G300" t="n">
        <v>21</v>
      </c>
      <c r="H300" t="n">
        <v>0</v>
      </c>
      <c r="I300" t="n">
        <v>0</v>
      </c>
      <c r="J300" t="n">
        <v>0</v>
      </c>
      <c r="K300" t="n">
        <v>0</v>
      </c>
      <c r="L300" t="n">
        <v>0</v>
      </c>
      <c r="M300" t="n">
        <v>0</v>
      </c>
      <c r="N300" t="n">
        <v>0</v>
      </c>
      <c r="O300" t="n">
        <v>0</v>
      </c>
      <c r="P300" t="n">
        <v>0</v>
      </c>
      <c r="Q300" t="n">
        <v>0</v>
      </c>
      <c r="R300" s="2" t="inlineStr"/>
    </row>
    <row r="301" ht="15" customHeight="1">
      <c r="A301" t="inlineStr">
        <is>
          <t>A 34789-2025</t>
        </is>
      </c>
      <c r="B301" s="1" t="n">
        <v>45848</v>
      </c>
      <c r="C301" s="1" t="n">
        <v>45933</v>
      </c>
      <c r="D301" t="inlineStr">
        <is>
          <t>DALARNAS LÄN</t>
        </is>
      </c>
      <c r="E301" t="inlineStr">
        <is>
          <t>LEKSAND</t>
        </is>
      </c>
      <c r="F301" t="inlineStr">
        <is>
          <t>Bergvik skog väst AB</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57013-2023</t>
        </is>
      </c>
      <c r="B302" s="1" t="n">
        <v>45244</v>
      </c>
      <c r="C302" s="1" t="n">
        <v>45933</v>
      </c>
      <c r="D302" t="inlineStr">
        <is>
          <t>DALARNAS LÄN</t>
        </is>
      </c>
      <c r="E302" t="inlineStr">
        <is>
          <t>LEKSAND</t>
        </is>
      </c>
      <c r="G302" t="n">
        <v>1</v>
      </c>
      <c r="H302" t="n">
        <v>0</v>
      </c>
      <c r="I302" t="n">
        <v>0</v>
      </c>
      <c r="J302" t="n">
        <v>0</v>
      </c>
      <c r="K302" t="n">
        <v>0</v>
      </c>
      <c r="L302" t="n">
        <v>0</v>
      </c>
      <c r="M302" t="n">
        <v>0</v>
      </c>
      <c r="N302" t="n">
        <v>0</v>
      </c>
      <c r="O302" t="n">
        <v>0</v>
      </c>
      <c r="P302" t="n">
        <v>0</v>
      </c>
      <c r="Q302" t="n">
        <v>0</v>
      </c>
      <c r="R302" s="2" t="inlineStr"/>
    </row>
    <row r="303" ht="15" customHeight="1">
      <c r="A303" t="inlineStr">
        <is>
          <t>A 41896-2024</t>
        </is>
      </c>
      <c r="B303" s="1" t="n">
        <v>45561.51310185185</v>
      </c>
      <c r="C303" s="1" t="n">
        <v>45933</v>
      </c>
      <c r="D303" t="inlineStr">
        <is>
          <t>DALARNAS LÄN</t>
        </is>
      </c>
      <c r="E303" t="inlineStr">
        <is>
          <t>LEKSAND</t>
        </is>
      </c>
      <c r="F303" t="inlineStr">
        <is>
          <t>Bergvik skog väst AB</t>
        </is>
      </c>
      <c r="G303" t="n">
        <v>2.8</v>
      </c>
      <c r="H303" t="n">
        <v>0</v>
      </c>
      <c r="I303" t="n">
        <v>0</v>
      </c>
      <c r="J303" t="n">
        <v>0</v>
      </c>
      <c r="K303" t="n">
        <v>0</v>
      </c>
      <c r="L303" t="n">
        <v>0</v>
      </c>
      <c r="M303" t="n">
        <v>0</v>
      </c>
      <c r="N303" t="n">
        <v>0</v>
      </c>
      <c r="O303" t="n">
        <v>0</v>
      </c>
      <c r="P303" t="n">
        <v>0</v>
      </c>
      <c r="Q303" t="n">
        <v>0</v>
      </c>
      <c r="R303" s="2" t="inlineStr"/>
    </row>
    <row r="304" ht="15" customHeight="1">
      <c r="A304" t="inlineStr">
        <is>
          <t>A 29157-2022</t>
        </is>
      </c>
      <c r="B304" s="1" t="n">
        <v>44750.48355324074</v>
      </c>
      <c r="C304" s="1" t="n">
        <v>45933</v>
      </c>
      <c r="D304" t="inlineStr">
        <is>
          <t>DALARNAS LÄN</t>
        </is>
      </c>
      <c r="E304" t="inlineStr">
        <is>
          <t>LEKSAND</t>
        </is>
      </c>
      <c r="F304" t="inlineStr">
        <is>
          <t>Bergvik skog väst AB</t>
        </is>
      </c>
      <c r="G304" t="n">
        <v>2.7</v>
      </c>
      <c r="H304" t="n">
        <v>0</v>
      </c>
      <c r="I304" t="n">
        <v>0</v>
      </c>
      <c r="J304" t="n">
        <v>0</v>
      </c>
      <c r="K304" t="n">
        <v>0</v>
      </c>
      <c r="L304" t="n">
        <v>0</v>
      </c>
      <c r="M304" t="n">
        <v>0</v>
      </c>
      <c r="N304" t="n">
        <v>0</v>
      </c>
      <c r="O304" t="n">
        <v>0</v>
      </c>
      <c r="P304" t="n">
        <v>0</v>
      </c>
      <c r="Q304" t="n">
        <v>0</v>
      </c>
      <c r="R304" s="2" t="inlineStr"/>
    </row>
    <row r="305" ht="15" customHeight="1">
      <c r="A305" t="inlineStr">
        <is>
          <t>A 34537-2025</t>
        </is>
      </c>
      <c r="B305" s="1" t="n">
        <v>45847</v>
      </c>
      <c r="C305" s="1" t="n">
        <v>45933</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37832-2023</t>
        </is>
      </c>
      <c r="B306" s="1" t="n">
        <v>45160.3479050926</v>
      </c>
      <c r="C306" s="1" t="n">
        <v>45933</v>
      </c>
      <c r="D306" t="inlineStr">
        <is>
          <t>DALARNAS LÄN</t>
        </is>
      </c>
      <c r="E306" t="inlineStr">
        <is>
          <t>LEKSAND</t>
        </is>
      </c>
      <c r="G306" t="n">
        <v>2</v>
      </c>
      <c r="H306" t="n">
        <v>0</v>
      </c>
      <c r="I306" t="n">
        <v>0</v>
      </c>
      <c r="J306" t="n">
        <v>0</v>
      </c>
      <c r="K306" t="n">
        <v>0</v>
      </c>
      <c r="L306" t="n">
        <v>0</v>
      </c>
      <c r="M306" t="n">
        <v>0</v>
      </c>
      <c r="N306" t="n">
        <v>0</v>
      </c>
      <c r="O306" t="n">
        <v>0</v>
      </c>
      <c r="P306" t="n">
        <v>0</v>
      </c>
      <c r="Q306" t="n">
        <v>0</v>
      </c>
      <c r="R306" s="2" t="inlineStr"/>
    </row>
    <row r="307" ht="15" customHeight="1">
      <c r="A307" t="inlineStr">
        <is>
          <t>A 35094-2025</t>
        </is>
      </c>
      <c r="B307" s="1" t="n">
        <v>45852</v>
      </c>
      <c r="C307" s="1" t="n">
        <v>45933</v>
      </c>
      <c r="D307" t="inlineStr">
        <is>
          <t>DALARNAS LÄN</t>
        </is>
      </c>
      <c r="E307" t="inlineStr">
        <is>
          <t>LEKSAND</t>
        </is>
      </c>
      <c r="G307" t="n">
        <v>1.3</v>
      </c>
      <c r="H307" t="n">
        <v>0</v>
      </c>
      <c r="I307" t="n">
        <v>0</v>
      </c>
      <c r="J307" t="n">
        <v>0</v>
      </c>
      <c r="K307" t="n">
        <v>0</v>
      </c>
      <c r="L307" t="n">
        <v>0</v>
      </c>
      <c r="M307" t="n">
        <v>0</v>
      </c>
      <c r="N307" t="n">
        <v>0</v>
      </c>
      <c r="O307" t="n">
        <v>0</v>
      </c>
      <c r="P307" t="n">
        <v>0</v>
      </c>
      <c r="Q307" t="n">
        <v>0</v>
      </c>
      <c r="R307" s="2" t="inlineStr"/>
    </row>
    <row r="308" ht="15" customHeight="1">
      <c r="A308" t="inlineStr">
        <is>
          <t>A 18040-2024</t>
        </is>
      </c>
      <c r="B308" s="1" t="n">
        <v>45420.36664351852</v>
      </c>
      <c r="C308" s="1" t="n">
        <v>45933</v>
      </c>
      <c r="D308" t="inlineStr">
        <is>
          <t>DALARNAS LÄN</t>
        </is>
      </c>
      <c r="E308" t="inlineStr">
        <is>
          <t>LEKSAND</t>
        </is>
      </c>
      <c r="G308" t="n">
        <v>0.9</v>
      </c>
      <c r="H308" t="n">
        <v>0</v>
      </c>
      <c r="I308" t="n">
        <v>0</v>
      </c>
      <c r="J308" t="n">
        <v>0</v>
      </c>
      <c r="K308" t="n">
        <v>0</v>
      </c>
      <c r="L308" t="n">
        <v>0</v>
      </c>
      <c r="M308" t="n">
        <v>0</v>
      </c>
      <c r="N308" t="n">
        <v>0</v>
      </c>
      <c r="O308" t="n">
        <v>0</v>
      </c>
      <c r="P308" t="n">
        <v>0</v>
      </c>
      <c r="Q308" t="n">
        <v>0</v>
      </c>
      <c r="R308" s="2" t="inlineStr"/>
    </row>
    <row r="309" ht="15" customHeight="1">
      <c r="A309" t="inlineStr">
        <is>
          <t>A 12356-2023</t>
        </is>
      </c>
      <c r="B309" s="1" t="n">
        <v>44998</v>
      </c>
      <c r="C309" s="1" t="n">
        <v>45933</v>
      </c>
      <c r="D309" t="inlineStr">
        <is>
          <t>DALARNAS LÄN</t>
        </is>
      </c>
      <c r="E309" t="inlineStr">
        <is>
          <t>LEKSAND</t>
        </is>
      </c>
      <c r="G309" t="n">
        <v>1.6</v>
      </c>
      <c r="H309" t="n">
        <v>0</v>
      </c>
      <c r="I309" t="n">
        <v>0</v>
      </c>
      <c r="J309" t="n">
        <v>0</v>
      </c>
      <c r="K309" t="n">
        <v>0</v>
      </c>
      <c r="L309" t="n">
        <v>0</v>
      </c>
      <c r="M309" t="n">
        <v>0</v>
      </c>
      <c r="N309" t="n">
        <v>0</v>
      </c>
      <c r="O309" t="n">
        <v>0</v>
      </c>
      <c r="P309" t="n">
        <v>0</v>
      </c>
      <c r="Q309" t="n">
        <v>0</v>
      </c>
      <c r="R309" s="2" t="inlineStr"/>
    </row>
    <row r="310" ht="15" customHeight="1">
      <c r="A310" t="inlineStr">
        <is>
          <t>A 34965-2025</t>
        </is>
      </c>
      <c r="B310" s="1" t="n">
        <v>45849</v>
      </c>
      <c r="C310" s="1" t="n">
        <v>45933</v>
      </c>
      <c r="D310" t="inlineStr">
        <is>
          <t>DALARNAS LÄN</t>
        </is>
      </c>
      <c r="E310" t="inlineStr">
        <is>
          <t>LEKSAND</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34966-2025</t>
        </is>
      </c>
      <c r="B311" s="1" t="n">
        <v>45849</v>
      </c>
      <c r="C311" s="1" t="n">
        <v>45933</v>
      </c>
      <c r="D311" t="inlineStr">
        <is>
          <t>DALARNAS LÄN</t>
        </is>
      </c>
      <c r="E311" t="inlineStr">
        <is>
          <t>LEKSAND</t>
        </is>
      </c>
      <c r="F311" t="inlineStr">
        <is>
          <t>Bergvik skog väst AB</t>
        </is>
      </c>
      <c r="G311" t="n">
        <v>0.9</v>
      </c>
      <c r="H311" t="n">
        <v>0</v>
      </c>
      <c r="I311" t="n">
        <v>0</v>
      </c>
      <c r="J311" t="n">
        <v>0</v>
      </c>
      <c r="K311" t="n">
        <v>0</v>
      </c>
      <c r="L311" t="n">
        <v>0</v>
      </c>
      <c r="M311" t="n">
        <v>0</v>
      </c>
      <c r="N311" t="n">
        <v>0</v>
      </c>
      <c r="O311" t="n">
        <v>0</v>
      </c>
      <c r="P311" t="n">
        <v>0</v>
      </c>
      <c r="Q311" t="n">
        <v>0</v>
      </c>
      <c r="R311" s="2" t="inlineStr"/>
    </row>
    <row r="312" ht="15" customHeight="1">
      <c r="A312" t="inlineStr">
        <is>
          <t>A 6778-2025</t>
        </is>
      </c>
      <c r="B312" s="1" t="n">
        <v>45700.64615740741</v>
      </c>
      <c r="C312" s="1" t="n">
        <v>45933</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41046-2024</t>
        </is>
      </c>
      <c r="B313" s="1" t="n">
        <v>45559.36677083333</v>
      </c>
      <c r="C313" s="1" t="n">
        <v>45933</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56016-2024</t>
        </is>
      </c>
      <c r="B314" s="1" t="n">
        <v>45623.87737268519</v>
      </c>
      <c r="C314" s="1" t="n">
        <v>45933</v>
      </c>
      <c r="D314" t="inlineStr">
        <is>
          <t>DALARNAS LÄN</t>
        </is>
      </c>
      <c r="E314" t="inlineStr">
        <is>
          <t>LEKSAND</t>
        </is>
      </c>
      <c r="G314" t="n">
        <v>6.1</v>
      </c>
      <c r="H314" t="n">
        <v>0</v>
      </c>
      <c r="I314" t="n">
        <v>0</v>
      </c>
      <c r="J314" t="n">
        <v>0</v>
      </c>
      <c r="K314" t="n">
        <v>0</v>
      </c>
      <c r="L314" t="n">
        <v>0</v>
      </c>
      <c r="M314" t="n">
        <v>0</v>
      </c>
      <c r="N314" t="n">
        <v>0</v>
      </c>
      <c r="O314" t="n">
        <v>0</v>
      </c>
      <c r="P314" t="n">
        <v>0</v>
      </c>
      <c r="Q314" t="n">
        <v>0</v>
      </c>
      <c r="R314" s="2" t="inlineStr"/>
    </row>
    <row r="315" ht="15" customHeight="1">
      <c r="A315" t="inlineStr">
        <is>
          <t>A 43419-2024</t>
        </is>
      </c>
      <c r="B315" s="1" t="n">
        <v>45568</v>
      </c>
      <c r="C315" s="1" t="n">
        <v>45933</v>
      </c>
      <c r="D315" t="inlineStr">
        <is>
          <t>DALARNAS LÄN</t>
        </is>
      </c>
      <c r="E315" t="inlineStr">
        <is>
          <t>LEKSAND</t>
        </is>
      </c>
      <c r="G315" t="n">
        <v>0.4</v>
      </c>
      <c r="H315" t="n">
        <v>0</v>
      </c>
      <c r="I315" t="n">
        <v>0</v>
      </c>
      <c r="J315" t="n">
        <v>0</v>
      </c>
      <c r="K315" t="n">
        <v>0</v>
      </c>
      <c r="L315" t="n">
        <v>0</v>
      </c>
      <c r="M315" t="n">
        <v>0</v>
      </c>
      <c r="N315" t="n">
        <v>0</v>
      </c>
      <c r="O315" t="n">
        <v>0</v>
      </c>
      <c r="P315" t="n">
        <v>0</v>
      </c>
      <c r="Q315" t="n">
        <v>0</v>
      </c>
      <c r="R315" s="2" t="inlineStr"/>
    </row>
    <row r="316" ht="15" customHeight="1">
      <c r="A316" t="inlineStr">
        <is>
          <t>A 39595-2023</t>
        </is>
      </c>
      <c r="B316" s="1" t="n">
        <v>45167</v>
      </c>
      <c r="C316" s="1" t="n">
        <v>45933</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40513-2025</t>
        </is>
      </c>
      <c r="B317" s="1" t="n">
        <v>45896.35100694445</v>
      </c>
      <c r="C317" s="1" t="n">
        <v>45933</v>
      </c>
      <c r="D317" t="inlineStr">
        <is>
          <t>DALARNAS LÄN</t>
        </is>
      </c>
      <c r="E317" t="inlineStr">
        <is>
          <t>LEKSAND</t>
        </is>
      </c>
      <c r="G317" t="n">
        <v>7.1</v>
      </c>
      <c r="H317" t="n">
        <v>0</v>
      </c>
      <c r="I317" t="n">
        <v>0</v>
      </c>
      <c r="J317" t="n">
        <v>0</v>
      </c>
      <c r="K317" t="n">
        <v>0</v>
      </c>
      <c r="L317" t="n">
        <v>0</v>
      </c>
      <c r="M317" t="n">
        <v>0</v>
      </c>
      <c r="N317" t="n">
        <v>0</v>
      </c>
      <c r="O317" t="n">
        <v>0</v>
      </c>
      <c r="P317" t="n">
        <v>0</v>
      </c>
      <c r="Q317" t="n">
        <v>0</v>
      </c>
      <c r="R317" s="2" t="inlineStr"/>
    </row>
    <row r="318" ht="15" customHeight="1">
      <c r="A318" t="inlineStr">
        <is>
          <t>A 40517-2025</t>
        </is>
      </c>
      <c r="B318" s="1" t="n">
        <v>45896.36368055556</v>
      </c>
      <c r="C318" s="1" t="n">
        <v>45933</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24481-2024</t>
        </is>
      </c>
      <c r="B319" s="1" t="n">
        <v>45459.36460648148</v>
      </c>
      <c r="C319" s="1" t="n">
        <v>45933</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17606-2024</t>
        </is>
      </c>
      <c r="B320" s="1" t="n">
        <v>45415</v>
      </c>
      <c r="C320" s="1" t="n">
        <v>45933</v>
      </c>
      <c r="D320" t="inlineStr">
        <is>
          <t>DALARNAS LÄN</t>
        </is>
      </c>
      <c r="E320" t="inlineStr">
        <is>
          <t>LEKSAND</t>
        </is>
      </c>
      <c r="G320" t="n">
        <v>0.6</v>
      </c>
      <c r="H320" t="n">
        <v>0</v>
      </c>
      <c r="I320" t="n">
        <v>0</v>
      </c>
      <c r="J320" t="n">
        <v>0</v>
      </c>
      <c r="K320" t="n">
        <v>0</v>
      </c>
      <c r="L320" t="n">
        <v>0</v>
      </c>
      <c r="M320" t="n">
        <v>0</v>
      </c>
      <c r="N320" t="n">
        <v>0</v>
      </c>
      <c r="O320" t="n">
        <v>0</v>
      </c>
      <c r="P320" t="n">
        <v>0</v>
      </c>
      <c r="Q320" t="n">
        <v>0</v>
      </c>
      <c r="R320" s="2" t="inlineStr"/>
    </row>
    <row r="321" ht="15" customHeight="1">
      <c r="A321" t="inlineStr">
        <is>
          <t>A 55926-2024</t>
        </is>
      </c>
      <c r="B321" s="1" t="n">
        <v>45623.601875</v>
      </c>
      <c r="C321" s="1" t="n">
        <v>45933</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16293-2025</t>
        </is>
      </c>
      <c r="B322" s="1" t="n">
        <v>45751.33447916667</v>
      </c>
      <c r="C322" s="1" t="n">
        <v>45933</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34033-2024</t>
        </is>
      </c>
      <c r="B323" s="1" t="n">
        <v>45523.59265046296</v>
      </c>
      <c r="C323" s="1" t="n">
        <v>45933</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51860-2024</t>
        </is>
      </c>
      <c r="B324" s="1" t="n">
        <v>45607.54511574074</v>
      </c>
      <c r="C324" s="1" t="n">
        <v>45933</v>
      </c>
      <c r="D324" t="inlineStr">
        <is>
          <t>DALARNAS LÄN</t>
        </is>
      </c>
      <c r="E324" t="inlineStr">
        <is>
          <t>LEKSAND</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61054-2023</t>
        </is>
      </c>
      <c r="B325" s="1" t="n">
        <v>45261</v>
      </c>
      <c r="C325" s="1" t="n">
        <v>45933</v>
      </c>
      <c r="D325" t="inlineStr">
        <is>
          <t>DALARNAS LÄN</t>
        </is>
      </c>
      <c r="E325" t="inlineStr">
        <is>
          <t>LEKSAND</t>
        </is>
      </c>
      <c r="G325" t="n">
        <v>0.4</v>
      </c>
      <c r="H325" t="n">
        <v>0</v>
      </c>
      <c r="I325" t="n">
        <v>0</v>
      </c>
      <c r="J325" t="n">
        <v>0</v>
      </c>
      <c r="K325" t="n">
        <v>0</v>
      </c>
      <c r="L325" t="n">
        <v>0</v>
      </c>
      <c r="M325" t="n">
        <v>0</v>
      </c>
      <c r="N325" t="n">
        <v>0</v>
      </c>
      <c r="O325" t="n">
        <v>0</v>
      </c>
      <c r="P325" t="n">
        <v>0</v>
      </c>
      <c r="Q325" t="n">
        <v>0</v>
      </c>
      <c r="R325" s="2" t="inlineStr"/>
    </row>
    <row r="326" ht="15" customHeight="1">
      <c r="A326" t="inlineStr">
        <is>
          <t>A 61056-2023</t>
        </is>
      </c>
      <c r="B326" s="1" t="n">
        <v>45261</v>
      </c>
      <c r="C326" s="1" t="n">
        <v>45933</v>
      </c>
      <c r="D326" t="inlineStr">
        <is>
          <t>DALARNAS LÄN</t>
        </is>
      </c>
      <c r="E326" t="inlineStr">
        <is>
          <t>LEKSAND</t>
        </is>
      </c>
      <c r="G326" t="n">
        <v>0.3</v>
      </c>
      <c r="H326" t="n">
        <v>0</v>
      </c>
      <c r="I326" t="n">
        <v>0</v>
      </c>
      <c r="J326" t="n">
        <v>0</v>
      </c>
      <c r="K326" t="n">
        <v>0</v>
      </c>
      <c r="L326" t="n">
        <v>0</v>
      </c>
      <c r="M326" t="n">
        <v>0</v>
      </c>
      <c r="N326" t="n">
        <v>0</v>
      </c>
      <c r="O326" t="n">
        <v>0</v>
      </c>
      <c r="P326" t="n">
        <v>0</v>
      </c>
      <c r="Q326" t="n">
        <v>0</v>
      </c>
      <c r="R326" s="2" t="inlineStr"/>
    </row>
    <row r="327" ht="15" customHeight="1">
      <c r="A327" t="inlineStr">
        <is>
          <t>A 12363-2023</t>
        </is>
      </c>
      <c r="B327" s="1" t="n">
        <v>44998</v>
      </c>
      <c r="C327" s="1" t="n">
        <v>45933</v>
      </c>
      <c r="D327" t="inlineStr">
        <is>
          <t>DALARNAS LÄN</t>
        </is>
      </c>
      <c r="E327" t="inlineStr">
        <is>
          <t>LEKSAND</t>
        </is>
      </c>
      <c r="G327" t="n">
        <v>10</v>
      </c>
      <c r="H327" t="n">
        <v>0</v>
      </c>
      <c r="I327" t="n">
        <v>0</v>
      </c>
      <c r="J327" t="n">
        <v>0</v>
      </c>
      <c r="K327" t="n">
        <v>0</v>
      </c>
      <c r="L327" t="n">
        <v>0</v>
      </c>
      <c r="M327" t="n">
        <v>0</v>
      </c>
      <c r="N327" t="n">
        <v>0</v>
      </c>
      <c r="O327" t="n">
        <v>0</v>
      </c>
      <c r="P327" t="n">
        <v>0</v>
      </c>
      <c r="Q327" t="n">
        <v>0</v>
      </c>
      <c r="R327" s="2" t="inlineStr"/>
    </row>
    <row r="328" ht="15" customHeight="1">
      <c r="A328" t="inlineStr">
        <is>
          <t>A 41248-2025</t>
        </is>
      </c>
      <c r="B328" s="1" t="n">
        <v>45898.60199074074</v>
      </c>
      <c r="C328" s="1" t="n">
        <v>45933</v>
      </c>
      <c r="D328" t="inlineStr">
        <is>
          <t>DALARNAS LÄN</t>
        </is>
      </c>
      <c r="E328" t="inlineStr">
        <is>
          <t>LEKSAND</t>
        </is>
      </c>
      <c r="F328" t="inlineStr">
        <is>
          <t>Bergvik skog väst AB</t>
        </is>
      </c>
      <c r="G328" t="n">
        <v>2.5</v>
      </c>
      <c r="H328" t="n">
        <v>0</v>
      </c>
      <c r="I328" t="n">
        <v>0</v>
      </c>
      <c r="J328" t="n">
        <v>0</v>
      </c>
      <c r="K328" t="n">
        <v>0</v>
      </c>
      <c r="L328" t="n">
        <v>0</v>
      </c>
      <c r="M328" t="n">
        <v>0</v>
      </c>
      <c r="N328" t="n">
        <v>0</v>
      </c>
      <c r="O328" t="n">
        <v>0</v>
      </c>
      <c r="P328" t="n">
        <v>0</v>
      </c>
      <c r="Q328" t="n">
        <v>0</v>
      </c>
      <c r="R328" s="2" t="inlineStr"/>
    </row>
    <row r="329" ht="15" customHeight="1">
      <c r="A329" t="inlineStr">
        <is>
          <t>A 15020-2023</t>
        </is>
      </c>
      <c r="B329" s="1" t="n">
        <v>45015.6196412037</v>
      </c>
      <c r="C329" s="1" t="n">
        <v>45933</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41237-2025</t>
        </is>
      </c>
      <c r="B330" s="1" t="n">
        <v>45898.59570601852</v>
      </c>
      <c r="C330" s="1" t="n">
        <v>45933</v>
      </c>
      <c r="D330" t="inlineStr">
        <is>
          <t>DALARNAS LÄN</t>
        </is>
      </c>
      <c r="E330" t="inlineStr">
        <is>
          <t>LEKSAND</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13705-2021</t>
        </is>
      </c>
      <c r="B331" s="1" t="n">
        <v>44274</v>
      </c>
      <c r="C331" s="1" t="n">
        <v>45933</v>
      </c>
      <c r="D331" t="inlineStr">
        <is>
          <t>DALARNAS LÄN</t>
        </is>
      </c>
      <c r="E331" t="inlineStr">
        <is>
          <t>LEKSAND</t>
        </is>
      </c>
      <c r="G331" t="n">
        <v>3.8</v>
      </c>
      <c r="H331" t="n">
        <v>0</v>
      </c>
      <c r="I331" t="n">
        <v>0</v>
      </c>
      <c r="J331" t="n">
        <v>0</v>
      </c>
      <c r="K331" t="n">
        <v>0</v>
      </c>
      <c r="L331" t="n">
        <v>0</v>
      </c>
      <c r="M331" t="n">
        <v>0</v>
      </c>
      <c r="N331" t="n">
        <v>0</v>
      </c>
      <c r="O331" t="n">
        <v>0</v>
      </c>
      <c r="P331" t="n">
        <v>0</v>
      </c>
      <c r="Q331" t="n">
        <v>0</v>
      </c>
      <c r="R331" s="2" t="inlineStr"/>
    </row>
    <row r="332" ht="15" customHeight="1">
      <c r="A332" t="inlineStr">
        <is>
          <t>A 41487-2025</t>
        </is>
      </c>
      <c r="B332" s="1" t="n">
        <v>45901.4815625</v>
      </c>
      <c r="C332" s="1" t="n">
        <v>45933</v>
      </c>
      <c r="D332" t="inlineStr">
        <is>
          <t>DALARNAS LÄN</t>
        </is>
      </c>
      <c r="E332" t="inlineStr">
        <is>
          <t>LEKSAND</t>
        </is>
      </c>
      <c r="F332" t="inlineStr">
        <is>
          <t>Bergvik skog väst AB</t>
        </is>
      </c>
      <c r="G332" t="n">
        <v>7.3</v>
      </c>
      <c r="H332" t="n">
        <v>0</v>
      </c>
      <c r="I332" t="n">
        <v>0</v>
      </c>
      <c r="J332" t="n">
        <v>0</v>
      </c>
      <c r="K332" t="n">
        <v>0</v>
      </c>
      <c r="L332" t="n">
        <v>0</v>
      </c>
      <c r="M332" t="n">
        <v>0</v>
      </c>
      <c r="N332" t="n">
        <v>0</v>
      </c>
      <c r="O332" t="n">
        <v>0</v>
      </c>
      <c r="P332" t="n">
        <v>0</v>
      </c>
      <c r="Q332" t="n">
        <v>0</v>
      </c>
      <c r="R332" s="2" t="inlineStr"/>
    </row>
    <row r="333" ht="15" customHeight="1">
      <c r="A333" t="inlineStr">
        <is>
          <t>A 35746-2025</t>
        </is>
      </c>
      <c r="B333" s="1" t="n">
        <v>45860</v>
      </c>
      <c r="C333" s="1" t="n">
        <v>45933</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23323-2023</t>
        </is>
      </c>
      <c r="B334" s="1" t="n">
        <v>45076</v>
      </c>
      <c r="C334" s="1" t="n">
        <v>45933</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41380-2025</t>
        </is>
      </c>
      <c r="B335" s="1" t="n">
        <v>45900.92826388889</v>
      </c>
      <c r="C335" s="1" t="n">
        <v>45933</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10299-2024</t>
        </is>
      </c>
      <c r="B336" s="1" t="n">
        <v>45365.50425925926</v>
      </c>
      <c r="C336" s="1" t="n">
        <v>45933</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7894-2025</t>
        </is>
      </c>
      <c r="B337" s="1" t="n">
        <v>45707.30268518518</v>
      </c>
      <c r="C337" s="1" t="n">
        <v>45933</v>
      </c>
      <c r="D337" t="inlineStr">
        <is>
          <t>DALARNAS LÄN</t>
        </is>
      </c>
      <c r="E337" t="inlineStr">
        <is>
          <t>LEKSAND</t>
        </is>
      </c>
      <c r="G337" t="n">
        <v>1.6</v>
      </c>
      <c r="H337" t="n">
        <v>0</v>
      </c>
      <c r="I337" t="n">
        <v>0</v>
      </c>
      <c r="J337" t="n">
        <v>0</v>
      </c>
      <c r="K337" t="n">
        <v>0</v>
      </c>
      <c r="L337" t="n">
        <v>0</v>
      </c>
      <c r="M337" t="n">
        <v>0</v>
      </c>
      <c r="N337" t="n">
        <v>0</v>
      </c>
      <c r="O337" t="n">
        <v>0</v>
      </c>
      <c r="P337" t="n">
        <v>0</v>
      </c>
      <c r="Q337" t="n">
        <v>0</v>
      </c>
      <c r="R337" s="2" t="inlineStr"/>
    </row>
    <row r="338" ht="15" customHeight="1">
      <c r="A338" t="inlineStr">
        <is>
          <t>A 55643-2024</t>
        </is>
      </c>
      <c r="B338" s="1" t="n">
        <v>45621</v>
      </c>
      <c r="C338" s="1" t="n">
        <v>45933</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60129-2023</t>
        </is>
      </c>
      <c r="B339" s="1" t="n">
        <v>45258.49056712963</v>
      </c>
      <c r="C339" s="1" t="n">
        <v>45933</v>
      </c>
      <c r="D339" t="inlineStr">
        <is>
          <t>DALARNAS LÄN</t>
        </is>
      </c>
      <c r="E339" t="inlineStr">
        <is>
          <t>LEKSAND</t>
        </is>
      </c>
      <c r="F339" t="inlineStr">
        <is>
          <t>Bergvik skog väst AB</t>
        </is>
      </c>
      <c r="G339" t="n">
        <v>1.5</v>
      </c>
      <c r="H339" t="n">
        <v>0</v>
      </c>
      <c r="I339" t="n">
        <v>0</v>
      </c>
      <c r="J339" t="n">
        <v>0</v>
      </c>
      <c r="K339" t="n">
        <v>0</v>
      </c>
      <c r="L339" t="n">
        <v>0</v>
      </c>
      <c r="M339" t="n">
        <v>0</v>
      </c>
      <c r="N339" t="n">
        <v>0</v>
      </c>
      <c r="O339" t="n">
        <v>0</v>
      </c>
      <c r="P339" t="n">
        <v>0</v>
      </c>
      <c r="Q339" t="n">
        <v>0</v>
      </c>
      <c r="R339" s="2" t="inlineStr"/>
    </row>
    <row r="340" ht="15" customHeight="1">
      <c r="A340" t="inlineStr">
        <is>
          <t>A 41335-2025</t>
        </is>
      </c>
      <c r="B340" s="1" t="n">
        <v>45899.36747685185</v>
      </c>
      <c r="C340" s="1" t="n">
        <v>45933</v>
      </c>
      <c r="D340" t="inlineStr">
        <is>
          <t>DALARNAS LÄN</t>
        </is>
      </c>
      <c r="E340" t="inlineStr">
        <is>
          <t>LEKSAND</t>
        </is>
      </c>
      <c r="G340" t="n">
        <v>5.9</v>
      </c>
      <c r="H340" t="n">
        <v>0</v>
      </c>
      <c r="I340" t="n">
        <v>0</v>
      </c>
      <c r="J340" t="n">
        <v>0</v>
      </c>
      <c r="K340" t="n">
        <v>0</v>
      </c>
      <c r="L340" t="n">
        <v>0</v>
      </c>
      <c r="M340" t="n">
        <v>0</v>
      </c>
      <c r="N340" t="n">
        <v>0</v>
      </c>
      <c r="O340" t="n">
        <v>0</v>
      </c>
      <c r="P340" t="n">
        <v>0</v>
      </c>
      <c r="Q340" t="n">
        <v>0</v>
      </c>
      <c r="R340" s="2" t="inlineStr"/>
    </row>
    <row r="341" ht="15" customHeight="1">
      <c r="A341" t="inlineStr">
        <is>
          <t>A 58877-2023</t>
        </is>
      </c>
      <c r="B341" s="1" t="n">
        <v>45252</v>
      </c>
      <c r="C341" s="1" t="n">
        <v>45933</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17455-2022</t>
        </is>
      </c>
      <c r="B342" s="1" t="n">
        <v>44679.3775</v>
      </c>
      <c r="C342" s="1" t="n">
        <v>45933</v>
      </c>
      <c r="D342" t="inlineStr">
        <is>
          <t>DALARNAS LÄN</t>
        </is>
      </c>
      <c r="E342" t="inlineStr">
        <is>
          <t>LEKSAND</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16137-2023</t>
        </is>
      </c>
      <c r="B343" s="1" t="n">
        <v>45027</v>
      </c>
      <c r="C343" s="1" t="n">
        <v>45933</v>
      </c>
      <c r="D343" t="inlineStr">
        <is>
          <t>DALARNAS LÄN</t>
        </is>
      </c>
      <c r="E343" t="inlineStr">
        <is>
          <t>LEKSAND</t>
        </is>
      </c>
      <c r="G343" t="n">
        <v>1.6</v>
      </c>
      <c r="H343" t="n">
        <v>0</v>
      </c>
      <c r="I343" t="n">
        <v>0</v>
      </c>
      <c r="J343" t="n">
        <v>0</v>
      </c>
      <c r="K343" t="n">
        <v>0</v>
      </c>
      <c r="L343" t="n">
        <v>0</v>
      </c>
      <c r="M343" t="n">
        <v>0</v>
      </c>
      <c r="N343" t="n">
        <v>0</v>
      </c>
      <c r="O343" t="n">
        <v>0</v>
      </c>
      <c r="P343" t="n">
        <v>0</v>
      </c>
      <c r="Q343" t="n">
        <v>0</v>
      </c>
      <c r="R343" s="2" t="inlineStr"/>
    </row>
    <row r="344" ht="15" customHeight="1">
      <c r="A344" t="inlineStr">
        <is>
          <t>A 60040-2023</t>
        </is>
      </c>
      <c r="B344" s="1" t="n">
        <v>45256</v>
      </c>
      <c r="C344" s="1" t="n">
        <v>45933</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33306-2023</t>
        </is>
      </c>
      <c r="B345" s="1" t="n">
        <v>45127</v>
      </c>
      <c r="C345" s="1" t="n">
        <v>45933</v>
      </c>
      <c r="D345" t="inlineStr">
        <is>
          <t>DALARNAS LÄN</t>
        </is>
      </c>
      <c r="E345" t="inlineStr">
        <is>
          <t>LEKSAND</t>
        </is>
      </c>
      <c r="G345" t="n">
        <v>2.2</v>
      </c>
      <c r="H345" t="n">
        <v>0</v>
      </c>
      <c r="I345" t="n">
        <v>0</v>
      </c>
      <c r="J345" t="n">
        <v>0</v>
      </c>
      <c r="K345" t="n">
        <v>0</v>
      </c>
      <c r="L345" t="n">
        <v>0</v>
      </c>
      <c r="M345" t="n">
        <v>0</v>
      </c>
      <c r="N345" t="n">
        <v>0</v>
      </c>
      <c r="O345" t="n">
        <v>0</v>
      </c>
      <c r="P345" t="n">
        <v>0</v>
      </c>
      <c r="Q345" t="n">
        <v>0</v>
      </c>
      <c r="R345" s="2" t="inlineStr"/>
    </row>
    <row r="346" ht="15" customHeight="1">
      <c r="A346" t="inlineStr">
        <is>
          <t>A 33316-2023</t>
        </is>
      </c>
      <c r="B346" s="1" t="n">
        <v>45127</v>
      </c>
      <c r="C346" s="1" t="n">
        <v>45933</v>
      </c>
      <c r="D346" t="inlineStr">
        <is>
          <t>DALARNAS LÄN</t>
        </is>
      </c>
      <c r="E346" t="inlineStr">
        <is>
          <t>LEKSAND</t>
        </is>
      </c>
      <c r="G346" t="n">
        <v>8.9</v>
      </c>
      <c r="H346" t="n">
        <v>0</v>
      </c>
      <c r="I346" t="n">
        <v>0</v>
      </c>
      <c r="J346" t="n">
        <v>0</v>
      </c>
      <c r="K346" t="n">
        <v>0</v>
      </c>
      <c r="L346" t="n">
        <v>0</v>
      </c>
      <c r="M346" t="n">
        <v>0</v>
      </c>
      <c r="N346" t="n">
        <v>0</v>
      </c>
      <c r="O346" t="n">
        <v>0</v>
      </c>
      <c r="P346" t="n">
        <v>0</v>
      </c>
      <c r="Q346" t="n">
        <v>0</v>
      </c>
      <c r="R346" s="2" t="inlineStr"/>
    </row>
    <row r="347" ht="15" customHeight="1">
      <c r="A347" t="inlineStr">
        <is>
          <t>A 56283-2024</t>
        </is>
      </c>
      <c r="B347" s="1" t="n">
        <v>45624.67864583333</v>
      </c>
      <c r="C347" s="1" t="n">
        <v>45933</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56299-2024</t>
        </is>
      </c>
      <c r="B348" s="1" t="n">
        <v>45624.68607638889</v>
      </c>
      <c r="C348" s="1" t="n">
        <v>45933</v>
      </c>
      <c r="D348" t="inlineStr">
        <is>
          <t>DALARNAS LÄN</t>
        </is>
      </c>
      <c r="E348" t="inlineStr">
        <is>
          <t>LEKSAND</t>
        </is>
      </c>
      <c r="G348" t="n">
        <v>1.6</v>
      </c>
      <c r="H348" t="n">
        <v>0</v>
      </c>
      <c r="I348" t="n">
        <v>0</v>
      </c>
      <c r="J348" t="n">
        <v>0</v>
      </c>
      <c r="K348" t="n">
        <v>0</v>
      </c>
      <c r="L348" t="n">
        <v>0</v>
      </c>
      <c r="M348" t="n">
        <v>0</v>
      </c>
      <c r="N348" t="n">
        <v>0</v>
      </c>
      <c r="O348" t="n">
        <v>0</v>
      </c>
      <c r="P348" t="n">
        <v>0</v>
      </c>
      <c r="Q348" t="n">
        <v>0</v>
      </c>
      <c r="R348" s="2" t="inlineStr"/>
    </row>
    <row r="349" ht="15" customHeight="1">
      <c r="A349" t="inlineStr">
        <is>
          <t>A 43077-2024</t>
        </is>
      </c>
      <c r="B349" s="1" t="n">
        <v>45567.50030092592</v>
      </c>
      <c r="C349" s="1" t="n">
        <v>45933</v>
      </c>
      <c r="D349" t="inlineStr">
        <is>
          <t>DALARNAS LÄN</t>
        </is>
      </c>
      <c r="E349" t="inlineStr">
        <is>
          <t>LEKSAND</t>
        </is>
      </c>
      <c r="G349" t="n">
        <v>1.6</v>
      </c>
      <c r="H349" t="n">
        <v>0</v>
      </c>
      <c r="I349" t="n">
        <v>0</v>
      </c>
      <c r="J349" t="n">
        <v>0</v>
      </c>
      <c r="K349" t="n">
        <v>0</v>
      </c>
      <c r="L349" t="n">
        <v>0</v>
      </c>
      <c r="M349" t="n">
        <v>0</v>
      </c>
      <c r="N349" t="n">
        <v>0</v>
      </c>
      <c r="O349" t="n">
        <v>0</v>
      </c>
      <c r="P349" t="n">
        <v>0</v>
      </c>
      <c r="Q349" t="n">
        <v>0</v>
      </c>
      <c r="R349" s="2" t="inlineStr"/>
    </row>
    <row r="350" ht="15" customHeight="1">
      <c r="A350" t="inlineStr">
        <is>
          <t>A 35866-2025</t>
        </is>
      </c>
      <c r="B350" s="1" t="n">
        <v>45861</v>
      </c>
      <c r="C350" s="1" t="n">
        <v>45933</v>
      </c>
      <c r="D350" t="inlineStr">
        <is>
          <t>DALARNAS LÄN</t>
        </is>
      </c>
      <c r="E350" t="inlineStr">
        <is>
          <t>LEKSAND</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42284-2025</t>
        </is>
      </c>
      <c r="B351" s="1" t="n">
        <v>45903</v>
      </c>
      <c r="C351" s="1" t="n">
        <v>45933</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22681-2022</t>
        </is>
      </c>
      <c r="B352" s="1" t="n">
        <v>44714.50961805556</v>
      </c>
      <c r="C352" s="1" t="n">
        <v>45933</v>
      </c>
      <c r="D352" t="inlineStr">
        <is>
          <t>DALARNAS LÄN</t>
        </is>
      </c>
      <c r="E352" t="inlineStr">
        <is>
          <t>LEKSAND</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30196-2023</t>
        </is>
      </c>
      <c r="B353" s="1" t="n">
        <v>45110</v>
      </c>
      <c r="C353" s="1" t="n">
        <v>45933</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41934-2025</t>
        </is>
      </c>
      <c r="B354" s="1" t="n">
        <v>45903.43556712963</v>
      </c>
      <c r="C354" s="1" t="n">
        <v>45933</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46483-2025</t>
        </is>
      </c>
      <c r="B355" s="1" t="n">
        <v>45925.70248842592</v>
      </c>
      <c r="C355" s="1" t="n">
        <v>45933</v>
      </c>
      <c r="D355" t="inlineStr">
        <is>
          <t>DALARNAS LÄN</t>
        </is>
      </c>
      <c r="E355" t="inlineStr">
        <is>
          <t>LEKSAND</t>
        </is>
      </c>
      <c r="G355" t="n">
        <v>3.6</v>
      </c>
      <c r="H355" t="n">
        <v>0</v>
      </c>
      <c r="I355" t="n">
        <v>0</v>
      </c>
      <c r="J355" t="n">
        <v>0</v>
      </c>
      <c r="K355" t="n">
        <v>0</v>
      </c>
      <c r="L355" t="n">
        <v>0</v>
      </c>
      <c r="M355" t="n">
        <v>0</v>
      </c>
      <c r="N355" t="n">
        <v>0</v>
      </c>
      <c r="O355" t="n">
        <v>0</v>
      </c>
      <c r="P355" t="n">
        <v>0</v>
      </c>
      <c r="Q355" t="n">
        <v>0</v>
      </c>
      <c r="R355" s="2" t="inlineStr"/>
    </row>
    <row r="356" ht="15" customHeight="1">
      <c r="A356" t="inlineStr">
        <is>
          <t>A 46446-2023</t>
        </is>
      </c>
      <c r="B356" s="1" t="n">
        <v>45197.59344907408</v>
      </c>
      <c r="C356" s="1" t="n">
        <v>45933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24005-2024</t>
        </is>
      </c>
      <c r="B357" s="1" t="n">
        <v>45456.39239583333</v>
      </c>
      <c r="C357" s="1" t="n">
        <v>45933</v>
      </c>
      <c r="D357" t="inlineStr">
        <is>
          <t>DALARNAS LÄN</t>
        </is>
      </c>
      <c r="E357" t="inlineStr">
        <is>
          <t>LEKSAND</t>
        </is>
      </c>
      <c r="F357" t="inlineStr">
        <is>
          <t>Bergvik skog väst AB</t>
        </is>
      </c>
      <c r="G357" t="n">
        <v>3</v>
      </c>
      <c r="H357" t="n">
        <v>0</v>
      </c>
      <c r="I357" t="n">
        <v>0</v>
      </c>
      <c r="J357" t="n">
        <v>0</v>
      </c>
      <c r="K357" t="n">
        <v>0</v>
      </c>
      <c r="L357" t="n">
        <v>0</v>
      </c>
      <c r="M357" t="n">
        <v>0</v>
      </c>
      <c r="N357" t="n">
        <v>0</v>
      </c>
      <c r="O357" t="n">
        <v>0</v>
      </c>
      <c r="P357" t="n">
        <v>0</v>
      </c>
      <c r="Q357" t="n">
        <v>0</v>
      </c>
      <c r="R357" s="2" t="inlineStr"/>
    </row>
    <row r="358" ht="15" customHeight="1">
      <c r="A358" t="inlineStr">
        <is>
          <t>A 1984-2025</t>
        </is>
      </c>
      <c r="B358" s="1" t="n">
        <v>45670</v>
      </c>
      <c r="C358" s="1" t="n">
        <v>45933</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59199-2024</t>
        </is>
      </c>
      <c r="B359" s="1" t="n">
        <v>45637</v>
      </c>
      <c r="C359" s="1" t="n">
        <v>45933</v>
      </c>
      <c r="D359" t="inlineStr">
        <is>
          <t>DALARNAS LÄN</t>
        </is>
      </c>
      <c r="E359" t="inlineStr">
        <is>
          <t>LEKSAND</t>
        </is>
      </c>
      <c r="G359" t="n">
        <v>5.4</v>
      </c>
      <c r="H359" t="n">
        <v>0</v>
      </c>
      <c r="I359" t="n">
        <v>0</v>
      </c>
      <c r="J359" t="n">
        <v>0</v>
      </c>
      <c r="K359" t="n">
        <v>0</v>
      </c>
      <c r="L359" t="n">
        <v>0</v>
      </c>
      <c r="M359" t="n">
        <v>0</v>
      </c>
      <c r="N359" t="n">
        <v>0</v>
      </c>
      <c r="O359" t="n">
        <v>0</v>
      </c>
      <c r="P359" t="n">
        <v>0</v>
      </c>
      <c r="Q359" t="n">
        <v>0</v>
      </c>
      <c r="R359" s="2" t="inlineStr"/>
    </row>
    <row r="360" ht="15" customHeight="1">
      <c r="A360" t="inlineStr">
        <is>
          <t>A 35998-2025</t>
        </is>
      </c>
      <c r="B360" s="1" t="n">
        <v>45863.51550925926</v>
      </c>
      <c r="C360" s="1" t="n">
        <v>45933</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36021-2025</t>
        </is>
      </c>
      <c r="B361" s="1" t="n">
        <v>45863.72346064815</v>
      </c>
      <c r="C361" s="1" t="n">
        <v>45933</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42402-2025</t>
        </is>
      </c>
      <c r="B362" s="1" t="n">
        <v>45905.3753125</v>
      </c>
      <c r="C362" s="1" t="n">
        <v>45933</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33310-2023</t>
        </is>
      </c>
      <c r="B363" s="1" t="n">
        <v>45127.82231481482</v>
      </c>
      <c r="C363" s="1" t="n">
        <v>45933</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57899-2024</t>
        </is>
      </c>
      <c r="B364" s="1" t="n">
        <v>45630</v>
      </c>
      <c r="C364" s="1" t="n">
        <v>45933</v>
      </c>
      <c r="D364" t="inlineStr">
        <is>
          <t>DALARNAS LÄN</t>
        </is>
      </c>
      <c r="E364" t="inlineStr">
        <is>
          <t>LEKSAND</t>
        </is>
      </c>
      <c r="G364" t="n">
        <v>0.6</v>
      </c>
      <c r="H364" t="n">
        <v>0</v>
      </c>
      <c r="I364" t="n">
        <v>0</v>
      </c>
      <c r="J364" t="n">
        <v>0</v>
      </c>
      <c r="K364" t="n">
        <v>0</v>
      </c>
      <c r="L364" t="n">
        <v>0</v>
      </c>
      <c r="M364" t="n">
        <v>0</v>
      </c>
      <c r="N364" t="n">
        <v>0</v>
      </c>
      <c r="O364" t="n">
        <v>0</v>
      </c>
      <c r="P364" t="n">
        <v>0</v>
      </c>
      <c r="Q364" t="n">
        <v>0</v>
      </c>
      <c r="R364" s="2" t="inlineStr"/>
    </row>
    <row r="365" ht="15" customHeight="1">
      <c r="A365" t="inlineStr">
        <is>
          <t>A 11110-2023</t>
        </is>
      </c>
      <c r="B365" s="1" t="n">
        <v>44992</v>
      </c>
      <c r="C365" s="1" t="n">
        <v>45933</v>
      </c>
      <c r="D365" t="inlineStr">
        <is>
          <t>DALARNAS LÄN</t>
        </is>
      </c>
      <c r="E365" t="inlineStr">
        <is>
          <t>LEKSAND</t>
        </is>
      </c>
      <c r="G365" t="n">
        <v>11.2</v>
      </c>
      <c r="H365" t="n">
        <v>0</v>
      </c>
      <c r="I365" t="n">
        <v>0</v>
      </c>
      <c r="J365" t="n">
        <v>0</v>
      </c>
      <c r="K365" t="n">
        <v>0</v>
      </c>
      <c r="L365" t="n">
        <v>0</v>
      </c>
      <c r="M365" t="n">
        <v>0</v>
      </c>
      <c r="N365" t="n">
        <v>0</v>
      </c>
      <c r="O365" t="n">
        <v>0</v>
      </c>
      <c r="P365" t="n">
        <v>0</v>
      </c>
      <c r="Q365" t="n">
        <v>0</v>
      </c>
      <c r="R365" s="2" t="inlineStr"/>
    </row>
    <row r="366" ht="15" customHeight="1">
      <c r="A366" t="inlineStr">
        <is>
          <t>A 56753-2023</t>
        </is>
      </c>
      <c r="B366" s="1" t="n">
        <v>45244.37094907407</v>
      </c>
      <c r="C366" s="1" t="n">
        <v>45933</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36020-2025</t>
        </is>
      </c>
      <c r="B367" s="1" t="n">
        <v>45863</v>
      </c>
      <c r="C367" s="1" t="n">
        <v>45933</v>
      </c>
      <c r="D367" t="inlineStr">
        <is>
          <t>DALARNAS LÄN</t>
        </is>
      </c>
      <c r="E367" t="inlineStr">
        <is>
          <t>LEKSAND</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36017-2025</t>
        </is>
      </c>
      <c r="B368" s="1" t="n">
        <v>45863</v>
      </c>
      <c r="C368" s="1" t="n">
        <v>45933</v>
      </c>
      <c r="D368" t="inlineStr">
        <is>
          <t>DALARNAS LÄN</t>
        </is>
      </c>
      <c r="E368" t="inlineStr">
        <is>
          <t>LEKSAND</t>
        </is>
      </c>
      <c r="F368" t="inlineStr">
        <is>
          <t>Bergvik skog väst AB</t>
        </is>
      </c>
      <c r="G368" t="n">
        <v>17.9</v>
      </c>
      <c r="H368" t="n">
        <v>0</v>
      </c>
      <c r="I368" t="n">
        <v>0</v>
      </c>
      <c r="J368" t="n">
        <v>0</v>
      </c>
      <c r="K368" t="n">
        <v>0</v>
      </c>
      <c r="L368" t="n">
        <v>0</v>
      </c>
      <c r="M368" t="n">
        <v>0</v>
      </c>
      <c r="N368" t="n">
        <v>0</v>
      </c>
      <c r="O368" t="n">
        <v>0</v>
      </c>
      <c r="P368" t="n">
        <v>0</v>
      </c>
      <c r="Q368" t="n">
        <v>0</v>
      </c>
      <c r="R368" s="2" t="inlineStr"/>
    </row>
    <row r="369" ht="15" customHeight="1">
      <c r="A369" t="inlineStr">
        <is>
          <t>A 54682-2023</t>
        </is>
      </c>
      <c r="B369" s="1" t="n">
        <v>45235.90439814814</v>
      </c>
      <c r="C369" s="1" t="n">
        <v>45933</v>
      </c>
      <c r="D369" t="inlineStr">
        <is>
          <t>DALARNAS LÄN</t>
        </is>
      </c>
      <c r="E369" t="inlineStr">
        <is>
          <t>LEKSAND</t>
        </is>
      </c>
      <c r="G369" t="n">
        <v>1.5</v>
      </c>
      <c r="H369" t="n">
        <v>0</v>
      </c>
      <c r="I369" t="n">
        <v>0</v>
      </c>
      <c r="J369" t="n">
        <v>0</v>
      </c>
      <c r="K369" t="n">
        <v>0</v>
      </c>
      <c r="L369" t="n">
        <v>0</v>
      </c>
      <c r="M369" t="n">
        <v>0</v>
      </c>
      <c r="N369" t="n">
        <v>0</v>
      </c>
      <c r="O369" t="n">
        <v>0</v>
      </c>
      <c r="P369" t="n">
        <v>0</v>
      </c>
      <c r="Q369" t="n">
        <v>0</v>
      </c>
      <c r="R369" s="2" t="inlineStr"/>
    </row>
    <row r="370" ht="15" customHeight="1">
      <c r="A370" t="inlineStr">
        <is>
          <t>A 57933-2024</t>
        </is>
      </c>
      <c r="B370" s="1" t="n">
        <v>45630</v>
      </c>
      <c r="C370" s="1" t="n">
        <v>45933</v>
      </c>
      <c r="D370" t="inlineStr">
        <is>
          <t>DALARNAS LÄN</t>
        </is>
      </c>
      <c r="E370" t="inlineStr">
        <is>
          <t>LEKSAND</t>
        </is>
      </c>
      <c r="G370" t="n">
        <v>1.1</v>
      </c>
      <c r="H370" t="n">
        <v>0</v>
      </c>
      <c r="I370" t="n">
        <v>0</v>
      </c>
      <c r="J370" t="n">
        <v>0</v>
      </c>
      <c r="K370" t="n">
        <v>0</v>
      </c>
      <c r="L370" t="n">
        <v>0</v>
      </c>
      <c r="M370" t="n">
        <v>0</v>
      </c>
      <c r="N370" t="n">
        <v>0</v>
      </c>
      <c r="O370" t="n">
        <v>0</v>
      </c>
      <c r="P370" t="n">
        <v>0</v>
      </c>
      <c r="Q370" t="n">
        <v>0</v>
      </c>
      <c r="R370" s="2" t="inlineStr"/>
    </row>
    <row r="371" ht="15" customHeight="1">
      <c r="A371" t="inlineStr">
        <is>
          <t>A 36190-2025</t>
        </is>
      </c>
      <c r="B371" s="1" t="n">
        <v>45867</v>
      </c>
      <c r="C371" s="1" t="n">
        <v>45933</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11403-2023</t>
        </is>
      </c>
      <c r="B372" s="1" t="n">
        <v>44993</v>
      </c>
      <c r="C372" s="1" t="n">
        <v>45933</v>
      </c>
      <c r="D372" t="inlineStr">
        <is>
          <t>DALARNAS LÄN</t>
        </is>
      </c>
      <c r="E372" t="inlineStr">
        <is>
          <t>LEKSAND</t>
        </is>
      </c>
      <c r="G372" t="n">
        <v>0.1</v>
      </c>
      <c r="H372" t="n">
        <v>0</v>
      </c>
      <c r="I372" t="n">
        <v>0</v>
      </c>
      <c r="J372" t="n">
        <v>0</v>
      </c>
      <c r="K372" t="n">
        <v>0</v>
      </c>
      <c r="L372" t="n">
        <v>0</v>
      </c>
      <c r="M372" t="n">
        <v>0</v>
      </c>
      <c r="N372" t="n">
        <v>0</v>
      </c>
      <c r="O372" t="n">
        <v>0</v>
      </c>
      <c r="P372" t="n">
        <v>0</v>
      </c>
      <c r="Q372" t="n">
        <v>0</v>
      </c>
      <c r="R372" s="2" t="inlineStr"/>
    </row>
    <row r="373" ht="15" customHeight="1">
      <c r="A373" t="inlineStr">
        <is>
          <t>A 1463-2024</t>
        </is>
      </c>
      <c r="B373" s="1" t="n">
        <v>45303</v>
      </c>
      <c r="C373" s="1" t="n">
        <v>45933</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43158-2025</t>
        </is>
      </c>
      <c r="B374" s="1" t="n">
        <v>45910.35496527778</v>
      </c>
      <c r="C374" s="1" t="n">
        <v>45933</v>
      </c>
      <c r="D374" t="inlineStr">
        <is>
          <t>DALARNAS LÄN</t>
        </is>
      </c>
      <c r="E374" t="inlineStr">
        <is>
          <t>LEKSAND</t>
        </is>
      </c>
      <c r="G374" t="n">
        <v>1.9</v>
      </c>
      <c r="H374" t="n">
        <v>0</v>
      </c>
      <c r="I374" t="n">
        <v>0</v>
      </c>
      <c r="J374" t="n">
        <v>0</v>
      </c>
      <c r="K374" t="n">
        <v>0</v>
      </c>
      <c r="L374" t="n">
        <v>0</v>
      </c>
      <c r="M374" t="n">
        <v>0</v>
      </c>
      <c r="N374" t="n">
        <v>0</v>
      </c>
      <c r="O374" t="n">
        <v>0</v>
      </c>
      <c r="P374" t="n">
        <v>0</v>
      </c>
      <c r="Q374" t="n">
        <v>0</v>
      </c>
      <c r="R374" s="2" t="inlineStr"/>
    </row>
    <row r="375" ht="15" customHeight="1">
      <c r="A375" t="inlineStr">
        <is>
          <t>A 22683-2022</t>
        </is>
      </c>
      <c r="B375" s="1" t="n">
        <v>44714</v>
      </c>
      <c r="C375" s="1" t="n">
        <v>45933</v>
      </c>
      <c r="D375" t="inlineStr">
        <is>
          <t>DALARNAS LÄN</t>
        </is>
      </c>
      <c r="E375" t="inlineStr">
        <is>
          <t>LEKSAND</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52755-2024</t>
        </is>
      </c>
      <c r="B376" s="1" t="n">
        <v>45610.50217592593</v>
      </c>
      <c r="C376" s="1" t="n">
        <v>45933</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38498-2025</t>
        </is>
      </c>
      <c r="B377" s="1" t="n">
        <v>45884.3706712963</v>
      </c>
      <c r="C377" s="1" t="n">
        <v>45933</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44967.43953703704</v>
      </c>
      <c r="C378" s="1" t="n">
        <v>45933</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43195-2025</t>
        </is>
      </c>
      <c r="B379" s="1" t="n">
        <v>45910.4294212963</v>
      </c>
      <c r="C379" s="1" t="n">
        <v>45933</v>
      </c>
      <c r="D379" t="inlineStr">
        <is>
          <t>DALARNAS LÄN</t>
        </is>
      </c>
      <c r="E379" t="inlineStr">
        <is>
          <t>LEKSAND</t>
        </is>
      </c>
      <c r="G379" t="n">
        <v>2.5</v>
      </c>
      <c r="H379" t="n">
        <v>0</v>
      </c>
      <c r="I379" t="n">
        <v>0</v>
      </c>
      <c r="J379" t="n">
        <v>0</v>
      </c>
      <c r="K379" t="n">
        <v>0</v>
      </c>
      <c r="L379" t="n">
        <v>0</v>
      </c>
      <c r="M379" t="n">
        <v>0</v>
      </c>
      <c r="N379" t="n">
        <v>0</v>
      </c>
      <c r="O379" t="n">
        <v>0</v>
      </c>
      <c r="P379" t="n">
        <v>0</v>
      </c>
      <c r="Q379" t="n">
        <v>0</v>
      </c>
      <c r="R379" s="2" t="inlineStr"/>
    </row>
    <row r="380" ht="15" customHeight="1">
      <c r="A380" t="inlineStr">
        <is>
          <t>A 36540-2025</t>
        </is>
      </c>
      <c r="B380" s="1" t="n">
        <v>45869.63885416667</v>
      </c>
      <c r="C380" s="1" t="n">
        <v>45933</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43781-2025</t>
        </is>
      </c>
      <c r="B381" s="1" t="n">
        <v>45912.52229166667</v>
      </c>
      <c r="C381" s="1" t="n">
        <v>45933</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30000-2023</t>
        </is>
      </c>
      <c r="B382" s="1" t="n">
        <v>45109.71128472222</v>
      </c>
      <c r="C382" s="1" t="n">
        <v>45933</v>
      </c>
      <c r="D382" t="inlineStr">
        <is>
          <t>DALARNAS LÄN</t>
        </is>
      </c>
      <c r="E382" t="inlineStr">
        <is>
          <t>LEKSAND</t>
        </is>
      </c>
      <c r="G382" t="n">
        <v>1.1</v>
      </c>
      <c r="H382" t="n">
        <v>0</v>
      </c>
      <c r="I382" t="n">
        <v>0</v>
      </c>
      <c r="J382" t="n">
        <v>0</v>
      </c>
      <c r="K382" t="n">
        <v>0</v>
      </c>
      <c r="L382" t="n">
        <v>0</v>
      </c>
      <c r="M382" t="n">
        <v>0</v>
      </c>
      <c r="N382" t="n">
        <v>0</v>
      </c>
      <c r="O382" t="n">
        <v>0</v>
      </c>
      <c r="P382" t="n">
        <v>0</v>
      </c>
      <c r="Q382" t="n">
        <v>0</v>
      </c>
      <c r="R382" s="2" t="inlineStr"/>
    </row>
    <row r="383" ht="15" customHeight="1">
      <c r="A383" t="inlineStr">
        <is>
          <t>A 43607-2025</t>
        </is>
      </c>
      <c r="B383" s="1" t="n">
        <v>45911.66873842593</v>
      </c>
      <c r="C383" s="1" t="n">
        <v>45933</v>
      </c>
      <c r="D383" t="inlineStr">
        <is>
          <t>DALARNAS LÄN</t>
        </is>
      </c>
      <c r="E383" t="inlineStr">
        <is>
          <t>LEKSAND</t>
        </is>
      </c>
      <c r="G383" t="n">
        <v>7.3</v>
      </c>
      <c r="H383" t="n">
        <v>0</v>
      </c>
      <c r="I383" t="n">
        <v>0</v>
      </c>
      <c r="J383" t="n">
        <v>0</v>
      </c>
      <c r="K383" t="n">
        <v>0</v>
      </c>
      <c r="L383" t="n">
        <v>0</v>
      </c>
      <c r="M383" t="n">
        <v>0</v>
      </c>
      <c r="N383" t="n">
        <v>0</v>
      </c>
      <c r="O383" t="n">
        <v>0</v>
      </c>
      <c r="P383" t="n">
        <v>0</v>
      </c>
      <c r="Q383" t="n">
        <v>0</v>
      </c>
      <c r="R383" s="2" t="inlineStr"/>
    </row>
    <row r="384" ht="15" customHeight="1">
      <c r="A384" t="inlineStr">
        <is>
          <t>A 43628-2025</t>
        </is>
      </c>
      <c r="B384" s="1" t="n">
        <v>45911.70060185185</v>
      </c>
      <c r="C384" s="1" t="n">
        <v>45933</v>
      </c>
      <c r="D384" t="inlineStr">
        <is>
          <t>DALARNAS LÄN</t>
        </is>
      </c>
      <c r="E384" t="inlineStr">
        <is>
          <t>LEKSAND</t>
        </is>
      </c>
      <c r="G384" t="n">
        <v>1.4</v>
      </c>
      <c r="H384" t="n">
        <v>0</v>
      </c>
      <c r="I384" t="n">
        <v>0</v>
      </c>
      <c r="J384" t="n">
        <v>0</v>
      </c>
      <c r="K384" t="n">
        <v>0</v>
      </c>
      <c r="L384" t="n">
        <v>0</v>
      </c>
      <c r="M384" t="n">
        <v>0</v>
      </c>
      <c r="N384" t="n">
        <v>0</v>
      </c>
      <c r="O384" t="n">
        <v>0</v>
      </c>
      <c r="P384" t="n">
        <v>0</v>
      </c>
      <c r="Q384" t="n">
        <v>0</v>
      </c>
      <c r="R384" s="2" t="inlineStr"/>
    </row>
    <row r="385" ht="15" customHeight="1">
      <c r="A385" t="inlineStr">
        <is>
          <t>A 17282-2025</t>
        </is>
      </c>
      <c r="B385" s="1" t="n">
        <v>45756.57114583333</v>
      </c>
      <c r="C385" s="1" t="n">
        <v>45933</v>
      </c>
      <c r="D385" t="inlineStr">
        <is>
          <t>DALARNAS LÄN</t>
        </is>
      </c>
      <c r="E385" t="inlineStr">
        <is>
          <t>LEKSAND</t>
        </is>
      </c>
      <c r="G385" t="n">
        <v>0.9</v>
      </c>
      <c r="H385" t="n">
        <v>0</v>
      </c>
      <c r="I385" t="n">
        <v>0</v>
      </c>
      <c r="J385" t="n">
        <v>0</v>
      </c>
      <c r="K385" t="n">
        <v>0</v>
      </c>
      <c r="L385" t="n">
        <v>0</v>
      </c>
      <c r="M385" t="n">
        <v>0</v>
      </c>
      <c r="N385" t="n">
        <v>0</v>
      </c>
      <c r="O385" t="n">
        <v>0</v>
      </c>
      <c r="P385" t="n">
        <v>0</v>
      </c>
      <c r="Q385" t="n">
        <v>0</v>
      </c>
      <c r="R385" s="2" t="inlineStr"/>
    </row>
    <row r="386" ht="15" customHeight="1">
      <c r="A386" t="inlineStr">
        <is>
          <t>A 12923-2025</t>
        </is>
      </c>
      <c r="B386" s="1" t="n">
        <v>45734.29193287037</v>
      </c>
      <c r="C386" s="1" t="n">
        <v>45933</v>
      </c>
      <c r="D386" t="inlineStr">
        <is>
          <t>DALARNAS LÄN</t>
        </is>
      </c>
      <c r="E386" t="inlineStr">
        <is>
          <t>LEKSAND</t>
        </is>
      </c>
      <c r="G386" t="n">
        <v>7.2</v>
      </c>
      <c r="H386" t="n">
        <v>0</v>
      </c>
      <c r="I386" t="n">
        <v>0</v>
      </c>
      <c r="J386" t="n">
        <v>0</v>
      </c>
      <c r="K386" t="n">
        <v>0</v>
      </c>
      <c r="L386" t="n">
        <v>0</v>
      </c>
      <c r="M386" t="n">
        <v>0</v>
      </c>
      <c r="N386" t="n">
        <v>0</v>
      </c>
      <c r="O386" t="n">
        <v>0</v>
      </c>
      <c r="P386" t="n">
        <v>0</v>
      </c>
      <c r="Q386" t="n">
        <v>0</v>
      </c>
      <c r="R386" s="2" t="inlineStr"/>
    </row>
    <row r="387" ht="15" customHeight="1">
      <c r="A387" t="inlineStr">
        <is>
          <t>A 6030-2025</t>
        </is>
      </c>
      <c r="B387" s="1" t="n">
        <v>45695</v>
      </c>
      <c r="C387" s="1" t="n">
        <v>45933</v>
      </c>
      <c r="D387" t="inlineStr">
        <is>
          <t>DALARNAS LÄN</t>
        </is>
      </c>
      <c r="E387" t="inlineStr">
        <is>
          <t>LEKSAND</t>
        </is>
      </c>
      <c r="G387" t="n">
        <v>1.4</v>
      </c>
      <c r="H387" t="n">
        <v>0</v>
      </c>
      <c r="I387" t="n">
        <v>0</v>
      </c>
      <c r="J387" t="n">
        <v>0</v>
      </c>
      <c r="K387" t="n">
        <v>0</v>
      </c>
      <c r="L387" t="n">
        <v>0</v>
      </c>
      <c r="M387" t="n">
        <v>0</v>
      </c>
      <c r="N387" t="n">
        <v>0</v>
      </c>
      <c r="O387" t="n">
        <v>0</v>
      </c>
      <c r="P387" t="n">
        <v>0</v>
      </c>
      <c r="Q387" t="n">
        <v>0</v>
      </c>
      <c r="R387" s="2" t="inlineStr"/>
    </row>
    <row r="388" ht="15" customHeight="1">
      <c r="A388" t="inlineStr">
        <is>
          <t>A 47503-2024</t>
        </is>
      </c>
      <c r="B388" s="1" t="n">
        <v>45587.60262731482</v>
      </c>
      <c r="C388" s="1" t="n">
        <v>45933</v>
      </c>
      <c r="D388" t="inlineStr">
        <is>
          <t>DALARNAS LÄN</t>
        </is>
      </c>
      <c r="E388" t="inlineStr">
        <is>
          <t>LEKSAND</t>
        </is>
      </c>
      <c r="G388" t="n">
        <v>3.6</v>
      </c>
      <c r="H388" t="n">
        <v>0</v>
      </c>
      <c r="I388" t="n">
        <v>0</v>
      </c>
      <c r="J388" t="n">
        <v>0</v>
      </c>
      <c r="K388" t="n">
        <v>0</v>
      </c>
      <c r="L388" t="n">
        <v>0</v>
      </c>
      <c r="M388" t="n">
        <v>0</v>
      </c>
      <c r="N388" t="n">
        <v>0</v>
      </c>
      <c r="O388" t="n">
        <v>0</v>
      </c>
      <c r="P388" t="n">
        <v>0</v>
      </c>
      <c r="Q388" t="n">
        <v>0</v>
      </c>
      <c r="R388" s="2" t="inlineStr"/>
    </row>
    <row r="389" ht="15" customHeight="1">
      <c r="A389" t="inlineStr">
        <is>
          <t>A 43875-2025</t>
        </is>
      </c>
      <c r="B389" s="1" t="n">
        <v>45912.67685185185</v>
      </c>
      <c r="C389" s="1" t="n">
        <v>45933</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2820-2024</t>
        </is>
      </c>
      <c r="B390" s="1" t="n">
        <v>45314.76287037037</v>
      </c>
      <c r="C390" s="1" t="n">
        <v>45933</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2822-2024</t>
        </is>
      </c>
      <c r="B391" s="1" t="n">
        <v>45314.76622685185</v>
      </c>
      <c r="C391" s="1" t="n">
        <v>45933</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51320-2023</t>
        </is>
      </c>
      <c r="B392" s="1" t="n">
        <v>45219.57456018519</v>
      </c>
      <c r="C392" s="1" t="n">
        <v>45933</v>
      </c>
      <c r="D392" t="inlineStr">
        <is>
          <t>DALARNAS LÄN</t>
        </is>
      </c>
      <c r="E392" t="inlineStr">
        <is>
          <t>LEKSAND</t>
        </is>
      </c>
      <c r="G392" t="n">
        <v>2.1</v>
      </c>
      <c r="H392" t="n">
        <v>0</v>
      </c>
      <c r="I392" t="n">
        <v>0</v>
      </c>
      <c r="J392" t="n">
        <v>0</v>
      </c>
      <c r="K392" t="n">
        <v>0</v>
      </c>
      <c r="L392" t="n">
        <v>0</v>
      </c>
      <c r="M392" t="n">
        <v>0</v>
      </c>
      <c r="N392" t="n">
        <v>0</v>
      </c>
      <c r="O392" t="n">
        <v>0</v>
      </c>
      <c r="P392" t="n">
        <v>0</v>
      </c>
      <c r="Q392" t="n">
        <v>0</v>
      </c>
      <c r="R392" s="2" t="inlineStr"/>
    </row>
    <row r="393" ht="15" customHeight="1">
      <c r="A393" t="inlineStr">
        <is>
          <t>A 12621-2025</t>
        </is>
      </c>
      <c r="B393" s="1" t="n">
        <v>45733.3575</v>
      </c>
      <c r="C393" s="1" t="n">
        <v>45933</v>
      </c>
      <c r="D393" t="inlineStr">
        <is>
          <t>DALARNAS LÄN</t>
        </is>
      </c>
      <c r="E393" t="inlineStr">
        <is>
          <t>LEKSAND</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53981-2024</t>
        </is>
      </c>
      <c r="B394" s="1" t="n">
        <v>45615</v>
      </c>
      <c r="C394" s="1" t="n">
        <v>45933</v>
      </c>
      <c r="D394" t="inlineStr">
        <is>
          <t>DALARNAS LÄN</t>
        </is>
      </c>
      <c r="E394" t="inlineStr">
        <is>
          <t>LEKSAND</t>
        </is>
      </c>
      <c r="G394" t="n">
        <v>5.4</v>
      </c>
      <c r="H394" t="n">
        <v>0</v>
      </c>
      <c r="I394" t="n">
        <v>0</v>
      </c>
      <c r="J394" t="n">
        <v>0</v>
      </c>
      <c r="K394" t="n">
        <v>0</v>
      </c>
      <c r="L394" t="n">
        <v>0</v>
      </c>
      <c r="M394" t="n">
        <v>0</v>
      </c>
      <c r="N394" t="n">
        <v>0</v>
      </c>
      <c r="O394" t="n">
        <v>0</v>
      </c>
      <c r="P394" t="n">
        <v>0</v>
      </c>
      <c r="Q394" t="n">
        <v>0</v>
      </c>
      <c r="R394" s="2" t="inlineStr"/>
    </row>
    <row r="395" ht="15" customHeight="1">
      <c r="A395" t="inlineStr">
        <is>
          <t>A 43630-2025</t>
        </is>
      </c>
      <c r="B395" s="1" t="n">
        <v>45911.70278935185</v>
      </c>
      <c r="C395" s="1" t="n">
        <v>45933</v>
      </c>
      <c r="D395" t="inlineStr">
        <is>
          <t>DALARNAS LÄN</t>
        </is>
      </c>
      <c r="E395" t="inlineStr">
        <is>
          <t>LEKSAND</t>
        </is>
      </c>
      <c r="G395" t="n">
        <v>4.7</v>
      </c>
      <c r="H395" t="n">
        <v>0</v>
      </c>
      <c r="I395" t="n">
        <v>0</v>
      </c>
      <c r="J395" t="n">
        <v>0</v>
      </c>
      <c r="K395" t="n">
        <v>0</v>
      </c>
      <c r="L395" t="n">
        <v>0</v>
      </c>
      <c r="M395" t="n">
        <v>0</v>
      </c>
      <c r="N395" t="n">
        <v>0</v>
      </c>
      <c r="O395" t="n">
        <v>0</v>
      </c>
      <c r="P395" t="n">
        <v>0</v>
      </c>
      <c r="Q395" t="n">
        <v>0</v>
      </c>
      <c r="R395" s="2" t="inlineStr"/>
    </row>
    <row r="396" ht="15" customHeight="1">
      <c r="A396" t="inlineStr">
        <is>
          <t>A 41308-2025</t>
        </is>
      </c>
      <c r="B396" s="1" t="n">
        <v>45898</v>
      </c>
      <c r="C396" s="1" t="n">
        <v>45933</v>
      </c>
      <c r="D396" t="inlineStr">
        <is>
          <t>DALARNAS LÄN</t>
        </is>
      </c>
      <c r="E396" t="inlineStr">
        <is>
          <t>LEKSAND</t>
        </is>
      </c>
      <c r="F396" t="inlineStr">
        <is>
          <t>Bergvik skog väst AB</t>
        </is>
      </c>
      <c r="G396" t="n">
        <v>6.7</v>
      </c>
      <c r="H396" t="n">
        <v>0</v>
      </c>
      <c r="I396" t="n">
        <v>0</v>
      </c>
      <c r="J396" t="n">
        <v>0</v>
      </c>
      <c r="K396" t="n">
        <v>0</v>
      </c>
      <c r="L396" t="n">
        <v>0</v>
      </c>
      <c r="M396" t="n">
        <v>0</v>
      </c>
      <c r="N396" t="n">
        <v>0</v>
      </c>
      <c r="O396" t="n">
        <v>0</v>
      </c>
      <c r="P396" t="n">
        <v>0</v>
      </c>
      <c r="Q396" t="n">
        <v>0</v>
      </c>
      <c r="R396" s="2" t="inlineStr"/>
    </row>
    <row r="397" ht="15" customHeight="1">
      <c r="A397" t="inlineStr">
        <is>
          <t>A 43629-2025</t>
        </is>
      </c>
      <c r="B397" s="1" t="n">
        <v>45911.70180555555</v>
      </c>
      <c r="C397" s="1" t="n">
        <v>45933</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17589-2025</t>
        </is>
      </c>
      <c r="B398" s="1" t="n">
        <v>45757.67844907408</v>
      </c>
      <c r="C398" s="1" t="n">
        <v>45933</v>
      </c>
      <c r="D398" t="inlineStr">
        <is>
          <t>DALARNAS LÄN</t>
        </is>
      </c>
      <c r="E398" t="inlineStr">
        <is>
          <t>LEKSAND</t>
        </is>
      </c>
      <c r="G398" t="n">
        <v>5.8</v>
      </c>
      <c r="H398" t="n">
        <v>0</v>
      </c>
      <c r="I398" t="n">
        <v>0</v>
      </c>
      <c r="J398" t="n">
        <v>0</v>
      </c>
      <c r="K398" t="n">
        <v>0</v>
      </c>
      <c r="L398" t="n">
        <v>0</v>
      </c>
      <c r="M398" t="n">
        <v>0</v>
      </c>
      <c r="N398" t="n">
        <v>0</v>
      </c>
      <c r="O398" t="n">
        <v>0</v>
      </c>
      <c r="P398" t="n">
        <v>0</v>
      </c>
      <c r="Q398" t="n">
        <v>0</v>
      </c>
      <c r="R398" s="2" t="inlineStr"/>
    </row>
    <row r="399" ht="15" customHeight="1">
      <c r="A399" t="inlineStr">
        <is>
          <t>A 164-2023</t>
        </is>
      </c>
      <c r="B399" s="1" t="n">
        <v>44918</v>
      </c>
      <c r="C399" s="1" t="n">
        <v>45933</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44516-2025</t>
        </is>
      </c>
      <c r="B400" s="1" t="n">
        <v>45916.70982638889</v>
      </c>
      <c r="C400" s="1" t="n">
        <v>45933</v>
      </c>
      <c r="D400" t="inlineStr">
        <is>
          <t>DALARNAS LÄN</t>
        </is>
      </c>
      <c r="E400" t="inlineStr">
        <is>
          <t>LEKSAND</t>
        </is>
      </c>
      <c r="G400" t="n">
        <v>1.8</v>
      </c>
      <c r="H400" t="n">
        <v>0</v>
      </c>
      <c r="I400" t="n">
        <v>0</v>
      </c>
      <c r="J400" t="n">
        <v>0</v>
      </c>
      <c r="K400" t="n">
        <v>0</v>
      </c>
      <c r="L400" t="n">
        <v>0</v>
      </c>
      <c r="M400" t="n">
        <v>0</v>
      </c>
      <c r="N400" t="n">
        <v>0</v>
      </c>
      <c r="O400" t="n">
        <v>0</v>
      </c>
      <c r="P400" t="n">
        <v>0</v>
      </c>
      <c r="Q400" t="n">
        <v>0</v>
      </c>
      <c r="R400" s="2" t="inlineStr"/>
    </row>
    <row r="401" ht="15" customHeight="1">
      <c r="A401" t="inlineStr">
        <is>
          <t>A 51677-2024</t>
        </is>
      </c>
      <c r="B401" s="1" t="n">
        <v>45607.30265046296</v>
      </c>
      <c r="C401" s="1" t="n">
        <v>45933</v>
      </c>
      <c r="D401" t="inlineStr">
        <is>
          <t>DALARNAS LÄN</t>
        </is>
      </c>
      <c r="E401" t="inlineStr">
        <is>
          <t>LEKSAND</t>
        </is>
      </c>
      <c r="G401" t="n">
        <v>3.4</v>
      </c>
      <c r="H401" t="n">
        <v>0</v>
      </c>
      <c r="I401" t="n">
        <v>0</v>
      </c>
      <c r="J401" t="n">
        <v>0</v>
      </c>
      <c r="K401" t="n">
        <v>0</v>
      </c>
      <c r="L401" t="n">
        <v>0</v>
      </c>
      <c r="M401" t="n">
        <v>0</v>
      </c>
      <c r="N401" t="n">
        <v>0</v>
      </c>
      <c r="O401" t="n">
        <v>0</v>
      </c>
      <c r="P401" t="n">
        <v>0</v>
      </c>
      <c r="Q401" t="n">
        <v>0</v>
      </c>
      <c r="R401" s="2" t="inlineStr"/>
    </row>
    <row r="402" ht="15" customHeight="1">
      <c r="A402" t="inlineStr">
        <is>
          <t>A 11740-2025</t>
        </is>
      </c>
      <c r="B402" s="1" t="n">
        <v>45727.62582175926</v>
      </c>
      <c r="C402" s="1" t="n">
        <v>45933</v>
      </c>
      <c r="D402" t="inlineStr">
        <is>
          <t>DALARNAS LÄN</t>
        </is>
      </c>
      <c r="E402" t="inlineStr">
        <is>
          <t>LEKSAND</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44519-2025</t>
        </is>
      </c>
      <c r="B403" s="1" t="n">
        <v>45916.71483796297</v>
      </c>
      <c r="C403" s="1" t="n">
        <v>45933</v>
      </c>
      <c r="D403" t="inlineStr">
        <is>
          <t>DALARNAS LÄN</t>
        </is>
      </c>
      <c r="E403" t="inlineStr">
        <is>
          <t>LEKSAND</t>
        </is>
      </c>
      <c r="G403" t="n">
        <v>3.6</v>
      </c>
      <c r="H403" t="n">
        <v>0</v>
      </c>
      <c r="I403" t="n">
        <v>0</v>
      </c>
      <c r="J403" t="n">
        <v>0</v>
      </c>
      <c r="K403" t="n">
        <v>0</v>
      </c>
      <c r="L403" t="n">
        <v>0</v>
      </c>
      <c r="M403" t="n">
        <v>0</v>
      </c>
      <c r="N403" t="n">
        <v>0</v>
      </c>
      <c r="O403" t="n">
        <v>0</v>
      </c>
      <c r="P403" t="n">
        <v>0</v>
      </c>
      <c r="Q403" t="n">
        <v>0</v>
      </c>
      <c r="R403" s="2" t="inlineStr"/>
    </row>
    <row r="404" ht="15" customHeight="1">
      <c r="A404" t="inlineStr">
        <is>
          <t>A 51377-2023</t>
        </is>
      </c>
      <c r="B404" s="1" t="n">
        <v>45219</v>
      </c>
      <c r="C404" s="1" t="n">
        <v>45933</v>
      </c>
      <c r="D404" t="inlineStr">
        <is>
          <t>DALARNAS LÄN</t>
        </is>
      </c>
      <c r="E404" t="inlineStr">
        <is>
          <t>LEKSAND</t>
        </is>
      </c>
      <c r="G404" t="n">
        <v>0.9</v>
      </c>
      <c r="H404" t="n">
        <v>0</v>
      </c>
      <c r="I404" t="n">
        <v>0</v>
      </c>
      <c r="J404" t="n">
        <v>0</v>
      </c>
      <c r="K404" t="n">
        <v>0</v>
      </c>
      <c r="L404" t="n">
        <v>0</v>
      </c>
      <c r="M404" t="n">
        <v>0</v>
      </c>
      <c r="N404" t="n">
        <v>0</v>
      </c>
      <c r="O404" t="n">
        <v>0</v>
      </c>
      <c r="P404" t="n">
        <v>0</v>
      </c>
      <c r="Q404" t="n">
        <v>0</v>
      </c>
      <c r="R404" s="2" t="inlineStr"/>
    </row>
    <row r="405" ht="15" customHeight="1">
      <c r="A405" t="inlineStr">
        <is>
          <t>A 59859-2023</t>
        </is>
      </c>
      <c r="B405" s="1" t="n">
        <v>45257</v>
      </c>
      <c r="C405" s="1" t="n">
        <v>45933</v>
      </c>
      <c r="D405" t="inlineStr">
        <is>
          <t>DALARNAS LÄN</t>
        </is>
      </c>
      <c r="E405" t="inlineStr">
        <is>
          <t>LEKSAND</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44237-2025</t>
        </is>
      </c>
      <c r="B406" s="1" t="n">
        <v>45915.6677199074</v>
      </c>
      <c r="C406" s="1" t="n">
        <v>45933</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19330-2025</t>
        </is>
      </c>
      <c r="B407" s="1" t="n">
        <v>45769</v>
      </c>
      <c r="C407" s="1" t="n">
        <v>45933</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45943-2022</t>
        </is>
      </c>
      <c r="B408" s="1" t="n">
        <v>44846.64418981481</v>
      </c>
      <c r="C408" s="1" t="n">
        <v>45933</v>
      </c>
      <c r="D408" t="inlineStr">
        <is>
          <t>DALARNAS LÄN</t>
        </is>
      </c>
      <c r="E408" t="inlineStr">
        <is>
          <t>LEKSAND</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47640-2024</t>
        </is>
      </c>
      <c r="B409" s="1" t="n">
        <v>45588.36508101852</v>
      </c>
      <c r="C409" s="1" t="n">
        <v>45933</v>
      </c>
      <c r="D409" t="inlineStr">
        <is>
          <t>DALARNAS LÄN</t>
        </is>
      </c>
      <c r="E409" t="inlineStr">
        <is>
          <t>LEKSAND</t>
        </is>
      </c>
      <c r="G409" t="n">
        <v>9.1</v>
      </c>
      <c r="H409" t="n">
        <v>0</v>
      </c>
      <c r="I409" t="n">
        <v>0</v>
      </c>
      <c r="J409" t="n">
        <v>0</v>
      </c>
      <c r="K409" t="n">
        <v>0</v>
      </c>
      <c r="L409" t="n">
        <v>0</v>
      </c>
      <c r="M409" t="n">
        <v>0</v>
      </c>
      <c r="N409" t="n">
        <v>0</v>
      </c>
      <c r="O409" t="n">
        <v>0</v>
      </c>
      <c r="P409" t="n">
        <v>0</v>
      </c>
      <c r="Q409" t="n">
        <v>0</v>
      </c>
      <c r="R409" s="2" t="inlineStr"/>
    </row>
    <row r="410" ht="15" customHeight="1">
      <c r="A410" t="inlineStr">
        <is>
          <t>A 46949-2025</t>
        </is>
      </c>
      <c r="B410" s="1" t="n">
        <v>45929.46811342592</v>
      </c>
      <c r="C410" s="1" t="n">
        <v>45933</v>
      </c>
      <c r="D410" t="inlineStr">
        <is>
          <t>DALARNAS LÄN</t>
        </is>
      </c>
      <c r="E410" t="inlineStr">
        <is>
          <t>LEKSAND</t>
        </is>
      </c>
      <c r="G410" t="n">
        <v>5</v>
      </c>
      <c r="H410" t="n">
        <v>0</v>
      </c>
      <c r="I410" t="n">
        <v>0</v>
      </c>
      <c r="J410" t="n">
        <v>0</v>
      </c>
      <c r="K410" t="n">
        <v>0</v>
      </c>
      <c r="L410" t="n">
        <v>0</v>
      </c>
      <c r="M410" t="n">
        <v>0</v>
      </c>
      <c r="N410" t="n">
        <v>0</v>
      </c>
      <c r="O410" t="n">
        <v>0</v>
      </c>
      <c r="P410" t="n">
        <v>0</v>
      </c>
      <c r="Q410" t="n">
        <v>0</v>
      </c>
      <c r="R410" s="2" t="inlineStr"/>
    </row>
    <row r="411" ht="15" customHeight="1">
      <c r="A411" t="inlineStr">
        <is>
          <t>A 44491-2023</t>
        </is>
      </c>
      <c r="B411" s="1" t="n">
        <v>45183</v>
      </c>
      <c r="C411" s="1" t="n">
        <v>45933</v>
      </c>
      <c r="D411" t="inlineStr">
        <is>
          <t>DALARNAS LÄN</t>
        </is>
      </c>
      <c r="E411" t="inlineStr">
        <is>
          <t>LEKSAND</t>
        </is>
      </c>
      <c r="G411" t="n">
        <v>2.6</v>
      </c>
      <c r="H411" t="n">
        <v>0</v>
      </c>
      <c r="I411" t="n">
        <v>0</v>
      </c>
      <c r="J411" t="n">
        <v>0</v>
      </c>
      <c r="K411" t="n">
        <v>0</v>
      </c>
      <c r="L411" t="n">
        <v>0</v>
      </c>
      <c r="M411" t="n">
        <v>0</v>
      </c>
      <c r="N411" t="n">
        <v>0</v>
      </c>
      <c r="O411" t="n">
        <v>0</v>
      </c>
      <c r="P411" t="n">
        <v>0</v>
      </c>
      <c r="Q411" t="n">
        <v>0</v>
      </c>
      <c r="R411" s="2" t="inlineStr"/>
    </row>
    <row r="412" ht="15" customHeight="1">
      <c r="A412" t="inlineStr">
        <is>
          <t>A 33001-2023</t>
        </is>
      </c>
      <c r="B412" s="1" t="n">
        <v>45125</v>
      </c>
      <c r="C412" s="1" t="n">
        <v>45933</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7897-2025</t>
        </is>
      </c>
      <c r="B413" s="1" t="n">
        <v>45707.30969907407</v>
      </c>
      <c r="C413" s="1" t="n">
        <v>45933</v>
      </c>
      <c r="D413" t="inlineStr">
        <is>
          <t>DALARNAS LÄN</t>
        </is>
      </c>
      <c r="E413" t="inlineStr">
        <is>
          <t>LEKSAND</t>
        </is>
      </c>
      <c r="G413" t="n">
        <v>3.1</v>
      </c>
      <c r="H413" t="n">
        <v>0</v>
      </c>
      <c r="I413" t="n">
        <v>0</v>
      </c>
      <c r="J413" t="n">
        <v>0</v>
      </c>
      <c r="K413" t="n">
        <v>0</v>
      </c>
      <c r="L413" t="n">
        <v>0</v>
      </c>
      <c r="M413" t="n">
        <v>0</v>
      </c>
      <c r="N413" t="n">
        <v>0</v>
      </c>
      <c r="O413" t="n">
        <v>0</v>
      </c>
      <c r="P413" t="n">
        <v>0</v>
      </c>
      <c r="Q413" t="n">
        <v>0</v>
      </c>
      <c r="R413" s="2" t="inlineStr"/>
    </row>
    <row r="414" ht="15" customHeight="1">
      <c r="A414" t="inlineStr">
        <is>
          <t>A 60878-2023</t>
        </is>
      </c>
      <c r="B414" s="1" t="n">
        <v>45259</v>
      </c>
      <c r="C414" s="1" t="n">
        <v>45933</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38721-2025</t>
        </is>
      </c>
      <c r="B415" s="1" t="n">
        <v>45886.83605324074</v>
      </c>
      <c r="C415" s="1" t="n">
        <v>45933</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33674-2023</t>
        </is>
      </c>
      <c r="B416" s="1" t="n">
        <v>45132</v>
      </c>
      <c r="C416" s="1" t="n">
        <v>45933</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61502-2023</t>
        </is>
      </c>
      <c r="B417" s="1" t="n">
        <v>45264</v>
      </c>
      <c r="C417" s="1" t="n">
        <v>45933</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28965-2023</t>
        </is>
      </c>
      <c r="B418" s="1" t="n">
        <v>45104</v>
      </c>
      <c r="C418" s="1" t="n">
        <v>45933</v>
      </c>
      <c r="D418" t="inlineStr">
        <is>
          <t>DALARNAS LÄN</t>
        </is>
      </c>
      <c r="E418" t="inlineStr">
        <is>
          <t>LEKSAND</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47068-2025</t>
        </is>
      </c>
      <c r="B419" s="1" t="n">
        <v>45929.63511574074</v>
      </c>
      <c r="C419" s="1" t="n">
        <v>45933</v>
      </c>
      <c r="D419" t="inlineStr">
        <is>
          <t>DALARNAS LÄN</t>
        </is>
      </c>
      <c r="E419" t="inlineStr">
        <is>
          <t>LEKSAND</t>
        </is>
      </c>
      <c r="G419" t="n">
        <v>3.4</v>
      </c>
      <c r="H419" t="n">
        <v>0</v>
      </c>
      <c r="I419" t="n">
        <v>0</v>
      </c>
      <c r="J419" t="n">
        <v>0</v>
      </c>
      <c r="K419" t="n">
        <v>0</v>
      </c>
      <c r="L419" t="n">
        <v>0</v>
      </c>
      <c r="M419" t="n">
        <v>0</v>
      </c>
      <c r="N419" t="n">
        <v>0</v>
      </c>
      <c r="O419" t="n">
        <v>0</v>
      </c>
      <c r="P419" t="n">
        <v>0</v>
      </c>
      <c r="Q419" t="n">
        <v>0</v>
      </c>
      <c r="R419" s="2" t="inlineStr"/>
    </row>
    <row r="420" ht="15" customHeight="1">
      <c r="A420" t="inlineStr">
        <is>
          <t>A 44672-2025</t>
        </is>
      </c>
      <c r="B420" s="1" t="n">
        <v>45917.56780092593</v>
      </c>
      <c r="C420" s="1" t="n">
        <v>45933</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46978-2025</t>
        </is>
      </c>
      <c r="B421" s="1" t="n">
        <v>45929.51811342593</v>
      </c>
      <c r="C421" s="1" t="n">
        <v>45933</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1719-2024</t>
        </is>
      </c>
      <c r="B422" s="1" t="n">
        <v>45307</v>
      </c>
      <c r="C422" s="1" t="n">
        <v>45933</v>
      </c>
      <c r="D422" t="inlineStr">
        <is>
          <t>DALARNAS LÄN</t>
        </is>
      </c>
      <c r="E422" t="inlineStr">
        <is>
          <t>LEKSAND</t>
        </is>
      </c>
      <c r="G422" t="n">
        <v>2.8</v>
      </c>
      <c r="H422" t="n">
        <v>0</v>
      </c>
      <c r="I422" t="n">
        <v>0</v>
      </c>
      <c r="J422" t="n">
        <v>0</v>
      </c>
      <c r="K422" t="n">
        <v>0</v>
      </c>
      <c r="L422" t="n">
        <v>0</v>
      </c>
      <c r="M422" t="n">
        <v>0</v>
      </c>
      <c r="N422" t="n">
        <v>0</v>
      </c>
      <c r="O422" t="n">
        <v>0</v>
      </c>
      <c r="P422" t="n">
        <v>0</v>
      </c>
      <c r="Q422" t="n">
        <v>0</v>
      </c>
      <c r="R422" s="2" t="inlineStr"/>
    </row>
    <row r="423" ht="15" customHeight="1">
      <c r="A423" t="inlineStr">
        <is>
          <t>A 16135-2023</t>
        </is>
      </c>
      <c r="B423" s="1" t="n">
        <v>45027.63717592593</v>
      </c>
      <c r="C423" s="1" t="n">
        <v>45933</v>
      </c>
      <c r="D423" t="inlineStr">
        <is>
          <t>DALARNAS LÄN</t>
        </is>
      </c>
      <c r="E423" t="inlineStr">
        <is>
          <t>LEKSAND</t>
        </is>
      </c>
      <c r="G423" t="n">
        <v>4.9</v>
      </c>
      <c r="H423" t="n">
        <v>0</v>
      </c>
      <c r="I423" t="n">
        <v>0</v>
      </c>
      <c r="J423" t="n">
        <v>0</v>
      </c>
      <c r="K423" t="n">
        <v>0</v>
      </c>
      <c r="L423" t="n">
        <v>0</v>
      </c>
      <c r="M423" t="n">
        <v>0</v>
      </c>
      <c r="N423" t="n">
        <v>0</v>
      </c>
      <c r="O423" t="n">
        <v>0</v>
      </c>
      <c r="P423" t="n">
        <v>0</v>
      </c>
      <c r="Q423" t="n">
        <v>0</v>
      </c>
      <c r="R423" s="2" t="inlineStr"/>
    </row>
    <row r="424" ht="15" customHeight="1">
      <c r="A424" t="inlineStr">
        <is>
          <t>A 30198-2024</t>
        </is>
      </c>
      <c r="B424" s="1" t="n">
        <v>45490.34765046297</v>
      </c>
      <c r="C424" s="1" t="n">
        <v>45933</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16744-2025</t>
        </is>
      </c>
      <c r="B425" s="1" t="n">
        <v>45754</v>
      </c>
      <c r="C425" s="1" t="n">
        <v>45933</v>
      </c>
      <c r="D425" t="inlineStr">
        <is>
          <t>DALARNAS LÄN</t>
        </is>
      </c>
      <c r="E425" t="inlineStr">
        <is>
          <t>LEKSAND</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10373-2023</t>
        </is>
      </c>
      <c r="B426" s="1" t="n">
        <v>44987</v>
      </c>
      <c r="C426" s="1" t="n">
        <v>45933</v>
      </c>
      <c r="D426" t="inlineStr">
        <is>
          <t>DALARNAS LÄN</t>
        </is>
      </c>
      <c r="E426" t="inlineStr">
        <is>
          <t>LEKSAND</t>
        </is>
      </c>
      <c r="G426" t="n">
        <v>0.3</v>
      </c>
      <c r="H426" t="n">
        <v>0</v>
      </c>
      <c r="I426" t="n">
        <v>0</v>
      </c>
      <c r="J426" t="n">
        <v>0</v>
      </c>
      <c r="K426" t="n">
        <v>0</v>
      </c>
      <c r="L426" t="n">
        <v>0</v>
      </c>
      <c r="M426" t="n">
        <v>0</v>
      </c>
      <c r="N426" t="n">
        <v>0</v>
      </c>
      <c r="O426" t="n">
        <v>0</v>
      </c>
      <c r="P426" t="n">
        <v>0</v>
      </c>
      <c r="Q426" t="n">
        <v>0</v>
      </c>
      <c r="R426" s="2" t="inlineStr"/>
    </row>
    <row r="427" ht="15" customHeight="1">
      <c r="A427" t="inlineStr">
        <is>
          <t>A 44948-2025</t>
        </is>
      </c>
      <c r="B427" s="1" t="n">
        <v>45918.60555555556</v>
      </c>
      <c r="C427" s="1" t="n">
        <v>45933</v>
      </c>
      <c r="D427" t="inlineStr">
        <is>
          <t>DALARNAS LÄN</t>
        </is>
      </c>
      <c r="E427" t="inlineStr">
        <is>
          <t>LEKSAND</t>
        </is>
      </c>
      <c r="G427" t="n">
        <v>5.1</v>
      </c>
      <c r="H427" t="n">
        <v>0</v>
      </c>
      <c r="I427" t="n">
        <v>0</v>
      </c>
      <c r="J427" t="n">
        <v>0</v>
      </c>
      <c r="K427" t="n">
        <v>0</v>
      </c>
      <c r="L427" t="n">
        <v>0</v>
      </c>
      <c r="M427" t="n">
        <v>0</v>
      </c>
      <c r="N427" t="n">
        <v>0</v>
      </c>
      <c r="O427" t="n">
        <v>0</v>
      </c>
      <c r="P427" t="n">
        <v>0</v>
      </c>
      <c r="Q427" t="n">
        <v>0</v>
      </c>
      <c r="R427" s="2" t="inlineStr"/>
    </row>
    <row r="428" ht="15" customHeight="1">
      <c r="A428" t="inlineStr">
        <is>
          <t>A 39546-2025</t>
        </is>
      </c>
      <c r="B428" s="1" t="n">
        <v>45890.45706018519</v>
      </c>
      <c r="C428" s="1" t="n">
        <v>45933</v>
      </c>
      <c r="D428" t="inlineStr">
        <is>
          <t>DALARNAS LÄN</t>
        </is>
      </c>
      <c r="E428" t="inlineStr">
        <is>
          <t>LEKSAND</t>
        </is>
      </c>
      <c r="G428" t="n">
        <v>4.6</v>
      </c>
      <c r="H428" t="n">
        <v>0</v>
      </c>
      <c r="I428" t="n">
        <v>0</v>
      </c>
      <c r="J428" t="n">
        <v>0</v>
      </c>
      <c r="K428" t="n">
        <v>0</v>
      </c>
      <c r="L428" t="n">
        <v>0</v>
      </c>
      <c r="M428" t="n">
        <v>0</v>
      </c>
      <c r="N428" t="n">
        <v>0</v>
      </c>
      <c r="O428" t="n">
        <v>0</v>
      </c>
      <c r="P428" t="n">
        <v>0</v>
      </c>
      <c r="Q428" t="n">
        <v>0</v>
      </c>
      <c r="R428" s="2" t="inlineStr"/>
    </row>
    <row r="429" ht="15" customHeight="1">
      <c r="A429" t="inlineStr">
        <is>
          <t>A 39572-2025</t>
        </is>
      </c>
      <c r="B429" s="1" t="n">
        <v>45890</v>
      </c>
      <c r="C429" s="1" t="n">
        <v>45933</v>
      </c>
      <c r="D429" t="inlineStr">
        <is>
          <t>DALARNAS LÄN</t>
        </is>
      </c>
      <c r="E429" t="inlineStr">
        <is>
          <t>LEKSAND</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47976-2025</t>
        </is>
      </c>
      <c r="B430" s="1" t="n">
        <v>45932.60846064815</v>
      </c>
      <c r="C430" s="1" t="n">
        <v>45933</v>
      </c>
      <c r="D430" t="inlineStr">
        <is>
          <t>DALARNAS LÄN</t>
        </is>
      </c>
      <c r="E430" t="inlineStr">
        <is>
          <t>LEKSAND</t>
        </is>
      </c>
      <c r="F430" t="inlineStr">
        <is>
          <t>Bergvik skog väst AB</t>
        </is>
      </c>
      <c r="G430" t="n">
        <v>0.3</v>
      </c>
      <c r="H430" t="n">
        <v>0</v>
      </c>
      <c r="I430" t="n">
        <v>0</v>
      </c>
      <c r="J430" t="n">
        <v>0</v>
      </c>
      <c r="K430" t="n">
        <v>0</v>
      </c>
      <c r="L430" t="n">
        <v>0</v>
      </c>
      <c r="M430" t="n">
        <v>0</v>
      </c>
      <c r="N430" t="n">
        <v>0</v>
      </c>
      <c r="O430" t="n">
        <v>0</v>
      </c>
      <c r="P430" t="n">
        <v>0</v>
      </c>
      <c r="Q430" t="n">
        <v>0</v>
      </c>
      <c r="R430" s="2" t="inlineStr"/>
    </row>
    <row r="431" ht="15" customHeight="1">
      <c r="A431" t="inlineStr">
        <is>
          <t>A 47977-2025</t>
        </is>
      </c>
      <c r="B431" s="1" t="n">
        <v>45932.60920138889</v>
      </c>
      <c r="C431" s="1" t="n">
        <v>45933</v>
      </c>
      <c r="D431" t="inlineStr">
        <is>
          <t>DALARNAS LÄN</t>
        </is>
      </c>
      <c r="E431" t="inlineStr">
        <is>
          <t>LEKSAND</t>
        </is>
      </c>
      <c r="F431" t="inlineStr">
        <is>
          <t>Bergvik skog väst AB</t>
        </is>
      </c>
      <c r="G431" t="n">
        <v>0.2</v>
      </c>
      <c r="H431" t="n">
        <v>0</v>
      </c>
      <c r="I431" t="n">
        <v>0</v>
      </c>
      <c r="J431" t="n">
        <v>0</v>
      </c>
      <c r="K431" t="n">
        <v>0</v>
      </c>
      <c r="L431" t="n">
        <v>0</v>
      </c>
      <c r="M431" t="n">
        <v>0</v>
      </c>
      <c r="N431" t="n">
        <v>0</v>
      </c>
      <c r="O431" t="n">
        <v>0</v>
      </c>
      <c r="P431" t="n">
        <v>0</v>
      </c>
      <c r="Q431" t="n">
        <v>0</v>
      </c>
      <c r="R431" s="2" t="inlineStr"/>
    </row>
    <row r="432" ht="15" customHeight="1">
      <c r="A432" t="inlineStr">
        <is>
          <t>A 37508-2025</t>
        </is>
      </c>
      <c r="B432" s="1" t="n">
        <v>45877.66282407408</v>
      </c>
      <c r="C432" s="1" t="n">
        <v>45933</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22349-2024</t>
        </is>
      </c>
      <c r="B433" s="1" t="n">
        <v>45446</v>
      </c>
      <c r="C433" s="1" t="n">
        <v>45933</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11617-2024</t>
        </is>
      </c>
      <c r="B434" s="1" t="n">
        <v>45373.42898148148</v>
      </c>
      <c r="C434" s="1" t="n">
        <v>45933</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33566-2023</t>
        </is>
      </c>
      <c r="B435" s="1" t="n">
        <v>45131.64390046296</v>
      </c>
      <c r="C435" s="1" t="n">
        <v>45933</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39569-2025</t>
        </is>
      </c>
      <c r="B436" s="1" t="n">
        <v>45890</v>
      </c>
      <c r="C436" s="1" t="n">
        <v>45933</v>
      </c>
      <c r="D436" t="inlineStr">
        <is>
          <t>DALARNAS LÄN</t>
        </is>
      </c>
      <c r="E436" t="inlineStr">
        <is>
          <t>LEKSAND</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16592-2023</t>
        </is>
      </c>
      <c r="B437" s="1" t="n">
        <v>45030</v>
      </c>
      <c r="C437" s="1" t="n">
        <v>45933</v>
      </c>
      <c r="D437" t="inlineStr">
        <is>
          <t>DALARNAS LÄN</t>
        </is>
      </c>
      <c r="E437" t="inlineStr">
        <is>
          <t>LEKSAND</t>
        </is>
      </c>
      <c r="G437" t="n">
        <v>11.5</v>
      </c>
      <c r="H437" t="n">
        <v>0</v>
      </c>
      <c r="I437" t="n">
        <v>0</v>
      </c>
      <c r="J437" t="n">
        <v>0</v>
      </c>
      <c r="K437" t="n">
        <v>0</v>
      </c>
      <c r="L437" t="n">
        <v>0</v>
      </c>
      <c r="M437" t="n">
        <v>0</v>
      </c>
      <c r="N437" t="n">
        <v>0</v>
      </c>
      <c r="O437" t="n">
        <v>0</v>
      </c>
      <c r="P437" t="n">
        <v>0</v>
      </c>
      <c r="Q437" t="n">
        <v>0</v>
      </c>
      <c r="R437" s="2" t="inlineStr"/>
    </row>
    <row r="438" ht="15" customHeight="1">
      <c r="A438" t="inlineStr">
        <is>
          <t>A 61953-2023</t>
        </is>
      </c>
      <c r="B438" s="1" t="n">
        <v>45266</v>
      </c>
      <c r="C438" s="1" t="n">
        <v>45933</v>
      </c>
      <c r="D438" t="inlineStr">
        <is>
          <t>DALARNAS LÄN</t>
        </is>
      </c>
      <c r="E438" t="inlineStr">
        <is>
          <t>LEKSAND</t>
        </is>
      </c>
      <c r="G438" t="n">
        <v>0.1</v>
      </c>
      <c r="H438" t="n">
        <v>0</v>
      </c>
      <c r="I438" t="n">
        <v>0</v>
      </c>
      <c r="J438" t="n">
        <v>0</v>
      </c>
      <c r="K438" t="n">
        <v>0</v>
      </c>
      <c r="L438" t="n">
        <v>0</v>
      </c>
      <c r="M438" t="n">
        <v>0</v>
      </c>
      <c r="N438" t="n">
        <v>0</v>
      </c>
      <c r="O438" t="n">
        <v>0</v>
      </c>
      <c r="P438" t="n">
        <v>0</v>
      </c>
      <c r="Q438" t="n">
        <v>0</v>
      </c>
      <c r="R438" s="2" t="inlineStr"/>
    </row>
    <row r="439" ht="15" customHeight="1">
      <c r="A439" t="inlineStr">
        <is>
          <t>A 45101-2025</t>
        </is>
      </c>
      <c r="B439" s="1" t="n">
        <v>45919.39679398148</v>
      </c>
      <c r="C439" s="1" t="n">
        <v>45933</v>
      </c>
      <c r="D439" t="inlineStr">
        <is>
          <t>DALARNAS LÄN</t>
        </is>
      </c>
      <c r="E439" t="inlineStr">
        <is>
          <t>LEKSAND</t>
        </is>
      </c>
      <c r="G439" t="n">
        <v>0.7</v>
      </c>
      <c r="H439" t="n">
        <v>0</v>
      </c>
      <c r="I439" t="n">
        <v>0</v>
      </c>
      <c r="J439" t="n">
        <v>0</v>
      </c>
      <c r="K439" t="n">
        <v>0</v>
      </c>
      <c r="L439" t="n">
        <v>0</v>
      </c>
      <c r="M439" t="n">
        <v>0</v>
      </c>
      <c r="N439" t="n">
        <v>0</v>
      </c>
      <c r="O439" t="n">
        <v>0</v>
      </c>
      <c r="P439" t="n">
        <v>0</v>
      </c>
      <c r="Q439" t="n">
        <v>0</v>
      </c>
      <c r="R439" s="2" t="inlineStr"/>
    </row>
    <row r="440" ht="15" customHeight="1">
      <c r="A440" t="inlineStr">
        <is>
          <t>A 58619-2022</t>
        </is>
      </c>
      <c r="B440" s="1" t="n">
        <v>44902.59579861111</v>
      </c>
      <c r="C440" s="1" t="n">
        <v>45933</v>
      </c>
      <c r="D440" t="inlineStr">
        <is>
          <t>DALARNAS LÄN</t>
        </is>
      </c>
      <c r="E440" t="inlineStr">
        <is>
          <t>LEKSAND</t>
        </is>
      </c>
      <c r="G440" t="n">
        <v>0.9</v>
      </c>
      <c r="H440" t="n">
        <v>0</v>
      </c>
      <c r="I440" t="n">
        <v>0</v>
      </c>
      <c r="J440" t="n">
        <v>0</v>
      </c>
      <c r="K440" t="n">
        <v>0</v>
      </c>
      <c r="L440" t="n">
        <v>0</v>
      </c>
      <c r="M440" t="n">
        <v>0</v>
      </c>
      <c r="N440" t="n">
        <v>0</v>
      </c>
      <c r="O440" t="n">
        <v>0</v>
      </c>
      <c r="P440" t="n">
        <v>0</v>
      </c>
      <c r="Q440" t="n">
        <v>0</v>
      </c>
      <c r="R440" s="2" t="inlineStr"/>
    </row>
    <row r="441" ht="15" customHeight="1">
      <c r="A441" t="inlineStr">
        <is>
          <t>A 7395-2025</t>
        </is>
      </c>
      <c r="B441" s="1" t="n">
        <v>45705.34516203704</v>
      </c>
      <c r="C441" s="1" t="n">
        <v>45933</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45300-2025</t>
        </is>
      </c>
      <c r="B442" s="1" t="n">
        <v>45921.30490740741</v>
      </c>
      <c r="C442" s="1" t="n">
        <v>45933</v>
      </c>
      <c r="D442" t="inlineStr">
        <is>
          <t>DALARNAS LÄN</t>
        </is>
      </c>
      <c r="E442" t="inlineStr">
        <is>
          <t>LEKSAND</t>
        </is>
      </c>
      <c r="G442" t="n">
        <v>2.3</v>
      </c>
      <c r="H442" t="n">
        <v>0</v>
      </c>
      <c r="I442" t="n">
        <v>0</v>
      </c>
      <c r="J442" t="n">
        <v>0</v>
      </c>
      <c r="K442" t="n">
        <v>0</v>
      </c>
      <c r="L442" t="n">
        <v>0</v>
      </c>
      <c r="M442" t="n">
        <v>0</v>
      </c>
      <c r="N442" t="n">
        <v>0</v>
      </c>
      <c r="O442" t="n">
        <v>0</v>
      </c>
      <c r="P442" t="n">
        <v>0</v>
      </c>
      <c r="Q442" t="n">
        <v>0</v>
      </c>
      <c r="R442" s="2" t="inlineStr"/>
    </row>
    <row r="443" ht="15" customHeight="1">
      <c r="A443" t="inlineStr">
        <is>
          <t>A 31971-2024</t>
        </is>
      </c>
      <c r="B443" s="1" t="n">
        <v>45510.55171296297</v>
      </c>
      <c r="C443" s="1" t="n">
        <v>45933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45318-2025</t>
        </is>
      </c>
      <c r="B444" s="1" t="n">
        <v>45921.85230324074</v>
      </c>
      <c r="C444" s="1" t="n">
        <v>45933</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45381-2025</t>
        </is>
      </c>
      <c r="B445" s="1" t="n">
        <v>45922.39989583333</v>
      </c>
      <c r="C445" s="1" t="n">
        <v>45933</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20946-2023</t>
        </is>
      </c>
      <c r="B446" s="1" t="n">
        <v>45061</v>
      </c>
      <c r="C446" s="1" t="n">
        <v>45933</v>
      </c>
      <c r="D446" t="inlineStr">
        <is>
          <t>DALARNAS LÄN</t>
        </is>
      </c>
      <c r="E446" t="inlineStr">
        <is>
          <t>LEKSAND</t>
        </is>
      </c>
      <c r="G446" t="n">
        <v>2.7</v>
      </c>
      <c r="H446" t="n">
        <v>0</v>
      </c>
      <c r="I446" t="n">
        <v>0</v>
      </c>
      <c r="J446" t="n">
        <v>0</v>
      </c>
      <c r="K446" t="n">
        <v>0</v>
      </c>
      <c r="L446" t="n">
        <v>0</v>
      </c>
      <c r="M446" t="n">
        <v>0</v>
      </c>
      <c r="N446" t="n">
        <v>0</v>
      </c>
      <c r="O446" t="n">
        <v>0</v>
      </c>
      <c r="P446" t="n">
        <v>0</v>
      </c>
      <c r="Q446" t="n">
        <v>0</v>
      </c>
      <c r="R446" s="2" t="inlineStr"/>
    </row>
    <row r="447" ht="15" customHeight="1">
      <c r="A447" t="inlineStr">
        <is>
          <t>A 61225-2023</t>
        </is>
      </c>
      <c r="B447" s="1" t="n">
        <v>45264</v>
      </c>
      <c r="C447" s="1" t="n">
        <v>45933</v>
      </c>
      <c r="D447" t="inlineStr">
        <is>
          <t>DALARNAS LÄN</t>
        </is>
      </c>
      <c r="E447" t="inlineStr">
        <is>
          <t>LEKSAND</t>
        </is>
      </c>
      <c r="G447" t="n">
        <v>7</v>
      </c>
      <c r="H447" t="n">
        <v>0</v>
      </c>
      <c r="I447" t="n">
        <v>0</v>
      </c>
      <c r="J447" t="n">
        <v>0</v>
      </c>
      <c r="K447" t="n">
        <v>0</v>
      </c>
      <c r="L447" t="n">
        <v>0</v>
      </c>
      <c r="M447" t="n">
        <v>0</v>
      </c>
      <c r="N447" t="n">
        <v>0</v>
      </c>
      <c r="O447" t="n">
        <v>0</v>
      </c>
      <c r="P447" t="n">
        <v>0</v>
      </c>
      <c r="Q447" t="n">
        <v>0</v>
      </c>
      <c r="R447" s="2" t="inlineStr"/>
    </row>
    <row r="448" ht="15" customHeight="1">
      <c r="A448" t="inlineStr">
        <is>
          <t>A 61252-2023</t>
        </is>
      </c>
      <c r="B448" s="1" t="n">
        <v>45261</v>
      </c>
      <c r="C448" s="1" t="n">
        <v>45933</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61546-2021</t>
        </is>
      </c>
      <c r="B449" s="1" t="n">
        <v>44501</v>
      </c>
      <c r="C449" s="1" t="n">
        <v>45933</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7653-2025</t>
        </is>
      </c>
      <c r="B450" s="1" t="n">
        <v>45705.95238425926</v>
      </c>
      <c r="C450" s="1" t="n">
        <v>45933</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39516-2025</t>
        </is>
      </c>
      <c r="B451" s="1" t="n">
        <v>45890.42633101852</v>
      </c>
      <c r="C451" s="1" t="n">
        <v>45933</v>
      </c>
      <c r="D451" t="inlineStr">
        <is>
          <t>DALARNAS LÄN</t>
        </is>
      </c>
      <c r="E451" t="inlineStr">
        <is>
          <t>LEKSAND</t>
        </is>
      </c>
      <c r="G451" t="n">
        <v>3.6</v>
      </c>
      <c r="H451" t="n">
        <v>0</v>
      </c>
      <c r="I451" t="n">
        <v>0</v>
      </c>
      <c r="J451" t="n">
        <v>0</v>
      </c>
      <c r="K451" t="n">
        <v>0</v>
      </c>
      <c r="L451" t="n">
        <v>0</v>
      </c>
      <c r="M451" t="n">
        <v>0</v>
      </c>
      <c r="N451" t="n">
        <v>0</v>
      </c>
      <c r="O451" t="n">
        <v>0</v>
      </c>
      <c r="P451" t="n">
        <v>0</v>
      </c>
      <c r="Q451" t="n">
        <v>0</v>
      </c>
      <c r="R451" s="2" t="inlineStr"/>
    </row>
    <row r="452" ht="15" customHeight="1">
      <c r="A452" t="inlineStr">
        <is>
          <t>A 41853-2023</t>
        </is>
      </c>
      <c r="B452" s="1" t="n">
        <v>45176.62483796296</v>
      </c>
      <c r="C452" s="1" t="n">
        <v>45933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39660-2025</t>
        </is>
      </c>
      <c r="B453" s="1" t="n">
        <v>45890.63006944444</v>
      </c>
      <c r="C453" s="1" t="n">
        <v>45933</v>
      </c>
      <c r="D453" t="inlineStr">
        <is>
          <t>DALARNAS LÄN</t>
        </is>
      </c>
      <c r="E453" t="inlineStr">
        <is>
          <t>LEKSAND</t>
        </is>
      </c>
      <c r="F453" t="inlineStr">
        <is>
          <t>Bergvik skog väst AB</t>
        </is>
      </c>
      <c r="G453" t="n">
        <v>5.8</v>
      </c>
      <c r="H453" t="n">
        <v>0</v>
      </c>
      <c r="I453" t="n">
        <v>0</v>
      </c>
      <c r="J453" t="n">
        <v>0</v>
      </c>
      <c r="K453" t="n">
        <v>0</v>
      </c>
      <c r="L453" t="n">
        <v>0</v>
      </c>
      <c r="M453" t="n">
        <v>0</v>
      </c>
      <c r="N453" t="n">
        <v>0</v>
      </c>
      <c r="O453" t="n">
        <v>0</v>
      </c>
      <c r="P453" t="n">
        <v>0</v>
      </c>
      <c r="Q453" t="n">
        <v>0</v>
      </c>
      <c r="R453" s="2" t="inlineStr"/>
    </row>
    <row r="454" ht="15" customHeight="1">
      <c r="A454" t="inlineStr">
        <is>
          <t>A 39693-2025</t>
        </is>
      </c>
      <c r="B454" s="1" t="n">
        <v>45890.68304398148</v>
      </c>
      <c r="C454" s="1" t="n">
        <v>45933</v>
      </c>
      <c r="D454" t="inlineStr">
        <is>
          <t>DALARNAS LÄN</t>
        </is>
      </c>
      <c r="E454" t="inlineStr">
        <is>
          <t>LEKSAND</t>
        </is>
      </c>
      <c r="G454" t="n">
        <v>3.1</v>
      </c>
      <c r="H454" t="n">
        <v>0</v>
      </c>
      <c r="I454" t="n">
        <v>0</v>
      </c>
      <c r="J454" t="n">
        <v>0</v>
      </c>
      <c r="K454" t="n">
        <v>0</v>
      </c>
      <c r="L454" t="n">
        <v>0</v>
      </c>
      <c r="M454" t="n">
        <v>0</v>
      </c>
      <c r="N454" t="n">
        <v>0</v>
      </c>
      <c r="O454" t="n">
        <v>0</v>
      </c>
      <c r="P454" t="n">
        <v>0</v>
      </c>
      <c r="Q454" t="n">
        <v>0</v>
      </c>
      <c r="R454" s="2" t="inlineStr"/>
    </row>
    <row r="455" ht="15" customHeight="1">
      <c r="A455" t="inlineStr">
        <is>
          <t>A 37996-2025</t>
        </is>
      </c>
      <c r="B455" s="1" t="n">
        <v>45881.8299537037</v>
      </c>
      <c r="C455" s="1" t="n">
        <v>45933</v>
      </c>
      <c r="D455" t="inlineStr">
        <is>
          <t>DALARNAS LÄN</t>
        </is>
      </c>
      <c r="E455" t="inlineStr">
        <is>
          <t>LEKSAND</t>
        </is>
      </c>
      <c r="G455" t="n">
        <v>4.2</v>
      </c>
      <c r="H455" t="n">
        <v>0</v>
      </c>
      <c r="I455" t="n">
        <v>0</v>
      </c>
      <c r="J455" t="n">
        <v>0</v>
      </c>
      <c r="K455" t="n">
        <v>0</v>
      </c>
      <c r="L455" t="n">
        <v>0</v>
      </c>
      <c r="M455" t="n">
        <v>0</v>
      </c>
      <c r="N455" t="n">
        <v>0</v>
      </c>
      <c r="O455" t="n">
        <v>0</v>
      </c>
      <c r="P455" t="n">
        <v>0</v>
      </c>
      <c r="Q455" t="n">
        <v>0</v>
      </c>
      <c r="R455" s="2" t="inlineStr"/>
    </row>
    <row r="456" ht="15" customHeight="1">
      <c r="A456" t="inlineStr">
        <is>
          <t>A 14617-2024</t>
        </is>
      </c>
      <c r="B456" s="1" t="n">
        <v>45397</v>
      </c>
      <c r="C456" s="1" t="n">
        <v>45933</v>
      </c>
      <c r="D456" t="inlineStr">
        <is>
          <t>DALARNAS LÄN</t>
        </is>
      </c>
      <c r="E456" t="inlineStr">
        <is>
          <t>LEKSAND</t>
        </is>
      </c>
      <c r="G456" t="n">
        <v>0.2</v>
      </c>
      <c r="H456" t="n">
        <v>0</v>
      </c>
      <c r="I456" t="n">
        <v>0</v>
      </c>
      <c r="J456" t="n">
        <v>0</v>
      </c>
      <c r="K456" t="n">
        <v>0</v>
      </c>
      <c r="L456" t="n">
        <v>0</v>
      </c>
      <c r="M456" t="n">
        <v>0</v>
      </c>
      <c r="N456" t="n">
        <v>0</v>
      </c>
      <c r="O456" t="n">
        <v>0</v>
      </c>
      <c r="P456" t="n">
        <v>0</v>
      </c>
      <c r="Q456" t="n">
        <v>0</v>
      </c>
      <c r="R456" s="2" t="inlineStr"/>
    </row>
    <row r="457" ht="15" customHeight="1">
      <c r="A457" t="inlineStr">
        <is>
          <t>A 62116-2024</t>
        </is>
      </c>
      <c r="B457" s="1" t="n">
        <v>45646</v>
      </c>
      <c r="C457" s="1" t="n">
        <v>45933</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46141-2022</t>
        </is>
      </c>
      <c r="B458" s="1" t="n">
        <v>44846</v>
      </c>
      <c r="C458" s="1" t="n">
        <v>45933</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46176-2025</t>
        </is>
      </c>
      <c r="B459" s="1" t="n">
        <v>45924.65101851852</v>
      </c>
      <c r="C459" s="1" t="n">
        <v>45933</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15986-2025</t>
        </is>
      </c>
      <c r="B460" s="1" t="n">
        <v>45749.57331018519</v>
      </c>
      <c r="C460" s="1" t="n">
        <v>45933</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62993-2023</t>
        </is>
      </c>
      <c r="B461" s="1" t="n">
        <v>45272</v>
      </c>
      <c r="C461" s="1" t="n">
        <v>45933</v>
      </c>
      <c r="D461" t="inlineStr">
        <is>
          <t>DALARNAS LÄN</t>
        </is>
      </c>
      <c r="E461" t="inlineStr">
        <is>
          <t>LEKSAND</t>
        </is>
      </c>
      <c r="G461" t="n">
        <v>0.6</v>
      </c>
      <c r="H461" t="n">
        <v>0</v>
      </c>
      <c r="I461" t="n">
        <v>0</v>
      </c>
      <c r="J461" t="n">
        <v>0</v>
      </c>
      <c r="K461" t="n">
        <v>0</v>
      </c>
      <c r="L461" t="n">
        <v>0</v>
      </c>
      <c r="M461" t="n">
        <v>0</v>
      </c>
      <c r="N461" t="n">
        <v>0</v>
      </c>
      <c r="O461" t="n">
        <v>0</v>
      </c>
      <c r="P461" t="n">
        <v>0</v>
      </c>
      <c r="Q461" t="n">
        <v>0</v>
      </c>
      <c r="R461" s="2" t="inlineStr"/>
    </row>
    <row r="462" ht="15" customHeight="1">
      <c r="A462" t="inlineStr">
        <is>
          <t>A 43888-2025</t>
        </is>
      </c>
      <c r="B462" s="1" t="n">
        <v>45912</v>
      </c>
      <c r="C462" s="1" t="n">
        <v>45933</v>
      </c>
      <c r="D462" t="inlineStr">
        <is>
          <t>DALARNAS LÄN</t>
        </is>
      </c>
      <c r="E462" t="inlineStr">
        <is>
          <t>LEKSAND</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62295-2023</t>
        </is>
      </c>
      <c r="B463" s="1" t="n">
        <v>45267</v>
      </c>
      <c r="C463" s="1" t="n">
        <v>45933</v>
      </c>
      <c r="D463" t="inlineStr">
        <is>
          <t>DALARNAS LÄN</t>
        </is>
      </c>
      <c r="E463" t="inlineStr">
        <is>
          <t>LEKSAND</t>
        </is>
      </c>
      <c r="G463" t="n">
        <v>2.5</v>
      </c>
      <c r="H463" t="n">
        <v>0</v>
      </c>
      <c r="I463" t="n">
        <v>0</v>
      </c>
      <c r="J463" t="n">
        <v>0</v>
      </c>
      <c r="K463" t="n">
        <v>0</v>
      </c>
      <c r="L463" t="n">
        <v>0</v>
      </c>
      <c r="M463" t="n">
        <v>0</v>
      </c>
      <c r="N463" t="n">
        <v>0</v>
      </c>
      <c r="O463" t="n">
        <v>0</v>
      </c>
      <c r="P463" t="n">
        <v>0</v>
      </c>
      <c r="Q463" t="n">
        <v>0</v>
      </c>
      <c r="R463" s="2" t="inlineStr"/>
    </row>
    <row r="464" ht="15" customHeight="1">
      <c r="A464" t="inlineStr">
        <is>
          <t>A 38090-2025</t>
        </is>
      </c>
      <c r="B464" s="1" t="n">
        <v>45882.48440972222</v>
      </c>
      <c r="C464" s="1" t="n">
        <v>45933</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23892-2025</t>
        </is>
      </c>
      <c r="B465" s="1" t="n">
        <v>45793</v>
      </c>
      <c r="C465" s="1" t="n">
        <v>45933</v>
      </c>
      <c r="D465" t="inlineStr">
        <is>
          <t>DALARNAS LÄN</t>
        </is>
      </c>
      <c r="E465" t="inlineStr">
        <is>
          <t>LEKSAND</t>
        </is>
      </c>
      <c r="F465" t="inlineStr">
        <is>
          <t>Kommuner</t>
        </is>
      </c>
      <c r="G465" t="n">
        <v>1.5</v>
      </c>
      <c r="H465" t="n">
        <v>0</v>
      </c>
      <c r="I465" t="n">
        <v>0</v>
      </c>
      <c r="J465" t="n">
        <v>0</v>
      </c>
      <c r="K465" t="n">
        <v>0</v>
      </c>
      <c r="L465" t="n">
        <v>0</v>
      </c>
      <c r="M465" t="n">
        <v>0</v>
      </c>
      <c r="N465" t="n">
        <v>0</v>
      </c>
      <c r="O465" t="n">
        <v>0</v>
      </c>
      <c r="P465" t="n">
        <v>0</v>
      </c>
      <c r="Q465" t="n">
        <v>0</v>
      </c>
      <c r="R465" s="2" t="inlineStr"/>
    </row>
    <row r="466" ht="15" customHeight="1">
      <c r="A466" t="inlineStr">
        <is>
          <t>A 10771-2024</t>
        </is>
      </c>
      <c r="B466" s="1" t="n">
        <v>45369.57342592593</v>
      </c>
      <c r="C466" s="1" t="n">
        <v>45933</v>
      </c>
      <c r="D466" t="inlineStr">
        <is>
          <t>DALARNAS LÄN</t>
        </is>
      </c>
      <c r="E466" t="inlineStr">
        <is>
          <t>LEKSAND</t>
        </is>
      </c>
      <c r="G466" t="n">
        <v>0.4</v>
      </c>
      <c r="H466" t="n">
        <v>0</v>
      </c>
      <c r="I466" t="n">
        <v>0</v>
      </c>
      <c r="J466" t="n">
        <v>0</v>
      </c>
      <c r="K466" t="n">
        <v>0</v>
      </c>
      <c r="L466" t="n">
        <v>0</v>
      </c>
      <c r="M466" t="n">
        <v>0</v>
      </c>
      <c r="N466" t="n">
        <v>0</v>
      </c>
      <c r="O466" t="n">
        <v>0</v>
      </c>
      <c r="P466" t="n">
        <v>0</v>
      </c>
      <c r="Q466" t="n">
        <v>0</v>
      </c>
      <c r="R466" s="2" t="inlineStr"/>
    </row>
    <row r="467" ht="15" customHeight="1">
      <c r="A467" t="inlineStr">
        <is>
          <t>A 61933-2023</t>
        </is>
      </c>
      <c r="B467" s="1" t="n">
        <v>45266</v>
      </c>
      <c r="C467" s="1" t="n">
        <v>45933</v>
      </c>
      <c r="D467" t="inlineStr">
        <is>
          <t>DALARNAS LÄN</t>
        </is>
      </c>
      <c r="E467" t="inlineStr">
        <is>
          <t>LEKSAND</t>
        </is>
      </c>
      <c r="G467" t="n">
        <v>0.2</v>
      </c>
      <c r="H467" t="n">
        <v>0</v>
      </c>
      <c r="I467" t="n">
        <v>0</v>
      </c>
      <c r="J467" t="n">
        <v>0</v>
      </c>
      <c r="K467" t="n">
        <v>0</v>
      </c>
      <c r="L467" t="n">
        <v>0</v>
      </c>
      <c r="M467" t="n">
        <v>0</v>
      </c>
      <c r="N467" t="n">
        <v>0</v>
      </c>
      <c r="O467" t="n">
        <v>0</v>
      </c>
      <c r="P467" t="n">
        <v>0</v>
      </c>
      <c r="Q467" t="n">
        <v>0</v>
      </c>
      <c r="R467" s="2" t="inlineStr"/>
    </row>
    <row r="468" ht="15" customHeight="1">
      <c r="A468" t="inlineStr">
        <is>
          <t>A 43830-2025</t>
        </is>
      </c>
      <c r="B468" s="1" t="n">
        <v>45912</v>
      </c>
      <c r="C468" s="1" t="n">
        <v>45933</v>
      </c>
      <c r="D468" t="inlineStr">
        <is>
          <t>DALARNAS LÄN</t>
        </is>
      </c>
      <c r="E468" t="inlineStr">
        <is>
          <t>LEKSAND</t>
        </is>
      </c>
      <c r="F468" t="inlineStr">
        <is>
          <t>Bergvik skog väst AB</t>
        </is>
      </c>
      <c r="G468" t="n">
        <v>3.1</v>
      </c>
      <c r="H468" t="n">
        <v>0</v>
      </c>
      <c r="I468" t="n">
        <v>0</v>
      </c>
      <c r="J468" t="n">
        <v>0</v>
      </c>
      <c r="K468" t="n">
        <v>0</v>
      </c>
      <c r="L468" t="n">
        <v>0</v>
      </c>
      <c r="M468" t="n">
        <v>0</v>
      </c>
      <c r="N468" t="n">
        <v>0</v>
      </c>
      <c r="O468" t="n">
        <v>0</v>
      </c>
      <c r="P468" t="n">
        <v>0</v>
      </c>
      <c r="Q468" t="n">
        <v>0</v>
      </c>
      <c r="R468" s="2" t="inlineStr"/>
    </row>
    <row r="469" ht="15" customHeight="1">
      <c r="A469" t="inlineStr">
        <is>
          <t>A 33198-2022</t>
        </is>
      </c>
      <c r="B469" s="1" t="n">
        <v>44785.68597222222</v>
      </c>
      <c r="C469" s="1" t="n">
        <v>45933</v>
      </c>
      <c r="D469" t="inlineStr">
        <is>
          <t>DALARNAS LÄN</t>
        </is>
      </c>
      <c r="E469" t="inlineStr">
        <is>
          <t>LEKSAND</t>
        </is>
      </c>
      <c r="G469" t="n">
        <v>1.5</v>
      </c>
      <c r="H469" t="n">
        <v>0</v>
      </c>
      <c r="I469" t="n">
        <v>0</v>
      </c>
      <c r="J469" t="n">
        <v>0</v>
      </c>
      <c r="K469" t="n">
        <v>0</v>
      </c>
      <c r="L469" t="n">
        <v>0</v>
      </c>
      <c r="M469" t="n">
        <v>0</v>
      </c>
      <c r="N469" t="n">
        <v>0</v>
      </c>
      <c r="O469" t="n">
        <v>0</v>
      </c>
      <c r="P469" t="n">
        <v>0</v>
      </c>
      <c r="Q469" t="n">
        <v>0</v>
      </c>
      <c r="R469" s="2" t="inlineStr"/>
    </row>
    <row r="470" ht="15" customHeight="1">
      <c r="A470" t="inlineStr">
        <is>
          <t>A 15619-2025</t>
        </is>
      </c>
      <c r="B470" s="1" t="n">
        <v>45747</v>
      </c>
      <c r="C470" s="1" t="n">
        <v>45933</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46931-2023</t>
        </is>
      </c>
      <c r="B471" s="1" t="n">
        <v>45201</v>
      </c>
      <c r="C471" s="1" t="n">
        <v>45933</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17483-2025</t>
        </is>
      </c>
      <c r="B472" s="1" t="n">
        <v>45757.49408564815</v>
      </c>
      <c r="C472" s="1" t="n">
        <v>45933</v>
      </c>
      <c r="D472" t="inlineStr">
        <is>
          <t>DALARNAS LÄN</t>
        </is>
      </c>
      <c r="E472" t="inlineStr">
        <is>
          <t>LEKSAND</t>
        </is>
      </c>
      <c r="G472" t="n">
        <v>4.1</v>
      </c>
      <c r="H472" t="n">
        <v>0</v>
      </c>
      <c r="I472" t="n">
        <v>0</v>
      </c>
      <c r="J472" t="n">
        <v>0</v>
      </c>
      <c r="K472" t="n">
        <v>0</v>
      </c>
      <c r="L472" t="n">
        <v>0</v>
      </c>
      <c r="M472" t="n">
        <v>0</v>
      </c>
      <c r="N472" t="n">
        <v>0</v>
      </c>
      <c r="O472" t="n">
        <v>0</v>
      </c>
      <c r="P472" t="n">
        <v>0</v>
      </c>
      <c r="Q472" t="n">
        <v>0</v>
      </c>
      <c r="R472" s="2" t="inlineStr"/>
    </row>
    <row r="473" ht="15" customHeight="1">
      <c r="A473" t="inlineStr">
        <is>
          <t>A 46834-2023</t>
        </is>
      </c>
      <c r="B473" s="1" t="n">
        <v>45199.35668981481</v>
      </c>
      <c r="C473" s="1" t="n">
        <v>45933</v>
      </c>
      <c r="D473" t="inlineStr">
        <is>
          <t>DALARNAS LÄN</t>
        </is>
      </c>
      <c r="E473" t="inlineStr">
        <is>
          <t>LEKSAND</t>
        </is>
      </c>
      <c r="G473" t="n">
        <v>16.3</v>
      </c>
      <c r="H473" t="n">
        <v>0</v>
      </c>
      <c r="I473" t="n">
        <v>0</v>
      </c>
      <c r="J473" t="n">
        <v>0</v>
      </c>
      <c r="K473" t="n">
        <v>0</v>
      </c>
      <c r="L473" t="n">
        <v>0</v>
      </c>
      <c r="M473" t="n">
        <v>0</v>
      </c>
      <c r="N473" t="n">
        <v>0</v>
      </c>
      <c r="O473" t="n">
        <v>0</v>
      </c>
      <c r="P473" t="n">
        <v>0</v>
      </c>
      <c r="Q473" t="n">
        <v>0</v>
      </c>
      <c r="R473" s="2" t="inlineStr"/>
    </row>
    <row r="474" ht="15" customHeight="1">
      <c r="A474" t="inlineStr">
        <is>
          <t>A 17759-2023</t>
        </is>
      </c>
      <c r="B474" s="1" t="n">
        <v>45037.48765046296</v>
      </c>
      <c r="C474" s="1" t="n">
        <v>45933</v>
      </c>
      <c r="D474" t="inlineStr">
        <is>
          <t>DALARNAS LÄN</t>
        </is>
      </c>
      <c r="E474" t="inlineStr">
        <is>
          <t>LEKSAND</t>
        </is>
      </c>
      <c r="G474" t="n">
        <v>2.1</v>
      </c>
      <c r="H474" t="n">
        <v>0</v>
      </c>
      <c r="I474" t="n">
        <v>0</v>
      </c>
      <c r="J474" t="n">
        <v>0</v>
      </c>
      <c r="K474" t="n">
        <v>0</v>
      </c>
      <c r="L474" t="n">
        <v>0</v>
      </c>
      <c r="M474" t="n">
        <v>0</v>
      </c>
      <c r="N474" t="n">
        <v>0</v>
      </c>
      <c r="O474" t="n">
        <v>0</v>
      </c>
      <c r="P474" t="n">
        <v>0</v>
      </c>
      <c r="Q474" t="n">
        <v>0</v>
      </c>
      <c r="R474" s="2" t="inlineStr"/>
    </row>
    <row r="475" ht="15" customHeight="1">
      <c r="A475" t="inlineStr">
        <is>
          <t>A 43220-2024</t>
        </is>
      </c>
      <c r="B475" s="1" t="n">
        <v>45567.86112268519</v>
      </c>
      <c r="C475" s="1" t="n">
        <v>45933</v>
      </c>
      <c r="D475" t="inlineStr">
        <is>
          <t>DALARNAS LÄN</t>
        </is>
      </c>
      <c r="E475" t="inlineStr">
        <is>
          <t>LEKSAND</t>
        </is>
      </c>
      <c r="G475" t="n">
        <v>0.9</v>
      </c>
      <c r="H475" t="n">
        <v>0</v>
      </c>
      <c r="I475" t="n">
        <v>0</v>
      </c>
      <c r="J475" t="n">
        <v>0</v>
      </c>
      <c r="K475" t="n">
        <v>0</v>
      </c>
      <c r="L475" t="n">
        <v>0</v>
      </c>
      <c r="M475" t="n">
        <v>0</v>
      </c>
      <c r="N475" t="n">
        <v>0</v>
      </c>
      <c r="O475" t="n">
        <v>0</v>
      </c>
      <c r="P475" t="n">
        <v>0</v>
      </c>
      <c r="Q475" t="n">
        <v>0</v>
      </c>
      <c r="R475" s="2" t="inlineStr"/>
    </row>
    <row r="476" ht="15" customHeight="1">
      <c r="A476" t="inlineStr">
        <is>
          <t>A 55015-2024</t>
        </is>
      </c>
      <c r="B476" s="1" t="n">
        <v>45621.35554398148</v>
      </c>
      <c r="C476" s="1" t="n">
        <v>45933</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34039-2024</t>
        </is>
      </c>
      <c r="B477" s="1" t="n">
        <v>45523.5974537037</v>
      </c>
      <c r="C477" s="1" t="n">
        <v>45933</v>
      </c>
      <c r="D477" t="inlineStr">
        <is>
          <t>DALARNAS LÄN</t>
        </is>
      </c>
      <c r="E477" t="inlineStr">
        <is>
          <t>LEKSAND</t>
        </is>
      </c>
      <c r="G477" t="n">
        <v>7.1</v>
      </c>
      <c r="H477" t="n">
        <v>0</v>
      </c>
      <c r="I477" t="n">
        <v>0</v>
      </c>
      <c r="J477" t="n">
        <v>0</v>
      </c>
      <c r="K477" t="n">
        <v>0</v>
      </c>
      <c r="L477" t="n">
        <v>0</v>
      </c>
      <c r="M477" t="n">
        <v>0</v>
      </c>
      <c r="N477" t="n">
        <v>0</v>
      </c>
      <c r="O477" t="n">
        <v>0</v>
      </c>
      <c r="P477" t="n">
        <v>0</v>
      </c>
      <c r="Q477" t="n">
        <v>0</v>
      </c>
      <c r="R477" s="2" t="inlineStr"/>
    </row>
    <row r="478" ht="15" customHeight="1">
      <c r="A478" t="inlineStr">
        <is>
          <t>A 46505-2023</t>
        </is>
      </c>
      <c r="B478" s="1" t="n">
        <v>45197</v>
      </c>
      <c r="C478" s="1" t="n">
        <v>45933</v>
      </c>
      <c r="D478" t="inlineStr">
        <is>
          <t>DALARNAS LÄN</t>
        </is>
      </c>
      <c r="E478" t="inlineStr">
        <is>
          <t>LEKSAND</t>
        </is>
      </c>
      <c r="G478" t="n">
        <v>2.3</v>
      </c>
      <c r="H478" t="n">
        <v>0</v>
      </c>
      <c r="I478" t="n">
        <v>0</v>
      </c>
      <c r="J478" t="n">
        <v>0</v>
      </c>
      <c r="K478" t="n">
        <v>0</v>
      </c>
      <c r="L478" t="n">
        <v>0</v>
      </c>
      <c r="M478" t="n">
        <v>0</v>
      </c>
      <c r="N478" t="n">
        <v>0</v>
      </c>
      <c r="O478" t="n">
        <v>0</v>
      </c>
      <c r="P478" t="n">
        <v>0</v>
      </c>
      <c r="Q478" t="n">
        <v>0</v>
      </c>
      <c r="R478" s="2" t="inlineStr"/>
    </row>
    <row r="479" ht="15" customHeight="1">
      <c r="A479" t="inlineStr">
        <is>
          <t>A 1983-2025</t>
        </is>
      </c>
      <c r="B479" s="1" t="n">
        <v>45670</v>
      </c>
      <c r="C479" s="1" t="n">
        <v>45933</v>
      </c>
      <c r="D479" t="inlineStr">
        <is>
          <t>DALARNAS LÄN</t>
        </is>
      </c>
      <c r="E479" t="inlineStr">
        <is>
          <t>LEKSAND</t>
        </is>
      </c>
      <c r="G479" t="n">
        <v>1.5</v>
      </c>
      <c r="H479" t="n">
        <v>0</v>
      </c>
      <c r="I479" t="n">
        <v>0</v>
      </c>
      <c r="J479" t="n">
        <v>0</v>
      </c>
      <c r="K479" t="n">
        <v>0</v>
      </c>
      <c r="L479" t="n">
        <v>0</v>
      </c>
      <c r="M479" t="n">
        <v>0</v>
      </c>
      <c r="N479" t="n">
        <v>0</v>
      </c>
      <c r="O479" t="n">
        <v>0</v>
      </c>
      <c r="P479" t="n">
        <v>0</v>
      </c>
      <c r="Q479" t="n">
        <v>0</v>
      </c>
      <c r="R479" s="2" t="inlineStr"/>
    </row>
    <row r="480" ht="15" customHeight="1">
      <c r="A480" t="inlineStr">
        <is>
          <t>A 481-2024</t>
        </is>
      </c>
      <c r="B480" s="1" t="n">
        <v>45298</v>
      </c>
      <c r="C480" s="1" t="n">
        <v>45933</v>
      </c>
      <c r="D480" t="inlineStr">
        <is>
          <t>DALARNAS LÄN</t>
        </is>
      </c>
      <c r="E480" t="inlineStr">
        <is>
          <t>LEKSAND</t>
        </is>
      </c>
      <c r="G480" t="n">
        <v>7</v>
      </c>
      <c r="H480" t="n">
        <v>0</v>
      </c>
      <c r="I480" t="n">
        <v>0</v>
      </c>
      <c r="J480" t="n">
        <v>0</v>
      </c>
      <c r="K480" t="n">
        <v>0</v>
      </c>
      <c r="L480" t="n">
        <v>0</v>
      </c>
      <c r="M480" t="n">
        <v>0</v>
      </c>
      <c r="N480" t="n">
        <v>0</v>
      </c>
      <c r="O480" t="n">
        <v>0</v>
      </c>
      <c r="P480" t="n">
        <v>0</v>
      </c>
      <c r="Q480" t="n">
        <v>0</v>
      </c>
      <c r="R480" s="2" t="inlineStr"/>
    </row>
    <row r="481" ht="15" customHeight="1">
      <c r="A481" t="inlineStr">
        <is>
          <t>A 21402-2023</t>
        </is>
      </c>
      <c r="B481" s="1" t="n">
        <v>45061</v>
      </c>
      <c r="C481" s="1" t="n">
        <v>45933</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50278-2023</t>
        </is>
      </c>
      <c r="B482" s="1" t="n">
        <v>45216.43444444444</v>
      </c>
      <c r="C482" s="1" t="n">
        <v>45933</v>
      </c>
      <c r="D482" t="inlineStr">
        <is>
          <t>DALARNAS LÄN</t>
        </is>
      </c>
      <c r="E482" t="inlineStr">
        <is>
          <t>LEKSAND</t>
        </is>
      </c>
      <c r="G482" t="n">
        <v>0.4</v>
      </c>
      <c r="H482" t="n">
        <v>0</v>
      </c>
      <c r="I482" t="n">
        <v>0</v>
      </c>
      <c r="J482" t="n">
        <v>0</v>
      </c>
      <c r="K482" t="n">
        <v>0</v>
      </c>
      <c r="L482" t="n">
        <v>0</v>
      </c>
      <c r="M482" t="n">
        <v>0</v>
      </c>
      <c r="N482" t="n">
        <v>0</v>
      </c>
      <c r="O482" t="n">
        <v>0</v>
      </c>
      <c r="P482" t="n">
        <v>0</v>
      </c>
      <c r="Q482" t="n">
        <v>0</v>
      </c>
      <c r="R482" s="2" t="inlineStr"/>
    </row>
    <row r="483" ht="15" customHeight="1">
      <c r="A483" t="inlineStr">
        <is>
          <t>A 43142-2024</t>
        </is>
      </c>
      <c r="B483" s="1" t="n">
        <v>45567.62144675926</v>
      </c>
      <c r="C483" s="1" t="n">
        <v>45933</v>
      </c>
      <c r="D483" t="inlineStr">
        <is>
          <t>DALARNAS LÄN</t>
        </is>
      </c>
      <c r="E483" t="inlineStr">
        <is>
          <t>LEKSAND</t>
        </is>
      </c>
      <c r="F483" t="inlineStr">
        <is>
          <t>Bergvik skog väst AB</t>
        </is>
      </c>
      <c r="G483" t="n">
        <v>2.9</v>
      </c>
      <c r="H483" t="n">
        <v>0</v>
      </c>
      <c r="I483" t="n">
        <v>0</v>
      </c>
      <c r="J483" t="n">
        <v>0</v>
      </c>
      <c r="K483" t="n">
        <v>0</v>
      </c>
      <c r="L483" t="n">
        <v>0</v>
      </c>
      <c r="M483" t="n">
        <v>0</v>
      </c>
      <c r="N483" t="n">
        <v>0</v>
      </c>
      <c r="O483" t="n">
        <v>0</v>
      </c>
      <c r="P483" t="n">
        <v>0</v>
      </c>
      <c r="Q483" t="n">
        <v>0</v>
      </c>
      <c r="R483" s="2" t="inlineStr"/>
    </row>
    <row r="484" ht="15" customHeight="1">
      <c r="A484" t="inlineStr">
        <is>
          <t>A 16197-2024</t>
        </is>
      </c>
      <c r="B484" s="1" t="n">
        <v>45406.70356481482</v>
      </c>
      <c r="C484" s="1" t="n">
        <v>45933</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47673-2023</t>
        </is>
      </c>
      <c r="B485" s="1" t="n">
        <v>45203</v>
      </c>
      <c r="C485" s="1" t="n">
        <v>45933</v>
      </c>
      <c r="D485" t="inlineStr">
        <is>
          <t>DALARNAS LÄN</t>
        </is>
      </c>
      <c r="E485" t="inlineStr">
        <is>
          <t>LEKSAND</t>
        </is>
      </c>
      <c r="G485" t="n">
        <v>2</v>
      </c>
      <c r="H485" t="n">
        <v>0</v>
      </c>
      <c r="I485" t="n">
        <v>0</v>
      </c>
      <c r="J485" t="n">
        <v>0</v>
      </c>
      <c r="K485" t="n">
        <v>0</v>
      </c>
      <c r="L485" t="n">
        <v>0</v>
      </c>
      <c r="M485" t="n">
        <v>0</v>
      </c>
      <c r="N485" t="n">
        <v>0</v>
      </c>
      <c r="O485" t="n">
        <v>0</v>
      </c>
      <c r="P485" t="n">
        <v>0</v>
      </c>
      <c r="Q485" t="n">
        <v>0</v>
      </c>
      <c r="R485" s="2" t="inlineStr"/>
    </row>
    <row r="486" ht="15" customHeight="1">
      <c r="A486" t="inlineStr">
        <is>
          <t>A 5453-2025</t>
        </is>
      </c>
      <c r="B486" s="1" t="n">
        <v>45692.95231481481</v>
      </c>
      <c r="C486" s="1" t="n">
        <v>45933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59718-2023</t>
        </is>
      </c>
      <c r="B487" s="1" t="n">
        <v>45257</v>
      </c>
      <c r="C487" s="1" t="n">
        <v>45933</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57925-2024</t>
        </is>
      </c>
      <c r="B488" s="1" t="n">
        <v>45630</v>
      </c>
      <c r="C488" s="1" t="n">
        <v>45933</v>
      </c>
      <c r="D488" t="inlineStr">
        <is>
          <t>DALARNAS LÄN</t>
        </is>
      </c>
      <c r="E488" t="inlineStr">
        <is>
          <t>LEKSAND</t>
        </is>
      </c>
      <c r="G488" t="n">
        <v>1.1</v>
      </c>
      <c r="H488" t="n">
        <v>0</v>
      </c>
      <c r="I488" t="n">
        <v>0</v>
      </c>
      <c r="J488" t="n">
        <v>0</v>
      </c>
      <c r="K488" t="n">
        <v>0</v>
      </c>
      <c r="L488" t="n">
        <v>0</v>
      </c>
      <c r="M488" t="n">
        <v>0</v>
      </c>
      <c r="N488" t="n">
        <v>0</v>
      </c>
      <c r="O488" t="n">
        <v>0</v>
      </c>
      <c r="P488" t="n">
        <v>0</v>
      </c>
      <c r="Q488" t="n">
        <v>0</v>
      </c>
      <c r="R488" s="2" t="inlineStr"/>
    </row>
    <row r="489" ht="15" customHeight="1">
      <c r="A489" t="inlineStr">
        <is>
          <t>A 27445-2024</t>
        </is>
      </c>
      <c r="B489" s="1" t="n">
        <v>45474.42474537037</v>
      </c>
      <c r="C489" s="1" t="n">
        <v>45933</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27446-2024</t>
        </is>
      </c>
      <c r="B490" s="1" t="n">
        <v>45474.42671296297</v>
      </c>
      <c r="C490" s="1" t="n">
        <v>45933</v>
      </c>
      <c r="D490" t="inlineStr">
        <is>
          <t>DALARNAS LÄN</t>
        </is>
      </c>
      <c r="E490" t="inlineStr">
        <is>
          <t>LEKSAND</t>
        </is>
      </c>
      <c r="G490" t="n">
        <v>2.9</v>
      </c>
      <c r="H490" t="n">
        <v>0</v>
      </c>
      <c r="I490" t="n">
        <v>0</v>
      </c>
      <c r="J490" t="n">
        <v>0</v>
      </c>
      <c r="K490" t="n">
        <v>0</v>
      </c>
      <c r="L490" t="n">
        <v>0</v>
      </c>
      <c r="M490" t="n">
        <v>0</v>
      </c>
      <c r="N490" t="n">
        <v>0</v>
      </c>
      <c r="O490" t="n">
        <v>0</v>
      </c>
      <c r="P490" t="n">
        <v>0</v>
      </c>
      <c r="Q490" t="n">
        <v>0</v>
      </c>
      <c r="R490" s="2" t="inlineStr"/>
    </row>
    <row r="491" ht="15" customHeight="1">
      <c r="A491" t="inlineStr">
        <is>
          <t>A 1775-2022</t>
        </is>
      </c>
      <c r="B491" s="1" t="n">
        <v>44574</v>
      </c>
      <c r="C491" s="1" t="n">
        <v>45933</v>
      </c>
      <c r="D491" t="inlineStr">
        <is>
          <t>DALARNAS LÄN</t>
        </is>
      </c>
      <c r="E491" t="inlineStr">
        <is>
          <t>LEKSAND</t>
        </is>
      </c>
      <c r="G491" t="n">
        <v>2</v>
      </c>
      <c r="H491" t="n">
        <v>0</v>
      </c>
      <c r="I491" t="n">
        <v>0</v>
      </c>
      <c r="J491" t="n">
        <v>0</v>
      </c>
      <c r="K491" t="n">
        <v>0</v>
      </c>
      <c r="L491" t="n">
        <v>0</v>
      </c>
      <c r="M491" t="n">
        <v>0</v>
      </c>
      <c r="N491" t="n">
        <v>0</v>
      </c>
      <c r="O491" t="n">
        <v>0</v>
      </c>
      <c r="P491" t="n">
        <v>0</v>
      </c>
      <c r="Q491" t="n">
        <v>0</v>
      </c>
      <c r="R491" s="2" t="inlineStr"/>
    </row>
    <row r="492" ht="15" customHeight="1">
      <c r="A492" t="inlineStr">
        <is>
          <t>A 30994-2023</t>
        </is>
      </c>
      <c r="B492" s="1" t="n">
        <v>45113</v>
      </c>
      <c r="C492" s="1" t="n">
        <v>45933</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45044.42940972222</v>
      </c>
      <c r="C493" s="1" t="n">
        <v>45933</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17730-2024</t>
        </is>
      </c>
      <c r="B494" s="1" t="n">
        <v>45418</v>
      </c>
      <c r="C494" s="1" t="n">
        <v>45933</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64933-2023</t>
        </is>
      </c>
      <c r="B495" s="1" t="n">
        <v>45282</v>
      </c>
      <c r="C495" s="1" t="n">
        <v>45933</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57665-2023</t>
        </is>
      </c>
      <c r="B496" s="1" t="n">
        <v>45246</v>
      </c>
      <c r="C496" s="1" t="n">
        <v>45933</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51480-2022</t>
        </is>
      </c>
      <c r="B497" s="1" t="n">
        <v>44869.57961805556</v>
      </c>
      <c r="C497" s="1" t="n">
        <v>45933</v>
      </c>
      <c r="D497" t="inlineStr">
        <is>
          <t>DALARNAS LÄN</t>
        </is>
      </c>
      <c r="E497" t="inlineStr">
        <is>
          <t>LEKSAND</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39620-2024</t>
        </is>
      </c>
      <c r="B498" s="1" t="n">
        <v>45552.43163194445</v>
      </c>
      <c r="C498" s="1" t="n">
        <v>45933</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57907-2024</t>
        </is>
      </c>
      <c r="B499" s="1" t="n">
        <v>45630</v>
      </c>
      <c r="C499" s="1" t="n">
        <v>45933</v>
      </c>
      <c r="D499" t="inlineStr">
        <is>
          <t>DALARNAS LÄN</t>
        </is>
      </c>
      <c r="E499" t="inlineStr">
        <is>
          <t>LEKSAND</t>
        </is>
      </c>
      <c r="G499" t="n">
        <v>1.4</v>
      </c>
      <c r="H499" t="n">
        <v>0</v>
      </c>
      <c r="I499" t="n">
        <v>0</v>
      </c>
      <c r="J499" t="n">
        <v>0</v>
      </c>
      <c r="K499" t="n">
        <v>0</v>
      </c>
      <c r="L499" t="n">
        <v>0</v>
      </c>
      <c r="M499" t="n">
        <v>0</v>
      </c>
      <c r="N499" t="n">
        <v>0</v>
      </c>
      <c r="O499" t="n">
        <v>0</v>
      </c>
      <c r="P499" t="n">
        <v>0</v>
      </c>
      <c r="Q499" t="n">
        <v>0</v>
      </c>
      <c r="R499" s="2" t="inlineStr"/>
    </row>
    <row r="500" ht="15" customHeight="1">
      <c r="A500" t="inlineStr">
        <is>
          <t>A 59236-2024</t>
        </is>
      </c>
      <c r="B500" s="1" t="n">
        <v>45637.58795138889</v>
      </c>
      <c r="C500" s="1" t="n">
        <v>45933</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43237-2024</t>
        </is>
      </c>
      <c r="B501" s="1" t="n">
        <v>45567</v>
      </c>
      <c r="C501" s="1" t="n">
        <v>45933</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56749-2024</t>
        </is>
      </c>
      <c r="B502" s="1" t="n">
        <v>45628.37487268518</v>
      </c>
      <c r="C502" s="1" t="n">
        <v>45933</v>
      </c>
      <c r="D502" t="inlineStr">
        <is>
          <t>DALARNAS LÄN</t>
        </is>
      </c>
      <c r="E502" t="inlineStr">
        <is>
          <t>LEKSAND</t>
        </is>
      </c>
      <c r="G502" t="n">
        <v>5</v>
      </c>
      <c r="H502" t="n">
        <v>0</v>
      </c>
      <c r="I502" t="n">
        <v>0</v>
      </c>
      <c r="J502" t="n">
        <v>0</v>
      </c>
      <c r="K502" t="n">
        <v>0</v>
      </c>
      <c r="L502" t="n">
        <v>0</v>
      </c>
      <c r="M502" t="n">
        <v>0</v>
      </c>
      <c r="N502" t="n">
        <v>0</v>
      </c>
      <c r="O502" t="n">
        <v>0</v>
      </c>
      <c r="P502" t="n">
        <v>0</v>
      </c>
      <c r="Q502" t="n">
        <v>0</v>
      </c>
      <c r="R502" s="2" t="inlineStr"/>
    </row>
    <row r="503" ht="15" customHeight="1">
      <c r="A503" t="inlineStr">
        <is>
          <t>A 34038-2024</t>
        </is>
      </c>
      <c r="B503" s="1" t="n">
        <v>45523.59578703704</v>
      </c>
      <c r="C503" s="1" t="n">
        <v>45933</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34041-2024</t>
        </is>
      </c>
      <c r="B504" s="1" t="n">
        <v>45523.59895833334</v>
      </c>
      <c r="C504" s="1" t="n">
        <v>45933</v>
      </c>
      <c r="D504" t="inlineStr">
        <is>
          <t>DALARNAS LÄN</t>
        </is>
      </c>
      <c r="E504" t="inlineStr">
        <is>
          <t>LEKSAND</t>
        </is>
      </c>
      <c r="G504" t="n">
        <v>4</v>
      </c>
      <c r="H504" t="n">
        <v>0</v>
      </c>
      <c r="I504" t="n">
        <v>0</v>
      </c>
      <c r="J504" t="n">
        <v>0</v>
      </c>
      <c r="K504" t="n">
        <v>0</v>
      </c>
      <c r="L504" t="n">
        <v>0</v>
      </c>
      <c r="M504" t="n">
        <v>0</v>
      </c>
      <c r="N504" t="n">
        <v>0</v>
      </c>
      <c r="O504" t="n">
        <v>0</v>
      </c>
      <c r="P504" t="n">
        <v>0</v>
      </c>
      <c r="Q504" t="n">
        <v>0</v>
      </c>
      <c r="R504" s="2" t="inlineStr"/>
    </row>
    <row r="505" ht="15" customHeight="1">
      <c r="A505" t="inlineStr">
        <is>
          <t>A 34482-2022</t>
        </is>
      </c>
      <c r="B505" s="1" t="n">
        <v>44792</v>
      </c>
      <c r="C505" s="1" t="n">
        <v>45933</v>
      </c>
      <c r="D505" t="inlineStr">
        <is>
          <t>DALARNAS LÄN</t>
        </is>
      </c>
      <c r="E505" t="inlineStr">
        <is>
          <t>LEKSAND</t>
        </is>
      </c>
      <c r="G505" t="n">
        <v>2.6</v>
      </c>
      <c r="H505" t="n">
        <v>0</v>
      </c>
      <c r="I505" t="n">
        <v>0</v>
      </c>
      <c r="J505" t="n">
        <v>0</v>
      </c>
      <c r="K505" t="n">
        <v>0</v>
      </c>
      <c r="L505" t="n">
        <v>0</v>
      </c>
      <c r="M505" t="n">
        <v>0</v>
      </c>
      <c r="N505" t="n">
        <v>0</v>
      </c>
      <c r="O505" t="n">
        <v>0</v>
      </c>
      <c r="P505" t="n">
        <v>0</v>
      </c>
      <c r="Q505" t="n">
        <v>0</v>
      </c>
      <c r="R505" s="2" t="inlineStr"/>
    </row>
    <row r="506" ht="15" customHeight="1">
      <c r="A506" t="inlineStr">
        <is>
          <t>A 17485-2025</t>
        </is>
      </c>
      <c r="B506" s="1" t="n">
        <v>45757.49976851852</v>
      </c>
      <c r="C506" s="1" t="n">
        <v>45933</v>
      </c>
      <c r="D506" t="inlineStr">
        <is>
          <t>DALARNAS LÄN</t>
        </is>
      </c>
      <c r="E506" t="inlineStr">
        <is>
          <t>LEKSAND</t>
        </is>
      </c>
      <c r="G506" t="n">
        <v>3.7</v>
      </c>
      <c r="H506" t="n">
        <v>0</v>
      </c>
      <c r="I506" t="n">
        <v>0</v>
      </c>
      <c r="J506" t="n">
        <v>0</v>
      </c>
      <c r="K506" t="n">
        <v>0</v>
      </c>
      <c r="L506" t="n">
        <v>0</v>
      </c>
      <c r="M506" t="n">
        <v>0</v>
      </c>
      <c r="N506" t="n">
        <v>0</v>
      </c>
      <c r="O506" t="n">
        <v>0</v>
      </c>
      <c r="P506" t="n">
        <v>0</v>
      </c>
      <c r="Q506" t="n">
        <v>0</v>
      </c>
      <c r="R506" s="2" t="inlineStr"/>
    </row>
    <row r="507" ht="15" customHeight="1">
      <c r="A507" t="inlineStr">
        <is>
          <t>A 30595-2023</t>
        </is>
      </c>
      <c r="B507" s="1" t="n">
        <v>45112</v>
      </c>
      <c r="C507" s="1" t="n">
        <v>45933</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56943-2024</t>
        </is>
      </c>
      <c r="B508" s="1" t="n">
        <v>45625</v>
      </c>
      <c r="C508" s="1" t="n">
        <v>45933</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16748-2025</t>
        </is>
      </c>
      <c r="B509" s="1" t="n">
        <v>45754</v>
      </c>
      <c r="C509" s="1" t="n">
        <v>45933</v>
      </c>
      <c r="D509" t="inlineStr">
        <is>
          <t>DALARNAS LÄN</t>
        </is>
      </c>
      <c r="E509" t="inlineStr">
        <is>
          <t>LEKSAND</t>
        </is>
      </c>
      <c r="F509" t="inlineStr">
        <is>
          <t>Bergvik skog väst AB</t>
        </is>
      </c>
      <c r="G509" t="n">
        <v>2.9</v>
      </c>
      <c r="H509" t="n">
        <v>0</v>
      </c>
      <c r="I509" t="n">
        <v>0</v>
      </c>
      <c r="J509" t="n">
        <v>0</v>
      </c>
      <c r="K509" t="n">
        <v>0</v>
      </c>
      <c r="L509" t="n">
        <v>0</v>
      </c>
      <c r="M509" t="n">
        <v>0</v>
      </c>
      <c r="N509" t="n">
        <v>0</v>
      </c>
      <c r="O509" t="n">
        <v>0</v>
      </c>
      <c r="P509" t="n">
        <v>0</v>
      </c>
      <c r="Q509" t="n">
        <v>0</v>
      </c>
      <c r="R509" s="2" t="inlineStr"/>
    </row>
    <row r="510" ht="15" customHeight="1">
      <c r="A510" t="inlineStr">
        <is>
          <t>A 15257-2025</t>
        </is>
      </c>
      <c r="B510" s="1" t="n">
        <v>45744</v>
      </c>
      <c r="C510" s="1" t="n">
        <v>45933</v>
      </c>
      <c r="D510" t="inlineStr">
        <is>
          <t>DALARNAS LÄN</t>
        </is>
      </c>
      <c r="E510" t="inlineStr">
        <is>
          <t>LEKSAND</t>
        </is>
      </c>
      <c r="G510" t="n">
        <v>0.9</v>
      </c>
      <c r="H510" t="n">
        <v>0</v>
      </c>
      <c r="I510" t="n">
        <v>0</v>
      </c>
      <c r="J510" t="n">
        <v>0</v>
      </c>
      <c r="K510" t="n">
        <v>0</v>
      </c>
      <c r="L510" t="n">
        <v>0</v>
      </c>
      <c r="M510" t="n">
        <v>0</v>
      </c>
      <c r="N510" t="n">
        <v>0</v>
      </c>
      <c r="O510" t="n">
        <v>0</v>
      </c>
      <c r="P510" t="n">
        <v>0</v>
      </c>
      <c r="Q510" t="n">
        <v>0</v>
      </c>
      <c r="R510" s="2" t="inlineStr"/>
    </row>
    <row r="511" ht="15" customHeight="1">
      <c r="A511" t="inlineStr">
        <is>
          <t>A 24142-2021</t>
        </is>
      </c>
      <c r="B511" s="1" t="n">
        <v>44336</v>
      </c>
      <c r="C511" s="1" t="n">
        <v>45933</v>
      </c>
      <c r="D511" t="inlineStr">
        <is>
          <t>DALARNAS LÄN</t>
        </is>
      </c>
      <c r="E511" t="inlineStr">
        <is>
          <t>LEKSAND</t>
        </is>
      </c>
      <c r="F511" t="inlineStr">
        <is>
          <t>Bergvik skog väst AB</t>
        </is>
      </c>
      <c r="G511" t="n">
        <v>18.9</v>
      </c>
      <c r="H511" t="n">
        <v>0</v>
      </c>
      <c r="I511" t="n">
        <v>0</v>
      </c>
      <c r="J511" t="n">
        <v>0</v>
      </c>
      <c r="K511" t="n">
        <v>0</v>
      </c>
      <c r="L511" t="n">
        <v>0</v>
      </c>
      <c r="M511" t="n">
        <v>0</v>
      </c>
      <c r="N511" t="n">
        <v>0</v>
      </c>
      <c r="O511" t="n">
        <v>0</v>
      </c>
      <c r="P511" t="n">
        <v>0</v>
      </c>
      <c r="Q511" t="n">
        <v>0</v>
      </c>
      <c r="R511" s="2" t="inlineStr"/>
    </row>
    <row r="512" ht="15" customHeight="1">
      <c r="A512" t="inlineStr">
        <is>
          <t>A 10833-2023</t>
        </is>
      </c>
      <c r="B512" s="1" t="n">
        <v>44990</v>
      </c>
      <c r="C512" s="1" t="n">
        <v>45933</v>
      </c>
      <c r="D512" t="inlineStr">
        <is>
          <t>DALARNAS LÄN</t>
        </is>
      </c>
      <c r="E512" t="inlineStr">
        <is>
          <t>LEKSAND</t>
        </is>
      </c>
      <c r="G512" t="n">
        <v>1.7</v>
      </c>
      <c r="H512" t="n">
        <v>0</v>
      </c>
      <c r="I512" t="n">
        <v>0</v>
      </c>
      <c r="J512" t="n">
        <v>0</v>
      </c>
      <c r="K512" t="n">
        <v>0</v>
      </c>
      <c r="L512" t="n">
        <v>0</v>
      </c>
      <c r="M512" t="n">
        <v>0</v>
      </c>
      <c r="N512" t="n">
        <v>0</v>
      </c>
      <c r="O512" t="n">
        <v>0</v>
      </c>
      <c r="P512" t="n">
        <v>0</v>
      </c>
      <c r="Q512" t="n">
        <v>0</v>
      </c>
      <c r="R512" s="2" t="inlineStr"/>
    </row>
    <row r="513" ht="15" customHeight="1">
      <c r="A513" t="inlineStr">
        <is>
          <t>A 16815-2025</t>
        </is>
      </c>
      <c r="B513" s="1" t="n">
        <v>45754</v>
      </c>
      <c r="C513" s="1" t="n">
        <v>45933</v>
      </c>
      <c r="D513" t="inlineStr">
        <is>
          <t>DALARNAS LÄN</t>
        </is>
      </c>
      <c r="E513" t="inlineStr">
        <is>
          <t>LEKSAND</t>
        </is>
      </c>
      <c r="G513" t="n">
        <v>2.8</v>
      </c>
      <c r="H513" t="n">
        <v>0</v>
      </c>
      <c r="I513" t="n">
        <v>0</v>
      </c>
      <c r="J513" t="n">
        <v>0</v>
      </c>
      <c r="K513" t="n">
        <v>0</v>
      </c>
      <c r="L513" t="n">
        <v>0</v>
      </c>
      <c r="M513" t="n">
        <v>0</v>
      </c>
      <c r="N513" t="n">
        <v>0</v>
      </c>
      <c r="O513" t="n">
        <v>0</v>
      </c>
      <c r="P513" t="n">
        <v>0</v>
      </c>
      <c r="Q513" t="n">
        <v>0</v>
      </c>
      <c r="R513" s="2" t="inlineStr"/>
    </row>
    <row r="514" ht="15" customHeight="1">
      <c r="A514" t="inlineStr">
        <is>
          <t>A 61208-2023</t>
        </is>
      </c>
      <c r="B514" s="1" t="n">
        <v>45260</v>
      </c>
      <c r="C514" s="1" t="n">
        <v>45933</v>
      </c>
      <c r="D514" t="inlineStr">
        <is>
          <t>DALARNAS LÄN</t>
        </is>
      </c>
      <c r="E514" t="inlineStr">
        <is>
          <t>LEKSAND</t>
        </is>
      </c>
      <c r="G514" t="n">
        <v>1.7</v>
      </c>
      <c r="H514" t="n">
        <v>0</v>
      </c>
      <c r="I514" t="n">
        <v>0</v>
      </c>
      <c r="J514" t="n">
        <v>0</v>
      </c>
      <c r="K514" t="n">
        <v>0</v>
      </c>
      <c r="L514" t="n">
        <v>0</v>
      </c>
      <c r="M514" t="n">
        <v>0</v>
      </c>
      <c r="N514" t="n">
        <v>0</v>
      </c>
      <c r="O514" t="n">
        <v>0</v>
      </c>
      <c r="P514" t="n">
        <v>0</v>
      </c>
      <c r="Q514" t="n">
        <v>0</v>
      </c>
      <c r="R514" s="2" t="inlineStr"/>
    </row>
    <row r="515" ht="15" customHeight="1">
      <c r="A515" t="inlineStr">
        <is>
          <t>A 52977-2022</t>
        </is>
      </c>
      <c r="B515" s="1" t="n">
        <v>44875</v>
      </c>
      <c r="C515" s="1" t="n">
        <v>45933</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25921-2024</t>
        </is>
      </c>
      <c r="B516" s="1" t="n">
        <v>45467.6053587963</v>
      </c>
      <c r="C516" s="1" t="n">
        <v>45933</v>
      </c>
      <c r="D516" t="inlineStr">
        <is>
          <t>DALARNAS LÄN</t>
        </is>
      </c>
      <c r="E516" t="inlineStr">
        <is>
          <t>LEKSAND</t>
        </is>
      </c>
      <c r="G516" t="n">
        <v>2.8</v>
      </c>
      <c r="H516" t="n">
        <v>0</v>
      </c>
      <c r="I516" t="n">
        <v>0</v>
      </c>
      <c r="J516" t="n">
        <v>0</v>
      </c>
      <c r="K516" t="n">
        <v>0</v>
      </c>
      <c r="L516" t="n">
        <v>0</v>
      </c>
      <c r="M516" t="n">
        <v>0</v>
      </c>
      <c r="N516" t="n">
        <v>0</v>
      </c>
      <c r="O516" t="n">
        <v>0</v>
      </c>
      <c r="P516" t="n">
        <v>0</v>
      </c>
      <c r="Q516" t="n">
        <v>0</v>
      </c>
      <c r="R516" s="2" t="inlineStr"/>
    </row>
    <row r="517" ht="15" customHeight="1">
      <c r="A517" t="inlineStr">
        <is>
          <t>A 28892-2022</t>
        </is>
      </c>
      <c r="B517" s="1" t="n">
        <v>44749</v>
      </c>
      <c r="C517" s="1" t="n">
        <v>45933</v>
      </c>
      <c r="D517" t="inlineStr">
        <is>
          <t>DALARNAS LÄN</t>
        </is>
      </c>
      <c r="E517" t="inlineStr">
        <is>
          <t>LEKSAND</t>
        </is>
      </c>
      <c r="F517" t="inlineStr">
        <is>
          <t>Bergvik skog väst AB</t>
        </is>
      </c>
      <c r="G517" t="n">
        <v>9.1</v>
      </c>
      <c r="H517" t="n">
        <v>0</v>
      </c>
      <c r="I517" t="n">
        <v>0</v>
      </c>
      <c r="J517" t="n">
        <v>0</v>
      </c>
      <c r="K517" t="n">
        <v>0</v>
      </c>
      <c r="L517" t="n">
        <v>0</v>
      </c>
      <c r="M517" t="n">
        <v>0</v>
      </c>
      <c r="N517" t="n">
        <v>0</v>
      </c>
      <c r="O517" t="n">
        <v>0</v>
      </c>
      <c r="P517" t="n">
        <v>0</v>
      </c>
      <c r="Q517" t="n">
        <v>0</v>
      </c>
      <c r="R517" s="2" t="inlineStr"/>
    </row>
    <row r="518" ht="15" customHeight="1">
      <c r="A518" t="inlineStr">
        <is>
          <t>A 17233-2023</t>
        </is>
      </c>
      <c r="B518" s="1" t="n">
        <v>45035</v>
      </c>
      <c r="C518" s="1" t="n">
        <v>45933</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16231-2021</t>
        </is>
      </c>
      <c r="B519" s="1" t="n">
        <v>44292</v>
      </c>
      <c r="C519" s="1" t="n">
        <v>45933</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320-2023</t>
        </is>
      </c>
      <c r="B520" s="1" t="n">
        <v>44929</v>
      </c>
      <c r="C520" s="1" t="n">
        <v>45933</v>
      </c>
      <c r="D520" t="inlineStr">
        <is>
          <t>DALARNAS LÄN</t>
        </is>
      </c>
      <c r="E520" t="inlineStr">
        <is>
          <t>LEKSAND</t>
        </is>
      </c>
      <c r="F520" t="inlineStr">
        <is>
          <t>Övriga Aktiebolag</t>
        </is>
      </c>
      <c r="G520" t="n">
        <v>5.4</v>
      </c>
      <c r="H520" t="n">
        <v>0</v>
      </c>
      <c r="I520" t="n">
        <v>0</v>
      </c>
      <c r="J520" t="n">
        <v>0</v>
      </c>
      <c r="K520" t="n">
        <v>0</v>
      </c>
      <c r="L520" t="n">
        <v>0</v>
      </c>
      <c r="M520" t="n">
        <v>0</v>
      </c>
      <c r="N520" t="n">
        <v>0</v>
      </c>
      <c r="O520" t="n">
        <v>0</v>
      </c>
      <c r="P520" t="n">
        <v>0</v>
      </c>
      <c r="Q520" t="n">
        <v>0</v>
      </c>
      <c r="R520" s="2" t="inlineStr"/>
    </row>
    <row r="521" ht="15" customHeight="1">
      <c r="A521" t="inlineStr">
        <is>
          <t>A 19296-2024</t>
        </is>
      </c>
      <c r="B521" s="1" t="n">
        <v>45428.69438657408</v>
      </c>
      <c r="C521" s="1" t="n">
        <v>45933</v>
      </c>
      <c r="D521" t="inlineStr">
        <is>
          <t>DALARNAS LÄN</t>
        </is>
      </c>
      <c r="E521" t="inlineStr">
        <is>
          <t>LEKSAND</t>
        </is>
      </c>
      <c r="G521" t="n">
        <v>2.4</v>
      </c>
      <c r="H521" t="n">
        <v>0</v>
      </c>
      <c r="I521" t="n">
        <v>0</v>
      </c>
      <c r="J521" t="n">
        <v>0</v>
      </c>
      <c r="K521" t="n">
        <v>0</v>
      </c>
      <c r="L521" t="n">
        <v>0</v>
      </c>
      <c r="M521" t="n">
        <v>0</v>
      </c>
      <c r="N521" t="n">
        <v>0</v>
      </c>
      <c r="O521" t="n">
        <v>0</v>
      </c>
      <c r="P521" t="n">
        <v>0</v>
      </c>
      <c r="Q521" t="n">
        <v>0</v>
      </c>
      <c r="R521" s="2" t="inlineStr"/>
    </row>
    <row r="522" ht="15" customHeight="1">
      <c r="A522" t="inlineStr">
        <is>
          <t>A 12857-2023</t>
        </is>
      </c>
      <c r="B522" s="1" t="n">
        <v>45001.5000462963</v>
      </c>
      <c r="C522" s="1" t="n">
        <v>45933</v>
      </c>
      <c r="D522" t="inlineStr">
        <is>
          <t>DALARNAS LÄN</t>
        </is>
      </c>
      <c r="E522" t="inlineStr">
        <is>
          <t>LEKSAND</t>
        </is>
      </c>
      <c r="G522" t="n">
        <v>0.2</v>
      </c>
      <c r="H522" t="n">
        <v>0</v>
      </c>
      <c r="I522" t="n">
        <v>0</v>
      </c>
      <c r="J522" t="n">
        <v>0</v>
      </c>
      <c r="K522" t="n">
        <v>0</v>
      </c>
      <c r="L522" t="n">
        <v>0</v>
      </c>
      <c r="M522" t="n">
        <v>0</v>
      </c>
      <c r="N522" t="n">
        <v>0</v>
      </c>
      <c r="O522" t="n">
        <v>0</v>
      </c>
      <c r="P522" t="n">
        <v>0</v>
      </c>
      <c r="Q522" t="n">
        <v>0</v>
      </c>
      <c r="R522" s="2" t="inlineStr"/>
    </row>
    <row r="523" ht="15" customHeight="1">
      <c r="A523" t="inlineStr">
        <is>
          <t>A 12581-2025</t>
        </is>
      </c>
      <c r="B523" s="1" t="n">
        <v>45732.62201388889</v>
      </c>
      <c r="C523" s="1" t="n">
        <v>45933</v>
      </c>
      <c r="D523" t="inlineStr">
        <is>
          <t>DALARNAS LÄN</t>
        </is>
      </c>
      <c r="E523" t="inlineStr">
        <is>
          <t>LEKSAND</t>
        </is>
      </c>
      <c r="G523" t="n">
        <v>5.1</v>
      </c>
      <c r="H523" t="n">
        <v>0</v>
      </c>
      <c r="I523" t="n">
        <v>0</v>
      </c>
      <c r="J523" t="n">
        <v>0</v>
      </c>
      <c r="K523" t="n">
        <v>0</v>
      </c>
      <c r="L523" t="n">
        <v>0</v>
      </c>
      <c r="M523" t="n">
        <v>0</v>
      </c>
      <c r="N523" t="n">
        <v>0</v>
      </c>
      <c r="O523" t="n">
        <v>0</v>
      </c>
      <c r="P523" t="n">
        <v>0</v>
      </c>
      <c r="Q523" t="n">
        <v>0</v>
      </c>
      <c r="R523" s="2" t="inlineStr"/>
    </row>
    <row r="524" ht="15" customHeight="1">
      <c r="A524" t="inlineStr">
        <is>
          <t>A 12620-2025</t>
        </is>
      </c>
      <c r="B524" s="1" t="n">
        <v>45733.35498842593</v>
      </c>
      <c r="C524" s="1" t="n">
        <v>45933</v>
      </c>
      <c r="D524" t="inlineStr">
        <is>
          <t>DALARNAS LÄN</t>
        </is>
      </c>
      <c r="E524" t="inlineStr">
        <is>
          <t>LEKSAND</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12623-2025</t>
        </is>
      </c>
      <c r="B525" s="1" t="n">
        <v>45733.36079861111</v>
      </c>
      <c r="C525" s="1" t="n">
        <v>45933</v>
      </c>
      <c r="D525" t="inlineStr">
        <is>
          <t>DALARNAS LÄN</t>
        </is>
      </c>
      <c r="E525" t="inlineStr">
        <is>
          <t>LEKSAND</t>
        </is>
      </c>
      <c r="F525" t="inlineStr">
        <is>
          <t>Bergvik skog väst AB</t>
        </is>
      </c>
      <c r="G525" t="n">
        <v>13</v>
      </c>
      <c r="H525" t="n">
        <v>0</v>
      </c>
      <c r="I525" t="n">
        <v>0</v>
      </c>
      <c r="J525" t="n">
        <v>0</v>
      </c>
      <c r="K525" t="n">
        <v>0</v>
      </c>
      <c r="L525" t="n">
        <v>0</v>
      </c>
      <c r="M525" t="n">
        <v>0</v>
      </c>
      <c r="N525" t="n">
        <v>0</v>
      </c>
      <c r="O525" t="n">
        <v>0</v>
      </c>
      <c r="P525" t="n">
        <v>0</v>
      </c>
      <c r="Q525" t="n">
        <v>0</v>
      </c>
      <c r="R525" s="2" t="inlineStr"/>
    </row>
    <row r="526" ht="15" customHeight="1">
      <c r="A526" t="inlineStr">
        <is>
          <t>A 28674-2024</t>
        </is>
      </c>
      <c r="B526" s="1" t="n">
        <v>45478.47863425926</v>
      </c>
      <c r="C526" s="1" t="n">
        <v>45933</v>
      </c>
      <c r="D526" t="inlineStr">
        <is>
          <t>DALARNAS LÄN</t>
        </is>
      </c>
      <c r="E526" t="inlineStr">
        <is>
          <t>LEKSAND</t>
        </is>
      </c>
      <c r="G526" t="n">
        <v>4.9</v>
      </c>
      <c r="H526" t="n">
        <v>0</v>
      </c>
      <c r="I526" t="n">
        <v>0</v>
      </c>
      <c r="J526" t="n">
        <v>0</v>
      </c>
      <c r="K526" t="n">
        <v>0</v>
      </c>
      <c r="L526" t="n">
        <v>0</v>
      </c>
      <c r="M526" t="n">
        <v>0</v>
      </c>
      <c r="N526" t="n">
        <v>0</v>
      </c>
      <c r="O526" t="n">
        <v>0</v>
      </c>
      <c r="P526" t="n">
        <v>0</v>
      </c>
      <c r="Q526" t="n">
        <v>0</v>
      </c>
      <c r="R526" s="2" t="inlineStr"/>
    </row>
    <row r="527" ht="15" customHeight="1">
      <c r="A527" t="inlineStr">
        <is>
          <t>A 32666-2023</t>
        </is>
      </c>
      <c r="B527" s="1" t="n">
        <v>45121</v>
      </c>
      <c r="C527" s="1" t="n">
        <v>45933</v>
      </c>
      <c r="D527" t="inlineStr">
        <is>
          <t>DALARNAS LÄN</t>
        </is>
      </c>
      <c r="E527" t="inlineStr">
        <is>
          <t>LEKSAND</t>
        </is>
      </c>
      <c r="G527" t="n">
        <v>9.9</v>
      </c>
      <c r="H527" t="n">
        <v>0</v>
      </c>
      <c r="I527" t="n">
        <v>0</v>
      </c>
      <c r="J527" t="n">
        <v>0</v>
      </c>
      <c r="K527" t="n">
        <v>0</v>
      </c>
      <c r="L527" t="n">
        <v>0</v>
      </c>
      <c r="M527" t="n">
        <v>0</v>
      </c>
      <c r="N527" t="n">
        <v>0</v>
      </c>
      <c r="O527" t="n">
        <v>0</v>
      </c>
      <c r="P527" t="n">
        <v>0</v>
      </c>
      <c r="Q527" t="n">
        <v>0</v>
      </c>
      <c r="R527" s="2" t="inlineStr"/>
    </row>
    <row r="528" ht="15" customHeight="1">
      <c r="A528" t="inlineStr">
        <is>
          <t>A 5231-2024</t>
        </is>
      </c>
      <c r="B528" s="1" t="n">
        <v>45330</v>
      </c>
      <c r="C528" s="1" t="n">
        <v>45933</v>
      </c>
      <c r="D528" t="inlineStr">
        <is>
          <t>DALARNAS LÄN</t>
        </is>
      </c>
      <c r="E528" t="inlineStr">
        <is>
          <t>LEKSAND</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19622-2024</t>
        </is>
      </c>
      <c r="B529" s="1" t="n">
        <v>45432.33592592592</v>
      </c>
      <c r="C529" s="1" t="n">
        <v>45933</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23896-2024</t>
        </is>
      </c>
      <c r="B530" s="1" t="n">
        <v>45455.6758449074</v>
      </c>
      <c r="C530" s="1" t="n">
        <v>45933</v>
      </c>
      <c r="D530" t="inlineStr">
        <is>
          <t>DALARNAS LÄN</t>
        </is>
      </c>
      <c r="E530" t="inlineStr">
        <is>
          <t>LEKSAND</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28578-2023</t>
        </is>
      </c>
      <c r="B531" s="1" t="n">
        <v>45103</v>
      </c>
      <c r="C531" s="1" t="n">
        <v>45933</v>
      </c>
      <c r="D531" t="inlineStr">
        <is>
          <t>DALARNAS LÄN</t>
        </is>
      </c>
      <c r="E531" t="inlineStr">
        <is>
          <t>LEKSAND</t>
        </is>
      </c>
      <c r="G531" t="n">
        <v>4.4</v>
      </c>
      <c r="H531" t="n">
        <v>0</v>
      </c>
      <c r="I531" t="n">
        <v>0</v>
      </c>
      <c r="J531" t="n">
        <v>0</v>
      </c>
      <c r="K531" t="n">
        <v>0</v>
      </c>
      <c r="L531" t="n">
        <v>0</v>
      </c>
      <c r="M531" t="n">
        <v>0</v>
      </c>
      <c r="N531" t="n">
        <v>0</v>
      </c>
      <c r="O531" t="n">
        <v>0</v>
      </c>
      <c r="P531" t="n">
        <v>0</v>
      </c>
      <c r="Q531" t="n">
        <v>0</v>
      </c>
      <c r="R531" s="2" t="inlineStr"/>
    </row>
    <row r="532" ht="15" customHeight="1">
      <c r="A532" t="inlineStr">
        <is>
          <t>A 61288-2022</t>
        </is>
      </c>
      <c r="B532" s="1" t="n">
        <v>44915</v>
      </c>
      <c r="C532" s="1" t="n">
        <v>45933</v>
      </c>
      <c r="D532" t="inlineStr">
        <is>
          <t>DALARNAS LÄN</t>
        </is>
      </c>
      <c r="E532" t="inlineStr">
        <is>
          <t>LEKSAND</t>
        </is>
      </c>
      <c r="G532" t="n">
        <v>1.7</v>
      </c>
      <c r="H532" t="n">
        <v>0</v>
      </c>
      <c r="I532" t="n">
        <v>0</v>
      </c>
      <c r="J532" t="n">
        <v>0</v>
      </c>
      <c r="K532" t="n">
        <v>0</v>
      </c>
      <c r="L532" t="n">
        <v>0</v>
      </c>
      <c r="M532" t="n">
        <v>0</v>
      </c>
      <c r="N532" t="n">
        <v>0</v>
      </c>
      <c r="O532" t="n">
        <v>0</v>
      </c>
      <c r="P532" t="n">
        <v>0</v>
      </c>
      <c r="Q532" t="n">
        <v>0</v>
      </c>
      <c r="R532" s="2" t="inlineStr"/>
    </row>
    <row r="533" ht="15" customHeight="1">
      <c r="A533" t="inlineStr">
        <is>
          <t>A 20936-2023</t>
        </is>
      </c>
      <c r="B533" s="1" t="n">
        <v>45061</v>
      </c>
      <c r="C533" s="1" t="n">
        <v>45933</v>
      </c>
      <c r="D533" t="inlineStr">
        <is>
          <t>DALARNAS LÄN</t>
        </is>
      </c>
      <c r="E533" t="inlineStr">
        <is>
          <t>LEKSAND</t>
        </is>
      </c>
      <c r="G533" t="n">
        <v>0.3</v>
      </c>
      <c r="H533" t="n">
        <v>0</v>
      </c>
      <c r="I533" t="n">
        <v>0</v>
      </c>
      <c r="J533" t="n">
        <v>0</v>
      </c>
      <c r="K533" t="n">
        <v>0</v>
      </c>
      <c r="L533" t="n">
        <v>0</v>
      </c>
      <c r="M533" t="n">
        <v>0</v>
      </c>
      <c r="N533" t="n">
        <v>0</v>
      </c>
      <c r="O533" t="n">
        <v>0</v>
      </c>
      <c r="P533" t="n">
        <v>0</v>
      </c>
      <c r="Q533" t="n">
        <v>0</v>
      </c>
      <c r="R533" s="2" t="inlineStr"/>
    </row>
    <row r="534" ht="15" customHeight="1">
      <c r="A534" t="inlineStr">
        <is>
          <t>A 41169-2024</t>
        </is>
      </c>
      <c r="B534" s="1" t="n">
        <v>45559.48637731482</v>
      </c>
      <c r="C534" s="1" t="n">
        <v>45933</v>
      </c>
      <c r="D534" t="inlineStr">
        <is>
          <t>DALARNAS LÄN</t>
        </is>
      </c>
      <c r="E534" t="inlineStr">
        <is>
          <t>LEKSAND</t>
        </is>
      </c>
      <c r="G534" t="n">
        <v>8.9</v>
      </c>
      <c r="H534" t="n">
        <v>0</v>
      </c>
      <c r="I534" t="n">
        <v>0</v>
      </c>
      <c r="J534" t="n">
        <v>0</v>
      </c>
      <c r="K534" t="n">
        <v>0</v>
      </c>
      <c r="L534" t="n">
        <v>0</v>
      </c>
      <c r="M534" t="n">
        <v>0</v>
      </c>
      <c r="N534" t="n">
        <v>0</v>
      </c>
      <c r="O534" t="n">
        <v>0</v>
      </c>
      <c r="P534" t="n">
        <v>0</v>
      </c>
      <c r="Q534" t="n">
        <v>0</v>
      </c>
      <c r="R534" s="2" t="inlineStr"/>
    </row>
    <row r="535" ht="15" customHeight="1">
      <c r="A535" t="inlineStr">
        <is>
          <t>A 27317-2021</t>
        </is>
      </c>
      <c r="B535" s="1" t="n">
        <v>44351</v>
      </c>
      <c r="C535" s="1" t="n">
        <v>45933</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61055-2023</t>
        </is>
      </c>
      <c r="B536" s="1" t="n">
        <v>45261</v>
      </c>
      <c r="C536" s="1" t="n">
        <v>45933</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10743-2024</t>
        </is>
      </c>
      <c r="B537" s="1" t="n">
        <v>45369.52167824074</v>
      </c>
      <c r="C537" s="1" t="n">
        <v>45933</v>
      </c>
      <c r="D537" t="inlineStr">
        <is>
          <t>DALARNAS LÄN</t>
        </is>
      </c>
      <c r="E537" t="inlineStr">
        <is>
          <t>LEKSAND</t>
        </is>
      </c>
      <c r="G537" t="n">
        <v>2.7</v>
      </c>
      <c r="H537" t="n">
        <v>0</v>
      </c>
      <c r="I537" t="n">
        <v>0</v>
      </c>
      <c r="J537" t="n">
        <v>0</v>
      </c>
      <c r="K537" t="n">
        <v>0</v>
      </c>
      <c r="L537" t="n">
        <v>0</v>
      </c>
      <c r="M537" t="n">
        <v>0</v>
      </c>
      <c r="N537" t="n">
        <v>0</v>
      </c>
      <c r="O537" t="n">
        <v>0</v>
      </c>
      <c r="P537" t="n">
        <v>0</v>
      </c>
      <c r="Q537" t="n">
        <v>0</v>
      </c>
      <c r="R537" s="2" t="inlineStr"/>
    </row>
    <row r="538" ht="15" customHeight="1">
      <c r="A538" t="inlineStr">
        <is>
          <t>A 17377-2025</t>
        </is>
      </c>
      <c r="B538" s="1" t="n">
        <v>45756.983125</v>
      </c>
      <c r="C538" s="1" t="n">
        <v>45933</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61269-2022</t>
        </is>
      </c>
      <c r="B539" s="1" t="n">
        <v>44909</v>
      </c>
      <c r="C539" s="1" t="n">
        <v>45933</v>
      </c>
      <c r="D539" t="inlineStr">
        <is>
          <t>DALARNAS LÄN</t>
        </is>
      </c>
      <c r="E539" t="inlineStr">
        <is>
          <t>LEKSAND</t>
        </is>
      </c>
      <c r="G539" t="n">
        <v>4.2</v>
      </c>
      <c r="H539" t="n">
        <v>0</v>
      </c>
      <c r="I539" t="n">
        <v>0</v>
      </c>
      <c r="J539" t="n">
        <v>0</v>
      </c>
      <c r="K539" t="n">
        <v>0</v>
      </c>
      <c r="L539" t="n">
        <v>0</v>
      </c>
      <c r="M539" t="n">
        <v>0</v>
      </c>
      <c r="N539" t="n">
        <v>0</v>
      </c>
      <c r="O539" t="n">
        <v>0</v>
      </c>
      <c r="P539" t="n">
        <v>0</v>
      </c>
      <c r="Q539" t="n">
        <v>0</v>
      </c>
      <c r="R539" s="2" t="inlineStr"/>
    </row>
    <row r="540" ht="15" customHeight="1">
      <c r="A540" t="inlineStr">
        <is>
          <t>A 53817-2023</t>
        </is>
      </c>
      <c r="B540" s="1" t="n">
        <v>45231.40488425926</v>
      </c>
      <c r="C540" s="1" t="n">
        <v>45933</v>
      </c>
      <c r="D540" t="inlineStr">
        <is>
          <t>DALARNAS LÄN</t>
        </is>
      </c>
      <c r="E540" t="inlineStr">
        <is>
          <t>LEKSAND</t>
        </is>
      </c>
      <c r="G540" t="n">
        <v>1.2</v>
      </c>
      <c r="H540" t="n">
        <v>0</v>
      </c>
      <c r="I540" t="n">
        <v>0</v>
      </c>
      <c r="J540" t="n">
        <v>0</v>
      </c>
      <c r="K540" t="n">
        <v>0</v>
      </c>
      <c r="L540" t="n">
        <v>0</v>
      </c>
      <c r="M540" t="n">
        <v>0</v>
      </c>
      <c r="N540" t="n">
        <v>0</v>
      </c>
      <c r="O540" t="n">
        <v>0</v>
      </c>
      <c r="P540" t="n">
        <v>0</v>
      </c>
      <c r="Q540" t="n">
        <v>0</v>
      </c>
      <c r="R540" s="2" t="inlineStr"/>
    </row>
    <row r="541" ht="15" customHeight="1">
      <c r="A541" t="inlineStr">
        <is>
          <t>A 28633-2023</t>
        </is>
      </c>
      <c r="B541" s="1" t="n">
        <v>45103.61575231481</v>
      </c>
      <c r="C541" s="1" t="n">
        <v>45933</v>
      </c>
      <c r="D541" t="inlineStr">
        <is>
          <t>DALARNAS LÄN</t>
        </is>
      </c>
      <c r="E541" t="inlineStr">
        <is>
          <t>LEKSAND</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14943-2023</t>
        </is>
      </c>
      <c r="B542" s="1" t="n">
        <v>45015</v>
      </c>
      <c r="C542" s="1" t="n">
        <v>45933</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41840-2024</t>
        </is>
      </c>
      <c r="B543" s="1" t="n">
        <v>45561.42170138889</v>
      </c>
      <c r="C543" s="1" t="n">
        <v>45933</v>
      </c>
      <c r="D543" t="inlineStr">
        <is>
          <t>DALARNAS LÄN</t>
        </is>
      </c>
      <c r="E543" t="inlineStr">
        <is>
          <t>LEKSAND</t>
        </is>
      </c>
      <c r="G543" t="n">
        <v>0.4</v>
      </c>
      <c r="H543" t="n">
        <v>0</v>
      </c>
      <c r="I543" t="n">
        <v>0</v>
      </c>
      <c r="J543" t="n">
        <v>0</v>
      </c>
      <c r="K543" t="n">
        <v>0</v>
      </c>
      <c r="L543" t="n">
        <v>0</v>
      </c>
      <c r="M543" t="n">
        <v>0</v>
      </c>
      <c r="N543" t="n">
        <v>0</v>
      </c>
      <c r="O543" t="n">
        <v>0</v>
      </c>
      <c r="P543" t="n">
        <v>0</v>
      </c>
      <c r="Q543" t="n">
        <v>0</v>
      </c>
      <c r="R543" s="2" t="inlineStr"/>
    </row>
    <row r="544" ht="15" customHeight="1">
      <c r="A544" t="inlineStr">
        <is>
          <t>A 33143-2024</t>
        </is>
      </c>
      <c r="B544" s="1" t="n">
        <v>45518</v>
      </c>
      <c r="C544" s="1" t="n">
        <v>45933</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10367-2023</t>
        </is>
      </c>
      <c r="B545" s="1" t="n">
        <v>44987</v>
      </c>
      <c r="C545" s="1" t="n">
        <v>45933</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1946-2024</t>
        </is>
      </c>
      <c r="B546" s="1" t="n">
        <v>45308</v>
      </c>
      <c r="C546" s="1" t="n">
        <v>45933</v>
      </c>
      <c r="D546" t="inlineStr">
        <is>
          <t>DALARNAS LÄN</t>
        </is>
      </c>
      <c r="E546" t="inlineStr">
        <is>
          <t>LEKSAND</t>
        </is>
      </c>
      <c r="G546" t="n">
        <v>2.3</v>
      </c>
      <c r="H546" t="n">
        <v>0</v>
      </c>
      <c r="I546" t="n">
        <v>0</v>
      </c>
      <c r="J546" t="n">
        <v>0</v>
      </c>
      <c r="K546" t="n">
        <v>0</v>
      </c>
      <c r="L546" t="n">
        <v>0</v>
      </c>
      <c r="M546" t="n">
        <v>0</v>
      </c>
      <c r="N546" t="n">
        <v>0</v>
      </c>
      <c r="O546" t="n">
        <v>0</v>
      </c>
      <c r="P546" t="n">
        <v>0</v>
      </c>
      <c r="Q546" t="n">
        <v>0</v>
      </c>
      <c r="R546" s="2" t="inlineStr"/>
    </row>
    <row r="547" ht="15" customHeight="1">
      <c r="A547" t="inlineStr">
        <is>
          <t>A 471-2025</t>
        </is>
      </c>
      <c r="B547" s="1" t="n">
        <v>45664.43394675926</v>
      </c>
      <c r="C547" s="1" t="n">
        <v>45933</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59763-2023</t>
        </is>
      </c>
      <c r="B548" s="1" t="n">
        <v>45257</v>
      </c>
      <c r="C548" s="1" t="n">
        <v>45933</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11128-2023</t>
        </is>
      </c>
      <c r="B549" s="1" t="n">
        <v>44992</v>
      </c>
      <c r="C549" s="1" t="n">
        <v>45933</v>
      </c>
      <c r="D549" t="inlineStr">
        <is>
          <t>DALARNAS LÄN</t>
        </is>
      </c>
      <c r="E549" t="inlineStr">
        <is>
          <t>LEKSAND</t>
        </is>
      </c>
      <c r="G549" t="n">
        <v>1.5</v>
      </c>
      <c r="H549" t="n">
        <v>0</v>
      </c>
      <c r="I549" t="n">
        <v>0</v>
      </c>
      <c r="J549" t="n">
        <v>0</v>
      </c>
      <c r="K549" t="n">
        <v>0</v>
      </c>
      <c r="L549" t="n">
        <v>0</v>
      </c>
      <c r="M549" t="n">
        <v>0</v>
      </c>
      <c r="N549" t="n">
        <v>0</v>
      </c>
      <c r="O549" t="n">
        <v>0</v>
      </c>
      <c r="P549" t="n">
        <v>0</v>
      </c>
      <c r="Q549" t="n">
        <v>0</v>
      </c>
      <c r="R549" s="2" t="inlineStr"/>
    </row>
    <row r="550" ht="15" customHeight="1">
      <c r="A550" t="inlineStr">
        <is>
          <t>A 11218-2023</t>
        </is>
      </c>
      <c r="B550" s="1" t="n">
        <v>44992.62401620371</v>
      </c>
      <c r="C550" s="1" t="n">
        <v>45933</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60024-2023</t>
        </is>
      </c>
      <c r="B551" s="1" t="n">
        <v>45258</v>
      </c>
      <c r="C551" s="1" t="n">
        <v>45933</v>
      </c>
      <c r="D551" t="inlineStr">
        <is>
          <t>DALARNAS LÄN</t>
        </is>
      </c>
      <c r="E551" t="inlineStr">
        <is>
          <t>LEKSAND</t>
        </is>
      </c>
      <c r="G551" t="n">
        <v>4.2</v>
      </c>
      <c r="H551" t="n">
        <v>0</v>
      </c>
      <c r="I551" t="n">
        <v>0</v>
      </c>
      <c r="J551" t="n">
        <v>0</v>
      </c>
      <c r="K551" t="n">
        <v>0</v>
      </c>
      <c r="L551" t="n">
        <v>0</v>
      </c>
      <c r="M551" t="n">
        <v>0</v>
      </c>
      <c r="N551" t="n">
        <v>0</v>
      </c>
      <c r="O551" t="n">
        <v>0</v>
      </c>
      <c r="P551" t="n">
        <v>0</v>
      </c>
      <c r="Q551" t="n">
        <v>0</v>
      </c>
      <c r="R551" s="2" t="inlineStr"/>
    </row>
    <row r="552" ht="15" customHeight="1">
      <c r="A552" t="inlineStr">
        <is>
          <t>A 17533-2023</t>
        </is>
      </c>
      <c r="B552" s="1" t="n">
        <v>45036</v>
      </c>
      <c r="C552" s="1" t="n">
        <v>45933</v>
      </c>
      <c r="D552" t="inlineStr">
        <is>
          <t>DALARNAS LÄN</t>
        </is>
      </c>
      <c r="E552" t="inlineStr">
        <is>
          <t>LEKSAND</t>
        </is>
      </c>
      <c r="G552" t="n">
        <v>3</v>
      </c>
      <c r="H552" t="n">
        <v>0</v>
      </c>
      <c r="I552" t="n">
        <v>0</v>
      </c>
      <c r="J552" t="n">
        <v>0</v>
      </c>
      <c r="K552" t="n">
        <v>0</v>
      </c>
      <c r="L552" t="n">
        <v>0</v>
      </c>
      <c r="M552" t="n">
        <v>0</v>
      </c>
      <c r="N552" t="n">
        <v>0</v>
      </c>
      <c r="O552" t="n">
        <v>0</v>
      </c>
      <c r="P552" t="n">
        <v>0</v>
      </c>
      <c r="Q552" t="n">
        <v>0</v>
      </c>
      <c r="R552" s="2" t="inlineStr"/>
    </row>
    <row r="553" ht="15" customHeight="1">
      <c r="A553" t="inlineStr">
        <is>
          <t>A 11859-2024</t>
        </is>
      </c>
      <c r="B553" s="1" t="n">
        <v>45376.44569444445</v>
      </c>
      <c r="C553" s="1" t="n">
        <v>45933</v>
      </c>
      <c r="D553" t="inlineStr">
        <is>
          <t>DALARNAS LÄN</t>
        </is>
      </c>
      <c r="E553" t="inlineStr">
        <is>
          <t>LEKSAND</t>
        </is>
      </c>
      <c r="G553" t="n">
        <v>2.1</v>
      </c>
      <c r="H553" t="n">
        <v>0</v>
      </c>
      <c r="I553" t="n">
        <v>0</v>
      </c>
      <c r="J553" t="n">
        <v>0</v>
      </c>
      <c r="K553" t="n">
        <v>0</v>
      </c>
      <c r="L553" t="n">
        <v>0</v>
      </c>
      <c r="M553" t="n">
        <v>0</v>
      </c>
      <c r="N553" t="n">
        <v>0</v>
      </c>
      <c r="O553" t="n">
        <v>0</v>
      </c>
      <c r="P553" t="n">
        <v>0</v>
      </c>
      <c r="Q553" t="n">
        <v>0</v>
      </c>
      <c r="R553" s="2" t="inlineStr"/>
    </row>
    <row r="554" ht="15" customHeight="1">
      <c r="A554" t="inlineStr">
        <is>
          <t>A 62133-2023</t>
        </is>
      </c>
      <c r="B554" s="1" t="n">
        <v>45267.35582175926</v>
      </c>
      <c r="C554" s="1" t="n">
        <v>45933</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58495-2023</t>
        </is>
      </c>
      <c r="B555" s="1" t="n">
        <v>45251</v>
      </c>
      <c r="C555" s="1" t="n">
        <v>45933</v>
      </c>
      <c r="D555" t="inlineStr">
        <is>
          <t>DALARNAS LÄN</t>
        </is>
      </c>
      <c r="E555" t="inlineStr">
        <is>
          <t>LEKSAND</t>
        </is>
      </c>
      <c r="G555" t="n">
        <v>1.7</v>
      </c>
      <c r="H555" t="n">
        <v>0</v>
      </c>
      <c r="I555" t="n">
        <v>0</v>
      </c>
      <c r="J555" t="n">
        <v>0</v>
      </c>
      <c r="K555" t="n">
        <v>0</v>
      </c>
      <c r="L555" t="n">
        <v>0</v>
      </c>
      <c r="M555" t="n">
        <v>0</v>
      </c>
      <c r="N555" t="n">
        <v>0</v>
      </c>
      <c r="O555" t="n">
        <v>0</v>
      </c>
      <c r="P555" t="n">
        <v>0</v>
      </c>
      <c r="Q555" t="n">
        <v>0</v>
      </c>
      <c r="R555" s="2" t="inlineStr"/>
    </row>
    <row r="556" ht="15" customHeight="1">
      <c r="A556" t="inlineStr">
        <is>
          <t>A 49397-2024</t>
        </is>
      </c>
      <c r="B556" s="1" t="n">
        <v>45595</v>
      </c>
      <c r="C556" s="1" t="n">
        <v>45933</v>
      </c>
      <c r="D556" t="inlineStr">
        <is>
          <t>DALARNAS LÄN</t>
        </is>
      </c>
      <c r="E556" t="inlineStr">
        <is>
          <t>LEKSAND</t>
        </is>
      </c>
      <c r="G556" t="n">
        <v>4.3</v>
      </c>
      <c r="H556" t="n">
        <v>0</v>
      </c>
      <c r="I556" t="n">
        <v>0</v>
      </c>
      <c r="J556" t="n">
        <v>0</v>
      </c>
      <c r="K556" t="n">
        <v>0</v>
      </c>
      <c r="L556" t="n">
        <v>0</v>
      </c>
      <c r="M556" t="n">
        <v>0</v>
      </c>
      <c r="N556" t="n">
        <v>0</v>
      </c>
      <c r="O556" t="n">
        <v>0</v>
      </c>
      <c r="P556" t="n">
        <v>0</v>
      </c>
      <c r="Q556" t="n">
        <v>0</v>
      </c>
      <c r="R556" s="2" t="inlineStr"/>
    </row>
    <row r="557" ht="15" customHeight="1">
      <c r="A557" t="inlineStr">
        <is>
          <t>A 6039-2023</t>
        </is>
      </c>
      <c r="B557" s="1" t="n">
        <v>44959</v>
      </c>
      <c r="C557" s="1" t="n">
        <v>45933</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6027-2025</t>
        </is>
      </c>
      <c r="B558" s="1" t="n">
        <v>45695</v>
      </c>
      <c r="C558" s="1" t="n">
        <v>45933</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22517-2024</t>
        </is>
      </c>
      <c r="B559" s="1" t="n">
        <v>45447.40143518519</v>
      </c>
      <c r="C559" s="1" t="n">
        <v>45933</v>
      </c>
      <c r="D559" t="inlineStr">
        <is>
          <t>DALARNAS LÄN</t>
        </is>
      </c>
      <c r="E559" t="inlineStr">
        <is>
          <t>LEKSAND</t>
        </is>
      </c>
      <c r="G559" t="n">
        <v>0.4</v>
      </c>
      <c r="H559" t="n">
        <v>0</v>
      </c>
      <c r="I559" t="n">
        <v>0</v>
      </c>
      <c r="J559" t="n">
        <v>0</v>
      </c>
      <c r="K559" t="n">
        <v>0</v>
      </c>
      <c r="L559" t="n">
        <v>0</v>
      </c>
      <c r="M559" t="n">
        <v>0</v>
      </c>
      <c r="N559" t="n">
        <v>0</v>
      </c>
      <c r="O559" t="n">
        <v>0</v>
      </c>
      <c r="P559" t="n">
        <v>0</v>
      </c>
      <c r="Q559" t="n">
        <v>0</v>
      </c>
      <c r="R559" s="2" t="inlineStr"/>
    </row>
    <row r="560" ht="15" customHeight="1">
      <c r="A560" t="inlineStr">
        <is>
          <t>A 52801-2023</t>
        </is>
      </c>
      <c r="B560" s="1" t="n">
        <v>45219</v>
      </c>
      <c r="C560" s="1" t="n">
        <v>45933</v>
      </c>
      <c r="D560" t="inlineStr">
        <is>
          <t>DALARNAS LÄN</t>
        </is>
      </c>
      <c r="E560" t="inlineStr">
        <is>
          <t>LEKSAND</t>
        </is>
      </c>
      <c r="G560" t="n">
        <v>4.9</v>
      </c>
      <c r="H560" t="n">
        <v>0</v>
      </c>
      <c r="I560" t="n">
        <v>0</v>
      </c>
      <c r="J560" t="n">
        <v>0</v>
      </c>
      <c r="K560" t="n">
        <v>0</v>
      </c>
      <c r="L560" t="n">
        <v>0</v>
      </c>
      <c r="M560" t="n">
        <v>0</v>
      </c>
      <c r="N560" t="n">
        <v>0</v>
      </c>
      <c r="O560" t="n">
        <v>0</v>
      </c>
      <c r="P560" t="n">
        <v>0</v>
      </c>
      <c r="Q560" t="n">
        <v>0</v>
      </c>
      <c r="R560" s="2" t="inlineStr"/>
    </row>
    <row r="561" ht="15" customHeight="1">
      <c r="A561" t="inlineStr">
        <is>
          <t>A 45768-2023</t>
        </is>
      </c>
      <c r="B561" s="1" t="n">
        <v>45195</v>
      </c>
      <c r="C561" s="1" t="n">
        <v>45933</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53717-2023</t>
        </is>
      </c>
      <c r="B562" s="1" t="n">
        <v>45230</v>
      </c>
      <c r="C562" s="1" t="n">
        <v>45933</v>
      </c>
      <c r="D562" t="inlineStr">
        <is>
          <t>DALARNAS LÄN</t>
        </is>
      </c>
      <c r="E562" t="inlineStr">
        <is>
          <t>LEKSAND</t>
        </is>
      </c>
      <c r="G562" t="n">
        <v>2.4</v>
      </c>
      <c r="H562" t="n">
        <v>0</v>
      </c>
      <c r="I562" t="n">
        <v>0</v>
      </c>
      <c r="J562" t="n">
        <v>0</v>
      </c>
      <c r="K562" t="n">
        <v>0</v>
      </c>
      <c r="L562" t="n">
        <v>0</v>
      </c>
      <c r="M562" t="n">
        <v>0</v>
      </c>
      <c r="N562" t="n">
        <v>0</v>
      </c>
      <c r="O562" t="n">
        <v>0</v>
      </c>
      <c r="P562" t="n">
        <v>0</v>
      </c>
      <c r="Q562" t="n">
        <v>0</v>
      </c>
      <c r="R562" s="2" t="inlineStr"/>
    </row>
    <row r="563" ht="15" customHeight="1">
      <c r="A563" t="inlineStr">
        <is>
          <t>A 43470-2024</t>
        </is>
      </c>
      <c r="B563" s="1" t="n">
        <v>45568</v>
      </c>
      <c r="C563" s="1" t="n">
        <v>45933</v>
      </c>
      <c r="D563" t="inlineStr">
        <is>
          <t>DALARNAS LÄN</t>
        </is>
      </c>
      <c r="E563" t="inlineStr">
        <is>
          <t>LEKSAND</t>
        </is>
      </c>
      <c r="G563" t="n">
        <v>3.1</v>
      </c>
      <c r="H563" t="n">
        <v>0</v>
      </c>
      <c r="I563" t="n">
        <v>0</v>
      </c>
      <c r="J563" t="n">
        <v>0</v>
      </c>
      <c r="K563" t="n">
        <v>0</v>
      </c>
      <c r="L563" t="n">
        <v>0</v>
      </c>
      <c r="M563" t="n">
        <v>0</v>
      </c>
      <c r="N563" t="n">
        <v>0</v>
      </c>
      <c r="O563" t="n">
        <v>0</v>
      </c>
      <c r="P563" t="n">
        <v>0</v>
      </c>
      <c r="Q563" t="n">
        <v>0</v>
      </c>
      <c r="R563" s="2" t="inlineStr"/>
    </row>
    <row r="564" ht="15" customHeight="1">
      <c r="A564" t="inlineStr">
        <is>
          <t>A 41306-2024</t>
        </is>
      </c>
      <c r="B564" s="1" t="n">
        <v>45559.62550925926</v>
      </c>
      <c r="C564" s="1" t="n">
        <v>45933</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36450-2023</t>
        </is>
      </c>
      <c r="B565" s="1" t="n">
        <v>45152.64842592592</v>
      </c>
      <c r="C565" s="1" t="n">
        <v>45933</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60873-2023</t>
        </is>
      </c>
      <c r="B566" s="1" t="n">
        <v>45261.03266203704</v>
      </c>
      <c r="C566" s="1" t="n">
        <v>45933</v>
      </c>
      <c r="D566" t="inlineStr">
        <is>
          <t>DALARNAS LÄN</t>
        </is>
      </c>
      <c r="E566" t="inlineStr">
        <is>
          <t>LEKSAND</t>
        </is>
      </c>
      <c r="G566" t="n">
        <v>5.2</v>
      </c>
      <c r="H566" t="n">
        <v>0</v>
      </c>
      <c r="I566" t="n">
        <v>0</v>
      </c>
      <c r="J566" t="n">
        <v>0</v>
      </c>
      <c r="K566" t="n">
        <v>0</v>
      </c>
      <c r="L566" t="n">
        <v>0</v>
      </c>
      <c r="M566" t="n">
        <v>0</v>
      </c>
      <c r="N566" t="n">
        <v>0</v>
      </c>
      <c r="O566" t="n">
        <v>0</v>
      </c>
      <c r="P566" t="n">
        <v>0</v>
      </c>
      <c r="Q566" t="n">
        <v>0</v>
      </c>
      <c r="R566" s="2" t="inlineStr"/>
    </row>
    <row r="567" ht="15" customHeight="1">
      <c r="A567" t="inlineStr">
        <is>
          <t>A 1458-2024</t>
        </is>
      </c>
      <c r="B567" s="1" t="n">
        <v>45303</v>
      </c>
      <c r="C567" s="1" t="n">
        <v>45933</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1461-2024</t>
        </is>
      </c>
      <c r="B568" s="1" t="n">
        <v>45303</v>
      </c>
      <c r="C568" s="1" t="n">
        <v>45933</v>
      </c>
      <c r="D568" t="inlineStr">
        <is>
          <t>DALARNAS LÄN</t>
        </is>
      </c>
      <c r="E568" t="inlineStr">
        <is>
          <t>LEKSAND</t>
        </is>
      </c>
      <c r="G568" t="n">
        <v>2.4</v>
      </c>
      <c r="H568" t="n">
        <v>0</v>
      </c>
      <c r="I568" t="n">
        <v>0</v>
      </c>
      <c r="J568" t="n">
        <v>0</v>
      </c>
      <c r="K568" t="n">
        <v>0</v>
      </c>
      <c r="L568" t="n">
        <v>0</v>
      </c>
      <c r="M568" t="n">
        <v>0</v>
      </c>
      <c r="N568" t="n">
        <v>0</v>
      </c>
      <c r="O568" t="n">
        <v>0</v>
      </c>
      <c r="P568" t="n">
        <v>0</v>
      </c>
      <c r="Q568" t="n">
        <v>0</v>
      </c>
      <c r="R568" s="2" t="inlineStr"/>
    </row>
    <row r="569" ht="15" customHeight="1">
      <c r="A569" t="inlineStr">
        <is>
          <t>A 54914-2024</t>
        </is>
      </c>
      <c r="B569" s="1" t="n">
        <v>45618.69380787037</v>
      </c>
      <c r="C569" s="1" t="n">
        <v>45933</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3737-2023</t>
        </is>
      </c>
      <c r="B570" s="1" t="n">
        <v>44951.42983796296</v>
      </c>
      <c r="C570" s="1" t="n">
        <v>45933</v>
      </c>
      <c r="D570" t="inlineStr">
        <is>
          <t>DALARNAS LÄN</t>
        </is>
      </c>
      <c r="E570" t="inlineStr">
        <is>
          <t>LEKSAND</t>
        </is>
      </c>
      <c r="G570" t="n">
        <v>3.1</v>
      </c>
      <c r="H570" t="n">
        <v>0</v>
      </c>
      <c r="I570" t="n">
        <v>0</v>
      </c>
      <c r="J570" t="n">
        <v>0</v>
      </c>
      <c r="K570" t="n">
        <v>0</v>
      </c>
      <c r="L570" t="n">
        <v>0</v>
      </c>
      <c r="M570" t="n">
        <v>0</v>
      </c>
      <c r="N570" t="n">
        <v>0</v>
      </c>
      <c r="O570" t="n">
        <v>0</v>
      </c>
      <c r="P570" t="n">
        <v>0</v>
      </c>
      <c r="Q570" t="n">
        <v>0</v>
      </c>
      <c r="R570" s="2" t="inlineStr"/>
    </row>
    <row r="571" ht="15" customHeight="1">
      <c r="A571" t="inlineStr">
        <is>
          <t>A 167-2023</t>
        </is>
      </c>
      <c r="B571" s="1" t="n">
        <v>44918</v>
      </c>
      <c r="C571" s="1" t="n">
        <v>45933</v>
      </c>
      <c r="D571" t="inlineStr">
        <is>
          <t>DALARNAS LÄN</t>
        </is>
      </c>
      <c r="E571" t="inlineStr">
        <is>
          <t>LEKSAND</t>
        </is>
      </c>
      <c r="G571" t="n">
        <v>0.5</v>
      </c>
      <c r="H571" t="n">
        <v>0</v>
      </c>
      <c r="I571" t="n">
        <v>0</v>
      </c>
      <c r="J571" t="n">
        <v>0</v>
      </c>
      <c r="K571" t="n">
        <v>0</v>
      </c>
      <c r="L571" t="n">
        <v>0</v>
      </c>
      <c r="M571" t="n">
        <v>0</v>
      </c>
      <c r="N571" t="n">
        <v>0</v>
      </c>
      <c r="O571" t="n">
        <v>0</v>
      </c>
      <c r="P571" t="n">
        <v>0</v>
      </c>
      <c r="Q571" t="n">
        <v>0</v>
      </c>
      <c r="R571" s="2" t="inlineStr"/>
    </row>
    <row r="572" ht="15" customHeight="1">
      <c r="A572" t="inlineStr">
        <is>
          <t>A 56950-2024</t>
        </is>
      </c>
      <c r="B572" s="1" t="n">
        <v>45625</v>
      </c>
      <c r="C572" s="1" t="n">
        <v>45933</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11678-2023</t>
        </is>
      </c>
      <c r="B573" s="1" t="n">
        <v>44994</v>
      </c>
      <c r="C573" s="1" t="n">
        <v>45933</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13288-2023</t>
        </is>
      </c>
      <c r="B574" s="1" t="n">
        <v>45004.8160300926</v>
      </c>
      <c r="C574" s="1" t="n">
        <v>45933</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11869-2024</t>
        </is>
      </c>
      <c r="B575" s="1" t="n">
        <v>45376.45800925926</v>
      </c>
      <c r="C575" s="1" t="n">
        <v>45933</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9938-2023</t>
        </is>
      </c>
      <c r="B576" s="1" t="n">
        <v>44985</v>
      </c>
      <c r="C576" s="1" t="n">
        <v>45933</v>
      </c>
      <c r="D576" t="inlineStr">
        <is>
          <t>DALARNAS LÄN</t>
        </is>
      </c>
      <c r="E576" t="inlineStr">
        <is>
          <t>LEKSAND</t>
        </is>
      </c>
      <c r="G576" t="n">
        <v>3.1</v>
      </c>
      <c r="H576" t="n">
        <v>0</v>
      </c>
      <c r="I576" t="n">
        <v>0</v>
      </c>
      <c r="J576" t="n">
        <v>0</v>
      </c>
      <c r="K576" t="n">
        <v>0</v>
      </c>
      <c r="L576" t="n">
        <v>0</v>
      </c>
      <c r="M576" t="n">
        <v>0</v>
      </c>
      <c r="N576" t="n">
        <v>0</v>
      </c>
      <c r="O576" t="n">
        <v>0</v>
      </c>
      <c r="P576" t="n">
        <v>0</v>
      </c>
      <c r="Q576" t="n">
        <v>0</v>
      </c>
      <c r="R576" s="2" t="inlineStr"/>
    </row>
    <row r="577" ht="15" customHeight="1">
      <c r="A577" t="inlineStr">
        <is>
          <t>A 27520-2023</t>
        </is>
      </c>
      <c r="B577" s="1" t="n">
        <v>45097</v>
      </c>
      <c r="C577" s="1" t="n">
        <v>45933</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59103-2024</t>
        </is>
      </c>
      <c r="B578" s="1" t="n">
        <v>45637.34184027778</v>
      </c>
      <c r="C578" s="1" t="n">
        <v>45933</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30169-2023</t>
        </is>
      </c>
      <c r="B579" s="1" t="n">
        <v>45110</v>
      </c>
      <c r="C579" s="1" t="n">
        <v>45933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37952-2024</t>
        </is>
      </c>
      <c r="B580" s="1" t="n">
        <v>45544.5200462963</v>
      </c>
      <c r="C580" s="1" t="n">
        <v>45933</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70099-2021</t>
        </is>
      </c>
      <c r="B581" s="1" t="n">
        <v>44533</v>
      </c>
      <c r="C581" s="1" t="n">
        <v>45933</v>
      </c>
      <c r="D581" t="inlineStr">
        <is>
          <t>DALARNAS LÄN</t>
        </is>
      </c>
      <c r="E581" t="inlineStr">
        <is>
          <t>LEKSAND</t>
        </is>
      </c>
      <c r="G581" t="n">
        <v>2.8</v>
      </c>
      <c r="H581" t="n">
        <v>0</v>
      </c>
      <c r="I581" t="n">
        <v>0</v>
      </c>
      <c r="J581" t="n">
        <v>0</v>
      </c>
      <c r="K581" t="n">
        <v>0</v>
      </c>
      <c r="L581" t="n">
        <v>0</v>
      </c>
      <c r="M581" t="n">
        <v>0</v>
      </c>
      <c r="N581" t="n">
        <v>0</v>
      </c>
      <c r="O581" t="n">
        <v>0</v>
      </c>
      <c r="P581" t="n">
        <v>0</v>
      </c>
      <c r="Q581" t="n">
        <v>0</v>
      </c>
      <c r="R581" s="2" t="inlineStr"/>
    </row>
    <row r="582" ht="15" customHeight="1">
      <c r="A582" t="inlineStr">
        <is>
          <t>A 13401-2023</t>
        </is>
      </c>
      <c r="B582" s="1" t="n">
        <v>45005</v>
      </c>
      <c r="C582" s="1" t="n">
        <v>45933</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60113-2022</t>
        </is>
      </c>
      <c r="B583" s="1" t="n">
        <v>44909</v>
      </c>
      <c r="C583" s="1" t="n">
        <v>45933</v>
      </c>
      <c r="D583" t="inlineStr">
        <is>
          <t>DALARNAS LÄN</t>
        </is>
      </c>
      <c r="E583" t="inlineStr">
        <is>
          <t>LEKSAND</t>
        </is>
      </c>
      <c r="G583" t="n">
        <v>3.7</v>
      </c>
      <c r="H583" t="n">
        <v>0</v>
      </c>
      <c r="I583" t="n">
        <v>0</v>
      </c>
      <c r="J583" t="n">
        <v>0</v>
      </c>
      <c r="K583" t="n">
        <v>0</v>
      </c>
      <c r="L583" t="n">
        <v>0</v>
      </c>
      <c r="M583" t="n">
        <v>0</v>
      </c>
      <c r="N583" t="n">
        <v>0</v>
      </c>
      <c r="O583" t="n">
        <v>0</v>
      </c>
      <c r="P583" t="n">
        <v>0</v>
      </c>
      <c r="Q583" t="n">
        <v>0</v>
      </c>
      <c r="R583" s="2" t="inlineStr"/>
    </row>
    <row r="584" ht="15" customHeight="1">
      <c r="A584" t="inlineStr">
        <is>
          <t>A 15173-2025</t>
        </is>
      </c>
      <c r="B584" s="1" t="n">
        <v>45744.50858796296</v>
      </c>
      <c r="C584" s="1" t="n">
        <v>45933</v>
      </c>
      <c r="D584" t="inlineStr">
        <is>
          <t>DALARNAS LÄN</t>
        </is>
      </c>
      <c r="E584" t="inlineStr">
        <is>
          <t>LEKSAND</t>
        </is>
      </c>
      <c r="G584" t="n">
        <v>0.3</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45933</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31254-2023</t>
        </is>
      </c>
      <c r="B586" s="1" t="n">
        <v>45114</v>
      </c>
      <c r="C586" s="1" t="n">
        <v>45933</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62306-2023</t>
        </is>
      </c>
      <c r="B587" s="1" t="n">
        <v>45266</v>
      </c>
      <c r="C587" s="1" t="n">
        <v>45933</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30175-2023</t>
        </is>
      </c>
      <c r="B588" s="1" t="n">
        <v>45110</v>
      </c>
      <c r="C588" s="1" t="n">
        <v>45933</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28921-2023</t>
        </is>
      </c>
      <c r="B589" s="1" t="n">
        <v>45104</v>
      </c>
      <c r="C589" s="1" t="n">
        <v>45933</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8940-2023</t>
        </is>
      </c>
      <c r="B590" s="1" t="n">
        <v>44974</v>
      </c>
      <c r="C590" s="1" t="n">
        <v>45933</v>
      </c>
      <c r="D590" t="inlineStr">
        <is>
          <t>DALARNAS LÄN</t>
        </is>
      </c>
      <c r="E590" t="inlineStr">
        <is>
          <t>LEKSAND</t>
        </is>
      </c>
      <c r="G590" t="n">
        <v>1.5</v>
      </c>
      <c r="H590" t="n">
        <v>0</v>
      </c>
      <c r="I590" t="n">
        <v>0</v>
      </c>
      <c r="J590" t="n">
        <v>0</v>
      </c>
      <c r="K590" t="n">
        <v>0</v>
      </c>
      <c r="L590" t="n">
        <v>0</v>
      </c>
      <c r="M590" t="n">
        <v>0</v>
      </c>
      <c r="N590" t="n">
        <v>0</v>
      </c>
      <c r="O590" t="n">
        <v>0</v>
      </c>
      <c r="P590" t="n">
        <v>0</v>
      </c>
      <c r="Q590" t="n">
        <v>0</v>
      </c>
      <c r="R590" s="2" t="inlineStr"/>
    </row>
    <row r="591" ht="15" customHeight="1">
      <c r="A591" t="inlineStr">
        <is>
          <t>A 9459-2023</t>
        </is>
      </c>
      <c r="B591" s="1" t="n">
        <v>44977</v>
      </c>
      <c r="C591" s="1" t="n">
        <v>45933</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56941-2024</t>
        </is>
      </c>
      <c r="B592" s="1" t="n">
        <v>45625</v>
      </c>
      <c r="C592" s="1" t="n">
        <v>45933</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48721-2023</t>
        </is>
      </c>
      <c r="B593" s="1" t="n">
        <v>45203</v>
      </c>
      <c r="C593" s="1" t="n">
        <v>45933</v>
      </c>
      <c r="D593" t="inlineStr">
        <is>
          <t>DALARNAS LÄN</t>
        </is>
      </c>
      <c r="E593" t="inlineStr">
        <is>
          <t>LEKSAND</t>
        </is>
      </c>
      <c r="G593" t="n">
        <v>2.9</v>
      </c>
      <c r="H593" t="n">
        <v>0</v>
      </c>
      <c r="I593" t="n">
        <v>0</v>
      </c>
      <c r="J593" t="n">
        <v>0</v>
      </c>
      <c r="K593" t="n">
        <v>0</v>
      </c>
      <c r="L593" t="n">
        <v>0</v>
      </c>
      <c r="M593" t="n">
        <v>0</v>
      </c>
      <c r="N593" t="n">
        <v>0</v>
      </c>
      <c r="O593" t="n">
        <v>0</v>
      </c>
      <c r="P593" t="n">
        <v>0</v>
      </c>
      <c r="Q593" t="n">
        <v>0</v>
      </c>
      <c r="R593" s="2" t="inlineStr"/>
    </row>
    <row r="594" ht="15" customHeight="1">
      <c r="A594" t="inlineStr">
        <is>
          <t>A 33463-2023</t>
        </is>
      </c>
      <c r="B594" s="1" t="n">
        <v>45131</v>
      </c>
      <c r="C594" s="1" t="n">
        <v>45933</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8755-2023</t>
        </is>
      </c>
      <c r="B595" s="1" t="n">
        <v>44978</v>
      </c>
      <c r="C595" s="1" t="n">
        <v>45933</v>
      </c>
      <c r="D595" t="inlineStr">
        <is>
          <t>DALARNAS LÄN</t>
        </is>
      </c>
      <c r="E595" t="inlineStr">
        <is>
          <t>LEKSAND</t>
        </is>
      </c>
      <c r="G595" t="n">
        <v>2.3</v>
      </c>
      <c r="H595" t="n">
        <v>0</v>
      </c>
      <c r="I595" t="n">
        <v>0</v>
      </c>
      <c r="J595" t="n">
        <v>0</v>
      </c>
      <c r="K595" t="n">
        <v>0</v>
      </c>
      <c r="L595" t="n">
        <v>0</v>
      </c>
      <c r="M595" t="n">
        <v>0</v>
      </c>
      <c r="N595" t="n">
        <v>0</v>
      </c>
      <c r="O595" t="n">
        <v>0</v>
      </c>
      <c r="P595" t="n">
        <v>0</v>
      </c>
      <c r="Q595" t="n">
        <v>0</v>
      </c>
      <c r="R595" s="2" t="inlineStr"/>
    </row>
    <row r="596" ht="15" customHeight="1">
      <c r="A596" t="inlineStr">
        <is>
          <t>A 59840-2024</t>
        </is>
      </c>
      <c r="B596" s="1" t="n">
        <v>45638</v>
      </c>
      <c r="C596" s="1" t="n">
        <v>45933</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10967-2023</t>
        </is>
      </c>
      <c r="B597" s="1" t="n">
        <v>44991.58001157407</v>
      </c>
      <c r="C597" s="1" t="n">
        <v>45933</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10974-2023</t>
        </is>
      </c>
      <c r="B598" s="1" t="n">
        <v>44991.59049768518</v>
      </c>
      <c r="C598" s="1" t="n">
        <v>45933</v>
      </c>
      <c r="D598" t="inlineStr">
        <is>
          <t>DALARNAS LÄN</t>
        </is>
      </c>
      <c r="E598" t="inlineStr">
        <is>
          <t>LEKSAND</t>
        </is>
      </c>
      <c r="G598" t="n">
        <v>0.3</v>
      </c>
      <c r="H598" t="n">
        <v>0</v>
      </c>
      <c r="I598" t="n">
        <v>0</v>
      </c>
      <c r="J598" t="n">
        <v>0</v>
      </c>
      <c r="K598" t="n">
        <v>0</v>
      </c>
      <c r="L598" t="n">
        <v>0</v>
      </c>
      <c r="M598" t="n">
        <v>0</v>
      </c>
      <c r="N598" t="n">
        <v>0</v>
      </c>
      <c r="O598" t="n">
        <v>0</v>
      </c>
      <c r="P598" t="n">
        <v>0</v>
      </c>
      <c r="Q598" t="n">
        <v>0</v>
      </c>
      <c r="R598" s="2" t="inlineStr"/>
    </row>
    <row r="599" ht="15" customHeight="1">
      <c r="A599" t="inlineStr">
        <is>
          <t>A 55516-2024</t>
        </is>
      </c>
      <c r="B599" s="1" t="n">
        <v>45621</v>
      </c>
      <c r="C599" s="1" t="n">
        <v>45933</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30858-2024</t>
        </is>
      </c>
      <c r="B600" s="1" t="n">
        <v>45497.67601851852</v>
      </c>
      <c r="C600" s="1" t="n">
        <v>45933</v>
      </c>
      <c r="D600" t="inlineStr">
        <is>
          <t>DALARNAS LÄN</t>
        </is>
      </c>
      <c r="E600" t="inlineStr">
        <is>
          <t>LEKSAND</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11015-2022</t>
        </is>
      </c>
      <c r="B601" s="1" t="n">
        <v>44628.52340277778</v>
      </c>
      <c r="C601" s="1" t="n">
        <v>45933</v>
      </c>
      <c r="D601" t="inlineStr">
        <is>
          <t>DALARNAS LÄN</t>
        </is>
      </c>
      <c r="E601" t="inlineStr">
        <is>
          <t>LEKSAND</t>
        </is>
      </c>
      <c r="G601" t="n">
        <v>1.4</v>
      </c>
      <c r="H601" t="n">
        <v>0</v>
      </c>
      <c r="I601" t="n">
        <v>0</v>
      </c>
      <c r="J601" t="n">
        <v>0</v>
      </c>
      <c r="K601" t="n">
        <v>0</v>
      </c>
      <c r="L601" t="n">
        <v>0</v>
      </c>
      <c r="M601" t="n">
        <v>0</v>
      </c>
      <c r="N601" t="n">
        <v>0</v>
      </c>
      <c r="O601" t="n">
        <v>0</v>
      </c>
      <c r="P601" t="n">
        <v>0</v>
      </c>
      <c r="Q601" t="n">
        <v>0</v>
      </c>
      <c r="R601" s="2" t="inlineStr"/>
    </row>
    <row r="602" ht="15" customHeight="1">
      <c r="A602" t="inlineStr">
        <is>
          <t>A 12582-2025</t>
        </is>
      </c>
      <c r="B602" s="1" t="n">
        <v>45732.62988425926</v>
      </c>
      <c r="C602" s="1" t="n">
        <v>45933</v>
      </c>
      <c r="D602" t="inlineStr">
        <is>
          <t>DALARNAS LÄN</t>
        </is>
      </c>
      <c r="E602" t="inlineStr">
        <is>
          <t>LEKSAND</t>
        </is>
      </c>
      <c r="G602" t="n">
        <v>1.3</v>
      </c>
      <c r="H602" t="n">
        <v>0</v>
      </c>
      <c r="I602" t="n">
        <v>0</v>
      </c>
      <c r="J602" t="n">
        <v>0</v>
      </c>
      <c r="K602" t="n">
        <v>0</v>
      </c>
      <c r="L602" t="n">
        <v>0</v>
      </c>
      <c r="M602" t="n">
        <v>0</v>
      </c>
      <c r="N602" t="n">
        <v>0</v>
      </c>
      <c r="O602" t="n">
        <v>0</v>
      </c>
      <c r="P602" t="n">
        <v>0</v>
      </c>
      <c r="Q602" t="n">
        <v>0</v>
      </c>
      <c r="R602" s="2" t="inlineStr"/>
    </row>
    <row r="603" ht="15" customHeight="1">
      <c r="A603" t="inlineStr">
        <is>
          <t>A 1182-2025</t>
        </is>
      </c>
      <c r="B603" s="1" t="n">
        <v>45667.35712962963</v>
      </c>
      <c r="C603" s="1" t="n">
        <v>45933</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1519-2024</t>
        </is>
      </c>
      <c r="B604" s="1" t="n">
        <v>45306</v>
      </c>
      <c r="C604" s="1" t="n">
        <v>45933</v>
      </c>
      <c r="D604" t="inlineStr">
        <is>
          <t>DALARNAS LÄN</t>
        </is>
      </c>
      <c r="E604" t="inlineStr">
        <is>
          <t>LEKSAND</t>
        </is>
      </c>
      <c r="G604" t="n">
        <v>3.3</v>
      </c>
      <c r="H604" t="n">
        <v>0</v>
      </c>
      <c r="I604" t="n">
        <v>0</v>
      </c>
      <c r="J604" t="n">
        <v>0</v>
      </c>
      <c r="K604" t="n">
        <v>0</v>
      </c>
      <c r="L604" t="n">
        <v>0</v>
      </c>
      <c r="M604" t="n">
        <v>0</v>
      </c>
      <c r="N604" t="n">
        <v>0</v>
      </c>
      <c r="O604" t="n">
        <v>0</v>
      </c>
      <c r="P604" t="n">
        <v>0</v>
      </c>
      <c r="Q604" t="n">
        <v>0</v>
      </c>
      <c r="R604" s="2" t="inlineStr"/>
    </row>
    <row r="605" ht="15" customHeight="1">
      <c r="A605" t="inlineStr">
        <is>
          <t>A 71817-2021</t>
        </is>
      </c>
      <c r="B605" s="1" t="n">
        <v>44543.59780092593</v>
      </c>
      <c r="C605" s="1" t="n">
        <v>45933</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32-2024</t>
        </is>
      </c>
      <c r="B606" s="1" t="n">
        <v>45293</v>
      </c>
      <c r="C606" s="1" t="n">
        <v>45933</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36932-2023</t>
        </is>
      </c>
      <c r="B607" s="1" t="n">
        <v>45154</v>
      </c>
      <c r="C607" s="1" t="n">
        <v>45933</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23663-2024</t>
        </is>
      </c>
      <c r="B608" s="1" t="n">
        <v>45454.57049768518</v>
      </c>
      <c r="C608" s="1" t="n">
        <v>45933</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33180-2024</t>
        </is>
      </c>
      <c r="B609" s="1" t="n">
        <v>45518.44481481481</v>
      </c>
      <c r="C609" s="1" t="n">
        <v>45933</v>
      </c>
      <c r="D609" t="inlineStr">
        <is>
          <t>DALARNAS LÄN</t>
        </is>
      </c>
      <c r="E609" t="inlineStr">
        <is>
          <t>LEKSAND</t>
        </is>
      </c>
      <c r="G609" t="n">
        <v>7.6</v>
      </c>
      <c r="H609" t="n">
        <v>0</v>
      </c>
      <c r="I609" t="n">
        <v>0</v>
      </c>
      <c r="J609" t="n">
        <v>0</v>
      </c>
      <c r="K609" t="n">
        <v>0</v>
      </c>
      <c r="L609" t="n">
        <v>0</v>
      </c>
      <c r="M609" t="n">
        <v>0</v>
      </c>
      <c r="N609" t="n">
        <v>0</v>
      </c>
      <c r="O609" t="n">
        <v>0</v>
      </c>
      <c r="P609" t="n">
        <v>0</v>
      </c>
      <c r="Q609" t="n">
        <v>0</v>
      </c>
      <c r="R609" s="2" t="inlineStr"/>
    </row>
    <row r="610" ht="15" customHeight="1">
      <c r="A610" t="inlineStr">
        <is>
          <t>A 60715-2022</t>
        </is>
      </c>
      <c r="B610" s="1" t="n">
        <v>44912</v>
      </c>
      <c r="C610" s="1" t="n">
        <v>45933</v>
      </c>
      <c r="D610" t="inlineStr">
        <is>
          <t>DALARNAS LÄN</t>
        </is>
      </c>
      <c r="E610" t="inlineStr">
        <is>
          <t>LEKSAND</t>
        </is>
      </c>
      <c r="G610" t="n">
        <v>1</v>
      </c>
      <c r="H610" t="n">
        <v>0</v>
      </c>
      <c r="I610" t="n">
        <v>0</v>
      </c>
      <c r="J610" t="n">
        <v>0</v>
      </c>
      <c r="K610" t="n">
        <v>0</v>
      </c>
      <c r="L610" t="n">
        <v>0</v>
      </c>
      <c r="M610" t="n">
        <v>0</v>
      </c>
      <c r="N610" t="n">
        <v>0</v>
      </c>
      <c r="O610" t="n">
        <v>0</v>
      </c>
      <c r="P610" t="n">
        <v>0</v>
      </c>
      <c r="Q610" t="n">
        <v>0</v>
      </c>
      <c r="R610" s="2" t="inlineStr"/>
    </row>
    <row r="611" ht="15" customHeight="1">
      <c r="A611" t="inlineStr">
        <is>
          <t>A 11092-2023</t>
        </is>
      </c>
      <c r="B611" s="1" t="n">
        <v>44992</v>
      </c>
      <c r="C611" s="1" t="n">
        <v>45933</v>
      </c>
      <c r="D611" t="inlineStr">
        <is>
          <t>DALARNAS LÄN</t>
        </is>
      </c>
      <c r="E611" t="inlineStr">
        <is>
          <t>LEKSAND</t>
        </is>
      </c>
      <c r="G611" t="n">
        <v>0.5</v>
      </c>
      <c r="H611" t="n">
        <v>0</v>
      </c>
      <c r="I611" t="n">
        <v>0</v>
      </c>
      <c r="J611" t="n">
        <v>0</v>
      </c>
      <c r="K611" t="n">
        <v>0</v>
      </c>
      <c r="L611" t="n">
        <v>0</v>
      </c>
      <c r="M611" t="n">
        <v>0</v>
      </c>
      <c r="N611" t="n">
        <v>0</v>
      </c>
      <c r="O611" t="n">
        <v>0</v>
      </c>
      <c r="P611" t="n">
        <v>0</v>
      </c>
      <c r="Q611" t="n">
        <v>0</v>
      </c>
      <c r="R611" s="2" t="inlineStr"/>
    </row>
    <row r="612" ht="15" customHeight="1">
      <c r="A612" t="inlineStr">
        <is>
          <t>A 15882-2023</t>
        </is>
      </c>
      <c r="B612" s="1" t="n">
        <v>45022</v>
      </c>
      <c r="C612" s="1" t="n">
        <v>45933</v>
      </c>
      <c r="D612" t="inlineStr">
        <is>
          <t>DALARNAS LÄN</t>
        </is>
      </c>
      <c r="E612" t="inlineStr">
        <is>
          <t>LEKSAND</t>
        </is>
      </c>
      <c r="G612" t="n">
        <v>0.1</v>
      </c>
      <c r="H612" t="n">
        <v>0</v>
      </c>
      <c r="I612" t="n">
        <v>0</v>
      </c>
      <c r="J612" t="n">
        <v>0</v>
      </c>
      <c r="K612" t="n">
        <v>0</v>
      </c>
      <c r="L612" t="n">
        <v>0</v>
      </c>
      <c r="M612" t="n">
        <v>0</v>
      </c>
      <c r="N612" t="n">
        <v>0</v>
      </c>
      <c r="O612" t="n">
        <v>0</v>
      </c>
      <c r="P612" t="n">
        <v>0</v>
      </c>
      <c r="Q612" t="n">
        <v>0</v>
      </c>
      <c r="R612" s="2" t="inlineStr"/>
    </row>
    <row r="613" ht="15" customHeight="1">
      <c r="A613" t="inlineStr">
        <is>
          <t>A 1443-2024</t>
        </is>
      </c>
      <c r="B613" s="1" t="n">
        <v>45303</v>
      </c>
      <c r="C613" s="1" t="n">
        <v>45933</v>
      </c>
      <c r="D613" t="inlineStr">
        <is>
          <t>DALARNAS LÄN</t>
        </is>
      </c>
      <c r="E613" t="inlineStr">
        <is>
          <t>LEKSAND</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1457-2024</t>
        </is>
      </c>
      <c r="B614" s="1" t="n">
        <v>45303</v>
      </c>
      <c r="C614" s="1" t="n">
        <v>45933</v>
      </c>
      <c r="D614" t="inlineStr">
        <is>
          <t>DALARNAS LÄN</t>
        </is>
      </c>
      <c r="E614" t="inlineStr">
        <is>
          <t>LEKSAND</t>
        </is>
      </c>
      <c r="G614" t="n">
        <v>4.4</v>
      </c>
      <c r="H614" t="n">
        <v>0</v>
      </c>
      <c r="I614" t="n">
        <v>0</v>
      </c>
      <c r="J614" t="n">
        <v>0</v>
      </c>
      <c r="K614" t="n">
        <v>0</v>
      </c>
      <c r="L614" t="n">
        <v>0</v>
      </c>
      <c r="M614" t="n">
        <v>0</v>
      </c>
      <c r="N614" t="n">
        <v>0</v>
      </c>
      <c r="O614" t="n">
        <v>0</v>
      </c>
      <c r="P614" t="n">
        <v>0</v>
      </c>
      <c r="Q614" t="n">
        <v>0</v>
      </c>
      <c r="R614" s="2" t="inlineStr"/>
    </row>
    <row r="615" ht="15" customHeight="1">
      <c r="A615" t="inlineStr">
        <is>
          <t>A 1215-2024</t>
        </is>
      </c>
      <c r="B615" s="1" t="n">
        <v>45302</v>
      </c>
      <c r="C615" s="1" t="n">
        <v>45933</v>
      </c>
      <c r="D615" t="inlineStr">
        <is>
          <t>DALARNAS LÄN</t>
        </is>
      </c>
      <c r="E615" t="inlineStr">
        <is>
          <t>LEKSAND</t>
        </is>
      </c>
      <c r="G615" t="n">
        <v>1.3</v>
      </c>
      <c r="H615" t="n">
        <v>0</v>
      </c>
      <c r="I615" t="n">
        <v>0</v>
      </c>
      <c r="J615" t="n">
        <v>0</v>
      </c>
      <c r="K615" t="n">
        <v>0</v>
      </c>
      <c r="L615" t="n">
        <v>0</v>
      </c>
      <c r="M615" t="n">
        <v>0</v>
      </c>
      <c r="N615" t="n">
        <v>0</v>
      </c>
      <c r="O615" t="n">
        <v>0</v>
      </c>
      <c r="P615" t="n">
        <v>0</v>
      </c>
      <c r="Q615" t="n">
        <v>0</v>
      </c>
      <c r="R615" s="2" t="inlineStr"/>
    </row>
    <row r="616" ht="15" customHeight="1">
      <c r="A616" t="inlineStr">
        <is>
          <t>A 53464-2024</t>
        </is>
      </c>
      <c r="B616" s="1" t="n">
        <v>45611</v>
      </c>
      <c r="C616" s="1" t="n">
        <v>45933</v>
      </c>
      <c r="D616" t="inlineStr">
        <is>
          <t>DALARNAS LÄN</t>
        </is>
      </c>
      <c r="E616" t="inlineStr">
        <is>
          <t>LEKSAND</t>
        </is>
      </c>
      <c r="G616" t="n">
        <v>1.7</v>
      </c>
      <c r="H616" t="n">
        <v>0</v>
      </c>
      <c r="I616" t="n">
        <v>0</v>
      </c>
      <c r="J616" t="n">
        <v>0</v>
      </c>
      <c r="K616" t="n">
        <v>0</v>
      </c>
      <c r="L616" t="n">
        <v>0</v>
      </c>
      <c r="M616" t="n">
        <v>0</v>
      </c>
      <c r="N616" t="n">
        <v>0</v>
      </c>
      <c r="O616" t="n">
        <v>0</v>
      </c>
      <c r="P616" t="n">
        <v>0</v>
      </c>
      <c r="Q616" t="n">
        <v>0</v>
      </c>
      <c r="R616" s="2" t="inlineStr"/>
    </row>
    <row r="617" ht="15" customHeight="1">
      <c r="A617" t="inlineStr">
        <is>
          <t>A 56330-2022</t>
        </is>
      </c>
      <c r="B617" s="1" t="n">
        <v>44890.62630787037</v>
      </c>
      <c r="C617" s="1" t="n">
        <v>45933</v>
      </c>
      <c r="D617" t="inlineStr">
        <is>
          <t>DALARNAS LÄN</t>
        </is>
      </c>
      <c r="E617" t="inlineStr">
        <is>
          <t>LEKSAND</t>
        </is>
      </c>
      <c r="G617" t="n">
        <v>4.9</v>
      </c>
      <c r="H617" t="n">
        <v>0</v>
      </c>
      <c r="I617" t="n">
        <v>0</v>
      </c>
      <c r="J617" t="n">
        <v>0</v>
      </c>
      <c r="K617" t="n">
        <v>0</v>
      </c>
      <c r="L617" t="n">
        <v>0</v>
      </c>
      <c r="M617" t="n">
        <v>0</v>
      </c>
      <c r="N617" t="n">
        <v>0</v>
      </c>
      <c r="O617" t="n">
        <v>0</v>
      </c>
      <c r="P617" t="n">
        <v>0</v>
      </c>
      <c r="Q617" t="n">
        <v>0</v>
      </c>
      <c r="R617" s="2" t="inlineStr"/>
    </row>
    <row r="618" ht="15" customHeight="1">
      <c r="A618" t="inlineStr">
        <is>
          <t>A 2140-2024</t>
        </is>
      </c>
      <c r="B618" s="1" t="n">
        <v>45309</v>
      </c>
      <c r="C618" s="1" t="n">
        <v>45933</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2694-2025</t>
        </is>
      </c>
      <c r="B619" s="1" t="n">
        <v>45677.38246527778</v>
      </c>
      <c r="C619" s="1" t="n">
        <v>45933</v>
      </c>
      <c r="D619" t="inlineStr">
        <is>
          <t>DALARNAS LÄN</t>
        </is>
      </c>
      <c r="E619" t="inlineStr">
        <is>
          <t>LEKSAND</t>
        </is>
      </c>
      <c r="G619" t="n">
        <v>1</v>
      </c>
      <c r="H619" t="n">
        <v>0</v>
      </c>
      <c r="I619" t="n">
        <v>0</v>
      </c>
      <c r="J619" t="n">
        <v>0</v>
      </c>
      <c r="K619" t="n">
        <v>0</v>
      </c>
      <c r="L619" t="n">
        <v>0</v>
      </c>
      <c r="M619" t="n">
        <v>0</v>
      </c>
      <c r="N619" t="n">
        <v>0</v>
      </c>
      <c r="O619" t="n">
        <v>0</v>
      </c>
      <c r="P619" t="n">
        <v>0</v>
      </c>
      <c r="Q619" t="n">
        <v>0</v>
      </c>
      <c r="R619" s="2" t="inlineStr"/>
    </row>
    <row r="620" ht="15" customHeight="1">
      <c r="A620" t="inlineStr">
        <is>
          <t>A 18176-2024</t>
        </is>
      </c>
      <c r="B620" s="1" t="n">
        <v>45420.63901620371</v>
      </c>
      <c r="C620" s="1" t="n">
        <v>45933</v>
      </c>
      <c r="D620" t="inlineStr">
        <is>
          <t>DALARNAS LÄN</t>
        </is>
      </c>
      <c r="E620" t="inlineStr">
        <is>
          <t>LEKSAND</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55268-2024</t>
        </is>
      </c>
      <c r="B621" s="1" t="n">
        <v>45621.61266203703</v>
      </c>
      <c r="C621" s="1" t="n">
        <v>45933</v>
      </c>
      <c r="D621" t="inlineStr">
        <is>
          <t>DALARNAS LÄN</t>
        </is>
      </c>
      <c r="E621" t="inlineStr">
        <is>
          <t>LEKSAND</t>
        </is>
      </c>
      <c r="G621" t="n">
        <v>4.2</v>
      </c>
      <c r="H621" t="n">
        <v>0</v>
      </c>
      <c r="I621" t="n">
        <v>0</v>
      </c>
      <c r="J621" t="n">
        <v>0</v>
      </c>
      <c r="K621" t="n">
        <v>0</v>
      </c>
      <c r="L621" t="n">
        <v>0</v>
      </c>
      <c r="M621" t="n">
        <v>0</v>
      </c>
      <c r="N621" t="n">
        <v>0</v>
      </c>
      <c r="O621" t="n">
        <v>0</v>
      </c>
      <c r="P621" t="n">
        <v>0</v>
      </c>
      <c r="Q621" t="n">
        <v>0</v>
      </c>
      <c r="R621" s="2" t="inlineStr"/>
    </row>
    <row r="622" ht="15" customHeight="1">
      <c r="A622" t="inlineStr">
        <is>
          <t>A 62130-2024</t>
        </is>
      </c>
      <c r="B622" s="1" t="n">
        <v>45656.61827546296</v>
      </c>
      <c r="C622" s="1" t="n">
        <v>45933</v>
      </c>
      <c r="D622" t="inlineStr">
        <is>
          <t>DALARNAS LÄN</t>
        </is>
      </c>
      <c r="E622" t="inlineStr">
        <is>
          <t>LEKSAND</t>
        </is>
      </c>
      <c r="G622" t="n">
        <v>11.4</v>
      </c>
      <c r="H622" t="n">
        <v>0</v>
      </c>
      <c r="I622" t="n">
        <v>0</v>
      </c>
      <c r="J622" t="n">
        <v>0</v>
      </c>
      <c r="K622" t="n">
        <v>0</v>
      </c>
      <c r="L622" t="n">
        <v>0</v>
      </c>
      <c r="M622" t="n">
        <v>0</v>
      </c>
      <c r="N622" t="n">
        <v>0</v>
      </c>
      <c r="O622" t="n">
        <v>0</v>
      </c>
      <c r="P622" t="n">
        <v>0</v>
      </c>
      <c r="Q622" t="n">
        <v>0</v>
      </c>
      <c r="R622" s="2" t="inlineStr"/>
    </row>
    <row r="623" ht="15" customHeight="1">
      <c r="A623" t="inlineStr">
        <is>
          <t>A 30998-2023</t>
        </is>
      </c>
      <c r="B623" s="1" t="n">
        <v>45113.54193287037</v>
      </c>
      <c r="C623" s="1" t="n">
        <v>45933</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6519-2025</t>
        </is>
      </c>
      <c r="B624" s="1" t="n">
        <v>45699</v>
      </c>
      <c r="C624" s="1" t="n">
        <v>45933</v>
      </c>
      <c r="D624" t="inlineStr">
        <is>
          <t>DALARNAS LÄN</t>
        </is>
      </c>
      <c r="E624" t="inlineStr">
        <is>
          <t>LEKSAND</t>
        </is>
      </c>
      <c r="G624" t="n">
        <v>0.8</v>
      </c>
      <c r="H624" t="n">
        <v>0</v>
      </c>
      <c r="I624" t="n">
        <v>0</v>
      </c>
      <c r="J624" t="n">
        <v>0</v>
      </c>
      <c r="K624" t="n">
        <v>0</v>
      </c>
      <c r="L624" t="n">
        <v>0</v>
      </c>
      <c r="M624" t="n">
        <v>0</v>
      </c>
      <c r="N624" t="n">
        <v>0</v>
      </c>
      <c r="O624" t="n">
        <v>0</v>
      </c>
      <c r="P624" t="n">
        <v>0</v>
      </c>
      <c r="Q624" t="n">
        <v>0</v>
      </c>
      <c r="R624" s="2" t="inlineStr"/>
    </row>
    <row r="625" ht="15" customHeight="1">
      <c r="A625" t="inlineStr">
        <is>
          <t>A 9143-2023</t>
        </is>
      </c>
      <c r="B625" s="1" t="n">
        <v>44974</v>
      </c>
      <c r="C625" s="1" t="n">
        <v>45933</v>
      </c>
      <c r="D625" t="inlineStr">
        <is>
          <t>DALARNAS LÄN</t>
        </is>
      </c>
      <c r="E625" t="inlineStr">
        <is>
          <t>LEKSAND</t>
        </is>
      </c>
      <c r="G625" t="n">
        <v>4.3</v>
      </c>
      <c r="H625" t="n">
        <v>0</v>
      </c>
      <c r="I625" t="n">
        <v>0</v>
      </c>
      <c r="J625" t="n">
        <v>0</v>
      </c>
      <c r="K625" t="n">
        <v>0</v>
      </c>
      <c r="L625" t="n">
        <v>0</v>
      </c>
      <c r="M625" t="n">
        <v>0</v>
      </c>
      <c r="N625" t="n">
        <v>0</v>
      </c>
      <c r="O625" t="n">
        <v>0</v>
      </c>
      <c r="P625" t="n">
        <v>0</v>
      </c>
      <c r="Q625" t="n">
        <v>0</v>
      </c>
      <c r="R625" s="2" t="inlineStr"/>
    </row>
    <row r="626" ht="15" customHeight="1">
      <c r="A626" t="inlineStr">
        <is>
          <t>A 36262-2023</t>
        </is>
      </c>
      <c r="B626" s="1" t="n">
        <v>45151.9096875</v>
      </c>
      <c r="C626" s="1" t="n">
        <v>45933</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60095-2022</t>
        </is>
      </c>
      <c r="B627" s="1" t="n">
        <v>44909</v>
      </c>
      <c r="C627" s="1" t="n">
        <v>45933</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38117-2023</t>
        </is>
      </c>
      <c r="B628" s="1" t="n">
        <v>45161</v>
      </c>
      <c r="C628" s="1" t="n">
        <v>45933</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11418-2023</t>
        </is>
      </c>
      <c r="B629" s="1" t="n">
        <v>44993</v>
      </c>
      <c r="C629" s="1" t="n">
        <v>45933</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39558-2023</t>
        </is>
      </c>
      <c r="B630" s="1" t="n">
        <v>45167.38664351852</v>
      </c>
      <c r="C630" s="1" t="n">
        <v>45933</v>
      </c>
      <c r="D630" t="inlineStr">
        <is>
          <t>DALARNAS LÄN</t>
        </is>
      </c>
      <c r="E630" t="inlineStr">
        <is>
          <t>LEKSAND</t>
        </is>
      </c>
      <c r="G630" t="n">
        <v>39.9</v>
      </c>
      <c r="H630" t="n">
        <v>0</v>
      </c>
      <c r="I630" t="n">
        <v>0</v>
      </c>
      <c r="J630" t="n">
        <v>0</v>
      </c>
      <c r="K630" t="n">
        <v>0</v>
      </c>
      <c r="L630" t="n">
        <v>0</v>
      </c>
      <c r="M630" t="n">
        <v>0</v>
      </c>
      <c r="N630" t="n">
        <v>0</v>
      </c>
      <c r="O630" t="n">
        <v>0</v>
      </c>
      <c r="P630" t="n">
        <v>0</v>
      </c>
      <c r="Q630" t="n">
        <v>0</v>
      </c>
      <c r="R630" s="2" t="inlineStr"/>
    </row>
    <row r="631" ht="15" customHeight="1">
      <c r="A631" t="inlineStr">
        <is>
          <t>A 43222-2024</t>
        </is>
      </c>
      <c r="B631" s="1" t="n">
        <v>45567.87177083334</v>
      </c>
      <c r="C631" s="1" t="n">
        <v>45933</v>
      </c>
      <c r="D631" t="inlineStr">
        <is>
          <t>DALARNAS LÄN</t>
        </is>
      </c>
      <c r="E631" t="inlineStr">
        <is>
          <t>LEKSAND</t>
        </is>
      </c>
      <c r="F631" t="inlineStr">
        <is>
          <t>Bergvik skog väst AB</t>
        </is>
      </c>
      <c r="G631" t="n">
        <v>8.6</v>
      </c>
      <c r="H631" t="n">
        <v>0</v>
      </c>
      <c r="I631" t="n">
        <v>0</v>
      </c>
      <c r="J631" t="n">
        <v>0</v>
      </c>
      <c r="K631" t="n">
        <v>0</v>
      </c>
      <c r="L631" t="n">
        <v>0</v>
      </c>
      <c r="M631" t="n">
        <v>0</v>
      </c>
      <c r="N631" t="n">
        <v>0</v>
      </c>
      <c r="O631" t="n">
        <v>0</v>
      </c>
      <c r="P631" t="n">
        <v>0</v>
      </c>
      <c r="Q631" t="n">
        <v>0</v>
      </c>
      <c r="R631" s="2" t="inlineStr"/>
    </row>
    <row r="632" ht="15" customHeight="1">
      <c r="A632" t="inlineStr">
        <is>
          <t>A 43231-2024</t>
        </is>
      </c>
      <c r="B632" s="1" t="n">
        <v>45567.89709490741</v>
      </c>
      <c r="C632" s="1" t="n">
        <v>45933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53122-2023</t>
        </is>
      </c>
      <c r="B633" s="1" t="n">
        <v>45228</v>
      </c>
      <c r="C633" s="1" t="n">
        <v>45933</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64516-2023</t>
        </is>
      </c>
      <c r="B634" s="1" t="n">
        <v>45280</v>
      </c>
      <c r="C634" s="1" t="n">
        <v>45933</v>
      </c>
      <c r="D634" t="inlineStr">
        <is>
          <t>DALARNAS LÄN</t>
        </is>
      </c>
      <c r="E634" t="inlineStr">
        <is>
          <t>LEKSAND</t>
        </is>
      </c>
      <c r="G634" t="n">
        <v>4.4</v>
      </c>
      <c r="H634" t="n">
        <v>0</v>
      </c>
      <c r="I634" t="n">
        <v>0</v>
      </c>
      <c r="J634" t="n">
        <v>0</v>
      </c>
      <c r="K634" t="n">
        <v>0</v>
      </c>
      <c r="L634" t="n">
        <v>0</v>
      </c>
      <c r="M634" t="n">
        <v>0</v>
      </c>
      <c r="N634" t="n">
        <v>0</v>
      </c>
      <c r="O634" t="n">
        <v>0</v>
      </c>
      <c r="P634" t="n">
        <v>0</v>
      </c>
      <c r="Q634" t="n">
        <v>0</v>
      </c>
      <c r="R634" s="2" t="inlineStr"/>
    </row>
    <row r="635" ht="15" customHeight="1">
      <c r="A635" t="inlineStr">
        <is>
          <t>A 53799-2023</t>
        </is>
      </c>
      <c r="B635" s="1" t="n">
        <v>45231.35564814815</v>
      </c>
      <c r="C635" s="1" t="n">
        <v>45933</v>
      </c>
      <c r="D635" t="inlineStr">
        <is>
          <t>DALARNAS LÄN</t>
        </is>
      </c>
      <c r="E635" t="inlineStr">
        <is>
          <t>LEKSAND</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40193-2024</t>
        </is>
      </c>
      <c r="B636" s="1" t="n">
        <v>45554.5734375</v>
      </c>
      <c r="C636" s="1" t="n">
        <v>45933</v>
      </c>
      <c r="D636" t="inlineStr">
        <is>
          <t>DALARNAS LÄN</t>
        </is>
      </c>
      <c r="E636" t="inlineStr">
        <is>
          <t>LEKSAND</t>
        </is>
      </c>
      <c r="F636" t="inlineStr">
        <is>
          <t>Övriga statliga verk och myndigheter</t>
        </is>
      </c>
      <c r="G636" t="n">
        <v>1</v>
      </c>
      <c r="H636" t="n">
        <v>0</v>
      </c>
      <c r="I636" t="n">
        <v>0</v>
      </c>
      <c r="J636" t="n">
        <v>0</v>
      </c>
      <c r="K636" t="n">
        <v>0</v>
      </c>
      <c r="L636" t="n">
        <v>0</v>
      </c>
      <c r="M636" t="n">
        <v>0</v>
      </c>
      <c r="N636" t="n">
        <v>0</v>
      </c>
      <c r="O636" t="n">
        <v>0</v>
      </c>
      <c r="P636" t="n">
        <v>0</v>
      </c>
      <c r="Q636" t="n">
        <v>0</v>
      </c>
      <c r="R636" s="2" t="inlineStr"/>
    </row>
    <row r="637" ht="15" customHeight="1">
      <c r="A637" t="inlineStr">
        <is>
          <t>A 31728-2024</t>
        </is>
      </c>
      <c r="B637" s="1" t="n">
        <v>45509.34517361111</v>
      </c>
      <c r="C637" s="1" t="n">
        <v>45933</v>
      </c>
      <c r="D637" t="inlineStr">
        <is>
          <t>DALARNAS LÄN</t>
        </is>
      </c>
      <c r="E637" t="inlineStr">
        <is>
          <t>LEKSAND</t>
        </is>
      </c>
      <c r="G637" t="n">
        <v>1.2</v>
      </c>
      <c r="H637" t="n">
        <v>0</v>
      </c>
      <c r="I637" t="n">
        <v>0</v>
      </c>
      <c r="J637" t="n">
        <v>0</v>
      </c>
      <c r="K637" t="n">
        <v>0</v>
      </c>
      <c r="L637" t="n">
        <v>0</v>
      </c>
      <c r="M637" t="n">
        <v>0</v>
      </c>
      <c r="N637" t="n">
        <v>0</v>
      </c>
      <c r="O637" t="n">
        <v>0</v>
      </c>
      <c r="P637" t="n">
        <v>0</v>
      </c>
      <c r="Q637" t="n">
        <v>0</v>
      </c>
      <c r="R637" s="2" t="inlineStr"/>
    </row>
    <row r="638" ht="15" customHeight="1">
      <c r="A638" t="inlineStr">
        <is>
          <t>A 32394-2024</t>
        </is>
      </c>
      <c r="B638" s="1" t="n">
        <v>45512.64349537037</v>
      </c>
      <c r="C638" s="1" t="n">
        <v>45933</v>
      </c>
      <c r="D638" t="inlineStr">
        <is>
          <t>DALARNAS LÄN</t>
        </is>
      </c>
      <c r="E638" t="inlineStr">
        <is>
          <t>LEKSAND</t>
        </is>
      </c>
      <c r="F638" t="inlineStr">
        <is>
          <t>Bergvik skog väst AB</t>
        </is>
      </c>
      <c r="G638" t="n">
        <v>6</v>
      </c>
      <c r="H638" t="n">
        <v>0</v>
      </c>
      <c r="I638" t="n">
        <v>0</v>
      </c>
      <c r="J638" t="n">
        <v>0</v>
      </c>
      <c r="K638" t="n">
        <v>0</v>
      </c>
      <c r="L638" t="n">
        <v>0</v>
      </c>
      <c r="M638" t="n">
        <v>0</v>
      </c>
      <c r="N638" t="n">
        <v>0</v>
      </c>
      <c r="O638" t="n">
        <v>0</v>
      </c>
      <c r="P638" t="n">
        <v>0</v>
      </c>
      <c r="Q638" t="n">
        <v>0</v>
      </c>
      <c r="R638" s="2" t="inlineStr"/>
    </row>
    <row r="639" ht="15" customHeight="1">
      <c r="A639" t="inlineStr">
        <is>
          <t>A 43221-2024</t>
        </is>
      </c>
      <c r="B639" s="1" t="n">
        <v>45567.86695601852</v>
      </c>
      <c r="C639" s="1" t="n">
        <v>45933</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21839-2022</t>
        </is>
      </c>
      <c r="B640" s="1" t="n">
        <v>44711</v>
      </c>
      <c r="C640" s="1" t="n">
        <v>45933</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22388-2024</t>
        </is>
      </c>
      <c r="B641" s="1" t="n">
        <v>45446</v>
      </c>
      <c r="C641" s="1" t="n">
        <v>45933</v>
      </c>
      <c r="D641" t="inlineStr">
        <is>
          <t>DALARNAS LÄN</t>
        </is>
      </c>
      <c r="E641" t="inlineStr">
        <is>
          <t>LEKSAND</t>
        </is>
      </c>
      <c r="F641" t="inlineStr">
        <is>
          <t>Bergvik skog väst AB</t>
        </is>
      </c>
      <c r="G641" t="n">
        <v>5.3</v>
      </c>
      <c r="H641" t="n">
        <v>0</v>
      </c>
      <c r="I641" t="n">
        <v>0</v>
      </c>
      <c r="J641" t="n">
        <v>0</v>
      </c>
      <c r="K641" t="n">
        <v>0</v>
      </c>
      <c r="L641" t="n">
        <v>0</v>
      </c>
      <c r="M641" t="n">
        <v>0</v>
      </c>
      <c r="N641" t="n">
        <v>0</v>
      </c>
      <c r="O641" t="n">
        <v>0</v>
      </c>
      <c r="P641" t="n">
        <v>0</v>
      </c>
      <c r="Q641" t="n">
        <v>0</v>
      </c>
      <c r="R641" s="2" t="inlineStr"/>
    </row>
    <row r="642" ht="15" customHeight="1">
      <c r="A642" t="inlineStr">
        <is>
          <t>A 15120-2023</t>
        </is>
      </c>
      <c r="B642" s="1" t="n">
        <v>45016.46484953703</v>
      </c>
      <c r="C642" s="1" t="n">
        <v>45933</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17413-2023</t>
        </is>
      </c>
      <c r="B643" s="1" t="n">
        <v>45035</v>
      </c>
      <c r="C643" s="1" t="n">
        <v>45933</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9138-2023</t>
        </is>
      </c>
      <c r="B644" s="1" t="n">
        <v>44974</v>
      </c>
      <c r="C644" s="1" t="n">
        <v>45933</v>
      </c>
      <c r="D644" t="inlineStr">
        <is>
          <t>DALARNAS LÄN</t>
        </is>
      </c>
      <c r="E644" t="inlineStr">
        <is>
          <t>LEKSAND</t>
        </is>
      </c>
      <c r="G644" t="n">
        <v>4.6</v>
      </c>
      <c r="H644" t="n">
        <v>0</v>
      </c>
      <c r="I644" t="n">
        <v>0</v>
      </c>
      <c r="J644" t="n">
        <v>0</v>
      </c>
      <c r="K644" t="n">
        <v>0</v>
      </c>
      <c r="L644" t="n">
        <v>0</v>
      </c>
      <c r="M644" t="n">
        <v>0</v>
      </c>
      <c r="N644" t="n">
        <v>0</v>
      </c>
      <c r="O644" t="n">
        <v>0</v>
      </c>
      <c r="P644" t="n">
        <v>0</v>
      </c>
      <c r="Q644" t="n">
        <v>0</v>
      </c>
      <c r="R644" s="2" t="inlineStr"/>
    </row>
    <row r="645" ht="15" customHeight="1">
      <c r="A645" t="inlineStr">
        <is>
          <t>A 61680-2024</t>
        </is>
      </c>
      <c r="B645" s="1" t="n">
        <v>45647.42890046296</v>
      </c>
      <c r="C645" s="1" t="n">
        <v>45933</v>
      </c>
      <c r="D645" t="inlineStr">
        <is>
          <t>DALARNAS LÄN</t>
        </is>
      </c>
      <c r="E645" t="inlineStr">
        <is>
          <t>LEKSAND</t>
        </is>
      </c>
      <c r="G645" t="n">
        <v>3.6</v>
      </c>
      <c r="H645" t="n">
        <v>0</v>
      </c>
      <c r="I645" t="n">
        <v>0</v>
      </c>
      <c r="J645" t="n">
        <v>0</v>
      </c>
      <c r="K645" t="n">
        <v>0</v>
      </c>
      <c r="L645" t="n">
        <v>0</v>
      </c>
      <c r="M645" t="n">
        <v>0</v>
      </c>
      <c r="N645" t="n">
        <v>0</v>
      </c>
      <c r="O645" t="n">
        <v>0</v>
      </c>
      <c r="P645" t="n">
        <v>0</v>
      </c>
      <c r="Q645" t="n">
        <v>0</v>
      </c>
      <c r="R645" s="2" t="inlineStr"/>
    </row>
    <row r="646" ht="15" customHeight="1">
      <c r="A646" t="inlineStr">
        <is>
          <t>A 54911-2024</t>
        </is>
      </c>
      <c r="B646" s="1" t="n">
        <v>45618.68929398148</v>
      </c>
      <c r="C646" s="1" t="n">
        <v>45933</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16611-2024</t>
        </is>
      </c>
      <c r="B647" s="1" t="n">
        <v>45408.55504629629</v>
      </c>
      <c r="C647" s="1" t="n">
        <v>45933</v>
      </c>
      <c r="D647" t="inlineStr">
        <is>
          <t>DALARNAS LÄN</t>
        </is>
      </c>
      <c r="E647" t="inlineStr">
        <is>
          <t>LEKSAND</t>
        </is>
      </c>
      <c r="G647" t="n">
        <v>5.9</v>
      </c>
      <c r="H647" t="n">
        <v>0</v>
      </c>
      <c r="I647" t="n">
        <v>0</v>
      </c>
      <c r="J647" t="n">
        <v>0</v>
      </c>
      <c r="K647" t="n">
        <v>0</v>
      </c>
      <c r="L647" t="n">
        <v>0</v>
      </c>
      <c r="M647" t="n">
        <v>0</v>
      </c>
      <c r="N647" t="n">
        <v>0</v>
      </c>
      <c r="O647" t="n">
        <v>0</v>
      </c>
      <c r="P647" t="n">
        <v>0</v>
      </c>
      <c r="Q647" t="n">
        <v>0</v>
      </c>
      <c r="R647" s="2" t="inlineStr"/>
    </row>
    <row r="648" ht="15" customHeight="1">
      <c r="A648" t="inlineStr">
        <is>
          <t>A 5574-2024</t>
        </is>
      </c>
      <c r="B648" s="1" t="n">
        <v>45334</v>
      </c>
      <c r="C648" s="1" t="n">
        <v>45933</v>
      </c>
      <c r="D648" t="inlineStr">
        <is>
          <t>DALARNAS LÄN</t>
        </is>
      </c>
      <c r="E648" t="inlineStr">
        <is>
          <t>LEKSAND</t>
        </is>
      </c>
      <c r="G648" t="n">
        <v>0.4</v>
      </c>
      <c r="H648" t="n">
        <v>0</v>
      </c>
      <c r="I648" t="n">
        <v>0</v>
      </c>
      <c r="J648" t="n">
        <v>0</v>
      </c>
      <c r="K648" t="n">
        <v>0</v>
      </c>
      <c r="L648" t="n">
        <v>0</v>
      </c>
      <c r="M648" t="n">
        <v>0</v>
      </c>
      <c r="N648" t="n">
        <v>0</v>
      </c>
      <c r="O648" t="n">
        <v>0</v>
      </c>
      <c r="P648" t="n">
        <v>0</v>
      </c>
      <c r="Q648" t="n">
        <v>0</v>
      </c>
      <c r="R648" s="2" t="inlineStr"/>
    </row>
    <row r="649" ht="15" customHeight="1">
      <c r="A649" t="inlineStr">
        <is>
          <t>A 45512-2023</t>
        </is>
      </c>
      <c r="B649" s="1" t="n">
        <v>45194.49178240741</v>
      </c>
      <c r="C649" s="1" t="n">
        <v>45933</v>
      </c>
      <c r="D649" t="inlineStr">
        <is>
          <t>DALARNAS LÄN</t>
        </is>
      </c>
      <c r="E649" t="inlineStr">
        <is>
          <t>LEKSAND</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402-2024</t>
        </is>
      </c>
      <c r="B650" s="1" t="n">
        <v>45296.45545138889</v>
      </c>
      <c r="C650" s="1" t="n">
        <v>45933</v>
      </c>
      <c r="D650" t="inlineStr">
        <is>
          <t>DALARNAS LÄN</t>
        </is>
      </c>
      <c r="E650" t="inlineStr">
        <is>
          <t>LEKSAND</t>
        </is>
      </c>
      <c r="G650" t="n">
        <v>1.5</v>
      </c>
      <c r="H650" t="n">
        <v>0</v>
      </c>
      <c r="I650" t="n">
        <v>0</v>
      </c>
      <c r="J650" t="n">
        <v>0</v>
      </c>
      <c r="K650" t="n">
        <v>0</v>
      </c>
      <c r="L650" t="n">
        <v>0</v>
      </c>
      <c r="M650" t="n">
        <v>0</v>
      </c>
      <c r="N650" t="n">
        <v>0</v>
      </c>
      <c r="O650" t="n">
        <v>0</v>
      </c>
      <c r="P650" t="n">
        <v>0</v>
      </c>
      <c r="Q650" t="n">
        <v>0</v>
      </c>
      <c r="R650" s="2" t="inlineStr"/>
    </row>
    <row r="651" ht="15" customHeight="1">
      <c r="A651" t="inlineStr">
        <is>
          <t>A 7778-2025</t>
        </is>
      </c>
      <c r="B651" s="1" t="n">
        <v>45706</v>
      </c>
      <c r="C651" s="1" t="n">
        <v>45933</v>
      </c>
      <c r="D651" t="inlineStr">
        <is>
          <t>DALARNAS LÄN</t>
        </is>
      </c>
      <c r="E651" t="inlineStr">
        <is>
          <t>LEKSAND</t>
        </is>
      </c>
      <c r="G651" t="n">
        <v>2.2</v>
      </c>
      <c r="H651" t="n">
        <v>0</v>
      </c>
      <c r="I651" t="n">
        <v>0</v>
      </c>
      <c r="J651" t="n">
        <v>0</v>
      </c>
      <c r="K651" t="n">
        <v>0</v>
      </c>
      <c r="L651" t="n">
        <v>0</v>
      </c>
      <c r="M651" t="n">
        <v>0</v>
      </c>
      <c r="N651" t="n">
        <v>0</v>
      </c>
      <c r="O651" t="n">
        <v>0</v>
      </c>
      <c r="P651" t="n">
        <v>0</v>
      </c>
      <c r="Q651" t="n">
        <v>0</v>
      </c>
      <c r="R651" s="2" t="inlineStr"/>
    </row>
    <row r="652" ht="15" customHeight="1">
      <c r="A652" t="inlineStr">
        <is>
          <t>A 19590-2023</t>
        </is>
      </c>
      <c r="B652" s="1" t="n">
        <v>45049</v>
      </c>
      <c r="C652" s="1" t="n">
        <v>45933</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39807-2024</t>
        </is>
      </c>
      <c r="B653" s="1" t="n">
        <v>45553.35763888889</v>
      </c>
      <c r="C653" s="1" t="n">
        <v>45933</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31850-2024</t>
        </is>
      </c>
      <c r="B654" s="1" t="n">
        <v>45509.67334490741</v>
      </c>
      <c r="C654" s="1" t="n">
        <v>45933</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11277-2025</t>
        </is>
      </c>
      <c r="B655" s="1" t="n">
        <v>45726.41565972222</v>
      </c>
      <c r="C655" s="1" t="n">
        <v>45933</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325-2023</t>
        </is>
      </c>
      <c r="B656" s="1" t="n">
        <v>44929</v>
      </c>
      <c r="C656" s="1" t="n">
        <v>45933</v>
      </c>
      <c r="D656" t="inlineStr">
        <is>
          <t>DALARNAS LÄN</t>
        </is>
      </c>
      <c r="E656" t="inlineStr">
        <is>
          <t>LEKSAND</t>
        </is>
      </c>
      <c r="F656" t="inlineStr">
        <is>
          <t>Övriga Aktiebolag</t>
        </is>
      </c>
      <c r="G656" t="n">
        <v>7.1</v>
      </c>
      <c r="H656" t="n">
        <v>0</v>
      </c>
      <c r="I656" t="n">
        <v>0</v>
      </c>
      <c r="J656" t="n">
        <v>0</v>
      </c>
      <c r="K656" t="n">
        <v>0</v>
      </c>
      <c r="L656" t="n">
        <v>0</v>
      </c>
      <c r="M656" t="n">
        <v>0</v>
      </c>
      <c r="N656" t="n">
        <v>0</v>
      </c>
      <c r="O656" t="n">
        <v>0</v>
      </c>
      <c r="P656" t="n">
        <v>0</v>
      </c>
      <c r="Q656" t="n">
        <v>0</v>
      </c>
      <c r="R656" s="2" t="inlineStr"/>
    </row>
    <row r="657" ht="15" customHeight="1">
      <c r="A657" t="inlineStr">
        <is>
          <t>A 11678-2025</t>
        </is>
      </c>
      <c r="B657" s="1" t="n">
        <v>45726</v>
      </c>
      <c r="C657" s="1" t="n">
        <v>45933</v>
      </c>
      <c r="D657" t="inlineStr">
        <is>
          <t>DALARNAS LÄN</t>
        </is>
      </c>
      <c r="E657" t="inlineStr">
        <is>
          <t>LEKSAND</t>
        </is>
      </c>
      <c r="G657" t="n">
        <v>9.4</v>
      </c>
      <c r="H657" t="n">
        <v>0</v>
      </c>
      <c r="I657" t="n">
        <v>0</v>
      </c>
      <c r="J657" t="n">
        <v>0</v>
      </c>
      <c r="K657" t="n">
        <v>0</v>
      </c>
      <c r="L657" t="n">
        <v>0</v>
      </c>
      <c r="M657" t="n">
        <v>0</v>
      </c>
      <c r="N657" t="n">
        <v>0</v>
      </c>
      <c r="O657" t="n">
        <v>0</v>
      </c>
      <c r="P657" t="n">
        <v>0</v>
      </c>
      <c r="Q657" t="n">
        <v>0</v>
      </c>
      <c r="R657" s="2" t="inlineStr"/>
    </row>
    <row r="658" ht="15" customHeight="1">
      <c r="A658" t="inlineStr">
        <is>
          <t>A 28630-2023</t>
        </is>
      </c>
      <c r="B658" s="1" t="n">
        <v>45103.61003472222</v>
      </c>
      <c r="C658" s="1" t="n">
        <v>45933</v>
      </c>
      <c r="D658" t="inlineStr">
        <is>
          <t>DALARNAS LÄN</t>
        </is>
      </c>
      <c r="E658" t="inlineStr">
        <is>
          <t>LEKSAND</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7759-2025</t>
        </is>
      </c>
      <c r="B659" s="1" t="n">
        <v>45706.53827546296</v>
      </c>
      <c r="C659" s="1" t="n">
        <v>45933</v>
      </c>
      <c r="D659" t="inlineStr">
        <is>
          <t>DALARNAS LÄN</t>
        </is>
      </c>
      <c r="E659" t="inlineStr">
        <is>
          <t>LEKSAND</t>
        </is>
      </c>
      <c r="G659" t="n">
        <v>3.3</v>
      </c>
      <c r="H659" t="n">
        <v>0</v>
      </c>
      <c r="I659" t="n">
        <v>0</v>
      </c>
      <c r="J659" t="n">
        <v>0</v>
      </c>
      <c r="K659" t="n">
        <v>0</v>
      </c>
      <c r="L659" t="n">
        <v>0</v>
      </c>
      <c r="M659" t="n">
        <v>0</v>
      </c>
      <c r="N659" t="n">
        <v>0</v>
      </c>
      <c r="O659" t="n">
        <v>0</v>
      </c>
      <c r="P659" t="n">
        <v>0</v>
      </c>
      <c r="Q659" t="n">
        <v>0</v>
      </c>
      <c r="R659" s="2" t="inlineStr"/>
    </row>
    <row r="660" ht="15" customHeight="1">
      <c r="A660" t="inlineStr">
        <is>
          <t>A 17078-2023</t>
        </is>
      </c>
      <c r="B660" s="1" t="n">
        <v>45034</v>
      </c>
      <c r="C660" s="1" t="n">
        <v>45933</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14865-2025</t>
        </is>
      </c>
      <c r="B661" s="1" t="n">
        <v>45743.43929398148</v>
      </c>
      <c r="C661" s="1" t="n">
        <v>45933</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16854-2025</t>
        </is>
      </c>
      <c r="B662" s="1" t="n">
        <v>45754.72883101852</v>
      </c>
      <c r="C662" s="1" t="n">
        <v>45933</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5847-2025</t>
        </is>
      </c>
      <c r="B663" s="1" t="n">
        <v>45695.30824074074</v>
      </c>
      <c r="C663" s="1" t="n">
        <v>45933</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5873-2025</t>
        </is>
      </c>
      <c r="B664" s="1" t="n">
        <v>45695.36715277778</v>
      </c>
      <c r="C664" s="1" t="n">
        <v>45933</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18481-2024</t>
        </is>
      </c>
      <c r="B665" s="1" t="n">
        <v>45425.52193287037</v>
      </c>
      <c r="C665" s="1" t="n">
        <v>45933</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18484-2024</t>
        </is>
      </c>
      <c r="B666" s="1" t="n">
        <v>45425.52559027778</v>
      </c>
      <c r="C666" s="1" t="n">
        <v>45933</v>
      </c>
      <c r="D666" t="inlineStr">
        <is>
          <t>DALARNAS LÄN</t>
        </is>
      </c>
      <c r="E666" t="inlineStr">
        <is>
          <t>LEKSAND</t>
        </is>
      </c>
      <c r="G666" t="n">
        <v>2</v>
      </c>
      <c r="H666" t="n">
        <v>0</v>
      </c>
      <c r="I666" t="n">
        <v>0</v>
      </c>
      <c r="J666" t="n">
        <v>0</v>
      </c>
      <c r="K666" t="n">
        <v>0</v>
      </c>
      <c r="L666" t="n">
        <v>0</v>
      </c>
      <c r="M666" t="n">
        <v>0</v>
      </c>
      <c r="N666" t="n">
        <v>0</v>
      </c>
      <c r="O666" t="n">
        <v>0</v>
      </c>
      <c r="P666" t="n">
        <v>0</v>
      </c>
      <c r="Q666" t="n">
        <v>0</v>
      </c>
      <c r="R666" s="2" t="inlineStr"/>
    </row>
    <row r="667" ht="15" customHeight="1">
      <c r="A667" t="inlineStr">
        <is>
          <t>A 53193-2024</t>
        </is>
      </c>
      <c r="B667" s="1" t="n">
        <v>45610</v>
      </c>
      <c r="C667" s="1" t="n">
        <v>45933</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11080-2023</t>
        </is>
      </c>
      <c r="B668" s="1" t="n">
        <v>44992</v>
      </c>
      <c r="C668" s="1" t="n">
        <v>45933</v>
      </c>
      <c r="D668" t="inlineStr">
        <is>
          <t>DALARNAS LÄN</t>
        </is>
      </c>
      <c r="E668" t="inlineStr">
        <is>
          <t>LEKSAND</t>
        </is>
      </c>
      <c r="G668" t="n">
        <v>6.9</v>
      </c>
      <c r="H668" t="n">
        <v>0</v>
      </c>
      <c r="I668" t="n">
        <v>0</v>
      </c>
      <c r="J668" t="n">
        <v>0</v>
      </c>
      <c r="K668" t="n">
        <v>0</v>
      </c>
      <c r="L668" t="n">
        <v>0</v>
      </c>
      <c r="M668" t="n">
        <v>0</v>
      </c>
      <c r="N668" t="n">
        <v>0</v>
      </c>
      <c r="O668" t="n">
        <v>0</v>
      </c>
      <c r="P668" t="n">
        <v>0</v>
      </c>
      <c r="Q668" t="n">
        <v>0</v>
      </c>
      <c r="R668" s="2" t="inlineStr"/>
    </row>
    <row r="669" ht="15" customHeight="1">
      <c r="A669" t="inlineStr">
        <is>
          <t>A 26957-2023</t>
        </is>
      </c>
      <c r="B669" s="1" t="n">
        <v>45093</v>
      </c>
      <c r="C669" s="1" t="n">
        <v>45933</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19371-2024</t>
        </is>
      </c>
      <c r="B670" s="1" t="n">
        <v>45429.34969907408</v>
      </c>
      <c r="C670" s="1" t="n">
        <v>45933</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7827-2024</t>
        </is>
      </c>
      <c r="B671" s="1" t="n">
        <v>45349.7467824074</v>
      </c>
      <c r="C671" s="1" t="n">
        <v>45933</v>
      </c>
      <c r="D671" t="inlineStr">
        <is>
          <t>DALARNAS LÄN</t>
        </is>
      </c>
      <c r="E671" t="inlineStr">
        <is>
          <t>LEKSAND</t>
        </is>
      </c>
      <c r="G671" t="n">
        <v>2.2</v>
      </c>
      <c r="H671" t="n">
        <v>0</v>
      </c>
      <c r="I671" t="n">
        <v>0</v>
      </c>
      <c r="J671" t="n">
        <v>0</v>
      </c>
      <c r="K671" t="n">
        <v>0</v>
      </c>
      <c r="L671" t="n">
        <v>0</v>
      </c>
      <c r="M671" t="n">
        <v>0</v>
      </c>
      <c r="N671" t="n">
        <v>0</v>
      </c>
      <c r="O671" t="n">
        <v>0</v>
      </c>
      <c r="P671" t="n">
        <v>0</v>
      </c>
      <c r="Q671" t="n">
        <v>0</v>
      </c>
      <c r="R671" s="2" t="inlineStr"/>
    </row>
    <row r="672" ht="15" customHeight="1">
      <c r="A672" t="inlineStr">
        <is>
          <t>A 49405-2024</t>
        </is>
      </c>
      <c r="B672" s="1" t="n">
        <v>45595</v>
      </c>
      <c r="C672" s="1" t="n">
        <v>45933</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20683-2025</t>
        </is>
      </c>
      <c r="B673" s="1" t="n">
        <v>45776</v>
      </c>
      <c r="C673" s="1" t="n">
        <v>45933</v>
      </c>
      <c r="D673" t="inlineStr">
        <is>
          <t>DALARNAS LÄN</t>
        </is>
      </c>
      <c r="E673" t="inlineStr">
        <is>
          <t>LEKSAND</t>
        </is>
      </c>
      <c r="F673" t="inlineStr">
        <is>
          <t>Bergvik skog väst AB</t>
        </is>
      </c>
      <c r="G673" t="n">
        <v>4.1</v>
      </c>
      <c r="H673" t="n">
        <v>0</v>
      </c>
      <c r="I673" t="n">
        <v>0</v>
      </c>
      <c r="J673" t="n">
        <v>0</v>
      </c>
      <c r="K673" t="n">
        <v>0</v>
      </c>
      <c r="L673" t="n">
        <v>0</v>
      </c>
      <c r="M673" t="n">
        <v>0</v>
      </c>
      <c r="N673" t="n">
        <v>0</v>
      </c>
      <c r="O673" t="n">
        <v>0</v>
      </c>
      <c r="P673" t="n">
        <v>0</v>
      </c>
      <c r="Q673" t="n">
        <v>0</v>
      </c>
      <c r="R673" s="2" t="inlineStr"/>
    </row>
    <row r="674" ht="15" customHeight="1">
      <c r="A674" t="inlineStr">
        <is>
          <t>A 20937-2025</t>
        </is>
      </c>
      <c r="B674" s="1" t="n">
        <v>45777.42769675926</v>
      </c>
      <c r="C674" s="1" t="n">
        <v>45933</v>
      </c>
      <c r="D674" t="inlineStr">
        <is>
          <t>DALARNAS LÄN</t>
        </is>
      </c>
      <c r="E674" t="inlineStr">
        <is>
          <t>LEKSAND</t>
        </is>
      </c>
      <c r="G674" t="n">
        <v>2.2</v>
      </c>
      <c r="H674" t="n">
        <v>0</v>
      </c>
      <c r="I674" t="n">
        <v>0</v>
      </c>
      <c r="J674" t="n">
        <v>0</v>
      </c>
      <c r="K674" t="n">
        <v>0</v>
      </c>
      <c r="L674" t="n">
        <v>0</v>
      </c>
      <c r="M674" t="n">
        <v>0</v>
      </c>
      <c r="N674" t="n">
        <v>0</v>
      </c>
      <c r="O674" t="n">
        <v>0</v>
      </c>
      <c r="P674" t="n">
        <v>0</v>
      </c>
      <c r="Q674" t="n">
        <v>0</v>
      </c>
      <c r="R674" s="2" t="inlineStr"/>
    </row>
    <row r="675" ht="15" customHeight="1">
      <c r="A675" t="inlineStr">
        <is>
          <t>A 21457-2025</t>
        </is>
      </c>
      <c r="B675" s="1" t="n">
        <v>45782.55451388889</v>
      </c>
      <c r="C675" s="1" t="n">
        <v>45933</v>
      </c>
      <c r="D675" t="inlineStr">
        <is>
          <t>DALARNAS LÄN</t>
        </is>
      </c>
      <c r="E675" t="inlineStr">
        <is>
          <t>LEKSAND</t>
        </is>
      </c>
      <c r="G675" t="n">
        <v>1</v>
      </c>
      <c r="H675" t="n">
        <v>0</v>
      </c>
      <c r="I675" t="n">
        <v>0</v>
      </c>
      <c r="J675" t="n">
        <v>0</v>
      </c>
      <c r="K675" t="n">
        <v>0</v>
      </c>
      <c r="L675" t="n">
        <v>0</v>
      </c>
      <c r="M675" t="n">
        <v>0</v>
      </c>
      <c r="N675" t="n">
        <v>0</v>
      </c>
      <c r="O675" t="n">
        <v>0</v>
      </c>
      <c r="P675" t="n">
        <v>0</v>
      </c>
      <c r="Q675" t="n">
        <v>0</v>
      </c>
      <c r="R675" s="2" t="inlineStr"/>
    </row>
    <row r="676" ht="15" customHeight="1">
      <c r="A676" t="inlineStr">
        <is>
          <t>A 21230-2025</t>
        </is>
      </c>
      <c r="B676" s="1" t="n">
        <v>45779.54589120371</v>
      </c>
      <c r="C676" s="1" t="n">
        <v>45933</v>
      </c>
      <c r="D676" t="inlineStr">
        <is>
          <t>DALARNAS LÄN</t>
        </is>
      </c>
      <c r="E676" t="inlineStr">
        <is>
          <t>LEKSAND</t>
        </is>
      </c>
      <c r="G676" t="n">
        <v>0.5</v>
      </c>
      <c r="H676" t="n">
        <v>0</v>
      </c>
      <c r="I676" t="n">
        <v>0</v>
      </c>
      <c r="J676" t="n">
        <v>0</v>
      </c>
      <c r="K676" t="n">
        <v>0</v>
      </c>
      <c r="L676" t="n">
        <v>0</v>
      </c>
      <c r="M676" t="n">
        <v>0</v>
      </c>
      <c r="N676" t="n">
        <v>0</v>
      </c>
      <c r="O676" t="n">
        <v>0</v>
      </c>
      <c r="P676" t="n">
        <v>0</v>
      </c>
      <c r="Q676" t="n">
        <v>0</v>
      </c>
      <c r="R676" s="2" t="inlineStr"/>
    </row>
    <row r="677" ht="15" customHeight="1">
      <c r="A677" t="inlineStr">
        <is>
          <t>A 21193-2025</t>
        </is>
      </c>
      <c r="B677" s="1" t="n">
        <v>45779.46675925926</v>
      </c>
      <c r="C677" s="1" t="n">
        <v>45933</v>
      </c>
      <c r="D677" t="inlineStr">
        <is>
          <t>DALARNAS LÄN</t>
        </is>
      </c>
      <c r="E677" t="inlineStr">
        <is>
          <t>LEKSAND</t>
        </is>
      </c>
      <c r="G677" t="n">
        <v>3.7</v>
      </c>
      <c r="H677" t="n">
        <v>0</v>
      </c>
      <c r="I677" t="n">
        <v>0</v>
      </c>
      <c r="J677" t="n">
        <v>0</v>
      </c>
      <c r="K677" t="n">
        <v>0</v>
      </c>
      <c r="L677" t="n">
        <v>0</v>
      </c>
      <c r="M677" t="n">
        <v>0</v>
      </c>
      <c r="N677" t="n">
        <v>0</v>
      </c>
      <c r="O677" t="n">
        <v>0</v>
      </c>
      <c r="P677" t="n">
        <v>0</v>
      </c>
      <c r="Q677" t="n">
        <v>0</v>
      </c>
      <c r="R677" s="2" t="inlineStr"/>
    </row>
    <row r="678" ht="15" customHeight="1">
      <c r="A678" t="inlineStr">
        <is>
          <t>A 11872-2024</t>
        </is>
      </c>
      <c r="B678" s="1" t="n">
        <v>45376.46833333333</v>
      </c>
      <c r="C678" s="1" t="n">
        <v>45933</v>
      </c>
      <c r="D678" t="inlineStr">
        <is>
          <t>DALARNAS LÄN</t>
        </is>
      </c>
      <c r="E678" t="inlineStr">
        <is>
          <t>LEKSAND</t>
        </is>
      </c>
      <c r="G678" t="n">
        <v>3.1</v>
      </c>
      <c r="H678" t="n">
        <v>0</v>
      </c>
      <c r="I678" t="n">
        <v>0</v>
      </c>
      <c r="J678" t="n">
        <v>0</v>
      </c>
      <c r="K678" t="n">
        <v>0</v>
      </c>
      <c r="L678" t="n">
        <v>0</v>
      </c>
      <c r="M678" t="n">
        <v>0</v>
      </c>
      <c r="N678" t="n">
        <v>0</v>
      </c>
      <c r="O678" t="n">
        <v>0</v>
      </c>
      <c r="P678" t="n">
        <v>0</v>
      </c>
      <c r="Q678" t="n">
        <v>0</v>
      </c>
      <c r="R678" s="2" t="inlineStr"/>
    </row>
    <row r="679" ht="15" customHeight="1">
      <c r="A679" t="inlineStr">
        <is>
          <t>A 21600-2025</t>
        </is>
      </c>
      <c r="B679" s="1" t="n">
        <v>45783.3521875</v>
      </c>
      <c r="C679" s="1" t="n">
        <v>45933</v>
      </c>
      <c r="D679" t="inlineStr">
        <is>
          <t>DALARNAS LÄN</t>
        </is>
      </c>
      <c r="E679" t="inlineStr">
        <is>
          <t>LEKSAND</t>
        </is>
      </c>
      <c r="G679" t="n">
        <v>7.7</v>
      </c>
      <c r="H679" t="n">
        <v>0</v>
      </c>
      <c r="I679" t="n">
        <v>0</v>
      </c>
      <c r="J679" t="n">
        <v>0</v>
      </c>
      <c r="K679" t="n">
        <v>0</v>
      </c>
      <c r="L679" t="n">
        <v>0</v>
      </c>
      <c r="M679" t="n">
        <v>0</v>
      </c>
      <c r="N679" t="n">
        <v>0</v>
      </c>
      <c r="O679" t="n">
        <v>0</v>
      </c>
      <c r="P679" t="n">
        <v>0</v>
      </c>
      <c r="Q679" t="n">
        <v>0</v>
      </c>
      <c r="R679" s="2" t="inlineStr"/>
    </row>
    <row r="680" ht="15" customHeight="1">
      <c r="A680" t="inlineStr">
        <is>
          <t>A 40627-2023</t>
        </is>
      </c>
      <c r="B680" s="1" t="n">
        <v>45170</v>
      </c>
      <c r="C680" s="1" t="n">
        <v>45933</v>
      </c>
      <c r="D680" t="inlineStr">
        <is>
          <t>DALARNAS LÄN</t>
        </is>
      </c>
      <c r="E680" t="inlineStr">
        <is>
          <t>LEKSAND</t>
        </is>
      </c>
      <c r="F680" t="inlineStr">
        <is>
          <t>Bergvik skog väst AB</t>
        </is>
      </c>
      <c r="G680" t="n">
        <v>3.3</v>
      </c>
      <c r="H680" t="n">
        <v>0</v>
      </c>
      <c r="I680" t="n">
        <v>0</v>
      </c>
      <c r="J680" t="n">
        <v>0</v>
      </c>
      <c r="K680" t="n">
        <v>0</v>
      </c>
      <c r="L680" t="n">
        <v>0</v>
      </c>
      <c r="M680" t="n">
        <v>0</v>
      </c>
      <c r="N680" t="n">
        <v>0</v>
      </c>
      <c r="O680" t="n">
        <v>0</v>
      </c>
      <c r="P680" t="n">
        <v>0</v>
      </c>
      <c r="Q680" t="n">
        <v>0</v>
      </c>
      <c r="R680" s="2" t="inlineStr"/>
    </row>
    <row r="681" ht="15" customHeight="1">
      <c r="A681" t="inlineStr">
        <is>
          <t>A 21916-2025</t>
        </is>
      </c>
      <c r="B681" s="1" t="n">
        <v>45784.50115740741</v>
      </c>
      <c r="C681" s="1" t="n">
        <v>45933</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14967-2023</t>
        </is>
      </c>
      <c r="B682" s="1" t="n">
        <v>45015</v>
      </c>
      <c r="C682" s="1" t="n">
        <v>45933</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62307-2023</t>
        </is>
      </c>
      <c r="B683" s="1" t="n">
        <v>45266</v>
      </c>
      <c r="C683" s="1" t="n">
        <v>45933</v>
      </c>
      <c r="D683" t="inlineStr">
        <is>
          <t>DALARNAS LÄN</t>
        </is>
      </c>
      <c r="E683" t="inlineStr">
        <is>
          <t>LEKSAND</t>
        </is>
      </c>
      <c r="G683" t="n">
        <v>3.9</v>
      </c>
      <c r="H683" t="n">
        <v>0</v>
      </c>
      <c r="I683" t="n">
        <v>0</v>
      </c>
      <c r="J683" t="n">
        <v>0</v>
      </c>
      <c r="K683" t="n">
        <v>0</v>
      </c>
      <c r="L683" t="n">
        <v>0</v>
      </c>
      <c r="M683" t="n">
        <v>0</v>
      </c>
      <c r="N683" t="n">
        <v>0</v>
      </c>
      <c r="O683" t="n">
        <v>0</v>
      </c>
      <c r="P683" t="n">
        <v>0</v>
      </c>
      <c r="Q683" t="n">
        <v>0</v>
      </c>
      <c r="R683" s="2" t="inlineStr"/>
    </row>
    <row r="684" ht="15" customHeight="1">
      <c r="A684" t="inlineStr">
        <is>
          <t>A 61554-2024</t>
        </is>
      </c>
      <c r="B684" s="1" t="n">
        <v>45646.60748842593</v>
      </c>
      <c r="C684" s="1" t="n">
        <v>45933</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36534-2024</t>
        </is>
      </c>
      <c r="B685" s="1" t="n">
        <v>45537.45143518518</v>
      </c>
      <c r="C685" s="1" t="n">
        <v>45933</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34244-2024</t>
        </is>
      </c>
      <c r="B686" s="1" t="n">
        <v>45524.58349537037</v>
      </c>
      <c r="C686" s="1" t="n">
        <v>45933</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7861-2024</t>
        </is>
      </c>
      <c r="B687" s="1" t="n">
        <v>45350.30831018519</v>
      </c>
      <c r="C687" s="1" t="n">
        <v>45933</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22080-2025</t>
        </is>
      </c>
      <c r="B688" s="1" t="n">
        <v>45785</v>
      </c>
      <c r="C688" s="1" t="n">
        <v>45933</v>
      </c>
      <c r="D688" t="inlineStr">
        <is>
          <t>DALARNAS LÄN</t>
        </is>
      </c>
      <c r="E688" t="inlineStr">
        <is>
          <t>LEKSAND</t>
        </is>
      </c>
      <c r="G688" t="n">
        <v>7</v>
      </c>
      <c r="H688" t="n">
        <v>0</v>
      </c>
      <c r="I688" t="n">
        <v>0</v>
      </c>
      <c r="J688" t="n">
        <v>0</v>
      </c>
      <c r="K688" t="n">
        <v>0</v>
      </c>
      <c r="L688" t="n">
        <v>0</v>
      </c>
      <c r="M688" t="n">
        <v>0</v>
      </c>
      <c r="N688" t="n">
        <v>0</v>
      </c>
      <c r="O688" t="n">
        <v>0</v>
      </c>
      <c r="P688" t="n">
        <v>0</v>
      </c>
      <c r="Q688" t="n">
        <v>0</v>
      </c>
      <c r="R688" s="2" t="inlineStr"/>
    </row>
    <row r="689" ht="15" customHeight="1">
      <c r="A689" t="inlineStr">
        <is>
          <t>A 22536-2025</t>
        </is>
      </c>
      <c r="B689" s="1" t="n">
        <v>45787.33037037037</v>
      </c>
      <c r="C689" s="1" t="n">
        <v>45933</v>
      </c>
      <c r="D689" t="inlineStr">
        <is>
          <t>DALARNAS LÄN</t>
        </is>
      </c>
      <c r="E689" t="inlineStr">
        <is>
          <t>LEKSAND</t>
        </is>
      </c>
      <c r="G689" t="n">
        <v>1.8</v>
      </c>
      <c r="H689" t="n">
        <v>0</v>
      </c>
      <c r="I689" t="n">
        <v>0</v>
      </c>
      <c r="J689" t="n">
        <v>0</v>
      </c>
      <c r="K689" t="n">
        <v>0</v>
      </c>
      <c r="L689" t="n">
        <v>0</v>
      </c>
      <c r="M689" t="n">
        <v>0</v>
      </c>
      <c r="N689" t="n">
        <v>0</v>
      </c>
      <c r="O689" t="n">
        <v>0</v>
      </c>
      <c r="P689" t="n">
        <v>0</v>
      </c>
      <c r="Q689" t="n">
        <v>0</v>
      </c>
      <c r="R689" s="2" t="inlineStr"/>
    </row>
    <row r="690" ht="15" customHeight="1">
      <c r="A690" t="inlineStr">
        <is>
          <t>A 60042-2023</t>
        </is>
      </c>
      <c r="B690" s="1" t="n">
        <v>45256</v>
      </c>
      <c r="C690" s="1" t="n">
        <v>45933</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22876-2025</t>
        </is>
      </c>
      <c r="B691" s="1" t="n">
        <v>45790.3728587963</v>
      </c>
      <c r="C691" s="1" t="n">
        <v>45933</v>
      </c>
      <c r="D691" t="inlineStr">
        <is>
          <t>DALARNAS LÄN</t>
        </is>
      </c>
      <c r="E691" t="inlineStr">
        <is>
          <t>LEKSAND</t>
        </is>
      </c>
      <c r="G691" t="n">
        <v>5.9</v>
      </c>
      <c r="H691" t="n">
        <v>0</v>
      </c>
      <c r="I691" t="n">
        <v>0</v>
      </c>
      <c r="J691" t="n">
        <v>0</v>
      </c>
      <c r="K691" t="n">
        <v>0</v>
      </c>
      <c r="L691" t="n">
        <v>0</v>
      </c>
      <c r="M691" t="n">
        <v>0</v>
      </c>
      <c r="N691" t="n">
        <v>0</v>
      </c>
      <c r="O691" t="n">
        <v>0</v>
      </c>
      <c r="P691" t="n">
        <v>0</v>
      </c>
      <c r="Q691" t="n">
        <v>0</v>
      </c>
      <c r="R691" s="2" t="inlineStr"/>
    </row>
    <row r="692" ht="15" customHeight="1">
      <c r="A692" t="inlineStr">
        <is>
          <t>A 23517-2025</t>
        </is>
      </c>
      <c r="B692" s="1" t="n">
        <v>45792</v>
      </c>
      <c r="C692" s="1" t="n">
        <v>45933</v>
      </c>
      <c r="D692" t="inlineStr">
        <is>
          <t>DALARNAS LÄN</t>
        </is>
      </c>
      <c r="E692" t="inlineStr">
        <is>
          <t>LEKSAND</t>
        </is>
      </c>
      <c r="G692" t="n">
        <v>2.2</v>
      </c>
      <c r="H692" t="n">
        <v>0</v>
      </c>
      <c r="I692" t="n">
        <v>0</v>
      </c>
      <c r="J692" t="n">
        <v>0</v>
      </c>
      <c r="K692" t="n">
        <v>0</v>
      </c>
      <c r="L692" t="n">
        <v>0</v>
      </c>
      <c r="M692" t="n">
        <v>0</v>
      </c>
      <c r="N692" t="n">
        <v>0</v>
      </c>
      <c r="O692" t="n">
        <v>0</v>
      </c>
      <c r="P692" t="n">
        <v>0</v>
      </c>
      <c r="Q692" t="n">
        <v>0</v>
      </c>
      <c r="R692" s="2" t="inlineStr"/>
    </row>
    <row r="693" ht="15" customHeight="1">
      <c r="A693" t="inlineStr">
        <is>
          <t>A 23058-2025</t>
        </is>
      </c>
      <c r="B693" s="1" t="n">
        <v>45790.78076388889</v>
      </c>
      <c r="C693" s="1" t="n">
        <v>45933</v>
      </c>
      <c r="D693" t="inlineStr">
        <is>
          <t>DALARNAS LÄN</t>
        </is>
      </c>
      <c r="E693" t="inlineStr">
        <is>
          <t>LEKSAND</t>
        </is>
      </c>
      <c r="G693" t="n">
        <v>6.7</v>
      </c>
      <c r="H693" t="n">
        <v>0</v>
      </c>
      <c r="I693" t="n">
        <v>0</v>
      </c>
      <c r="J693" t="n">
        <v>0</v>
      </c>
      <c r="K693" t="n">
        <v>0</v>
      </c>
      <c r="L693" t="n">
        <v>0</v>
      </c>
      <c r="M693" t="n">
        <v>0</v>
      </c>
      <c r="N693" t="n">
        <v>0</v>
      </c>
      <c r="O693" t="n">
        <v>0</v>
      </c>
      <c r="P693" t="n">
        <v>0</v>
      </c>
      <c r="Q693" t="n">
        <v>0</v>
      </c>
      <c r="R693" s="2" t="inlineStr"/>
    </row>
    <row r="694" ht="15" customHeight="1">
      <c r="A694" t="inlineStr">
        <is>
          <t>A 23076-2025</t>
        </is>
      </c>
      <c r="B694" s="1" t="n">
        <v>45790.90960648148</v>
      </c>
      <c r="C694" s="1" t="n">
        <v>45933</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57468-2023</t>
        </is>
      </c>
      <c r="B695" s="1" t="n">
        <v>45246</v>
      </c>
      <c r="C695" s="1" t="n">
        <v>45933</v>
      </c>
      <c r="D695" t="inlineStr">
        <is>
          <t>DALARNAS LÄN</t>
        </is>
      </c>
      <c r="E695" t="inlineStr">
        <is>
          <t>LEKSAND</t>
        </is>
      </c>
      <c r="G695" t="n">
        <v>4.6</v>
      </c>
      <c r="H695" t="n">
        <v>0</v>
      </c>
      <c r="I695" t="n">
        <v>0</v>
      </c>
      <c r="J695" t="n">
        <v>0</v>
      </c>
      <c r="K695" t="n">
        <v>0</v>
      </c>
      <c r="L695" t="n">
        <v>0</v>
      </c>
      <c r="M695" t="n">
        <v>0</v>
      </c>
      <c r="N695" t="n">
        <v>0</v>
      </c>
      <c r="O695" t="n">
        <v>0</v>
      </c>
      <c r="P695" t="n">
        <v>0</v>
      </c>
      <c r="Q695" t="n">
        <v>0</v>
      </c>
      <c r="R695" s="2" t="inlineStr"/>
    </row>
    <row r="696" ht="15" customHeight="1">
      <c r="A696" t="inlineStr">
        <is>
          <t>A 44822-2024</t>
        </is>
      </c>
      <c r="B696" s="1" t="n">
        <v>45574.6646412037</v>
      </c>
      <c r="C696" s="1" t="n">
        <v>45933</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49499-2024</t>
        </is>
      </c>
      <c r="B697" s="1" t="n">
        <v>45596</v>
      </c>
      <c r="C697" s="1" t="n">
        <v>45933</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23855-2025</t>
        </is>
      </c>
      <c r="B698" s="1" t="n">
        <v>45793.65900462963</v>
      </c>
      <c r="C698" s="1" t="n">
        <v>45933</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24919-2024</t>
        </is>
      </c>
      <c r="B699" s="1" t="n">
        <v>45461.60636574074</v>
      </c>
      <c r="C699" s="1" t="n">
        <v>45933</v>
      </c>
      <c r="D699" t="inlineStr">
        <is>
          <t>DALARNAS LÄN</t>
        </is>
      </c>
      <c r="E699" t="inlineStr">
        <is>
          <t>LEKSAND</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7450-2023</t>
        </is>
      </c>
      <c r="B700" s="1" t="n">
        <v>44971</v>
      </c>
      <c r="C700" s="1" t="n">
        <v>45933</v>
      </c>
      <c r="D700" t="inlineStr">
        <is>
          <t>DALARNAS LÄN</t>
        </is>
      </c>
      <c r="E700" t="inlineStr">
        <is>
          <t>LEKSAND</t>
        </is>
      </c>
      <c r="G700" t="n">
        <v>3</v>
      </c>
      <c r="H700" t="n">
        <v>0</v>
      </c>
      <c r="I700" t="n">
        <v>0</v>
      </c>
      <c r="J700" t="n">
        <v>0</v>
      </c>
      <c r="K700" t="n">
        <v>0</v>
      </c>
      <c r="L700" t="n">
        <v>0</v>
      </c>
      <c r="M700" t="n">
        <v>0</v>
      </c>
      <c r="N700" t="n">
        <v>0</v>
      </c>
      <c r="O700" t="n">
        <v>0</v>
      </c>
      <c r="P700" t="n">
        <v>0</v>
      </c>
      <c r="Q700" t="n">
        <v>0</v>
      </c>
      <c r="R700" s="2" t="inlineStr"/>
    </row>
    <row r="701" ht="15" customHeight="1">
      <c r="A701" t="inlineStr">
        <is>
          <t>A 23891-2025</t>
        </is>
      </c>
      <c r="B701" s="1" t="n">
        <v>45793</v>
      </c>
      <c r="C701" s="1" t="n">
        <v>45933</v>
      </c>
      <c r="D701" t="inlineStr">
        <is>
          <t>DALARNAS LÄN</t>
        </is>
      </c>
      <c r="E701" t="inlineStr">
        <is>
          <t>LEKSAND</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24187-2025</t>
        </is>
      </c>
      <c r="B702" s="1" t="n">
        <v>45796</v>
      </c>
      <c r="C702" s="1" t="n">
        <v>45933</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24188-2025</t>
        </is>
      </c>
      <c r="B703" s="1" t="n">
        <v>45796</v>
      </c>
      <c r="C703" s="1" t="n">
        <v>45933</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56211-2023</t>
        </is>
      </c>
      <c r="B704" s="1" t="n">
        <v>45240</v>
      </c>
      <c r="C704" s="1" t="n">
        <v>45933</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24373-2025</t>
        </is>
      </c>
      <c r="B705" s="1" t="n">
        <v>45797.61113425926</v>
      </c>
      <c r="C705" s="1" t="n">
        <v>45933</v>
      </c>
      <c r="D705" t="inlineStr">
        <is>
          <t>DALARNAS LÄN</t>
        </is>
      </c>
      <c r="E705" t="inlineStr">
        <is>
          <t>LEKSAND</t>
        </is>
      </c>
      <c r="G705" t="n">
        <v>2.4</v>
      </c>
      <c r="H705" t="n">
        <v>0</v>
      </c>
      <c r="I705" t="n">
        <v>0</v>
      </c>
      <c r="J705" t="n">
        <v>0</v>
      </c>
      <c r="K705" t="n">
        <v>0</v>
      </c>
      <c r="L705" t="n">
        <v>0</v>
      </c>
      <c r="M705" t="n">
        <v>0</v>
      </c>
      <c r="N705" t="n">
        <v>0</v>
      </c>
      <c r="O705" t="n">
        <v>0</v>
      </c>
      <c r="P705" t="n">
        <v>0</v>
      </c>
      <c r="Q705" t="n">
        <v>0</v>
      </c>
      <c r="R705" s="2" t="inlineStr"/>
    </row>
    <row r="706" ht="15" customHeight="1">
      <c r="A706" t="inlineStr">
        <is>
          <t>A 24317-2025</t>
        </is>
      </c>
      <c r="B706" s="1" t="n">
        <v>45797.53577546297</v>
      </c>
      <c r="C706" s="1" t="n">
        <v>45933</v>
      </c>
      <c r="D706" t="inlineStr">
        <is>
          <t>DALARNAS LÄN</t>
        </is>
      </c>
      <c r="E706" t="inlineStr">
        <is>
          <t>LEKSAND</t>
        </is>
      </c>
      <c r="G706" t="n">
        <v>3.4</v>
      </c>
      <c r="H706" t="n">
        <v>0</v>
      </c>
      <c r="I706" t="n">
        <v>0</v>
      </c>
      <c r="J706" t="n">
        <v>0</v>
      </c>
      <c r="K706" t="n">
        <v>0</v>
      </c>
      <c r="L706" t="n">
        <v>0</v>
      </c>
      <c r="M706" t="n">
        <v>0</v>
      </c>
      <c r="N706" t="n">
        <v>0</v>
      </c>
      <c r="O706" t="n">
        <v>0</v>
      </c>
      <c r="P706" t="n">
        <v>0</v>
      </c>
      <c r="Q706" t="n">
        <v>0</v>
      </c>
      <c r="R706" s="2" t="inlineStr"/>
    </row>
    <row r="707" ht="15" customHeight="1">
      <c r="A707" t="inlineStr">
        <is>
          <t>A 40868-2024</t>
        </is>
      </c>
      <c r="B707" s="1" t="n">
        <v>45558</v>
      </c>
      <c r="C707" s="1" t="n">
        <v>45933</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22646-2025</t>
        </is>
      </c>
      <c r="B708" s="1" t="n">
        <v>45786</v>
      </c>
      <c r="C708" s="1" t="n">
        <v>45933</v>
      </c>
      <c r="D708" t="inlineStr">
        <is>
          <t>DALARNAS LÄN</t>
        </is>
      </c>
      <c r="E708" t="inlineStr">
        <is>
          <t>LEKSAND</t>
        </is>
      </c>
      <c r="F708" t="inlineStr">
        <is>
          <t>Kommuner</t>
        </is>
      </c>
      <c r="G708" t="n">
        <v>1.6</v>
      </c>
      <c r="H708" t="n">
        <v>0</v>
      </c>
      <c r="I708" t="n">
        <v>0</v>
      </c>
      <c r="J708" t="n">
        <v>0</v>
      </c>
      <c r="K708" t="n">
        <v>0</v>
      </c>
      <c r="L708" t="n">
        <v>0</v>
      </c>
      <c r="M708" t="n">
        <v>0</v>
      </c>
      <c r="N708" t="n">
        <v>0</v>
      </c>
      <c r="O708" t="n">
        <v>0</v>
      </c>
      <c r="P708" t="n">
        <v>0</v>
      </c>
      <c r="Q708" t="n">
        <v>0</v>
      </c>
      <c r="R708" s="2" t="inlineStr"/>
    </row>
    <row r="709" ht="15" customHeight="1">
      <c r="A709" t="inlineStr">
        <is>
          <t>A 24369-2025</t>
        </is>
      </c>
      <c r="B709" s="1" t="n">
        <v>45797.60731481481</v>
      </c>
      <c r="C709" s="1" t="n">
        <v>45933</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24715-2025</t>
        </is>
      </c>
      <c r="B710" s="1" t="n">
        <v>45798.97899305556</v>
      </c>
      <c r="C710" s="1" t="n">
        <v>45933</v>
      </c>
      <c r="D710" t="inlineStr">
        <is>
          <t>DALARNAS LÄN</t>
        </is>
      </c>
      <c r="E710" t="inlineStr">
        <is>
          <t>LEKSAND</t>
        </is>
      </c>
      <c r="G710" t="n">
        <v>8.4</v>
      </c>
      <c r="H710" t="n">
        <v>0</v>
      </c>
      <c r="I710" t="n">
        <v>0</v>
      </c>
      <c r="J710" t="n">
        <v>0</v>
      </c>
      <c r="K710" t="n">
        <v>0</v>
      </c>
      <c r="L710" t="n">
        <v>0</v>
      </c>
      <c r="M710" t="n">
        <v>0</v>
      </c>
      <c r="N710" t="n">
        <v>0</v>
      </c>
      <c r="O710" t="n">
        <v>0</v>
      </c>
      <c r="P710" t="n">
        <v>0</v>
      </c>
      <c r="Q710" t="n">
        <v>0</v>
      </c>
      <c r="R710" s="2" t="inlineStr"/>
    </row>
    <row r="711" ht="15" customHeight="1">
      <c r="A711" t="inlineStr">
        <is>
          <t>A 25096-2025</t>
        </is>
      </c>
      <c r="B711" s="1" t="n">
        <v>45800.33868055556</v>
      </c>
      <c r="C711" s="1" t="n">
        <v>45933</v>
      </c>
      <c r="D711" t="inlineStr">
        <is>
          <t>DALARNAS LÄN</t>
        </is>
      </c>
      <c r="E711" t="inlineStr">
        <is>
          <t>LEKSAND</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25105-2025</t>
        </is>
      </c>
      <c r="B712" s="1" t="n">
        <v>45800.34751157407</v>
      </c>
      <c r="C712" s="1" t="n">
        <v>45933</v>
      </c>
      <c r="D712" t="inlineStr">
        <is>
          <t>DALARNAS LÄN</t>
        </is>
      </c>
      <c r="E712" t="inlineStr">
        <is>
          <t>LEKSAND</t>
        </is>
      </c>
      <c r="F712" t="inlineStr">
        <is>
          <t>Bergvik skog väst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24714-2025</t>
        </is>
      </c>
      <c r="B713" s="1" t="n">
        <v>45798.96927083333</v>
      </c>
      <c r="C713" s="1" t="n">
        <v>45933</v>
      </c>
      <c r="D713" t="inlineStr">
        <is>
          <t>DALARNAS LÄN</t>
        </is>
      </c>
      <c r="E713" t="inlineStr">
        <is>
          <t>LEKSAND</t>
        </is>
      </c>
      <c r="F713" t="inlineStr">
        <is>
          <t>Bergvik skog väst AB</t>
        </is>
      </c>
      <c r="G713" t="n">
        <v>6.2</v>
      </c>
      <c r="H713" t="n">
        <v>0</v>
      </c>
      <c r="I713" t="n">
        <v>0</v>
      </c>
      <c r="J713" t="n">
        <v>0</v>
      </c>
      <c r="K713" t="n">
        <v>0</v>
      </c>
      <c r="L713" t="n">
        <v>0</v>
      </c>
      <c r="M713" t="n">
        <v>0</v>
      </c>
      <c r="N713" t="n">
        <v>0</v>
      </c>
      <c r="O713" t="n">
        <v>0</v>
      </c>
      <c r="P713" t="n">
        <v>0</v>
      </c>
      <c r="Q713" t="n">
        <v>0</v>
      </c>
      <c r="R713" s="2" t="inlineStr"/>
    </row>
    <row r="714" ht="15" customHeight="1">
      <c r="A714" t="inlineStr">
        <is>
          <t>A 31255-2023</t>
        </is>
      </c>
      <c r="B714" s="1" t="n">
        <v>45114.36729166667</v>
      </c>
      <c r="C714" s="1" t="n">
        <v>45933</v>
      </c>
      <c r="D714" t="inlineStr">
        <is>
          <t>DALARNAS LÄN</t>
        </is>
      </c>
      <c r="E714" t="inlineStr">
        <is>
          <t>LEKSAND</t>
        </is>
      </c>
      <c r="G714" t="n">
        <v>1.3</v>
      </c>
      <c r="H714" t="n">
        <v>0</v>
      </c>
      <c r="I714" t="n">
        <v>0</v>
      </c>
      <c r="J714" t="n">
        <v>0</v>
      </c>
      <c r="K714" t="n">
        <v>0</v>
      </c>
      <c r="L714" t="n">
        <v>0</v>
      </c>
      <c r="M714" t="n">
        <v>0</v>
      </c>
      <c r="N714" t="n">
        <v>0</v>
      </c>
      <c r="O714" t="n">
        <v>0</v>
      </c>
      <c r="P714" t="n">
        <v>0</v>
      </c>
      <c r="Q714" t="n">
        <v>0</v>
      </c>
      <c r="R714" s="2" t="inlineStr"/>
    </row>
    <row r="715">
      <c r="A715" t="inlineStr">
        <is>
          <t>A 25610-2025</t>
        </is>
      </c>
      <c r="B715" s="1" t="n">
        <v>45803.56033564815</v>
      </c>
      <c r="C715" s="1" t="n">
        <v>45933</v>
      </c>
      <c r="D715" t="inlineStr">
        <is>
          <t>DALARNAS LÄN</t>
        </is>
      </c>
      <c r="E715" t="inlineStr">
        <is>
          <t>LEKSAND</t>
        </is>
      </c>
      <c r="G715" t="n">
        <v>5.2</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2025-10-03T12:32:33Z</dcterms:created>
  <dcterms:modified xmlns:dcterms="http://purl.org/dc/terms/" xmlns:xsi="http://www.w3.org/2001/XMLSchema-instance" xsi:type="dcterms:W3CDTF">2025-10-03T12:32:34Z</dcterms:modified>
</cp:coreProperties>
</file>