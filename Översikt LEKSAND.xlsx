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45999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45999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45999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45999</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45999</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45999</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45999</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45999</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45999</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8529-2023</t>
        </is>
      </c>
      <c r="B19" s="1" t="n">
        <v>44977</v>
      </c>
      <c r="C19" s="1" t="n">
        <v>45999</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15377-2025</t>
        </is>
      </c>
      <c r="B20" s="1" t="n">
        <v>45747.40665509259</v>
      </c>
      <c r="C20" s="1" t="n">
        <v>45999</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45999</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45999</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45999</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45999</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18860-2025</t>
        </is>
      </c>
      <c r="B25" s="1" t="n">
        <v>45764.42738425926</v>
      </c>
      <c r="C25" s="1" t="n">
        <v>45999</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45999</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45999</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45999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45999</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41718-2021</t>
        </is>
      </c>
      <c r="B30" s="1" t="n">
        <v>44425</v>
      </c>
      <c r="C30" s="1" t="n">
        <v>45999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11218-2023</t>
        </is>
      </c>
      <c r="B31" s="1" t="n">
        <v>44992.62401620371</v>
      </c>
      <c r="C31" s="1" t="n">
        <v>45999</v>
      </c>
      <c r="D31" t="inlineStr">
        <is>
          <t>DALARNAS LÄN</t>
        </is>
      </c>
      <c r="E31" t="inlineStr">
        <is>
          <t>LEKSAND</t>
        </is>
      </c>
      <c r="G31" t="n">
        <v>2.6</v>
      </c>
      <c r="H31" t="n">
        <v>1</v>
      </c>
      <c r="I31" t="n">
        <v>0</v>
      </c>
      <c r="J31" t="n">
        <v>0</v>
      </c>
      <c r="K31" t="n">
        <v>1</v>
      </c>
      <c r="L31" t="n">
        <v>0</v>
      </c>
      <c r="M31" t="n">
        <v>0</v>
      </c>
      <c r="N31" t="n">
        <v>0</v>
      </c>
      <c r="O31" t="n">
        <v>1</v>
      </c>
      <c r="P31" t="n">
        <v>1</v>
      </c>
      <c r="Q31" t="n">
        <v>1</v>
      </c>
      <c r="R31" s="2" t="inlineStr">
        <is>
          <t>Knärot</t>
        </is>
      </c>
      <c r="S31">
        <f>HYPERLINK("https://klasma.github.io/Logging_2029/artfynd/A 11218-2023 artfynd.xlsx", "A 11218-2023")</f>
        <v/>
      </c>
      <c r="T31">
        <f>HYPERLINK("https://klasma.github.io/Logging_2029/kartor/A 11218-2023 karta.png", "A 11218-2023")</f>
        <v/>
      </c>
      <c r="U31">
        <f>HYPERLINK("https://klasma.github.io/Logging_2029/knärot/A 11218-2023 karta knärot.png", "A 11218-2023")</f>
        <v/>
      </c>
      <c r="V31">
        <f>HYPERLINK("https://klasma.github.io/Logging_2029/klagomål/A 11218-2023 FSC-klagomål.docx", "A 11218-2023")</f>
        <v/>
      </c>
      <c r="W31">
        <f>HYPERLINK("https://klasma.github.io/Logging_2029/klagomålsmail/A 11218-2023 FSC-klagomål mail.docx", "A 11218-2023")</f>
        <v/>
      </c>
      <c r="X31">
        <f>HYPERLINK("https://klasma.github.io/Logging_2029/tillsyn/A 11218-2023 tillsynsbegäran.docx", "A 11218-2023")</f>
        <v/>
      </c>
      <c r="Y31">
        <f>HYPERLINK("https://klasma.github.io/Logging_2029/tillsynsmail/A 11218-2023 tillsynsbegäran mail.docx", "A 11218-2023")</f>
        <v/>
      </c>
    </row>
    <row r="32" ht="15" customHeight="1">
      <c r="A32" t="inlineStr">
        <is>
          <t>A 6029-2025</t>
        </is>
      </c>
      <c r="B32" s="1" t="n">
        <v>45695</v>
      </c>
      <c r="C32" s="1" t="n">
        <v>45999</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164-2024</t>
        </is>
      </c>
      <c r="B33" s="1" t="n">
        <v>45294.49954861111</v>
      </c>
      <c r="C33" s="1" t="n">
        <v>45999</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55633-2024</t>
        </is>
      </c>
      <c r="B34" s="1" t="n">
        <v>45621</v>
      </c>
      <c r="C34" s="1" t="n">
        <v>45999</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52600-2024</t>
        </is>
      </c>
      <c r="B35" s="1" t="n">
        <v>45609</v>
      </c>
      <c r="C35" s="1" t="n">
        <v>45999</v>
      </c>
      <c r="D35" t="inlineStr">
        <is>
          <t>DALARNAS LÄN</t>
        </is>
      </c>
      <c r="E35" t="inlineStr">
        <is>
          <t>LEKSAND</t>
        </is>
      </c>
      <c r="G35" t="n">
        <v>3.4</v>
      </c>
      <c r="H35" t="n">
        <v>1</v>
      </c>
      <c r="I35" t="n">
        <v>0</v>
      </c>
      <c r="J35" t="n">
        <v>0</v>
      </c>
      <c r="K35" t="n">
        <v>0</v>
      </c>
      <c r="L35" t="n">
        <v>0</v>
      </c>
      <c r="M35" t="n">
        <v>0</v>
      </c>
      <c r="N35" t="n">
        <v>0</v>
      </c>
      <c r="O35" t="n">
        <v>0</v>
      </c>
      <c r="P35" t="n">
        <v>0</v>
      </c>
      <c r="Q35" t="n">
        <v>1</v>
      </c>
      <c r="R35" s="2" t="inlineStr">
        <is>
          <t>Fläcknycklar</t>
        </is>
      </c>
      <c r="S35">
        <f>HYPERLINK("https://klasma.github.io/Logging_2029/artfynd/A 52600-2024 artfynd.xlsx", "A 52600-2024")</f>
        <v/>
      </c>
      <c r="T35">
        <f>HYPERLINK("https://klasma.github.io/Logging_2029/kartor/A 52600-2024 karta.png", "A 52600-2024")</f>
        <v/>
      </c>
      <c r="V35">
        <f>HYPERLINK("https://klasma.github.io/Logging_2029/klagomål/A 52600-2024 FSC-klagomål.docx", "A 52600-2024")</f>
        <v/>
      </c>
      <c r="W35">
        <f>HYPERLINK("https://klasma.github.io/Logging_2029/klagomålsmail/A 52600-2024 FSC-klagomål mail.docx", "A 52600-2024")</f>
        <v/>
      </c>
      <c r="X35">
        <f>HYPERLINK("https://klasma.github.io/Logging_2029/tillsyn/A 52600-2024 tillsynsbegäran.docx", "A 52600-2024")</f>
        <v/>
      </c>
      <c r="Y35">
        <f>HYPERLINK("https://klasma.github.io/Logging_2029/tillsynsmail/A 52600-2024 tillsynsbegäran mail.docx", "A 52600-2024")</f>
        <v/>
      </c>
    </row>
    <row r="36" ht="15" customHeight="1">
      <c r="A36" t="inlineStr">
        <is>
          <t>A 31124-2024</t>
        </is>
      </c>
      <c r="B36" s="1" t="n">
        <v>45502.62886574074</v>
      </c>
      <c r="C36" s="1" t="n">
        <v>45999</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45999</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59205-2023</t>
        </is>
      </c>
      <c r="B38" s="1" t="n">
        <v>45251</v>
      </c>
      <c r="C38" s="1" t="n">
        <v>45999</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45999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45999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47601-2025</t>
        </is>
      </c>
      <c r="B41" s="1" t="n">
        <v>45931.46008101852</v>
      </c>
      <c r="C41" s="1" t="n">
        <v>45999</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45375-2025</t>
        </is>
      </c>
      <c r="B42" s="1" t="n">
        <v>45922.39347222223</v>
      </c>
      <c r="C42" s="1" t="n">
        <v>45999</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36778-2025</t>
        </is>
      </c>
      <c r="B43" s="1" t="n">
        <v>45873</v>
      </c>
      <c r="C43" s="1" t="n">
        <v>45999</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31951-2025</t>
        </is>
      </c>
      <c r="B44" s="1" t="n">
        <v>45835.33481481481</v>
      </c>
      <c r="C44" s="1" t="n">
        <v>45999</v>
      </c>
      <c r="D44" t="inlineStr">
        <is>
          <t>DALARNAS LÄN</t>
        </is>
      </c>
      <c r="E44" t="inlineStr">
        <is>
          <t>LEKSAND</t>
        </is>
      </c>
      <c r="G44" t="n">
        <v>6.6</v>
      </c>
      <c r="H44" t="n">
        <v>1</v>
      </c>
      <c r="I44" t="n">
        <v>0</v>
      </c>
      <c r="J44" t="n">
        <v>0</v>
      </c>
      <c r="K44" t="n">
        <v>0</v>
      </c>
      <c r="L44" t="n">
        <v>0</v>
      </c>
      <c r="M44" t="n">
        <v>0</v>
      </c>
      <c r="N44" t="n">
        <v>0</v>
      </c>
      <c r="O44" t="n">
        <v>0</v>
      </c>
      <c r="P44" t="n">
        <v>0</v>
      </c>
      <c r="Q44" t="n">
        <v>1</v>
      </c>
      <c r="R44" s="2" t="inlineStr">
        <is>
          <t>Tjäder</t>
        </is>
      </c>
      <c r="S44">
        <f>HYPERLINK("https://klasma.github.io/Logging_2029/artfynd/A 31951-2025 artfynd.xlsx", "A 31951-2025")</f>
        <v/>
      </c>
      <c r="T44">
        <f>HYPERLINK("https://klasma.github.io/Logging_2029/kartor/A 31951-2025 karta.png", "A 31951-2025")</f>
        <v/>
      </c>
      <c r="V44">
        <f>HYPERLINK("https://klasma.github.io/Logging_2029/klagomål/A 31951-2025 FSC-klagomål.docx", "A 31951-2025")</f>
        <v/>
      </c>
      <c r="W44">
        <f>HYPERLINK("https://klasma.github.io/Logging_2029/klagomålsmail/A 31951-2025 FSC-klagomål mail.docx", "A 31951-2025")</f>
        <v/>
      </c>
      <c r="X44">
        <f>HYPERLINK("https://klasma.github.io/Logging_2029/tillsyn/A 31951-2025 tillsynsbegäran.docx", "A 31951-2025")</f>
        <v/>
      </c>
      <c r="Y44">
        <f>HYPERLINK("https://klasma.github.io/Logging_2029/tillsynsmail/A 31951-2025 tillsynsbegäran mail.docx", "A 31951-2025")</f>
        <v/>
      </c>
      <c r="Z44">
        <f>HYPERLINK("https://klasma.github.io/Logging_2029/fåglar/A 31951-2025 prioriterade fågelarter.docx", "A 31951-2025")</f>
        <v/>
      </c>
    </row>
    <row r="45" ht="15" customHeight="1">
      <c r="A45" t="inlineStr">
        <is>
          <t>A 34993-2025</t>
        </is>
      </c>
      <c r="B45" s="1" t="n">
        <v>45849.82383101852</v>
      </c>
      <c r="C45" s="1" t="n">
        <v>45999</v>
      </c>
      <c r="D45" t="inlineStr">
        <is>
          <t>DALARNAS LÄN</t>
        </is>
      </c>
      <c r="E45" t="inlineStr">
        <is>
          <t>LEKSAND</t>
        </is>
      </c>
      <c r="F45" t="inlineStr">
        <is>
          <t>Bergvik skog väst AB</t>
        </is>
      </c>
      <c r="G45" t="n">
        <v>4.6</v>
      </c>
      <c r="H45" t="n">
        <v>0</v>
      </c>
      <c r="I45" t="n">
        <v>1</v>
      </c>
      <c r="J45" t="n">
        <v>0</v>
      </c>
      <c r="K45" t="n">
        <v>0</v>
      </c>
      <c r="L45" t="n">
        <v>0</v>
      </c>
      <c r="M45" t="n">
        <v>0</v>
      </c>
      <c r="N45" t="n">
        <v>0</v>
      </c>
      <c r="O45" t="n">
        <v>0</v>
      </c>
      <c r="P45" t="n">
        <v>0</v>
      </c>
      <c r="Q45" t="n">
        <v>1</v>
      </c>
      <c r="R45" s="2" t="inlineStr">
        <is>
          <t>Mindre märgborre</t>
        </is>
      </c>
      <c r="S45">
        <f>HYPERLINK("https://klasma.github.io/Logging_2029/artfynd/A 34993-2025 artfynd.xlsx", "A 34993-2025")</f>
        <v/>
      </c>
      <c r="T45">
        <f>HYPERLINK("https://klasma.github.io/Logging_2029/kartor/A 34993-2025 karta.png", "A 34993-2025")</f>
        <v/>
      </c>
      <c r="V45">
        <f>HYPERLINK("https://klasma.github.io/Logging_2029/klagomål/A 34993-2025 FSC-klagomål.docx", "A 34993-2025")</f>
        <v/>
      </c>
      <c r="W45">
        <f>HYPERLINK("https://klasma.github.io/Logging_2029/klagomålsmail/A 34993-2025 FSC-klagomål mail.docx", "A 34993-2025")</f>
        <v/>
      </c>
      <c r="X45">
        <f>HYPERLINK("https://klasma.github.io/Logging_2029/tillsyn/A 34993-2025 tillsynsbegäran.docx", "A 34993-2025")</f>
        <v/>
      </c>
      <c r="Y45">
        <f>HYPERLINK("https://klasma.github.io/Logging_2029/tillsynsmail/A 34993-2025 tillsynsbegäran mail.docx", "A 34993-2025")</f>
        <v/>
      </c>
    </row>
    <row r="46" ht="15" customHeight="1">
      <c r="A46" t="inlineStr">
        <is>
          <t>A 34996-2025</t>
        </is>
      </c>
      <c r="B46" s="1" t="n">
        <v>45849.82798611111</v>
      </c>
      <c r="C46" s="1" t="n">
        <v>45999</v>
      </c>
      <c r="D46" t="inlineStr">
        <is>
          <t>DALARNAS LÄN</t>
        </is>
      </c>
      <c r="E46" t="inlineStr">
        <is>
          <t>LEKSAND</t>
        </is>
      </c>
      <c r="G46" t="n">
        <v>1.1</v>
      </c>
      <c r="H46" t="n">
        <v>0</v>
      </c>
      <c r="I46" t="n">
        <v>0</v>
      </c>
      <c r="J46" t="n">
        <v>1</v>
      </c>
      <c r="K46" t="n">
        <v>0</v>
      </c>
      <c r="L46" t="n">
        <v>0</v>
      </c>
      <c r="M46" t="n">
        <v>0</v>
      </c>
      <c r="N46" t="n">
        <v>0</v>
      </c>
      <c r="O46" t="n">
        <v>1</v>
      </c>
      <c r="P46" t="n">
        <v>0</v>
      </c>
      <c r="Q46" t="n">
        <v>1</v>
      </c>
      <c r="R46" s="2" t="inlineStr">
        <is>
          <t>Garnlav</t>
        </is>
      </c>
      <c r="S46">
        <f>HYPERLINK("https://klasma.github.io/Logging_2029/artfynd/A 34996-2025 artfynd.xlsx", "A 34996-2025")</f>
        <v/>
      </c>
      <c r="T46">
        <f>HYPERLINK("https://klasma.github.io/Logging_2029/kartor/A 34996-2025 karta.png", "A 34996-2025")</f>
        <v/>
      </c>
      <c r="V46">
        <f>HYPERLINK("https://klasma.github.io/Logging_2029/klagomål/A 34996-2025 FSC-klagomål.docx", "A 34996-2025")</f>
        <v/>
      </c>
      <c r="W46">
        <f>HYPERLINK("https://klasma.github.io/Logging_2029/klagomålsmail/A 34996-2025 FSC-klagomål mail.docx", "A 34996-2025")</f>
        <v/>
      </c>
      <c r="X46">
        <f>HYPERLINK("https://klasma.github.io/Logging_2029/tillsyn/A 34996-2025 tillsynsbegäran.docx", "A 34996-2025")</f>
        <v/>
      </c>
      <c r="Y46">
        <f>HYPERLINK("https://klasma.github.io/Logging_2029/tillsynsmail/A 34996-2025 tillsynsbegäran mail.docx", "A 34996-2025")</f>
        <v/>
      </c>
    </row>
    <row r="47" ht="15" customHeight="1">
      <c r="A47" t="inlineStr">
        <is>
          <t>A 53633-2024</t>
        </is>
      </c>
      <c r="B47" s="1" t="n">
        <v>45614.83726851852</v>
      </c>
      <c r="C47" s="1" t="n">
        <v>45999</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4974-2025</t>
        </is>
      </c>
      <c r="B48" s="1" t="n">
        <v>45690.8478587963</v>
      </c>
      <c r="C48" s="1" t="n">
        <v>45999</v>
      </c>
      <c r="D48" t="inlineStr">
        <is>
          <t>DALARNAS LÄN</t>
        </is>
      </c>
      <c r="E48" t="inlineStr">
        <is>
          <t>LEKSAND</t>
        </is>
      </c>
      <c r="G48" t="n">
        <v>0.9</v>
      </c>
      <c r="H48" t="n">
        <v>1</v>
      </c>
      <c r="I48" t="n">
        <v>0</v>
      </c>
      <c r="J48" t="n">
        <v>1</v>
      </c>
      <c r="K48" t="n">
        <v>0</v>
      </c>
      <c r="L48" t="n">
        <v>0</v>
      </c>
      <c r="M48" t="n">
        <v>0</v>
      </c>
      <c r="N48" t="n">
        <v>0</v>
      </c>
      <c r="O48" t="n">
        <v>1</v>
      </c>
      <c r="P48" t="n">
        <v>0</v>
      </c>
      <c r="Q48" t="n">
        <v>1</v>
      </c>
      <c r="R48" s="2" t="inlineStr">
        <is>
          <t>Spillkråka</t>
        </is>
      </c>
      <c r="S48">
        <f>HYPERLINK("https://klasma.github.io/Logging_2029/artfynd/A 4974-2025 artfynd.xlsx", "A 4974-2025")</f>
        <v/>
      </c>
      <c r="T48">
        <f>HYPERLINK("https://klasma.github.io/Logging_2029/kartor/A 4974-2025 karta.png", "A 4974-2025")</f>
        <v/>
      </c>
      <c r="V48">
        <f>HYPERLINK("https://klasma.github.io/Logging_2029/klagomål/A 4974-2025 FSC-klagomål.docx", "A 4974-2025")</f>
        <v/>
      </c>
      <c r="W48">
        <f>HYPERLINK("https://klasma.github.io/Logging_2029/klagomålsmail/A 4974-2025 FSC-klagomål mail.docx", "A 4974-2025")</f>
        <v/>
      </c>
      <c r="X48">
        <f>HYPERLINK("https://klasma.github.io/Logging_2029/tillsyn/A 4974-2025 tillsynsbegäran.docx", "A 4974-2025")</f>
        <v/>
      </c>
      <c r="Y48">
        <f>HYPERLINK("https://klasma.github.io/Logging_2029/tillsynsmail/A 4974-2025 tillsynsbegäran mail.docx", "A 4974-2025")</f>
        <v/>
      </c>
      <c r="Z48">
        <f>HYPERLINK("https://klasma.github.io/Logging_2029/fåglar/A 4974-2025 prioriterade fågelarter.docx", "A 4974-2025")</f>
        <v/>
      </c>
    </row>
    <row r="49" ht="15" customHeight="1">
      <c r="A49" t="inlineStr">
        <is>
          <t>A 16333-2023</t>
        </is>
      </c>
      <c r="B49" s="1" t="n">
        <v>45028</v>
      </c>
      <c r="C49" s="1" t="n">
        <v>45999</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26287-2023</t>
        </is>
      </c>
      <c r="B50" s="1" t="n">
        <v>45091</v>
      </c>
      <c r="C50" s="1" t="n">
        <v>45999</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1078-2021</t>
        </is>
      </c>
      <c r="B51" s="1" t="n">
        <v>44207</v>
      </c>
      <c r="C51" s="1" t="n">
        <v>45999</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45999</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45999</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45999</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45999</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45999</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45999</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45999</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45999</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45999</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45999</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9133-2021</t>
        </is>
      </c>
      <c r="B62" s="1" t="n">
        <v>44249</v>
      </c>
      <c r="C62" s="1" t="n">
        <v>45999</v>
      </c>
      <c r="D62" t="inlineStr">
        <is>
          <t>DALARNAS LÄN</t>
        </is>
      </c>
      <c r="E62" t="inlineStr">
        <is>
          <t>LEKSAND</t>
        </is>
      </c>
      <c r="G62" t="n">
        <v>2.5</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45999</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45999</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45999</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45999</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45999</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18267-2021</t>
        </is>
      </c>
      <c r="B68" s="1" t="n">
        <v>44305</v>
      </c>
      <c r="C68" s="1" t="n">
        <v>45999</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16353-2022</t>
        </is>
      </c>
      <c r="B69" s="1" t="n">
        <v>44670</v>
      </c>
      <c r="C69" s="1" t="n">
        <v>45999</v>
      </c>
      <c r="D69" t="inlineStr">
        <is>
          <t>DALARNAS LÄN</t>
        </is>
      </c>
      <c r="E69" t="inlineStr">
        <is>
          <t>LEKSAND</t>
        </is>
      </c>
      <c r="G69" t="n">
        <v>1.7</v>
      </c>
      <c r="H69" t="n">
        <v>0</v>
      </c>
      <c r="I69" t="n">
        <v>0</v>
      </c>
      <c r="J69" t="n">
        <v>0</v>
      </c>
      <c r="K69" t="n">
        <v>0</v>
      </c>
      <c r="L69" t="n">
        <v>0</v>
      </c>
      <c r="M69" t="n">
        <v>0</v>
      </c>
      <c r="N69" t="n">
        <v>0</v>
      </c>
      <c r="O69" t="n">
        <v>0</v>
      </c>
      <c r="P69" t="n">
        <v>0</v>
      </c>
      <c r="Q69" t="n">
        <v>0</v>
      </c>
      <c r="R69" s="2" t="inlineStr"/>
    </row>
    <row r="70" ht="15" customHeight="1">
      <c r="A70" t="inlineStr">
        <is>
          <t>A 58569-2021</t>
        </is>
      </c>
      <c r="B70" s="1" t="n">
        <v>44488</v>
      </c>
      <c r="C70" s="1" t="n">
        <v>45999</v>
      </c>
      <c r="D70" t="inlineStr">
        <is>
          <t>DALARNAS LÄN</t>
        </is>
      </c>
      <c r="E70" t="inlineStr">
        <is>
          <t>LEKSAND</t>
        </is>
      </c>
      <c r="G70" t="n">
        <v>1.7</v>
      </c>
      <c r="H70" t="n">
        <v>0</v>
      </c>
      <c r="I70" t="n">
        <v>0</v>
      </c>
      <c r="J70" t="n">
        <v>0</v>
      </c>
      <c r="K70" t="n">
        <v>0</v>
      </c>
      <c r="L70" t="n">
        <v>0</v>
      </c>
      <c r="M70" t="n">
        <v>0</v>
      </c>
      <c r="N70" t="n">
        <v>0</v>
      </c>
      <c r="O70" t="n">
        <v>0</v>
      </c>
      <c r="P70" t="n">
        <v>0</v>
      </c>
      <c r="Q70" t="n">
        <v>0</v>
      </c>
      <c r="R70" s="2" t="inlineStr"/>
    </row>
    <row r="71" ht="15" customHeight="1">
      <c r="A71" t="inlineStr">
        <is>
          <t>A 37073-2021</t>
        </is>
      </c>
      <c r="B71" s="1" t="n">
        <v>44394</v>
      </c>
      <c r="C71" s="1" t="n">
        <v>45999</v>
      </c>
      <c r="D71" t="inlineStr">
        <is>
          <t>DALARNAS LÄN</t>
        </is>
      </c>
      <c r="E71" t="inlineStr">
        <is>
          <t>LEKSAND</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40584-2021</t>
        </is>
      </c>
      <c r="B72" s="1" t="n">
        <v>44420</v>
      </c>
      <c r="C72" s="1" t="n">
        <v>45999</v>
      </c>
      <c r="D72" t="inlineStr">
        <is>
          <t>DALARNAS LÄN</t>
        </is>
      </c>
      <c r="E72" t="inlineStr">
        <is>
          <t>LEKSAND</t>
        </is>
      </c>
      <c r="G72" t="n">
        <v>6</v>
      </c>
      <c r="H72" t="n">
        <v>0</v>
      </c>
      <c r="I72" t="n">
        <v>0</v>
      </c>
      <c r="J72" t="n">
        <v>0</v>
      </c>
      <c r="K72" t="n">
        <v>0</v>
      </c>
      <c r="L72" t="n">
        <v>0</v>
      </c>
      <c r="M72" t="n">
        <v>0</v>
      </c>
      <c r="N72" t="n">
        <v>0</v>
      </c>
      <c r="O72" t="n">
        <v>0</v>
      </c>
      <c r="P72" t="n">
        <v>0</v>
      </c>
      <c r="Q72" t="n">
        <v>0</v>
      </c>
      <c r="R72" s="2" t="inlineStr"/>
    </row>
    <row r="73" ht="15" customHeight="1">
      <c r="A73" t="inlineStr">
        <is>
          <t>A 21965-2021</t>
        </is>
      </c>
      <c r="B73" s="1" t="n">
        <v>44323</v>
      </c>
      <c r="C73" s="1" t="n">
        <v>45999</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21969-2021</t>
        </is>
      </c>
      <c r="B74" s="1" t="n">
        <v>44323</v>
      </c>
      <c r="C74" s="1" t="n">
        <v>45999</v>
      </c>
      <c r="D74" t="inlineStr">
        <is>
          <t>DALARNAS LÄN</t>
        </is>
      </c>
      <c r="E74" t="inlineStr">
        <is>
          <t>LEKSAND</t>
        </is>
      </c>
      <c r="G74" t="n">
        <v>3.8</v>
      </c>
      <c r="H74" t="n">
        <v>0</v>
      </c>
      <c r="I74" t="n">
        <v>0</v>
      </c>
      <c r="J74" t="n">
        <v>0</v>
      </c>
      <c r="K74" t="n">
        <v>0</v>
      </c>
      <c r="L74" t="n">
        <v>0</v>
      </c>
      <c r="M74" t="n">
        <v>0</v>
      </c>
      <c r="N74" t="n">
        <v>0</v>
      </c>
      <c r="O74" t="n">
        <v>0</v>
      </c>
      <c r="P74" t="n">
        <v>0</v>
      </c>
      <c r="Q74" t="n">
        <v>0</v>
      </c>
      <c r="R74" s="2" t="inlineStr"/>
    </row>
    <row r="75" ht="15" customHeight="1">
      <c r="A75" t="inlineStr">
        <is>
          <t>A 65058-2020</t>
        </is>
      </c>
      <c r="B75" s="1" t="n">
        <v>44172</v>
      </c>
      <c r="C75" s="1" t="n">
        <v>45999</v>
      </c>
      <c r="D75" t="inlineStr">
        <is>
          <t>DALARNAS LÄN</t>
        </is>
      </c>
      <c r="E75" t="inlineStr">
        <is>
          <t>LEKSAND</t>
        </is>
      </c>
      <c r="G75" t="n">
        <v>1</v>
      </c>
      <c r="H75" t="n">
        <v>0</v>
      </c>
      <c r="I75" t="n">
        <v>0</v>
      </c>
      <c r="J75" t="n">
        <v>0</v>
      </c>
      <c r="K75" t="n">
        <v>0</v>
      </c>
      <c r="L75" t="n">
        <v>0</v>
      </c>
      <c r="M75" t="n">
        <v>0</v>
      </c>
      <c r="N75" t="n">
        <v>0</v>
      </c>
      <c r="O75" t="n">
        <v>0</v>
      </c>
      <c r="P75" t="n">
        <v>0</v>
      </c>
      <c r="Q75" t="n">
        <v>0</v>
      </c>
      <c r="R75" s="2" t="inlineStr"/>
    </row>
    <row r="76" ht="15" customHeight="1">
      <c r="A76" t="inlineStr">
        <is>
          <t>A 70296-2021</t>
        </is>
      </c>
      <c r="B76" s="1" t="n">
        <v>44536.40434027778</v>
      </c>
      <c r="C76" s="1" t="n">
        <v>45999</v>
      </c>
      <c r="D76" t="inlineStr">
        <is>
          <t>DALARNAS LÄN</t>
        </is>
      </c>
      <c r="E76" t="inlineStr">
        <is>
          <t>LEKSAND</t>
        </is>
      </c>
      <c r="G76" t="n">
        <v>2.7</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45999</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70026-2021</t>
        </is>
      </c>
      <c r="B78" s="1" t="n">
        <v>44533</v>
      </c>
      <c r="C78" s="1" t="n">
        <v>45999</v>
      </c>
      <c r="D78" t="inlineStr">
        <is>
          <t>DALARNAS LÄN</t>
        </is>
      </c>
      <c r="E78" t="inlineStr">
        <is>
          <t>LEKSAND</t>
        </is>
      </c>
      <c r="G78" t="n">
        <v>0.9</v>
      </c>
      <c r="H78" t="n">
        <v>0</v>
      </c>
      <c r="I78" t="n">
        <v>0</v>
      </c>
      <c r="J78" t="n">
        <v>0</v>
      </c>
      <c r="K78" t="n">
        <v>0</v>
      </c>
      <c r="L78" t="n">
        <v>0</v>
      </c>
      <c r="M78" t="n">
        <v>0</v>
      </c>
      <c r="N78" t="n">
        <v>0</v>
      </c>
      <c r="O78" t="n">
        <v>0</v>
      </c>
      <c r="P78" t="n">
        <v>0</v>
      </c>
      <c r="Q78" t="n">
        <v>0</v>
      </c>
      <c r="R78" s="2" t="inlineStr"/>
    </row>
    <row r="79" ht="15" customHeight="1">
      <c r="A79" t="inlineStr">
        <is>
          <t>A 37283-2021</t>
        </is>
      </c>
      <c r="B79" s="1" t="n">
        <v>44397</v>
      </c>
      <c r="C79" s="1" t="n">
        <v>45999</v>
      </c>
      <c r="D79" t="inlineStr">
        <is>
          <t>DALARNAS LÄN</t>
        </is>
      </c>
      <c r="E79" t="inlineStr">
        <is>
          <t>LEKSAND</t>
        </is>
      </c>
      <c r="G79" t="n">
        <v>2.9</v>
      </c>
      <c r="H79" t="n">
        <v>0</v>
      </c>
      <c r="I79" t="n">
        <v>0</v>
      </c>
      <c r="J79" t="n">
        <v>0</v>
      </c>
      <c r="K79" t="n">
        <v>0</v>
      </c>
      <c r="L79" t="n">
        <v>0</v>
      </c>
      <c r="M79" t="n">
        <v>0</v>
      </c>
      <c r="N79" t="n">
        <v>0</v>
      </c>
      <c r="O79" t="n">
        <v>0</v>
      </c>
      <c r="P79" t="n">
        <v>0</v>
      </c>
      <c r="Q79" t="n">
        <v>0</v>
      </c>
      <c r="R79" s="2" t="inlineStr"/>
    </row>
    <row r="80" ht="15" customHeight="1">
      <c r="A80" t="inlineStr">
        <is>
          <t>A 36956-2021</t>
        </is>
      </c>
      <c r="B80" s="1" t="n">
        <v>44393.55643518519</v>
      </c>
      <c r="C80" s="1" t="n">
        <v>45999</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45999</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45999</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40165-2022</t>
        </is>
      </c>
      <c r="B83" s="1" t="n">
        <v>44820.56857638889</v>
      </c>
      <c r="C83" s="1" t="n">
        <v>45999</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51498-2022</t>
        </is>
      </c>
      <c r="B84" s="1" t="n">
        <v>44869</v>
      </c>
      <c r="C84" s="1" t="n">
        <v>45999</v>
      </c>
      <c r="D84" t="inlineStr">
        <is>
          <t>DALARNAS LÄN</t>
        </is>
      </c>
      <c r="E84" t="inlineStr">
        <is>
          <t>LEKSAND</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45999</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45999</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45999</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67307-2020</t>
        </is>
      </c>
      <c r="B88" s="1" t="n">
        <v>44181</v>
      </c>
      <c r="C88" s="1" t="n">
        <v>45999</v>
      </c>
      <c r="D88" t="inlineStr">
        <is>
          <t>DALARNAS LÄN</t>
        </is>
      </c>
      <c r="E88" t="inlineStr">
        <is>
          <t>LEKSAND</t>
        </is>
      </c>
      <c r="G88" t="n">
        <v>5.9</v>
      </c>
      <c r="H88" t="n">
        <v>0</v>
      </c>
      <c r="I88" t="n">
        <v>0</v>
      </c>
      <c r="J88" t="n">
        <v>0</v>
      </c>
      <c r="K88" t="n">
        <v>0</v>
      </c>
      <c r="L88" t="n">
        <v>0</v>
      </c>
      <c r="M88" t="n">
        <v>0</v>
      </c>
      <c r="N88" t="n">
        <v>0</v>
      </c>
      <c r="O88" t="n">
        <v>0</v>
      </c>
      <c r="P88" t="n">
        <v>0</v>
      </c>
      <c r="Q88" t="n">
        <v>0</v>
      </c>
      <c r="R88" s="2" t="inlineStr"/>
    </row>
    <row r="89" ht="15" customHeight="1">
      <c r="A89" t="inlineStr">
        <is>
          <t>A 791-2022</t>
        </is>
      </c>
      <c r="B89" s="1" t="n">
        <v>44570</v>
      </c>
      <c r="C89" s="1" t="n">
        <v>45999</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63831-2021</t>
        </is>
      </c>
      <c r="B90" s="1" t="n">
        <v>44509.58097222223</v>
      </c>
      <c r="C90" s="1" t="n">
        <v>45999</v>
      </c>
      <c r="D90" t="inlineStr">
        <is>
          <t>DALARNAS LÄN</t>
        </is>
      </c>
      <c r="E90" t="inlineStr">
        <is>
          <t>LEKSAND</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45999</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37531-2021</t>
        </is>
      </c>
      <c r="B92" s="1" t="n">
        <v>44399</v>
      </c>
      <c r="C92" s="1" t="n">
        <v>45999</v>
      </c>
      <c r="D92" t="inlineStr">
        <is>
          <t>DALARNAS LÄN</t>
        </is>
      </c>
      <c r="E92" t="inlineStr">
        <is>
          <t>LEKSAND</t>
        </is>
      </c>
      <c r="G92" t="n">
        <v>1.5</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45999</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45999</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45999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45999</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45999</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45999</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38619-2021</t>
        </is>
      </c>
      <c r="B99" s="1" t="n">
        <v>44409</v>
      </c>
      <c r="C99" s="1" t="n">
        <v>45999</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45999</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45999</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21968-2021</t>
        </is>
      </c>
      <c r="B102" s="1" t="n">
        <v>44323</v>
      </c>
      <c r="C102" s="1" t="n">
        <v>45999</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45999</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45999</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32635-2021</t>
        </is>
      </c>
      <c r="B105" s="1" t="n">
        <v>44374</v>
      </c>
      <c r="C105" s="1" t="n">
        <v>45999</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45999</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45040-2021</t>
        </is>
      </c>
      <c r="B107" s="1" t="n">
        <v>44438</v>
      </c>
      <c r="C107" s="1" t="n">
        <v>45999</v>
      </c>
      <c r="D107" t="inlineStr">
        <is>
          <t>DALARNAS LÄN</t>
        </is>
      </c>
      <c r="E107" t="inlineStr">
        <is>
          <t>LEKSAND</t>
        </is>
      </c>
      <c r="G107" t="n">
        <v>2.7</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45999</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45999</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46834-2023</t>
        </is>
      </c>
      <c r="B110" s="1" t="n">
        <v>45199.35668981481</v>
      </c>
      <c r="C110" s="1" t="n">
        <v>45999</v>
      </c>
      <c r="D110" t="inlineStr">
        <is>
          <t>DALARNAS LÄN</t>
        </is>
      </c>
      <c r="E110" t="inlineStr">
        <is>
          <t>LEKSAND</t>
        </is>
      </c>
      <c r="G110" t="n">
        <v>16.3</v>
      </c>
      <c r="H110" t="n">
        <v>0</v>
      </c>
      <c r="I110" t="n">
        <v>0</v>
      </c>
      <c r="J110" t="n">
        <v>0</v>
      </c>
      <c r="K110" t="n">
        <v>0</v>
      </c>
      <c r="L110" t="n">
        <v>0</v>
      </c>
      <c r="M110" t="n">
        <v>0</v>
      </c>
      <c r="N110" t="n">
        <v>0</v>
      </c>
      <c r="O110" t="n">
        <v>0</v>
      </c>
      <c r="P110" t="n">
        <v>0</v>
      </c>
      <c r="Q110" t="n">
        <v>0</v>
      </c>
      <c r="R110" s="2" t="inlineStr"/>
    </row>
    <row r="111" ht="15" customHeight="1">
      <c r="A111" t="inlineStr">
        <is>
          <t>A 1983-2025</t>
        </is>
      </c>
      <c r="B111" s="1" t="n">
        <v>45670</v>
      </c>
      <c r="C111" s="1" t="n">
        <v>45999</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45999</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21402-2023</t>
        </is>
      </c>
      <c r="B113" s="1" t="n">
        <v>45061</v>
      </c>
      <c r="C113" s="1" t="n">
        <v>45999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45999</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43142-2024</t>
        </is>
      </c>
      <c r="B115" s="1" t="n">
        <v>45567.62144675926</v>
      </c>
      <c r="C115" s="1" t="n">
        <v>45999</v>
      </c>
      <c r="D115" t="inlineStr">
        <is>
          <t>DALARNAS LÄN</t>
        </is>
      </c>
      <c r="E115" t="inlineStr">
        <is>
          <t>LEKSAND</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14797-2025</t>
        </is>
      </c>
      <c r="B116" s="1" t="n">
        <v>45742.90363425926</v>
      </c>
      <c r="C116" s="1" t="n">
        <v>45999</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45999</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38001-2023</t>
        </is>
      </c>
      <c r="B118" s="1" t="n">
        <v>45160</v>
      </c>
      <c r="C118" s="1" t="n">
        <v>45999</v>
      </c>
      <c r="D118" t="inlineStr">
        <is>
          <t>DALARNAS LÄN</t>
        </is>
      </c>
      <c r="E118" t="inlineStr">
        <is>
          <t>LEKSAND</t>
        </is>
      </c>
      <c r="G118" t="n">
        <v>3.6</v>
      </c>
      <c r="H118" t="n">
        <v>0</v>
      </c>
      <c r="I118" t="n">
        <v>0</v>
      </c>
      <c r="J118" t="n">
        <v>0</v>
      </c>
      <c r="K118" t="n">
        <v>0</v>
      </c>
      <c r="L118" t="n">
        <v>0</v>
      </c>
      <c r="M118" t="n">
        <v>0</v>
      </c>
      <c r="N118" t="n">
        <v>0</v>
      </c>
      <c r="O118" t="n">
        <v>0</v>
      </c>
      <c r="P118" t="n">
        <v>0</v>
      </c>
      <c r="Q118" t="n">
        <v>0</v>
      </c>
      <c r="R118" s="2" t="inlineStr"/>
    </row>
    <row r="119" ht="15" customHeight="1">
      <c r="A119" t="inlineStr">
        <is>
          <t>A 47673-2023</t>
        </is>
      </c>
      <c r="B119" s="1" t="n">
        <v>45203</v>
      </c>
      <c r="C119" s="1" t="n">
        <v>45999</v>
      </c>
      <c r="D119" t="inlineStr">
        <is>
          <t>DALARNAS LÄN</t>
        </is>
      </c>
      <c r="E119" t="inlineStr">
        <is>
          <t>LEKSAND</t>
        </is>
      </c>
      <c r="G119" t="n">
        <v>2</v>
      </c>
      <c r="H119" t="n">
        <v>0</v>
      </c>
      <c r="I119" t="n">
        <v>0</v>
      </c>
      <c r="J119" t="n">
        <v>0</v>
      </c>
      <c r="K119" t="n">
        <v>0</v>
      </c>
      <c r="L119" t="n">
        <v>0</v>
      </c>
      <c r="M119" t="n">
        <v>0</v>
      </c>
      <c r="N119" t="n">
        <v>0</v>
      </c>
      <c r="O119" t="n">
        <v>0</v>
      </c>
      <c r="P119" t="n">
        <v>0</v>
      </c>
      <c r="Q119" t="n">
        <v>0</v>
      </c>
      <c r="R119" s="2" t="inlineStr"/>
    </row>
    <row r="120" ht="15" customHeight="1">
      <c r="A120" t="inlineStr">
        <is>
          <t>A 59718-2023</t>
        </is>
      </c>
      <c r="B120" s="1" t="n">
        <v>45257</v>
      </c>
      <c r="C120" s="1" t="n">
        <v>45999</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5583-2024</t>
        </is>
      </c>
      <c r="B121" s="1" t="n">
        <v>45334</v>
      </c>
      <c r="C121" s="1" t="n">
        <v>45999</v>
      </c>
      <c r="D121" t="inlineStr">
        <is>
          <t>DALARNAS LÄN</t>
        </is>
      </c>
      <c r="E121" t="inlineStr">
        <is>
          <t>LEKSAND</t>
        </is>
      </c>
      <c r="F121" t="inlineStr">
        <is>
          <t>Kyrkan</t>
        </is>
      </c>
      <c r="G121" t="n">
        <v>0.4</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45999</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45999</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45999</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45999</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30994-2023</t>
        </is>
      </c>
      <c r="B126" s="1" t="n">
        <v>45113</v>
      </c>
      <c r="C126" s="1" t="n">
        <v>45999</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45999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12290-2024</t>
        </is>
      </c>
      <c r="B128" s="1" t="n">
        <v>45378.57877314815</v>
      </c>
      <c r="C128" s="1" t="n">
        <v>45999</v>
      </c>
      <c r="D128" t="inlineStr">
        <is>
          <t>DALARNAS LÄN</t>
        </is>
      </c>
      <c r="E128" t="inlineStr">
        <is>
          <t>LEKSAND</t>
        </is>
      </c>
      <c r="G128" t="n">
        <v>2.5</v>
      </c>
      <c r="H128" t="n">
        <v>0</v>
      </c>
      <c r="I128" t="n">
        <v>0</v>
      </c>
      <c r="J128" t="n">
        <v>0</v>
      </c>
      <c r="K128" t="n">
        <v>0</v>
      </c>
      <c r="L128" t="n">
        <v>0</v>
      </c>
      <c r="M128" t="n">
        <v>0</v>
      </c>
      <c r="N128" t="n">
        <v>0</v>
      </c>
      <c r="O128" t="n">
        <v>0</v>
      </c>
      <c r="P128" t="n">
        <v>0</v>
      </c>
      <c r="Q128" t="n">
        <v>0</v>
      </c>
      <c r="R128" s="2" t="inlineStr"/>
    </row>
    <row r="129" ht="15" customHeight="1">
      <c r="A129" t="inlineStr">
        <is>
          <t>A 57665-2023</t>
        </is>
      </c>
      <c r="B129" s="1" t="n">
        <v>45246</v>
      </c>
      <c r="C129" s="1" t="n">
        <v>45999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51480-2022</t>
        </is>
      </c>
      <c r="B130" s="1" t="n">
        <v>44869.57961805556</v>
      </c>
      <c r="C130" s="1" t="n">
        <v>45999</v>
      </c>
      <c r="D130" t="inlineStr">
        <is>
          <t>DALARNAS LÄN</t>
        </is>
      </c>
      <c r="E130" t="inlineStr">
        <is>
          <t>LEKSAND</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45999</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14616-2024</t>
        </is>
      </c>
      <c r="B132" s="1" t="n">
        <v>45397.2624537037</v>
      </c>
      <c r="C132" s="1" t="n">
        <v>45999</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45999</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25025-2023</t>
        </is>
      </c>
      <c r="B134" s="1" t="n">
        <v>45085.92146990741</v>
      </c>
      <c r="C134" s="1" t="n">
        <v>45999</v>
      </c>
      <c r="D134" t="inlineStr">
        <is>
          <t>DALARNAS LÄN</t>
        </is>
      </c>
      <c r="E134" t="inlineStr">
        <is>
          <t>LEKSAND</t>
        </is>
      </c>
      <c r="G134" t="n">
        <v>3</v>
      </c>
      <c r="H134" t="n">
        <v>0</v>
      </c>
      <c r="I134" t="n">
        <v>0</v>
      </c>
      <c r="J134" t="n">
        <v>0</v>
      </c>
      <c r="K134" t="n">
        <v>0</v>
      </c>
      <c r="L134" t="n">
        <v>0</v>
      </c>
      <c r="M134" t="n">
        <v>0</v>
      </c>
      <c r="N134" t="n">
        <v>0</v>
      </c>
      <c r="O134" t="n">
        <v>0</v>
      </c>
      <c r="P134" t="n">
        <v>0</v>
      </c>
      <c r="Q134" t="n">
        <v>0</v>
      </c>
      <c r="R134" s="2" t="inlineStr"/>
    </row>
    <row r="135" ht="15" customHeight="1">
      <c r="A135" t="inlineStr">
        <is>
          <t>A 25038-2023</t>
        </is>
      </c>
      <c r="B135" s="1" t="n">
        <v>45085</v>
      </c>
      <c r="C135" s="1" t="n">
        <v>45999</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51857-2022</t>
        </is>
      </c>
      <c r="B136" s="1" t="n">
        <v>44867</v>
      </c>
      <c r="C136" s="1" t="n">
        <v>45999</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15968-2025</t>
        </is>
      </c>
      <c r="B137" s="1" t="n">
        <v>45749.54818287037</v>
      </c>
      <c r="C137" s="1" t="n">
        <v>45999</v>
      </c>
      <c r="D137" t="inlineStr">
        <is>
          <t>DALARNAS LÄN</t>
        </is>
      </c>
      <c r="E137" t="inlineStr">
        <is>
          <t>LEKSAND</t>
        </is>
      </c>
      <c r="G137" t="n">
        <v>3.2</v>
      </c>
      <c r="H137" t="n">
        <v>0</v>
      </c>
      <c r="I137" t="n">
        <v>0</v>
      </c>
      <c r="J137" t="n">
        <v>0</v>
      </c>
      <c r="K137" t="n">
        <v>0</v>
      </c>
      <c r="L137" t="n">
        <v>0</v>
      </c>
      <c r="M137" t="n">
        <v>0</v>
      </c>
      <c r="N137" t="n">
        <v>0</v>
      </c>
      <c r="O137" t="n">
        <v>0</v>
      </c>
      <c r="P137" t="n">
        <v>0</v>
      </c>
      <c r="Q137" t="n">
        <v>0</v>
      </c>
      <c r="R137" s="2" t="inlineStr"/>
    </row>
    <row r="138" ht="15" customHeight="1">
      <c r="A138" t="inlineStr">
        <is>
          <t>A 16005-2025</t>
        </is>
      </c>
      <c r="B138" s="1" t="n">
        <v>45749.59765046297</v>
      </c>
      <c r="C138" s="1" t="n">
        <v>45999</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45433.33907407407</v>
      </c>
      <c r="C139" s="1" t="n">
        <v>45999</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45433.34469907408</v>
      </c>
      <c r="C140" s="1" t="n">
        <v>45999</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43237-2024</t>
        </is>
      </c>
      <c r="B141" s="1" t="n">
        <v>45567</v>
      </c>
      <c r="C141" s="1" t="n">
        <v>45999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40752-2024</t>
        </is>
      </c>
      <c r="B142" s="1" t="n">
        <v>45558.45638888889</v>
      </c>
      <c r="C142" s="1" t="n">
        <v>45999</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34482-2022</t>
        </is>
      </c>
      <c r="B143" s="1" t="n">
        <v>44792</v>
      </c>
      <c r="C143" s="1" t="n">
        <v>45999</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45999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17485-2025</t>
        </is>
      </c>
      <c r="B145" s="1" t="n">
        <v>45757.49976851852</v>
      </c>
      <c r="C145" s="1" t="n">
        <v>45999</v>
      </c>
      <c r="D145" t="inlineStr">
        <is>
          <t>DALARNAS LÄN</t>
        </is>
      </c>
      <c r="E145" t="inlineStr">
        <is>
          <t>LEKSAND</t>
        </is>
      </c>
      <c r="G145" t="n">
        <v>3.7</v>
      </c>
      <c r="H145" t="n">
        <v>0</v>
      </c>
      <c r="I145" t="n">
        <v>0</v>
      </c>
      <c r="J145" t="n">
        <v>0</v>
      </c>
      <c r="K145" t="n">
        <v>0</v>
      </c>
      <c r="L145" t="n">
        <v>0</v>
      </c>
      <c r="M145" t="n">
        <v>0</v>
      </c>
      <c r="N145" t="n">
        <v>0</v>
      </c>
      <c r="O145" t="n">
        <v>0</v>
      </c>
      <c r="P145" t="n">
        <v>0</v>
      </c>
      <c r="Q145" t="n">
        <v>0</v>
      </c>
      <c r="R145" s="2" t="inlineStr"/>
    </row>
    <row r="146" ht="15" customHeight="1">
      <c r="A146" t="inlineStr">
        <is>
          <t>A 30595-2023</t>
        </is>
      </c>
      <c r="B146" s="1" t="n">
        <v>45112</v>
      </c>
      <c r="C146" s="1" t="n">
        <v>45999</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412-2024</t>
        </is>
      </c>
      <c r="B147" s="1" t="n">
        <v>45296</v>
      </c>
      <c r="C147" s="1" t="n">
        <v>45999</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59673-2023</t>
        </is>
      </c>
      <c r="B148" s="1" t="n">
        <v>45255.44603009259</v>
      </c>
      <c r="C148" s="1" t="n">
        <v>45999</v>
      </c>
      <c r="D148" t="inlineStr">
        <is>
          <t>DALARNAS LÄN</t>
        </is>
      </c>
      <c r="E148" t="inlineStr">
        <is>
          <t>LEKSAND</t>
        </is>
      </c>
      <c r="G148" t="n">
        <v>12.2</v>
      </c>
      <c r="H148" t="n">
        <v>0</v>
      </c>
      <c r="I148" t="n">
        <v>0</v>
      </c>
      <c r="J148" t="n">
        <v>0</v>
      </c>
      <c r="K148" t="n">
        <v>0</v>
      </c>
      <c r="L148" t="n">
        <v>0</v>
      </c>
      <c r="M148" t="n">
        <v>0</v>
      </c>
      <c r="N148" t="n">
        <v>0</v>
      </c>
      <c r="O148" t="n">
        <v>0</v>
      </c>
      <c r="P148" t="n">
        <v>0</v>
      </c>
      <c r="Q148" t="n">
        <v>0</v>
      </c>
      <c r="R148" s="2" t="inlineStr"/>
    </row>
    <row r="149" ht="15" customHeight="1">
      <c r="A149" t="inlineStr">
        <is>
          <t>A 23068-2024</t>
        </is>
      </c>
      <c r="B149" s="1" t="n">
        <v>45450.45521990741</v>
      </c>
      <c r="C149" s="1" t="n">
        <v>45999</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56943-2024</t>
        </is>
      </c>
      <c r="B150" s="1" t="n">
        <v>45625</v>
      </c>
      <c r="C150" s="1" t="n">
        <v>45999</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22281-2024</t>
        </is>
      </c>
      <c r="B151" s="1" t="n">
        <v>45446.54756944445</v>
      </c>
      <c r="C151" s="1" t="n">
        <v>45999</v>
      </c>
      <c r="D151" t="inlineStr">
        <is>
          <t>DALARNAS LÄN</t>
        </is>
      </c>
      <c r="E151" t="inlineStr">
        <is>
          <t>LEKSAND</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15257-2025</t>
        </is>
      </c>
      <c r="B152" s="1" t="n">
        <v>45744</v>
      </c>
      <c r="C152" s="1" t="n">
        <v>45999</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40755-2024</t>
        </is>
      </c>
      <c r="B153" s="1" t="n">
        <v>45558.45815972222</v>
      </c>
      <c r="C153" s="1" t="n">
        <v>45999</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24142-2021</t>
        </is>
      </c>
      <c r="B154" s="1" t="n">
        <v>44336</v>
      </c>
      <c r="C154" s="1" t="n">
        <v>45999</v>
      </c>
      <c r="D154" t="inlineStr">
        <is>
          <t>DALARNAS LÄN</t>
        </is>
      </c>
      <c r="E154" t="inlineStr">
        <is>
          <t>LEKSAND</t>
        </is>
      </c>
      <c r="F154" t="inlineStr">
        <is>
          <t>Bergvik skog väst AB</t>
        </is>
      </c>
      <c r="G154" t="n">
        <v>18.9</v>
      </c>
      <c r="H154" t="n">
        <v>0</v>
      </c>
      <c r="I154" t="n">
        <v>0</v>
      </c>
      <c r="J154" t="n">
        <v>0</v>
      </c>
      <c r="K154" t="n">
        <v>0</v>
      </c>
      <c r="L154" t="n">
        <v>0</v>
      </c>
      <c r="M154" t="n">
        <v>0</v>
      </c>
      <c r="N154" t="n">
        <v>0</v>
      </c>
      <c r="O154" t="n">
        <v>0</v>
      </c>
      <c r="P154" t="n">
        <v>0</v>
      </c>
      <c r="Q154" t="n">
        <v>0</v>
      </c>
      <c r="R154" s="2" t="inlineStr"/>
    </row>
    <row r="155" ht="15" customHeight="1">
      <c r="A155" t="inlineStr">
        <is>
          <t>A 23615-2024</t>
        </is>
      </c>
      <c r="B155" s="1" t="n">
        <v>45454.43050925926</v>
      </c>
      <c r="C155" s="1" t="n">
        <v>45999</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16815-2025</t>
        </is>
      </c>
      <c r="B156" s="1" t="n">
        <v>45754</v>
      </c>
      <c r="C156" s="1" t="n">
        <v>45999</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61208-2023</t>
        </is>
      </c>
      <c r="B157" s="1" t="n">
        <v>45260</v>
      </c>
      <c r="C157" s="1" t="n">
        <v>45999</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52977-2022</t>
        </is>
      </c>
      <c r="B158" s="1" t="n">
        <v>44875</v>
      </c>
      <c r="C158" s="1" t="n">
        <v>45999</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5738-2023</t>
        </is>
      </c>
      <c r="B159" s="1" t="n">
        <v>44962</v>
      </c>
      <c r="C159" s="1" t="n">
        <v>45999</v>
      </c>
      <c r="D159" t="inlineStr">
        <is>
          <t>DALARNAS LÄN</t>
        </is>
      </c>
      <c r="E159" t="inlineStr">
        <is>
          <t>LEKSAND</t>
        </is>
      </c>
      <c r="G159" t="n">
        <v>0.2</v>
      </c>
      <c r="H159" t="n">
        <v>0</v>
      </c>
      <c r="I159" t="n">
        <v>0</v>
      </c>
      <c r="J159" t="n">
        <v>0</v>
      </c>
      <c r="K159" t="n">
        <v>0</v>
      </c>
      <c r="L159" t="n">
        <v>0</v>
      </c>
      <c r="M159" t="n">
        <v>0</v>
      </c>
      <c r="N159" t="n">
        <v>0</v>
      </c>
      <c r="O159" t="n">
        <v>0</v>
      </c>
      <c r="P159" t="n">
        <v>0</v>
      </c>
      <c r="Q159" t="n">
        <v>0</v>
      </c>
      <c r="R159" s="2" t="inlineStr"/>
    </row>
    <row r="160" ht="15" customHeight="1">
      <c r="A160" t="inlineStr">
        <is>
          <t>A 5570-2024</t>
        </is>
      </c>
      <c r="B160" s="1" t="n">
        <v>45334</v>
      </c>
      <c r="C160" s="1" t="n">
        <v>45999</v>
      </c>
      <c r="D160" t="inlineStr">
        <is>
          <t>DALARNAS LÄN</t>
        </is>
      </c>
      <c r="E160" t="inlineStr">
        <is>
          <t>LEKSAND</t>
        </is>
      </c>
      <c r="G160" t="n">
        <v>0.3</v>
      </c>
      <c r="H160" t="n">
        <v>0</v>
      </c>
      <c r="I160" t="n">
        <v>0</v>
      </c>
      <c r="J160" t="n">
        <v>0</v>
      </c>
      <c r="K160" t="n">
        <v>0</v>
      </c>
      <c r="L160" t="n">
        <v>0</v>
      </c>
      <c r="M160" t="n">
        <v>0</v>
      </c>
      <c r="N160" t="n">
        <v>0</v>
      </c>
      <c r="O160" t="n">
        <v>0</v>
      </c>
      <c r="P160" t="n">
        <v>0</v>
      </c>
      <c r="Q160" t="n">
        <v>0</v>
      </c>
      <c r="R160" s="2" t="inlineStr"/>
    </row>
    <row r="161" ht="15" customHeight="1">
      <c r="A161" t="inlineStr">
        <is>
          <t>A 25921-2024</t>
        </is>
      </c>
      <c r="B161" s="1" t="n">
        <v>45467.6053587963</v>
      </c>
      <c r="C161" s="1" t="n">
        <v>45999</v>
      </c>
      <c r="D161" t="inlineStr">
        <is>
          <t>DALARNAS LÄN</t>
        </is>
      </c>
      <c r="E161" t="inlineStr">
        <is>
          <t>LEKSAND</t>
        </is>
      </c>
      <c r="G161" t="n">
        <v>2.8</v>
      </c>
      <c r="H161" t="n">
        <v>0</v>
      </c>
      <c r="I161" t="n">
        <v>0</v>
      </c>
      <c r="J161" t="n">
        <v>0</v>
      </c>
      <c r="K161" t="n">
        <v>0</v>
      </c>
      <c r="L161" t="n">
        <v>0</v>
      </c>
      <c r="M161" t="n">
        <v>0</v>
      </c>
      <c r="N161" t="n">
        <v>0</v>
      </c>
      <c r="O161" t="n">
        <v>0</v>
      </c>
      <c r="P161" t="n">
        <v>0</v>
      </c>
      <c r="Q161" t="n">
        <v>0</v>
      </c>
      <c r="R161" s="2" t="inlineStr"/>
    </row>
    <row r="162" ht="15" customHeight="1">
      <c r="A162" t="inlineStr">
        <is>
          <t>A 43693-2022</t>
        </is>
      </c>
      <c r="B162" s="1" t="n">
        <v>44837.6369212963</v>
      </c>
      <c r="C162" s="1" t="n">
        <v>45999</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43735-2022</t>
        </is>
      </c>
      <c r="B163" s="1" t="n">
        <v>44837.70210648148</v>
      </c>
      <c r="C163" s="1" t="n">
        <v>45999</v>
      </c>
      <c r="D163" t="inlineStr">
        <is>
          <t>DALARNAS LÄN</t>
        </is>
      </c>
      <c r="E163" t="inlineStr">
        <is>
          <t>LEKSAND</t>
        </is>
      </c>
      <c r="G163" t="n">
        <v>2.9</v>
      </c>
      <c r="H163" t="n">
        <v>0</v>
      </c>
      <c r="I163" t="n">
        <v>0</v>
      </c>
      <c r="J163" t="n">
        <v>0</v>
      </c>
      <c r="K163" t="n">
        <v>0</v>
      </c>
      <c r="L163" t="n">
        <v>0</v>
      </c>
      <c r="M163" t="n">
        <v>0</v>
      </c>
      <c r="N163" t="n">
        <v>0</v>
      </c>
      <c r="O163" t="n">
        <v>0</v>
      </c>
      <c r="P163" t="n">
        <v>0</v>
      </c>
      <c r="Q163" t="n">
        <v>0</v>
      </c>
      <c r="R163" s="2" t="inlineStr"/>
    </row>
    <row r="164" ht="15" customHeight="1">
      <c r="A164" t="inlineStr">
        <is>
          <t>A 17726-2024</t>
        </is>
      </c>
      <c r="B164" s="1" t="n">
        <v>45418.55609953704</v>
      </c>
      <c r="C164" s="1" t="n">
        <v>45999</v>
      </c>
      <c r="D164" t="inlineStr">
        <is>
          <t>DALARNAS LÄN</t>
        </is>
      </c>
      <c r="E164" t="inlineStr">
        <is>
          <t>LEKSAND</t>
        </is>
      </c>
      <c r="G164" t="n">
        <v>5.2</v>
      </c>
      <c r="H164" t="n">
        <v>0</v>
      </c>
      <c r="I164" t="n">
        <v>0</v>
      </c>
      <c r="J164" t="n">
        <v>0</v>
      </c>
      <c r="K164" t="n">
        <v>0</v>
      </c>
      <c r="L164" t="n">
        <v>0</v>
      </c>
      <c r="M164" t="n">
        <v>0</v>
      </c>
      <c r="N164" t="n">
        <v>0</v>
      </c>
      <c r="O164" t="n">
        <v>0</v>
      </c>
      <c r="P164" t="n">
        <v>0</v>
      </c>
      <c r="Q164" t="n">
        <v>0</v>
      </c>
      <c r="R164" s="2" t="inlineStr"/>
    </row>
    <row r="165" ht="15" customHeight="1">
      <c r="A165" t="inlineStr">
        <is>
          <t>A 2517-2024</t>
        </is>
      </c>
      <c r="B165" s="1" t="n">
        <v>45313</v>
      </c>
      <c r="C165" s="1" t="n">
        <v>45999</v>
      </c>
      <c r="D165" t="inlineStr">
        <is>
          <t>DALARNAS LÄN</t>
        </is>
      </c>
      <c r="E165" t="inlineStr">
        <is>
          <t>LEKSAND</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28892-2022</t>
        </is>
      </c>
      <c r="B166" s="1" t="n">
        <v>44749</v>
      </c>
      <c r="C166" s="1" t="n">
        <v>45999</v>
      </c>
      <c r="D166" t="inlineStr">
        <is>
          <t>DALARNAS LÄN</t>
        </is>
      </c>
      <c r="E166" t="inlineStr">
        <is>
          <t>LEKSAND</t>
        </is>
      </c>
      <c r="F166" t="inlineStr">
        <is>
          <t>Bergvik skog väst AB</t>
        </is>
      </c>
      <c r="G166" t="n">
        <v>9.1</v>
      </c>
      <c r="H166" t="n">
        <v>0</v>
      </c>
      <c r="I166" t="n">
        <v>0</v>
      </c>
      <c r="J166" t="n">
        <v>0</v>
      </c>
      <c r="K166" t="n">
        <v>0</v>
      </c>
      <c r="L166" t="n">
        <v>0</v>
      </c>
      <c r="M166" t="n">
        <v>0</v>
      </c>
      <c r="N166" t="n">
        <v>0</v>
      </c>
      <c r="O166" t="n">
        <v>0</v>
      </c>
      <c r="P166" t="n">
        <v>0</v>
      </c>
      <c r="Q166" t="n">
        <v>0</v>
      </c>
      <c r="R166" s="2" t="inlineStr"/>
    </row>
    <row r="167" ht="15" customHeight="1">
      <c r="A167" t="inlineStr">
        <is>
          <t>A 60692-2023</t>
        </is>
      </c>
      <c r="B167" s="1" t="n">
        <v>45260.50008101852</v>
      </c>
      <c r="C167" s="1" t="n">
        <v>45999</v>
      </c>
      <c r="D167" t="inlineStr">
        <is>
          <t>DALARNAS LÄN</t>
        </is>
      </c>
      <c r="E167" t="inlineStr">
        <is>
          <t>LEKSAND</t>
        </is>
      </c>
      <c r="G167" t="n">
        <v>1.2</v>
      </c>
      <c r="H167" t="n">
        <v>0</v>
      </c>
      <c r="I167" t="n">
        <v>0</v>
      </c>
      <c r="J167" t="n">
        <v>0</v>
      </c>
      <c r="K167" t="n">
        <v>0</v>
      </c>
      <c r="L167" t="n">
        <v>0</v>
      </c>
      <c r="M167" t="n">
        <v>0</v>
      </c>
      <c r="N167" t="n">
        <v>0</v>
      </c>
      <c r="O167" t="n">
        <v>0</v>
      </c>
      <c r="P167" t="n">
        <v>0</v>
      </c>
      <c r="Q167" t="n">
        <v>0</v>
      </c>
      <c r="R167" s="2" t="inlineStr"/>
    </row>
    <row r="168" ht="15" customHeight="1">
      <c r="A168" t="inlineStr">
        <is>
          <t>A 320-2023</t>
        </is>
      </c>
      <c r="B168" s="1" t="n">
        <v>44929</v>
      </c>
      <c r="C168" s="1" t="n">
        <v>45999</v>
      </c>
      <c r="D168" t="inlineStr">
        <is>
          <t>DALARNAS LÄN</t>
        </is>
      </c>
      <c r="E168" t="inlineStr">
        <is>
          <t>LEKSAND</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30204-2024</t>
        </is>
      </c>
      <c r="B169" s="1" t="n">
        <v>45490.35402777778</v>
      </c>
      <c r="C169" s="1" t="n">
        <v>45999</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19618-2024</t>
        </is>
      </c>
      <c r="B170" s="1" t="n">
        <v>45432.32896990741</v>
      </c>
      <c r="C170" s="1" t="n">
        <v>45999</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23283-2024</t>
        </is>
      </c>
      <c r="B171" s="1" t="n">
        <v>45453</v>
      </c>
      <c r="C171" s="1" t="n">
        <v>45999</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12581-2025</t>
        </is>
      </c>
      <c r="B172" s="1" t="n">
        <v>45732.62201388889</v>
      </c>
      <c r="C172" s="1" t="n">
        <v>45999</v>
      </c>
      <c r="D172" t="inlineStr">
        <is>
          <t>DALARNAS LÄN</t>
        </is>
      </c>
      <c r="E172" t="inlineStr">
        <is>
          <t>LEKSAND</t>
        </is>
      </c>
      <c r="G172" t="n">
        <v>5.1</v>
      </c>
      <c r="H172" t="n">
        <v>0</v>
      </c>
      <c r="I172" t="n">
        <v>0</v>
      </c>
      <c r="J172" t="n">
        <v>0</v>
      </c>
      <c r="K172" t="n">
        <v>0</v>
      </c>
      <c r="L172" t="n">
        <v>0</v>
      </c>
      <c r="M172" t="n">
        <v>0</v>
      </c>
      <c r="N172" t="n">
        <v>0</v>
      </c>
      <c r="O172" t="n">
        <v>0</v>
      </c>
      <c r="P172" t="n">
        <v>0</v>
      </c>
      <c r="Q172" t="n">
        <v>0</v>
      </c>
      <c r="R172" s="2" t="inlineStr"/>
    </row>
    <row r="173" ht="15" customHeight="1">
      <c r="A173" t="inlineStr">
        <is>
          <t>A 12620-2025</t>
        </is>
      </c>
      <c r="B173" s="1" t="n">
        <v>45733.35498842593</v>
      </c>
      <c r="C173" s="1" t="n">
        <v>45999</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12623-2025</t>
        </is>
      </c>
      <c r="B174" s="1" t="n">
        <v>45733.36079861111</v>
      </c>
      <c r="C174" s="1" t="n">
        <v>45999</v>
      </c>
      <c r="D174" t="inlineStr">
        <is>
          <t>DALARNAS LÄN</t>
        </is>
      </c>
      <c r="E174" t="inlineStr">
        <is>
          <t>LEKSAND</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32666-2023</t>
        </is>
      </c>
      <c r="B175" s="1" t="n">
        <v>45121</v>
      </c>
      <c r="C175" s="1" t="n">
        <v>45999</v>
      </c>
      <c r="D175" t="inlineStr">
        <is>
          <t>DALARNAS LÄN</t>
        </is>
      </c>
      <c r="E175" t="inlineStr">
        <is>
          <t>LEKSAND</t>
        </is>
      </c>
      <c r="G175" t="n">
        <v>9.9</v>
      </c>
      <c r="H175" t="n">
        <v>0</v>
      </c>
      <c r="I175" t="n">
        <v>0</v>
      </c>
      <c r="J175" t="n">
        <v>0</v>
      </c>
      <c r="K175" t="n">
        <v>0</v>
      </c>
      <c r="L175" t="n">
        <v>0</v>
      </c>
      <c r="M175" t="n">
        <v>0</v>
      </c>
      <c r="N175" t="n">
        <v>0</v>
      </c>
      <c r="O175" t="n">
        <v>0</v>
      </c>
      <c r="P175" t="n">
        <v>0</v>
      </c>
      <c r="Q175" t="n">
        <v>0</v>
      </c>
      <c r="R175" s="2" t="inlineStr"/>
    </row>
    <row r="176" ht="15" customHeight="1">
      <c r="A176" t="inlineStr">
        <is>
          <t>A 47121-2021</t>
        </is>
      </c>
      <c r="B176" s="1" t="n">
        <v>44446</v>
      </c>
      <c r="C176" s="1" t="n">
        <v>45999</v>
      </c>
      <c r="D176" t="inlineStr">
        <is>
          <t>DALARNAS LÄN</t>
        </is>
      </c>
      <c r="E176" t="inlineStr">
        <is>
          <t>LEKSAND</t>
        </is>
      </c>
      <c r="G176" t="n">
        <v>3.5</v>
      </c>
      <c r="H176" t="n">
        <v>0</v>
      </c>
      <c r="I176" t="n">
        <v>0</v>
      </c>
      <c r="J176" t="n">
        <v>0</v>
      </c>
      <c r="K176" t="n">
        <v>0</v>
      </c>
      <c r="L176" t="n">
        <v>0</v>
      </c>
      <c r="M176" t="n">
        <v>0</v>
      </c>
      <c r="N176" t="n">
        <v>0</v>
      </c>
      <c r="O176" t="n">
        <v>0</v>
      </c>
      <c r="P176" t="n">
        <v>0</v>
      </c>
      <c r="Q176" t="n">
        <v>0</v>
      </c>
      <c r="R176" s="2" t="inlineStr"/>
    </row>
    <row r="177" ht="15" customHeight="1">
      <c r="A177" t="inlineStr">
        <is>
          <t>A 32688-2024</t>
        </is>
      </c>
      <c r="B177" s="1" t="n">
        <v>45515.83091435185</v>
      </c>
      <c r="C177" s="1" t="n">
        <v>45999</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5231-2024</t>
        </is>
      </c>
      <c r="B178" s="1" t="n">
        <v>45330</v>
      </c>
      <c r="C178" s="1" t="n">
        <v>45999</v>
      </c>
      <c r="D178" t="inlineStr">
        <is>
          <t>DALARNAS LÄN</t>
        </is>
      </c>
      <c r="E178" t="inlineStr">
        <is>
          <t>LEKSAND</t>
        </is>
      </c>
      <c r="F178" t="inlineStr">
        <is>
          <t>Bergvik skog väst AB</t>
        </is>
      </c>
      <c r="G178" t="n">
        <v>11.2</v>
      </c>
      <c r="H178" t="n">
        <v>0</v>
      </c>
      <c r="I178" t="n">
        <v>0</v>
      </c>
      <c r="J178" t="n">
        <v>0</v>
      </c>
      <c r="K178" t="n">
        <v>0</v>
      </c>
      <c r="L178" t="n">
        <v>0</v>
      </c>
      <c r="M178" t="n">
        <v>0</v>
      </c>
      <c r="N178" t="n">
        <v>0</v>
      </c>
      <c r="O178" t="n">
        <v>0</v>
      </c>
      <c r="P178" t="n">
        <v>0</v>
      </c>
      <c r="Q178" t="n">
        <v>0</v>
      </c>
      <c r="R178" s="2" t="inlineStr"/>
    </row>
    <row r="179" ht="15" customHeight="1">
      <c r="A179" t="inlineStr">
        <is>
          <t>A 4121-2024</t>
        </is>
      </c>
      <c r="B179" s="1" t="n">
        <v>45323</v>
      </c>
      <c r="C179" s="1" t="n">
        <v>45999</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72575-2021</t>
        </is>
      </c>
      <c r="B180" s="1" t="n">
        <v>44546</v>
      </c>
      <c r="C180" s="1" t="n">
        <v>45999</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72581-2021</t>
        </is>
      </c>
      <c r="B181" s="1" t="n">
        <v>44546.46354166666</v>
      </c>
      <c r="C181" s="1" t="n">
        <v>45999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23896-2024</t>
        </is>
      </c>
      <c r="B182" s="1" t="n">
        <v>45455.6758449074</v>
      </c>
      <c r="C182" s="1" t="n">
        <v>45999</v>
      </c>
      <c r="D182" t="inlineStr">
        <is>
          <t>DALARNAS LÄN</t>
        </is>
      </c>
      <c r="E182" t="inlineStr">
        <is>
          <t>LEKSAND</t>
        </is>
      </c>
      <c r="F182" t="inlineStr">
        <is>
          <t>Övriga Aktiebolag</t>
        </is>
      </c>
      <c r="G182" t="n">
        <v>0.9</v>
      </c>
      <c r="H182" t="n">
        <v>0</v>
      </c>
      <c r="I182" t="n">
        <v>0</v>
      </c>
      <c r="J182" t="n">
        <v>0</v>
      </c>
      <c r="K182" t="n">
        <v>0</v>
      </c>
      <c r="L182" t="n">
        <v>0</v>
      </c>
      <c r="M182" t="n">
        <v>0</v>
      </c>
      <c r="N182" t="n">
        <v>0</v>
      </c>
      <c r="O182" t="n">
        <v>0</v>
      </c>
      <c r="P182" t="n">
        <v>0</v>
      </c>
      <c r="Q182" t="n">
        <v>0</v>
      </c>
      <c r="R182" s="2" t="inlineStr"/>
    </row>
    <row r="183" ht="15" customHeight="1">
      <c r="A183" t="inlineStr">
        <is>
          <t>A 61614-2023</t>
        </is>
      </c>
      <c r="B183" s="1" t="n">
        <v>45261</v>
      </c>
      <c r="C183" s="1" t="n">
        <v>45999</v>
      </c>
      <c r="D183" t="inlineStr">
        <is>
          <t>DALARNAS LÄN</t>
        </is>
      </c>
      <c r="E183" t="inlineStr">
        <is>
          <t>LEKSAND</t>
        </is>
      </c>
      <c r="G183" t="n">
        <v>0.8</v>
      </c>
      <c r="H183" t="n">
        <v>0</v>
      </c>
      <c r="I183" t="n">
        <v>0</v>
      </c>
      <c r="J183" t="n">
        <v>0</v>
      </c>
      <c r="K183" t="n">
        <v>0</v>
      </c>
      <c r="L183" t="n">
        <v>0</v>
      </c>
      <c r="M183" t="n">
        <v>0</v>
      </c>
      <c r="N183" t="n">
        <v>0</v>
      </c>
      <c r="O183" t="n">
        <v>0</v>
      </c>
      <c r="P183" t="n">
        <v>0</v>
      </c>
      <c r="Q183" t="n">
        <v>0</v>
      </c>
      <c r="R183" s="2" t="inlineStr"/>
    </row>
    <row r="184" ht="15" customHeight="1">
      <c r="A184" t="inlineStr">
        <is>
          <t>A 26062-2024</t>
        </is>
      </c>
      <c r="B184" s="1" t="n">
        <v>45468.3509375</v>
      </c>
      <c r="C184" s="1" t="n">
        <v>45999</v>
      </c>
      <c r="D184" t="inlineStr">
        <is>
          <t>DALARNAS LÄN</t>
        </is>
      </c>
      <c r="E184" t="inlineStr">
        <is>
          <t>LEKSAND</t>
        </is>
      </c>
      <c r="F184" t="inlineStr">
        <is>
          <t>Övriga statliga verk och myndigheter</t>
        </is>
      </c>
      <c r="G184" t="n">
        <v>6.4</v>
      </c>
      <c r="H184" t="n">
        <v>0</v>
      </c>
      <c r="I184" t="n">
        <v>0</v>
      </c>
      <c r="J184" t="n">
        <v>0</v>
      </c>
      <c r="K184" t="n">
        <v>0</v>
      </c>
      <c r="L184" t="n">
        <v>0</v>
      </c>
      <c r="M184" t="n">
        <v>0</v>
      </c>
      <c r="N184" t="n">
        <v>0</v>
      </c>
      <c r="O184" t="n">
        <v>0</v>
      </c>
      <c r="P184" t="n">
        <v>0</v>
      </c>
      <c r="Q184" t="n">
        <v>0</v>
      </c>
      <c r="R184" s="2" t="inlineStr"/>
    </row>
    <row r="185" ht="15" customHeight="1">
      <c r="A185" t="inlineStr">
        <is>
          <t>A 28578-2023</t>
        </is>
      </c>
      <c r="B185" s="1" t="n">
        <v>45103</v>
      </c>
      <c r="C185" s="1" t="n">
        <v>45999</v>
      </c>
      <c r="D185" t="inlineStr">
        <is>
          <t>DALARNAS LÄN</t>
        </is>
      </c>
      <c r="E185" t="inlineStr">
        <is>
          <t>LEKSAND</t>
        </is>
      </c>
      <c r="G185" t="n">
        <v>4.4</v>
      </c>
      <c r="H185" t="n">
        <v>0</v>
      </c>
      <c r="I185" t="n">
        <v>0</v>
      </c>
      <c r="J185" t="n">
        <v>0</v>
      </c>
      <c r="K185" t="n">
        <v>0</v>
      </c>
      <c r="L185" t="n">
        <v>0</v>
      </c>
      <c r="M185" t="n">
        <v>0</v>
      </c>
      <c r="N185" t="n">
        <v>0</v>
      </c>
      <c r="O185" t="n">
        <v>0</v>
      </c>
      <c r="P185" t="n">
        <v>0</v>
      </c>
      <c r="Q185" t="n">
        <v>0</v>
      </c>
      <c r="R185" s="2" t="inlineStr"/>
    </row>
    <row r="186" ht="15" customHeight="1">
      <c r="A186" t="inlineStr">
        <is>
          <t>A 61288-2022</t>
        </is>
      </c>
      <c r="B186" s="1" t="n">
        <v>44915</v>
      </c>
      <c r="C186" s="1" t="n">
        <v>45999</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20936-2023</t>
        </is>
      </c>
      <c r="B187" s="1" t="n">
        <v>45061</v>
      </c>
      <c r="C187" s="1" t="n">
        <v>45999</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45526.37697916666</v>
      </c>
      <c r="C188" s="1" t="n">
        <v>45999</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63514-2023</t>
        </is>
      </c>
      <c r="B189" s="1" t="n">
        <v>45274</v>
      </c>
      <c r="C189" s="1" t="n">
        <v>45999</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7928-2023</t>
        </is>
      </c>
      <c r="B190" s="1" t="n">
        <v>44973</v>
      </c>
      <c r="C190" s="1" t="n">
        <v>45999</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45999</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45999</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5582-2024</t>
        </is>
      </c>
      <c r="B193" s="1" t="n">
        <v>45334</v>
      </c>
      <c r="C193" s="1" t="n">
        <v>45999</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17377-2025</t>
        </is>
      </c>
      <c r="B194" s="1" t="n">
        <v>45756.983125</v>
      </c>
      <c r="C194" s="1" t="n">
        <v>45999</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5584-2024</t>
        </is>
      </c>
      <c r="B195" s="1" t="n">
        <v>45334</v>
      </c>
      <c r="C195" s="1" t="n">
        <v>45999</v>
      </c>
      <c r="D195" t="inlineStr">
        <is>
          <t>DALARNAS LÄN</t>
        </is>
      </c>
      <c r="E195" t="inlineStr">
        <is>
          <t>LEKSAND</t>
        </is>
      </c>
      <c r="F195" t="inlineStr">
        <is>
          <t>Kyrkan</t>
        </is>
      </c>
      <c r="G195" t="n">
        <v>0.4</v>
      </c>
      <c r="H195" t="n">
        <v>0</v>
      </c>
      <c r="I195" t="n">
        <v>0</v>
      </c>
      <c r="J195" t="n">
        <v>0</v>
      </c>
      <c r="K195" t="n">
        <v>0</v>
      </c>
      <c r="L195" t="n">
        <v>0</v>
      </c>
      <c r="M195" t="n">
        <v>0</v>
      </c>
      <c r="N195" t="n">
        <v>0</v>
      </c>
      <c r="O195" t="n">
        <v>0</v>
      </c>
      <c r="P195" t="n">
        <v>0</v>
      </c>
      <c r="Q195" t="n">
        <v>0</v>
      </c>
      <c r="R195" s="2" t="inlineStr"/>
    </row>
    <row r="196" ht="15" customHeight="1">
      <c r="A196" t="inlineStr">
        <is>
          <t>A 61269-2022</t>
        </is>
      </c>
      <c r="B196" s="1" t="n">
        <v>44909</v>
      </c>
      <c r="C196" s="1" t="n">
        <v>45999</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53817-2023</t>
        </is>
      </c>
      <c r="B197" s="1" t="n">
        <v>45231.40488425926</v>
      </c>
      <c r="C197" s="1" t="n">
        <v>45999</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45155-2021</t>
        </is>
      </c>
      <c r="B198" s="1" t="n">
        <v>44439</v>
      </c>
      <c r="C198" s="1" t="n">
        <v>45999</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19330-2025</t>
        </is>
      </c>
      <c r="B199" s="1" t="n">
        <v>45769</v>
      </c>
      <c r="C199" s="1" t="n">
        <v>45999</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28633-2023</t>
        </is>
      </c>
      <c r="B200" s="1" t="n">
        <v>45103.61575231481</v>
      </c>
      <c r="C200" s="1" t="n">
        <v>45999</v>
      </c>
      <c r="D200" t="inlineStr">
        <is>
          <t>DALARNAS LÄN</t>
        </is>
      </c>
      <c r="E200" t="inlineStr">
        <is>
          <t>LEKSAND</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45943-2022</t>
        </is>
      </c>
      <c r="B201" s="1" t="n">
        <v>44846.64418981481</v>
      </c>
      <c r="C201" s="1" t="n">
        <v>45999</v>
      </c>
      <c r="D201" t="inlineStr">
        <is>
          <t>DALARNAS LÄN</t>
        </is>
      </c>
      <c r="E201" t="inlineStr">
        <is>
          <t>LEKSAND</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14943-2023</t>
        </is>
      </c>
      <c r="B202" s="1" t="n">
        <v>45015</v>
      </c>
      <c r="C202" s="1" t="n">
        <v>45999</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41840-2024</t>
        </is>
      </c>
      <c r="B203" s="1" t="n">
        <v>45561.42170138889</v>
      </c>
      <c r="C203" s="1" t="n">
        <v>45999</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45999</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60878-2023</t>
        </is>
      </c>
      <c r="B205" s="1" t="n">
        <v>45259</v>
      </c>
      <c r="C205" s="1" t="n">
        <v>45999</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61502-2023</t>
        </is>
      </c>
      <c r="B206" s="1" t="n">
        <v>45264</v>
      </c>
      <c r="C206" s="1" t="n">
        <v>45999</v>
      </c>
      <c r="D206" t="inlineStr">
        <is>
          <t>DALARNAS LÄN</t>
        </is>
      </c>
      <c r="E206" t="inlineStr">
        <is>
          <t>LEKSAND</t>
        </is>
      </c>
      <c r="G206" t="n">
        <v>5.2</v>
      </c>
      <c r="H206" t="n">
        <v>0</v>
      </c>
      <c r="I206" t="n">
        <v>0</v>
      </c>
      <c r="J206" t="n">
        <v>0</v>
      </c>
      <c r="K206" t="n">
        <v>0</v>
      </c>
      <c r="L206" t="n">
        <v>0</v>
      </c>
      <c r="M206" t="n">
        <v>0</v>
      </c>
      <c r="N206" t="n">
        <v>0</v>
      </c>
      <c r="O206" t="n">
        <v>0</v>
      </c>
      <c r="P206" t="n">
        <v>0</v>
      </c>
      <c r="Q206" t="n">
        <v>0</v>
      </c>
      <c r="R206" s="2" t="inlineStr"/>
    </row>
    <row r="207" ht="15" customHeight="1">
      <c r="A207" t="inlineStr">
        <is>
          <t>A 28965-2023</t>
        </is>
      </c>
      <c r="B207" s="1" t="n">
        <v>45104</v>
      </c>
      <c r="C207" s="1" t="n">
        <v>45999</v>
      </c>
      <c r="D207" t="inlineStr">
        <is>
          <t>DALARNAS LÄN</t>
        </is>
      </c>
      <c r="E207" t="inlineStr">
        <is>
          <t>LEKSAND</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1719-2024</t>
        </is>
      </c>
      <c r="B208" s="1" t="n">
        <v>45307</v>
      </c>
      <c r="C208" s="1" t="n">
        <v>45999</v>
      </c>
      <c r="D208" t="inlineStr">
        <is>
          <t>DALARNAS LÄN</t>
        </is>
      </c>
      <c r="E208" t="inlineStr">
        <is>
          <t>LEKSAND</t>
        </is>
      </c>
      <c r="G208" t="n">
        <v>2.8</v>
      </c>
      <c r="H208" t="n">
        <v>0</v>
      </c>
      <c r="I208" t="n">
        <v>0</v>
      </c>
      <c r="J208" t="n">
        <v>0</v>
      </c>
      <c r="K208" t="n">
        <v>0</v>
      </c>
      <c r="L208" t="n">
        <v>0</v>
      </c>
      <c r="M208" t="n">
        <v>0</v>
      </c>
      <c r="N208" t="n">
        <v>0</v>
      </c>
      <c r="O208" t="n">
        <v>0</v>
      </c>
      <c r="P208" t="n">
        <v>0</v>
      </c>
      <c r="Q208" t="n">
        <v>0</v>
      </c>
      <c r="R208" s="2" t="inlineStr"/>
    </row>
    <row r="209" ht="15" customHeight="1">
      <c r="A209" t="inlineStr">
        <is>
          <t>A 16744-2025</t>
        </is>
      </c>
      <c r="B209" s="1" t="n">
        <v>45754</v>
      </c>
      <c r="C209" s="1" t="n">
        <v>45999</v>
      </c>
      <c r="D209" t="inlineStr">
        <is>
          <t>DALARNAS LÄN</t>
        </is>
      </c>
      <c r="E209" t="inlineStr">
        <is>
          <t>LEKSAND</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22349-2024</t>
        </is>
      </c>
      <c r="B210" s="1" t="n">
        <v>45446</v>
      </c>
      <c r="C210" s="1" t="n">
        <v>45999</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11617-2024</t>
        </is>
      </c>
      <c r="B211" s="1" t="n">
        <v>45373.42898148148</v>
      </c>
      <c r="C211" s="1" t="n">
        <v>45999</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61953-2023</t>
        </is>
      </c>
      <c r="B212" s="1" t="n">
        <v>45266</v>
      </c>
      <c r="C212" s="1" t="n">
        <v>45999</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58619-2022</t>
        </is>
      </c>
      <c r="B213" s="1" t="n">
        <v>44902.59579861111</v>
      </c>
      <c r="C213" s="1" t="n">
        <v>45999</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45999</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20946-2023</t>
        </is>
      </c>
      <c r="B215" s="1" t="n">
        <v>45061</v>
      </c>
      <c r="C215" s="1" t="n">
        <v>45999</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61225-2023</t>
        </is>
      </c>
      <c r="B216" s="1" t="n">
        <v>45264</v>
      </c>
      <c r="C216" s="1" t="n">
        <v>45999</v>
      </c>
      <c r="D216" t="inlineStr">
        <is>
          <t>DALARNAS LÄN</t>
        </is>
      </c>
      <c r="E216" t="inlineStr">
        <is>
          <t>LEKSAND</t>
        </is>
      </c>
      <c r="G216" t="n">
        <v>7</v>
      </c>
      <c r="H216" t="n">
        <v>0</v>
      </c>
      <c r="I216" t="n">
        <v>0</v>
      </c>
      <c r="J216" t="n">
        <v>0</v>
      </c>
      <c r="K216" t="n">
        <v>0</v>
      </c>
      <c r="L216" t="n">
        <v>0</v>
      </c>
      <c r="M216" t="n">
        <v>0</v>
      </c>
      <c r="N216" t="n">
        <v>0</v>
      </c>
      <c r="O216" t="n">
        <v>0</v>
      </c>
      <c r="P216" t="n">
        <v>0</v>
      </c>
      <c r="Q216" t="n">
        <v>0</v>
      </c>
      <c r="R216" s="2" t="inlineStr"/>
    </row>
    <row r="217" ht="15" customHeight="1">
      <c r="A217" t="inlineStr">
        <is>
          <t>A 61252-2023</t>
        </is>
      </c>
      <c r="B217" s="1" t="n">
        <v>45261</v>
      </c>
      <c r="C217" s="1" t="n">
        <v>45999</v>
      </c>
      <c r="D217" t="inlineStr">
        <is>
          <t>DALARNAS LÄN</t>
        </is>
      </c>
      <c r="E217" t="inlineStr">
        <is>
          <t>LEKSAND</t>
        </is>
      </c>
      <c r="G217" t="n">
        <v>1.9</v>
      </c>
      <c r="H217" t="n">
        <v>0</v>
      </c>
      <c r="I217" t="n">
        <v>0</v>
      </c>
      <c r="J217" t="n">
        <v>0</v>
      </c>
      <c r="K217" t="n">
        <v>0</v>
      </c>
      <c r="L217" t="n">
        <v>0</v>
      </c>
      <c r="M217" t="n">
        <v>0</v>
      </c>
      <c r="N217" t="n">
        <v>0</v>
      </c>
      <c r="O217" t="n">
        <v>0</v>
      </c>
      <c r="P217" t="n">
        <v>0</v>
      </c>
      <c r="Q217" t="n">
        <v>0</v>
      </c>
      <c r="R217" s="2" t="inlineStr"/>
    </row>
    <row r="218" ht="15" customHeight="1">
      <c r="A218" t="inlineStr">
        <is>
          <t>A 14617-2024</t>
        </is>
      </c>
      <c r="B218" s="1" t="n">
        <v>45397</v>
      </c>
      <c r="C218" s="1" t="n">
        <v>45999</v>
      </c>
      <c r="D218" t="inlineStr">
        <is>
          <t>DALARNAS LÄN</t>
        </is>
      </c>
      <c r="E218" t="inlineStr">
        <is>
          <t>LEKSAND</t>
        </is>
      </c>
      <c r="G218" t="n">
        <v>0.2</v>
      </c>
      <c r="H218" t="n">
        <v>0</v>
      </c>
      <c r="I218" t="n">
        <v>0</v>
      </c>
      <c r="J218" t="n">
        <v>0</v>
      </c>
      <c r="K218" t="n">
        <v>0</v>
      </c>
      <c r="L218" t="n">
        <v>0</v>
      </c>
      <c r="M218" t="n">
        <v>0</v>
      </c>
      <c r="N218" t="n">
        <v>0</v>
      </c>
      <c r="O218" t="n">
        <v>0</v>
      </c>
      <c r="P218" t="n">
        <v>0</v>
      </c>
      <c r="Q218" t="n">
        <v>0</v>
      </c>
      <c r="R218" s="2" t="inlineStr"/>
    </row>
    <row r="219" ht="15" customHeight="1">
      <c r="A219" t="inlineStr">
        <is>
          <t>A 46141-2022</t>
        </is>
      </c>
      <c r="B219" s="1" t="n">
        <v>44846</v>
      </c>
      <c r="C219" s="1" t="n">
        <v>45999</v>
      </c>
      <c r="D219" t="inlineStr">
        <is>
          <t>DALARNAS LÄN</t>
        </is>
      </c>
      <c r="E219" t="inlineStr">
        <is>
          <t>LEKSAND</t>
        </is>
      </c>
      <c r="G219" t="n">
        <v>2.8</v>
      </c>
      <c r="H219" t="n">
        <v>0</v>
      </c>
      <c r="I219" t="n">
        <v>0</v>
      </c>
      <c r="J219" t="n">
        <v>0</v>
      </c>
      <c r="K219" t="n">
        <v>0</v>
      </c>
      <c r="L219" t="n">
        <v>0</v>
      </c>
      <c r="M219" t="n">
        <v>0</v>
      </c>
      <c r="N219" t="n">
        <v>0</v>
      </c>
      <c r="O219" t="n">
        <v>0</v>
      </c>
      <c r="P219" t="n">
        <v>0</v>
      </c>
      <c r="Q219" t="n">
        <v>0</v>
      </c>
      <c r="R219" s="2" t="inlineStr"/>
    </row>
    <row r="220" ht="15" customHeight="1">
      <c r="A220" t="inlineStr">
        <is>
          <t>A 11128-2023</t>
        </is>
      </c>
      <c r="B220" s="1" t="n">
        <v>44992</v>
      </c>
      <c r="C220" s="1" t="n">
        <v>45999</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60024-2023</t>
        </is>
      </c>
      <c r="B221" s="1" t="n">
        <v>45258</v>
      </c>
      <c r="C221" s="1" t="n">
        <v>45999</v>
      </c>
      <c r="D221" t="inlineStr">
        <is>
          <t>DALARNAS LÄN</t>
        </is>
      </c>
      <c r="E221" t="inlineStr">
        <is>
          <t>LEKSAND</t>
        </is>
      </c>
      <c r="G221" t="n">
        <v>4.2</v>
      </c>
      <c r="H221" t="n">
        <v>0</v>
      </c>
      <c r="I221" t="n">
        <v>0</v>
      </c>
      <c r="J221" t="n">
        <v>0</v>
      </c>
      <c r="K221" t="n">
        <v>0</v>
      </c>
      <c r="L221" t="n">
        <v>0</v>
      </c>
      <c r="M221" t="n">
        <v>0</v>
      </c>
      <c r="N221" t="n">
        <v>0</v>
      </c>
      <c r="O221" t="n">
        <v>0</v>
      </c>
      <c r="P221" t="n">
        <v>0</v>
      </c>
      <c r="Q221" t="n">
        <v>0</v>
      </c>
      <c r="R221" s="2" t="inlineStr"/>
    </row>
    <row r="222" ht="15" customHeight="1">
      <c r="A222" t="inlineStr">
        <is>
          <t>A 62993-2023</t>
        </is>
      </c>
      <c r="B222" s="1" t="n">
        <v>45272</v>
      </c>
      <c r="C222" s="1" t="n">
        <v>45999</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11859-2024</t>
        </is>
      </c>
      <c r="B223" s="1" t="n">
        <v>45376.44569444445</v>
      </c>
      <c r="C223" s="1" t="n">
        <v>45999</v>
      </c>
      <c r="D223" t="inlineStr">
        <is>
          <t>DALARNAS LÄN</t>
        </is>
      </c>
      <c r="E223" t="inlineStr">
        <is>
          <t>LEKSAND</t>
        </is>
      </c>
      <c r="G223" t="n">
        <v>2.1</v>
      </c>
      <c r="H223" t="n">
        <v>0</v>
      </c>
      <c r="I223" t="n">
        <v>0</v>
      </c>
      <c r="J223" t="n">
        <v>0</v>
      </c>
      <c r="K223" t="n">
        <v>0</v>
      </c>
      <c r="L223" t="n">
        <v>0</v>
      </c>
      <c r="M223" t="n">
        <v>0</v>
      </c>
      <c r="N223" t="n">
        <v>0</v>
      </c>
      <c r="O223" t="n">
        <v>0</v>
      </c>
      <c r="P223" t="n">
        <v>0</v>
      </c>
      <c r="Q223" t="n">
        <v>0</v>
      </c>
      <c r="R223" s="2" t="inlineStr"/>
    </row>
    <row r="224" ht="15" customHeight="1">
      <c r="A224" t="inlineStr">
        <is>
          <t>A 62133-2023</t>
        </is>
      </c>
      <c r="B224" s="1" t="n">
        <v>45267.35582175926</v>
      </c>
      <c r="C224" s="1" t="n">
        <v>45999</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61933-2023</t>
        </is>
      </c>
      <c r="B225" s="1" t="n">
        <v>45266</v>
      </c>
      <c r="C225" s="1" t="n">
        <v>45999</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33198-2022</t>
        </is>
      </c>
      <c r="B226" s="1" t="n">
        <v>44785.68597222222</v>
      </c>
      <c r="C226" s="1" t="n">
        <v>45999</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58495-2023</t>
        </is>
      </c>
      <c r="B227" s="1" t="n">
        <v>45251</v>
      </c>
      <c r="C227" s="1" t="n">
        <v>45999</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6039-2023</t>
        </is>
      </c>
      <c r="B228" s="1" t="n">
        <v>44959</v>
      </c>
      <c r="C228" s="1" t="n">
        <v>45999</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15619-2025</t>
        </is>
      </c>
      <c r="B229" s="1" t="n">
        <v>45747</v>
      </c>
      <c r="C229" s="1" t="n">
        <v>45999</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22517-2024</t>
        </is>
      </c>
      <c r="B230" s="1" t="n">
        <v>45447.40143518519</v>
      </c>
      <c r="C230" s="1" t="n">
        <v>45999</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46931-2023</t>
        </is>
      </c>
      <c r="B231" s="1" t="n">
        <v>45201</v>
      </c>
      <c r="C231" s="1" t="n">
        <v>45999</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52801-2023</t>
        </is>
      </c>
      <c r="B232" s="1" t="n">
        <v>45219</v>
      </c>
      <c r="C232" s="1" t="n">
        <v>45999</v>
      </c>
      <c r="D232" t="inlineStr">
        <is>
          <t>DALARNAS LÄN</t>
        </is>
      </c>
      <c r="E232" t="inlineStr">
        <is>
          <t>LEKSAND</t>
        </is>
      </c>
      <c r="G232" t="n">
        <v>4.9</v>
      </c>
      <c r="H232" t="n">
        <v>0</v>
      </c>
      <c r="I232" t="n">
        <v>0</v>
      </c>
      <c r="J232" t="n">
        <v>0</v>
      </c>
      <c r="K232" t="n">
        <v>0</v>
      </c>
      <c r="L232" t="n">
        <v>0</v>
      </c>
      <c r="M232" t="n">
        <v>0</v>
      </c>
      <c r="N232" t="n">
        <v>0</v>
      </c>
      <c r="O232" t="n">
        <v>0</v>
      </c>
      <c r="P232" t="n">
        <v>0</v>
      </c>
      <c r="Q232" t="n">
        <v>0</v>
      </c>
      <c r="R232" s="2" t="inlineStr"/>
    </row>
    <row r="233" ht="15" customHeight="1">
      <c r="A233" t="inlineStr">
        <is>
          <t>A 45768-2023</t>
        </is>
      </c>
      <c r="B233" s="1" t="n">
        <v>45195</v>
      </c>
      <c r="C233" s="1" t="n">
        <v>45999</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17483-2025</t>
        </is>
      </c>
      <c r="B234" s="1" t="n">
        <v>45757.49408564815</v>
      </c>
      <c r="C234" s="1" t="n">
        <v>45999</v>
      </c>
      <c r="D234" t="inlineStr">
        <is>
          <t>DALARNAS LÄN</t>
        </is>
      </c>
      <c r="E234" t="inlineStr">
        <is>
          <t>LEKSAND</t>
        </is>
      </c>
      <c r="G234" t="n">
        <v>4.1</v>
      </c>
      <c r="H234" t="n">
        <v>0</v>
      </c>
      <c r="I234" t="n">
        <v>0</v>
      </c>
      <c r="J234" t="n">
        <v>0</v>
      </c>
      <c r="K234" t="n">
        <v>0</v>
      </c>
      <c r="L234" t="n">
        <v>0</v>
      </c>
      <c r="M234" t="n">
        <v>0</v>
      </c>
      <c r="N234" t="n">
        <v>0</v>
      </c>
      <c r="O234" t="n">
        <v>0</v>
      </c>
      <c r="P234" t="n">
        <v>0</v>
      </c>
      <c r="Q234" t="n">
        <v>0</v>
      </c>
      <c r="R234" s="2" t="inlineStr"/>
    </row>
    <row r="235" ht="15" customHeight="1">
      <c r="A235" t="inlineStr">
        <is>
          <t>A 17759-2023</t>
        </is>
      </c>
      <c r="B235" s="1" t="n">
        <v>45037.48765046296</v>
      </c>
      <c r="C235" s="1" t="n">
        <v>45999</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43220-2024</t>
        </is>
      </c>
      <c r="B236" s="1" t="n">
        <v>45567.86112268519</v>
      </c>
      <c r="C236" s="1" t="n">
        <v>45999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55015-2024</t>
        </is>
      </c>
      <c r="B237" s="1" t="n">
        <v>45621.35554398148</v>
      </c>
      <c r="C237" s="1" t="n">
        <v>45999</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34039-2024</t>
        </is>
      </c>
      <c r="B238" s="1" t="n">
        <v>45523.5974537037</v>
      </c>
      <c r="C238" s="1" t="n">
        <v>45999</v>
      </c>
      <c r="D238" t="inlineStr">
        <is>
          <t>DALARNAS LÄN</t>
        </is>
      </c>
      <c r="E238" t="inlineStr">
        <is>
          <t>LEKSAND</t>
        </is>
      </c>
      <c r="G238" t="n">
        <v>7.1</v>
      </c>
      <c r="H238" t="n">
        <v>0</v>
      </c>
      <c r="I238" t="n">
        <v>0</v>
      </c>
      <c r="J238" t="n">
        <v>0</v>
      </c>
      <c r="K238" t="n">
        <v>0</v>
      </c>
      <c r="L238" t="n">
        <v>0</v>
      </c>
      <c r="M238" t="n">
        <v>0</v>
      </c>
      <c r="N238" t="n">
        <v>0</v>
      </c>
      <c r="O238" t="n">
        <v>0</v>
      </c>
      <c r="P238" t="n">
        <v>0</v>
      </c>
      <c r="Q238" t="n">
        <v>0</v>
      </c>
      <c r="R238" s="2" t="inlineStr"/>
    </row>
    <row r="239" ht="15" customHeight="1">
      <c r="A239" t="inlineStr">
        <is>
          <t>A 46505-2023</t>
        </is>
      </c>
      <c r="B239" s="1" t="n">
        <v>45197</v>
      </c>
      <c r="C239" s="1" t="n">
        <v>45999</v>
      </c>
      <c r="D239" t="inlineStr">
        <is>
          <t>DALARNAS LÄN</t>
        </is>
      </c>
      <c r="E239" t="inlineStr">
        <is>
          <t>LEKSAND</t>
        </is>
      </c>
      <c r="G239" t="n">
        <v>2.3</v>
      </c>
      <c r="H239" t="n">
        <v>0</v>
      </c>
      <c r="I239" t="n">
        <v>0</v>
      </c>
      <c r="J239" t="n">
        <v>0</v>
      </c>
      <c r="K239" t="n">
        <v>0</v>
      </c>
      <c r="L239" t="n">
        <v>0</v>
      </c>
      <c r="M239" t="n">
        <v>0</v>
      </c>
      <c r="N239" t="n">
        <v>0</v>
      </c>
      <c r="O239" t="n">
        <v>0</v>
      </c>
      <c r="P239" t="n">
        <v>0</v>
      </c>
      <c r="Q239" t="n">
        <v>0</v>
      </c>
      <c r="R239" s="2" t="inlineStr"/>
    </row>
    <row r="240" ht="15" customHeight="1">
      <c r="A240" t="inlineStr">
        <is>
          <t>A 41306-2024</t>
        </is>
      </c>
      <c r="B240" s="1" t="n">
        <v>45559.62550925926</v>
      </c>
      <c r="C240" s="1" t="n">
        <v>45999</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481-2024</t>
        </is>
      </c>
      <c r="B241" s="1" t="n">
        <v>45298</v>
      </c>
      <c r="C241" s="1" t="n">
        <v>45999</v>
      </c>
      <c r="D241" t="inlineStr">
        <is>
          <t>DALARNAS LÄN</t>
        </is>
      </c>
      <c r="E241" t="inlineStr">
        <is>
          <t>LEKSAND</t>
        </is>
      </c>
      <c r="G241" t="n">
        <v>7</v>
      </c>
      <c r="H241" t="n">
        <v>0</v>
      </c>
      <c r="I241" t="n">
        <v>0</v>
      </c>
      <c r="J241" t="n">
        <v>0</v>
      </c>
      <c r="K241" t="n">
        <v>0</v>
      </c>
      <c r="L241" t="n">
        <v>0</v>
      </c>
      <c r="M241" t="n">
        <v>0</v>
      </c>
      <c r="N241" t="n">
        <v>0</v>
      </c>
      <c r="O241" t="n">
        <v>0</v>
      </c>
      <c r="P241" t="n">
        <v>0</v>
      </c>
      <c r="Q241" t="n">
        <v>0</v>
      </c>
      <c r="R241" s="2" t="inlineStr"/>
    </row>
    <row r="242" ht="15" customHeight="1">
      <c r="A242" t="inlineStr">
        <is>
          <t>A 36450-2023</t>
        </is>
      </c>
      <c r="B242" s="1" t="n">
        <v>45152.64842592592</v>
      </c>
      <c r="C242" s="1" t="n">
        <v>45999</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49581-2022</t>
        </is>
      </c>
      <c r="B243" s="1" t="n">
        <v>44862.36287037037</v>
      </c>
      <c r="C243" s="1" t="n">
        <v>45999</v>
      </c>
      <c r="D243" t="inlineStr">
        <is>
          <t>DALARNAS LÄN</t>
        </is>
      </c>
      <c r="E243" t="inlineStr">
        <is>
          <t>LEKSAND</t>
        </is>
      </c>
      <c r="G243" t="n">
        <v>1.8</v>
      </c>
      <c r="H243" t="n">
        <v>0</v>
      </c>
      <c r="I243" t="n">
        <v>0</v>
      </c>
      <c r="J243" t="n">
        <v>0</v>
      </c>
      <c r="K243" t="n">
        <v>0</v>
      </c>
      <c r="L243" t="n">
        <v>0</v>
      </c>
      <c r="M243" t="n">
        <v>0</v>
      </c>
      <c r="N243" t="n">
        <v>0</v>
      </c>
      <c r="O243" t="n">
        <v>0</v>
      </c>
      <c r="P243" t="n">
        <v>0</v>
      </c>
      <c r="Q243" t="n">
        <v>0</v>
      </c>
      <c r="R243" s="2" t="inlineStr"/>
    </row>
    <row r="244" ht="15" customHeight="1">
      <c r="A244" t="inlineStr">
        <is>
          <t>A 56153-2021</t>
        </is>
      </c>
      <c r="B244" s="1" t="n">
        <v>44477</v>
      </c>
      <c r="C244" s="1" t="n">
        <v>45999</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1458-2024</t>
        </is>
      </c>
      <c r="B245" s="1" t="n">
        <v>45303</v>
      </c>
      <c r="C245" s="1" t="n">
        <v>45999</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1461-2024</t>
        </is>
      </c>
      <c r="B246" s="1" t="n">
        <v>45303</v>
      </c>
      <c r="C246" s="1" t="n">
        <v>45999</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35080-2022</t>
        </is>
      </c>
      <c r="B247" s="1" t="n">
        <v>44797</v>
      </c>
      <c r="C247" s="1" t="n">
        <v>45999</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70098-2021</t>
        </is>
      </c>
      <c r="B248" s="1" t="n">
        <v>44533</v>
      </c>
      <c r="C248" s="1" t="n">
        <v>45999</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3737-2023</t>
        </is>
      </c>
      <c r="B249" s="1" t="n">
        <v>44951.42983796296</v>
      </c>
      <c r="C249" s="1" t="n">
        <v>45999</v>
      </c>
      <c r="D249" t="inlineStr">
        <is>
          <t>DALARNAS LÄN</t>
        </is>
      </c>
      <c r="E249" t="inlineStr">
        <is>
          <t>LEKSAND</t>
        </is>
      </c>
      <c r="G249" t="n">
        <v>3.1</v>
      </c>
      <c r="H249" t="n">
        <v>0</v>
      </c>
      <c r="I249" t="n">
        <v>0</v>
      </c>
      <c r="J249" t="n">
        <v>0</v>
      </c>
      <c r="K249" t="n">
        <v>0</v>
      </c>
      <c r="L249" t="n">
        <v>0</v>
      </c>
      <c r="M249" t="n">
        <v>0</v>
      </c>
      <c r="N249" t="n">
        <v>0</v>
      </c>
      <c r="O249" t="n">
        <v>0</v>
      </c>
      <c r="P249" t="n">
        <v>0</v>
      </c>
      <c r="Q249" t="n">
        <v>0</v>
      </c>
      <c r="R249" s="2" t="inlineStr"/>
    </row>
    <row r="250" ht="15" customHeight="1">
      <c r="A250" t="inlineStr">
        <is>
          <t>A 50278-2023</t>
        </is>
      </c>
      <c r="B250" s="1" t="n">
        <v>45216.43444444444</v>
      </c>
      <c r="C250" s="1" t="n">
        <v>45999</v>
      </c>
      <c r="D250" t="inlineStr">
        <is>
          <t>DALARNAS LÄN</t>
        </is>
      </c>
      <c r="E250" t="inlineStr">
        <is>
          <t>LEKSAND</t>
        </is>
      </c>
      <c r="G250" t="n">
        <v>0.4</v>
      </c>
      <c r="H250" t="n">
        <v>0</v>
      </c>
      <c r="I250" t="n">
        <v>0</v>
      </c>
      <c r="J250" t="n">
        <v>0</v>
      </c>
      <c r="K250" t="n">
        <v>0</v>
      </c>
      <c r="L250" t="n">
        <v>0</v>
      </c>
      <c r="M250" t="n">
        <v>0</v>
      </c>
      <c r="N250" t="n">
        <v>0</v>
      </c>
      <c r="O250" t="n">
        <v>0</v>
      </c>
      <c r="P250" t="n">
        <v>0</v>
      </c>
      <c r="Q250" t="n">
        <v>0</v>
      </c>
      <c r="R250" s="2" t="inlineStr"/>
    </row>
    <row r="251" ht="15" customHeight="1">
      <c r="A251" t="inlineStr">
        <is>
          <t>A 17078-2023</t>
        </is>
      </c>
      <c r="B251" s="1" t="n">
        <v>45034</v>
      </c>
      <c r="C251" s="1" t="n">
        <v>45999</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14865-2025</t>
        </is>
      </c>
      <c r="B252" s="1" t="n">
        <v>45743.43929398148</v>
      </c>
      <c r="C252" s="1" t="n">
        <v>45999</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16854-2025</t>
        </is>
      </c>
      <c r="B253" s="1" t="n">
        <v>45754.72883101852</v>
      </c>
      <c r="C253" s="1" t="n">
        <v>45999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11678-2023</t>
        </is>
      </c>
      <c r="B254" s="1" t="n">
        <v>44994</v>
      </c>
      <c r="C254" s="1" t="n">
        <v>45999</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16197-2024</t>
        </is>
      </c>
      <c r="B255" s="1" t="n">
        <v>45406.70356481482</v>
      </c>
      <c r="C255" s="1" t="n">
        <v>45999</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13288-2023</t>
        </is>
      </c>
      <c r="B256" s="1" t="n">
        <v>45004.8160300926</v>
      </c>
      <c r="C256" s="1" t="n">
        <v>45999</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5847-2025</t>
        </is>
      </c>
      <c r="B257" s="1" t="n">
        <v>45695.30824074074</v>
      </c>
      <c r="C257" s="1" t="n">
        <v>45999</v>
      </c>
      <c r="D257" t="inlineStr">
        <is>
          <t>DALARNAS LÄN</t>
        </is>
      </c>
      <c r="E257" t="inlineStr">
        <is>
          <t>LEKSAND</t>
        </is>
      </c>
      <c r="G257" t="n">
        <v>2.6</v>
      </c>
      <c r="H257" t="n">
        <v>0</v>
      </c>
      <c r="I257" t="n">
        <v>0</v>
      </c>
      <c r="J257" t="n">
        <v>0</v>
      </c>
      <c r="K257" t="n">
        <v>0</v>
      </c>
      <c r="L257" t="n">
        <v>0</v>
      </c>
      <c r="M257" t="n">
        <v>0</v>
      </c>
      <c r="N257" t="n">
        <v>0</v>
      </c>
      <c r="O257" t="n">
        <v>0</v>
      </c>
      <c r="P257" t="n">
        <v>0</v>
      </c>
      <c r="Q257" t="n">
        <v>0</v>
      </c>
      <c r="R257" s="2" t="inlineStr"/>
    </row>
    <row r="258" ht="15" customHeight="1">
      <c r="A258" t="inlineStr">
        <is>
          <t>A 5453-2025</t>
        </is>
      </c>
      <c r="B258" s="1" t="n">
        <v>45692.95231481481</v>
      </c>
      <c r="C258" s="1" t="n">
        <v>45999</v>
      </c>
      <c r="D258" t="inlineStr">
        <is>
          <t>DALARNAS LÄN</t>
        </is>
      </c>
      <c r="E258" t="inlineStr">
        <is>
          <t>LEKSAND</t>
        </is>
      </c>
      <c r="G258" t="n">
        <v>2.2</v>
      </c>
      <c r="H258" t="n">
        <v>0</v>
      </c>
      <c r="I258" t="n">
        <v>0</v>
      </c>
      <c r="J258" t="n">
        <v>0</v>
      </c>
      <c r="K258" t="n">
        <v>0</v>
      </c>
      <c r="L258" t="n">
        <v>0</v>
      </c>
      <c r="M258" t="n">
        <v>0</v>
      </c>
      <c r="N258" t="n">
        <v>0</v>
      </c>
      <c r="O258" t="n">
        <v>0</v>
      </c>
      <c r="P258" t="n">
        <v>0</v>
      </c>
      <c r="Q258" t="n">
        <v>0</v>
      </c>
      <c r="R258" s="2" t="inlineStr"/>
    </row>
    <row r="259" ht="15" customHeight="1">
      <c r="A259" t="inlineStr">
        <is>
          <t>A 5873-2025</t>
        </is>
      </c>
      <c r="B259" s="1" t="n">
        <v>45695.36715277778</v>
      </c>
      <c r="C259" s="1" t="n">
        <v>45999</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57925-2024</t>
        </is>
      </c>
      <c r="B260" s="1" t="n">
        <v>45630</v>
      </c>
      <c r="C260" s="1" t="n">
        <v>45999</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11869-2024</t>
        </is>
      </c>
      <c r="B261" s="1" t="n">
        <v>45376.45800925926</v>
      </c>
      <c r="C261" s="1" t="n">
        <v>45999</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18481-2024</t>
        </is>
      </c>
      <c r="B262" s="1" t="n">
        <v>45425.52193287037</v>
      </c>
      <c r="C262" s="1" t="n">
        <v>45999</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18484-2024</t>
        </is>
      </c>
      <c r="B263" s="1" t="n">
        <v>45425.52559027778</v>
      </c>
      <c r="C263" s="1" t="n">
        <v>45999</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53193-2024</t>
        </is>
      </c>
      <c r="B264" s="1" t="n">
        <v>45610</v>
      </c>
      <c r="C264" s="1" t="n">
        <v>45999</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27520-2023</t>
        </is>
      </c>
      <c r="B265" s="1" t="n">
        <v>45097</v>
      </c>
      <c r="C265" s="1" t="n">
        <v>45999</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30169-2023</t>
        </is>
      </c>
      <c r="B266" s="1" t="n">
        <v>45110</v>
      </c>
      <c r="C266" s="1" t="n">
        <v>45999</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37952-2024</t>
        </is>
      </c>
      <c r="B267" s="1" t="n">
        <v>45544.5200462963</v>
      </c>
      <c r="C267" s="1" t="n">
        <v>45999</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27445-2024</t>
        </is>
      </c>
      <c r="B268" s="1" t="n">
        <v>45474.42474537037</v>
      </c>
      <c r="C268" s="1" t="n">
        <v>45999</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27446-2024</t>
        </is>
      </c>
      <c r="B269" s="1" t="n">
        <v>45474.42671296297</v>
      </c>
      <c r="C269" s="1" t="n">
        <v>45999</v>
      </c>
      <c r="D269" t="inlineStr">
        <is>
          <t>DALARNAS LÄN</t>
        </is>
      </c>
      <c r="E269" t="inlineStr">
        <is>
          <t>LEKSAND</t>
        </is>
      </c>
      <c r="G269" t="n">
        <v>2.9</v>
      </c>
      <c r="H269" t="n">
        <v>0</v>
      </c>
      <c r="I269" t="n">
        <v>0</v>
      </c>
      <c r="J269" t="n">
        <v>0</v>
      </c>
      <c r="K269" t="n">
        <v>0</v>
      </c>
      <c r="L269" t="n">
        <v>0</v>
      </c>
      <c r="M269" t="n">
        <v>0</v>
      </c>
      <c r="N269" t="n">
        <v>0</v>
      </c>
      <c r="O269" t="n">
        <v>0</v>
      </c>
      <c r="P269" t="n">
        <v>0</v>
      </c>
      <c r="Q269" t="n">
        <v>0</v>
      </c>
      <c r="R269" s="2" t="inlineStr"/>
    </row>
    <row r="270" ht="15" customHeight="1">
      <c r="A270" t="inlineStr">
        <is>
          <t>A 18837-2023</t>
        </is>
      </c>
      <c r="B270" s="1" t="n">
        <v>45044.42940972222</v>
      </c>
      <c r="C270" s="1" t="n">
        <v>45999</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3352-2024</t>
        </is>
      </c>
      <c r="B271" s="1" t="n">
        <v>45317</v>
      </c>
      <c r="C271" s="1" t="n">
        <v>45999</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17730-2024</t>
        </is>
      </c>
      <c r="B272" s="1" t="n">
        <v>45418</v>
      </c>
      <c r="C272" s="1" t="n">
        <v>45999</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11080-2023</t>
        </is>
      </c>
      <c r="B273" s="1" t="n">
        <v>44992</v>
      </c>
      <c r="C273" s="1" t="n">
        <v>45999</v>
      </c>
      <c r="D273" t="inlineStr">
        <is>
          <t>DALARNAS LÄN</t>
        </is>
      </c>
      <c r="E273" t="inlineStr">
        <is>
          <t>LEKSAND</t>
        </is>
      </c>
      <c r="G273" t="n">
        <v>6.9</v>
      </c>
      <c r="H273" t="n">
        <v>0</v>
      </c>
      <c r="I273" t="n">
        <v>0</v>
      </c>
      <c r="J273" t="n">
        <v>0</v>
      </c>
      <c r="K273" t="n">
        <v>0</v>
      </c>
      <c r="L273" t="n">
        <v>0</v>
      </c>
      <c r="M273" t="n">
        <v>0</v>
      </c>
      <c r="N273" t="n">
        <v>0</v>
      </c>
      <c r="O273" t="n">
        <v>0</v>
      </c>
      <c r="P273" t="n">
        <v>0</v>
      </c>
      <c r="Q273" t="n">
        <v>0</v>
      </c>
      <c r="R273" s="2" t="inlineStr"/>
    </row>
    <row r="274" ht="15" customHeight="1">
      <c r="A274" t="inlineStr">
        <is>
          <t>A 64933-2023</t>
        </is>
      </c>
      <c r="B274" s="1" t="n">
        <v>45282</v>
      </c>
      <c r="C274" s="1" t="n">
        <v>45999</v>
      </c>
      <c r="D274" t="inlineStr">
        <is>
          <t>DALARNAS LÄN</t>
        </is>
      </c>
      <c r="E274" t="inlineStr">
        <is>
          <t>LEKSAND</t>
        </is>
      </c>
      <c r="G274" t="n">
        <v>2.3</v>
      </c>
      <c r="H274" t="n">
        <v>0</v>
      </c>
      <c r="I274" t="n">
        <v>0</v>
      </c>
      <c r="J274" t="n">
        <v>0</v>
      </c>
      <c r="K274" t="n">
        <v>0</v>
      </c>
      <c r="L274" t="n">
        <v>0</v>
      </c>
      <c r="M274" t="n">
        <v>0</v>
      </c>
      <c r="N274" t="n">
        <v>0</v>
      </c>
      <c r="O274" t="n">
        <v>0</v>
      </c>
      <c r="P274" t="n">
        <v>0</v>
      </c>
      <c r="Q274" t="n">
        <v>0</v>
      </c>
      <c r="R274" s="2" t="inlineStr"/>
    </row>
    <row r="275" ht="15" customHeight="1">
      <c r="A275" t="inlineStr">
        <is>
          <t>A 31391-2024</t>
        </is>
      </c>
      <c r="B275" s="1" t="n">
        <v>45505.46616898148</v>
      </c>
      <c r="C275" s="1" t="n">
        <v>45999</v>
      </c>
      <c r="D275" t="inlineStr">
        <is>
          <t>DALARNAS LÄN</t>
        </is>
      </c>
      <c r="E275" t="inlineStr">
        <is>
          <t>LEKSAND</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39620-2024</t>
        </is>
      </c>
      <c r="B276" s="1" t="n">
        <v>45552.43163194445</v>
      </c>
      <c r="C276" s="1" t="n">
        <v>45999</v>
      </c>
      <c r="D276" t="inlineStr">
        <is>
          <t>DALARNAS LÄN</t>
        </is>
      </c>
      <c r="E276" t="inlineStr">
        <is>
          <t>LEKSAND</t>
        </is>
      </c>
      <c r="G276" t="n">
        <v>2.3</v>
      </c>
      <c r="H276" t="n">
        <v>0</v>
      </c>
      <c r="I276" t="n">
        <v>0</v>
      </c>
      <c r="J276" t="n">
        <v>0</v>
      </c>
      <c r="K276" t="n">
        <v>0</v>
      </c>
      <c r="L276" t="n">
        <v>0</v>
      </c>
      <c r="M276" t="n">
        <v>0</v>
      </c>
      <c r="N276" t="n">
        <v>0</v>
      </c>
      <c r="O276" t="n">
        <v>0</v>
      </c>
      <c r="P276" t="n">
        <v>0</v>
      </c>
      <c r="Q276" t="n">
        <v>0</v>
      </c>
      <c r="R276" s="2" t="inlineStr"/>
    </row>
    <row r="277" ht="15" customHeight="1">
      <c r="A277" t="inlineStr">
        <is>
          <t>A 57907-2024</t>
        </is>
      </c>
      <c r="B277" s="1" t="n">
        <v>45630</v>
      </c>
      <c r="C277" s="1" t="n">
        <v>45999</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11004-2023</t>
        </is>
      </c>
      <c r="B278" s="1" t="n">
        <v>44986</v>
      </c>
      <c r="C278" s="1" t="n">
        <v>45999</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59236-2024</t>
        </is>
      </c>
      <c r="B279" s="1" t="n">
        <v>45637.58795138889</v>
      </c>
      <c r="C279" s="1" t="n">
        <v>45999</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27244-2023</t>
        </is>
      </c>
      <c r="B280" s="1" t="n">
        <v>45096</v>
      </c>
      <c r="C280" s="1" t="n">
        <v>45999</v>
      </c>
      <c r="D280" t="inlineStr">
        <is>
          <t>DALARNAS LÄN</t>
        </is>
      </c>
      <c r="E280" t="inlineStr">
        <is>
          <t>LEKSAND</t>
        </is>
      </c>
      <c r="G280" t="n">
        <v>5</v>
      </c>
      <c r="H280" t="n">
        <v>0</v>
      </c>
      <c r="I280" t="n">
        <v>0</v>
      </c>
      <c r="J280" t="n">
        <v>0</v>
      </c>
      <c r="K280" t="n">
        <v>0</v>
      </c>
      <c r="L280" t="n">
        <v>0</v>
      </c>
      <c r="M280" t="n">
        <v>0</v>
      </c>
      <c r="N280" t="n">
        <v>0</v>
      </c>
      <c r="O280" t="n">
        <v>0</v>
      </c>
      <c r="P280" t="n">
        <v>0</v>
      </c>
      <c r="Q280" t="n">
        <v>0</v>
      </c>
      <c r="R280" s="2" t="inlineStr"/>
    </row>
    <row r="281" ht="15" customHeight="1">
      <c r="A281" t="inlineStr">
        <is>
          <t>A 34038-2024</t>
        </is>
      </c>
      <c r="B281" s="1" t="n">
        <v>45523.59578703704</v>
      </c>
      <c r="C281" s="1" t="n">
        <v>45999</v>
      </c>
      <c r="D281" t="inlineStr">
        <is>
          <t>DALARNAS LÄN</t>
        </is>
      </c>
      <c r="E281" t="inlineStr">
        <is>
          <t>LEKSAND</t>
        </is>
      </c>
      <c r="G281" t="n">
        <v>0.3</v>
      </c>
      <c r="H281" t="n">
        <v>0</v>
      </c>
      <c r="I281" t="n">
        <v>0</v>
      </c>
      <c r="J281" t="n">
        <v>0</v>
      </c>
      <c r="K281" t="n">
        <v>0</v>
      </c>
      <c r="L281" t="n">
        <v>0</v>
      </c>
      <c r="M281" t="n">
        <v>0</v>
      </c>
      <c r="N281" t="n">
        <v>0</v>
      </c>
      <c r="O281" t="n">
        <v>0</v>
      </c>
      <c r="P281" t="n">
        <v>0</v>
      </c>
      <c r="Q281" t="n">
        <v>0</v>
      </c>
      <c r="R281" s="2" t="inlineStr"/>
    </row>
    <row r="282" ht="15" customHeight="1">
      <c r="A282" t="inlineStr">
        <is>
          <t>A 34041-2024</t>
        </is>
      </c>
      <c r="B282" s="1" t="n">
        <v>45523.59895833334</v>
      </c>
      <c r="C282" s="1" t="n">
        <v>45999</v>
      </c>
      <c r="D282" t="inlineStr">
        <is>
          <t>DALARNAS LÄN</t>
        </is>
      </c>
      <c r="E282" t="inlineStr">
        <is>
          <t>LEKSAND</t>
        </is>
      </c>
      <c r="G282" t="n">
        <v>4</v>
      </c>
      <c r="H282" t="n">
        <v>0</v>
      </c>
      <c r="I282" t="n">
        <v>0</v>
      </c>
      <c r="J282" t="n">
        <v>0</v>
      </c>
      <c r="K282" t="n">
        <v>0</v>
      </c>
      <c r="L282" t="n">
        <v>0</v>
      </c>
      <c r="M282" t="n">
        <v>0</v>
      </c>
      <c r="N282" t="n">
        <v>0</v>
      </c>
      <c r="O282" t="n">
        <v>0</v>
      </c>
      <c r="P282" t="n">
        <v>0</v>
      </c>
      <c r="Q282" t="n">
        <v>0</v>
      </c>
      <c r="R282" s="2" t="inlineStr"/>
    </row>
    <row r="283" ht="15" customHeight="1">
      <c r="A283" t="inlineStr">
        <is>
          <t>A 18107-2025</t>
        </is>
      </c>
      <c r="B283" s="1" t="n">
        <v>45761.55939814815</v>
      </c>
      <c r="C283" s="1" t="n">
        <v>45999</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10833-2023</t>
        </is>
      </c>
      <c r="B284" s="1" t="n">
        <v>44990</v>
      </c>
      <c r="C284" s="1" t="n">
        <v>45999</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16051-2023</t>
        </is>
      </c>
      <c r="B285" s="1" t="n">
        <v>45027</v>
      </c>
      <c r="C285" s="1" t="n">
        <v>45999</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56059-2024</t>
        </is>
      </c>
      <c r="B286" s="1" t="n">
        <v>45624.36729166667</v>
      </c>
      <c r="C286" s="1" t="n">
        <v>45999</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17233-2023</t>
        </is>
      </c>
      <c r="B287" s="1" t="n">
        <v>45035</v>
      </c>
      <c r="C287" s="1" t="n">
        <v>45999</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16231-2021</t>
        </is>
      </c>
      <c r="B288" s="1" t="n">
        <v>44292</v>
      </c>
      <c r="C288" s="1" t="n">
        <v>45999</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2579-2022</t>
        </is>
      </c>
      <c r="B289" s="1" t="n">
        <v>44580</v>
      </c>
      <c r="C289" s="1" t="n">
        <v>45999</v>
      </c>
      <c r="D289" t="inlineStr">
        <is>
          <t>DALARNAS LÄN</t>
        </is>
      </c>
      <c r="E289" t="inlineStr">
        <is>
          <t>LEKSAND</t>
        </is>
      </c>
      <c r="G289" t="n">
        <v>0.3</v>
      </c>
      <c r="H289" t="n">
        <v>0</v>
      </c>
      <c r="I289" t="n">
        <v>0</v>
      </c>
      <c r="J289" t="n">
        <v>0</v>
      </c>
      <c r="K289" t="n">
        <v>0</v>
      </c>
      <c r="L289" t="n">
        <v>0</v>
      </c>
      <c r="M289" t="n">
        <v>0</v>
      </c>
      <c r="N289" t="n">
        <v>0</v>
      </c>
      <c r="O289" t="n">
        <v>0</v>
      </c>
      <c r="P289" t="n">
        <v>0</v>
      </c>
      <c r="Q289" t="n">
        <v>0</v>
      </c>
      <c r="R289" s="2" t="inlineStr"/>
    </row>
    <row r="290" ht="15" customHeight="1">
      <c r="A290" t="inlineStr">
        <is>
          <t>A 49395-2024</t>
        </is>
      </c>
      <c r="B290" s="1" t="n">
        <v>45595</v>
      </c>
      <c r="C290" s="1" t="n">
        <v>45999</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12857-2023</t>
        </is>
      </c>
      <c r="B291" s="1" t="n">
        <v>45001.5000462963</v>
      </c>
      <c r="C291" s="1" t="n">
        <v>45999</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28674-2024</t>
        </is>
      </c>
      <c r="B292" s="1" t="n">
        <v>45478.47863425926</v>
      </c>
      <c r="C292" s="1" t="n">
        <v>45999</v>
      </c>
      <c r="D292" t="inlineStr">
        <is>
          <t>DALARNAS LÄN</t>
        </is>
      </c>
      <c r="E292" t="inlineStr">
        <is>
          <t>LEKSAND</t>
        </is>
      </c>
      <c r="G292" t="n">
        <v>4.9</v>
      </c>
      <c r="H292" t="n">
        <v>0</v>
      </c>
      <c r="I292" t="n">
        <v>0</v>
      </c>
      <c r="J292" t="n">
        <v>0</v>
      </c>
      <c r="K292" t="n">
        <v>0</v>
      </c>
      <c r="L292" t="n">
        <v>0</v>
      </c>
      <c r="M292" t="n">
        <v>0</v>
      </c>
      <c r="N292" t="n">
        <v>0</v>
      </c>
      <c r="O292" t="n">
        <v>0</v>
      </c>
      <c r="P292" t="n">
        <v>0</v>
      </c>
      <c r="Q292" t="n">
        <v>0</v>
      </c>
      <c r="R292" s="2" t="inlineStr"/>
    </row>
    <row r="293" ht="15" customHeight="1">
      <c r="A293" t="inlineStr">
        <is>
          <t>A 19622-2024</t>
        </is>
      </c>
      <c r="B293" s="1" t="n">
        <v>45432.33592592592</v>
      </c>
      <c r="C293" s="1" t="n">
        <v>45999</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27317-2021</t>
        </is>
      </c>
      <c r="B294" s="1" t="n">
        <v>44351</v>
      </c>
      <c r="C294" s="1" t="n">
        <v>45999</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61055-2023</t>
        </is>
      </c>
      <c r="B295" s="1" t="n">
        <v>45261</v>
      </c>
      <c r="C295" s="1" t="n">
        <v>45999</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10743-2024</t>
        </is>
      </c>
      <c r="B296" s="1" t="n">
        <v>45369.52167824074</v>
      </c>
      <c r="C296" s="1" t="n">
        <v>45999</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33317-2023</t>
        </is>
      </c>
      <c r="B297" s="1" t="n">
        <v>45127.84586805556</v>
      </c>
      <c r="C297" s="1" t="n">
        <v>45999</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33318-2023</t>
        </is>
      </c>
      <c r="B298" s="1" t="n">
        <v>45127</v>
      </c>
      <c r="C298" s="1" t="n">
        <v>45999</v>
      </c>
      <c r="D298" t="inlineStr">
        <is>
          <t>DALARNAS LÄN</t>
        </is>
      </c>
      <c r="E298" t="inlineStr">
        <is>
          <t>LEKSAND</t>
        </is>
      </c>
      <c r="G298" t="n">
        <v>5.5</v>
      </c>
      <c r="H298" t="n">
        <v>0</v>
      </c>
      <c r="I298" t="n">
        <v>0</v>
      </c>
      <c r="J298" t="n">
        <v>0</v>
      </c>
      <c r="K298" t="n">
        <v>0</v>
      </c>
      <c r="L298" t="n">
        <v>0</v>
      </c>
      <c r="M298" t="n">
        <v>0</v>
      </c>
      <c r="N298" t="n">
        <v>0</v>
      </c>
      <c r="O298" t="n">
        <v>0</v>
      </c>
      <c r="P298" t="n">
        <v>0</v>
      </c>
      <c r="Q298" t="n">
        <v>0</v>
      </c>
      <c r="R298" s="2" t="inlineStr"/>
    </row>
    <row r="299" ht="15" customHeight="1">
      <c r="A299" t="inlineStr">
        <is>
          <t>A 10367-2023</t>
        </is>
      </c>
      <c r="B299" s="1" t="n">
        <v>44987</v>
      </c>
      <c r="C299" s="1" t="n">
        <v>45999</v>
      </c>
      <c r="D299" t="inlineStr">
        <is>
          <t>DALARNAS LÄN</t>
        </is>
      </c>
      <c r="E299" t="inlineStr">
        <is>
          <t>LEKSAND</t>
        </is>
      </c>
      <c r="G299" t="n">
        <v>0.7</v>
      </c>
      <c r="H299" t="n">
        <v>0</v>
      </c>
      <c r="I299" t="n">
        <v>0</v>
      </c>
      <c r="J299" t="n">
        <v>0</v>
      </c>
      <c r="K299" t="n">
        <v>0</v>
      </c>
      <c r="L299" t="n">
        <v>0</v>
      </c>
      <c r="M299" t="n">
        <v>0</v>
      </c>
      <c r="N299" t="n">
        <v>0</v>
      </c>
      <c r="O299" t="n">
        <v>0</v>
      </c>
      <c r="P299" t="n">
        <v>0</v>
      </c>
      <c r="Q299" t="n">
        <v>0</v>
      </c>
      <c r="R299" s="2" t="inlineStr"/>
    </row>
    <row r="300" ht="15" customHeight="1">
      <c r="A300" t="inlineStr">
        <is>
          <t>A 1946-2024</t>
        </is>
      </c>
      <c r="B300" s="1" t="n">
        <v>45308</v>
      </c>
      <c r="C300" s="1" t="n">
        <v>45999</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58244-2024</t>
        </is>
      </c>
      <c r="B301" s="1" t="n">
        <v>45631</v>
      </c>
      <c r="C301" s="1" t="n">
        <v>45999</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59763-2023</t>
        </is>
      </c>
      <c r="B302" s="1" t="n">
        <v>45257</v>
      </c>
      <c r="C302" s="1" t="n">
        <v>45999</v>
      </c>
      <c r="D302" t="inlineStr">
        <is>
          <t>DALARNAS LÄN</t>
        </is>
      </c>
      <c r="E302" t="inlineStr">
        <is>
          <t>LEKSAND</t>
        </is>
      </c>
      <c r="G302" t="n">
        <v>1.6</v>
      </c>
      <c r="H302" t="n">
        <v>0</v>
      </c>
      <c r="I302" t="n">
        <v>0</v>
      </c>
      <c r="J302" t="n">
        <v>0</v>
      </c>
      <c r="K302" t="n">
        <v>0</v>
      </c>
      <c r="L302" t="n">
        <v>0</v>
      </c>
      <c r="M302" t="n">
        <v>0</v>
      </c>
      <c r="N302" t="n">
        <v>0</v>
      </c>
      <c r="O302" t="n">
        <v>0</v>
      </c>
      <c r="P302" t="n">
        <v>0</v>
      </c>
      <c r="Q302" t="n">
        <v>0</v>
      </c>
      <c r="R302" s="2" t="inlineStr"/>
    </row>
    <row r="303" ht="15" customHeight="1">
      <c r="A303" t="inlineStr">
        <is>
          <t>A 26957-2023</t>
        </is>
      </c>
      <c r="B303" s="1" t="n">
        <v>45093</v>
      </c>
      <c r="C303" s="1" t="n">
        <v>45999</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40009-2024</t>
        </is>
      </c>
      <c r="B304" s="1" t="n">
        <v>45553.65361111111</v>
      </c>
      <c r="C304" s="1" t="n">
        <v>45999</v>
      </c>
      <c r="D304" t="inlineStr">
        <is>
          <t>DALARNAS LÄN</t>
        </is>
      </c>
      <c r="E304" t="inlineStr">
        <is>
          <t>LEKSAND</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52572-2024</t>
        </is>
      </c>
      <c r="B305" s="1" t="n">
        <v>45609.66488425926</v>
      </c>
      <c r="C305" s="1" t="n">
        <v>45999</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12851-2023</t>
        </is>
      </c>
      <c r="B306" s="1" t="n">
        <v>45001.49347222222</v>
      </c>
      <c r="C306" s="1" t="n">
        <v>45999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19295-2024</t>
        </is>
      </c>
      <c r="B307" s="1" t="n">
        <v>45428.69106481481</v>
      </c>
      <c r="C307" s="1" t="n">
        <v>45999</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17533-2023</t>
        </is>
      </c>
      <c r="B308" s="1" t="n">
        <v>45036</v>
      </c>
      <c r="C308" s="1" t="n">
        <v>45999</v>
      </c>
      <c r="D308" t="inlineStr">
        <is>
          <t>DALARNAS LÄN</t>
        </is>
      </c>
      <c r="E308" t="inlineStr">
        <is>
          <t>LEKSAND</t>
        </is>
      </c>
      <c r="G308" t="n">
        <v>3</v>
      </c>
      <c r="H308" t="n">
        <v>0</v>
      </c>
      <c r="I308" t="n">
        <v>0</v>
      </c>
      <c r="J308" t="n">
        <v>0</v>
      </c>
      <c r="K308" t="n">
        <v>0</v>
      </c>
      <c r="L308" t="n">
        <v>0</v>
      </c>
      <c r="M308" t="n">
        <v>0</v>
      </c>
      <c r="N308" t="n">
        <v>0</v>
      </c>
      <c r="O308" t="n">
        <v>0</v>
      </c>
      <c r="P308" t="n">
        <v>0</v>
      </c>
      <c r="Q308" t="n">
        <v>0</v>
      </c>
      <c r="R308" s="2" t="inlineStr"/>
    </row>
    <row r="309" ht="15" customHeight="1">
      <c r="A309" t="inlineStr">
        <is>
          <t>A 49397-2024</t>
        </is>
      </c>
      <c r="B309" s="1" t="n">
        <v>45595</v>
      </c>
      <c r="C309" s="1" t="n">
        <v>45999</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62161-2024</t>
        </is>
      </c>
      <c r="B310" s="1" t="n">
        <v>45656.86009259259</v>
      </c>
      <c r="C310" s="1" t="n">
        <v>45999</v>
      </c>
      <c r="D310" t="inlineStr">
        <is>
          <t>DALARNAS LÄN</t>
        </is>
      </c>
      <c r="E310" t="inlineStr">
        <is>
          <t>LEKSAND</t>
        </is>
      </c>
      <c r="G310" t="n">
        <v>2</v>
      </c>
      <c r="H310" t="n">
        <v>0</v>
      </c>
      <c r="I310" t="n">
        <v>0</v>
      </c>
      <c r="J310" t="n">
        <v>0</v>
      </c>
      <c r="K310" t="n">
        <v>0</v>
      </c>
      <c r="L310" t="n">
        <v>0</v>
      </c>
      <c r="M310" t="n">
        <v>0</v>
      </c>
      <c r="N310" t="n">
        <v>0</v>
      </c>
      <c r="O310" t="n">
        <v>0</v>
      </c>
      <c r="P310" t="n">
        <v>0</v>
      </c>
      <c r="Q310" t="n">
        <v>0</v>
      </c>
      <c r="R310" s="2" t="inlineStr"/>
    </row>
    <row r="311" ht="15" customHeight="1">
      <c r="A311" t="inlineStr">
        <is>
          <t>A 9781-2024</t>
        </is>
      </c>
      <c r="B311" s="1" t="n">
        <v>45362.66299768518</v>
      </c>
      <c r="C311" s="1" t="n">
        <v>45999</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6027-2025</t>
        </is>
      </c>
      <c r="B312" s="1" t="n">
        <v>45695</v>
      </c>
      <c r="C312" s="1" t="n">
        <v>45999</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19371-2024</t>
        </is>
      </c>
      <c r="B313" s="1" t="n">
        <v>45429.34969907408</v>
      </c>
      <c r="C313" s="1" t="n">
        <v>45999</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53717-2023</t>
        </is>
      </c>
      <c r="B314" s="1" t="n">
        <v>45230</v>
      </c>
      <c r="C314" s="1" t="n">
        <v>45999</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63513-2023</t>
        </is>
      </c>
      <c r="B315" s="1" t="n">
        <v>45274</v>
      </c>
      <c r="C315" s="1" t="n">
        <v>45999</v>
      </c>
      <c r="D315" t="inlineStr">
        <is>
          <t>DALARNAS LÄN</t>
        </is>
      </c>
      <c r="E315" t="inlineStr">
        <is>
          <t>LEKSAND</t>
        </is>
      </c>
      <c r="G315" t="n">
        <v>2.3</v>
      </c>
      <c r="H315" t="n">
        <v>0</v>
      </c>
      <c r="I315" t="n">
        <v>0</v>
      </c>
      <c r="J315" t="n">
        <v>0</v>
      </c>
      <c r="K315" t="n">
        <v>0</v>
      </c>
      <c r="L315" t="n">
        <v>0</v>
      </c>
      <c r="M315" t="n">
        <v>0</v>
      </c>
      <c r="N315" t="n">
        <v>0</v>
      </c>
      <c r="O315" t="n">
        <v>0</v>
      </c>
      <c r="P315" t="n">
        <v>0</v>
      </c>
      <c r="Q315" t="n">
        <v>0</v>
      </c>
      <c r="R315" s="2" t="inlineStr"/>
    </row>
    <row r="316" ht="15" customHeight="1">
      <c r="A316" t="inlineStr">
        <is>
          <t>A 7827-2024</t>
        </is>
      </c>
      <c r="B316" s="1" t="n">
        <v>45349.7467824074</v>
      </c>
      <c r="C316" s="1" t="n">
        <v>45999</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40230-2023</t>
        </is>
      </c>
      <c r="B317" s="1" t="n">
        <v>45169.46887731482</v>
      </c>
      <c r="C317" s="1" t="n">
        <v>45999</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43470-2024</t>
        </is>
      </c>
      <c r="B318" s="1" t="n">
        <v>45568</v>
      </c>
      <c r="C318" s="1" t="n">
        <v>45999</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49405-2024</t>
        </is>
      </c>
      <c r="B319" s="1" t="n">
        <v>45595</v>
      </c>
      <c r="C319" s="1" t="n">
        <v>45999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60873-2023</t>
        </is>
      </c>
      <c r="B320" s="1" t="n">
        <v>45261.03266203704</v>
      </c>
      <c r="C320" s="1" t="n">
        <v>45999</v>
      </c>
      <c r="D320" t="inlineStr">
        <is>
          <t>DALARNAS LÄN</t>
        </is>
      </c>
      <c r="E320" t="inlineStr">
        <is>
          <t>LEKSAND</t>
        </is>
      </c>
      <c r="G320" t="n">
        <v>5.2</v>
      </c>
      <c r="H320" t="n">
        <v>0</v>
      </c>
      <c r="I320" t="n">
        <v>0</v>
      </c>
      <c r="J320" t="n">
        <v>0</v>
      </c>
      <c r="K320" t="n">
        <v>0</v>
      </c>
      <c r="L320" t="n">
        <v>0</v>
      </c>
      <c r="M320" t="n">
        <v>0</v>
      </c>
      <c r="N320" t="n">
        <v>0</v>
      </c>
      <c r="O320" t="n">
        <v>0</v>
      </c>
      <c r="P320" t="n">
        <v>0</v>
      </c>
      <c r="Q320" t="n">
        <v>0</v>
      </c>
      <c r="R320" s="2" t="inlineStr"/>
    </row>
    <row r="321" ht="15" customHeight="1">
      <c r="A321" t="inlineStr">
        <is>
          <t>A 39819-2024</t>
        </is>
      </c>
      <c r="B321" s="1" t="n">
        <v>45553.38774305556</v>
      </c>
      <c r="C321" s="1" t="n">
        <v>45999</v>
      </c>
      <c r="D321" t="inlineStr">
        <is>
          <t>DALARNAS LÄN</t>
        </is>
      </c>
      <c r="E321" t="inlineStr">
        <is>
          <t>LEKSAND</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54914-2024</t>
        </is>
      </c>
      <c r="B322" s="1" t="n">
        <v>45618.69380787037</v>
      </c>
      <c r="C322" s="1" t="n">
        <v>45999</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11606-2025</t>
        </is>
      </c>
      <c r="B323" s="1" t="n">
        <v>45727</v>
      </c>
      <c r="C323" s="1" t="n">
        <v>45999</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21954-2023</t>
        </is>
      </c>
      <c r="B324" s="1" t="n">
        <v>45068</v>
      </c>
      <c r="C324" s="1" t="n">
        <v>45999</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20683-2025</t>
        </is>
      </c>
      <c r="B325" s="1" t="n">
        <v>45776</v>
      </c>
      <c r="C325" s="1" t="n">
        <v>45999</v>
      </c>
      <c r="D325" t="inlineStr">
        <is>
          <t>DALARNAS LÄN</t>
        </is>
      </c>
      <c r="E325" t="inlineStr">
        <is>
          <t>LEKSAND</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52100-2024</t>
        </is>
      </c>
      <c r="B326" s="1" t="n">
        <v>45608.41634259259</v>
      </c>
      <c r="C326" s="1" t="n">
        <v>45999</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167-2023</t>
        </is>
      </c>
      <c r="B327" s="1" t="n">
        <v>44918</v>
      </c>
      <c r="C327" s="1" t="n">
        <v>45999</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56950-2024</t>
        </is>
      </c>
      <c r="B328" s="1" t="n">
        <v>45625</v>
      </c>
      <c r="C328" s="1" t="n">
        <v>45999</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4257-2022</t>
        </is>
      </c>
      <c r="B329" s="1" t="n">
        <v>44588</v>
      </c>
      <c r="C329" s="1" t="n">
        <v>45999</v>
      </c>
      <c r="D329" t="inlineStr">
        <is>
          <t>DALARNAS LÄN</t>
        </is>
      </c>
      <c r="E329" t="inlineStr">
        <is>
          <t>LEKSAND</t>
        </is>
      </c>
      <c r="G329" t="n">
        <v>6.8</v>
      </c>
      <c r="H329" t="n">
        <v>0</v>
      </c>
      <c r="I329" t="n">
        <v>0</v>
      </c>
      <c r="J329" t="n">
        <v>0</v>
      </c>
      <c r="K329" t="n">
        <v>0</v>
      </c>
      <c r="L329" t="n">
        <v>0</v>
      </c>
      <c r="M329" t="n">
        <v>0</v>
      </c>
      <c r="N329" t="n">
        <v>0</v>
      </c>
      <c r="O329" t="n">
        <v>0</v>
      </c>
      <c r="P329" t="n">
        <v>0</v>
      </c>
      <c r="Q329" t="n">
        <v>0</v>
      </c>
      <c r="R329" s="2" t="inlineStr"/>
    </row>
    <row r="330" ht="15" customHeight="1">
      <c r="A330" t="inlineStr">
        <is>
          <t>A 8743-2023</t>
        </is>
      </c>
      <c r="B330" s="1" t="n">
        <v>44978</v>
      </c>
      <c r="C330" s="1" t="n">
        <v>45999</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31726-2024</t>
        </is>
      </c>
      <c r="B331" s="1" t="n">
        <v>45509.33908564815</v>
      </c>
      <c r="C331" s="1" t="n">
        <v>45999</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55512-2024</t>
        </is>
      </c>
      <c r="B332" s="1" t="n">
        <v>45621</v>
      </c>
      <c r="C332" s="1" t="n">
        <v>45999</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20937-2025</t>
        </is>
      </c>
      <c r="B333" s="1" t="n">
        <v>45777.42769675926</v>
      </c>
      <c r="C333" s="1" t="n">
        <v>45999</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63544-2023</t>
        </is>
      </c>
      <c r="B334" s="1" t="n">
        <v>45275</v>
      </c>
      <c r="C334" s="1" t="n">
        <v>45999</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52059-2024</t>
        </is>
      </c>
      <c r="B335" s="1" t="n">
        <v>45608.35609953704</v>
      </c>
      <c r="C335" s="1" t="n">
        <v>45999</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21457-2025</t>
        </is>
      </c>
      <c r="B336" s="1" t="n">
        <v>45782.55451388889</v>
      </c>
      <c r="C336" s="1" t="n">
        <v>45999</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9938-2023</t>
        </is>
      </c>
      <c r="B337" s="1" t="n">
        <v>44985</v>
      </c>
      <c r="C337" s="1" t="n">
        <v>45999</v>
      </c>
      <c r="D337" t="inlineStr">
        <is>
          <t>DALARNAS LÄN</t>
        </is>
      </c>
      <c r="E337" t="inlineStr">
        <is>
          <t>LEKSAND</t>
        </is>
      </c>
      <c r="G337" t="n">
        <v>3.1</v>
      </c>
      <c r="H337" t="n">
        <v>0</v>
      </c>
      <c r="I337" t="n">
        <v>0</v>
      </c>
      <c r="J337" t="n">
        <v>0</v>
      </c>
      <c r="K337" t="n">
        <v>0</v>
      </c>
      <c r="L337" t="n">
        <v>0</v>
      </c>
      <c r="M337" t="n">
        <v>0</v>
      </c>
      <c r="N337" t="n">
        <v>0</v>
      </c>
      <c r="O337" t="n">
        <v>0</v>
      </c>
      <c r="P337" t="n">
        <v>0</v>
      </c>
      <c r="Q337" t="n">
        <v>0</v>
      </c>
      <c r="R337" s="2" t="inlineStr"/>
    </row>
    <row r="338" ht="15" customHeight="1">
      <c r="A338" t="inlineStr">
        <is>
          <t>A 12992-2022</t>
        </is>
      </c>
      <c r="B338" s="1" t="n">
        <v>44643</v>
      </c>
      <c r="C338" s="1" t="n">
        <v>45999</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59103-2024</t>
        </is>
      </c>
      <c r="B339" s="1" t="n">
        <v>45637.34184027778</v>
      </c>
      <c r="C339" s="1" t="n">
        <v>45999</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11712-2025</t>
        </is>
      </c>
      <c r="B340" s="1" t="n">
        <v>45727</v>
      </c>
      <c r="C340" s="1" t="n">
        <v>45999</v>
      </c>
      <c r="D340" t="inlineStr">
        <is>
          <t>DALARNAS LÄN</t>
        </is>
      </c>
      <c r="E340" t="inlineStr">
        <is>
          <t>LEKSAND</t>
        </is>
      </c>
      <c r="G340" t="n">
        <v>6</v>
      </c>
      <c r="H340" t="n">
        <v>0</v>
      </c>
      <c r="I340" t="n">
        <v>0</v>
      </c>
      <c r="J340" t="n">
        <v>0</v>
      </c>
      <c r="K340" t="n">
        <v>0</v>
      </c>
      <c r="L340" t="n">
        <v>0</v>
      </c>
      <c r="M340" t="n">
        <v>0</v>
      </c>
      <c r="N340" t="n">
        <v>0</v>
      </c>
      <c r="O340" t="n">
        <v>0</v>
      </c>
      <c r="P340" t="n">
        <v>0</v>
      </c>
      <c r="Q340" t="n">
        <v>0</v>
      </c>
      <c r="R340" s="2" t="inlineStr"/>
    </row>
    <row r="341" ht="15" customHeight="1">
      <c r="A341" t="inlineStr">
        <is>
          <t>A 70099-2021</t>
        </is>
      </c>
      <c r="B341" s="1" t="n">
        <v>44533</v>
      </c>
      <c r="C341" s="1" t="n">
        <v>45999</v>
      </c>
      <c r="D341" t="inlineStr">
        <is>
          <t>DALARNAS LÄN</t>
        </is>
      </c>
      <c r="E341" t="inlineStr">
        <is>
          <t>LEKSAND</t>
        </is>
      </c>
      <c r="G341" t="n">
        <v>2.8</v>
      </c>
      <c r="H341" t="n">
        <v>0</v>
      </c>
      <c r="I341" t="n">
        <v>0</v>
      </c>
      <c r="J341" t="n">
        <v>0</v>
      </c>
      <c r="K341" t="n">
        <v>0</v>
      </c>
      <c r="L341" t="n">
        <v>0</v>
      </c>
      <c r="M341" t="n">
        <v>0</v>
      </c>
      <c r="N341" t="n">
        <v>0</v>
      </c>
      <c r="O341" t="n">
        <v>0</v>
      </c>
      <c r="P341" t="n">
        <v>0</v>
      </c>
      <c r="Q341" t="n">
        <v>0</v>
      </c>
      <c r="R341" s="2" t="inlineStr"/>
    </row>
    <row r="342" ht="15" customHeight="1">
      <c r="A342" t="inlineStr">
        <is>
          <t>A 21230-2025</t>
        </is>
      </c>
      <c r="B342" s="1" t="n">
        <v>45779.54589120371</v>
      </c>
      <c r="C342" s="1" t="n">
        <v>45999</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13401-2023</t>
        </is>
      </c>
      <c r="B343" s="1" t="n">
        <v>45005</v>
      </c>
      <c r="C343" s="1" t="n">
        <v>45999</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21193-2025</t>
        </is>
      </c>
      <c r="B344" s="1" t="n">
        <v>45779.46675925926</v>
      </c>
      <c r="C344" s="1" t="n">
        <v>45999</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60113-2022</t>
        </is>
      </c>
      <c r="B345" s="1" t="n">
        <v>44909</v>
      </c>
      <c r="C345" s="1" t="n">
        <v>45999</v>
      </c>
      <c r="D345" t="inlineStr">
        <is>
          <t>DALARNAS LÄN</t>
        </is>
      </c>
      <c r="E345" t="inlineStr">
        <is>
          <t>LEKSAND</t>
        </is>
      </c>
      <c r="G345" t="n">
        <v>3.7</v>
      </c>
      <c r="H345" t="n">
        <v>0</v>
      </c>
      <c r="I345" t="n">
        <v>0</v>
      </c>
      <c r="J345" t="n">
        <v>0</v>
      </c>
      <c r="K345" t="n">
        <v>0</v>
      </c>
      <c r="L345" t="n">
        <v>0</v>
      </c>
      <c r="M345" t="n">
        <v>0</v>
      </c>
      <c r="N345" t="n">
        <v>0</v>
      </c>
      <c r="O345" t="n">
        <v>0</v>
      </c>
      <c r="P345" t="n">
        <v>0</v>
      </c>
      <c r="Q345" t="n">
        <v>0</v>
      </c>
      <c r="R345" s="2" t="inlineStr"/>
    </row>
    <row r="346" ht="15" customHeight="1">
      <c r="A346" t="inlineStr">
        <is>
          <t>A 15173-2025</t>
        </is>
      </c>
      <c r="B346" s="1" t="n">
        <v>45744.50858796296</v>
      </c>
      <c r="C346" s="1" t="n">
        <v>45999</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30611-2023</t>
        </is>
      </c>
      <c r="B347" s="1" t="n">
        <v>45112</v>
      </c>
      <c r="C347" s="1" t="n">
        <v>45999</v>
      </c>
      <c r="D347" t="inlineStr">
        <is>
          <t>DALARNAS LÄN</t>
        </is>
      </c>
      <c r="E347" t="inlineStr">
        <is>
          <t>LEKSAND</t>
        </is>
      </c>
      <c r="G347" t="n">
        <v>3.1</v>
      </c>
      <c r="H347" t="n">
        <v>0</v>
      </c>
      <c r="I347" t="n">
        <v>0</v>
      </c>
      <c r="J347" t="n">
        <v>0</v>
      </c>
      <c r="K347" t="n">
        <v>0</v>
      </c>
      <c r="L347" t="n">
        <v>0</v>
      </c>
      <c r="M347" t="n">
        <v>0</v>
      </c>
      <c r="N347" t="n">
        <v>0</v>
      </c>
      <c r="O347" t="n">
        <v>0</v>
      </c>
      <c r="P347" t="n">
        <v>0</v>
      </c>
      <c r="Q347" t="n">
        <v>0</v>
      </c>
      <c r="R347" s="2" t="inlineStr"/>
    </row>
    <row r="348" ht="15" customHeight="1">
      <c r="A348" t="inlineStr">
        <is>
          <t>A 31254-2023</t>
        </is>
      </c>
      <c r="B348" s="1" t="n">
        <v>45114</v>
      </c>
      <c r="C348" s="1" t="n">
        <v>45999</v>
      </c>
      <c r="D348" t="inlineStr">
        <is>
          <t>DALARNAS LÄN</t>
        </is>
      </c>
      <c r="E348" t="inlineStr">
        <is>
          <t>LEKSAND</t>
        </is>
      </c>
      <c r="G348" t="n">
        <v>1.4</v>
      </c>
      <c r="H348" t="n">
        <v>0</v>
      </c>
      <c r="I348" t="n">
        <v>0</v>
      </c>
      <c r="J348" t="n">
        <v>0</v>
      </c>
      <c r="K348" t="n">
        <v>0</v>
      </c>
      <c r="L348" t="n">
        <v>0</v>
      </c>
      <c r="M348" t="n">
        <v>0</v>
      </c>
      <c r="N348" t="n">
        <v>0</v>
      </c>
      <c r="O348" t="n">
        <v>0</v>
      </c>
      <c r="P348" t="n">
        <v>0</v>
      </c>
      <c r="Q348" t="n">
        <v>0</v>
      </c>
      <c r="R348" s="2" t="inlineStr"/>
    </row>
    <row r="349" ht="15" customHeight="1">
      <c r="A349" t="inlineStr">
        <is>
          <t>A 62306-2023</t>
        </is>
      </c>
      <c r="B349" s="1" t="n">
        <v>45266</v>
      </c>
      <c r="C349" s="1" t="n">
        <v>45999</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24003-2024</t>
        </is>
      </c>
      <c r="B350" s="1" t="n">
        <v>45456.39003472222</v>
      </c>
      <c r="C350" s="1" t="n">
        <v>45999</v>
      </c>
      <c r="D350" t="inlineStr">
        <is>
          <t>DALARNAS LÄN</t>
        </is>
      </c>
      <c r="E350" t="inlineStr">
        <is>
          <t>LEKSAND</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30175-2023</t>
        </is>
      </c>
      <c r="B351" s="1" t="n">
        <v>45110</v>
      </c>
      <c r="C351" s="1" t="n">
        <v>45999</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28921-2023</t>
        </is>
      </c>
      <c r="B352" s="1" t="n">
        <v>45104</v>
      </c>
      <c r="C352" s="1" t="n">
        <v>45999</v>
      </c>
      <c r="D352" t="inlineStr">
        <is>
          <t>DALARNAS LÄN</t>
        </is>
      </c>
      <c r="E352" t="inlineStr">
        <is>
          <t>LEKSAND</t>
        </is>
      </c>
      <c r="G352" t="n">
        <v>4.4</v>
      </c>
      <c r="H352" t="n">
        <v>0</v>
      </c>
      <c r="I352" t="n">
        <v>0</v>
      </c>
      <c r="J352" t="n">
        <v>0</v>
      </c>
      <c r="K352" t="n">
        <v>0</v>
      </c>
      <c r="L352" t="n">
        <v>0</v>
      </c>
      <c r="M352" t="n">
        <v>0</v>
      </c>
      <c r="N352" t="n">
        <v>0</v>
      </c>
      <c r="O352" t="n">
        <v>0</v>
      </c>
      <c r="P352" t="n">
        <v>0</v>
      </c>
      <c r="Q352" t="n">
        <v>0</v>
      </c>
      <c r="R352" s="2" t="inlineStr"/>
    </row>
    <row r="353" ht="15" customHeight="1">
      <c r="A353" t="inlineStr">
        <is>
          <t>A 40642-2023</t>
        </is>
      </c>
      <c r="B353" s="1" t="n">
        <v>45169</v>
      </c>
      <c r="C353" s="1" t="n">
        <v>45999</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11872-2024</t>
        </is>
      </c>
      <c r="B354" s="1" t="n">
        <v>45376.46833333333</v>
      </c>
      <c r="C354" s="1" t="n">
        <v>45999</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47854-2023</t>
        </is>
      </c>
      <c r="B355" s="1" t="n">
        <v>45198</v>
      </c>
      <c r="C355" s="1" t="n">
        <v>45999</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21600-2025</t>
        </is>
      </c>
      <c r="B356" s="1" t="n">
        <v>45783.3521875</v>
      </c>
      <c r="C356" s="1" t="n">
        <v>45999</v>
      </c>
      <c r="D356" t="inlineStr">
        <is>
          <t>DALARNAS LÄN</t>
        </is>
      </c>
      <c r="E356" t="inlineStr">
        <is>
          <t>LEKSAND</t>
        </is>
      </c>
      <c r="G356" t="n">
        <v>7.7</v>
      </c>
      <c r="H356" t="n">
        <v>0</v>
      </c>
      <c r="I356" t="n">
        <v>0</v>
      </c>
      <c r="J356" t="n">
        <v>0</v>
      </c>
      <c r="K356" t="n">
        <v>0</v>
      </c>
      <c r="L356" t="n">
        <v>0</v>
      </c>
      <c r="M356" t="n">
        <v>0</v>
      </c>
      <c r="N356" t="n">
        <v>0</v>
      </c>
      <c r="O356" t="n">
        <v>0</v>
      </c>
      <c r="P356" t="n">
        <v>0</v>
      </c>
      <c r="Q356" t="n">
        <v>0</v>
      </c>
      <c r="R356" s="2" t="inlineStr"/>
    </row>
    <row r="357" ht="15" customHeight="1">
      <c r="A357" t="inlineStr">
        <is>
          <t>A 39136-2023</t>
        </is>
      </c>
      <c r="B357" s="1" t="n">
        <v>45165</v>
      </c>
      <c r="C357" s="1" t="n">
        <v>45999</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8940-2023</t>
        </is>
      </c>
      <c r="B358" s="1" t="n">
        <v>44974</v>
      </c>
      <c r="C358" s="1" t="n">
        <v>45999</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9459-2023</t>
        </is>
      </c>
      <c r="B359" s="1" t="n">
        <v>44977</v>
      </c>
      <c r="C359" s="1" t="n">
        <v>45999</v>
      </c>
      <c r="D359" t="inlineStr">
        <is>
          <t>DALARNAS LÄN</t>
        </is>
      </c>
      <c r="E359" t="inlineStr">
        <is>
          <t>LEKSAND</t>
        </is>
      </c>
      <c r="G359" t="n">
        <v>1.1</v>
      </c>
      <c r="H359" t="n">
        <v>0</v>
      </c>
      <c r="I359" t="n">
        <v>0</v>
      </c>
      <c r="J359" t="n">
        <v>0</v>
      </c>
      <c r="K359" t="n">
        <v>0</v>
      </c>
      <c r="L359" t="n">
        <v>0</v>
      </c>
      <c r="M359" t="n">
        <v>0</v>
      </c>
      <c r="N359" t="n">
        <v>0</v>
      </c>
      <c r="O359" t="n">
        <v>0</v>
      </c>
      <c r="P359" t="n">
        <v>0</v>
      </c>
      <c r="Q359" t="n">
        <v>0</v>
      </c>
      <c r="R359" s="2" t="inlineStr"/>
    </row>
    <row r="360" ht="15" customHeight="1">
      <c r="A360" t="inlineStr">
        <is>
          <t>A 56941-2024</t>
        </is>
      </c>
      <c r="B360" s="1" t="n">
        <v>45625</v>
      </c>
      <c r="C360" s="1" t="n">
        <v>45999</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48721-2023</t>
        </is>
      </c>
      <c r="B361" s="1" t="n">
        <v>45203</v>
      </c>
      <c r="C361" s="1" t="n">
        <v>45999</v>
      </c>
      <c r="D361" t="inlineStr">
        <is>
          <t>DALARNAS LÄN</t>
        </is>
      </c>
      <c r="E361" t="inlineStr">
        <is>
          <t>LEKSAND</t>
        </is>
      </c>
      <c r="G361" t="n">
        <v>2.9</v>
      </c>
      <c r="H361" t="n">
        <v>0</v>
      </c>
      <c r="I361" t="n">
        <v>0</v>
      </c>
      <c r="J361" t="n">
        <v>0</v>
      </c>
      <c r="K361" t="n">
        <v>0</v>
      </c>
      <c r="L361" t="n">
        <v>0</v>
      </c>
      <c r="M361" t="n">
        <v>0</v>
      </c>
      <c r="N361" t="n">
        <v>0</v>
      </c>
      <c r="O361" t="n">
        <v>0</v>
      </c>
      <c r="P361" t="n">
        <v>0</v>
      </c>
      <c r="Q361" t="n">
        <v>0</v>
      </c>
      <c r="R361" s="2" t="inlineStr"/>
    </row>
    <row r="362" ht="15" customHeight="1">
      <c r="A362" t="inlineStr">
        <is>
          <t>A 44469-2024</t>
        </is>
      </c>
      <c r="B362" s="1" t="n">
        <v>45574</v>
      </c>
      <c r="C362" s="1" t="n">
        <v>45999</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52293-2024</t>
        </is>
      </c>
      <c r="B363" s="1" t="n">
        <v>45608.71297453704</v>
      </c>
      <c r="C363" s="1" t="n">
        <v>45999</v>
      </c>
      <c r="D363" t="inlineStr">
        <is>
          <t>DALARNAS LÄN</t>
        </is>
      </c>
      <c r="E363" t="inlineStr">
        <is>
          <t>LEKSAND</t>
        </is>
      </c>
      <c r="G363" t="n">
        <v>1.6</v>
      </c>
      <c r="H363" t="n">
        <v>0</v>
      </c>
      <c r="I363" t="n">
        <v>0</v>
      </c>
      <c r="J363" t="n">
        <v>0</v>
      </c>
      <c r="K363" t="n">
        <v>0</v>
      </c>
      <c r="L363" t="n">
        <v>0</v>
      </c>
      <c r="M363" t="n">
        <v>0</v>
      </c>
      <c r="N363" t="n">
        <v>0</v>
      </c>
      <c r="O363" t="n">
        <v>0</v>
      </c>
      <c r="P363" t="n">
        <v>0</v>
      </c>
      <c r="Q363" t="n">
        <v>0</v>
      </c>
      <c r="R363" s="2" t="inlineStr"/>
    </row>
    <row r="364" ht="15" customHeight="1">
      <c r="A364" t="inlineStr">
        <is>
          <t>A 33463-2023</t>
        </is>
      </c>
      <c r="B364" s="1" t="n">
        <v>45131</v>
      </c>
      <c r="C364" s="1" t="n">
        <v>45999</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46876-2023</t>
        </is>
      </c>
      <c r="B365" s="1" t="n">
        <v>45200</v>
      </c>
      <c r="C365" s="1" t="n">
        <v>45999</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8755-2023</t>
        </is>
      </c>
      <c r="B366" s="1" t="n">
        <v>44978</v>
      </c>
      <c r="C366" s="1" t="n">
        <v>45999</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59840-2024</t>
        </is>
      </c>
      <c r="B367" s="1" t="n">
        <v>45638</v>
      </c>
      <c r="C367" s="1" t="n">
        <v>45999</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9857-2025</t>
        </is>
      </c>
      <c r="B368" s="1" t="n">
        <v>45716.62609953704</v>
      </c>
      <c r="C368" s="1" t="n">
        <v>45999</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40181-2023</t>
        </is>
      </c>
      <c r="B369" s="1" t="n">
        <v>45169</v>
      </c>
      <c r="C369" s="1" t="n">
        <v>45999</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10967-2023</t>
        </is>
      </c>
      <c r="B370" s="1" t="n">
        <v>44991.58001157407</v>
      </c>
      <c r="C370" s="1" t="n">
        <v>45999</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10974-2023</t>
        </is>
      </c>
      <c r="B371" s="1" t="n">
        <v>44991.59049768518</v>
      </c>
      <c r="C371" s="1" t="n">
        <v>45999</v>
      </c>
      <c r="D371" t="inlineStr">
        <is>
          <t>DALARNAS LÄN</t>
        </is>
      </c>
      <c r="E371" t="inlineStr">
        <is>
          <t>LEKSAND</t>
        </is>
      </c>
      <c r="G371" t="n">
        <v>0.3</v>
      </c>
      <c r="H371" t="n">
        <v>0</v>
      </c>
      <c r="I371" t="n">
        <v>0</v>
      </c>
      <c r="J371" t="n">
        <v>0</v>
      </c>
      <c r="K371" t="n">
        <v>0</v>
      </c>
      <c r="L371" t="n">
        <v>0</v>
      </c>
      <c r="M371" t="n">
        <v>0</v>
      </c>
      <c r="N371" t="n">
        <v>0</v>
      </c>
      <c r="O371" t="n">
        <v>0</v>
      </c>
      <c r="P371" t="n">
        <v>0</v>
      </c>
      <c r="Q371" t="n">
        <v>0</v>
      </c>
      <c r="R371" s="2" t="inlineStr"/>
    </row>
    <row r="372" ht="15" customHeight="1">
      <c r="A372" t="inlineStr">
        <is>
          <t>A 55516-2024</t>
        </is>
      </c>
      <c r="B372" s="1" t="n">
        <v>45621</v>
      </c>
      <c r="C372" s="1" t="n">
        <v>45999</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30858-2024</t>
        </is>
      </c>
      <c r="B373" s="1" t="n">
        <v>45497.67601851852</v>
      </c>
      <c r="C373" s="1" t="n">
        <v>45999</v>
      </c>
      <c r="D373" t="inlineStr">
        <is>
          <t>DALARNAS LÄN</t>
        </is>
      </c>
      <c r="E373" t="inlineStr">
        <is>
          <t>LEKSAND</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1267-2025</t>
        </is>
      </c>
      <c r="B374" s="1" t="n">
        <v>45667</v>
      </c>
      <c r="C374" s="1" t="n">
        <v>45999</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42230-2023</t>
        </is>
      </c>
      <c r="B375" s="1" t="n">
        <v>45180</v>
      </c>
      <c r="C375" s="1" t="n">
        <v>45999</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3183-2025</t>
        </is>
      </c>
      <c r="B376" s="1" t="n">
        <v>45679.40298611111</v>
      </c>
      <c r="C376" s="1" t="n">
        <v>45999</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59751-2024</t>
        </is>
      </c>
      <c r="B377" s="1" t="n">
        <v>45638</v>
      </c>
      <c r="C377" s="1" t="n">
        <v>45999</v>
      </c>
      <c r="D377" t="inlineStr">
        <is>
          <t>DALARNAS LÄN</t>
        </is>
      </c>
      <c r="E377" t="inlineStr">
        <is>
          <t>LEKSAND</t>
        </is>
      </c>
      <c r="G377" t="n">
        <v>5.2</v>
      </c>
      <c r="H377" t="n">
        <v>0</v>
      </c>
      <c r="I377" t="n">
        <v>0</v>
      </c>
      <c r="J377" t="n">
        <v>0</v>
      </c>
      <c r="K377" t="n">
        <v>0</v>
      </c>
      <c r="L377" t="n">
        <v>0</v>
      </c>
      <c r="M377" t="n">
        <v>0</v>
      </c>
      <c r="N377" t="n">
        <v>0</v>
      </c>
      <c r="O377" t="n">
        <v>0</v>
      </c>
      <c r="P377" t="n">
        <v>0</v>
      </c>
      <c r="Q377" t="n">
        <v>0</v>
      </c>
      <c r="R377" s="2" t="inlineStr"/>
    </row>
    <row r="378" ht="15" customHeight="1">
      <c r="A378" t="inlineStr">
        <is>
          <t>A 11015-2022</t>
        </is>
      </c>
      <c r="B378" s="1" t="n">
        <v>44628.52340277778</v>
      </c>
      <c r="C378" s="1" t="n">
        <v>45999</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12582-2025</t>
        </is>
      </c>
      <c r="B379" s="1" t="n">
        <v>45732.62988425926</v>
      </c>
      <c r="C379" s="1" t="n">
        <v>45999</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1182-2025</t>
        </is>
      </c>
      <c r="B380" s="1" t="n">
        <v>45667.35712962963</v>
      </c>
      <c r="C380" s="1" t="n">
        <v>45999</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1519-2024</t>
        </is>
      </c>
      <c r="B381" s="1" t="n">
        <v>45306</v>
      </c>
      <c r="C381" s="1" t="n">
        <v>45999</v>
      </c>
      <c r="D381" t="inlineStr">
        <is>
          <t>DALARNAS LÄN</t>
        </is>
      </c>
      <c r="E381" t="inlineStr">
        <is>
          <t>LEKSAND</t>
        </is>
      </c>
      <c r="G381" t="n">
        <v>3.3</v>
      </c>
      <c r="H381" t="n">
        <v>0</v>
      </c>
      <c r="I381" t="n">
        <v>0</v>
      </c>
      <c r="J381" t="n">
        <v>0</v>
      </c>
      <c r="K381" t="n">
        <v>0</v>
      </c>
      <c r="L381" t="n">
        <v>0</v>
      </c>
      <c r="M381" t="n">
        <v>0</v>
      </c>
      <c r="N381" t="n">
        <v>0</v>
      </c>
      <c r="O381" t="n">
        <v>0</v>
      </c>
      <c r="P381" t="n">
        <v>0</v>
      </c>
      <c r="Q381" t="n">
        <v>0</v>
      </c>
      <c r="R381" s="2" t="inlineStr"/>
    </row>
    <row r="382" ht="15" customHeight="1">
      <c r="A382" t="inlineStr">
        <is>
          <t>A 40627-2023</t>
        </is>
      </c>
      <c r="B382" s="1" t="n">
        <v>45170</v>
      </c>
      <c r="C382" s="1" t="n">
        <v>45999</v>
      </c>
      <c r="D382" t="inlineStr">
        <is>
          <t>DALARNAS LÄN</t>
        </is>
      </c>
      <c r="E382" t="inlineStr">
        <is>
          <t>LEKSAND</t>
        </is>
      </c>
      <c r="F382" t="inlineStr">
        <is>
          <t>Bergvik skog väst AB</t>
        </is>
      </c>
      <c r="G382" t="n">
        <v>3.3</v>
      </c>
      <c r="H382" t="n">
        <v>0</v>
      </c>
      <c r="I382" t="n">
        <v>0</v>
      </c>
      <c r="J382" t="n">
        <v>0</v>
      </c>
      <c r="K382" t="n">
        <v>0</v>
      </c>
      <c r="L382" t="n">
        <v>0</v>
      </c>
      <c r="M382" t="n">
        <v>0</v>
      </c>
      <c r="N382" t="n">
        <v>0</v>
      </c>
      <c r="O382" t="n">
        <v>0</v>
      </c>
      <c r="P382" t="n">
        <v>0</v>
      </c>
      <c r="Q382" t="n">
        <v>0</v>
      </c>
      <c r="R382" s="2" t="inlineStr"/>
    </row>
    <row r="383" ht="15" customHeight="1">
      <c r="A383" t="inlineStr">
        <is>
          <t>A 54917-2024</t>
        </is>
      </c>
      <c r="B383" s="1" t="n">
        <v>45618.69581018519</v>
      </c>
      <c r="C383" s="1" t="n">
        <v>45999</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19700-2025</t>
        </is>
      </c>
      <c r="B384" s="1" t="n">
        <v>45771.32445601852</v>
      </c>
      <c r="C384" s="1" t="n">
        <v>45999</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71817-2021</t>
        </is>
      </c>
      <c r="B385" s="1" t="n">
        <v>44543.59780092593</v>
      </c>
      <c r="C385" s="1" t="n">
        <v>45999</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32-2024</t>
        </is>
      </c>
      <c r="B386" s="1" t="n">
        <v>45293</v>
      </c>
      <c r="C386" s="1" t="n">
        <v>45999</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8045-2024</t>
        </is>
      </c>
      <c r="B387" s="1" t="n">
        <v>45351.31371527778</v>
      </c>
      <c r="C387" s="1" t="n">
        <v>45999</v>
      </c>
      <c r="D387" t="inlineStr">
        <is>
          <t>DALARNAS LÄN</t>
        </is>
      </c>
      <c r="E387" t="inlineStr">
        <is>
          <t>LEKSAND</t>
        </is>
      </c>
      <c r="G387" t="n">
        <v>6.7</v>
      </c>
      <c r="H387" t="n">
        <v>0</v>
      </c>
      <c r="I387" t="n">
        <v>0</v>
      </c>
      <c r="J387" t="n">
        <v>0</v>
      </c>
      <c r="K387" t="n">
        <v>0</v>
      </c>
      <c r="L387" t="n">
        <v>0</v>
      </c>
      <c r="M387" t="n">
        <v>0</v>
      </c>
      <c r="N387" t="n">
        <v>0</v>
      </c>
      <c r="O387" t="n">
        <v>0</v>
      </c>
      <c r="P387" t="n">
        <v>0</v>
      </c>
      <c r="Q387" t="n">
        <v>0</v>
      </c>
      <c r="R387" s="2" t="inlineStr"/>
    </row>
    <row r="388" ht="15" customHeight="1">
      <c r="A388" t="inlineStr">
        <is>
          <t>A 36932-2023</t>
        </is>
      </c>
      <c r="B388" s="1" t="n">
        <v>45154</v>
      </c>
      <c r="C388" s="1" t="n">
        <v>45999</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776-2021</t>
        </is>
      </c>
      <c r="B389" s="1" t="n">
        <v>44203</v>
      </c>
      <c r="C389" s="1" t="n">
        <v>45999</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57013-2023</t>
        </is>
      </c>
      <c r="B390" s="1" t="n">
        <v>45244</v>
      </c>
      <c r="C390" s="1" t="n">
        <v>45999</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21916-2025</t>
        </is>
      </c>
      <c r="B391" s="1" t="n">
        <v>45784.50115740741</v>
      </c>
      <c r="C391" s="1" t="n">
        <v>45999</v>
      </c>
      <c r="D391" t="inlineStr">
        <is>
          <t>DALARNAS LÄN</t>
        </is>
      </c>
      <c r="E391" t="inlineStr">
        <is>
          <t>LEKSAND</t>
        </is>
      </c>
      <c r="G391" t="n">
        <v>2.6</v>
      </c>
      <c r="H391" t="n">
        <v>0</v>
      </c>
      <c r="I391" t="n">
        <v>0</v>
      </c>
      <c r="J391" t="n">
        <v>0</v>
      </c>
      <c r="K391" t="n">
        <v>0</v>
      </c>
      <c r="L391" t="n">
        <v>0</v>
      </c>
      <c r="M391" t="n">
        <v>0</v>
      </c>
      <c r="N391" t="n">
        <v>0</v>
      </c>
      <c r="O391" t="n">
        <v>0</v>
      </c>
      <c r="P391" t="n">
        <v>0</v>
      </c>
      <c r="Q391" t="n">
        <v>0</v>
      </c>
      <c r="R391" s="2" t="inlineStr"/>
    </row>
    <row r="392" ht="15" customHeight="1">
      <c r="A392" t="inlineStr">
        <is>
          <t>A 14967-2023</t>
        </is>
      </c>
      <c r="B392" s="1" t="n">
        <v>45015</v>
      </c>
      <c r="C392" s="1" t="n">
        <v>45999</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23663-2024</t>
        </is>
      </c>
      <c r="B393" s="1" t="n">
        <v>45454.57049768518</v>
      </c>
      <c r="C393" s="1" t="n">
        <v>45999</v>
      </c>
      <c r="D393" t="inlineStr">
        <is>
          <t>DALARNAS LÄN</t>
        </is>
      </c>
      <c r="E393" t="inlineStr">
        <is>
          <t>LEKSAND</t>
        </is>
      </c>
      <c r="G393" t="n">
        <v>2.5</v>
      </c>
      <c r="H393" t="n">
        <v>0</v>
      </c>
      <c r="I393" t="n">
        <v>0</v>
      </c>
      <c r="J393" t="n">
        <v>0</v>
      </c>
      <c r="K393" t="n">
        <v>0</v>
      </c>
      <c r="L393" t="n">
        <v>0</v>
      </c>
      <c r="M393" t="n">
        <v>0</v>
      </c>
      <c r="N393" t="n">
        <v>0</v>
      </c>
      <c r="O393" t="n">
        <v>0</v>
      </c>
      <c r="P393" t="n">
        <v>0</v>
      </c>
      <c r="Q393" t="n">
        <v>0</v>
      </c>
      <c r="R393" s="2" t="inlineStr"/>
    </row>
    <row r="394" ht="15" customHeight="1">
      <c r="A394" t="inlineStr">
        <is>
          <t>A 33180-2024</t>
        </is>
      </c>
      <c r="B394" s="1" t="n">
        <v>45518.44481481481</v>
      </c>
      <c r="C394" s="1" t="n">
        <v>45999</v>
      </c>
      <c r="D394" t="inlineStr">
        <is>
          <t>DALARNAS LÄN</t>
        </is>
      </c>
      <c r="E394" t="inlineStr">
        <is>
          <t>LEKSAND</t>
        </is>
      </c>
      <c r="G394" t="n">
        <v>7.6</v>
      </c>
      <c r="H394" t="n">
        <v>0</v>
      </c>
      <c r="I394" t="n">
        <v>0</v>
      </c>
      <c r="J394" t="n">
        <v>0</v>
      </c>
      <c r="K394" t="n">
        <v>0</v>
      </c>
      <c r="L394" t="n">
        <v>0</v>
      </c>
      <c r="M394" t="n">
        <v>0</v>
      </c>
      <c r="N394" t="n">
        <v>0</v>
      </c>
      <c r="O394" t="n">
        <v>0</v>
      </c>
      <c r="P394" t="n">
        <v>0</v>
      </c>
      <c r="Q394" t="n">
        <v>0</v>
      </c>
      <c r="R394" s="2" t="inlineStr"/>
    </row>
    <row r="395" ht="15" customHeight="1">
      <c r="A395" t="inlineStr">
        <is>
          <t>A 37832-2023</t>
        </is>
      </c>
      <c r="B395" s="1" t="n">
        <v>45160.3479050926</v>
      </c>
      <c r="C395" s="1" t="n">
        <v>45999</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60715-2022</t>
        </is>
      </c>
      <c r="B396" s="1" t="n">
        <v>44912</v>
      </c>
      <c r="C396" s="1" t="n">
        <v>45999</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11092-2023</t>
        </is>
      </c>
      <c r="B397" s="1" t="n">
        <v>44992</v>
      </c>
      <c r="C397" s="1" t="n">
        <v>45999</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15882-2023</t>
        </is>
      </c>
      <c r="B398" s="1" t="n">
        <v>45022</v>
      </c>
      <c r="C398" s="1" t="n">
        <v>45999</v>
      </c>
      <c r="D398" t="inlineStr">
        <is>
          <t>DALARNAS LÄN</t>
        </is>
      </c>
      <c r="E398" t="inlineStr">
        <is>
          <t>LEKSAND</t>
        </is>
      </c>
      <c r="G398" t="n">
        <v>0.1</v>
      </c>
      <c r="H398" t="n">
        <v>0</v>
      </c>
      <c r="I398" t="n">
        <v>0</v>
      </c>
      <c r="J398" t="n">
        <v>0</v>
      </c>
      <c r="K398" t="n">
        <v>0</v>
      </c>
      <c r="L398" t="n">
        <v>0</v>
      </c>
      <c r="M398" t="n">
        <v>0</v>
      </c>
      <c r="N398" t="n">
        <v>0</v>
      </c>
      <c r="O398" t="n">
        <v>0</v>
      </c>
      <c r="P398" t="n">
        <v>0</v>
      </c>
      <c r="Q398" t="n">
        <v>0</v>
      </c>
      <c r="R398" s="2" t="inlineStr"/>
    </row>
    <row r="399" ht="15" customHeight="1">
      <c r="A399" t="inlineStr">
        <is>
          <t>A 1443-2024</t>
        </is>
      </c>
      <c r="B399" s="1" t="n">
        <v>45303</v>
      </c>
      <c r="C399" s="1" t="n">
        <v>45999</v>
      </c>
      <c r="D399" t="inlineStr">
        <is>
          <t>DALARNAS LÄN</t>
        </is>
      </c>
      <c r="E399" t="inlineStr">
        <is>
          <t>LEKSAND</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1457-2024</t>
        </is>
      </c>
      <c r="B400" s="1" t="n">
        <v>45303</v>
      </c>
      <c r="C400" s="1" t="n">
        <v>45999</v>
      </c>
      <c r="D400" t="inlineStr">
        <is>
          <t>DALARNAS LÄN</t>
        </is>
      </c>
      <c r="E400" t="inlineStr">
        <is>
          <t>LEKSAND</t>
        </is>
      </c>
      <c r="G400" t="n">
        <v>4.4</v>
      </c>
      <c r="H400" t="n">
        <v>0</v>
      </c>
      <c r="I400" t="n">
        <v>0</v>
      </c>
      <c r="J400" t="n">
        <v>0</v>
      </c>
      <c r="K400" t="n">
        <v>0</v>
      </c>
      <c r="L400" t="n">
        <v>0</v>
      </c>
      <c r="M400" t="n">
        <v>0</v>
      </c>
      <c r="N400" t="n">
        <v>0</v>
      </c>
      <c r="O400" t="n">
        <v>0</v>
      </c>
      <c r="P400" t="n">
        <v>0</v>
      </c>
      <c r="Q400" t="n">
        <v>0</v>
      </c>
      <c r="R400" s="2" t="inlineStr"/>
    </row>
    <row r="401" ht="15" customHeight="1">
      <c r="A401" t="inlineStr">
        <is>
          <t>A 1215-2024</t>
        </is>
      </c>
      <c r="B401" s="1" t="n">
        <v>45302</v>
      </c>
      <c r="C401" s="1" t="n">
        <v>45999</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53464-2024</t>
        </is>
      </c>
      <c r="B402" s="1" t="n">
        <v>45611</v>
      </c>
      <c r="C402" s="1" t="n">
        <v>45999</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56330-2022</t>
        </is>
      </c>
      <c r="B403" s="1" t="n">
        <v>44890.62630787037</v>
      </c>
      <c r="C403" s="1" t="n">
        <v>45999</v>
      </c>
      <c r="D403" t="inlineStr">
        <is>
          <t>DALARNAS LÄN</t>
        </is>
      </c>
      <c r="E403" t="inlineStr">
        <is>
          <t>LEKSAND</t>
        </is>
      </c>
      <c r="G403" t="n">
        <v>4.9</v>
      </c>
      <c r="H403" t="n">
        <v>0</v>
      </c>
      <c r="I403" t="n">
        <v>0</v>
      </c>
      <c r="J403" t="n">
        <v>0</v>
      </c>
      <c r="K403" t="n">
        <v>0</v>
      </c>
      <c r="L403" t="n">
        <v>0</v>
      </c>
      <c r="M403" t="n">
        <v>0</v>
      </c>
      <c r="N403" t="n">
        <v>0</v>
      </c>
      <c r="O403" t="n">
        <v>0</v>
      </c>
      <c r="P403" t="n">
        <v>0</v>
      </c>
      <c r="Q403" t="n">
        <v>0</v>
      </c>
      <c r="R403" s="2" t="inlineStr"/>
    </row>
    <row r="404" ht="15" customHeight="1">
      <c r="A404" t="inlineStr">
        <is>
          <t>A 2140-2024</t>
        </is>
      </c>
      <c r="B404" s="1" t="n">
        <v>45309</v>
      </c>
      <c r="C404" s="1" t="n">
        <v>45999</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18040-2024</t>
        </is>
      </c>
      <c r="B405" s="1" t="n">
        <v>45420.36664351852</v>
      </c>
      <c r="C405" s="1" t="n">
        <v>45999</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2694-2025</t>
        </is>
      </c>
      <c r="B406" s="1" t="n">
        <v>45677.38246527778</v>
      </c>
      <c r="C406" s="1" t="n">
        <v>45999</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18176-2024</t>
        </is>
      </c>
      <c r="B407" s="1" t="n">
        <v>45420.63901620371</v>
      </c>
      <c r="C407" s="1" t="n">
        <v>45999</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55268-2024</t>
        </is>
      </c>
      <c r="B408" s="1" t="n">
        <v>45621.61266203703</v>
      </c>
      <c r="C408" s="1" t="n">
        <v>45999</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28032-2024</t>
        </is>
      </c>
      <c r="B409" s="1" t="n">
        <v>45476.49346064815</v>
      </c>
      <c r="C409" s="1" t="n">
        <v>45999</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19550-2023</t>
        </is>
      </c>
      <c r="B410" s="1" t="n">
        <v>45049</v>
      </c>
      <c r="C410" s="1" t="n">
        <v>45999</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6778-2025</t>
        </is>
      </c>
      <c r="B411" s="1" t="n">
        <v>45700.64615740741</v>
      </c>
      <c r="C411" s="1" t="n">
        <v>45999</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62130-2024</t>
        </is>
      </c>
      <c r="B412" s="1" t="n">
        <v>45656.61827546296</v>
      </c>
      <c r="C412" s="1" t="n">
        <v>45999</v>
      </c>
      <c r="D412" t="inlineStr">
        <is>
          <t>DALARNAS LÄN</t>
        </is>
      </c>
      <c r="E412" t="inlineStr">
        <is>
          <t>LEKSAND</t>
        </is>
      </c>
      <c r="G412" t="n">
        <v>11.4</v>
      </c>
      <c r="H412" t="n">
        <v>0</v>
      </c>
      <c r="I412" t="n">
        <v>0</v>
      </c>
      <c r="J412" t="n">
        <v>0</v>
      </c>
      <c r="K412" t="n">
        <v>0</v>
      </c>
      <c r="L412" t="n">
        <v>0</v>
      </c>
      <c r="M412" t="n">
        <v>0</v>
      </c>
      <c r="N412" t="n">
        <v>0</v>
      </c>
      <c r="O412" t="n">
        <v>0</v>
      </c>
      <c r="P412" t="n">
        <v>0</v>
      </c>
      <c r="Q412" t="n">
        <v>0</v>
      </c>
      <c r="R412" s="2" t="inlineStr"/>
    </row>
    <row r="413" ht="15" customHeight="1">
      <c r="A413" t="inlineStr">
        <is>
          <t>A 30998-2023</t>
        </is>
      </c>
      <c r="B413" s="1" t="n">
        <v>45113.54193287037</v>
      </c>
      <c r="C413" s="1" t="n">
        <v>45999</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6519-2025</t>
        </is>
      </c>
      <c r="B414" s="1" t="n">
        <v>45699</v>
      </c>
      <c r="C414" s="1" t="n">
        <v>45999</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9143-2023</t>
        </is>
      </c>
      <c r="B415" s="1" t="n">
        <v>44974</v>
      </c>
      <c r="C415" s="1" t="n">
        <v>45999</v>
      </c>
      <c r="D415" t="inlineStr">
        <is>
          <t>DALARNAS LÄN</t>
        </is>
      </c>
      <c r="E415" t="inlineStr">
        <is>
          <t>LEKSAND</t>
        </is>
      </c>
      <c r="G415" t="n">
        <v>4.3</v>
      </c>
      <c r="H415" t="n">
        <v>0</v>
      </c>
      <c r="I415" t="n">
        <v>0</v>
      </c>
      <c r="J415" t="n">
        <v>0</v>
      </c>
      <c r="K415" t="n">
        <v>0</v>
      </c>
      <c r="L415" t="n">
        <v>0</v>
      </c>
      <c r="M415" t="n">
        <v>0</v>
      </c>
      <c r="N415" t="n">
        <v>0</v>
      </c>
      <c r="O415" t="n">
        <v>0</v>
      </c>
      <c r="P415" t="n">
        <v>0</v>
      </c>
      <c r="Q415" t="n">
        <v>0</v>
      </c>
      <c r="R415" s="2" t="inlineStr"/>
    </row>
    <row r="416" ht="15" customHeight="1">
      <c r="A416" t="inlineStr">
        <is>
          <t>A 43419-2024</t>
        </is>
      </c>
      <c r="B416" s="1" t="n">
        <v>45568</v>
      </c>
      <c r="C416" s="1" t="n">
        <v>45999</v>
      </c>
      <c r="D416" t="inlineStr">
        <is>
          <t>DALARNAS LÄN</t>
        </is>
      </c>
      <c r="E416" t="inlineStr">
        <is>
          <t>LEKSAND</t>
        </is>
      </c>
      <c r="G416" t="n">
        <v>0.4</v>
      </c>
      <c r="H416" t="n">
        <v>0</v>
      </c>
      <c r="I416" t="n">
        <v>0</v>
      </c>
      <c r="J416" t="n">
        <v>0</v>
      </c>
      <c r="K416" t="n">
        <v>0</v>
      </c>
      <c r="L416" t="n">
        <v>0</v>
      </c>
      <c r="M416" t="n">
        <v>0</v>
      </c>
      <c r="N416" t="n">
        <v>0</v>
      </c>
      <c r="O416" t="n">
        <v>0</v>
      </c>
      <c r="P416" t="n">
        <v>0</v>
      </c>
      <c r="Q416" t="n">
        <v>0</v>
      </c>
      <c r="R416" s="2" t="inlineStr"/>
    </row>
    <row r="417" ht="15" customHeight="1">
      <c r="A417" t="inlineStr">
        <is>
          <t>A 33593-2024</t>
        </is>
      </c>
      <c r="B417" s="1" t="n">
        <v>45520.36055555556</v>
      </c>
      <c r="C417" s="1" t="n">
        <v>45999</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39595-2023</t>
        </is>
      </c>
      <c r="B418" s="1" t="n">
        <v>45167</v>
      </c>
      <c r="C418" s="1" t="n">
        <v>45999</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36262-2023</t>
        </is>
      </c>
      <c r="B419" s="1" t="n">
        <v>45151.9096875</v>
      </c>
      <c r="C419" s="1" t="n">
        <v>45999</v>
      </c>
      <c r="D419" t="inlineStr">
        <is>
          <t>DALARNAS LÄN</t>
        </is>
      </c>
      <c r="E419" t="inlineStr">
        <is>
          <t>LEKSAND</t>
        </is>
      </c>
      <c r="G419" t="n">
        <v>1.2</v>
      </c>
      <c r="H419" t="n">
        <v>0</v>
      </c>
      <c r="I419" t="n">
        <v>0</v>
      </c>
      <c r="J419" t="n">
        <v>0</v>
      </c>
      <c r="K419" t="n">
        <v>0</v>
      </c>
      <c r="L419" t="n">
        <v>0</v>
      </c>
      <c r="M419" t="n">
        <v>0</v>
      </c>
      <c r="N419" t="n">
        <v>0</v>
      </c>
      <c r="O419" t="n">
        <v>0</v>
      </c>
      <c r="P419" t="n">
        <v>0</v>
      </c>
      <c r="Q419" t="n">
        <v>0</v>
      </c>
      <c r="R419" s="2" t="inlineStr"/>
    </row>
    <row r="420" ht="15" customHeight="1">
      <c r="A420" t="inlineStr">
        <is>
          <t>A 60095-2022</t>
        </is>
      </c>
      <c r="B420" s="1" t="n">
        <v>44909</v>
      </c>
      <c r="C420" s="1" t="n">
        <v>45999</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38117-2023</t>
        </is>
      </c>
      <c r="B421" s="1" t="n">
        <v>45161</v>
      </c>
      <c r="C421" s="1" t="n">
        <v>45999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45999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24481-2024</t>
        </is>
      </c>
      <c r="B423" s="1" t="n">
        <v>45459.36460648148</v>
      </c>
      <c r="C423" s="1" t="n">
        <v>45999</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17606-2024</t>
        </is>
      </c>
      <c r="B424" s="1" t="n">
        <v>45415</v>
      </c>
      <c r="C424" s="1" t="n">
        <v>45999</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45999</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39558-2023</t>
        </is>
      </c>
      <c r="B426" s="1" t="n">
        <v>45167.38664351852</v>
      </c>
      <c r="C426" s="1" t="n">
        <v>45999</v>
      </c>
      <c r="D426" t="inlineStr">
        <is>
          <t>DALARNAS LÄN</t>
        </is>
      </c>
      <c r="E426" t="inlineStr">
        <is>
          <t>LEKSAND</t>
        </is>
      </c>
      <c r="G426" t="n">
        <v>39.9</v>
      </c>
      <c r="H426" t="n">
        <v>0</v>
      </c>
      <c r="I426" t="n">
        <v>0</v>
      </c>
      <c r="J426" t="n">
        <v>0</v>
      </c>
      <c r="K426" t="n">
        <v>0</v>
      </c>
      <c r="L426" t="n">
        <v>0</v>
      </c>
      <c r="M426" t="n">
        <v>0</v>
      </c>
      <c r="N426" t="n">
        <v>0</v>
      </c>
      <c r="O426" t="n">
        <v>0</v>
      </c>
      <c r="P426" t="n">
        <v>0</v>
      </c>
      <c r="Q426" t="n">
        <v>0</v>
      </c>
      <c r="R426" s="2" t="inlineStr"/>
    </row>
    <row r="427" ht="15" customHeight="1">
      <c r="A427" t="inlineStr">
        <is>
          <t>A 43222-2024</t>
        </is>
      </c>
      <c r="B427" s="1" t="n">
        <v>45567.87177083334</v>
      </c>
      <c r="C427" s="1" t="n">
        <v>45999</v>
      </c>
      <c r="D427" t="inlineStr">
        <is>
          <t>DALARNAS LÄN</t>
        </is>
      </c>
      <c r="E427" t="inlineStr">
        <is>
          <t>LEKSAND</t>
        </is>
      </c>
      <c r="F427" t="inlineStr">
        <is>
          <t>Bergvik skog väst AB</t>
        </is>
      </c>
      <c r="G427" t="n">
        <v>8.6</v>
      </c>
      <c r="H427" t="n">
        <v>0</v>
      </c>
      <c r="I427" t="n">
        <v>0</v>
      </c>
      <c r="J427" t="n">
        <v>0</v>
      </c>
      <c r="K427" t="n">
        <v>0</v>
      </c>
      <c r="L427" t="n">
        <v>0</v>
      </c>
      <c r="M427" t="n">
        <v>0</v>
      </c>
      <c r="N427" t="n">
        <v>0</v>
      </c>
      <c r="O427" t="n">
        <v>0</v>
      </c>
      <c r="P427" t="n">
        <v>0</v>
      </c>
      <c r="Q427" t="n">
        <v>0</v>
      </c>
      <c r="R427" s="2" t="inlineStr"/>
    </row>
    <row r="428" ht="15" customHeight="1">
      <c r="A428" t="inlineStr">
        <is>
          <t>A 43231-2024</t>
        </is>
      </c>
      <c r="B428" s="1" t="n">
        <v>45567.89709490741</v>
      </c>
      <c r="C428" s="1" t="n">
        <v>45999</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61054-2023</t>
        </is>
      </c>
      <c r="B429" s="1" t="n">
        <v>45261</v>
      </c>
      <c r="C429" s="1" t="n">
        <v>45999</v>
      </c>
      <c r="D429" t="inlineStr">
        <is>
          <t>DALARNAS LÄN</t>
        </is>
      </c>
      <c r="E429" t="inlineStr">
        <is>
          <t>LEKSAND</t>
        </is>
      </c>
      <c r="G429" t="n">
        <v>0.4</v>
      </c>
      <c r="H429" t="n">
        <v>0</v>
      </c>
      <c r="I429" t="n">
        <v>0</v>
      </c>
      <c r="J429" t="n">
        <v>0</v>
      </c>
      <c r="K429" t="n">
        <v>0</v>
      </c>
      <c r="L429" t="n">
        <v>0</v>
      </c>
      <c r="M429" t="n">
        <v>0</v>
      </c>
      <c r="N429" t="n">
        <v>0</v>
      </c>
      <c r="O429" t="n">
        <v>0</v>
      </c>
      <c r="P429" t="n">
        <v>0</v>
      </c>
      <c r="Q429" t="n">
        <v>0</v>
      </c>
      <c r="R429" s="2" t="inlineStr"/>
    </row>
    <row r="430" ht="15" customHeight="1">
      <c r="A430" t="inlineStr">
        <is>
          <t>A 61056-2023</t>
        </is>
      </c>
      <c r="B430" s="1" t="n">
        <v>45261</v>
      </c>
      <c r="C430" s="1" t="n">
        <v>45999</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53122-2023</t>
        </is>
      </c>
      <c r="B431" s="1" t="n">
        <v>45228</v>
      </c>
      <c r="C431" s="1" t="n">
        <v>45999</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64516-2023</t>
        </is>
      </c>
      <c r="B432" s="1" t="n">
        <v>45280</v>
      </c>
      <c r="C432" s="1" t="n">
        <v>45999</v>
      </c>
      <c r="D432" t="inlineStr">
        <is>
          <t>DALARNAS LÄN</t>
        </is>
      </c>
      <c r="E432" t="inlineStr">
        <is>
          <t>LEKSAND</t>
        </is>
      </c>
      <c r="G432" t="n">
        <v>4.4</v>
      </c>
      <c r="H432" t="n">
        <v>0</v>
      </c>
      <c r="I432" t="n">
        <v>0</v>
      </c>
      <c r="J432" t="n">
        <v>0</v>
      </c>
      <c r="K432" t="n">
        <v>0</v>
      </c>
      <c r="L432" t="n">
        <v>0</v>
      </c>
      <c r="M432" t="n">
        <v>0</v>
      </c>
      <c r="N432" t="n">
        <v>0</v>
      </c>
      <c r="O432" t="n">
        <v>0</v>
      </c>
      <c r="P432" t="n">
        <v>0</v>
      </c>
      <c r="Q432" t="n">
        <v>0</v>
      </c>
      <c r="R432" s="2" t="inlineStr"/>
    </row>
    <row r="433" ht="15" customHeight="1">
      <c r="A433" t="inlineStr">
        <is>
          <t>A 62307-2023</t>
        </is>
      </c>
      <c r="B433" s="1" t="n">
        <v>45266</v>
      </c>
      <c r="C433" s="1" t="n">
        <v>45999</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61554-2024</t>
        </is>
      </c>
      <c r="B434" s="1" t="n">
        <v>45646.60748842593</v>
      </c>
      <c r="C434" s="1" t="n">
        <v>45999</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36534-2024</t>
        </is>
      </c>
      <c r="B435" s="1" t="n">
        <v>45537.45143518518</v>
      </c>
      <c r="C435" s="1" t="n">
        <v>45999</v>
      </c>
      <c r="D435" t="inlineStr">
        <is>
          <t>DALARNAS LÄN</t>
        </is>
      </c>
      <c r="E435" t="inlineStr">
        <is>
          <t>LEKSAND</t>
        </is>
      </c>
      <c r="G435" t="n">
        <v>4</v>
      </c>
      <c r="H435" t="n">
        <v>0</v>
      </c>
      <c r="I435" t="n">
        <v>0</v>
      </c>
      <c r="J435" t="n">
        <v>0</v>
      </c>
      <c r="K435" t="n">
        <v>0</v>
      </c>
      <c r="L435" t="n">
        <v>0</v>
      </c>
      <c r="M435" t="n">
        <v>0</v>
      </c>
      <c r="N435" t="n">
        <v>0</v>
      </c>
      <c r="O435" t="n">
        <v>0</v>
      </c>
      <c r="P435" t="n">
        <v>0</v>
      </c>
      <c r="Q435" t="n">
        <v>0</v>
      </c>
      <c r="R435" s="2" t="inlineStr"/>
    </row>
    <row r="436" ht="15" customHeight="1">
      <c r="A436" t="inlineStr">
        <is>
          <t>A 53799-2023</t>
        </is>
      </c>
      <c r="B436" s="1" t="n">
        <v>45231.35564814815</v>
      </c>
      <c r="C436" s="1" t="n">
        <v>45999</v>
      </c>
      <c r="D436" t="inlineStr">
        <is>
          <t>DALARNAS LÄN</t>
        </is>
      </c>
      <c r="E436" t="inlineStr">
        <is>
          <t>LEKSAND</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7894-2025</t>
        </is>
      </c>
      <c r="B437" s="1" t="n">
        <v>45707.30268518518</v>
      </c>
      <c r="C437" s="1" t="n">
        <v>45999</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40193-2024</t>
        </is>
      </c>
      <c r="B438" s="1" t="n">
        <v>45554.5734375</v>
      </c>
      <c r="C438" s="1" t="n">
        <v>45999</v>
      </c>
      <c r="D438" t="inlineStr">
        <is>
          <t>DALARNAS LÄN</t>
        </is>
      </c>
      <c r="E438" t="inlineStr">
        <is>
          <t>LEKSAND</t>
        </is>
      </c>
      <c r="F438" t="inlineStr">
        <is>
          <t>Övriga statliga verk och myndigheter</t>
        </is>
      </c>
      <c r="G438" t="n">
        <v>1</v>
      </c>
      <c r="H438" t="n">
        <v>0</v>
      </c>
      <c r="I438" t="n">
        <v>0</v>
      </c>
      <c r="J438" t="n">
        <v>0</v>
      </c>
      <c r="K438" t="n">
        <v>0</v>
      </c>
      <c r="L438" t="n">
        <v>0</v>
      </c>
      <c r="M438" t="n">
        <v>0</v>
      </c>
      <c r="N438" t="n">
        <v>0</v>
      </c>
      <c r="O438" t="n">
        <v>0</v>
      </c>
      <c r="P438" t="n">
        <v>0</v>
      </c>
      <c r="Q438" t="n">
        <v>0</v>
      </c>
      <c r="R438" s="2" t="inlineStr"/>
    </row>
    <row r="439" ht="15" customHeight="1">
      <c r="A439" t="inlineStr">
        <is>
          <t>A 31728-2024</t>
        </is>
      </c>
      <c r="B439" s="1" t="n">
        <v>45509.34517361111</v>
      </c>
      <c r="C439" s="1" t="n">
        <v>45999</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32394-2024</t>
        </is>
      </c>
      <c r="B440" s="1" t="n">
        <v>45512.64349537037</v>
      </c>
      <c r="C440" s="1" t="n">
        <v>45999</v>
      </c>
      <c r="D440" t="inlineStr">
        <is>
          <t>DALARNAS LÄN</t>
        </is>
      </c>
      <c r="E440" t="inlineStr">
        <is>
          <t>LEKSAND</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43221-2024</t>
        </is>
      </c>
      <c r="B441" s="1" t="n">
        <v>45567.86695601852</v>
      </c>
      <c r="C441" s="1" t="n">
        <v>45999</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58877-2023</t>
        </is>
      </c>
      <c r="B442" s="1" t="n">
        <v>45252</v>
      </c>
      <c r="C442" s="1" t="n">
        <v>45999</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17455-2022</t>
        </is>
      </c>
      <c r="B443" s="1" t="n">
        <v>44679.3775</v>
      </c>
      <c r="C443" s="1" t="n">
        <v>45999</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60040-2023</t>
        </is>
      </c>
      <c r="B444" s="1" t="n">
        <v>45256</v>
      </c>
      <c r="C444" s="1" t="n">
        <v>45999</v>
      </c>
      <c r="D444" t="inlineStr">
        <is>
          <t>DALARNAS LÄN</t>
        </is>
      </c>
      <c r="E444" t="inlineStr">
        <is>
          <t>LEKSAND</t>
        </is>
      </c>
      <c r="G444" t="n">
        <v>0.9</v>
      </c>
      <c r="H444" t="n">
        <v>0</v>
      </c>
      <c r="I444" t="n">
        <v>0</v>
      </c>
      <c r="J444" t="n">
        <v>0</v>
      </c>
      <c r="K444" t="n">
        <v>0</v>
      </c>
      <c r="L444" t="n">
        <v>0</v>
      </c>
      <c r="M444" t="n">
        <v>0</v>
      </c>
      <c r="N444" t="n">
        <v>0</v>
      </c>
      <c r="O444" t="n">
        <v>0</v>
      </c>
      <c r="P444" t="n">
        <v>0</v>
      </c>
      <c r="Q444" t="n">
        <v>0</v>
      </c>
      <c r="R444" s="2" t="inlineStr"/>
    </row>
    <row r="445" ht="15" customHeight="1">
      <c r="A445" t="inlineStr">
        <is>
          <t>A 33306-2023</t>
        </is>
      </c>
      <c r="B445" s="1" t="n">
        <v>45127</v>
      </c>
      <c r="C445" s="1" t="n">
        <v>45999</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33316-2023</t>
        </is>
      </c>
      <c r="B446" s="1" t="n">
        <v>45127</v>
      </c>
      <c r="C446" s="1" t="n">
        <v>45999</v>
      </c>
      <c r="D446" t="inlineStr">
        <is>
          <t>DALARNAS LÄN</t>
        </is>
      </c>
      <c r="E446" t="inlineStr">
        <is>
          <t>LEKSAND</t>
        </is>
      </c>
      <c r="G446" t="n">
        <v>8.9</v>
      </c>
      <c r="H446" t="n">
        <v>0</v>
      </c>
      <c r="I446" t="n">
        <v>0</v>
      </c>
      <c r="J446" t="n">
        <v>0</v>
      </c>
      <c r="K446" t="n">
        <v>0</v>
      </c>
      <c r="L446" t="n">
        <v>0</v>
      </c>
      <c r="M446" t="n">
        <v>0</v>
      </c>
      <c r="N446" t="n">
        <v>0</v>
      </c>
      <c r="O446" t="n">
        <v>0</v>
      </c>
      <c r="P446" t="n">
        <v>0</v>
      </c>
      <c r="Q446" t="n">
        <v>0</v>
      </c>
      <c r="R446" s="2" t="inlineStr"/>
    </row>
    <row r="447" ht="15" customHeight="1">
      <c r="A447" t="inlineStr">
        <is>
          <t>A 21839-2022</t>
        </is>
      </c>
      <c r="B447" s="1" t="n">
        <v>44711</v>
      </c>
      <c r="C447" s="1" t="n">
        <v>45999</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22388-2024</t>
        </is>
      </c>
      <c r="B448" s="1" t="n">
        <v>45446</v>
      </c>
      <c r="C448" s="1" t="n">
        <v>45999</v>
      </c>
      <c r="D448" t="inlineStr">
        <is>
          <t>DALARNAS LÄN</t>
        </is>
      </c>
      <c r="E448" t="inlineStr">
        <is>
          <t>LEKSAND</t>
        </is>
      </c>
      <c r="F448" t="inlineStr">
        <is>
          <t>Bergvik skog väst AB</t>
        </is>
      </c>
      <c r="G448" t="n">
        <v>5.3</v>
      </c>
      <c r="H448" t="n">
        <v>0</v>
      </c>
      <c r="I448" t="n">
        <v>0</v>
      </c>
      <c r="J448" t="n">
        <v>0</v>
      </c>
      <c r="K448" t="n">
        <v>0</v>
      </c>
      <c r="L448" t="n">
        <v>0</v>
      </c>
      <c r="M448" t="n">
        <v>0</v>
      </c>
      <c r="N448" t="n">
        <v>0</v>
      </c>
      <c r="O448" t="n">
        <v>0</v>
      </c>
      <c r="P448" t="n">
        <v>0</v>
      </c>
      <c r="Q448" t="n">
        <v>0</v>
      </c>
      <c r="R448" s="2" t="inlineStr"/>
    </row>
    <row r="449" ht="15" customHeight="1">
      <c r="A449" t="inlineStr">
        <is>
          <t>A 22681-2022</t>
        </is>
      </c>
      <c r="B449" s="1" t="n">
        <v>44714.50961805556</v>
      </c>
      <c r="C449" s="1" t="n">
        <v>45999</v>
      </c>
      <c r="D449" t="inlineStr">
        <is>
          <t>DALARNAS LÄN</t>
        </is>
      </c>
      <c r="E449" t="inlineStr">
        <is>
          <t>LEKSAND</t>
        </is>
      </c>
      <c r="F449" t="inlineStr">
        <is>
          <t>Bergvik skog väst AB</t>
        </is>
      </c>
      <c r="G449" t="n">
        <v>2.8</v>
      </c>
      <c r="H449" t="n">
        <v>0</v>
      </c>
      <c r="I449" t="n">
        <v>0</v>
      </c>
      <c r="J449" t="n">
        <v>0</v>
      </c>
      <c r="K449" t="n">
        <v>0</v>
      </c>
      <c r="L449" t="n">
        <v>0</v>
      </c>
      <c r="M449" t="n">
        <v>0</v>
      </c>
      <c r="N449" t="n">
        <v>0</v>
      </c>
      <c r="O449" t="n">
        <v>0</v>
      </c>
      <c r="P449" t="n">
        <v>0</v>
      </c>
      <c r="Q449" t="n">
        <v>0</v>
      </c>
      <c r="R449" s="2" t="inlineStr"/>
    </row>
    <row r="450" ht="15" customHeight="1">
      <c r="A450" t="inlineStr">
        <is>
          <t>A 15120-2023</t>
        </is>
      </c>
      <c r="B450" s="1" t="n">
        <v>45016.46484953703</v>
      </c>
      <c r="C450" s="1" t="n">
        <v>45999</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30196-2023</t>
        </is>
      </c>
      <c r="B451" s="1" t="n">
        <v>45110</v>
      </c>
      <c r="C451" s="1" t="n">
        <v>45999</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17413-2023</t>
        </is>
      </c>
      <c r="B452" s="1" t="n">
        <v>45035</v>
      </c>
      <c r="C452" s="1" t="n">
        <v>45999</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9138-2023</t>
        </is>
      </c>
      <c r="B453" s="1" t="n">
        <v>44974</v>
      </c>
      <c r="C453" s="1" t="n">
        <v>45999</v>
      </c>
      <c r="D453" t="inlineStr">
        <is>
          <t>DALARNAS LÄN</t>
        </is>
      </c>
      <c r="E453" t="inlineStr">
        <is>
          <t>LEKSAND</t>
        </is>
      </c>
      <c r="G453" t="n">
        <v>4.6</v>
      </c>
      <c r="H453" t="n">
        <v>0</v>
      </c>
      <c r="I453" t="n">
        <v>0</v>
      </c>
      <c r="J453" t="n">
        <v>0</v>
      </c>
      <c r="K453" t="n">
        <v>0</v>
      </c>
      <c r="L453" t="n">
        <v>0</v>
      </c>
      <c r="M453" t="n">
        <v>0</v>
      </c>
      <c r="N453" t="n">
        <v>0</v>
      </c>
      <c r="O453" t="n">
        <v>0</v>
      </c>
      <c r="P453" t="n">
        <v>0</v>
      </c>
      <c r="Q453" t="n">
        <v>0</v>
      </c>
      <c r="R453" s="2" t="inlineStr"/>
    </row>
    <row r="454" ht="15" customHeight="1">
      <c r="A454" t="inlineStr">
        <is>
          <t>A 61680-2024</t>
        </is>
      </c>
      <c r="B454" s="1" t="n">
        <v>45647.42890046296</v>
      </c>
      <c r="C454" s="1" t="n">
        <v>45999</v>
      </c>
      <c r="D454" t="inlineStr">
        <is>
          <t>DALARNAS LÄN</t>
        </is>
      </c>
      <c r="E454" t="inlineStr">
        <is>
          <t>LEKSAND</t>
        </is>
      </c>
      <c r="G454" t="n">
        <v>3.6</v>
      </c>
      <c r="H454" t="n">
        <v>0</v>
      </c>
      <c r="I454" t="n">
        <v>0</v>
      </c>
      <c r="J454" t="n">
        <v>0</v>
      </c>
      <c r="K454" t="n">
        <v>0</v>
      </c>
      <c r="L454" t="n">
        <v>0</v>
      </c>
      <c r="M454" t="n">
        <v>0</v>
      </c>
      <c r="N454" t="n">
        <v>0</v>
      </c>
      <c r="O454" t="n">
        <v>0</v>
      </c>
      <c r="P454" t="n">
        <v>0</v>
      </c>
      <c r="Q454" t="n">
        <v>0</v>
      </c>
      <c r="R454" s="2" t="inlineStr"/>
    </row>
    <row r="455" ht="15" customHeight="1">
      <c r="A455" t="inlineStr">
        <is>
          <t>A 54911-2024</t>
        </is>
      </c>
      <c r="B455" s="1" t="n">
        <v>45618.68929398148</v>
      </c>
      <c r="C455" s="1" t="n">
        <v>45999</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46446-2023</t>
        </is>
      </c>
      <c r="B456" s="1" t="n">
        <v>45197.59344907408</v>
      </c>
      <c r="C456" s="1" t="n">
        <v>45999</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16611-2024</t>
        </is>
      </c>
      <c r="B457" s="1" t="n">
        <v>45408.55504629629</v>
      </c>
      <c r="C457" s="1" t="n">
        <v>45999</v>
      </c>
      <c r="D457" t="inlineStr">
        <is>
          <t>DALARNAS LÄN</t>
        </is>
      </c>
      <c r="E457" t="inlineStr">
        <is>
          <t>LEKSAND</t>
        </is>
      </c>
      <c r="G457" t="n">
        <v>5.9</v>
      </c>
      <c r="H457" t="n">
        <v>0</v>
      </c>
      <c r="I457" t="n">
        <v>0</v>
      </c>
      <c r="J457" t="n">
        <v>0</v>
      </c>
      <c r="K457" t="n">
        <v>0</v>
      </c>
      <c r="L457" t="n">
        <v>0</v>
      </c>
      <c r="M457" t="n">
        <v>0</v>
      </c>
      <c r="N457" t="n">
        <v>0</v>
      </c>
      <c r="O457" t="n">
        <v>0</v>
      </c>
      <c r="P457" t="n">
        <v>0</v>
      </c>
      <c r="Q457" t="n">
        <v>0</v>
      </c>
      <c r="R457" s="2" t="inlineStr"/>
    </row>
    <row r="458" ht="15" customHeight="1">
      <c r="A458" t="inlineStr">
        <is>
          <t>A 5574-2024</t>
        </is>
      </c>
      <c r="B458" s="1" t="n">
        <v>45334</v>
      </c>
      <c r="C458" s="1" t="n">
        <v>45999</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54682-2023</t>
        </is>
      </c>
      <c r="B459" s="1" t="n">
        <v>45235.90439814814</v>
      </c>
      <c r="C459" s="1" t="n">
        <v>45999</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45512-2023</t>
        </is>
      </c>
      <c r="B460" s="1" t="n">
        <v>45194.49178240741</v>
      </c>
      <c r="C460" s="1" t="n">
        <v>45999</v>
      </c>
      <c r="D460" t="inlineStr">
        <is>
          <t>DALARNAS LÄN</t>
        </is>
      </c>
      <c r="E460" t="inlineStr">
        <is>
          <t>LEKSAND</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402-2024</t>
        </is>
      </c>
      <c r="B461" s="1" t="n">
        <v>45296.45545138889</v>
      </c>
      <c r="C461" s="1" t="n">
        <v>45999</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1463-2024</t>
        </is>
      </c>
      <c r="B462" s="1" t="n">
        <v>45303</v>
      </c>
      <c r="C462" s="1" t="n">
        <v>45999</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7778-2025</t>
        </is>
      </c>
      <c r="B463" s="1" t="n">
        <v>45706</v>
      </c>
      <c r="C463" s="1" t="n">
        <v>45999</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34244-2024</t>
        </is>
      </c>
      <c r="B464" s="1" t="n">
        <v>45524.58349537037</v>
      </c>
      <c r="C464" s="1" t="n">
        <v>45999</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19590-2023</t>
        </is>
      </c>
      <c r="B465" s="1" t="n">
        <v>45049</v>
      </c>
      <c r="C465" s="1" t="n">
        <v>45999</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39807-2024</t>
        </is>
      </c>
      <c r="B466" s="1" t="n">
        <v>45553.35763888889</v>
      </c>
      <c r="C466" s="1" t="n">
        <v>45999</v>
      </c>
      <c r="D466" t="inlineStr">
        <is>
          <t>DALARNAS LÄN</t>
        </is>
      </c>
      <c r="E466" t="inlineStr">
        <is>
          <t>LEKSAND</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30000-2023</t>
        </is>
      </c>
      <c r="B467" s="1" t="n">
        <v>45109.71128472222</v>
      </c>
      <c r="C467" s="1" t="n">
        <v>45999</v>
      </c>
      <c r="D467" t="inlineStr">
        <is>
          <t>DALARNAS LÄN</t>
        </is>
      </c>
      <c r="E467" t="inlineStr">
        <is>
          <t>LEKSAND</t>
        </is>
      </c>
      <c r="G467" t="n">
        <v>1.1</v>
      </c>
      <c r="H467" t="n">
        <v>0</v>
      </c>
      <c r="I467" t="n">
        <v>0</v>
      </c>
      <c r="J467" t="n">
        <v>0</v>
      </c>
      <c r="K467" t="n">
        <v>0</v>
      </c>
      <c r="L467" t="n">
        <v>0</v>
      </c>
      <c r="M467" t="n">
        <v>0</v>
      </c>
      <c r="N467" t="n">
        <v>0</v>
      </c>
      <c r="O467" t="n">
        <v>0</v>
      </c>
      <c r="P467" t="n">
        <v>0</v>
      </c>
      <c r="Q467" t="n">
        <v>0</v>
      </c>
      <c r="R467" s="2" t="inlineStr"/>
    </row>
    <row r="468" ht="15" customHeight="1">
      <c r="A468" t="inlineStr">
        <is>
          <t>A 31850-2024</t>
        </is>
      </c>
      <c r="B468" s="1" t="n">
        <v>45509.67334490741</v>
      </c>
      <c r="C468" s="1" t="n">
        <v>45999</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17282-2025</t>
        </is>
      </c>
      <c r="B469" s="1" t="n">
        <v>45756.57114583333</v>
      </c>
      <c r="C469" s="1" t="n">
        <v>45999</v>
      </c>
      <c r="D469" t="inlineStr">
        <is>
          <t>DALARNAS LÄN</t>
        </is>
      </c>
      <c r="E469" t="inlineStr">
        <is>
          <t>LEKSAND</t>
        </is>
      </c>
      <c r="G469" t="n">
        <v>0.9</v>
      </c>
      <c r="H469" t="n">
        <v>0</v>
      </c>
      <c r="I469" t="n">
        <v>0</v>
      </c>
      <c r="J469" t="n">
        <v>0</v>
      </c>
      <c r="K469" t="n">
        <v>0</v>
      </c>
      <c r="L469" t="n">
        <v>0</v>
      </c>
      <c r="M469" t="n">
        <v>0</v>
      </c>
      <c r="N469" t="n">
        <v>0</v>
      </c>
      <c r="O469" t="n">
        <v>0</v>
      </c>
      <c r="P469" t="n">
        <v>0</v>
      </c>
      <c r="Q469" t="n">
        <v>0</v>
      </c>
      <c r="R469" s="2" t="inlineStr"/>
    </row>
    <row r="470" ht="15" customHeight="1">
      <c r="A470" t="inlineStr">
        <is>
          <t>A 12923-2025</t>
        </is>
      </c>
      <c r="B470" s="1" t="n">
        <v>45734.29193287037</v>
      </c>
      <c r="C470" s="1" t="n">
        <v>45999</v>
      </c>
      <c r="D470" t="inlineStr">
        <is>
          <t>DALARNAS LÄN</t>
        </is>
      </c>
      <c r="E470" t="inlineStr">
        <is>
          <t>LEKSAND</t>
        </is>
      </c>
      <c r="G470" t="n">
        <v>7.2</v>
      </c>
      <c r="H470" t="n">
        <v>0</v>
      </c>
      <c r="I470" t="n">
        <v>0</v>
      </c>
      <c r="J470" t="n">
        <v>0</v>
      </c>
      <c r="K470" t="n">
        <v>0</v>
      </c>
      <c r="L470" t="n">
        <v>0</v>
      </c>
      <c r="M470" t="n">
        <v>0</v>
      </c>
      <c r="N470" t="n">
        <v>0</v>
      </c>
      <c r="O470" t="n">
        <v>0</v>
      </c>
      <c r="P470" t="n">
        <v>0</v>
      </c>
      <c r="Q470" t="n">
        <v>0</v>
      </c>
      <c r="R470" s="2" t="inlineStr"/>
    </row>
    <row r="471" ht="15" customHeight="1">
      <c r="A471" t="inlineStr">
        <is>
          <t>A 2820-2024</t>
        </is>
      </c>
      <c r="B471" s="1" t="n">
        <v>45314.76287037037</v>
      </c>
      <c r="C471" s="1" t="n">
        <v>45999</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2822-2024</t>
        </is>
      </c>
      <c r="B472" s="1" t="n">
        <v>45314.76622685185</v>
      </c>
      <c r="C472" s="1" t="n">
        <v>45999</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11277-2025</t>
        </is>
      </c>
      <c r="B473" s="1" t="n">
        <v>45726.41565972222</v>
      </c>
      <c r="C473" s="1" t="n">
        <v>45999</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325-2023</t>
        </is>
      </c>
      <c r="B474" s="1" t="n">
        <v>44929</v>
      </c>
      <c r="C474" s="1" t="n">
        <v>45999</v>
      </c>
      <c r="D474" t="inlineStr">
        <is>
          <t>DALARNAS LÄN</t>
        </is>
      </c>
      <c r="E474" t="inlineStr">
        <is>
          <t>LEKSAND</t>
        </is>
      </c>
      <c r="F474" t="inlineStr">
        <is>
          <t>Övriga Aktiebolag</t>
        </is>
      </c>
      <c r="G474" t="n">
        <v>7.1</v>
      </c>
      <c r="H474" t="n">
        <v>0</v>
      </c>
      <c r="I474" t="n">
        <v>0</v>
      </c>
      <c r="J474" t="n">
        <v>0</v>
      </c>
      <c r="K474" t="n">
        <v>0</v>
      </c>
      <c r="L474" t="n">
        <v>0</v>
      </c>
      <c r="M474" t="n">
        <v>0</v>
      </c>
      <c r="N474" t="n">
        <v>0</v>
      </c>
      <c r="O474" t="n">
        <v>0</v>
      </c>
      <c r="P474" t="n">
        <v>0</v>
      </c>
      <c r="Q474" t="n">
        <v>0</v>
      </c>
      <c r="R474" s="2" t="inlineStr"/>
    </row>
    <row r="475" ht="15" customHeight="1">
      <c r="A475" t="inlineStr">
        <is>
          <t>A 11678-2025</t>
        </is>
      </c>
      <c r="B475" s="1" t="n">
        <v>45726</v>
      </c>
      <c r="C475" s="1" t="n">
        <v>45999</v>
      </c>
      <c r="D475" t="inlineStr">
        <is>
          <t>DALARNAS LÄN</t>
        </is>
      </c>
      <c r="E475" t="inlineStr">
        <is>
          <t>LEKSAND</t>
        </is>
      </c>
      <c r="G475" t="n">
        <v>9.4</v>
      </c>
      <c r="H475" t="n">
        <v>0</v>
      </c>
      <c r="I475" t="n">
        <v>0</v>
      </c>
      <c r="J475" t="n">
        <v>0</v>
      </c>
      <c r="K475" t="n">
        <v>0</v>
      </c>
      <c r="L475" t="n">
        <v>0</v>
      </c>
      <c r="M475" t="n">
        <v>0</v>
      </c>
      <c r="N475" t="n">
        <v>0</v>
      </c>
      <c r="O475" t="n">
        <v>0</v>
      </c>
      <c r="P475" t="n">
        <v>0</v>
      </c>
      <c r="Q475" t="n">
        <v>0</v>
      </c>
      <c r="R475" s="2" t="inlineStr"/>
    </row>
    <row r="476" ht="15" customHeight="1">
      <c r="A476" t="inlineStr">
        <is>
          <t>A 51320-2023</t>
        </is>
      </c>
      <c r="B476" s="1" t="n">
        <v>45219.57456018519</v>
      </c>
      <c r="C476" s="1" t="n">
        <v>45999</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45999</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28630-2023</t>
        </is>
      </c>
      <c r="B478" s="1" t="n">
        <v>45103.61003472222</v>
      </c>
      <c r="C478" s="1" t="n">
        <v>45999</v>
      </c>
      <c r="D478" t="inlineStr">
        <is>
          <t>DALARNAS LÄN</t>
        </is>
      </c>
      <c r="E478" t="inlineStr">
        <is>
          <t>LEKSAND</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7759-2025</t>
        </is>
      </c>
      <c r="B479" s="1" t="n">
        <v>45706.53827546296</v>
      </c>
      <c r="C479" s="1" t="n">
        <v>45999</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13705-2021</t>
        </is>
      </c>
      <c r="B480" s="1" t="n">
        <v>44274</v>
      </c>
      <c r="C480" s="1" t="n">
        <v>45999</v>
      </c>
      <c r="D480" t="inlineStr">
        <is>
          <t>DALARNAS LÄN</t>
        </is>
      </c>
      <c r="E480" t="inlineStr">
        <is>
          <t>LEKSAND</t>
        </is>
      </c>
      <c r="G480" t="n">
        <v>3.8</v>
      </c>
      <c r="H480" t="n">
        <v>0</v>
      </c>
      <c r="I480" t="n">
        <v>0</v>
      </c>
      <c r="J480" t="n">
        <v>0</v>
      </c>
      <c r="K480" t="n">
        <v>0</v>
      </c>
      <c r="L480" t="n">
        <v>0</v>
      </c>
      <c r="M480" t="n">
        <v>0</v>
      </c>
      <c r="N480" t="n">
        <v>0</v>
      </c>
      <c r="O480" t="n">
        <v>0</v>
      </c>
      <c r="P480" t="n">
        <v>0</v>
      </c>
      <c r="Q480" t="n">
        <v>0</v>
      </c>
      <c r="R480" s="2" t="inlineStr"/>
    </row>
    <row r="481" ht="15" customHeight="1">
      <c r="A481" t="inlineStr">
        <is>
          <t>A 35746-2025</t>
        </is>
      </c>
      <c r="B481" s="1" t="n">
        <v>45860</v>
      </c>
      <c r="C481" s="1" t="n">
        <v>45999</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51377-2023</t>
        </is>
      </c>
      <c r="B482" s="1" t="n">
        <v>45219</v>
      </c>
      <c r="C482" s="1" t="n">
        <v>45999</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59859-2023</t>
        </is>
      </c>
      <c r="B483" s="1" t="n">
        <v>45257</v>
      </c>
      <c r="C483" s="1" t="n">
        <v>45999</v>
      </c>
      <c r="D483" t="inlineStr">
        <is>
          <t>DALARNAS LÄN</t>
        </is>
      </c>
      <c r="E483" t="inlineStr">
        <is>
          <t>LEKSAND</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35866-2025</t>
        </is>
      </c>
      <c r="B484" s="1" t="n">
        <v>45861</v>
      </c>
      <c r="C484" s="1" t="n">
        <v>45999</v>
      </c>
      <c r="D484" t="inlineStr">
        <is>
          <t>DALARNAS LÄN</t>
        </is>
      </c>
      <c r="E484" t="inlineStr">
        <is>
          <t>LEKSAND</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47203-2023</t>
        </is>
      </c>
      <c r="B485" s="1" t="n">
        <v>45202</v>
      </c>
      <c r="C485" s="1" t="n">
        <v>45999</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35998-2025</t>
        </is>
      </c>
      <c r="B486" s="1" t="n">
        <v>45863.51550925926</v>
      </c>
      <c r="C486" s="1" t="n">
        <v>45999</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36021-2025</t>
        </is>
      </c>
      <c r="B487" s="1" t="n">
        <v>45863.72346064815</v>
      </c>
      <c r="C487" s="1" t="n">
        <v>45999</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36020-2025</t>
        </is>
      </c>
      <c r="B488" s="1" t="n">
        <v>45863</v>
      </c>
      <c r="C488" s="1" t="n">
        <v>45999</v>
      </c>
      <c r="D488" t="inlineStr">
        <is>
          <t>DALARNAS LÄN</t>
        </is>
      </c>
      <c r="E488" t="inlineStr">
        <is>
          <t>LEKSAND</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36017-2025</t>
        </is>
      </c>
      <c r="B489" s="1" t="n">
        <v>45863</v>
      </c>
      <c r="C489" s="1" t="n">
        <v>45999</v>
      </c>
      <c r="D489" t="inlineStr">
        <is>
          <t>DALARNAS LÄN</t>
        </is>
      </c>
      <c r="E489" t="inlineStr">
        <is>
          <t>LEKSAND</t>
        </is>
      </c>
      <c r="F489" t="inlineStr">
        <is>
          <t>Bergvik skog väst AB</t>
        </is>
      </c>
      <c r="G489" t="n">
        <v>17.9</v>
      </c>
      <c r="H489" t="n">
        <v>0</v>
      </c>
      <c r="I489" t="n">
        <v>0</v>
      </c>
      <c r="J489" t="n">
        <v>0</v>
      </c>
      <c r="K489" t="n">
        <v>0</v>
      </c>
      <c r="L489" t="n">
        <v>0</v>
      </c>
      <c r="M489" t="n">
        <v>0</v>
      </c>
      <c r="N489" t="n">
        <v>0</v>
      </c>
      <c r="O489" t="n">
        <v>0</v>
      </c>
      <c r="P489" t="n">
        <v>0</v>
      </c>
      <c r="Q489" t="n">
        <v>0</v>
      </c>
      <c r="R489" s="2" t="inlineStr"/>
    </row>
    <row r="490" ht="15" customHeight="1">
      <c r="A490" t="inlineStr">
        <is>
          <t>A 36190-2025</t>
        </is>
      </c>
      <c r="B490" s="1" t="n">
        <v>45867</v>
      </c>
      <c r="C490" s="1" t="n">
        <v>45999</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36540-2025</t>
        </is>
      </c>
      <c r="B491" s="1" t="n">
        <v>45869.63885416667</v>
      </c>
      <c r="C491" s="1" t="n">
        <v>45999</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19296-2024</t>
        </is>
      </c>
      <c r="B492" s="1" t="n">
        <v>45428.69438657408</v>
      </c>
      <c r="C492" s="1" t="n">
        <v>45999</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164-2023</t>
        </is>
      </c>
      <c r="B493" s="1" t="n">
        <v>44918</v>
      </c>
      <c r="C493" s="1" t="n">
        <v>45999</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51677-2024</t>
        </is>
      </c>
      <c r="B494" s="1" t="n">
        <v>45607.30265046296</v>
      </c>
      <c r="C494" s="1" t="n">
        <v>45999</v>
      </c>
      <c r="D494" t="inlineStr">
        <is>
          <t>DALARNAS LÄN</t>
        </is>
      </c>
      <c r="E494" t="inlineStr">
        <is>
          <t>LEKSAND</t>
        </is>
      </c>
      <c r="G494" t="n">
        <v>3.4</v>
      </c>
      <c r="H494" t="n">
        <v>0</v>
      </c>
      <c r="I494" t="n">
        <v>0</v>
      </c>
      <c r="J494" t="n">
        <v>0</v>
      </c>
      <c r="K494" t="n">
        <v>0</v>
      </c>
      <c r="L494" t="n">
        <v>0</v>
      </c>
      <c r="M494" t="n">
        <v>0</v>
      </c>
      <c r="N494" t="n">
        <v>0</v>
      </c>
      <c r="O494" t="n">
        <v>0</v>
      </c>
      <c r="P494" t="n">
        <v>0</v>
      </c>
      <c r="Q494" t="n">
        <v>0</v>
      </c>
      <c r="R494" s="2" t="inlineStr"/>
    </row>
    <row r="495" ht="15" customHeight="1">
      <c r="A495" t="inlineStr">
        <is>
          <t>A 7861-2024</t>
        </is>
      </c>
      <c r="B495" s="1" t="n">
        <v>45350.30831018519</v>
      </c>
      <c r="C495" s="1" t="n">
        <v>45999</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9105-2024</t>
        </is>
      </c>
      <c r="B496" s="1" t="n">
        <v>45357</v>
      </c>
      <c r="C496" s="1" t="n">
        <v>45999</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50447-2023</t>
        </is>
      </c>
      <c r="B497" s="1" t="n">
        <v>45216.72185185185</v>
      </c>
      <c r="C497" s="1" t="n">
        <v>45999</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60945-2024</t>
        </is>
      </c>
      <c r="B498" s="1" t="n">
        <v>45645.37893518519</v>
      </c>
      <c r="C498" s="1" t="n">
        <v>45999</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22080-2025</t>
        </is>
      </c>
      <c r="B499" s="1" t="n">
        <v>45785</v>
      </c>
      <c r="C499" s="1" t="n">
        <v>45999</v>
      </c>
      <c r="D499" t="inlineStr">
        <is>
          <t>DALARNAS LÄN</t>
        </is>
      </c>
      <c r="E499" t="inlineStr">
        <is>
          <t>LEKSAND</t>
        </is>
      </c>
      <c r="G499" t="n">
        <v>7</v>
      </c>
      <c r="H499" t="n">
        <v>0</v>
      </c>
      <c r="I499" t="n">
        <v>0</v>
      </c>
      <c r="J499" t="n">
        <v>0</v>
      </c>
      <c r="K499" t="n">
        <v>0</v>
      </c>
      <c r="L499" t="n">
        <v>0</v>
      </c>
      <c r="M499" t="n">
        <v>0</v>
      </c>
      <c r="N499" t="n">
        <v>0</v>
      </c>
      <c r="O499" t="n">
        <v>0</v>
      </c>
      <c r="P499" t="n">
        <v>0</v>
      </c>
      <c r="Q499" t="n">
        <v>0</v>
      </c>
      <c r="R499" s="2" t="inlineStr"/>
    </row>
    <row r="500" ht="15" customHeight="1">
      <c r="A500" t="inlineStr">
        <is>
          <t>A 61787-2022</t>
        </is>
      </c>
      <c r="B500" s="1" t="n">
        <v>44917</v>
      </c>
      <c r="C500" s="1" t="n">
        <v>45999</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28913-2024</t>
        </is>
      </c>
      <c r="B501" s="1" t="n">
        <v>45480.75318287037</v>
      </c>
      <c r="C501" s="1" t="n">
        <v>45999</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39921-2024</t>
        </is>
      </c>
      <c r="B502" s="1" t="n">
        <v>45553</v>
      </c>
      <c r="C502" s="1" t="n">
        <v>45999</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41015-2024</t>
        </is>
      </c>
      <c r="B503" s="1" t="n">
        <v>45559.32537037037</v>
      </c>
      <c r="C503" s="1" t="n">
        <v>45999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6050-2023</t>
        </is>
      </c>
      <c r="B504" s="1" t="n">
        <v>44959</v>
      </c>
      <c r="C504" s="1" t="n">
        <v>45999</v>
      </c>
      <c r="D504" t="inlineStr">
        <is>
          <t>DALARNAS LÄN</t>
        </is>
      </c>
      <c r="E504" t="inlineStr">
        <is>
          <t>LEKSAND</t>
        </is>
      </c>
      <c r="G504" t="n">
        <v>6.2</v>
      </c>
      <c r="H504" t="n">
        <v>0</v>
      </c>
      <c r="I504" t="n">
        <v>0</v>
      </c>
      <c r="J504" t="n">
        <v>0</v>
      </c>
      <c r="K504" t="n">
        <v>0</v>
      </c>
      <c r="L504" t="n">
        <v>0</v>
      </c>
      <c r="M504" t="n">
        <v>0</v>
      </c>
      <c r="N504" t="n">
        <v>0</v>
      </c>
      <c r="O504" t="n">
        <v>0</v>
      </c>
      <c r="P504" t="n">
        <v>0</v>
      </c>
      <c r="Q504" t="n">
        <v>0</v>
      </c>
      <c r="R504" s="2" t="inlineStr"/>
    </row>
    <row r="505" ht="15" customHeight="1">
      <c r="A505" t="inlineStr">
        <is>
          <t>A 22536-2025</t>
        </is>
      </c>
      <c r="B505" s="1" t="n">
        <v>45787.33037037037</v>
      </c>
      <c r="C505" s="1" t="n">
        <v>45999</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27791-2023</t>
        </is>
      </c>
      <c r="B506" s="1" t="n">
        <v>45098</v>
      </c>
      <c r="C506" s="1" t="n">
        <v>45999</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60042-2023</t>
        </is>
      </c>
      <c r="B507" s="1" t="n">
        <v>45256</v>
      </c>
      <c r="C507" s="1" t="n">
        <v>45999</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22876-2025</t>
        </is>
      </c>
      <c r="B508" s="1" t="n">
        <v>45790.3728587963</v>
      </c>
      <c r="C508" s="1" t="n">
        <v>45999</v>
      </c>
      <c r="D508" t="inlineStr">
        <is>
          <t>DALARNAS LÄN</t>
        </is>
      </c>
      <c r="E508" t="inlineStr">
        <is>
          <t>LEKSAND</t>
        </is>
      </c>
      <c r="G508" t="n">
        <v>5.9</v>
      </c>
      <c r="H508" t="n">
        <v>0</v>
      </c>
      <c r="I508" t="n">
        <v>0</v>
      </c>
      <c r="J508" t="n">
        <v>0</v>
      </c>
      <c r="K508" t="n">
        <v>0</v>
      </c>
      <c r="L508" t="n">
        <v>0</v>
      </c>
      <c r="M508" t="n">
        <v>0</v>
      </c>
      <c r="N508" t="n">
        <v>0</v>
      </c>
      <c r="O508" t="n">
        <v>0</v>
      </c>
      <c r="P508" t="n">
        <v>0</v>
      </c>
      <c r="Q508" t="n">
        <v>0</v>
      </c>
      <c r="R508" s="2" t="inlineStr"/>
    </row>
    <row r="509" ht="15" customHeight="1">
      <c r="A509" t="inlineStr">
        <is>
          <t>A 14504-2025</t>
        </is>
      </c>
      <c r="B509" s="1" t="n">
        <v>45741</v>
      </c>
      <c r="C509" s="1" t="n">
        <v>45999</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37508-2025</t>
        </is>
      </c>
      <c r="B510" s="1" t="n">
        <v>45877.66282407408</v>
      </c>
      <c r="C510" s="1" t="n">
        <v>45999</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38498-2025</t>
        </is>
      </c>
      <c r="B511" s="1" t="n">
        <v>45884.3706712963</v>
      </c>
      <c r="C511" s="1" t="n">
        <v>45999</v>
      </c>
      <c r="D511" t="inlineStr">
        <is>
          <t>DALARNAS LÄN</t>
        </is>
      </c>
      <c r="E511" t="inlineStr">
        <is>
          <t>LEKSAND</t>
        </is>
      </c>
      <c r="G511" t="n">
        <v>2.1</v>
      </c>
      <c r="H511" t="n">
        <v>0</v>
      </c>
      <c r="I511" t="n">
        <v>0</v>
      </c>
      <c r="J511" t="n">
        <v>0</v>
      </c>
      <c r="K511" t="n">
        <v>0</v>
      </c>
      <c r="L511" t="n">
        <v>0</v>
      </c>
      <c r="M511" t="n">
        <v>0</v>
      </c>
      <c r="N511" t="n">
        <v>0</v>
      </c>
      <c r="O511" t="n">
        <v>0</v>
      </c>
      <c r="P511" t="n">
        <v>0</v>
      </c>
      <c r="Q511" t="n">
        <v>0</v>
      </c>
      <c r="R511" s="2" t="inlineStr"/>
    </row>
    <row r="512" ht="15" customHeight="1">
      <c r="A512" t="inlineStr">
        <is>
          <t>A 23517-2025</t>
        </is>
      </c>
      <c r="B512" s="1" t="n">
        <v>45792</v>
      </c>
      <c r="C512" s="1" t="n">
        <v>45999</v>
      </c>
      <c r="D512" t="inlineStr">
        <is>
          <t>DALARNAS LÄN</t>
        </is>
      </c>
      <c r="E512" t="inlineStr">
        <is>
          <t>LEKSAND</t>
        </is>
      </c>
      <c r="G512" t="n">
        <v>2.2</v>
      </c>
      <c r="H512" t="n">
        <v>0</v>
      </c>
      <c r="I512" t="n">
        <v>0</v>
      </c>
      <c r="J512" t="n">
        <v>0</v>
      </c>
      <c r="K512" t="n">
        <v>0</v>
      </c>
      <c r="L512" t="n">
        <v>0</v>
      </c>
      <c r="M512" t="n">
        <v>0</v>
      </c>
      <c r="N512" t="n">
        <v>0</v>
      </c>
      <c r="O512" t="n">
        <v>0</v>
      </c>
      <c r="P512" t="n">
        <v>0</v>
      </c>
      <c r="Q512" t="n">
        <v>0</v>
      </c>
      <c r="R512" s="2" t="inlineStr"/>
    </row>
    <row r="513" ht="15" customHeight="1">
      <c r="A513" t="inlineStr">
        <is>
          <t>A 37996-2025</t>
        </is>
      </c>
      <c r="B513" s="1" t="n">
        <v>45881.8299537037</v>
      </c>
      <c r="C513" s="1" t="n">
        <v>45999</v>
      </c>
      <c r="D513" t="inlineStr">
        <is>
          <t>DALARNAS LÄN</t>
        </is>
      </c>
      <c r="E513" t="inlineStr">
        <is>
          <t>LEKSAND</t>
        </is>
      </c>
      <c r="G513" t="n">
        <v>4.2</v>
      </c>
      <c r="H513" t="n">
        <v>0</v>
      </c>
      <c r="I513" t="n">
        <v>0</v>
      </c>
      <c r="J513" t="n">
        <v>0</v>
      </c>
      <c r="K513" t="n">
        <v>0</v>
      </c>
      <c r="L513" t="n">
        <v>0</v>
      </c>
      <c r="M513" t="n">
        <v>0</v>
      </c>
      <c r="N513" t="n">
        <v>0</v>
      </c>
      <c r="O513" t="n">
        <v>0</v>
      </c>
      <c r="P513" t="n">
        <v>0</v>
      </c>
      <c r="Q513" t="n">
        <v>0</v>
      </c>
      <c r="R513" s="2" t="inlineStr"/>
    </row>
    <row r="514" ht="15" customHeight="1">
      <c r="A514" t="inlineStr">
        <is>
          <t>A 47640-2024</t>
        </is>
      </c>
      <c r="B514" s="1" t="n">
        <v>45588.36508101852</v>
      </c>
      <c r="C514" s="1" t="n">
        <v>45999</v>
      </c>
      <c r="D514" t="inlineStr">
        <is>
          <t>DALARNAS LÄN</t>
        </is>
      </c>
      <c r="E514" t="inlineStr">
        <is>
          <t>LEKSAND</t>
        </is>
      </c>
      <c r="G514" t="n">
        <v>9.1</v>
      </c>
      <c r="H514" t="n">
        <v>0</v>
      </c>
      <c r="I514" t="n">
        <v>0</v>
      </c>
      <c r="J514" t="n">
        <v>0</v>
      </c>
      <c r="K514" t="n">
        <v>0</v>
      </c>
      <c r="L514" t="n">
        <v>0</v>
      </c>
      <c r="M514" t="n">
        <v>0</v>
      </c>
      <c r="N514" t="n">
        <v>0</v>
      </c>
      <c r="O514" t="n">
        <v>0</v>
      </c>
      <c r="P514" t="n">
        <v>0</v>
      </c>
      <c r="Q514" t="n">
        <v>0</v>
      </c>
      <c r="R514" s="2" t="inlineStr"/>
    </row>
    <row r="515" ht="15" customHeight="1">
      <c r="A515" t="inlineStr">
        <is>
          <t>A 38090-2025</t>
        </is>
      </c>
      <c r="B515" s="1" t="n">
        <v>45882.48440972222</v>
      </c>
      <c r="C515" s="1" t="n">
        <v>45999</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40007-2024</t>
        </is>
      </c>
      <c r="B516" s="1" t="n">
        <v>45553.6516550926</v>
      </c>
      <c r="C516" s="1" t="n">
        <v>45999</v>
      </c>
      <c r="D516" t="inlineStr">
        <is>
          <t>DALARNAS LÄN</t>
        </is>
      </c>
      <c r="E516" t="inlineStr">
        <is>
          <t>LEKSAND</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7897-2025</t>
        </is>
      </c>
      <c r="B517" s="1" t="n">
        <v>45707.30969907407</v>
      </c>
      <c r="C517" s="1" t="n">
        <v>45999</v>
      </c>
      <c r="D517" t="inlineStr">
        <is>
          <t>DALARNAS LÄN</t>
        </is>
      </c>
      <c r="E517" t="inlineStr">
        <is>
          <t>LEKSAND</t>
        </is>
      </c>
      <c r="G517" t="n">
        <v>3.1</v>
      </c>
      <c r="H517" t="n">
        <v>0</v>
      </c>
      <c r="I517" t="n">
        <v>0</v>
      </c>
      <c r="J517" t="n">
        <v>0</v>
      </c>
      <c r="K517" t="n">
        <v>0</v>
      </c>
      <c r="L517" t="n">
        <v>0</v>
      </c>
      <c r="M517" t="n">
        <v>0</v>
      </c>
      <c r="N517" t="n">
        <v>0</v>
      </c>
      <c r="O517" t="n">
        <v>0</v>
      </c>
      <c r="P517" t="n">
        <v>0</v>
      </c>
      <c r="Q517" t="n">
        <v>0</v>
      </c>
      <c r="R517" s="2" t="inlineStr"/>
    </row>
    <row r="518" ht="15" customHeight="1">
      <c r="A518" t="inlineStr">
        <is>
          <t>A 38721-2025</t>
        </is>
      </c>
      <c r="B518" s="1" t="n">
        <v>45886.83605324074</v>
      </c>
      <c r="C518" s="1" t="n">
        <v>45999</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2311-2021</t>
        </is>
      </c>
      <c r="B519" s="1" t="n">
        <v>44213</v>
      </c>
      <c r="C519" s="1" t="n">
        <v>45999</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39546-2025</t>
        </is>
      </c>
      <c r="B520" s="1" t="n">
        <v>45890.45706018519</v>
      </c>
      <c r="C520" s="1" t="n">
        <v>45999</v>
      </c>
      <c r="D520" t="inlineStr">
        <is>
          <t>DALARNAS LÄN</t>
        </is>
      </c>
      <c r="E520" t="inlineStr">
        <is>
          <t>LEKSAND</t>
        </is>
      </c>
      <c r="G520" t="n">
        <v>4.6</v>
      </c>
      <c r="H520" t="n">
        <v>0</v>
      </c>
      <c r="I520" t="n">
        <v>0</v>
      </c>
      <c r="J520" t="n">
        <v>0</v>
      </c>
      <c r="K520" t="n">
        <v>0</v>
      </c>
      <c r="L520" t="n">
        <v>0</v>
      </c>
      <c r="M520" t="n">
        <v>0</v>
      </c>
      <c r="N520" t="n">
        <v>0</v>
      </c>
      <c r="O520" t="n">
        <v>0</v>
      </c>
      <c r="P520" t="n">
        <v>0</v>
      </c>
      <c r="Q520" t="n">
        <v>0</v>
      </c>
      <c r="R520" s="2" t="inlineStr"/>
    </row>
    <row r="521" ht="15" customHeight="1">
      <c r="A521" t="inlineStr">
        <is>
          <t>A 39572-2025</t>
        </is>
      </c>
      <c r="B521" s="1" t="n">
        <v>45890</v>
      </c>
      <c r="C521" s="1" t="n">
        <v>45999</v>
      </c>
      <c r="D521" t="inlineStr">
        <is>
          <t>DALARNAS LÄN</t>
        </is>
      </c>
      <c r="E521" t="inlineStr">
        <is>
          <t>LEKSAND</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39569-2025</t>
        </is>
      </c>
      <c r="B522" s="1" t="n">
        <v>45890</v>
      </c>
      <c r="C522" s="1" t="n">
        <v>45999</v>
      </c>
      <c r="D522" t="inlineStr">
        <is>
          <t>DALARNAS LÄN</t>
        </is>
      </c>
      <c r="E522" t="inlineStr">
        <is>
          <t>LEKSAND</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46978-2025</t>
        </is>
      </c>
      <c r="B523" s="1" t="n">
        <v>45929.51811342593</v>
      </c>
      <c r="C523" s="1" t="n">
        <v>45999</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55784-2025</t>
        </is>
      </c>
      <c r="B524" s="1" t="n">
        <v>45972.63765046297</v>
      </c>
      <c r="C524" s="1" t="n">
        <v>45999</v>
      </c>
      <c r="D524" t="inlineStr">
        <is>
          <t>DALARNAS LÄN</t>
        </is>
      </c>
      <c r="E524" t="inlineStr">
        <is>
          <t>LEKSAND</t>
        </is>
      </c>
      <c r="G524" t="n">
        <v>1.5</v>
      </c>
      <c r="H524" t="n">
        <v>0</v>
      </c>
      <c r="I524" t="n">
        <v>0</v>
      </c>
      <c r="J524" t="n">
        <v>0</v>
      </c>
      <c r="K524" t="n">
        <v>0</v>
      </c>
      <c r="L524" t="n">
        <v>0</v>
      </c>
      <c r="M524" t="n">
        <v>0</v>
      </c>
      <c r="N524" t="n">
        <v>0</v>
      </c>
      <c r="O524" t="n">
        <v>0</v>
      </c>
      <c r="P524" t="n">
        <v>0</v>
      </c>
      <c r="Q524" t="n">
        <v>0</v>
      </c>
      <c r="R524" s="2" t="inlineStr"/>
    </row>
    <row r="525" ht="15" customHeight="1">
      <c r="A525" t="inlineStr">
        <is>
          <t>A 39516-2025</t>
        </is>
      </c>
      <c r="B525" s="1" t="n">
        <v>45890.42633101852</v>
      </c>
      <c r="C525" s="1" t="n">
        <v>45999</v>
      </c>
      <c r="D525" t="inlineStr">
        <is>
          <t>DALARNAS LÄN</t>
        </is>
      </c>
      <c r="E525" t="inlineStr">
        <is>
          <t>LEKSAND</t>
        </is>
      </c>
      <c r="G525" t="n">
        <v>3.6</v>
      </c>
      <c r="H525" t="n">
        <v>0</v>
      </c>
      <c r="I525" t="n">
        <v>0</v>
      </c>
      <c r="J525" t="n">
        <v>0</v>
      </c>
      <c r="K525" t="n">
        <v>0</v>
      </c>
      <c r="L525" t="n">
        <v>0</v>
      </c>
      <c r="M525" t="n">
        <v>0</v>
      </c>
      <c r="N525" t="n">
        <v>0</v>
      </c>
      <c r="O525" t="n">
        <v>0</v>
      </c>
      <c r="P525" t="n">
        <v>0</v>
      </c>
      <c r="Q525" t="n">
        <v>0</v>
      </c>
      <c r="R525" s="2" t="inlineStr"/>
    </row>
    <row r="526" ht="15" customHeight="1">
      <c r="A526" t="inlineStr">
        <is>
          <t>A 39660-2025</t>
        </is>
      </c>
      <c r="B526" s="1" t="n">
        <v>45890.63006944444</v>
      </c>
      <c r="C526" s="1" t="n">
        <v>45999</v>
      </c>
      <c r="D526" t="inlineStr">
        <is>
          <t>DALARNAS LÄN</t>
        </is>
      </c>
      <c r="E526" t="inlineStr">
        <is>
          <t>LEKSAND</t>
        </is>
      </c>
      <c r="F526" t="inlineStr">
        <is>
          <t>Bergvik skog väst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39693-2025</t>
        </is>
      </c>
      <c r="B527" s="1" t="n">
        <v>45890.68304398148</v>
      </c>
      <c r="C527" s="1" t="n">
        <v>45999</v>
      </c>
      <c r="D527" t="inlineStr">
        <is>
          <t>DALARNAS LÄN</t>
        </is>
      </c>
      <c r="E527" t="inlineStr">
        <is>
          <t>LEKSAND</t>
        </is>
      </c>
      <c r="G527" t="n">
        <v>3.1</v>
      </c>
      <c r="H527" t="n">
        <v>0</v>
      </c>
      <c r="I527" t="n">
        <v>0</v>
      </c>
      <c r="J527" t="n">
        <v>0</v>
      </c>
      <c r="K527" t="n">
        <v>0</v>
      </c>
      <c r="L527" t="n">
        <v>0</v>
      </c>
      <c r="M527" t="n">
        <v>0</v>
      </c>
      <c r="N527" t="n">
        <v>0</v>
      </c>
      <c r="O527" t="n">
        <v>0</v>
      </c>
      <c r="P527" t="n">
        <v>0</v>
      </c>
      <c r="Q527" t="n">
        <v>0</v>
      </c>
      <c r="R527" s="2" t="inlineStr"/>
    </row>
    <row r="528" ht="15" customHeight="1">
      <c r="A528" t="inlineStr">
        <is>
          <t>A 41169-2024</t>
        </is>
      </c>
      <c r="B528" s="1" t="n">
        <v>45559.48637731482</v>
      </c>
      <c r="C528" s="1" t="n">
        <v>45999</v>
      </c>
      <c r="D528" t="inlineStr">
        <is>
          <t>DALARNAS LÄN</t>
        </is>
      </c>
      <c r="E528" t="inlineStr">
        <is>
          <t>LEKSAND</t>
        </is>
      </c>
      <c r="G528" t="n">
        <v>8.9</v>
      </c>
      <c r="H528" t="n">
        <v>0</v>
      </c>
      <c r="I528" t="n">
        <v>0</v>
      </c>
      <c r="J528" t="n">
        <v>0</v>
      </c>
      <c r="K528" t="n">
        <v>0</v>
      </c>
      <c r="L528" t="n">
        <v>0</v>
      </c>
      <c r="M528" t="n">
        <v>0</v>
      </c>
      <c r="N528" t="n">
        <v>0</v>
      </c>
      <c r="O528" t="n">
        <v>0</v>
      </c>
      <c r="P528" t="n">
        <v>0</v>
      </c>
      <c r="Q528" t="n">
        <v>0</v>
      </c>
      <c r="R528" s="2" t="inlineStr"/>
    </row>
    <row r="529" ht="15" customHeight="1">
      <c r="A529" t="inlineStr">
        <is>
          <t>A 32072-2024</t>
        </is>
      </c>
      <c r="B529" s="1" t="n">
        <v>45510.98405092592</v>
      </c>
      <c r="C529" s="1" t="n">
        <v>45999</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55493-2025</t>
        </is>
      </c>
      <c r="B530" s="1" t="n">
        <v>45971.57913194445</v>
      </c>
      <c r="C530" s="1" t="n">
        <v>45999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47068-2025</t>
        </is>
      </c>
      <c r="B531" s="1" t="n">
        <v>45929.63511574074</v>
      </c>
      <c r="C531" s="1" t="n">
        <v>45999</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46949-2025</t>
        </is>
      </c>
      <c r="B532" s="1" t="n">
        <v>45929.46811342592</v>
      </c>
      <c r="C532" s="1" t="n">
        <v>45999</v>
      </c>
      <c r="D532" t="inlineStr">
        <is>
          <t>DALARNAS LÄN</t>
        </is>
      </c>
      <c r="E532" t="inlineStr">
        <is>
          <t>LEKSAND</t>
        </is>
      </c>
      <c r="G532" t="n">
        <v>5</v>
      </c>
      <c r="H532" t="n">
        <v>0</v>
      </c>
      <c r="I532" t="n">
        <v>0</v>
      </c>
      <c r="J532" t="n">
        <v>0</v>
      </c>
      <c r="K532" t="n">
        <v>0</v>
      </c>
      <c r="L532" t="n">
        <v>0</v>
      </c>
      <c r="M532" t="n">
        <v>0</v>
      </c>
      <c r="N532" t="n">
        <v>0</v>
      </c>
      <c r="O532" t="n">
        <v>0</v>
      </c>
      <c r="P532" t="n">
        <v>0</v>
      </c>
      <c r="Q532" t="n">
        <v>0</v>
      </c>
      <c r="R532" s="2" t="inlineStr"/>
    </row>
    <row r="533" ht="15" customHeight="1">
      <c r="A533" t="inlineStr">
        <is>
          <t>A 23058-2025</t>
        </is>
      </c>
      <c r="B533" s="1" t="n">
        <v>45790.78076388889</v>
      </c>
      <c r="C533" s="1" t="n">
        <v>45999</v>
      </c>
      <c r="D533" t="inlineStr">
        <is>
          <t>DALARNAS LÄN</t>
        </is>
      </c>
      <c r="E533" t="inlineStr">
        <is>
          <t>LEKSAND</t>
        </is>
      </c>
      <c r="G533" t="n">
        <v>6.7</v>
      </c>
      <c r="H533" t="n">
        <v>0</v>
      </c>
      <c r="I533" t="n">
        <v>0</v>
      </c>
      <c r="J533" t="n">
        <v>0</v>
      </c>
      <c r="K533" t="n">
        <v>0</v>
      </c>
      <c r="L533" t="n">
        <v>0</v>
      </c>
      <c r="M533" t="n">
        <v>0</v>
      </c>
      <c r="N533" t="n">
        <v>0</v>
      </c>
      <c r="O533" t="n">
        <v>0</v>
      </c>
      <c r="P533" t="n">
        <v>0</v>
      </c>
      <c r="Q533" t="n">
        <v>0</v>
      </c>
      <c r="R533" s="2" t="inlineStr"/>
    </row>
    <row r="534" ht="15" customHeight="1">
      <c r="A534" t="inlineStr">
        <is>
          <t>A 23076-2025</t>
        </is>
      </c>
      <c r="B534" s="1" t="n">
        <v>45790.90960648148</v>
      </c>
      <c r="C534" s="1" t="n">
        <v>45999</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40517-2025</t>
        </is>
      </c>
      <c r="B535" s="1" t="n">
        <v>45896.36368055556</v>
      </c>
      <c r="C535" s="1" t="n">
        <v>45999</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40513-2025</t>
        </is>
      </c>
      <c r="B536" s="1" t="n">
        <v>45896.35100694445</v>
      </c>
      <c r="C536" s="1" t="n">
        <v>45999</v>
      </c>
      <c r="D536" t="inlineStr">
        <is>
          <t>DALARNAS LÄN</t>
        </is>
      </c>
      <c r="E536" t="inlineStr">
        <is>
          <t>LEKSAND</t>
        </is>
      </c>
      <c r="G536" t="n">
        <v>7.1</v>
      </c>
      <c r="H536" t="n">
        <v>0</v>
      </c>
      <c r="I536" t="n">
        <v>0</v>
      </c>
      <c r="J536" t="n">
        <v>0</v>
      </c>
      <c r="K536" t="n">
        <v>0</v>
      </c>
      <c r="L536" t="n">
        <v>0</v>
      </c>
      <c r="M536" t="n">
        <v>0</v>
      </c>
      <c r="N536" t="n">
        <v>0</v>
      </c>
      <c r="O536" t="n">
        <v>0</v>
      </c>
      <c r="P536" t="n">
        <v>0</v>
      </c>
      <c r="Q536" t="n">
        <v>0</v>
      </c>
      <c r="R536" s="2" t="inlineStr"/>
    </row>
    <row r="537" ht="15" customHeight="1">
      <c r="A537" t="inlineStr">
        <is>
          <t>A 47976-2025</t>
        </is>
      </c>
      <c r="B537" s="1" t="n">
        <v>45932.60846064815</v>
      </c>
      <c r="C537" s="1" t="n">
        <v>45999</v>
      </c>
      <c r="D537" t="inlineStr">
        <is>
          <t>DALARNAS LÄN</t>
        </is>
      </c>
      <c r="E537" t="inlineStr">
        <is>
          <t>LEKSAND</t>
        </is>
      </c>
      <c r="F537" t="inlineStr">
        <is>
          <t>Bergvik skog väst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47977-2025</t>
        </is>
      </c>
      <c r="B538" s="1" t="n">
        <v>45932.60920138889</v>
      </c>
      <c r="C538" s="1" t="n">
        <v>45999</v>
      </c>
      <c r="D538" t="inlineStr">
        <is>
          <t>DALARNAS LÄN</t>
        </is>
      </c>
      <c r="E538" t="inlineStr">
        <is>
          <t>LEKSAND</t>
        </is>
      </c>
      <c r="F538" t="inlineStr">
        <is>
          <t>Bergvik skog väst AB</t>
        </is>
      </c>
      <c r="G538" t="n">
        <v>0.2</v>
      </c>
      <c r="H538" t="n">
        <v>0</v>
      </c>
      <c r="I538" t="n">
        <v>0</v>
      </c>
      <c r="J538" t="n">
        <v>0</v>
      </c>
      <c r="K538" t="n">
        <v>0</v>
      </c>
      <c r="L538" t="n">
        <v>0</v>
      </c>
      <c r="M538" t="n">
        <v>0</v>
      </c>
      <c r="N538" t="n">
        <v>0</v>
      </c>
      <c r="O538" t="n">
        <v>0</v>
      </c>
      <c r="P538" t="n">
        <v>0</v>
      </c>
      <c r="Q538" t="n">
        <v>0</v>
      </c>
      <c r="R538" s="2" t="inlineStr"/>
    </row>
    <row r="539" ht="15" customHeight="1">
      <c r="A539" t="inlineStr">
        <is>
          <t>A 56331-2025</t>
        </is>
      </c>
      <c r="B539" s="1" t="n">
        <v>45974.64157407408</v>
      </c>
      <c r="C539" s="1" t="n">
        <v>45999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41237-2025</t>
        </is>
      </c>
      <c r="B540" s="1" t="n">
        <v>45898.59570601852</v>
      </c>
      <c r="C540" s="1" t="n">
        <v>45999</v>
      </c>
      <c r="D540" t="inlineStr">
        <is>
          <t>DALARNAS LÄN</t>
        </is>
      </c>
      <c r="E540" t="inlineStr">
        <is>
          <t>LEKSAND</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41248-2025</t>
        </is>
      </c>
      <c r="B541" s="1" t="n">
        <v>45898.60199074074</v>
      </c>
      <c r="C541" s="1" t="n">
        <v>45999</v>
      </c>
      <c r="D541" t="inlineStr">
        <is>
          <t>DALARNAS LÄN</t>
        </is>
      </c>
      <c r="E541" t="inlineStr">
        <is>
          <t>LEKSAND</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41308-2025</t>
        </is>
      </c>
      <c r="B542" s="1" t="n">
        <v>45898</v>
      </c>
      <c r="C542" s="1" t="n">
        <v>45999</v>
      </c>
      <c r="D542" t="inlineStr">
        <is>
          <t>DALARNAS LÄN</t>
        </is>
      </c>
      <c r="E542" t="inlineStr">
        <is>
          <t>LEKSAND</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54789-2025</t>
        </is>
      </c>
      <c r="B543" s="1" t="n">
        <v>45966</v>
      </c>
      <c r="C543" s="1" t="n">
        <v>45999</v>
      </c>
      <c r="D543" t="inlineStr">
        <is>
          <t>DALARNAS LÄN</t>
        </is>
      </c>
      <c r="E543" t="inlineStr">
        <is>
          <t>LEKSAND</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41380-2025</t>
        </is>
      </c>
      <c r="B544" s="1" t="n">
        <v>45900.92826388889</v>
      </c>
      <c r="C544" s="1" t="n">
        <v>45999</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56161-2025</t>
        </is>
      </c>
      <c r="B545" s="1" t="n">
        <v>45974.37554398148</v>
      </c>
      <c r="C545" s="1" t="n">
        <v>45999</v>
      </c>
      <c r="D545" t="inlineStr">
        <is>
          <t>DALARNAS LÄN</t>
        </is>
      </c>
      <c r="E545" t="inlineStr">
        <is>
          <t>LEKSAND</t>
        </is>
      </c>
      <c r="G545" t="n">
        <v>2</v>
      </c>
      <c r="H545" t="n">
        <v>0</v>
      </c>
      <c r="I545" t="n">
        <v>0</v>
      </c>
      <c r="J545" t="n">
        <v>0</v>
      </c>
      <c r="K545" t="n">
        <v>0</v>
      </c>
      <c r="L545" t="n">
        <v>0</v>
      </c>
      <c r="M545" t="n">
        <v>0</v>
      </c>
      <c r="N545" t="n">
        <v>0</v>
      </c>
      <c r="O545" t="n">
        <v>0</v>
      </c>
      <c r="P545" t="n">
        <v>0</v>
      </c>
      <c r="Q545" t="n">
        <v>0</v>
      </c>
      <c r="R545" s="2" t="inlineStr"/>
    </row>
    <row r="546" ht="15" customHeight="1">
      <c r="A546" t="inlineStr">
        <is>
          <t>A 56623-2025</t>
        </is>
      </c>
      <c r="B546" s="1" t="n">
        <v>45975.60164351852</v>
      </c>
      <c r="C546" s="1" t="n">
        <v>45999</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41335-2025</t>
        </is>
      </c>
      <c r="B547" s="1" t="n">
        <v>45899.36747685185</v>
      </c>
      <c r="C547" s="1" t="n">
        <v>45999</v>
      </c>
      <c r="D547" t="inlineStr">
        <is>
          <t>DALARNAS LÄN</t>
        </is>
      </c>
      <c r="E547" t="inlineStr">
        <is>
          <t>LEKSAND</t>
        </is>
      </c>
      <c r="G547" t="n">
        <v>5.9</v>
      </c>
      <c r="H547" t="n">
        <v>0</v>
      </c>
      <c r="I547" t="n">
        <v>0</v>
      </c>
      <c r="J547" t="n">
        <v>0</v>
      </c>
      <c r="K547" t="n">
        <v>0</v>
      </c>
      <c r="L547" t="n">
        <v>0</v>
      </c>
      <c r="M547" t="n">
        <v>0</v>
      </c>
      <c r="N547" t="n">
        <v>0</v>
      </c>
      <c r="O547" t="n">
        <v>0</v>
      </c>
      <c r="P547" t="n">
        <v>0</v>
      </c>
      <c r="Q547" t="n">
        <v>0</v>
      </c>
      <c r="R547" s="2" t="inlineStr"/>
    </row>
    <row r="548" ht="15" customHeight="1">
      <c r="A548" t="inlineStr">
        <is>
          <t>A 41487-2025</t>
        </is>
      </c>
      <c r="B548" s="1" t="n">
        <v>45901.4815625</v>
      </c>
      <c r="C548" s="1" t="n">
        <v>45999</v>
      </c>
      <c r="D548" t="inlineStr">
        <is>
          <t>DALARNAS LÄN</t>
        </is>
      </c>
      <c r="E548" t="inlineStr">
        <is>
          <t>LEKSAND</t>
        </is>
      </c>
      <c r="F548" t="inlineStr">
        <is>
          <t>Bergvik skog väst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23892-2025</t>
        </is>
      </c>
      <c r="B549" s="1" t="n">
        <v>45793</v>
      </c>
      <c r="C549" s="1" t="n">
        <v>45999</v>
      </c>
      <c r="D549" t="inlineStr">
        <is>
          <t>DALARNAS LÄN</t>
        </is>
      </c>
      <c r="E549" t="inlineStr">
        <is>
          <t>LEKSAND</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42284-2025</t>
        </is>
      </c>
      <c r="B550" s="1" t="n">
        <v>45903</v>
      </c>
      <c r="C550" s="1" t="n">
        <v>45999</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48421-2025</t>
        </is>
      </c>
      <c r="B551" s="1" t="n">
        <v>45934.67564814815</v>
      </c>
      <c r="C551" s="1" t="n">
        <v>45999</v>
      </c>
      <c r="D551" t="inlineStr">
        <is>
          <t>DALARNAS LÄN</t>
        </is>
      </c>
      <c r="E551" t="inlineStr">
        <is>
          <t>LEKSAND</t>
        </is>
      </c>
      <c r="G551" t="n">
        <v>2.2</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45999</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13165-2023</t>
        </is>
      </c>
      <c r="B553" s="1" t="n">
        <v>45002.57731481481</v>
      </c>
      <c r="C553" s="1" t="n">
        <v>45999</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7467-2023</t>
        </is>
      </c>
      <c r="B554" s="1" t="n">
        <v>44966</v>
      </c>
      <c r="C554" s="1" t="n">
        <v>45999</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57468-2023</t>
        </is>
      </c>
      <c r="B555" s="1" t="n">
        <v>45246</v>
      </c>
      <c r="C555" s="1" t="n">
        <v>45999</v>
      </c>
      <c r="D555" t="inlineStr">
        <is>
          <t>DALARNAS LÄN</t>
        </is>
      </c>
      <c r="E555" t="inlineStr">
        <is>
          <t>LEKSAND</t>
        </is>
      </c>
      <c r="G555" t="n">
        <v>4.6</v>
      </c>
      <c r="H555" t="n">
        <v>0</v>
      </c>
      <c r="I555" t="n">
        <v>0</v>
      </c>
      <c r="J555" t="n">
        <v>0</v>
      </c>
      <c r="K555" t="n">
        <v>0</v>
      </c>
      <c r="L555" t="n">
        <v>0</v>
      </c>
      <c r="M555" t="n">
        <v>0</v>
      </c>
      <c r="N555" t="n">
        <v>0</v>
      </c>
      <c r="O555" t="n">
        <v>0</v>
      </c>
      <c r="P555" t="n">
        <v>0</v>
      </c>
      <c r="Q555" t="n">
        <v>0</v>
      </c>
      <c r="R555" s="2" t="inlineStr"/>
    </row>
    <row r="556" ht="15" customHeight="1">
      <c r="A556" t="inlineStr">
        <is>
          <t>A 44822-2024</t>
        </is>
      </c>
      <c r="B556" s="1" t="n">
        <v>45574.6646412037</v>
      </c>
      <c r="C556" s="1" t="n">
        <v>45999</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45788-2021</t>
        </is>
      </c>
      <c r="B557" s="1" t="n">
        <v>44441</v>
      </c>
      <c r="C557" s="1" t="n">
        <v>45999</v>
      </c>
      <c r="D557" t="inlineStr">
        <is>
          <t>DALARNAS LÄN</t>
        </is>
      </c>
      <c r="E557" t="inlineStr">
        <is>
          <t>LEKSAND</t>
        </is>
      </c>
      <c r="G557" t="n">
        <v>3</v>
      </c>
      <c r="H557" t="n">
        <v>0</v>
      </c>
      <c r="I557" t="n">
        <v>0</v>
      </c>
      <c r="J557" t="n">
        <v>0</v>
      </c>
      <c r="K557" t="n">
        <v>0</v>
      </c>
      <c r="L557" t="n">
        <v>0</v>
      </c>
      <c r="M557" t="n">
        <v>0</v>
      </c>
      <c r="N557" t="n">
        <v>0</v>
      </c>
      <c r="O557" t="n">
        <v>0</v>
      </c>
      <c r="P557" t="n">
        <v>0</v>
      </c>
      <c r="Q557" t="n">
        <v>0</v>
      </c>
      <c r="R557" s="2" t="inlineStr"/>
    </row>
    <row r="558" ht="15" customHeight="1">
      <c r="A558" t="inlineStr">
        <is>
          <t>A 42402-2025</t>
        </is>
      </c>
      <c r="B558" s="1" t="n">
        <v>45905.3753125</v>
      </c>
      <c r="C558" s="1" t="n">
        <v>45999</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49499-2024</t>
        </is>
      </c>
      <c r="B559" s="1" t="n">
        <v>45596</v>
      </c>
      <c r="C559" s="1" t="n">
        <v>45999</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56517-2025</t>
        </is>
      </c>
      <c r="B560" s="1" t="n">
        <v>45975.45777777778</v>
      </c>
      <c r="C560" s="1" t="n">
        <v>45999</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23855-2025</t>
        </is>
      </c>
      <c r="B561" s="1" t="n">
        <v>45793.65900462963</v>
      </c>
      <c r="C561" s="1" t="n">
        <v>45999</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57927-2024</t>
        </is>
      </c>
      <c r="B562" s="1" t="n">
        <v>45630</v>
      </c>
      <c r="C562" s="1" t="n">
        <v>45999</v>
      </c>
      <c r="D562" t="inlineStr">
        <is>
          <t>DALARNAS LÄN</t>
        </is>
      </c>
      <c r="E562" t="inlineStr">
        <is>
          <t>LEKSAND</t>
        </is>
      </c>
      <c r="G562" t="n">
        <v>0.2</v>
      </c>
      <c r="H562" t="n">
        <v>0</v>
      </c>
      <c r="I562" t="n">
        <v>0</v>
      </c>
      <c r="J562" t="n">
        <v>0</v>
      </c>
      <c r="K562" t="n">
        <v>0</v>
      </c>
      <c r="L562" t="n">
        <v>0</v>
      </c>
      <c r="M562" t="n">
        <v>0</v>
      </c>
      <c r="N562" t="n">
        <v>0</v>
      </c>
      <c r="O562" t="n">
        <v>0</v>
      </c>
      <c r="P562" t="n">
        <v>0</v>
      </c>
      <c r="Q562" t="n">
        <v>0</v>
      </c>
      <c r="R562" s="2" t="inlineStr"/>
    </row>
    <row r="563" ht="15" customHeight="1">
      <c r="A563" t="inlineStr">
        <is>
          <t>A 24919-2024</t>
        </is>
      </c>
      <c r="B563" s="1" t="n">
        <v>45461.60636574074</v>
      </c>
      <c r="C563" s="1" t="n">
        <v>45999</v>
      </c>
      <c r="D563" t="inlineStr">
        <is>
          <t>DALARNAS LÄN</t>
        </is>
      </c>
      <c r="E563" t="inlineStr">
        <is>
          <t>LEKSAND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24714-2025</t>
        </is>
      </c>
      <c r="B564" s="1" t="n">
        <v>45798.96927083333</v>
      </c>
      <c r="C564" s="1" t="n">
        <v>45999</v>
      </c>
      <c r="D564" t="inlineStr">
        <is>
          <t>DALARNAS LÄN</t>
        </is>
      </c>
      <c r="E564" t="inlineStr">
        <is>
          <t>LEKSAND</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57930-2024</t>
        </is>
      </c>
      <c r="B565" s="1" t="n">
        <v>45630</v>
      </c>
      <c r="C565" s="1" t="n">
        <v>45999</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48829-2025</t>
        </is>
      </c>
      <c r="B566" s="1" t="n">
        <v>45936</v>
      </c>
      <c r="C566" s="1" t="n">
        <v>45999</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7450-2023</t>
        </is>
      </c>
      <c r="B567" s="1" t="n">
        <v>44971</v>
      </c>
      <c r="C567" s="1" t="n">
        <v>45999</v>
      </c>
      <c r="D567" t="inlineStr">
        <is>
          <t>DALARNAS LÄN</t>
        </is>
      </c>
      <c r="E567" t="inlineStr">
        <is>
          <t>LEKSAND</t>
        </is>
      </c>
      <c r="G567" t="n">
        <v>3</v>
      </c>
      <c r="H567" t="n">
        <v>0</v>
      </c>
      <c r="I567" t="n">
        <v>0</v>
      </c>
      <c r="J567" t="n">
        <v>0</v>
      </c>
      <c r="K567" t="n">
        <v>0</v>
      </c>
      <c r="L567" t="n">
        <v>0</v>
      </c>
      <c r="M567" t="n">
        <v>0</v>
      </c>
      <c r="N567" t="n">
        <v>0</v>
      </c>
      <c r="O567" t="n">
        <v>0</v>
      </c>
      <c r="P567" t="n">
        <v>0</v>
      </c>
      <c r="Q567" t="n">
        <v>0</v>
      </c>
      <c r="R567" s="2" t="inlineStr"/>
    </row>
    <row r="568" ht="15" customHeight="1">
      <c r="A568" t="inlineStr">
        <is>
          <t>A 43195-2025</t>
        </is>
      </c>
      <c r="B568" s="1" t="n">
        <v>45910.4294212963</v>
      </c>
      <c r="C568" s="1" t="n">
        <v>45999</v>
      </c>
      <c r="D568" t="inlineStr">
        <is>
          <t>DALARNAS LÄN</t>
        </is>
      </c>
      <c r="E568" t="inlineStr">
        <is>
          <t>LEKSAND</t>
        </is>
      </c>
      <c r="G568" t="n">
        <v>2.5</v>
      </c>
      <c r="H568" t="n">
        <v>0</v>
      </c>
      <c r="I568" t="n">
        <v>0</v>
      </c>
      <c r="J568" t="n">
        <v>0</v>
      </c>
      <c r="K568" t="n">
        <v>0</v>
      </c>
      <c r="L568" t="n">
        <v>0</v>
      </c>
      <c r="M568" t="n">
        <v>0</v>
      </c>
      <c r="N568" t="n">
        <v>0</v>
      </c>
      <c r="O568" t="n">
        <v>0</v>
      </c>
      <c r="P568" t="n">
        <v>0</v>
      </c>
      <c r="Q568" t="n">
        <v>0</v>
      </c>
      <c r="R568" s="2" t="inlineStr"/>
    </row>
    <row r="569" ht="15" customHeight="1">
      <c r="A569" t="inlineStr">
        <is>
          <t>A 43158-2025</t>
        </is>
      </c>
      <c r="B569" s="1" t="n">
        <v>45910.35496527778</v>
      </c>
      <c r="C569" s="1" t="n">
        <v>45999</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28592-2023</t>
        </is>
      </c>
      <c r="B570" s="1" t="n">
        <v>45103</v>
      </c>
      <c r="C570" s="1" t="n">
        <v>45999</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23891-2025</t>
        </is>
      </c>
      <c r="B571" s="1" t="n">
        <v>45793</v>
      </c>
      <c r="C571" s="1" t="n">
        <v>45999</v>
      </c>
      <c r="D571" t="inlineStr">
        <is>
          <t>DALARNAS LÄN</t>
        </is>
      </c>
      <c r="E571" t="inlineStr">
        <is>
          <t>LEKSAND</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56514-2025</t>
        </is>
      </c>
      <c r="B572" s="1" t="n">
        <v>45975.45502314815</v>
      </c>
      <c r="C572" s="1" t="n">
        <v>45999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24187-2025</t>
        </is>
      </c>
      <c r="B573" s="1" t="n">
        <v>45796</v>
      </c>
      <c r="C573" s="1" t="n">
        <v>45999</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24188-2025</t>
        </is>
      </c>
      <c r="B574" s="1" t="n">
        <v>45796</v>
      </c>
      <c r="C574" s="1" t="n">
        <v>45999</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43830-2025</t>
        </is>
      </c>
      <c r="B575" s="1" t="n">
        <v>45912</v>
      </c>
      <c r="C575" s="1" t="n">
        <v>45999</v>
      </c>
      <c r="D575" t="inlineStr">
        <is>
          <t>DALARNAS LÄN</t>
        </is>
      </c>
      <c r="E575" t="inlineStr">
        <is>
          <t>LEKSAND</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43630-2025</t>
        </is>
      </c>
      <c r="B576" s="1" t="n">
        <v>45911.70278935185</v>
      </c>
      <c r="C576" s="1" t="n">
        <v>45999</v>
      </c>
      <c r="D576" t="inlineStr">
        <is>
          <t>DALARNAS LÄN</t>
        </is>
      </c>
      <c r="E576" t="inlineStr">
        <is>
          <t>LEKSAND</t>
        </is>
      </c>
      <c r="G576" t="n">
        <v>4.7</v>
      </c>
      <c r="H576" t="n">
        <v>0</v>
      </c>
      <c r="I576" t="n">
        <v>0</v>
      </c>
      <c r="J576" t="n">
        <v>0</v>
      </c>
      <c r="K576" t="n">
        <v>0</v>
      </c>
      <c r="L576" t="n">
        <v>0</v>
      </c>
      <c r="M576" t="n">
        <v>0</v>
      </c>
      <c r="N576" t="n">
        <v>0</v>
      </c>
      <c r="O576" t="n">
        <v>0</v>
      </c>
      <c r="P576" t="n">
        <v>0</v>
      </c>
      <c r="Q576" t="n">
        <v>0</v>
      </c>
      <c r="R576" s="2" t="inlineStr"/>
    </row>
    <row r="577" ht="15" customHeight="1">
      <c r="A577" t="inlineStr">
        <is>
          <t>A 56211-2023</t>
        </is>
      </c>
      <c r="B577" s="1" t="n">
        <v>45240</v>
      </c>
      <c r="C577" s="1" t="n">
        <v>45999</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43607-2025</t>
        </is>
      </c>
      <c r="B578" s="1" t="n">
        <v>45911.66873842593</v>
      </c>
      <c r="C578" s="1" t="n">
        <v>45999</v>
      </c>
      <c r="D578" t="inlineStr">
        <is>
          <t>DALARNAS LÄN</t>
        </is>
      </c>
      <c r="E578" t="inlineStr">
        <is>
          <t>LEKSAND</t>
        </is>
      </c>
      <c r="G578" t="n">
        <v>7.3</v>
      </c>
      <c r="H578" t="n">
        <v>0</v>
      </c>
      <c r="I578" t="n">
        <v>0</v>
      </c>
      <c r="J578" t="n">
        <v>0</v>
      </c>
      <c r="K578" t="n">
        <v>0</v>
      </c>
      <c r="L578" t="n">
        <v>0</v>
      </c>
      <c r="M578" t="n">
        <v>0</v>
      </c>
      <c r="N578" t="n">
        <v>0</v>
      </c>
      <c r="O578" t="n">
        <v>0</v>
      </c>
      <c r="P578" t="n">
        <v>0</v>
      </c>
      <c r="Q578" t="n">
        <v>0</v>
      </c>
      <c r="R578" s="2" t="inlineStr"/>
    </row>
    <row r="579" ht="15" customHeight="1">
      <c r="A579" t="inlineStr">
        <is>
          <t>A 43629-2025</t>
        </is>
      </c>
      <c r="B579" s="1" t="n">
        <v>45911.70180555555</v>
      </c>
      <c r="C579" s="1" t="n">
        <v>45999</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43781-2025</t>
        </is>
      </c>
      <c r="B580" s="1" t="n">
        <v>45912.52229166667</v>
      </c>
      <c r="C580" s="1" t="n">
        <v>45999</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43875-2025</t>
        </is>
      </c>
      <c r="B581" s="1" t="n">
        <v>45912.67685185185</v>
      </c>
      <c r="C581" s="1" t="n">
        <v>45999</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43888-2025</t>
        </is>
      </c>
      <c r="B582" s="1" t="n">
        <v>45912</v>
      </c>
      <c r="C582" s="1" t="n">
        <v>45999</v>
      </c>
      <c r="D582" t="inlineStr">
        <is>
          <t>DALARNAS LÄN</t>
        </is>
      </c>
      <c r="E582" t="inlineStr">
        <is>
          <t>LEKSAND</t>
        </is>
      </c>
      <c r="F582" t="inlineStr">
        <is>
          <t>Bergvik skog väst AB</t>
        </is>
      </c>
      <c r="G582" t="n">
        <v>1.6</v>
      </c>
      <c r="H582" t="n">
        <v>0</v>
      </c>
      <c r="I582" t="n">
        <v>0</v>
      </c>
      <c r="J582" t="n">
        <v>0</v>
      </c>
      <c r="K582" t="n">
        <v>0</v>
      </c>
      <c r="L582" t="n">
        <v>0</v>
      </c>
      <c r="M582" t="n">
        <v>0</v>
      </c>
      <c r="N582" t="n">
        <v>0</v>
      </c>
      <c r="O582" t="n">
        <v>0</v>
      </c>
      <c r="P582" t="n">
        <v>0</v>
      </c>
      <c r="Q582" t="n">
        <v>0</v>
      </c>
      <c r="R582" s="2" t="inlineStr"/>
    </row>
    <row r="583" ht="15" customHeight="1">
      <c r="A583" t="inlineStr">
        <is>
          <t>A 24373-2025</t>
        </is>
      </c>
      <c r="B583" s="1" t="n">
        <v>45797.61113425926</v>
      </c>
      <c r="C583" s="1" t="n">
        <v>45999</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48824-2025</t>
        </is>
      </c>
      <c r="B584" s="1" t="n">
        <v>45937.37949074074</v>
      </c>
      <c r="C584" s="1" t="n">
        <v>45999</v>
      </c>
      <c r="D584" t="inlineStr">
        <is>
          <t>DALARNAS LÄN</t>
        </is>
      </c>
      <c r="E584" t="inlineStr">
        <is>
          <t>LEKSAND</t>
        </is>
      </c>
      <c r="G584" t="n">
        <v>6.3</v>
      </c>
      <c r="H584" t="n">
        <v>0</v>
      </c>
      <c r="I584" t="n">
        <v>0</v>
      </c>
      <c r="J584" t="n">
        <v>0</v>
      </c>
      <c r="K584" t="n">
        <v>0</v>
      </c>
      <c r="L584" t="n">
        <v>0</v>
      </c>
      <c r="M584" t="n">
        <v>0</v>
      </c>
      <c r="N584" t="n">
        <v>0</v>
      </c>
      <c r="O584" t="n">
        <v>0</v>
      </c>
      <c r="P584" t="n">
        <v>0</v>
      </c>
      <c r="Q584" t="n">
        <v>0</v>
      </c>
      <c r="R584" s="2" t="inlineStr"/>
    </row>
    <row r="585" ht="15" customHeight="1">
      <c r="A585" t="inlineStr">
        <is>
          <t>A 43628-2025</t>
        </is>
      </c>
      <c r="B585" s="1" t="n">
        <v>45911.70060185185</v>
      </c>
      <c r="C585" s="1" t="n">
        <v>45999</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49209-2025</t>
        </is>
      </c>
      <c r="B586" s="1" t="n">
        <v>45938.43589120371</v>
      </c>
      <c r="C586" s="1" t="n">
        <v>45999</v>
      </c>
      <c r="D586" t="inlineStr">
        <is>
          <t>DALARNAS LÄN</t>
        </is>
      </c>
      <c r="E586" t="inlineStr">
        <is>
          <t>LEKSAND</t>
        </is>
      </c>
      <c r="G586" t="n">
        <v>4.8</v>
      </c>
      <c r="H586" t="n">
        <v>0</v>
      </c>
      <c r="I586" t="n">
        <v>0</v>
      </c>
      <c r="J586" t="n">
        <v>0</v>
      </c>
      <c r="K586" t="n">
        <v>0</v>
      </c>
      <c r="L586" t="n">
        <v>0</v>
      </c>
      <c r="M586" t="n">
        <v>0</v>
      </c>
      <c r="N586" t="n">
        <v>0</v>
      </c>
      <c r="O586" t="n">
        <v>0</v>
      </c>
      <c r="P586" t="n">
        <v>0</v>
      </c>
      <c r="Q586" t="n">
        <v>0</v>
      </c>
      <c r="R586" s="2" t="inlineStr"/>
    </row>
    <row r="587" ht="15" customHeight="1">
      <c r="A587" t="inlineStr">
        <is>
          <t>A 48922-2025</t>
        </is>
      </c>
      <c r="B587" s="1" t="n">
        <v>45937.50077546296</v>
      </c>
      <c r="C587" s="1" t="n">
        <v>45999</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57231-2025</t>
        </is>
      </c>
      <c r="B588" s="1" t="n">
        <v>45979.62025462963</v>
      </c>
      <c r="C588" s="1" t="n">
        <v>45999</v>
      </c>
      <c r="D588" t="inlineStr">
        <is>
          <t>DALARNAS LÄN</t>
        </is>
      </c>
      <c r="E588" t="inlineStr">
        <is>
          <t>LEKSAND</t>
        </is>
      </c>
      <c r="G588" t="n">
        <v>1.8</v>
      </c>
      <c r="H588" t="n">
        <v>0</v>
      </c>
      <c r="I588" t="n">
        <v>0</v>
      </c>
      <c r="J588" t="n">
        <v>0</v>
      </c>
      <c r="K588" t="n">
        <v>0</v>
      </c>
      <c r="L588" t="n">
        <v>0</v>
      </c>
      <c r="M588" t="n">
        <v>0</v>
      </c>
      <c r="N588" t="n">
        <v>0</v>
      </c>
      <c r="O588" t="n">
        <v>0</v>
      </c>
      <c r="P588" t="n">
        <v>0</v>
      </c>
      <c r="Q588" t="n">
        <v>0</v>
      </c>
      <c r="R588" s="2" t="inlineStr"/>
    </row>
    <row r="589" ht="15" customHeight="1">
      <c r="A589" t="inlineStr">
        <is>
          <t>A 40868-2024</t>
        </is>
      </c>
      <c r="B589" s="1" t="n">
        <v>45558</v>
      </c>
      <c r="C589" s="1" t="n">
        <v>45999</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22646-2025</t>
        </is>
      </c>
      <c r="B590" s="1" t="n">
        <v>45786</v>
      </c>
      <c r="C590" s="1" t="n">
        <v>45999</v>
      </c>
      <c r="D590" t="inlineStr">
        <is>
          <t>DALARNAS LÄN</t>
        </is>
      </c>
      <c r="E590" t="inlineStr">
        <is>
          <t>LEKSAND</t>
        </is>
      </c>
      <c r="F590" t="inlineStr">
        <is>
          <t>Kommuner</t>
        </is>
      </c>
      <c r="G590" t="n">
        <v>1.6</v>
      </c>
      <c r="H590" t="n">
        <v>0</v>
      </c>
      <c r="I590" t="n">
        <v>0</v>
      </c>
      <c r="J590" t="n">
        <v>0</v>
      </c>
      <c r="K590" t="n">
        <v>0</v>
      </c>
      <c r="L590" t="n">
        <v>0</v>
      </c>
      <c r="M590" t="n">
        <v>0</v>
      </c>
      <c r="N590" t="n">
        <v>0</v>
      </c>
      <c r="O590" t="n">
        <v>0</v>
      </c>
      <c r="P590" t="n">
        <v>0</v>
      </c>
      <c r="Q590" t="n">
        <v>0</v>
      </c>
      <c r="R590" s="2" t="inlineStr"/>
    </row>
    <row r="591" ht="15" customHeight="1">
      <c r="A591" t="inlineStr">
        <is>
          <t>A 49076-2025</t>
        </is>
      </c>
      <c r="B591" s="1" t="n">
        <v>45937.65601851852</v>
      </c>
      <c r="C591" s="1" t="n">
        <v>45999</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57223-2025</t>
        </is>
      </c>
      <c r="B592" s="1" t="n">
        <v>45979.61486111111</v>
      </c>
      <c r="C592" s="1" t="n">
        <v>45999</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24369-2025</t>
        </is>
      </c>
      <c r="B593" s="1" t="n">
        <v>45797.60731481481</v>
      </c>
      <c r="C593" s="1" t="n">
        <v>45999</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49212-2025</t>
        </is>
      </c>
      <c r="B594" s="1" t="n">
        <v>45938.43855324074</v>
      </c>
      <c r="C594" s="1" t="n">
        <v>45999</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44516-2025</t>
        </is>
      </c>
      <c r="B595" s="1" t="n">
        <v>45916.70982638889</v>
      </c>
      <c r="C595" s="1" t="n">
        <v>45999</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44519-2025</t>
        </is>
      </c>
      <c r="B596" s="1" t="n">
        <v>45916.71483796297</v>
      </c>
      <c r="C596" s="1" t="n">
        <v>45999</v>
      </c>
      <c r="D596" t="inlineStr">
        <is>
          <t>DALARNAS LÄN</t>
        </is>
      </c>
      <c r="E596" t="inlineStr">
        <is>
          <t>LEKSAND</t>
        </is>
      </c>
      <c r="G596" t="n">
        <v>3.6</v>
      </c>
      <c r="H596" t="n">
        <v>0</v>
      </c>
      <c r="I596" t="n">
        <v>0</v>
      </c>
      <c r="J596" t="n">
        <v>0</v>
      </c>
      <c r="K596" t="n">
        <v>0</v>
      </c>
      <c r="L596" t="n">
        <v>0</v>
      </c>
      <c r="M596" t="n">
        <v>0</v>
      </c>
      <c r="N596" t="n">
        <v>0</v>
      </c>
      <c r="O596" t="n">
        <v>0</v>
      </c>
      <c r="P596" t="n">
        <v>0</v>
      </c>
      <c r="Q596" t="n">
        <v>0</v>
      </c>
      <c r="R596" s="2" t="inlineStr"/>
    </row>
    <row r="597" ht="15" customHeight="1">
      <c r="A597" t="inlineStr">
        <is>
          <t>A 24715-2025</t>
        </is>
      </c>
      <c r="B597" s="1" t="n">
        <v>45798.97899305556</v>
      </c>
      <c r="C597" s="1" t="n">
        <v>45999</v>
      </c>
      <c r="D597" t="inlineStr">
        <is>
          <t>DALARNAS LÄN</t>
        </is>
      </c>
      <c r="E597" t="inlineStr">
        <is>
          <t>LEKSAND</t>
        </is>
      </c>
      <c r="G597" t="n">
        <v>8.4</v>
      </c>
      <c r="H597" t="n">
        <v>0</v>
      </c>
      <c r="I597" t="n">
        <v>0</v>
      </c>
      <c r="J597" t="n">
        <v>0</v>
      </c>
      <c r="K597" t="n">
        <v>0</v>
      </c>
      <c r="L597" t="n">
        <v>0</v>
      </c>
      <c r="M597" t="n">
        <v>0</v>
      </c>
      <c r="N597" t="n">
        <v>0</v>
      </c>
      <c r="O597" t="n">
        <v>0</v>
      </c>
      <c r="P597" t="n">
        <v>0</v>
      </c>
      <c r="Q597" t="n">
        <v>0</v>
      </c>
      <c r="R597" s="2" t="inlineStr"/>
    </row>
    <row r="598" ht="15" customHeight="1">
      <c r="A598" t="inlineStr">
        <is>
          <t>A 53190-2025</t>
        </is>
      </c>
      <c r="B598" s="1" t="n">
        <v>45958.56283564815</v>
      </c>
      <c r="C598" s="1" t="n">
        <v>45999</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25096-2025</t>
        </is>
      </c>
      <c r="B599" s="1" t="n">
        <v>45800.33868055556</v>
      </c>
      <c r="C599" s="1" t="n">
        <v>45999</v>
      </c>
      <c r="D599" t="inlineStr">
        <is>
          <t>DALARNAS LÄN</t>
        </is>
      </c>
      <c r="E599" t="inlineStr">
        <is>
          <t>LEKSAND</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25105-2025</t>
        </is>
      </c>
      <c r="B600" s="1" t="n">
        <v>45800.34751157407</v>
      </c>
      <c r="C600" s="1" t="n">
        <v>45999</v>
      </c>
      <c r="D600" t="inlineStr">
        <is>
          <t>DALARNAS LÄN</t>
        </is>
      </c>
      <c r="E600" t="inlineStr">
        <is>
          <t>LEKSAND</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57536-2025</t>
        </is>
      </c>
      <c r="B601" s="1" t="n">
        <v>45980.64287037037</v>
      </c>
      <c r="C601" s="1" t="n">
        <v>45999</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44237-2025</t>
        </is>
      </c>
      <c r="B602" s="1" t="n">
        <v>45915.6677199074</v>
      </c>
      <c r="C602" s="1" t="n">
        <v>45999</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31255-2023</t>
        </is>
      </c>
      <c r="B603" s="1" t="n">
        <v>45114.36729166667</v>
      </c>
      <c r="C603" s="1" t="n">
        <v>45999</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25610-2025</t>
        </is>
      </c>
      <c r="B604" s="1" t="n">
        <v>45803.56033564815</v>
      </c>
      <c r="C604" s="1" t="n">
        <v>45999</v>
      </c>
      <c r="D604" t="inlineStr">
        <is>
          <t>DALARNAS LÄN</t>
        </is>
      </c>
      <c r="E604" t="inlineStr">
        <is>
          <t>LEKSAND</t>
        </is>
      </c>
      <c r="G604" t="n">
        <v>5.2</v>
      </c>
      <c r="H604" t="n">
        <v>0</v>
      </c>
      <c r="I604" t="n">
        <v>0</v>
      </c>
      <c r="J604" t="n">
        <v>0</v>
      </c>
      <c r="K604" t="n">
        <v>0</v>
      </c>
      <c r="L604" t="n">
        <v>0</v>
      </c>
      <c r="M604" t="n">
        <v>0</v>
      </c>
      <c r="N604" t="n">
        <v>0</v>
      </c>
      <c r="O604" t="n">
        <v>0</v>
      </c>
      <c r="P604" t="n">
        <v>0</v>
      </c>
      <c r="Q604" t="n">
        <v>0</v>
      </c>
      <c r="R604" s="2" t="inlineStr"/>
    </row>
    <row r="605" ht="15" customHeight="1">
      <c r="A605" t="inlineStr">
        <is>
          <t>A 57267-2025</t>
        </is>
      </c>
      <c r="B605" s="1" t="n">
        <v>45979.67476851852</v>
      </c>
      <c r="C605" s="1" t="n">
        <v>45999</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52671-2025</t>
        </is>
      </c>
      <c r="B606" s="1" t="n">
        <v>45955.98113425926</v>
      </c>
      <c r="C606" s="1" t="n">
        <v>45999</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53041-2025</t>
        </is>
      </c>
      <c r="B607" s="1" t="n">
        <v>45958.35487268519</v>
      </c>
      <c r="C607" s="1" t="n">
        <v>45999</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53243-2025</t>
        </is>
      </c>
      <c r="B608" s="1" t="n">
        <v>45958.6442824074</v>
      </c>
      <c r="C608" s="1" t="n">
        <v>45999</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57760-2025</t>
        </is>
      </c>
      <c r="B609" s="1" t="n">
        <v>45981</v>
      </c>
      <c r="C609" s="1" t="n">
        <v>45999</v>
      </c>
      <c r="D609" t="inlineStr">
        <is>
          <t>DALARNAS LÄN</t>
        </is>
      </c>
      <c r="E609" t="inlineStr">
        <is>
          <t>LEKSAND</t>
        </is>
      </c>
      <c r="G609" t="n">
        <v>3.9</v>
      </c>
      <c r="H609" t="n">
        <v>0</v>
      </c>
      <c r="I609" t="n">
        <v>0</v>
      </c>
      <c r="J609" t="n">
        <v>0</v>
      </c>
      <c r="K609" t="n">
        <v>0</v>
      </c>
      <c r="L609" t="n">
        <v>0</v>
      </c>
      <c r="M609" t="n">
        <v>0</v>
      </c>
      <c r="N609" t="n">
        <v>0</v>
      </c>
      <c r="O609" t="n">
        <v>0</v>
      </c>
      <c r="P609" t="n">
        <v>0</v>
      </c>
      <c r="Q609" t="n">
        <v>0</v>
      </c>
      <c r="R609" s="2" t="inlineStr"/>
    </row>
    <row r="610" ht="15" customHeight="1">
      <c r="A610" t="inlineStr">
        <is>
          <t>A 57962-2025</t>
        </is>
      </c>
      <c r="B610" s="1" t="n">
        <v>45982.37767361111</v>
      </c>
      <c r="C610" s="1" t="n">
        <v>45999</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57688-2025</t>
        </is>
      </c>
      <c r="B611" s="1" t="n">
        <v>45981.44429398148</v>
      </c>
      <c r="C611" s="1" t="n">
        <v>45999</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44948-2025</t>
        </is>
      </c>
      <c r="B612" s="1" t="n">
        <v>45918.60555555556</v>
      </c>
      <c r="C612" s="1" t="n">
        <v>45999</v>
      </c>
      <c r="D612" t="inlineStr">
        <is>
          <t>DALARNAS LÄN</t>
        </is>
      </c>
      <c r="E612" t="inlineStr">
        <is>
          <t>LEKSAND</t>
        </is>
      </c>
      <c r="G612" t="n">
        <v>5.1</v>
      </c>
      <c r="H612" t="n">
        <v>0</v>
      </c>
      <c r="I612" t="n">
        <v>0</v>
      </c>
      <c r="J612" t="n">
        <v>0</v>
      </c>
      <c r="K612" t="n">
        <v>0</v>
      </c>
      <c r="L612" t="n">
        <v>0</v>
      </c>
      <c r="M612" t="n">
        <v>0</v>
      </c>
      <c r="N612" t="n">
        <v>0</v>
      </c>
      <c r="O612" t="n">
        <v>0</v>
      </c>
      <c r="P612" t="n">
        <v>0</v>
      </c>
      <c r="Q612" t="n">
        <v>0</v>
      </c>
      <c r="R612" s="2" t="inlineStr"/>
    </row>
    <row r="613" ht="15" customHeight="1">
      <c r="A613" t="inlineStr">
        <is>
          <t>A 57869-2025</t>
        </is>
      </c>
      <c r="B613" s="1" t="n">
        <v>45981.65211805556</v>
      </c>
      <c r="C613" s="1" t="n">
        <v>45999</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53718-2025</t>
        </is>
      </c>
      <c r="B614" s="1" t="n">
        <v>45960.61840277778</v>
      </c>
      <c r="C614" s="1" t="n">
        <v>45999</v>
      </c>
      <c r="D614" t="inlineStr">
        <is>
          <t>DALARNAS LÄN</t>
        </is>
      </c>
      <c r="E614" t="inlineStr">
        <is>
          <t>LEKSAND</t>
        </is>
      </c>
      <c r="G614" t="n">
        <v>7.5</v>
      </c>
      <c r="H614" t="n">
        <v>0</v>
      </c>
      <c r="I614" t="n">
        <v>0</v>
      </c>
      <c r="J614" t="n">
        <v>0</v>
      </c>
      <c r="K614" t="n">
        <v>0</v>
      </c>
      <c r="L614" t="n">
        <v>0</v>
      </c>
      <c r="M614" t="n">
        <v>0</v>
      </c>
      <c r="N614" t="n">
        <v>0</v>
      </c>
      <c r="O614" t="n">
        <v>0</v>
      </c>
      <c r="P614" t="n">
        <v>0</v>
      </c>
      <c r="Q614" t="n">
        <v>0</v>
      </c>
      <c r="R614" s="2" t="inlineStr"/>
    </row>
    <row r="615" ht="15" customHeight="1">
      <c r="A615" t="inlineStr">
        <is>
          <t>A 49505-2025</t>
        </is>
      </c>
      <c r="B615" s="1" t="n">
        <v>45939.37564814815</v>
      </c>
      <c r="C615" s="1" t="n">
        <v>45999</v>
      </c>
      <c r="D615" t="inlineStr">
        <is>
          <t>DALARNAS LÄN</t>
        </is>
      </c>
      <c r="E615" t="inlineStr">
        <is>
          <t>LEKSAND</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2630-2025</t>
        </is>
      </c>
      <c r="B616" s="1" t="n">
        <v>45675.85865740741</v>
      </c>
      <c r="C616" s="1" t="n">
        <v>45999</v>
      </c>
      <c r="D616" t="inlineStr">
        <is>
          <t>DALARNAS LÄN</t>
        </is>
      </c>
      <c r="E616" t="inlineStr">
        <is>
          <t>LEKSAND</t>
        </is>
      </c>
      <c r="G616" t="n">
        <v>1.6</v>
      </c>
      <c r="H616" t="n">
        <v>0</v>
      </c>
      <c r="I616" t="n">
        <v>0</v>
      </c>
      <c r="J616" t="n">
        <v>0</v>
      </c>
      <c r="K616" t="n">
        <v>0</v>
      </c>
      <c r="L616" t="n">
        <v>0</v>
      </c>
      <c r="M616" t="n">
        <v>0</v>
      </c>
      <c r="N616" t="n">
        <v>0</v>
      </c>
      <c r="O616" t="n">
        <v>0</v>
      </c>
      <c r="P616" t="n">
        <v>0</v>
      </c>
      <c r="Q616" t="n">
        <v>0</v>
      </c>
      <c r="R616" s="2" t="inlineStr"/>
    </row>
    <row r="617" ht="15" customHeight="1">
      <c r="A617" t="inlineStr">
        <is>
          <t>A 58114-2025</t>
        </is>
      </c>
      <c r="B617" s="1" t="n">
        <v>45982.60335648148</v>
      </c>
      <c r="C617" s="1" t="n">
        <v>45999</v>
      </c>
      <c r="D617" t="inlineStr">
        <is>
          <t>DALARNAS LÄN</t>
        </is>
      </c>
      <c r="E617" t="inlineStr">
        <is>
          <t>LEKSAND</t>
        </is>
      </c>
      <c r="G617" t="n">
        <v>3</v>
      </c>
      <c r="H617" t="n">
        <v>0</v>
      </c>
      <c r="I617" t="n">
        <v>0</v>
      </c>
      <c r="J617" t="n">
        <v>0</v>
      </c>
      <c r="K617" t="n">
        <v>0</v>
      </c>
      <c r="L617" t="n">
        <v>0</v>
      </c>
      <c r="M617" t="n">
        <v>0</v>
      </c>
      <c r="N617" t="n">
        <v>0</v>
      </c>
      <c r="O617" t="n">
        <v>0</v>
      </c>
      <c r="P617" t="n">
        <v>0</v>
      </c>
      <c r="Q617" t="n">
        <v>0</v>
      </c>
      <c r="R617" s="2" t="inlineStr"/>
    </row>
    <row r="618" ht="15" customHeight="1">
      <c r="A618" t="inlineStr">
        <is>
          <t>A 54677-2025</t>
        </is>
      </c>
      <c r="B618" s="1" t="n">
        <v>45966</v>
      </c>
      <c r="C618" s="1" t="n">
        <v>45999</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53438-2025</t>
        </is>
      </c>
      <c r="B619" s="1" t="n">
        <v>45959.63711805556</v>
      </c>
      <c r="C619" s="1" t="n">
        <v>45999</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26386-2025</t>
        </is>
      </c>
      <c r="B620" s="1" t="n">
        <v>45806</v>
      </c>
      <c r="C620" s="1" t="n">
        <v>45999</v>
      </c>
      <c r="D620" t="inlineStr">
        <is>
          <t>DALARNAS LÄN</t>
        </is>
      </c>
      <c r="E620" t="inlineStr">
        <is>
          <t>LEKSAND</t>
        </is>
      </c>
      <c r="F620" t="inlineStr">
        <is>
          <t>Bergvik skog väst AB</t>
        </is>
      </c>
      <c r="G620" t="n">
        <v>26.3</v>
      </c>
      <c r="H620" t="n">
        <v>0</v>
      </c>
      <c r="I620" t="n">
        <v>0</v>
      </c>
      <c r="J620" t="n">
        <v>0</v>
      </c>
      <c r="K620" t="n">
        <v>0</v>
      </c>
      <c r="L620" t="n">
        <v>0</v>
      </c>
      <c r="M620" t="n">
        <v>0</v>
      </c>
      <c r="N620" t="n">
        <v>0</v>
      </c>
      <c r="O620" t="n">
        <v>0</v>
      </c>
      <c r="P620" t="n">
        <v>0</v>
      </c>
      <c r="Q620" t="n">
        <v>0</v>
      </c>
      <c r="R620" s="2" t="inlineStr"/>
    </row>
    <row r="621" ht="15" customHeight="1">
      <c r="A621" t="inlineStr">
        <is>
          <t>A 58519-2025</t>
        </is>
      </c>
      <c r="B621" s="1" t="n">
        <v>45985.70894675926</v>
      </c>
      <c r="C621" s="1" t="n">
        <v>45999</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25329-2022</t>
        </is>
      </c>
      <c r="B622" s="1" t="n">
        <v>44731.8799537037</v>
      </c>
      <c r="C622" s="1" t="n">
        <v>45999</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58626-2025</t>
        </is>
      </c>
      <c r="B623" s="1" t="n">
        <v>45986.47667824074</v>
      </c>
      <c r="C623" s="1" t="n">
        <v>45999</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50332-2025</t>
        </is>
      </c>
      <c r="B624" s="1" t="n">
        <v>45944.47092592593</v>
      </c>
      <c r="C624" s="1" t="n">
        <v>45999</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44672-2025</t>
        </is>
      </c>
      <c r="B625" s="1" t="n">
        <v>45917.56780092593</v>
      </c>
      <c r="C625" s="1" t="n">
        <v>45999</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53619-2025</t>
        </is>
      </c>
      <c r="B626" s="1" t="n">
        <v>45960</v>
      </c>
      <c r="C626" s="1" t="n">
        <v>45999</v>
      </c>
      <c r="D626" t="inlineStr">
        <is>
          <t>DALARNAS LÄN</t>
        </is>
      </c>
      <c r="E626" t="inlineStr">
        <is>
          <t>LEKSAND</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26423-2025</t>
        </is>
      </c>
      <c r="B627" s="1" t="n">
        <v>45807.37829861111</v>
      </c>
      <c r="C627" s="1" t="n">
        <v>45999</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27323-2025</t>
        </is>
      </c>
      <c r="B628" s="1" t="n">
        <v>45812.60392361111</v>
      </c>
      <c r="C628" s="1" t="n">
        <v>45999</v>
      </c>
      <c r="D628" t="inlineStr">
        <is>
          <t>DALARNAS LÄN</t>
        </is>
      </c>
      <c r="E628" t="inlineStr">
        <is>
          <t>LEKSAND</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45101-2025</t>
        </is>
      </c>
      <c r="B629" s="1" t="n">
        <v>45919.39679398148</v>
      </c>
      <c r="C629" s="1" t="n">
        <v>45999</v>
      </c>
      <c r="D629" t="inlineStr">
        <is>
          <t>DALARNAS LÄN</t>
        </is>
      </c>
      <c r="E629" t="inlineStr">
        <is>
          <t>LEKSAND</t>
        </is>
      </c>
      <c r="G629" t="n">
        <v>0.7</v>
      </c>
      <c r="H629" t="n">
        <v>0</v>
      </c>
      <c r="I629" t="n">
        <v>0</v>
      </c>
      <c r="J629" t="n">
        <v>0</v>
      </c>
      <c r="K629" t="n">
        <v>0</v>
      </c>
      <c r="L629" t="n">
        <v>0</v>
      </c>
      <c r="M629" t="n">
        <v>0</v>
      </c>
      <c r="N629" t="n">
        <v>0</v>
      </c>
      <c r="O629" t="n">
        <v>0</v>
      </c>
      <c r="P629" t="n">
        <v>0</v>
      </c>
      <c r="Q629" t="n">
        <v>0</v>
      </c>
      <c r="R629" s="2" t="inlineStr"/>
    </row>
    <row r="630" ht="15" customHeight="1">
      <c r="A630" t="inlineStr">
        <is>
          <t>A 53838-2025</t>
        </is>
      </c>
      <c r="B630" s="1" t="n">
        <v>45961.34895833334</v>
      </c>
      <c r="C630" s="1" t="n">
        <v>45999</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58674-2025</t>
        </is>
      </c>
      <c r="B631" s="1" t="n">
        <v>45986.55810185185</v>
      </c>
      <c r="C631" s="1" t="n">
        <v>45999</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54120-2025</t>
        </is>
      </c>
      <c r="B632" s="1" t="n">
        <v>45964.45040509259</v>
      </c>
      <c r="C632" s="1" t="n">
        <v>45999</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54125-2025</t>
        </is>
      </c>
      <c r="B633" s="1" t="n">
        <v>45964.45671296296</v>
      </c>
      <c r="C633" s="1" t="n">
        <v>45999</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54015-2025</t>
        </is>
      </c>
      <c r="B634" s="1" t="n">
        <v>45961.64158564815</v>
      </c>
      <c r="C634" s="1" t="n">
        <v>45999</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58376-2025</t>
        </is>
      </c>
      <c r="B635" s="1" t="n">
        <v>45985.53180555555</v>
      </c>
      <c r="C635" s="1" t="n">
        <v>45999</v>
      </c>
      <c r="D635" t="inlineStr">
        <is>
          <t>DALARNAS LÄN</t>
        </is>
      </c>
      <c r="E635" t="inlineStr">
        <is>
          <t>LEKSAND</t>
        </is>
      </c>
      <c r="G635" t="n">
        <v>5.7</v>
      </c>
      <c r="H635" t="n">
        <v>0</v>
      </c>
      <c r="I635" t="n">
        <v>0</v>
      </c>
      <c r="J635" t="n">
        <v>0</v>
      </c>
      <c r="K635" t="n">
        <v>0</v>
      </c>
      <c r="L635" t="n">
        <v>0</v>
      </c>
      <c r="M635" t="n">
        <v>0</v>
      </c>
      <c r="N635" t="n">
        <v>0</v>
      </c>
      <c r="O635" t="n">
        <v>0</v>
      </c>
      <c r="P635" t="n">
        <v>0</v>
      </c>
      <c r="Q635" t="n">
        <v>0</v>
      </c>
      <c r="R635" s="2" t="inlineStr"/>
    </row>
    <row r="636" ht="15" customHeight="1">
      <c r="A636" t="inlineStr">
        <is>
          <t>A 45300-2025</t>
        </is>
      </c>
      <c r="B636" s="1" t="n">
        <v>45921.30490740741</v>
      </c>
      <c r="C636" s="1" t="n">
        <v>45999</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58516-2025</t>
        </is>
      </c>
      <c r="B637" s="1" t="n">
        <v>45985.70596064815</v>
      </c>
      <c r="C637" s="1" t="n">
        <v>45999</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27183-2025</t>
        </is>
      </c>
      <c r="B638" s="1" t="n">
        <v>45812.36097222222</v>
      </c>
      <c r="C638" s="1" t="n">
        <v>45999</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27262-2025</t>
        </is>
      </c>
      <c r="B639" s="1" t="n">
        <v>45812</v>
      </c>
      <c r="C639" s="1" t="n">
        <v>45999</v>
      </c>
      <c r="D639" t="inlineStr">
        <is>
          <t>DALARNAS LÄN</t>
        </is>
      </c>
      <c r="E639" t="inlineStr">
        <is>
          <t>LEKSAND</t>
        </is>
      </c>
      <c r="F639" t="inlineStr">
        <is>
          <t>Bergvik skog väst AB</t>
        </is>
      </c>
      <c r="G639" t="n">
        <v>7.7</v>
      </c>
      <c r="H639" t="n">
        <v>0</v>
      </c>
      <c r="I639" t="n">
        <v>0</v>
      </c>
      <c r="J639" t="n">
        <v>0</v>
      </c>
      <c r="K639" t="n">
        <v>0</v>
      </c>
      <c r="L639" t="n">
        <v>0</v>
      </c>
      <c r="M639" t="n">
        <v>0</v>
      </c>
      <c r="N639" t="n">
        <v>0</v>
      </c>
      <c r="O639" t="n">
        <v>0</v>
      </c>
      <c r="P639" t="n">
        <v>0</v>
      </c>
      <c r="Q639" t="n">
        <v>0</v>
      </c>
      <c r="R639" s="2" t="inlineStr"/>
    </row>
    <row r="640" ht="15" customHeight="1">
      <c r="A640" t="inlineStr">
        <is>
          <t>A 27329-2025</t>
        </is>
      </c>
      <c r="B640" s="1" t="n">
        <v>45812.60864583333</v>
      </c>
      <c r="C640" s="1" t="n">
        <v>45999</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27332-2025</t>
        </is>
      </c>
      <c r="B641" s="1" t="n">
        <v>45812.61265046296</v>
      </c>
      <c r="C641" s="1" t="n">
        <v>45999</v>
      </c>
      <c r="D641" t="inlineStr">
        <is>
          <t>DALARNAS LÄN</t>
        </is>
      </c>
      <c r="E641" t="inlineStr">
        <is>
          <t>LEKSAND</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58449-2025</t>
        </is>
      </c>
      <c r="B642" s="1" t="n">
        <v>45985.62520833333</v>
      </c>
      <c r="C642" s="1" t="n">
        <v>45999</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53804-2025</t>
        </is>
      </c>
      <c r="B643" s="1" t="n">
        <v>45960.83247685185</v>
      </c>
      <c r="C643" s="1" t="n">
        <v>45999</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45381-2025</t>
        </is>
      </c>
      <c r="B644" s="1" t="n">
        <v>45922.39989583333</v>
      </c>
      <c r="C644" s="1" t="n">
        <v>45999</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27682-2025</t>
        </is>
      </c>
      <c r="B645" s="1" t="n">
        <v>45813.64782407408</v>
      </c>
      <c r="C645" s="1" t="n">
        <v>45999</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27705-2025</t>
        </is>
      </c>
      <c r="B646" s="1" t="n">
        <v>45813</v>
      </c>
      <c r="C646" s="1" t="n">
        <v>45999</v>
      </c>
      <c r="D646" t="inlineStr">
        <is>
          <t>DALARNAS LÄN</t>
        </is>
      </c>
      <c r="E646" t="inlineStr">
        <is>
          <t>LEKSAND</t>
        </is>
      </c>
      <c r="G646" t="n">
        <v>0.8</v>
      </c>
      <c r="H646" t="n">
        <v>0</v>
      </c>
      <c r="I646" t="n">
        <v>0</v>
      </c>
      <c r="J646" t="n">
        <v>0</v>
      </c>
      <c r="K646" t="n">
        <v>0</v>
      </c>
      <c r="L646" t="n">
        <v>0</v>
      </c>
      <c r="M646" t="n">
        <v>0</v>
      </c>
      <c r="N646" t="n">
        <v>0</v>
      </c>
      <c r="O646" t="n">
        <v>0</v>
      </c>
      <c r="P646" t="n">
        <v>0</v>
      </c>
      <c r="Q646" t="n">
        <v>0</v>
      </c>
      <c r="R646" s="2" t="inlineStr"/>
    </row>
    <row r="647" ht="15" customHeight="1">
      <c r="A647" t="inlineStr">
        <is>
          <t>A 53836-2025</t>
        </is>
      </c>
      <c r="B647" s="1" t="n">
        <v>45961.3475462963</v>
      </c>
      <c r="C647" s="1" t="n">
        <v>45999</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27680-2025</t>
        </is>
      </c>
      <c r="B648" s="1" t="n">
        <v>45813.64618055556</v>
      </c>
      <c r="C648" s="1" t="n">
        <v>45999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45318-2025</t>
        </is>
      </c>
      <c r="B649" s="1" t="n">
        <v>45921.85230324074</v>
      </c>
      <c r="C649" s="1" t="n">
        <v>45999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28483-2025</t>
        </is>
      </c>
      <c r="B650" s="1" t="n">
        <v>45818</v>
      </c>
      <c r="C650" s="1" t="n">
        <v>45999</v>
      </c>
      <c r="D650" t="inlineStr">
        <is>
          <t>DALARNAS LÄN</t>
        </is>
      </c>
      <c r="E650" t="inlineStr">
        <is>
          <t>LEKSAND</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54779-2025</t>
        </is>
      </c>
      <c r="B651" s="1" t="n">
        <v>45966.61672453704</v>
      </c>
      <c r="C651" s="1" t="n">
        <v>45999</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54815-2025</t>
        </is>
      </c>
      <c r="B652" s="1" t="n">
        <v>45966.65237268519</v>
      </c>
      <c r="C652" s="1" t="n">
        <v>45999</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58921-2025</t>
        </is>
      </c>
      <c r="B653" s="1" t="n">
        <v>45986</v>
      </c>
      <c r="C653" s="1" t="n">
        <v>45999</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28505-2025</t>
        </is>
      </c>
      <c r="B654" s="1" t="n">
        <v>45818</v>
      </c>
      <c r="C654" s="1" t="n">
        <v>45999</v>
      </c>
      <c r="D654" t="inlineStr">
        <is>
          <t>DALARNAS LÄN</t>
        </is>
      </c>
      <c r="E654" t="inlineStr">
        <is>
          <t>LEKSAND</t>
        </is>
      </c>
      <c r="G654" t="n">
        <v>0.8</v>
      </c>
      <c r="H654" t="n">
        <v>0</v>
      </c>
      <c r="I654" t="n">
        <v>0</v>
      </c>
      <c r="J654" t="n">
        <v>0</v>
      </c>
      <c r="K654" t="n">
        <v>0</v>
      </c>
      <c r="L654" t="n">
        <v>0</v>
      </c>
      <c r="M654" t="n">
        <v>0</v>
      </c>
      <c r="N654" t="n">
        <v>0</v>
      </c>
      <c r="O654" t="n">
        <v>0</v>
      </c>
      <c r="P654" t="n">
        <v>0</v>
      </c>
      <c r="Q654" t="n">
        <v>0</v>
      </c>
      <c r="R654" s="2" t="inlineStr"/>
    </row>
    <row r="655" ht="15" customHeight="1">
      <c r="A655" t="inlineStr">
        <is>
          <t>A 28499-2025</t>
        </is>
      </c>
      <c r="B655" s="1" t="n">
        <v>45818</v>
      </c>
      <c r="C655" s="1" t="n">
        <v>45999</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27984-2025</t>
        </is>
      </c>
      <c r="B656" s="1" t="n">
        <v>45817.57710648148</v>
      </c>
      <c r="C656" s="1" t="n">
        <v>45999</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54767-2025</t>
        </is>
      </c>
      <c r="B657" s="1" t="n">
        <v>45966.60414351852</v>
      </c>
      <c r="C657" s="1" t="n">
        <v>45999</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54785-2025</t>
        </is>
      </c>
      <c r="B658" s="1" t="n">
        <v>45966.62619212963</v>
      </c>
      <c r="C658" s="1" t="n">
        <v>45999</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54805-2025</t>
        </is>
      </c>
      <c r="B659" s="1" t="n">
        <v>45966.64165509259</v>
      </c>
      <c r="C659" s="1" t="n">
        <v>45999</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28488-2025</t>
        </is>
      </c>
      <c r="B660" s="1" t="n">
        <v>45818</v>
      </c>
      <c r="C660" s="1" t="n">
        <v>45999</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54494-2025</t>
        </is>
      </c>
      <c r="B661" s="1" t="n">
        <v>45965.59965277778</v>
      </c>
      <c r="C661" s="1" t="n">
        <v>45999</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59106-2025</t>
        </is>
      </c>
      <c r="B662" s="1" t="n">
        <v>45988.46891203704</v>
      </c>
      <c r="C662" s="1" t="n">
        <v>45999</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50704-2025</t>
        </is>
      </c>
      <c r="B663" s="1" t="n">
        <v>45946.27984953704</v>
      </c>
      <c r="C663" s="1" t="n">
        <v>45999</v>
      </c>
      <c r="D663" t="inlineStr">
        <is>
          <t>DALARNAS LÄN</t>
        </is>
      </c>
      <c r="E663" t="inlineStr">
        <is>
          <t>LEKSAND</t>
        </is>
      </c>
      <c r="G663" t="n">
        <v>2.1</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45999</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59271-2025</t>
        </is>
      </c>
      <c r="B665" s="1" t="n">
        <v>45988.68571759259</v>
      </c>
      <c r="C665" s="1" t="n">
        <v>45999</v>
      </c>
      <c r="D665" t="inlineStr">
        <is>
          <t>DALARNAS LÄN</t>
        </is>
      </c>
      <c r="E665" t="inlineStr">
        <is>
          <t>LEKSAND</t>
        </is>
      </c>
      <c r="G665" t="n">
        <v>2.2</v>
      </c>
      <c r="H665" t="n">
        <v>0</v>
      </c>
      <c r="I665" t="n">
        <v>0</v>
      </c>
      <c r="J665" t="n">
        <v>0</v>
      </c>
      <c r="K665" t="n">
        <v>0</v>
      </c>
      <c r="L665" t="n">
        <v>0</v>
      </c>
      <c r="M665" t="n">
        <v>0</v>
      </c>
      <c r="N665" t="n">
        <v>0</v>
      </c>
      <c r="O665" t="n">
        <v>0</v>
      </c>
      <c r="P665" t="n">
        <v>0</v>
      </c>
      <c r="Q665" t="n">
        <v>0</v>
      </c>
      <c r="R665" s="2" t="inlineStr"/>
    </row>
    <row r="666" ht="15" customHeight="1">
      <c r="A666" t="inlineStr">
        <is>
          <t>A 54440-2025</t>
        </is>
      </c>
      <c r="B666" s="1" t="n">
        <v>45965.50385416667</v>
      </c>
      <c r="C666" s="1" t="n">
        <v>45999</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54293-2025</t>
        </is>
      </c>
      <c r="B667" s="1" t="n">
        <v>45964.86651620371</v>
      </c>
      <c r="C667" s="1" t="n">
        <v>45999</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54295-2025</t>
        </is>
      </c>
      <c r="B668" s="1" t="n">
        <v>45964.87122685185</v>
      </c>
      <c r="C668" s="1" t="n">
        <v>45999</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6028-2025</t>
        </is>
      </c>
      <c r="B669" s="1" t="n">
        <v>45695</v>
      </c>
      <c r="C669" s="1" t="n">
        <v>45999</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54752-2025</t>
        </is>
      </c>
      <c r="B670" s="1" t="n">
        <v>45966.5916087963</v>
      </c>
      <c r="C670" s="1" t="n">
        <v>45999</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28770-2025</t>
        </is>
      </c>
      <c r="B671" s="1" t="n">
        <v>45820</v>
      </c>
      <c r="C671" s="1" t="n">
        <v>45999</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28458-2025</t>
        </is>
      </c>
      <c r="B672" s="1" t="n">
        <v>45819.413125</v>
      </c>
      <c r="C672" s="1" t="n">
        <v>45999</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29005-2025</t>
        </is>
      </c>
      <c r="B673" s="1" t="n">
        <v>45821.39326388889</v>
      </c>
      <c r="C673" s="1" t="n">
        <v>45999</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32726-2025</t>
        </is>
      </c>
      <c r="B674" s="1" t="n">
        <v>45839.3969212963</v>
      </c>
      <c r="C674" s="1" t="n">
        <v>45999</v>
      </c>
      <c r="D674" t="inlineStr">
        <is>
          <t>DALARNAS LÄN</t>
        </is>
      </c>
      <c r="E674" t="inlineStr">
        <is>
          <t>LEKSAND</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28985-2025</t>
        </is>
      </c>
      <c r="B675" s="1" t="n">
        <v>45821.36862268519</v>
      </c>
      <c r="C675" s="1" t="n">
        <v>45999</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46405-2025</t>
        </is>
      </c>
      <c r="B676" s="1" t="n">
        <v>45925.56306712963</v>
      </c>
      <c r="C676" s="1" t="n">
        <v>45999</v>
      </c>
      <c r="D676" t="inlineStr">
        <is>
          <t>DALARNAS LÄN</t>
        </is>
      </c>
      <c r="E676" t="inlineStr">
        <is>
          <t>LEKSAND</t>
        </is>
      </c>
      <c r="G676" t="n">
        <v>5.7</v>
      </c>
      <c r="H676" t="n">
        <v>0</v>
      </c>
      <c r="I676" t="n">
        <v>0</v>
      </c>
      <c r="J676" t="n">
        <v>0</v>
      </c>
      <c r="K676" t="n">
        <v>0</v>
      </c>
      <c r="L676" t="n">
        <v>0</v>
      </c>
      <c r="M676" t="n">
        <v>0</v>
      </c>
      <c r="N676" t="n">
        <v>0</v>
      </c>
      <c r="O676" t="n">
        <v>0</v>
      </c>
      <c r="P676" t="n">
        <v>0</v>
      </c>
      <c r="Q676" t="n">
        <v>0</v>
      </c>
      <c r="R676" s="2" t="inlineStr"/>
    </row>
    <row r="677" ht="15" customHeight="1">
      <c r="A677" t="inlineStr">
        <is>
          <t>A 46483-2025</t>
        </is>
      </c>
      <c r="B677" s="1" t="n">
        <v>45925.70248842592</v>
      </c>
      <c r="C677" s="1" t="n">
        <v>45999</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29729-2025</t>
        </is>
      </c>
      <c r="B678" s="1" t="n">
        <v>45825.58077546296</v>
      </c>
      <c r="C678" s="1" t="n">
        <v>45999</v>
      </c>
      <c r="D678" t="inlineStr">
        <is>
          <t>DALARNAS LÄN</t>
        </is>
      </c>
      <c r="E678" t="inlineStr">
        <is>
          <t>LEKSAND</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29553-2025</t>
        </is>
      </c>
      <c r="B679" s="1" t="n">
        <v>45825.35315972222</v>
      </c>
      <c r="C679" s="1" t="n">
        <v>45999</v>
      </c>
      <c r="D679" t="inlineStr">
        <is>
          <t>DALARNAS LÄN</t>
        </is>
      </c>
      <c r="E679" t="inlineStr">
        <is>
          <t>LEKSAND</t>
        </is>
      </c>
      <c r="G679" t="n">
        <v>1.8</v>
      </c>
      <c r="H679" t="n">
        <v>0</v>
      </c>
      <c r="I679" t="n">
        <v>0</v>
      </c>
      <c r="J679" t="n">
        <v>0</v>
      </c>
      <c r="K679" t="n">
        <v>0</v>
      </c>
      <c r="L679" t="n">
        <v>0</v>
      </c>
      <c r="M679" t="n">
        <v>0</v>
      </c>
      <c r="N679" t="n">
        <v>0</v>
      </c>
      <c r="O679" t="n">
        <v>0</v>
      </c>
      <c r="P679" t="n">
        <v>0</v>
      </c>
      <c r="Q679" t="n">
        <v>0</v>
      </c>
      <c r="R679" s="2" t="inlineStr"/>
    </row>
    <row r="680" ht="15" customHeight="1">
      <c r="A680" t="inlineStr">
        <is>
          <t>A 30254-2025</t>
        </is>
      </c>
      <c r="B680" s="1" t="n">
        <v>45827.42336805556</v>
      </c>
      <c r="C680" s="1" t="n">
        <v>45999</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51663-2025</t>
        </is>
      </c>
      <c r="B681" s="1" t="n">
        <v>45951</v>
      </c>
      <c r="C681" s="1" t="n">
        <v>45999</v>
      </c>
      <c r="D681" t="inlineStr">
        <is>
          <t>DALARNAS LÄN</t>
        </is>
      </c>
      <c r="E681" t="inlineStr">
        <is>
          <t>LEKSAND</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30917-2025</t>
        </is>
      </c>
      <c r="B682" s="1" t="n">
        <v>45832.37989583334</v>
      </c>
      <c r="C682" s="1" t="n">
        <v>45999</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31179-2025</t>
        </is>
      </c>
      <c r="B683" s="1" t="n">
        <v>45832.67648148148</v>
      </c>
      <c r="C683" s="1" t="n">
        <v>45999</v>
      </c>
      <c r="D683" t="inlineStr">
        <is>
          <t>DALARNAS LÄN</t>
        </is>
      </c>
      <c r="E683" t="inlineStr">
        <is>
          <t>LEKSAND</t>
        </is>
      </c>
      <c r="G683" t="n">
        <v>4.7</v>
      </c>
      <c r="H683" t="n">
        <v>0</v>
      </c>
      <c r="I683" t="n">
        <v>0</v>
      </c>
      <c r="J683" t="n">
        <v>0</v>
      </c>
      <c r="K683" t="n">
        <v>0</v>
      </c>
      <c r="L683" t="n">
        <v>0</v>
      </c>
      <c r="M683" t="n">
        <v>0</v>
      </c>
      <c r="N683" t="n">
        <v>0</v>
      </c>
      <c r="O683" t="n">
        <v>0</v>
      </c>
      <c r="P683" t="n">
        <v>0</v>
      </c>
      <c r="Q683" t="n">
        <v>0</v>
      </c>
      <c r="R683" s="2" t="inlineStr"/>
    </row>
    <row r="684" ht="15" customHeight="1">
      <c r="A684" t="inlineStr">
        <is>
          <t>A 60170-2025</t>
        </is>
      </c>
      <c r="B684" s="1" t="n">
        <v>45994.44629629629</v>
      </c>
      <c r="C684" s="1" t="n">
        <v>45999</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30969-2025</t>
        </is>
      </c>
      <c r="B685" s="1" t="n">
        <v>45832.45914351852</v>
      </c>
      <c r="C685" s="1" t="n">
        <v>45999</v>
      </c>
      <c r="D685" t="inlineStr">
        <is>
          <t>DALARNAS LÄN</t>
        </is>
      </c>
      <c r="E685" t="inlineStr">
        <is>
          <t>LEKSAND</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30911-2025</t>
        </is>
      </c>
      <c r="B686" s="1" t="n">
        <v>45832.37547453704</v>
      </c>
      <c r="C686" s="1" t="n">
        <v>45999</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51728-2025</t>
        </is>
      </c>
      <c r="B687" s="1" t="n">
        <v>45951</v>
      </c>
      <c r="C687" s="1" t="n">
        <v>45999</v>
      </c>
      <c r="D687" t="inlineStr">
        <is>
          <t>DALARNAS LÄN</t>
        </is>
      </c>
      <c r="E687" t="inlineStr">
        <is>
          <t>LEKSAND</t>
        </is>
      </c>
      <c r="F687" t="inlineStr">
        <is>
          <t>Bergvik skog väst AB</t>
        </is>
      </c>
      <c r="G687" t="n">
        <v>14.2</v>
      </c>
      <c r="H687" t="n">
        <v>0</v>
      </c>
      <c r="I687" t="n">
        <v>0</v>
      </c>
      <c r="J687" t="n">
        <v>0</v>
      </c>
      <c r="K687" t="n">
        <v>0</v>
      </c>
      <c r="L687" t="n">
        <v>0</v>
      </c>
      <c r="M687" t="n">
        <v>0</v>
      </c>
      <c r="N687" t="n">
        <v>0</v>
      </c>
      <c r="O687" t="n">
        <v>0</v>
      </c>
      <c r="P687" t="n">
        <v>0</v>
      </c>
      <c r="Q687" t="n">
        <v>0</v>
      </c>
      <c r="R687" s="2" t="inlineStr"/>
    </row>
    <row r="688" ht="15" customHeight="1">
      <c r="A688" t="inlineStr">
        <is>
          <t>A 30920-2025</t>
        </is>
      </c>
      <c r="B688" s="1" t="n">
        <v>45832.38484953704</v>
      </c>
      <c r="C688" s="1" t="n">
        <v>45999</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60067-2025</t>
        </is>
      </c>
      <c r="B689" s="1" t="n">
        <v>45993.66039351852</v>
      </c>
      <c r="C689" s="1" t="n">
        <v>45999</v>
      </c>
      <c r="D689" t="inlineStr">
        <is>
          <t>DALARNAS LÄN</t>
        </is>
      </c>
      <c r="E689" t="inlineStr">
        <is>
          <t>LEKSAND</t>
        </is>
      </c>
      <c r="G689" t="n">
        <v>3.3</v>
      </c>
      <c r="H689" t="n">
        <v>0</v>
      </c>
      <c r="I689" t="n">
        <v>0</v>
      </c>
      <c r="J689" t="n">
        <v>0</v>
      </c>
      <c r="K689" t="n">
        <v>0</v>
      </c>
      <c r="L689" t="n">
        <v>0</v>
      </c>
      <c r="M689" t="n">
        <v>0</v>
      </c>
      <c r="N689" t="n">
        <v>0</v>
      </c>
      <c r="O689" t="n">
        <v>0</v>
      </c>
      <c r="P689" t="n">
        <v>0</v>
      </c>
      <c r="Q689" t="n">
        <v>0</v>
      </c>
      <c r="R689" s="2" t="inlineStr"/>
    </row>
    <row r="690" ht="15" customHeight="1">
      <c r="A690" t="inlineStr">
        <is>
          <t>A 30916-2025</t>
        </is>
      </c>
      <c r="B690" s="1" t="n">
        <v>45832.37885416667</v>
      </c>
      <c r="C690" s="1" t="n">
        <v>45999</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30973-2025</t>
        </is>
      </c>
      <c r="B691" s="1" t="n">
        <v>45832.46300925926</v>
      </c>
      <c r="C691" s="1" t="n">
        <v>45999</v>
      </c>
      <c r="D691" t="inlineStr">
        <is>
          <t>DALARNAS LÄN</t>
        </is>
      </c>
      <c r="E691" t="inlineStr">
        <is>
          <t>LEKSAND</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31189-2025</t>
        </is>
      </c>
      <c r="B692" s="1" t="n">
        <v>45832.6799537037</v>
      </c>
      <c r="C692" s="1" t="n">
        <v>45999</v>
      </c>
      <c r="D692" t="inlineStr">
        <is>
          <t>DALARNAS LÄN</t>
        </is>
      </c>
      <c r="E692" t="inlineStr">
        <is>
          <t>LEKSAND</t>
        </is>
      </c>
      <c r="G692" t="n">
        <v>5</v>
      </c>
      <c r="H692" t="n">
        <v>0</v>
      </c>
      <c r="I692" t="n">
        <v>0</v>
      </c>
      <c r="J692" t="n">
        <v>0</v>
      </c>
      <c r="K692" t="n">
        <v>0</v>
      </c>
      <c r="L692" t="n">
        <v>0</v>
      </c>
      <c r="M692" t="n">
        <v>0</v>
      </c>
      <c r="N692" t="n">
        <v>0</v>
      </c>
      <c r="O692" t="n">
        <v>0</v>
      </c>
      <c r="P692" t="n">
        <v>0</v>
      </c>
      <c r="Q692" t="n">
        <v>0</v>
      </c>
      <c r="R692" s="2" t="inlineStr"/>
    </row>
    <row r="693" ht="15" customHeight="1">
      <c r="A693" t="inlineStr">
        <is>
          <t>A 59083-2025</t>
        </is>
      </c>
      <c r="B693" s="1" t="n">
        <v>45988</v>
      </c>
      <c r="C693" s="1" t="n">
        <v>45999</v>
      </c>
      <c r="D693" t="inlineStr">
        <is>
          <t>DALARNAS LÄN</t>
        </is>
      </c>
      <c r="E693" t="inlineStr">
        <is>
          <t>LEKSAND</t>
        </is>
      </c>
      <c r="F693" t="inlineStr">
        <is>
          <t>Bergvik skog väst AB</t>
        </is>
      </c>
      <c r="G693" t="n">
        <v>2.7</v>
      </c>
      <c r="H693" t="n">
        <v>0</v>
      </c>
      <c r="I693" t="n">
        <v>0</v>
      </c>
      <c r="J693" t="n">
        <v>0</v>
      </c>
      <c r="K693" t="n">
        <v>0</v>
      </c>
      <c r="L693" t="n">
        <v>0</v>
      </c>
      <c r="M693" t="n">
        <v>0</v>
      </c>
      <c r="N693" t="n">
        <v>0</v>
      </c>
      <c r="O693" t="n">
        <v>0</v>
      </c>
      <c r="P693" t="n">
        <v>0</v>
      </c>
      <c r="Q693" t="n">
        <v>0</v>
      </c>
      <c r="R693" s="2" t="inlineStr"/>
      <c r="U693">
        <f>HYPERLINK("https://klasma.github.io/Logging_2029/knärot/A 59083-2025 karta knärot.png", "A 59083-2025")</f>
        <v/>
      </c>
      <c r="V693">
        <f>HYPERLINK("https://klasma.github.io/Logging_2029/klagomål/A 59083-2025 FSC-klagomål.docx", "A 59083-2025")</f>
        <v/>
      </c>
      <c r="W693">
        <f>HYPERLINK("https://klasma.github.io/Logging_2029/klagomålsmail/A 59083-2025 FSC-klagomål mail.docx", "A 59083-2025")</f>
        <v/>
      </c>
      <c r="X693">
        <f>HYPERLINK("https://klasma.github.io/Logging_2029/tillsyn/A 59083-2025 tillsynsbegäran.docx", "A 59083-2025")</f>
        <v/>
      </c>
      <c r="Y693">
        <f>HYPERLINK("https://klasma.github.io/Logging_2029/tillsynsmail/A 59083-2025 tillsynsbegäran mail.docx", "A 59083-2025")</f>
        <v/>
      </c>
    </row>
    <row r="694" ht="15" customHeight="1">
      <c r="A694" t="inlineStr">
        <is>
          <t>A 59638-2025</t>
        </is>
      </c>
      <c r="B694" s="1" t="n">
        <v>45992.41105324074</v>
      </c>
      <c r="C694" s="1" t="n">
        <v>45999</v>
      </c>
      <c r="D694" t="inlineStr">
        <is>
          <t>DALARNAS LÄN</t>
        </is>
      </c>
      <c r="E694" t="inlineStr">
        <is>
          <t>LEKSAND</t>
        </is>
      </c>
      <c r="G694" t="n">
        <v>1.7</v>
      </c>
      <c r="H694" t="n">
        <v>0</v>
      </c>
      <c r="I694" t="n">
        <v>0</v>
      </c>
      <c r="J694" t="n">
        <v>0</v>
      </c>
      <c r="K694" t="n">
        <v>0</v>
      </c>
      <c r="L694" t="n">
        <v>0</v>
      </c>
      <c r="M694" t="n">
        <v>0</v>
      </c>
      <c r="N694" t="n">
        <v>0</v>
      </c>
      <c r="O694" t="n">
        <v>0</v>
      </c>
      <c r="P694" t="n">
        <v>0</v>
      </c>
      <c r="Q694" t="n">
        <v>0</v>
      </c>
      <c r="R694" s="2" t="inlineStr"/>
    </row>
    <row r="695" ht="15" customHeight="1">
      <c r="A695" t="inlineStr">
        <is>
          <t>A 31619-2025</t>
        </is>
      </c>
      <c r="B695" s="1" t="n">
        <v>45833</v>
      </c>
      <c r="C695" s="1" t="n">
        <v>45999</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51768-2025</t>
        </is>
      </c>
      <c r="B696" s="1" t="n">
        <v>45951.64041666667</v>
      </c>
      <c r="C696" s="1" t="n">
        <v>45999</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31446-2025</t>
        </is>
      </c>
      <c r="B697" s="1" t="n">
        <v>45833</v>
      </c>
      <c r="C697" s="1" t="n">
        <v>45999</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51926-2025</t>
        </is>
      </c>
      <c r="B698" s="1" t="n">
        <v>45952.49537037037</v>
      </c>
      <c r="C698" s="1" t="n">
        <v>45999</v>
      </c>
      <c r="D698" t="inlineStr">
        <is>
          <t>DALARNAS LÄN</t>
        </is>
      </c>
      <c r="E698" t="inlineStr">
        <is>
          <t>LEKSAND</t>
        </is>
      </c>
      <c r="G698" t="n">
        <v>2.3</v>
      </c>
      <c r="H698" t="n">
        <v>0</v>
      </c>
      <c r="I698" t="n">
        <v>0</v>
      </c>
      <c r="J698" t="n">
        <v>0</v>
      </c>
      <c r="K698" t="n">
        <v>0</v>
      </c>
      <c r="L698" t="n">
        <v>0</v>
      </c>
      <c r="M698" t="n">
        <v>0</v>
      </c>
      <c r="N698" t="n">
        <v>0</v>
      </c>
      <c r="O698" t="n">
        <v>0</v>
      </c>
      <c r="P698" t="n">
        <v>0</v>
      </c>
      <c r="Q698" t="n">
        <v>0</v>
      </c>
      <c r="R698" s="2" t="inlineStr"/>
    </row>
    <row r="699" ht="15" customHeight="1">
      <c r="A699" t="inlineStr">
        <is>
          <t>A 60023-2025</t>
        </is>
      </c>
      <c r="B699" s="1" t="n">
        <v>45993.60201388889</v>
      </c>
      <c r="C699" s="1" t="n">
        <v>45999</v>
      </c>
      <c r="D699" t="inlineStr">
        <is>
          <t>DALARNAS LÄN</t>
        </is>
      </c>
      <c r="E699" t="inlineStr">
        <is>
          <t>LEKSAND</t>
        </is>
      </c>
      <c r="G699" t="n">
        <v>6.5</v>
      </c>
      <c r="H699" t="n">
        <v>0</v>
      </c>
      <c r="I699" t="n">
        <v>0</v>
      </c>
      <c r="J699" t="n">
        <v>0</v>
      </c>
      <c r="K699" t="n">
        <v>0</v>
      </c>
      <c r="L699" t="n">
        <v>0</v>
      </c>
      <c r="M699" t="n">
        <v>0</v>
      </c>
      <c r="N699" t="n">
        <v>0</v>
      </c>
      <c r="O699" t="n">
        <v>0</v>
      </c>
      <c r="P699" t="n">
        <v>0</v>
      </c>
      <c r="Q699" t="n">
        <v>0</v>
      </c>
      <c r="R699" s="2" t="inlineStr"/>
    </row>
    <row r="700" ht="15" customHeight="1">
      <c r="A700" t="inlineStr">
        <is>
          <t>A 31787-2025</t>
        </is>
      </c>
      <c r="B700" s="1" t="n">
        <v>45834</v>
      </c>
      <c r="C700" s="1" t="n">
        <v>45999</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31493-2025</t>
        </is>
      </c>
      <c r="B701" s="1" t="n">
        <v>45833</v>
      </c>
      <c r="C701" s="1" t="n">
        <v>45999</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60544-2025</t>
        </is>
      </c>
      <c r="B702" s="1" t="n">
        <v>45995.68694444445</v>
      </c>
      <c r="C702" s="1" t="n">
        <v>45999</v>
      </c>
      <c r="D702" t="inlineStr">
        <is>
          <t>DALARNAS LÄN</t>
        </is>
      </c>
      <c r="E702" t="inlineStr">
        <is>
          <t>LEKSAND</t>
        </is>
      </c>
      <c r="G702" t="n">
        <v>4.4</v>
      </c>
      <c r="H702" t="n">
        <v>0</v>
      </c>
      <c r="I702" t="n">
        <v>0</v>
      </c>
      <c r="J702" t="n">
        <v>0</v>
      </c>
      <c r="K702" t="n">
        <v>0</v>
      </c>
      <c r="L702" t="n">
        <v>0</v>
      </c>
      <c r="M702" t="n">
        <v>0</v>
      </c>
      <c r="N702" t="n">
        <v>0</v>
      </c>
      <c r="O702" t="n">
        <v>0</v>
      </c>
      <c r="P702" t="n">
        <v>0</v>
      </c>
      <c r="Q702" t="n">
        <v>0</v>
      </c>
      <c r="R702" s="2" t="inlineStr"/>
    </row>
    <row r="703" ht="15" customHeight="1">
      <c r="A703" t="inlineStr">
        <is>
          <t>A 41934-2025</t>
        </is>
      </c>
      <c r="B703" s="1" t="n">
        <v>45903</v>
      </c>
      <c r="C703" s="1" t="n">
        <v>45999</v>
      </c>
      <c r="D703" t="inlineStr">
        <is>
          <t>DALARNAS LÄN</t>
        </is>
      </c>
      <c r="E703" t="inlineStr">
        <is>
          <t>LEKSAND</t>
        </is>
      </c>
      <c r="F703" t="inlineStr">
        <is>
          <t>Bergvik skog väst AB</t>
        </is>
      </c>
      <c r="G703" t="n">
        <v>3</v>
      </c>
      <c r="H703" t="n">
        <v>0</v>
      </c>
      <c r="I703" t="n">
        <v>0</v>
      </c>
      <c r="J703" t="n">
        <v>0</v>
      </c>
      <c r="K703" t="n">
        <v>0</v>
      </c>
      <c r="L703" t="n">
        <v>0</v>
      </c>
      <c r="M703" t="n">
        <v>0</v>
      </c>
      <c r="N703" t="n">
        <v>0</v>
      </c>
      <c r="O703" t="n">
        <v>0</v>
      </c>
      <c r="P703" t="n">
        <v>0</v>
      </c>
      <c r="Q703" t="n">
        <v>0</v>
      </c>
      <c r="R703" s="2" t="inlineStr"/>
    </row>
    <row r="704" ht="15" customHeight="1">
      <c r="A704" t="inlineStr">
        <is>
          <t>A 60614-2025</t>
        </is>
      </c>
      <c r="B704" s="1" t="n">
        <v>45996.36671296296</v>
      </c>
      <c r="C704" s="1" t="n">
        <v>45999</v>
      </c>
      <c r="D704" t="inlineStr">
        <is>
          <t>DALARNAS LÄN</t>
        </is>
      </c>
      <c r="E704" t="inlineStr">
        <is>
          <t>LEKSAND</t>
        </is>
      </c>
      <c r="G704" t="n">
        <v>3.4</v>
      </c>
      <c r="H704" t="n">
        <v>0</v>
      </c>
      <c r="I704" t="n">
        <v>0</v>
      </c>
      <c r="J704" t="n">
        <v>0</v>
      </c>
      <c r="K704" t="n">
        <v>0</v>
      </c>
      <c r="L704" t="n">
        <v>0</v>
      </c>
      <c r="M704" t="n">
        <v>0</v>
      </c>
      <c r="N704" t="n">
        <v>0</v>
      </c>
      <c r="O704" t="n">
        <v>0</v>
      </c>
      <c r="P704" t="n">
        <v>0</v>
      </c>
      <c r="Q704" t="n">
        <v>0</v>
      </c>
      <c r="R704" s="2" t="inlineStr"/>
    </row>
    <row r="705" ht="15" customHeight="1">
      <c r="A705" t="inlineStr">
        <is>
          <t>A 32104-2025</t>
        </is>
      </c>
      <c r="B705" s="1" t="n">
        <v>45835</v>
      </c>
      <c r="C705" s="1" t="n">
        <v>45999</v>
      </c>
      <c r="D705" t="inlineStr">
        <is>
          <t>DALARNAS LÄN</t>
        </is>
      </c>
      <c r="E705" t="inlineStr">
        <is>
          <t>LEKSAND</t>
        </is>
      </c>
      <c r="G705" t="n">
        <v>3.1</v>
      </c>
      <c r="H705" t="n">
        <v>0</v>
      </c>
      <c r="I705" t="n">
        <v>0</v>
      </c>
      <c r="J705" t="n">
        <v>0</v>
      </c>
      <c r="K705" t="n">
        <v>0</v>
      </c>
      <c r="L705" t="n">
        <v>0</v>
      </c>
      <c r="M705" t="n">
        <v>0</v>
      </c>
      <c r="N705" t="n">
        <v>0</v>
      </c>
      <c r="O705" t="n">
        <v>0</v>
      </c>
      <c r="P705" t="n">
        <v>0</v>
      </c>
      <c r="Q705" t="n">
        <v>0</v>
      </c>
      <c r="R705" s="2" t="inlineStr"/>
    </row>
    <row r="706" ht="15" customHeight="1">
      <c r="A706" t="inlineStr">
        <is>
          <t>A 32593-2025</t>
        </is>
      </c>
      <c r="B706" s="1" t="n">
        <v>45838</v>
      </c>
      <c r="C706" s="1" t="n">
        <v>45999</v>
      </c>
      <c r="D706" t="inlineStr">
        <is>
          <t>DALARNAS LÄN</t>
        </is>
      </c>
      <c r="E706" t="inlineStr">
        <is>
          <t>LEKSAND</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32661-2025</t>
        </is>
      </c>
      <c r="B707" s="1" t="n">
        <v>45838.67953703704</v>
      </c>
      <c r="C707" s="1" t="n">
        <v>45999</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60338-2025</t>
        </is>
      </c>
      <c r="B708" s="1" t="n">
        <v>45993</v>
      </c>
      <c r="C708" s="1" t="n">
        <v>45999</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60358-2025</t>
        </is>
      </c>
      <c r="B709" s="1" t="n">
        <v>45995.31949074074</v>
      </c>
      <c r="C709" s="1" t="n">
        <v>45999</v>
      </c>
      <c r="D709" t="inlineStr">
        <is>
          <t>DALARNAS LÄN</t>
        </is>
      </c>
      <c r="E709" t="inlineStr">
        <is>
          <t>LEKSAND</t>
        </is>
      </c>
      <c r="G709" t="n">
        <v>2.9</v>
      </c>
      <c r="H709" t="n">
        <v>0</v>
      </c>
      <c r="I709" t="n">
        <v>0</v>
      </c>
      <c r="J709" t="n">
        <v>0</v>
      </c>
      <c r="K709" t="n">
        <v>0</v>
      </c>
      <c r="L709" t="n">
        <v>0</v>
      </c>
      <c r="M709" t="n">
        <v>0</v>
      </c>
      <c r="N709" t="n">
        <v>0</v>
      </c>
      <c r="O709" t="n">
        <v>0</v>
      </c>
      <c r="P709" t="n">
        <v>0</v>
      </c>
      <c r="Q709" t="n">
        <v>0</v>
      </c>
      <c r="R709" s="2" t="inlineStr"/>
    </row>
    <row r="710" ht="15" customHeight="1">
      <c r="A710" t="inlineStr">
        <is>
          <t>A 32301-2025</t>
        </is>
      </c>
      <c r="B710" s="1" t="n">
        <v>45835</v>
      </c>
      <c r="C710" s="1" t="n">
        <v>45999</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32653-2025</t>
        </is>
      </c>
      <c r="B711" s="1" t="n">
        <v>45838</v>
      </c>
      <c r="C711" s="1" t="n">
        <v>45999</v>
      </c>
      <c r="D711" t="inlineStr">
        <is>
          <t>DALARNAS LÄN</t>
        </is>
      </c>
      <c r="E711" t="inlineStr">
        <is>
          <t>LEKSAND</t>
        </is>
      </c>
      <c r="G711" t="n">
        <v>5.6</v>
      </c>
      <c r="H711" t="n">
        <v>0</v>
      </c>
      <c r="I711" t="n">
        <v>0</v>
      </c>
      <c r="J711" t="n">
        <v>0</v>
      </c>
      <c r="K711" t="n">
        <v>0</v>
      </c>
      <c r="L711" t="n">
        <v>0</v>
      </c>
      <c r="M711" t="n">
        <v>0</v>
      </c>
      <c r="N711" t="n">
        <v>0</v>
      </c>
      <c r="O711" t="n">
        <v>0</v>
      </c>
      <c r="P711" t="n">
        <v>0</v>
      </c>
      <c r="Q711" t="n">
        <v>0</v>
      </c>
      <c r="R711" s="2" t="inlineStr"/>
    </row>
    <row r="712" ht="15" customHeight="1">
      <c r="A712" t="inlineStr">
        <is>
          <t>A 31945-2025</t>
        </is>
      </c>
      <c r="B712" s="1" t="n">
        <v>45835</v>
      </c>
      <c r="C712" s="1" t="n">
        <v>45999</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33160-2025</t>
        </is>
      </c>
      <c r="B713" s="1" t="n">
        <v>45840</v>
      </c>
      <c r="C713" s="1" t="n">
        <v>45999</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32855-2025</t>
        </is>
      </c>
      <c r="B714" s="1" t="n">
        <v>45839.57643518518</v>
      </c>
      <c r="C714" s="1" t="n">
        <v>45999</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13063-2023</t>
        </is>
      </c>
      <c r="B715" s="1" t="n">
        <v>45001</v>
      </c>
      <c r="C715" s="1" t="n">
        <v>45999</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42727-2024</t>
        </is>
      </c>
      <c r="B716" s="1" t="n">
        <v>45566</v>
      </c>
      <c r="C716" s="1" t="n">
        <v>45999</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36444-2023</t>
        </is>
      </c>
      <c r="B717" s="1" t="n">
        <v>45152.63138888889</v>
      </c>
      <c r="C717" s="1" t="n">
        <v>45999</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40407-2024</t>
        </is>
      </c>
      <c r="B718" s="1" t="n">
        <v>45555</v>
      </c>
      <c r="C718" s="1" t="n">
        <v>45999</v>
      </c>
      <c r="D718" t="inlineStr">
        <is>
          <t>DALARNAS LÄN</t>
        </is>
      </c>
      <c r="E718" t="inlineStr">
        <is>
          <t>LEKSAND</t>
        </is>
      </c>
      <c r="G718" t="n">
        <v>1.4</v>
      </c>
      <c r="H718" t="n">
        <v>0</v>
      </c>
      <c r="I718" t="n">
        <v>0</v>
      </c>
      <c r="J718" t="n">
        <v>0</v>
      </c>
      <c r="K718" t="n">
        <v>0</v>
      </c>
      <c r="L718" t="n">
        <v>0</v>
      </c>
      <c r="M718" t="n">
        <v>0</v>
      </c>
      <c r="N718" t="n">
        <v>0</v>
      </c>
      <c r="O718" t="n">
        <v>0</v>
      </c>
      <c r="P718" t="n">
        <v>0</v>
      </c>
      <c r="Q718" t="n">
        <v>0</v>
      </c>
      <c r="R718" s="2" t="inlineStr"/>
    </row>
    <row r="719" ht="15" customHeight="1">
      <c r="A719" t="inlineStr">
        <is>
          <t>A 33804-2025</t>
        </is>
      </c>
      <c r="B719" s="1" t="n">
        <v>45842</v>
      </c>
      <c r="C719" s="1" t="n">
        <v>45999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46628-2024</t>
        </is>
      </c>
      <c r="B720" s="1" t="n">
        <v>45583.33195601852</v>
      </c>
      <c r="C720" s="1" t="n">
        <v>45999</v>
      </c>
      <c r="D720" t="inlineStr">
        <is>
          <t>DALARNAS LÄN</t>
        </is>
      </c>
      <c r="E720" t="inlineStr">
        <is>
          <t>LEKSAND</t>
        </is>
      </c>
      <c r="G720" t="n">
        <v>0.2</v>
      </c>
      <c r="H720" t="n">
        <v>0</v>
      </c>
      <c r="I720" t="n">
        <v>0</v>
      </c>
      <c r="J720" t="n">
        <v>0</v>
      </c>
      <c r="K720" t="n">
        <v>0</v>
      </c>
      <c r="L720" t="n">
        <v>0</v>
      </c>
      <c r="M720" t="n">
        <v>0</v>
      </c>
      <c r="N720" t="n">
        <v>0</v>
      </c>
      <c r="O720" t="n">
        <v>0</v>
      </c>
      <c r="P720" t="n">
        <v>0</v>
      </c>
      <c r="Q720" t="n">
        <v>0</v>
      </c>
      <c r="R720" s="2" t="inlineStr"/>
    </row>
    <row r="721" ht="15" customHeight="1">
      <c r="A721" t="inlineStr">
        <is>
          <t>A 9141-2023</t>
        </is>
      </c>
      <c r="B721" s="1" t="n">
        <v>44974</v>
      </c>
      <c r="C721" s="1" t="n">
        <v>45999</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54844-2021</t>
        </is>
      </c>
      <c r="B722" s="1" t="n">
        <v>44474.30614583333</v>
      </c>
      <c r="C722" s="1" t="n">
        <v>45999</v>
      </c>
      <c r="D722" t="inlineStr">
        <is>
          <t>DALARNAS LÄN</t>
        </is>
      </c>
      <c r="E722" t="inlineStr">
        <is>
          <t>LEKSAND</t>
        </is>
      </c>
      <c r="G722" t="n">
        <v>1.9</v>
      </c>
      <c r="H722" t="n">
        <v>0</v>
      </c>
      <c r="I722" t="n">
        <v>0</v>
      </c>
      <c r="J722" t="n">
        <v>0</v>
      </c>
      <c r="K722" t="n">
        <v>0</v>
      </c>
      <c r="L722" t="n">
        <v>0</v>
      </c>
      <c r="M722" t="n">
        <v>0</v>
      </c>
      <c r="N722" t="n">
        <v>0</v>
      </c>
      <c r="O722" t="n">
        <v>0</v>
      </c>
      <c r="P722" t="n">
        <v>0</v>
      </c>
      <c r="Q722" t="n">
        <v>0</v>
      </c>
      <c r="R722" s="2" t="inlineStr"/>
    </row>
    <row r="723" ht="15" customHeight="1">
      <c r="A723" t="inlineStr">
        <is>
          <t>A 8211-2023</t>
        </is>
      </c>
      <c r="B723" s="1" t="n">
        <v>44974</v>
      </c>
      <c r="C723" s="1" t="n">
        <v>45999</v>
      </c>
      <c r="D723" t="inlineStr">
        <is>
          <t>DALARNAS LÄN</t>
        </is>
      </c>
      <c r="E723" t="inlineStr">
        <is>
          <t>LEKSAND</t>
        </is>
      </c>
      <c r="G723" t="n">
        <v>5.2</v>
      </c>
      <c r="H723" t="n">
        <v>0</v>
      </c>
      <c r="I723" t="n">
        <v>0</v>
      </c>
      <c r="J723" t="n">
        <v>0</v>
      </c>
      <c r="K723" t="n">
        <v>0</v>
      </c>
      <c r="L723" t="n">
        <v>0</v>
      </c>
      <c r="M723" t="n">
        <v>0</v>
      </c>
      <c r="N723" t="n">
        <v>0</v>
      </c>
      <c r="O723" t="n">
        <v>0</v>
      </c>
      <c r="P723" t="n">
        <v>0</v>
      </c>
      <c r="Q723" t="n">
        <v>0</v>
      </c>
      <c r="R723" s="2" t="inlineStr"/>
    </row>
    <row r="724" ht="15" customHeight="1">
      <c r="A724" t="inlineStr">
        <is>
          <t>A 34789-2025</t>
        </is>
      </c>
      <c r="B724" s="1" t="n">
        <v>45848</v>
      </c>
      <c r="C724" s="1" t="n">
        <v>45999</v>
      </c>
      <c r="D724" t="inlineStr">
        <is>
          <t>DALARNAS LÄN</t>
        </is>
      </c>
      <c r="E724" t="inlineStr">
        <is>
          <t>LEKSAND</t>
        </is>
      </c>
      <c r="F724" t="inlineStr">
        <is>
          <t>Bergvik skog väst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41896-2024</t>
        </is>
      </c>
      <c r="B725" s="1" t="n">
        <v>45561.51310185185</v>
      </c>
      <c r="C725" s="1" t="n">
        <v>45999</v>
      </c>
      <c r="D725" t="inlineStr">
        <is>
          <t>DALARNAS LÄN</t>
        </is>
      </c>
      <c r="E725" t="inlineStr">
        <is>
          <t>LEKSAND</t>
        </is>
      </c>
      <c r="F725" t="inlineStr">
        <is>
          <t>Bergvik skog väst AB</t>
        </is>
      </c>
      <c r="G725" t="n">
        <v>2.8</v>
      </c>
      <c r="H725" t="n">
        <v>0</v>
      </c>
      <c r="I725" t="n">
        <v>0</v>
      </c>
      <c r="J725" t="n">
        <v>0</v>
      </c>
      <c r="K725" t="n">
        <v>0</v>
      </c>
      <c r="L725" t="n">
        <v>0</v>
      </c>
      <c r="M725" t="n">
        <v>0</v>
      </c>
      <c r="N725" t="n">
        <v>0</v>
      </c>
      <c r="O725" t="n">
        <v>0</v>
      </c>
      <c r="P725" t="n">
        <v>0</v>
      </c>
      <c r="Q725" t="n">
        <v>0</v>
      </c>
      <c r="R725" s="2" t="inlineStr"/>
    </row>
    <row r="726" ht="15" customHeight="1">
      <c r="A726" t="inlineStr">
        <is>
          <t>A 34537-2025</t>
        </is>
      </c>
      <c r="B726" s="1" t="n">
        <v>45847</v>
      </c>
      <c r="C726" s="1" t="n">
        <v>45999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46665-2023</t>
        </is>
      </c>
      <c r="B727" s="1" t="n">
        <v>45198.47399305556</v>
      </c>
      <c r="C727" s="1" t="n">
        <v>45999</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14615-2024</t>
        </is>
      </c>
      <c r="B728" s="1" t="n">
        <v>45397.26047453703</v>
      </c>
      <c r="C728" s="1" t="n">
        <v>45999</v>
      </c>
      <c r="D728" t="inlineStr">
        <is>
          <t>DALARNAS LÄN</t>
        </is>
      </c>
      <c r="E728" t="inlineStr">
        <is>
          <t>LEKSAND</t>
        </is>
      </c>
      <c r="G728" t="n">
        <v>0.4</v>
      </c>
      <c r="H728" t="n">
        <v>0</v>
      </c>
      <c r="I728" t="n">
        <v>0</v>
      </c>
      <c r="J728" t="n">
        <v>0</v>
      </c>
      <c r="K728" t="n">
        <v>0</v>
      </c>
      <c r="L728" t="n">
        <v>0</v>
      </c>
      <c r="M728" t="n">
        <v>0</v>
      </c>
      <c r="N728" t="n">
        <v>0</v>
      </c>
      <c r="O728" t="n">
        <v>0</v>
      </c>
      <c r="P728" t="n">
        <v>0</v>
      </c>
      <c r="Q728" t="n">
        <v>0</v>
      </c>
      <c r="R728" s="2" t="inlineStr"/>
    </row>
    <row r="729" ht="15" customHeight="1">
      <c r="A729" t="inlineStr">
        <is>
          <t>A 35094-2025</t>
        </is>
      </c>
      <c r="B729" s="1" t="n">
        <v>45852</v>
      </c>
      <c r="C729" s="1" t="n">
        <v>45999</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34965-2025</t>
        </is>
      </c>
      <c r="B730" s="1" t="n">
        <v>45849</v>
      </c>
      <c r="C730" s="1" t="n">
        <v>45999</v>
      </c>
      <c r="D730" t="inlineStr">
        <is>
          <t>DALARNAS LÄN</t>
        </is>
      </c>
      <c r="E730" t="inlineStr">
        <is>
          <t>LEKSAND</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34966-2025</t>
        </is>
      </c>
      <c r="B731" s="1" t="n">
        <v>45849</v>
      </c>
      <c r="C731" s="1" t="n">
        <v>45999</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30863-2024</t>
        </is>
      </c>
      <c r="B732" s="1" t="n">
        <v>45497.71074074074</v>
      </c>
      <c r="C732" s="1" t="n">
        <v>45999</v>
      </c>
      <c r="D732" t="inlineStr">
        <is>
          <t>DALARNAS LÄN</t>
        </is>
      </c>
      <c r="E732" t="inlineStr">
        <is>
          <t>LEKSAND</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54289-2023</t>
        </is>
      </c>
      <c r="B733" s="1" t="n">
        <v>45232.71193287037</v>
      </c>
      <c r="C733" s="1" t="n">
        <v>45999</v>
      </c>
      <c r="D733" t="inlineStr">
        <is>
          <t>DALARNAS LÄN</t>
        </is>
      </c>
      <c r="E733" t="inlineStr">
        <is>
          <t>LEKSAND</t>
        </is>
      </c>
      <c r="G733" t="n">
        <v>2</v>
      </c>
      <c r="H733" t="n">
        <v>0</v>
      </c>
      <c r="I733" t="n">
        <v>0</v>
      </c>
      <c r="J733" t="n">
        <v>0</v>
      </c>
      <c r="K733" t="n">
        <v>0</v>
      </c>
      <c r="L733" t="n">
        <v>0</v>
      </c>
      <c r="M733" t="n">
        <v>0</v>
      </c>
      <c r="N733" t="n">
        <v>0</v>
      </c>
      <c r="O733" t="n">
        <v>0</v>
      </c>
      <c r="P733" t="n">
        <v>0</v>
      </c>
      <c r="Q733" t="n">
        <v>0</v>
      </c>
      <c r="R733" s="2" t="inlineStr"/>
    </row>
    <row r="734" ht="15" customHeight="1">
      <c r="A734" t="inlineStr">
        <is>
          <t>A 29157-2022</t>
        </is>
      </c>
      <c r="B734" s="1" t="n">
        <v>44750.48355324074</v>
      </c>
      <c r="C734" s="1" t="n">
        <v>45999</v>
      </c>
      <c r="D734" t="inlineStr">
        <is>
          <t>DALARNAS LÄN</t>
        </is>
      </c>
      <c r="E734" t="inlineStr">
        <is>
          <t>LEKSAND</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12356-2023</t>
        </is>
      </c>
      <c r="B735" s="1" t="n">
        <v>44998</v>
      </c>
      <c r="C735" s="1" t="n">
        <v>45999</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41046-2024</t>
        </is>
      </c>
      <c r="B736" s="1" t="n">
        <v>45559.36677083333</v>
      </c>
      <c r="C736" s="1" t="n">
        <v>45999</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56016-2024</t>
        </is>
      </c>
      <c r="B737" s="1" t="n">
        <v>45623.87737268519</v>
      </c>
      <c r="C737" s="1" t="n">
        <v>45999</v>
      </c>
      <c r="D737" t="inlineStr">
        <is>
          <t>DALARNAS LÄN</t>
        </is>
      </c>
      <c r="E737" t="inlineStr">
        <is>
          <t>LEKSAND</t>
        </is>
      </c>
      <c r="G737" t="n">
        <v>6.1</v>
      </c>
      <c r="H737" t="n">
        <v>0</v>
      </c>
      <c r="I737" t="n">
        <v>0</v>
      </c>
      <c r="J737" t="n">
        <v>0</v>
      </c>
      <c r="K737" t="n">
        <v>0</v>
      </c>
      <c r="L737" t="n">
        <v>0</v>
      </c>
      <c r="M737" t="n">
        <v>0</v>
      </c>
      <c r="N737" t="n">
        <v>0</v>
      </c>
      <c r="O737" t="n">
        <v>0</v>
      </c>
      <c r="P737" t="n">
        <v>0</v>
      </c>
      <c r="Q737" t="n">
        <v>0</v>
      </c>
      <c r="R737" s="2" t="inlineStr"/>
    </row>
    <row r="738" ht="15" customHeight="1">
      <c r="A738" t="inlineStr">
        <is>
          <t>A 55926-2024</t>
        </is>
      </c>
      <c r="B738" s="1" t="n">
        <v>45623.601875</v>
      </c>
      <c r="C738" s="1" t="n">
        <v>45999</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16293-2025</t>
        </is>
      </c>
      <c r="B739" s="1" t="n">
        <v>45751.33447916667</v>
      </c>
      <c r="C739" s="1" t="n">
        <v>45999</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51860-2024</t>
        </is>
      </c>
      <c r="B740" s="1" t="n">
        <v>45607.54511574074</v>
      </c>
      <c r="C740" s="1" t="n">
        <v>45999</v>
      </c>
      <c r="D740" t="inlineStr">
        <is>
          <t>DALARNAS LÄN</t>
        </is>
      </c>
      <c r="E740" t="inlineStr">
        <is>
          <t>LEKSAND</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12363-2023</t>
        </is>
      </c>
      <c r="B741" s="1" t="n">
        <v>44998</v>
      </c>
      <c r="C741" s="1" t="n">
        <v>45999</v>
      </c>
      <c r="D741" t="inlineStr">
        <is>
          <t>DALARNAS LÄN</t>
        </is>
      </c>
      <c r="E741" t="inlineStr">
        <is>
          <t>LEKSAND</t>
        </is>
      </c>
      <c r="G741" t="n">
        <v>10</v>
      </c>
      <c r="H741" t="n">
        <v>0</v>
      </c>
      <c r="I741" t="n">
        <v>0</v>
      </c>
      <c r="J741" t="n">
        <v>0</v>
      </c>
      <c r="K741" t="n">
        <v>0</v>
      </c>
      <c r="L741" t="n">
        <v>0</v>
      </c>
      <c r="M741" t="n">
        <v>0</v>
      </c>
      <c r="N741" t="n">
        <v>0</v>
      </c>
      <c r="O741" t="n">
        <v>0</v>
      </c>
      <c r="P741" t="n">
        <v>0</v>
      </c>
      <c r="Q741" t="n">
        <v>0</v>
      </c>
      <c r="R741" s="2" t="inlineStr"/>
    </row>
    <row r="742" ht="15" customHeight="1">
      <c r="A742" t="inlineStr">
        <is>
          <t>A 15020-2023</t>
        </is>
      </c>
      <c r="B742" s="1" t="n">
        <v>45015.6196412037</v>
      </c>
      <c r="C742" s="1" t="n">
        <v>45999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23323-2023</t>
        </is>
      </c>
      <c r="B743" s="1" t="n">
        <v>45076</v>
      </c>
      <c r="C743" s="1" t="n">
        <v>45999</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10299-2024</t>
        </is>
      </c>
      <c r="B744" s="1" t="n">
        <v>45365.50425925926</v>
      </c>
      <c r="C744" s="1" t="n">
        <v>45999</v>
      </c>
      <c r="D744" t="inlineStr">
        <is>
          <t>DALARNAS LÄN</t>
        </is>
      </c>
      <c r="E744" t="inlineStr">
        <is>
          <t>LEKSAND</t>
        </is>
      </c>
      <c r="G744" t="n">
        <v>3.6</v>
      </c>
      <c r="H744" t="n">
        <v>0</v>
      </c>
      <c r="I744" t="n">
        <v>0</v>
      </c>
      <c r="J744" t="n">
        <v>0</v>
      </c>
      <c r="K744" t="n">
        <v>0</v>
      </c>
      <c r="L744" t="n">
        <v>0</v>
      </c>
      <c r="M744" t="n">
        <v>0</v>
      </c>
      <c r="N744" t="n">
        <v>0</v>
      </c>
      <c r="O744" t="n">
        <v>0</v>
      </c>
      <c r="P744" t="n">
        <v>0</v>
      </c>
      <c r="Q744" t="n">
        <v>0</v>
      </c>
      <c r="R744" s="2" t="inlineStr"/>
    </row>
    <row r="745" ht="15" customHeight="1">
      <c r="A745" t="inlineStr">
        <is>
          <t>A 55643-2024</t>
        </is>
      </c>
      <c r="B745" s="1" t="n">
        <v>45621</v>
      </c>
      <c r="C745" s="1" t="n">
        <v>45999</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60129-2023</t>
        </is>
      </c>
      <c r="B746" s="1" t="n">
        <v>45258.49056712963</v>
      </c>
      <c r="C746" s="1" t="n">
        <v>45999</v>
      </c>
      <c r="D746" t="inlineStr">
        <is>
          <t>DALARNAS LÄN</t>
        </is>
      </c>
      <c r="E746" t="inlineStr">
        <is>
          <t>LEKSAND</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16137-2023</t>
        </is>
      </c>
      <c r="B747" s="1" t="n">
        <v>45027</v>
      </c>
      <c r="C747" s="1" t="n">
        <v>45999</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56283-2024</t>
        </is>
      </c>
      <c r="B748" s="1" t="n">
        <v>45624.67864583333</v>
      </c>
      <c r="C748" s="1" t="n">
        <v>45999</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56299-2024</t>
        </is>
      </c>
      <c r="B749" s="1" t="n">
        <v>45624.68607638889</v>
      </c>
      <c r="C749" s="1" t="n">
        <v>45999</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43077-2024</t>
        </is>
      </c>
      <c r="B750" s="1" t="n">
        <v>45567.50030092592</v>
      </c>
      <c r="C750" s="1" t="n">
        <v>45999</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24005-2024</t>
        </is>
      </c>
      <c r="B751" s="1" t="n">
        <v>45456.39239583333</v>
      </c>
      <c r="C751" s="1" t="n">
        <v>45999</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1984-2025</t>
        </is>
      </c>
      <c r="B752" s="1" t="n">
        <v>45670</v>
      </c>
      <c r="C752" s="1" t="n">
        <v>45999</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59199-2024</t>
        </is>
      </c>
      <c r="B753" s="1" t="n">
        <v>45637</v>
      </c>
      <c r="C753" s="1" t="n">
        <v>45999</v>
      </c>
      <c r="D753" t="inlineStr">
        <is>
          <t>DALARNAS LÄN</t>
        </is>
      </c>
      <c r="E753" t="inlineStr">
        <is>
          <t>LEKSAND</t>
        </is>
      </c>
      <c r="G753" t="n">
        <v>5.4</v>
      </c>
      <c r="H753" t="n">
        <v>0</v>
      </c>
      <c r="I753" t="n">
        <v>0</v>
      </c>
      <c r="J753" t="n">
        <v>0</v>
      </c>
      <c r="K753" t="n">
        <v>0</v>
      </c>
      <c r="L753" t="n">
        <v>0</v>
      </c>
      <c r="M753" t="n">
        <v>0</v>
      </c>
      <c r="N753" t="n">
        <v>0</v>
      </c>
      <c r="O753" t="n">
        <v>0</v>
      </c>
      <c r="P753" t="n">
        <v>0</v>
      </c>
      <c r="Q753" t="n">
        <v>0</v>
      </c>
      <c r="R753" s="2" t="inlineStr"/>
    </row>
    <row r="754" ht="15" customHeight="1">
      <c r="A754" t="inlineStr">
        <is>
          <t>A 33310-2023</t>
        </is>
      </c>
      <c r="B754" s="1" t="n">
        <v>45127.82231481482</v>
      </c>
      <c r="C754" s="1" t="n">
        <v>45999</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57899-2024</t>
        </is>
      </c>
      <c r="B755" s="1" t="n">
        <v>45630</v>
      </c>
      <c r="C755" s="1" t="n">
        <v>45999</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11110-2023</t>
        </is>
      </c>
      <c r="B756" s="1" t="n">
        <v>44992</v>
      </c>
      <c r="C756" s="1" t="n">
        <v>45999</v>
      </c>
      <c r="D756" t="inlineStr">
        <is>
          <t>DALARNAS LÄN</t>
        </is>
      </c>
      <c r="E756" t="inlineStr">
        <is>
          <t>LEKSAND</t>
        </is>
      </c>
      <c r="G756" t="n">
        <v>11.2</v>
      </c>
      <c r="H756" t="n">
        <v>0</v>
      </c>
      <c r="I756" t="n">
        <v>0</v>
      </c>
      <c r="J756" t="n">
        <v>0</v>
      </c>
      <c r="K756" t="n">
        <v>0</v>
      </c>
      <c r="L756" t="n">
        <v>0</v>
      </c>
      <c r="M756" t="n">
        <v>0</v>
      </c>
      <c r="N756" t="n">
        <v>0</v>
      </c>
      <c r="O756" t="n">
        <v>0</v>
      </c>
      <c r="P756" t="n">
        <v>0</v>
      </c>
      <c r="Q756" t="n">
        <v>0</v>
      </c>
      <c r="R756" s="2" t="inlineStr"/>
    </row>
    <row r="757" ht="15" customHeight="1">
      <c r="A757" t="inlineStr">
        <is>
          <t>A 56753-2023</t>
        </is>
      </c>
      <c r="B757" s="1" t="n">
        <v>45244.37094907407</v>
      </c>
      <c r="C757" s="1" t="n">
        <v>45999</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57933-2024</t>
        </is>
      </c>
      <c r="B758" s="1" t="n">
        <v>45630</v>
      </c>
      <c r="C758" s="1" t="n">
        <v>45999</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11403-2023</t>
        </is>
      </c>
      <c r="B759" s="1" t="n">
        <v>44993</v>
      </c>
      <c r="C759" s="1" t="n">
        <v>45999</v>
      </c>
      <c r="D759" t="inlineStr">
        <is>
          <t>DALARNAS LÄN</t>
        </is>
      </c>
      <c r="E759" t="inlineStr">
        <is>
          <t>LEKSAND</t>
        </is>
      </c>
      <c r="G759" t="n">
        <v>0.1</v>
      </c>
      <c r="H759" t="n">
        <v>0</v>
      </c>
      <c r="I759" t="n">
        <v>0</v>
      </c>
      <c r="J759" t="n">
        <v>0</v>
      </c>
      <c r="K759" t="n">
        <v>0</v>
      </c>
      <c r="L759" t="n">
        <v>0</v>
      </c>
      <c r="M759" t="n">
        <v>0</v>
      </c>
      <c r="N759" t="n">
        <v>0</v>
      </c>
      <c r="O759" t="n">
        <v>0</v>
      </c>
      <c r="P759" t="n">
        <v>0</v>
      </c>
      <c r="Q759" t="n">
        <v>0</v>
      </c>
      <c r="R759" s="2" t="inlineStr"/>
    </row>
    <row r="760" ht="15" customHeight="1">
      <c r="A760" t="inlineStr">
        <is>
          <t>A 22683-2022</t>
        </is>
      </c>
      <c r="B760" s="1" t="n">
        <v>44714</v>
      </c>
      <c r="C760" s="1" t="n">
        <v>45999</v>
      </c>
      <c r="D760" t="inlineStr">
        <is>
          <t>DALARNAS LÄN</t>
        </is>
      </c>
      <c r="E760" t="inlineStr">
        <is>
          <t>LEKSAND</t>
        </is>
      </c>
      <c r="F760" t="inlineStr">
        <is>
          <t>Bergvik skog väst AB</t>
        </is>
      </c>
      <c r="G760" t="n">
        <v>3.4</v>
      </c>
      <c r="H760" t="n">
        <v>0</v>
      </c>
      <c r="I760" t="n">
        <v>0</v>
      </c>
      <c r="J760" t="n">
        <v>0</v>
      </c>
      <c r="K760" t="n">
        <v>0</v>
      </c>
      <c r="L760" t="n">
        <v>0</v>
      </c>
      <c r="M760" t="n">
        <v>0</v>
      </c>
      <c r="N760" t="n">
        <v>0</v>
      </c>
      <c r="O760" t="n">
        <v>0</v>
      </c>
      <c r="P760" t="n">
        <v>0</v>
      </c>
      <c r="Q760" t="n">
        <v>0</v>
      </c>
      <c r="R760" s="2" t="inlineStr"/>
    </row>
    <row r="761" ht="15" customHeight="1">
      <c r="A761" t="inlineStr">
        <is>
          <t>A 52755-2024</t>
        </is>
      </c>
      <c r="B761" s="1" t="n">
        <v>45610.50217592593</v>
      </c>
      <c r="C761" s="1" t="n">
        <v>45999</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45999</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6030-2025</t>
        </is>
      </c>
      <c r="B763" s="1" t="n">
        <v>45695</v>
      </c>
      <c r="C763" s="1" t="n">
        <v>45999</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53981-2024</t>
        </is>
      </c>
      <c r="B764" s="1" t="n">
        <v>45615</v>
      </c>
      <c r="C764" s="1" t="n">
        <v>45999</v>
      </c>
      <c r="D764" t="inlineStr">
        <is>
          <t>DALARNAS LÄN</t>
        </is>
      </c>
      <c r="E764" t="inlineStr">
        <is>
          <t>LEKSAND</t>
        </is>
      </c>
      <c r="G764" t="n">
        <v>5.4</v>
      </c>
      <c r="H764" t="n">
        <v>0</v>
      </c>
      <c r="I764" t="n">
        <v>0</v>
      </c>
      <c r="J764" t="n">
        <v>0</v>
      </c>
      <c r="K764" t="n">
        <v>0</v>
      </c>
      <c r="L764" t="n">
        <v>0</v>
      </c>
      <c r="M764" t="n">
        <v>0</v>
      </c>
      <c r="N764" t="n">
        <v>0</v>
      </c>
      <c r="O764" t="n">
        <v>0</v>
      </c>
      <c r="P764" t="n">
        <v>0</v>
      </c>
      <c r="Q764" t="n">
        <v>0</v>
      </c>
      <c r="R764" s="2" t="inlineStr"/>
    </row>
    <row r="765" ht="15" customHeight="1">
      <c r="A765" t="inlineStr">
        <is>
          <t>A 17589-2025</t>
        </is>
      </c>
      <c r="B765" s="1" t="n">
        <v>45757.67844907408</v>
      </c>
      <c r="C765" s="1" t="n">
        <v>45999</v>
      </c>
      <c r="D765" t="inlineStr">
        <is>
          <t>DALARNAS LÄN</t>
        </is>
      </c>
      <c r="E765" t="inlineStr">
        <is>
          <t>LEKSAND</t>
        </is>
      </c>
      <c r="G765" t="n">
        <v>5.8</v>
      </c>
      <c r="H765" t="n">
        <v>0</v>
      </c>
      <c r="I765" t="n">
        <v>0</v>
      </c>
      <c r="J765" t="n">
        <v>0</v>
      </c>
      <c r="K765" t="n">
        <v>0</v>
      </c>
      <c r="L765" t="n">
        <v>0</v>
      </c>
      <c r="M765" t="n">
        <v>0</v>
      </c>
      <c r="N765" t="n">
        <v>0</v>
      </c>
      <c r="O765" t="n">
        <v>0</v>
      </c>
      <c r="P765" t="n">
        <v>0</v>
      </c>
      <c r="Q765" t="n">
        <v>0</v>
      </c>
      <c r="R765" s="2" t="inlineStr"/>
    </row>
    <row r="766" ht="15" customHeight="1">
      <c r="A766" t="inlineStr">
        <is>
          <t>A 11740-2025</t>
        </is>
      </c>
      <c r="B766" s="1" t="n">
        <v>45727.62582175926</v>
      </c>
      <c r="C766" s="1" t="n">
        <v>45999</v>
      </c>
      <c r="D766" t="inlineStr">
        <is>
          <t>DALARNAS LÄN</t>
        </is>
      </c>
      <c r="E766" t="inlineStr">
        <is>
          <t>LEKSAND</t>
        </is>
      </c>
      <c r="F766" t="inlineStr">
        <is>
          <t>Övriga Aktiebolag</t>
        </is>
      </c>
      <c r="G766" t="n">
        <v>1.3</v>
      </c>
      <c r="H766" t="n">
        <v>0</v>
      </c>
      <c r="I766" t="n">
        <v>0</v>
      </c>
      <c r="J766" t="n">
        <v>0</v>
      </c>
      <c r="K766" t="n">
        <v>0</v>
      </c>
      <c r="L766" t="n">
        <v>0</v>
      </c>
      <c r="M766" t="n">
        <v>0</v>
      </c>
      <c r="N766" t="n">
        <v>0</v>
      </c>
      <c r="O766" t="n">
        <v>0</v>
      </c>
      <c r="P766" t="n">
        <v>0</v>
      </c>
      <c r="Q766" t="n">
        <v>0</v>
      </c>
      <c r="R766" s="2" t="inlineStr"/>
    </row>
    <row r="767" ht="15" customHeight="1">
      <c r="A767" t="inlineStr">
        <is>
          <t>A 44491-2023</t>
        </is>
      </c>
      <c r="B767" s="1" t="n">
        <v>45183</v>
      </c>
      <c r="C767" s="1" t="n">
        <v>45999</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33001-2023</t>
        </is>
      </c>
      <c r="B768" s="1" t="n">
        <v>45125</v>
      </c>
      <c r="C768" s="1" t="n">
        <v>45999</v>
      </c>
      <c r="D768" t="inlineStr">
        <is>
          <t>DALARNAS LÄN</t>
        </is>
      </c>
      <c r="E768" t="inlineStr">
        <is>
          <t>LEKSAND</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33674-2023</t>
        </is>
      </c>
      <c r="B769" s="1" t="n">
        <v>45132</v>
      </c>
      <c r="C769" s="1" t="n">
        <v>45999</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16135-2023</t>
        </is>
      </c>
      <c r="B770" s="1" t="n">
        <v>45027.63717592593</v>
      </c>
      <c r="C770" s="1" t="n">
        <v>45999</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30198-2024</t>
        </is>
      </c>
      <c r="B771" s="1" t="n">
        <v>45490.34765046297</v>
      </c>
      <c r="C771" s="1" t="n">
        <v>45999</v>
      </c>
      <c r="D771" t="inlineStr">
        <is>
          <t>DALARNAS LÄN</t>
        </is>
      </c>
      <c r="E771" t="inlineStr">
        <is>
          <t>LEKSAND</t>
        </is>
      </c>
      <c r="G771" t="n">
        <v>0.8</v>
      </c>
      <c r="H771" t="n">
        <v>0</v>
      </c>
      <c r="I771" t="n">
        <v>0</v>
      </c>
      <c r="J771" t="n">
        <v>0</v>
      </c>
      <c r="K771" t="n">
        <v>0</v>
      </c>
      <c r="L771" t="n">
        <v>0</v>
      </c>
      <c r="M771" t="n">
        <v>0</v>
      </c>
      <c r="N771" t="n">
        <v>0</v>
      </c>
      <c r="O771" t="n">
        <v>0</v>
      </c>
      <c r="P771" t="n">
        <v>0</v>
      </c>
      <c r="Q771" t="n">
        <v>0</v>
      </c>
      <c r="R771" s="2" t="inlineStr"/>
    </row>
    <row r="772" ht="15" customHeight="1">
      <c r="A772" t="inlineStr">
        <is>
          <t>A 10373-2023</t>
        </is>
      </c>
      <c r="B772" s="1" t="n">
        <v>44987</v>
      </c>
      <c r="C772" s="1" t="n">
        <v>45999</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33566-2023</t>
        </is>
      </c>
      <c r="B773" s="1" t="n">
        <v>45131.64390046296</v>
      </c>
      <c r="C773" s="1" t="n">
        <v>45999</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16592-2023</t>
        </is>
      </c>
      <c r="B774" s="1" t="n">
        <v>45030</v>
      </c>
      <c r="C774" s="1" t="n">
        <v>45999</v>
      </c>
      <c r="D774" t="inlineStr">
        <is>
          <t>DALARNAS LÄN</t>
        </is>
      </c>
      <c r="E774" t="inlineStr">
        <is>
          <t>LEKSAND</t>
        </is>
      </c>
      <c r="G774" t="n">
        <v>11.5</v>
      </c>
      <c r="H774" t="n">
        <v>0</v>
      </c>
      <c r="I774" t="n">
        <v>0</v>
      </c>
      <c r="J774" t="n">
        <v>0</v>
      </c>
      <c r="K774" t="n">
        <v>0</v>
      </c>
      <c r="L774" t="n">
        <v>0</v>
      </c>
      <c r="M774" t="n">
        <v>0</v>
      </c>
      <c r="N774" t="n">
        <v>0</v>
      </c>
      <c r="O774" t="n">
        <v>0</v>
      </c>
      <c r="P774" t="n">
        <v>0</v>
      </c>
      <c r="Q774" t="n">
        <v>0</v>
      </c>
      <c r="R774" s="2" t="inlineStr"/>
    </row>
    <row r="775" ht="15" customHeight="1">
      <c r="A775" t="inlineStr">
        <is>
          <t>A 7395-2025</t>
        </is>
      </c>
      <c r="B775" s="1" t="n">
        <v>45705.34516203704</v>
      </c>
      <c r="C775" s="1" t="n">
        <v>45999</v>
      </c>
      <c r="D775" t="inlineStr">
        <is>
          <t>DALARNAS LÄN</t>
        </is>
      </c>
      <c r="E775" t="inlineStr">
        <is>
          <t>LEKSAND</t>
        </is>
      </c>
      <c r="G775" t="n">
        <v>1.8</v>
      </c>
      <c r="H775" t="n">
        <v>0</v>
      </c>
      <c r="I775" t="n">
        <v>0</v>
      </c>
      <c r="J775" t="n">
        <v>0</v>
      </c>
      <c r="K775" t="n">
        <v>0</v>
      </c>
      <c r="L775" t="n">
        <v>0</v>
      </c>
      <c r="M775" t="n">
        <v>0</v>
      </c>
      <c r="N775" t="n">
        <v>0</v>
      </c>
      <c r="O775" t="n">
        <v>0</v>
      </c>
      <c r="P775" t="n">
        <v>0</v>
      </c>
      <c r="Q775" t="n">
        <v>0</v>
      </c>
      <c r="R775" s="2" t="inlineStr"/>
    </row>
    <row r="776" ht="15" customHeight="1">
      <c r="A776" t="inlineStr">
        <is>
          <t>A 31971-2024</t>
        </is>
      </c>
      <c r="B776" s="1" t="n">
        <v>45510.55171296297</v>
      </c>
      <c r="C776" s="1" t="n">
        <v>45999</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61546-2021</t>
        </is>
      </c>
      <c r="B777" s="1" t="n">
        <v>44501</v>
      </c>
      <c r="C777" s="1" t="n">
        <v>45999</v>
      </c>
      <c r="D777" t="inlineStr">
        <is>
          <t>DALARNAS LÄN</t>
        </is>
      </c>
      <c r="E777" t="inlineStr">
        <is>
          <t>LEKSAND</t>
        </is>
      </c>
      <c r="G777" t="n">
        <v>3</v>
      </c>
      <c r="H777" t="n">
        <v>0</v>
      </c>
      <c r="I777" t="n">
        <v>0</v>
      </c>
      <c r="J777" t="n">
        <v>0</v>
      </c>
      <c r="K777" t="n">
        <v>0</v>
      </c>
      <c r="L777" t="n">
        <v>0</v>
      </c>
      <c r="M777" t="n">
        <v>0</v>
      </c>
      <c r="N777" t="n">
        <v>0</v>
      </c>
      <c r="O777" t="n">
        <v>0</v>
      </c>
      <c r="P777" t="n">
        <v>0</v>
      </c>
      <c r="Q777" t="n">
        <v>0</v>
      </c>
      <c r="R777" s="2" t="inlineStr"/>
    </row>
    <row r="778" ht="15" customHeight="1">
      <c r="A778" t="inlineStr">
        <is>
          <t>A 7653-2025</t>
        </is>
      </c>
      <c r="B778" s="1" t="n">
        <v>45705.95238425926</v>
      </c>
      <c r="C778" s="1" t="n">
        <v>45999</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41853-2023</t>
        </is>
      </c>
      <c r="B779" s="1" t="n">
        <v>45176.62483796296</v>
      </c>
      <c r="C779" s="1" t="n">
        <v>45999</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62116-2024</t>
        </is>
      </c>
      <c r="B780" s="1" t="n">
        <v>45646</v>
      </c>
      <c r="C780" s="1" t="n">
        <v>45999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15986-2025</t>
        </is>
      </c>
      <c r="B781" s="1" t="n">
        <v>45749.57331018519</v>
      </c>
      <c r="C781" s="1" t="n">
        <v>45999</v>
      </c>
      <c r="D781" t="inlineStr">
        <is>
          <t>DALARNAS LÄN</t>
        </is>
      </c>
      <c r="E781" t="inlineStr">
        <is>
          <t>LEKSAND</t>
        </is>
      </c>
      <c r="G781" t="n">
        <v>2.7</v>
      </c>
      <c r="H781" t="n">
        <v>0</v>
      </c>
      <c r="I781" t="n">
        <v>0</v>
      </c>
      <c r="J781" t="n">
        <v>0</v>
      </c>
      <c r="K781" t="n">
        <v>0</v>
      </c>
      <c r="L781" t="n">
        <v>0</v>
      </c>
      <c r="M781" t="n">
        <v>0</v>
      </c>
      <c r="N781" t="n">
        <v>0</v>
      </c>
      <c r="O781" t="n">
        <v>0</v>
      </c>
      <c r="P781" t="n">
        <v>0</v>
      </c>
      <c r="Q781" t="n">
        <v>0</v>
      </c>
      <c r="R781" s="2" t="inlineStr"/>
    </row>
    <row r="782" ht="15" customHeight="1">
      <c r="A782" t="inlineStr">
        <is>
          <t>A 62295-2023</t>
        </is>
      </c>
      <c r="B782" s="1" t="n">
        <v>45267</v>
      </c>
      <c r="C782" s="1" t="n">
        <v>45999</v>
      </c>
      <c r="D782" t="inlineStr">
        <is>
          <t>DALARNAS LÄN</t>
        </is>
      </c>
      <c r="E782" t="inlineStr">
        <is>
          <t>LEKSAND</t>
        </is>
      </c>
      <c r="G782" t="n">
        <v>2.5</v>
      </c>
      <c r="H782" t="n">
        <v>0</v>
      </c>
      <c r="I782" t="n">
        <v>0</v>
      </c>
      <c r="J782" t="n">
        <v>0</v>
      </c>
      <c r="K782" t="n">
        <v>0</v>
      </c>
      <c r="L782" t="n">
        <v>0</v>
      </c>
      <c r="M782" t="n">
        <v>0</v>
      </c>
      <c r="N782" t="n">
        <v>0</v>
      </c>
      <c r="O782" t="n">
        <v>0</v>
      </c>
      <c r="P782" t="n">
        <v>0</v>
      </c>
      <c r="Q782" t="n">
        <v>0</v>
      </c>
      <c r="R782" s="2" t="inlineStr"/>
    </row>
    <row r="783">
      <c r="A783" t="inlineStr">
        <is>
          <t>A 10771-2024</t>
        </is>
      </c>
      <c r="B783" s="1" t="n">
        <v>45369.57342592593</v>
      </c>
      <c r="C783" s="1" t="n">
        <v>45999</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2025-12-08T10:27:07Z</dcterms:created>
  <dcterms:modified xmlns:dcterms="http://purl.org/dc/terms/" xmlns:xsi="http://www.w3.org/2001/XMLSchema-instance" xsi:type="dcterms:W3CDTF">2025-12-08T10:27:08Z</dcterms:modified>
</cp:coreProperties>
</file>