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45968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45968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45968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45968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45968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45968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45968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45968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48616-2025</t>
        </is>
      </c>
      <c r="B15" s="1" t="n">
        <v>45936.48783564815</v>
      </c>
      <c r="C15" s="1" t="n">
        <v>45968</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45968</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45968</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45968</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45968</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45968</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45968</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45968</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45968</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59111-2024</t>
        </is>
      </c>
      <c r="B24" s="1" t="n">
        <v>45637.36484953704</v>
      </c>
      <c r="C24" s="1" t="n">
        <v>45968</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45968</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45968</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9408-2024</t>
        </is>
      </c>
      <c r="B27" s="1" t="n">
        <v>45358</v>
      </c>
      <c r="C27" s="1" t="n">
        <v>45968</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18860-2025</t>
        </is>
      </c>
      <c r="B28" s="1" t="n">
        <v>45764.42738425926</v>
      </c>
      <c r="C28" s="1" t="n">
        <v>45968</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45968</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45968</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45968</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4974-2025</t>
        </is>
      </c>
      <c r="B32" s="1" t="n">
        <v>45690.8478587963</v>
      </c>
      <c r="C32" s="1" t="n">
        <v>45968</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31951-2025</t>
        </is>
      </c>
      <c r="B33" s="1" t="n">
        <v>45835.33481481481</v>
      </c>
      <c r="C33" s="1" t="n">
        <v>45968</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55633-2024</t>
        </is>
      </c>
      <c r="B34" s="1" t="n">
        <v>45621</v>
      </c>
      <c r="C34" s="1" t="n">
        <v>45968</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34993-2025</t>
        </is>
      </c>
      <c r="B35" s="1" t="n">
        <v>45849.82383101852</v>
      </c>
      <c r="C35" s="1" t="n">
        <v>45968</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45968</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164-2024</t>
        </is>
      </c>
      <c r="B37" s="1" t="n">
        <v>45294.49954861111</v>
      </c>
      <c r="C37" s="1" t="n">
        <v>45968</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6029-2025</t>
        </is>
      </c>
      <c r="B38" s="1" t="n">
        <v>45695</v>
      </c>
      <c r="C38" s="1" t="n">
        <v>45968</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11218-2023</t>
        </is>
      </c>
      <c r="B39" s="1" t="n">
        <v>44992.62401620371</v>
      </c>
      <c r="C39" s="1" t="n">
        <v>45968</v>
      </c>
      <c r="D39" t="inlineStr">
        <is>
          <t>DALARNAS LÄN</t>
        </is>
      </c>
      <c r="E39" t="inlineStr">
        <is>
          <t>LEKSAND</t>
        </is>
      </c>
      <c r="G39" t="n">
        <v>2.6</v>
      </c>
      <c r="H39" t="n">
        <v>1</v>
      </c>
      <c r="I39" t="n">
        <v>0</v>
      </c>
      <c r="J39" t="n">
        <v>0</v>
      </c>
      <c r="K39" t="n">
        <v>1</v>
      </c>
      <c r="L39" t="n">
        <v>0</v>
      </c>
      <c r="M39" t="n">
        <v>0</v>
      </c>
      <c r="N39" t="n">
        <v>0</v>
      </c>
      <c r="O39" t="n">
        <v>1</v>
      </c>
      <c r="P39" t="n">
        <v>1</v>
      </c>
      <c r="Q39" t="n">
        <v>1</v>
      </c>
      <c r="R39" s="2" t="inlineStr">
        <is>
          <t>Knärot</t>
        </is>
      </c>
      <c r="S39">
        <f>HYPERLINK("https://klasma.github.io/Logging_2029/artfynd/A 11218-2023 artfynd.xlsx", "A 11218-2023")</f>
        <v/>
      </c>
      <c r="T39">
        <f>HYPERLINK("https://klasma.github.io/Logging_2029/kartor/A 11218-2023 karta.png", "A 11218-2023")</f>
        <v/>
      </c>
      <c r="U39">
        <f>HYPERLINK("https://klasma.github.io/Logging_2029/knärot/A 11218-2023 karta knärot.png", "A 11218-2023")</f>
        <v/>
      </c>
      <c r="V39">
        <f>HYPERLINK("https://klasma.github.io/Logging_2029/klagomål/A 11218-2023 FSC-klagomål.docx", "A 11218-2023")</f>
        <v/>
      </c>
      <c r="W39">
        <f>HYPERLINK("https://klasma.github.io/Logging_2029/klagomålsmail/A 11218-2023 FSC-klagomål mail.docx", "A 11218-2023")</f>
        <v/>
      </c>
      <c r="X39">
        <f>HYPERLINK("https://klasma.github.io/Logging_2029/tillsyn/A 11218-2023 tillsynsbegäran.docx", "A 11218-2023")</f>
        <v/>
      </c>
      <c r="Y39">
        <f>HYPERLINK("https://klasma.github.io/Logging_2029/tillsynsmail/A 11218-2023 tillsynsbegäran mail.docx", "A 11218-2023")</f>
        <v/>
      </c>
    </row>
    <row r="40" ht="15" customHeight="1">
      <c r="A40" t="inlineStr">
        <is>
          <t>A 26287-2023</t>
        </is>
      </c>
      <c r="B40" s="1" t="n">
        <v>45091</v>
      </c>
      <c r="C40" s="1" t="n">
        <v>45968</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59205-2023</t>
        </is>
      </c>
      <c r="B41" s="1" t="n">
        <v>45251</v>
      </c>
      <c r="C41" s="1" t="n">
        <v>45968</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41873-2022</t>
        </is>
      </c>
      <c r="B42" s="1" t="n">
        <v>44829</v>
      </c>
      <c r="C42" s="1" t="n">
        <v>45968</v>
      </c>
      <c r="D42" t="inlineStr">
        <is>
          <t>DALARNAS LÄN</t>
        </is>
      </c>
      <c r="E42" t="inlineStr">
        <is>
          <t>LEKSAND</t>
        </is>
      </c>
      <c r="G42" t="n">
        <v>2.1</v>
      </c>
      <c r="H42" t="n">
        <v>1</v>
      </c>
      <c r="I42" t="n">
        <v>0</v>
      </c>
      <c r="J42" t="n">
        <v>1</v>
      </c>
      <c r="K42" t="n">
        <v>0</v>
      </c>
      <c r="L42" t="n">
        <v>0</v>
      </c>
      <c r="M42" t="n">
        <v>0</v>
      </c>
      <c r="N42" t="n">
        <v>0</v>
      </c>
      <c r="O42" t="n">
        <v>1</v>
      </c>
      <c r="P42" t="n">
        <v>0</v>
      </c>
      <c r="Q42" t="n">
        <v>1</v>
      </c>
      <c r="R42" s="2" t="inlineStr">
        <is>
          <t>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47601-2025</t>
        </is>
      </c>
      <c r="B43" s="1" t="n">
        <v>45931.46008101852</v>
      </c>
      <c r="C43" s="1" t="n">
        <v>45968</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16735-2025</t>
        </is>
      </c>
      <c r="B44" s="1" t="n">
        <v>45754.54314814815</v>
      </c>
      <c r="C44" s="1" t="n">
        <v>45968</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16333-2023</t>
        </is>
      </c>
      <c r="B45" s="1" t="n">
        <v>45028</v>
      </c>
      <c r="C45" s="1" t="n">
        <v>45968</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53633-2024</t>
        </is>
      </c>
      <c r="B46" s="1" t="n">
        <v>45614.83726851852</v>
      </c>
      <c r="C46" s="1" t="n">
        <v>45968</v>
      </c>
      <c r="D46" t="inlineStr">
        <is>
          <t>DALARNAS LÄN</t>
        </is>
      </c>
      <c r="E46" t="inlineStr">
        <is>
          <t>LEKSAND</t>
        </is>
      </c>
      <c r="G46" t="n">
        <v>1.6</v>
      </c>
      <c r="H46" t="n">
        <v>1</v>
      </c>
      <c r="I46" t="n">
        <v>0</v>
      </c>
      <c r="J46" t="n">
        <v>1</v>
      </c>
      <c r="K46" t="n">
        <v>0</v>
      </c>
      <c r="L46" t="n">
        <v>0</v>
      </c>
      <c r="M46" t="n">
        <v>0</v>
      </c>
      <c r="N46" t="n">
        <v>0</v>
      </c>
      <c r="O46" t="n">
        <v>1</v>
      </c>
      <c r="P46" t="n">
        <v>0</v>
      </c>
      <c r="Q46" t="n">
        <v>1</v>
      </c>
      <c r="R46" s="2" t="inlineStr">
        <is>
          <t>Tretåig hackspett</t>
        </is>
      </c>
      <c r="S46">
        <f>HYPERLINK("https://klasma.github.io/Logging_2029/artfynd/A 53633-2024 artfynd.xlsx", "A 53633-2024")</f>
        <v/>
      </c>
      <c r="T46">
        <f>HYPERLINK("https://klasma.github.io/Logging_2029/kartor/A 53633-2024 karta.png", "A 53633-2024")</f>
        <v/>
      </c>
      <c r="V46">
        <f>HYPERLINK("https://klasma.github.io/Logging_2029/klagomål/A 53633-2024 FSC-klagomål.docx", "A 53633-2024")</f>
        <v/>
      </c>
      <c r="W46">
        <f>HYPERLINK("https://klasma.github.io/Logging_2029/klagomålsmail/A 53633-2024 FSC-klagomål mail.docx", "A 53633-2024")</f>
        <v/>
      </c>
      <c r="X46">
        <f>HYPERLINK("https://klasma.github.io/Logging_2029/tillsyn/A 53633-2024 tillsynsbegäran.docx", "A 53633-2024")</f>
        <v/>
      </c>
      <c r="Y46">
        <f>HYPERLINK("https://klasma.github.io/Logging_2029/tillsynsmail/A 53633-2024 tillsynsbegäran mail.docx", "A 53633-2024")</f>
        <v/>
      </c>
      <c r="Z46">
        <f>HYPERLINK("https://klasma.github.io/Logging_2029/fåglar/A 53633-2024 prioriterade fågelarter.docx", "A 53633-2024")</f>
        <v/>
      </c>
    </row>
    <row r="47" ht="15" customHeight="1">
      <c r="A47" t="inlineStr">
        <is>
          <t>A 52600-2024</t>
        </is>
      </c>
      <c r="B47" s="1" t="n">
        <v>45609</v>
      </c>
      <c r="C47" s="1" t="n">
        <v>45968</v>
      </c>
      <c r="D47" t="inlineStr">
        <is>
          <t>DALARNAS LÄN</t>
        </is>
      </c>
      <c r="E47" t="inlineStr">
        <is>
          <t>LEKSAND</t>
        </is>
      </c>
      <c r="G47" t="n">
        <v>3.4</v>
      </c>
      <c r="H47" t="n">
        <v>1</v>
      </c>
      <c r="I47" t="n">
        <v>0</v>
      </c>
      <c r="J47" t="n">
        <v>0</v>
      </c>
      <c r="K47" t="n">
        <v>0</v>
      </c>
      <c r="L47" t="n">
        <v>0</v>
      </c>
      <c r="M47" t="n">
        <v>0</v>
      </c>
      <c r="N47" t="n">
        <v>0</v>
      </c>
      <c r="O47" t="n">
        <v>0</v>
      </c>
      <c r="P47" t="n">
        <v>0</v>
      </c>
      <c r="Q47" t="n">
        <v>1</v>
      </c>
      <c r="R47" s="2" t="inlineStr">
        <is>
          <t>Fläcknycklar</t>
        </is>
      </c>
      <c r="S47">
        <f>HYPERLINK("https://klasma.github.io/Logging_2029/artfynd/A 52600-2024 artfynd.xlsx", "A 52600-2024")</f>
        <v/>
      </c>
      <c r="T47">
        <f>HYPERLINK("https://klasma.github.io/Logging_2029/kartor/A 52600-2024 karta.png", "A 52600-2024")</f>
        <v/>
      </c>
      <c r="V47">
        <f>HYPERLINK("https://klasma.github.io/Logging_2029/klagomål/A 52600-2024 FSC-klagomål.docx", "A 52600-2024")</f>
        <v/>
      </c>
      <c r="W47">
        <f>HYPERLINK("https://klasma.github.io/Logging_2029/klagomålsmail/A 52600-2024 FSC-klagomål mail.docx", "A 52600-2024")</f>
        <v/>
      </c>
      <c r="X47">
        <f>HYPERLINK("https://klasma.github.io/Logging_2029/tillsyn/A 52600-2024 tillsynsbegäran.docx", "A 52600-2024")</f>
        <v/>
      </c>
      <c r="Y47">
        <f>HYPERLINK("https://klasma.github.io/Logging_2029/tillsynsmail/A 52600-2024 tillsynsbegäran mail.docx", "A 52600-2024")</f>
        <v/>
      </c>
    </row>
    <row r="48" ht="15" customHeight="1">
      <c r="A48" t="inlineStr">
        <is>
          <t>A 31124-2024</t>
        </is>
      </c>
      <c r="B48" s="1" t="n">
        <v>45502.62886574074</v>
      </c>
      <c r="C48" s="1" t="n">
        <v>45968</v>
      </c>
      <c r="D48" t="inlineStr">
        <is>
          <t>DALARNAS LÄN</t>
        </is>
      </c>
      <c r="E48" t="inlineStr">
        <is>
          <t>LEKSAND</t>
        </is>
      </c>
      <c r="G48" t="n">
        <v>1.9</v>
      </c>
      <c r="H48" t="n">
        <v>1</v>
      </c>
      <c r="I48" t="n">
        <v>0</v>
      </c>
      <c r="J48" t="n">
        <v>0</v>
      </c>
      <c r="K48" t="n">
        <v>1</v>
      </c>
      <c r="L48" t="n">
        <v>0</v>
      </c>
      <c r="M48" t="n">
        <v>0</v>
      </c>
      <c r="N48" t="n">
        <v>0</v>
      </c>
      <c r="O48" t="n">
        <v>1</v>
      </c>
      <c r="P48" t="n">
        <v>1</v>
      </c>
      <c r="Q48" t="n">
        <v>1</v>
      </c>
      <c r="R48" s="2" t="inlineStr">
        <is>
          <t>Väddnätfjäril</t>
        </is>
      </c>
      <c r="S48">
        <f>HYPERLINK("https://klasma.github.io/Logging_2029/artfynd/A 31124-2024 artfynd.xlsx", "A 31124-2024")</f>
        <v/>
      </c>
      <c r="T48">
        <f>HYPERLINK("https://klasma.github.io/Logging_2029/kartor/A 31124-2024 karta.png", "A 31124-2024")</f>
        <v/>
      </c>
      <c r="V48">
        <f>HYPERLINK("https://klasma.github.io/Logging_2029/klagomål/A 31124-2024 FSC-klagomål.docx", "A 31124-2024")</f>
        <v/>
      </c>
      <c r="W48">
        <f>HYPERLINK("https://klasma.github.io/Logging_2029/klagomålsmail/A 31124-2024 FSC-klagomål mail.docx", "A 31124-2024")</f>
        <v/>
      </c>
      <c r="X48">
        <f>HYPERLINK("https://klasma.github.io/Logging_2029/tillsyn/A 31124-2024 tillsynsbegäran.docx", "A 31124-2024")</f>
        <v/>
      </c>
      <c r="Y48">
        <f>HYPERLINK("https://klasma.github.io/Logging_2029/tillsynsmail/A 31124-2024 tillsynsbegäran mail.docx", "A 31124-2024")</f>
        <v/>
      </c>
    </row>
    <row r="49" ht="15" customHeight="1">
      <c r="A49" t="inlineStr">
        <is>
          <t>A 36778-2025</t>
        </is>
      </c>
      <c r="B49" s="1" t="n">
        <v>45873</v>
      </c>
      <c r="C49" s="1" t="n">
        <v>45968</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45375-2025</t>
        </is>
      </c>
      <c r="B50" s="1" t="n">
        <v>45922.39347222223</v>
      </c>
      <c r="C50" s="1" t="n">
        <v>45968</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1078-2021</t>
        </is>
      </c>
      <c r="B51" s="1" t="n">
        <v>44207</v>
      </c>
      <c r="C51" s="1" t="n">
        <v>45968</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45968</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45968</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45968</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45968</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45968</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45968</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45968</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45968</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45968</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45968</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45968</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45968</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45968</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45968</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45968</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45968</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45968</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45968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45968</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45968</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45968</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45968</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45968</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45968</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45968</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45968</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45968</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45968</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45968</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45968</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45968</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45968</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49581-2022</t>
        </is>
      </c>
      <c r="B84" s="1" t="n">
        <v>44862.36287037037</v>
      </c>
      <c r="C84" s="1" t="n">
        <v>45968</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56153-2021</t>
        </is>
      </c>
      <c r="B85" s="1" t="n">
        <v>44477</v>
      </c>
      <c r="C85" s="1" t="n">
        <v>45968</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35080-2022</t>
        </is>
      </c>
      <c r="B86" s="1" t="n">
        <v>44797</v>
      </c>
      <c r="C86" s="1" t="n">
        <v>45968</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70098-2021</t>
        </is>
      </c>
      <c r="B87" s="1" t="n">
        <v>44533</v>
      </c>
      <c r="C87" s="1" t="n">
        <v>45968</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45968</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45968</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45968</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45968</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19677-2021</t>
        </is>
      </c>
      <c r="B92" s="1" t="n">
        <v>44312</v>
      </c>
      <c r="C92" s="1" t="n">
        <v>45968</v>
      </c>
      <c r="D92" t="inlineStr">
        <is>
          <t>DALARNAS LÄN</t>
        </is>
      </c>
      <c r="E92" t="inlineStr">
        <is>
          <t>LEKSAND</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32635-2021</t>
        </is>
      </c>
      <c r="B93" s="1" t="n">
        <v>44374</v>
      </c>
      <c r="C93" s="1" t="n">
        <v>45968</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45968</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45968</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38619-2021</t>
        </is>
      </c>
      <c r="B96" s="1" t="n">
        <v>44409</v>
      </c>
      <c r="C96" s="1" t="n">
        <v>45968</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8501-2022</t>
        </is>
      </c>
      <c r="B97" s="1" t="n">
        <v>44613.40672453704</v>
      </c>
      <c r="C97" s="1" t="n">
        <v>45968</v>
      </c>
      <c r="D97" t="inlineStr">
        <is>
          <t>DALARNAS LÄN</t>
        </is>
      </c>
      <c r="E97" t="inlineStr">
        <is>
          <t>LEKSAND</t>
        </is>
      </c>
      <c r="G97" t="n">
        <v>3</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45968</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34317-2022</t>
        </is>
      </c>
      <c r="B99" s="1" t="n">
        <v>44792.38814814815</v>
      </c>
      <c r="C99" s="1" t="n">
        <v>45968</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43275-2022</t>
        </is>
      </c>
      <c r="B100" s="1" t="n">
        <v>44824</v>
      </c>
      <c r="C100" s="1" t="n">
        <v>45968</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43304-2022</t>
        </is>
      </c>
      <c r="B101" s="1" t="n">
        <v>44834</v>
      </c>
      <c r="C101" s="1" t="n">
        <v>45968</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19480-2022</t>
        </is>
      </c>
      <c r="B102" s="1" t="n">
        <v>44693</v>
      </c>
      <c r="C102" s="1" t="n">
        <v>45968</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64449-2020</t>
        </is>
      </c>
      <c r="B103" s="1" t="n">
        <v>44168</v>
      </c>
      <c r="C103" s="1" t="n">
        <v>45968</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45968</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45040-2021</t>
        </is>
      </c>
      <c r="B105" s="1" t="n">
        <v>44438</v>
      </c>
      <c r="C105" s="1" t="n">
        <v>45968</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45968</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30449-2022</t>
        </is>
      </c>
      <c r="B107" s="1" t="n">
        <v>44761.59276620371</v>
      </c>
      <c r="C107" s="1" t="n">
        <v>45968</v>
      </c>
      <c r="D107" t="inlineStr">
        <is>
          <t>DALARNAS LÄN</t>
        </is>
      </c>
      <c r="E107" t="inlineStr">
        <is>
          <t>LEKSAND</t>
        </is>
      </c>
      <c r="G107" t="n">
        <v>5.7</v>
      </c>
      <c r="H107" t="n">
        <v>0</v>
      </c>
      <c r="I107" t="n">
        <v>0</v>
      </c>
      <c r="J107" t="n">
        <v>0</v>
      </c>
      <c r="K107" t="n">
        <v>0</v>
      </c>
      <c r="L107" t="n">
        <v>0</v>
      </c>
      <c r="M107" t="n">
        <v>0</v>
      </c>
      <c r="N107" t="n">
        <v>0</v>
      </c>
      <c r="O107" t="n">
        <v>0</v>
      </c>
      <c r="P107" t="n">
        <v>0</v>
      </c>
      <c r="Q107" t="n">
        <v>0</v>
      </c>
      <c r="R107" s="2" t="inlineStr"/>
    </row>
    <row r="108" ht="15" customHeight="1">
      <c r="A108" t="inlineStr">
        <is>
          <t>A 18040-2024</t>
        </is>
      </c>
      <c r="B108" s="1" t="n">
        <v>45420.36664351852</v>
      </c>
      <c r="C108" s="1" t="n">
        <v>45968</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46141-2022</t>
        </is>
      </c>
      <c r="B109" s="1" t="n">
        <v>44846</v>
      </c>
      <c r="C109" s="1" t="n">
        <v>45968</v>
      </c>
      <c r="D109" t="inlineStr">
        <is>
          <t>DALARNAS LÄN</t>
        </is>
      </c>
      <c r="E109" t="inlineStr">
        <is>
          <t>LEKSAND</t>
        </is>
      </c>
      <c r="G109" t="n">
        <v>2.8</v>
      </c>
      <c r="H109" t="n">
        <v>0</v>
      </c>
      <c r="I109" t="n">
        <v>0</v>
      </c>
      <c r="J109" t="n">
        <v>0</v>
      </c>
      <c r="K109" t="n">
        <v>0</v>
      </c>
      <c r="L109" t="n">
        <v>0</v>
      </c>
      <c r="M109" t="n">
        <v>0</v>
      </c>
      <c r="N109" t="n">
        <v>0</v>
      </c>
      <c r="O109" t="n">
        <v>0</v>
      </c>
      <c r="P109" t="n">
        <v>0</v>
      </c>
      <c r="Q109" t="n">
        <v>0</v>
      </c>
      <c r="R109" s="2" t="inlineStr"/>
    </row>
    <row r="110" ht="15" customHeight="1">
      <c r="A110" t="inlineStr">
        <is>
          <t>A 14616-2024</t>
        </is>
      </c>
      <c r="B110" s="1" t="n">
        <v>45397.2624537037</v>
      </c>
      <c r="C110" s="1" t="n">
        <v>45968</v>
      </c>
      <c r="D110" t="inlineStr">
        <is>
          <t>DALARNAS LÄN</t>
        </is>
      </c>
      <c r="E110" t="inlineStr">
        <is>
          <t>LEKSAND</t>
        </is>
      </c>
      <c r="G110" t="n">
        <v>0.5</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45968</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45968</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62279-2021</t>
        </is>
      </c>
      <c r="B113" s="1" t="n">
        <v>44503</v>
      </c>
      <c r="C113" s="1" t="n">
        <v>45968</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45968</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70026-2021</t>
        </is>
      </c>
      <c r="B115" s="1" t="n">
        <v>44533</v>
      </c>
      <c r="C115" s="1" t="n">
        <v>45968</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44684.58278935185</v>
      </c>
      <c r="C116" s="1" t="n">
        <v>45968</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28592-2023</t>
        </is>
      </c>
      <c r="B117" s="1" t="n">
        <v>45103</v>
      </c>
      <c r="C117" s="1" t="n">
        <v>45968</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45155-2021</t>
        </is>
      </c>
      <c r="B118" s="1" t="n">
        <v>44439</v>
      </c>
      <c r="C118" s="1" t="n">
        <v>45968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36956-2021</t>
        </is>
      </c>
      <c r="B119" s="1" t="n">
        <v>44393.55643518519</v>
      </c>
      <c r="C119" s="1" t="n">
        <v>45968</v>
      </c>
      <c r="D119" t="inlineStr">
        <is>
          <t>DALARNAS LÄN</t>
        </is>
      </c>
      <c r="E119" t="inlineStr">
        <is>
          <t>LEKSAND</t>
        </is>
      </c>
      <c r="G119" t="n">
        <v>4.1</v>
      </c>
      <c r="H119" t="n">
        <v>0</v>
      </c>
      <c r="I119" t="n">
        <v>0</v>
      </c>
      <c r="J119" t="n">
        <v>0</v>
      </c>
      <c r="K119" t="n">
        <v>0</v>
      </c>
      <c r="L119" t="n">
        <v>0</v>
      </c>
      <c r="M119" t="n">
        <v>0</v>
      </c>
      <c r="N119" t="n">
        <v>0</v>
      </c>
      <c r="O119" t="n">
        <v>0</v>
      </c>
      <c r="P119" t="n">
        <v>0</v>
      </c>
      <c r="Q119" t="n">
        <v>0</v>
      </c>
      <c r="R119" s="2" t="inlineStr"/>
    </row>
    <row r="120" ht="15" customHeight="1">
      <c r="A120" t="inlineStr">
        <is>
          <t>A 46672-2022</t>
        </is>
      </c>
      <c r="B120" s="1" t="n">
        <v>44851</v>
      </c>
      <c r="C120" s="1" t="n">
        <v>45968</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59199-2024</t>
        </is>
      </c>
      <c r="B121" s="1" t="n">
        <v>45637</v>
      </c>
      <c r="C121" s="1" t="n">
        <v>45968</v>
      </c>
      <c r="D121" t="inlineStr">
        <is>
          <t>DALARNAS LÄN</t>
        </is>
      </c>
      <c r="E121" t="inlineStr">
        <is>
          <t>LEKSAND</t>
        </is>
      </c>
      <c r="G121" t="n">
        <v>5.4</v>
      </c>
      <c r="H121" t="n">
        <v>0</v>
      </c>
      <c r="I121" t="n">
        <v>0</v>
      </c>
      <c r="J121" t="n">
        <v>0</v>
      </c>
      <c r="K121" t="n">
        <v>0</v>
      </c>
      <c r="L121" t="n">
        <v>0</v>
      </c>
      <c r="M121" t="n">
        <v>0</v>
      </c>
      <c r="N121" t="n">
        <v>0</v>
      </c>
      <c r="O121" t="n">
        <v>0</v>
      </c>
      <c r="P121" t="n">
        <v>0</v>
      </c>
      <c r="Q121" t="n">
        <v>0</v>
      </c>
      <c r="R121" s="2" t="inlineStr"/>
    </row>
    <row r="122" ht="15" customHeight="1">
      <c r="A122" t="inlineStr">
        <is>
          <t>A 43410-2021</t>
        </is>
      </c>
      <c r="B122" s="1" t="n">
        <v>44432.60814814815</v>
      </c>
      <c r="C122" s="1" t="n">
        <v>45968</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72155-2021</t>
        </is>
      </c>
      <c r="B123" s="1" t="n">
        <v>44543</v>
      </c>
      <c r="C123" s="1" t="n">
        <v>45968</v>
      </c>
      <c r="D123" t="inlineStr">
        <is>
          <t>DALARNAS LÄN</t>
        </is>
      </c>
      <c r="E123" t="inlineStr">
        <is>
          <t>LEKSAND</t>
        </is>
      </c>
      <c r="G123" t="n">
        <v>2.5</v>
      </c>
      <c r="H123" t="n">
        <v>0</v>
      </c>
      <c r="I123" t="n">
        <v>0</v>
      </c>
      <c r="J123" t="n">
        <v>0</v>
      </c>
      <c r="K123" t="n">
        <v>0</v>
      </c>
      <c r="L123" t="n">
        <v>0</v>
      </c>
      <c r="M123" t="n">
        <v>0</v>
      </c>
      <c r="N123" t="n">
        <v>0</v>
      </c>
      <c r="O123" t="n">
        <v>0</v>
      </c>
      <c r="P123" t="n">
        <v>0</v>
      </c>
      <c r="Q123" t="n">
        <v>0</v>
      </c>
      <c r="R123" s="2" t="inlineStr"/>
    </row>
    <row r="124" ht="15" customHeight="1">
      <c r="A124" t="inlineStr">
        <is>
          <t>A 36932-2023</t>
        </is>
      </c>
      <c r="B124" s="1" t="n">
        <v>45154</v>
      </c>
      <c r="C124" s="1" t="n">
        <v>45968</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2579-2022</t>
        </is>
      </c>
      <c r="B125" s="1" t="n">
        <v>44580</v>
      </c>
      <c r="C125" s="1" t="n">
        <v>45968</v>
      </c>
      <c r="D125" t="inlineStr">
        <is>
          <t>DALARNAS LÄN</t>
        </is>
      </c>
      <c r="E125" t="inlineStr">
        <is>
          <t>LEKSAND</t>
        </is>
      </c>
      <c r="G125" t="n">
        <v>0.3</v>
      </c>
      <c r="H125" t="n">
        <v>0</v>
      </c>
      <c r="I125" t="n">
        <v>0</v>
      </c>
      <c r="J125" t="n">
        <v>0</v>
      </c>
      <c r="K125" t="n">
        <v>0</v>
      </c>
      <c r="L125" t="n">
        <v>0</v>
      </c>
      <c r="M125" t="n">
        <v>0</v>
      </c>
      <c r="N125" t="n">
        <v>0</v>
      </c>
      <c r="O125" t="n">
        <v>0</v>
      </c>
      <c r="P125" t="n">
        <v>0</v>
      </c>
      <c r="Q125" t="n">
        <v>0</v>
      </c>
      <c r="R125" s="2" t="inlineStr"/>
    </row>
    <row r="126" ht="15" customHeight="1">
      <c r="A126" t="inlineStr">
        <is>
          <t>A 57013-2023</t>
        </is>
      </c>
      <c r="B126" s="1" t="n">
        <v>45244</v>
      </c>
      <c r="C126" s="1" t="n">
        <v>45968</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56941-2024</t>
        </is>
      </c>
      <c r="B127" s="1" t="n">
        <v>45625</v>
      </c>
      <c r="C127" s="1" t="n">
        <v>45968</v>
      </c>
      <c r="D127" t="inlineStr">
        <is>
          <t>DALARNAS LÄN</t>
        </is>
      </c>
      <c r="E127" t="inlineStr">
        <is>
          <t>LEKSAND</t>
        </is>
      </c>
      <c r="G127" t="n">
        <v>1.8</v>
      </c>
      <c r="H127" t="n">
        <v>0</v>
      </c>
      <c r="I127" t="n">
        <v>0</v>
      </c>
      <c r="J127" t="n">
        <v>0</v>
      </c>
      <c r="K127" t="n">
        <v>0</v>
      </c>
      <c r="L127" t="n">
        <v>0</v>
      </c>
      <c r="M127" t="n">
        <v>0</v>
      </c>
      <c r="N127" t="n">
        <v>0</v>
      </c>
      <c r="O127" t="n">
        <v>0</v>
      </c>
      <c r="P127" t="n">
        <v>0</v>
      </c>
      <c r="Q127" t="n">
        <v>0</v>
      </c>
      <c r="R127" s="2" t="inlineStr"/>
    </row>
    <row r="128" ht="15" customHeight="1">
      <c r="A128" t="inlineStr">
        <is>
          <t>A 2140-2024</t>
        </is>
      </c>
      <c r="B128" s="1" t="n">
        <v>45309</v>
      </c>
      <c r="C128" s="1" t="n">
        <v>45968</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23615-2024</t>
        </is>
      </c>
      <c r="B129" s="1" t="n">
        <v>45454.43050925926</v>
      </c>
      <c r="C129" s="1" t="n">
        <v>45968</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16051-2023</t>
        </is>
      </c>
      <c r="B130" s="1" t="n">
        <v>45027</v>
      </c>
      <c r="C130" s="1" t="n">
        <v>45968</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63514-2023</t>
        </is>
      </c>
      <c r="B131" s="1" t="n">
        <v>45274</v>
      </c>
      <c r="C131" s="1" t="n">
        <v>45968</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2311-2021</t>
        </is>
      </c>
      <c r="B132" s="1" t="n">
        <v>44213</v>
      </c>
      <c r="C132" s="1" t="n">
        <v>45968</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22349-2024</t>
        </is>
      </c>
      <c r="B133" s="1" t="n">
        <v>45446</v>
      </c>
      <c r="C133" s="1" t="n">
        <v>45968</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44822-2024</t>
        </is>
      </c>
      <c r="B134" s="1" t="n">
        <v>45574.6646412037</v>
      </c>
      <c r="C134" s="1" t="n">
        <v>45968</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53717-2023</t>
        </is>
      </c>
      <c r="B135" s="1" t="n">
        <v>45230</v>
      </c>
      <c r="C135" s="1" t="n">
        <v>45968</v>
      </c>
      <c r="D135" t="inlineStr">
        <is>
          <t>DALARNAS LÄN</t>
        </is>
      </c>
      <c r="E135" t="inlineStr">
        <is>
          <t>LEKSAND</t>
        </is>
      </c>
      <c r="G135" t="n">
        <v>2.4</v>
      </c>
      <c r="H135" t="n">
        <v>0</v>
      </c>
      <c r="I135" t="n">
        <v>0</v>
      </c>
      <c r="J135" t="n">
        <v>0</v>
      </c>
      <c r="K135" t="n">
        <v>0</v>
      </c>
      <c r="L135" t="n">
        <v>0</v>
      </c>
      <c r="M135" t="n">
        <v>0</v>
      </c>
      <c r="N135" t="n">
        <v>0</v>
      </c>
      <c r="O135" t="n">
        <v>0</v>
      </c>
      <c r="P135" t="n">
        <v>0</v>
      </c>
      <c r="Q135" t="n">
        <v>0</v>
      </c>
      <c r="R135" s="2" t="inlineStr"/>
    </row>
    <row r="136" ht="15" customHeight="1">
      <c r="A136" t="inlineStr">
        <is>
          <t>A 46446-2023</t>
        </is>
      </c>
      <c r="B136" s="1" t="n">
        <v>45197.59344907408</v>
      </c>
      <c r="C136" s="1" t="n">
        <v>45968</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45968</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23058-2025</t>
        </is>
      </c>
      <c r="B138" s="1" t="n">
        <v>45790.78076388889</v>
      </c>
      <c r="C138" s="1" t="n">
        <v>45968</v>
      </c>
      <c r="D138" t="inlineStr">
        <is>
          <t>DALARNAS LÄN</t>
        </is>
      </c>
      <c r="E138" t="inlineStr">
        <is>
          <t>LEKSAND</t>
        </is>
      </c>
      <c r="G138" t="n">
        <v>6.7</v>
      </c>
      <c r="H138" t="n">
        <v>0</v>
      </c>
      <c r="I138" t="n">
        <v>0</v>
      </c>
      <c r="J138" t="n">
        <v>0</v>
      </c>
      <c r="K138" t="n">
        <v>0</v>
      </c>
      <c r="L138" t="n">
        <v>0</v>
      </c>
      <c r="M138" t="n">
        <v>0</v>
      </c>
      <c r="N138" t="n">
        <v>0</v>
      </c>
      <c r="O138" t="n">
        <v>0</v>
      </c>
      <c r="P138" t="n">
        <v>0</v>
      </c>
      <c r="Q138" t="n">
        <v>0</v>
      </c>
      <c r="R138" s="2" t="inlineStr"/>
    </row>
    <row r="139" ht="15" customHeight="1">
      <c r="A139" t="inlineStr">
        <is>
          <t>A 23076-2025</t>
        </is>
      </c>
      <c r="B139" s="1" t="n">
        <v>45790.90960648148</v>
      </c>
      <c r="C139" s="1" t="n">
        <v>45968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52100-2024</t>
        </is>
      </c>
      <c r="B140" s="1" t="n">
        <v>45608.41634259259</v>
      </c>
      <c r="C140" s="1" t="n">
        <v>45968</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53981-2024</t>
        </is>
      </c>
      <c r="B141" s="1" t="n">
        <v>45615</v>
      </c>
      <c r="C141" s="1" t="n">
        <v>45968</v>
      </c>
      <c r="D141" t="inlineStr">
        <is>
          <t>DALARNAS LÄN</t>
        </is>
      </c>
      <c r="E141" t="inlineStr">
        <is>
          <t>LEKSAND</t>
        </is>
      </c>
      <c r="G141" t="n">
        <v>5.4</v>
      </c>
      <c r="H141" t="n">
        <v>0</v>
      </c>
      <c r="I141" t="n">
        <v>0</v>
      </c>
      <c r="J141" t="n">
        <v>0</v>
      </c>
      <c r="K141" t="n">
        <v>0</v>
      </c>
      <c r="L141" t="n">
        <v>0</v>
      </c>
      <c r="M141" t="n">
        <v>0</v>
      </c>
      <c r="N141" t="n">
        <v>0</v>
      </c>
      <c r="O141" t="n">
        <v>0</v>
      </c>
      <c r="P141" t="n">
        <v>0</v>
      </c>
      <c r="Q141" t="n">
        <v>0</v>
      </c>
      <c r="R141" s="2" t="inlineStr"/>
    </row>
    <row r="142" ht="15" customHeight="1">
      <c r="A142" t="inlineStr">
        <is>
          <t>A 34033-2024</t>
        </is>
      </c>
      <c r="B142" s="1" t="n">
        <v>45523.59265046296</v>
      </c>
      <c r="C142" s="1" t="n">
        <v>45968</v>
      </c>
      <c r="D142" t="inlineStr">
        <is>
          <t>DALARNAS LÄN</t>
        </is>
      </c>
      <c r="E142" t="inlineStr">
        <is>
          <t>LEKSAND</t>
        </is>
      </c>
      <c r="G142" t="n">
        <v>2.6</v>
      </c>
      <c r="H142" t="n">
        <v>0</v>
      </c>
      <c r="I142" t="n">
        <v>0</v>
      </c>
      <c r="J142" t="n">
        <v>0</v>
      </c>
      <c r="K142" t="n">
        <v>0</v>
      </c>
      <c r="L142" t="n">
        <v>0</v>
      </c>
      <c r="M142" t="n">
        <v>0</v>
      </c>
      <c r="N142" t="n">
        <v>0</v>
      </c>
      <c r="O142" t="n">
        <v>0</v>
      </c>
      <c r="P142" t="n">
        <v>0</v>
      </c>
      <c r="Q142" t="n">
        <v>0</v>
      </c>
      <c r="R142" s="2" t="inlineStr"/>
    </row>
    <row r="143" ht="15" customHeight="1">
      <c r="A143" t="inlineStr">
        <is>
          <t>A 11418-2023</t>
        </is>
      </c>
      <c r="B143" s="1" t="n">
        <v>44993</v>
      </c>
      <c r="C143" s="1" t="n">
        <v>45968</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40407-2024</t>
        </is>
      </c>
      <c r="B144" s="1" t="n">
        <v>45555</v>
      </c>
      <c r="C144" s="1" t="n">
        <v>45968</v>
      </c>
      <c r="D144" t="inlineStr">
        <is>
          <t>DALARNAS LÄN</t>
        </is>
      </c>
      <c r="E144" t="inlineStr">
        <is>
          <t>LEKSAND</t>
        </is>
      </c>
      <c r="G144" t="n">
        <v>1.4</v>
      </c>
      <c r="H144" t="n">
        <v>0</v>
      </c>
      <c r="I144" t="n">
        <v>0</v>
      </c>
      <c r="J144" t="n">
        <v>0</v>
      </c>
      <c r="K144" t="n">
        <v>0</v>
      </c>
      <c r="L144" t="n">
        <v>0</v>
      </c>
      <c r="M144" t="n">
        <v>0</v>
      </c>
      <c r="N144" t="n">
        <v>0</v>
      </c>
      <c r="O144" t="n">
        <v>0</v>
      </c>
      <c r="P144" t="n">
        <v>0</v>
      </c>
      <c r="Q144" t="n">
        <v>0</v>
      </c>
      <c r="R144" s="2" t="inlineStr"/>
    </row>
    <row r="145" ht="15" customHeight="1">
      <c r="A145" t="inlineStr">
        <is>
          <t>A 23855-2025</t>
        </is>
      </c>
      <c r="B145" s="1" t="n">
        <v>45793.65900462963</v>
      </c>
      <c r="C145" s="1" t="n">
        <v>45968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57925-2024</t>
        </is>
      </c>
      <c r="B146" s="1" t="n">
        <v>45630</v>
      </c>
      <c r="C146" s="1" t="n">
        <v>45968</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33180-2024</t>
        </is>
      </c>
      <c r="B147" s="1" t="n">
        <v>45518.44481481481</v>
      </c>
      <c r="C147" s="1" t="n">
        <v>45968</v>
      </c>
      <c r="D147" t="inlineStr">
        <is>
          <t>DALARNAS LÄN</t>
        </is>
      </c>
      <c r="E147" t="inlineStr">
        <is>
          <t>LEKSAND</t>
        </is>
      </c>
      <c r="G147" t="n">
        <v>7.6</v>
      </c>
      <c r="H147" t="n">
        <v>0</v>
      </c>
      <c r="I147" t="n">
        <v>0</v>
      </c>
      <c r="J147" t="n">
        <v>0</v>
      </c>
      <c r="K147" t="n">
        <v>0</v>
      </c>
      <c r="L147" t="n">
        <v>0</v>
      </c>
      <c r="M147" t="n">
        <v>0</v>
      </c>
      <c r="N147" t="n">
        <v>0</v>
      </c>
      <c r="O147" t="n">
        <v>0</v>
      </c>
      <c r="P147" t="n">
        <v>0</v>
      </c>
      <c r="Q147" t="n">
        <v>0</v>
      </c>
      <c r="R147" s="2" t="inlineStr"/>
    </row>
    <row r="148" ht="15" customHeight="1">
      <c r="A148" t="inlineStr">
        <is>
          <t>A 11004-2023</t>
        </is>
      </c>
      <c r="B148" s="1" t="n">
        <v>44986</v>
      </c>
      <c r="C148" s="1" t="n">
        <v>45968</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23891-2025</t>
        </is>
      </c>
      <c r="B149" s="1" t="n">
        <v>45793</v>
      </c>
      <c r="C149" s="1" t="n">
        <v>45968</v>
      </c>
      <c r="D149" t="inlineStr">
        <is>
          <t>DALARNAS LÄN</t>
        </is>
      </c>
      <c r="E149" t="inlineStr">
        <is>
          <t>LEKSAND</t>
        </is>
      </c>
      <c r="F149" t="inlineStr">
        <is>
          <t>Kommuner</t>
        </is>
      </c>
      <c r="G149" t="n">
        <v>1.5</v>
      </c>
      <c r="H149" t="n">
        <v>0</v>
      </c>
      <c r="I149" t="n">
        <v>0</v>
      </c>
      <c r="J149" t="n">
        <v>0</v>
      </c>
      <c r="K149" t="n">
        <v>0</v>
      </c>
      <c r="L149" t="n">
        <v>0</v>
      </c>
      <c r="M149" t="n">
        <v>0</v>
      </c>
      <c r="N149" t="n">
        <v>0</v>
      </c>
      <c r="O149" t="n">
        <v>0</v>
      </c>
      <c r="P149" t="n">
        <v>0</v>
      </c>
      <c r="Q149" t="n">
        <v>0</v>
      </c>
      <c r="R149" s="2" t="inlineStr"/>
    </row>
    <row r="150" ht="15" customHeight="1">
      <c r="A150" t="inlineStr">
        <is>
          <t>A 32688-2024</t>
        </is>
      </c>
      <c r="B150" s="1" t="n">
        <v>45515.83091435185</v>
      </c>
      <c r="C150" s="1" t="n">
        <v>45968</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70099-2021</t>
        </is>
      </c>
      <c r="B151" s="1" t="n">
        <v>44533</v>
      </c>
      <c r="C151" s="1" t="n">
        <v>45968</v>
      </c>
      <c r="D151" t="inlineStr">
        <is>
          <t>DALARNAS LÄN</t>
        </is>
      </c>
      <c r="E151" t="inlineStr">
        <is>
          <t>LEKSAND</t>
        </is>
      </c>
      <c r="G151" t="n">
        <v>2.8</v>
      </c>
      <c r="H151" t="n">
        <v>0</v>
      </c>
      <c r="I151" t="n">
        <v>0</v>
      </c>
      <c r="J151" t="n">
        <v>0</v>
      </c>
      <c r="K151" t="n">
        <v>0</v>
      </c>
      <c r="L151" t="n">
        <v>0</v>
      </c>
      <c r="M151" t="n">
        <v>0</v>
      </c>
      <c r="N151" t="n">
        <v>0</v>
      </c>
      <c r="O151" t="n">
        <v>0</v>
      </c>
      <c r="P151" t="n">
        <v>0</v>
      </c>
      <c r="Q151" t="n">
        <v>0</v>
      </c>
      <c r="R151" s="2" t="inlineStr"/>
    </row>
    <row r="152" ht="15" customHeight="1">
      <c r="A152" t="inlineStr">
        <is>
          <t>A 23517-2025</t>
        </is>
      </c>
      <c r="B152" s="1" t="n">
        <v>45792</v>
      </c>
      <c r="C152" s="1" t="n">
        <v>45968</v>
      </c>
      <c r="D152" t="inlineStr">
        <is>
          <t>DALARNAS LÄN</t>
        </is>
      </c>
      <c r="E152" t="inlineStr">
        <is>
          <t>LEKSAND</t>
        </is>
      </c>
      <c r="G152" t="n">
        <v>2.2</v>
      </c>
      <c r="H152" t="n">
        <v>0</v>
      </c>
      <c r="I152" t="n">
        <v>0</v>
      </c>
      <c r="J152" t="n">
        <v>0</v>
      </c>
      <c r="K152" t="n">
        <v>0</v>
      </c>
      <c r="L152" t="n">
        <v>0</v>
      </c>
      <c r="M152" t="n">
        <v>0</v>
      </c>
      <c r="N152" t="n">
        <v>0</v>
      </c>
      <c r="O152" t="n">
        <v>0</v>
      </c>
      <c r="P152" t="n">
        <v>0</v>
      </c>
      <c r="Q152" t="n">
        <v>0</v>
      </c>
      <c r="R152" s="2" t="inlineStr"/>
    </row>
    <row r="153" ht="15" customHeight="1">
      <c r="A153" t="inlineStr">
        <is>
          <t>A 43419-2024</t>
        </is>
      </c>
      <c r="B153" s="1" t="n">
        <v>45568</v>
      </c>
      <c r="C153" s="1" t="n">
        <v>45968</v>
      </c>
      <c r="D153" t="inlineStr">
        <is>
          <t>DALARNAS LÄN</t>
        </is>
      </c>
      <c r="E153" t="inlineStr">
        <is>
          <t>LEKSAND</t>
        </is>
      </c>
      <c r="G153" t="n">
        <v>0.4</v>
      </c>
      <c r="H153" t="n">
        <v>0</v>
      </c>
      <c r="I153" t="n">
        <v>0</v>
      </c>
      <c r="J153" t="n">
        <v>0</v>
      </c>
      <c r="K153" t="n">
        <v>0</v>
      </c>
      <c r="L153" t="n">
        <v>0</v>
      </c>
      <c r="M153" t="n">
        <v>0</v>
      </c>
      <c r="N153" t="n">
        <v>0</v>
      </c>
      <c r="O153" t="n">
        <v>0</v>
      </c>
      <c r="P153" t="n">
        <v>0</v>
      </c>
      <c r="Q153" t="n">
        <v>0</v>
      </c>
      <c r="R153" s="2" t="inlineStr"/>
    </row>
    <row r="154" ht="15" customHeight="1">
      <c r="A154" t="inlineStr">
        <is>
          <t>A 47854-2023</t>
        </is>
      </c>
      <c r="B154" s="1" t="n">
        <v>45198</v>
      </c>
      <c r="C154" s="1" t="n">
        <v>45968</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14504-2025</t>
        </is>
      </c>
      <c r="B155" s="1" t="n">
        <v>45741</v>
      </c>
      <c r="C155" s="1" t="n">
        <v>45968</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28633-2023</t>
        </is>
      </c>
      <c r="B156" s="1" t="n">
        <v>45103.61575231481</v>
      </c>
      <c r="C156" s="1" t="n">
        <v>45968</v>
      </c>
      <c r="D156" t="inlineStr">
        <is>
          <t>DALARNAS LÄN</t>
        </is>
      </c>
      <c r="E156" t="inlineStr">
        <is>
          <t>LEKSAND</t>
        </is>
      </c>
      <c r="F156" t="inlineStr">
        <is>
          <t>Bergvik skog väst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27791-2023</t>
        </is>
      </c>
      <c r="B157" s="1" t="n">
        <v>45098</v>
      </c>
      <c r="C157" s="1" t="n">
        <v>45968</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9459-2023</t>
        </is>
      </c>
      <c r="B158" s="1" t="n">
        <v>44977</v>
      </c>
      <c r="C158" s="1" t="n">
        <v>45968</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24187-2025</t>
        </is>
      </c>
      <c r="B159" s="1" t="n">
        <v>45796</v>
      </c>
      <c r="C159" s="1" t="n">
        <v>45968</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24188-2025</t>
        </is>
      </c>
      <c r="B160" s="1" t="n">
        <v>45796</v>
      </c>
      <c r="C160" s="1" t="n">
        <v>45968</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52801-2023</t>
        </is>
      </c>
      <c r="B161" s="1" t="n">
        <v>45219</v>
      </c>
      <c r="C161" s="1" t="n">
        <v>45968</v>
      </c>
      <c r="D161" t="inlineStr">
        <is>
          <t>DALARNAS LÄN</t>
        </is>
      </c>
      <c r="E161" t="inlineStr">
        <is>
          <t>LEKSAND</t>
        </is>
      </c>
      <c r="G161" t="n">
        <v>4.9</v>
      </c>
      <c r="H161" t="n">
        <v>0</v>
      </c>
      <c r="I161" t="n">
        <v>0</v>
      </c>
      <c r="J161" t="n">
        <v>0</v>
      </c>
      <c r="K161" t="n">
        <v>0</v>
      </c>
      <c r="L161" t="n">
        <v>0</v>
      </c>
      <c r="M161" t="n">
        <v>0</v>
      </c>
      <c r="N161" t="n">
        <v>0</v>
      </c>
      <c r="O161" t="n">
        <v>0</v>
      </c>
      <c r="P161" t="n">
        <v>0</v>
      </c>
      <c r="Q161" t="n">
        <v>0</v>
      </c>
      <c r="R161" s="2" t="inlineStr"/>
    </row>
    <row r="162" ht="15" customHeight="1">
      <c r="A162" t="inlineStr">
        <is>
          <t>A 9781-2024</t>
        </is>
      </c>
      <c r="B162" s="1" t="n">
        <v>45362.66299768518</v>
      </c>
      <c r="C162" s="1" t="n">
        <v>45968</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71817-2021</t>
        </is>
      </c>
      <c r="B163" s="1" t="n">
        <v>44543.59780092593</v>
      </c>
      <c r="C163" s="1" t="n">
        <v>45968</v>
      </c>
      <c r="D163" t="inlineStr">
        <is>
          <t>DALARNAS LÄN</t>
        </is>
      </c>
      <c r="E163" t="inlineStr">
        <is>
          <t>LEKSAND</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30175-2023</t>
        </is>
      </c>
      <c r="B164" s="1" t="n">
        <v>45110</v>
      </c>
      <c r="C164" s="1" t="n">
        <v>45968</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7450-2023</t>
        </is>
      </c>
      <c r="B165" s="1" t="n">
        <v>44971</v>
      </c>
      <c r="C165" s="1" t="n">
        <v>45968</v>
      </c>
      <c r="D165" t="inlineStr">
        <is>
          <t>DALARNAS LÄN</t>
        </is>
      </c>
      <c r="E165" t="inlineStr">
        <is>
          <t>LEKSAND</t>
        </is>
      </c>
      <c r="G165" t="n">
        <v>3</v>
      </c>
      <c r="H165" t="n">
        <v>0</v>
      </c>
      <c r="I165" t="n">
        <v>0</v>
      </c>
      <c r="J165" t="n">
        <v>0</v>
      </c>
      <c r="K165" t="n">
        <v>0</v>
      </c>
      <c r="L165" t="n">
        <v>0</v>
      </c>
      <c r="M165" t="n">
        <v>0</v>
      </c>
      <c r="N165" t="n">
        <v>0</v>
      </c>
      <c r="O165" t="n">
        <v>0</v>
      </c>
      <c r="P165" t="n">
        <v>0</v>
      </c>
      <c r="Q165" t="n">
        <v>0</v>
      </c>
      <c r="R165" s="2" t="inlineStr"/>
    </row>
    <row r="166" ht="15" customHeight="1">
      <c r="A166" t="inlineStr">
        <is>
          <t>A 30198-2024</t>
        </is>
      </c>
      <c r="B166" s="1" t="n">
        <v>45490.34765046297</v>
      </c>
      <c r="C166" s="1" t="n">
        <v>45968</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59718-2023</t>
        </is>
      </c>
      <c r="B167" s="1" t="n">
        <v>45257</v>
      </c>
      <c r="C167" s="1" t="n">
        <v>45968</v>
      </c>
      <c r="D167" t="inlineStr">
        <is>
          <t>DALARNAS LÄN</t>
        </is>
      </c>
      <c r="E167" t="inlineStr">
        <is>
          <t>LEKSAND</t>
        </is>
      </c>
      <c r="G167" t="n">
        <v>2.2</v>
      </c>
      <c r="H167" t="n">
        <v>0</v>
      </c>
      <c r="I167" t="n">
        <v>0</v>
      </c>
      <c r="J167" t="n">
        <v>0</v>
      </c>
      <c r="K167" t="n">
        <v>0</v>
      </c>
      <c r="L167" t="n">
        <v>0</v>
      </c>
      <c r="M167" t="n">
        <v>0</v>
      </c>
      <c r="N167" t="n">
        <v>0</v>
      </c>
      <c r="O167" t="n">
        <v>0</v>
      </c>
      <c r="P167" t="n">
        <v>0</v>
      </c>
      <c r="Q167" t="n">
        <v>0</v>
      </c>
      <c r="R167" s="2" t="inlineStr"/>
    </row>
    <row r="168" ht="15" customHeight="1">
      <c r="A168" t="inlineStr">
        <is>
          <t>A 59103-2024</t>
        </is>
      </c>
      <c r="B168" s="1" t="n">
        <v>45637.34184027778</v>
      </c>
      <c r="C168" s="1" t="n">
        <v>45968</v>
      </c>
      <c r="D168" t="inlineStr">
        <is>
          <t>DALARNAS LÄN</t>
        </is>
      </c>
      <c r="E168" t="inlineStr">
        <is>
          <t>LEKSAND</t>
        </is>
      </c>
      <c r="G168" t="n">
        <v>1.5</v>
      </c>
      <c r="H168" t="n">
        <v>0</v>
      </c>
      <c r="I168" t="n">
        <v>0</v>
      </c>
      <c r="J168" t="n">
        <v>0</v>
      </c>
      <c r="K168" t="n">
        <v>0</v>
      </c>
      <c r="L168" t="n">
        <v>0</v>
      </c>
      <c r="M168" t="n">
        <v>0</v>
      </c>
      <c r="N168" t="n">
        <v>0</v>
      </c>
      <c r="O168" t="n">
        <v>0</v>
      </c>
      <c r="P168" t="n">
        <v>0</v>
      </c>
      <c r="Q168" t="n">
        <v>0</v>
      </c>
      <c r="R168" s="2" t="inlineStr"/>
    </row>
    <row r="169" ht="15" customHeight="1">
      <c r="A169" t="inlineStr">
        <is>
          <t>A 7395-2025</t>
        </is>
      </c>
      <c r="B169" s="1" t="n">
        <v>45705.34516203704</v>
      </c>
      <c r="C169" s="1" t="n">
        <v>45968</v>
      </c>
      <c r="D169" t="inlineStr">
        <is>
          <t>DALARNAS LÄN</t>
        </is>
      </c>
      <c r="E169" t="inlineStr">
        <is>
          <t>LEKSAND</t>
        </is>
      </c>
      <c r="G169" t="n">
        <v>1.8</v>
      </c>
      <c r="H169" t="n">
        <v>0</v>
      </c>
      <c r="I169" t="n">
        <v>0</v>
      </c>
      <c r="J169" t="n">
        <v>0</v>
      </c>
      <c r="K169" t="n">
        <v>0</v>
      </c>
      <c r="L169" t="n">
        <v>0</v>
      </c>
      <c r="M169" t="n">
        <v>0</v>
      </c>
      <c r="N169" t="n">
        <v>0</v>
      </c>
      <c r="O169" t="n">
        <v>0</v>
      </c>
      <c r="P169" t="n">
        <v>0</v>
      </c>
      <c r="Q169" t="n">
        <v>0</v>
      </c>
      <c r="R169" s="2" t="inlineStr"/>
    </row>
    <row r="170" ht="15" customHeight="1">
      <c r="A170" t="inlineStr">
        <is>
          <t>A 16744-2025</t>
        </is>
      </c>
      <c r="B170" s="1" t="n">
        <v>45754</v>
      </c>
      <c r="C170" s="1" t="n">
        <v>45968</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24373-2025</t>
        </is>
      </c>
      <c r="B171" s="1" t="n">
        <v>45797.61113425926</v>
      </c>
      <c r="C171" s="1" t="n">
        <v>45968</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22646-2025</t>
        </is>
      </c>
      <c r="B172" s="1" t="n">
        <v>45786</v>
      </c>
      <c r="C172" s="1" t="n">
        <v>45968</v>
      </c>
      <c r="D172" t="inlineStr">
        <is>
          <t>DALARNAS LÄN</t>
        </is>
      </c>
      <c r="E172" t="inlineStr">
        <is>
          <t>LEKSAND</t>
        </is>
      </c>
      <c r="F172" t="inlineStr">
        <is>
          <t>Kommuner</t>
        </is>
      </c>
      <c r="G172" t="n">
        <v>1.6</v>
      </c>
      <c r="H172" t="n">
        <v>0</v>
      </c>
      <c r="I172" t="n">
        <v>0</v>
      </c>
      <c r="J172" t="n">
        <v>0</v>
      </c>
      <c r="K172" t="n">
        <v>0</v>
      </c>
      <c r="L172" t="n">
        <v>0</v>
      </c>
      <c r="M172" t="n">
        <v>0</v>
      </c>
      <c r="N172" t="n">
        <v>0</v>
      </c>
      <c r="O172" t="n">
        <v>0</v>
      </c>
      <c r="P172" t="n">
        <v>0</v>
      </c>
      <c r="Q172" t="n">
        <v>0</v>
      </c>
      <c r="R172" s="2" t="inlineStr"/>
    </row>
    <row r="173" ht="15" customHeight="1">
      <c r="A173" t="inlineStr">
        <is>
          <t>A 11859-2024</t>
        </is>
      </c>
      <c r="B173" s="1" t="n">
        <v>45376.44569444445</v>
      </c>
      <c r="C173" s="1" t="n">
        <v>45968</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64516-2023</t>
        </is>
      </c>
      <c r="B174" s="1" t="n">
        <v>45280</v>
      </c>
      <c r="C174" s="1" t="n">
        <v>45968</v>
      </c>
      <c r="D174" t="inlineStr">
        <is>
          <t>DALARNAS LÄN</t>
        </is>
      </c>
      <c r="E174" t="inlineStr">
        <is>
          <t>LEKSAND</t>
        </is>
      </c>
      <c r="G174" t="n">
        <v>4.4</v>
      </c>
      <c r="H174" t="n">
        <v>0</v>
      </c>
      <c r="I174" t="n">
        <v>0</v>
      </c>
      <c r="J174" t="n">
        <v>0</v>
      </c>
      <c r="K174" t="n">
        <v>0</v>
      </c>
      <c r="L174" t="n">
        <v>0</v>
      </c>
      <c r="M174" t="n">
        <v>0</v>
      </c>
      <c r="N174" t="n">
        <v>0</v>
      </c>
      <c r="O174" t="n">
        <v>0</v>
      </c>
      <c r="P174" t="n">
        <v>0</v>
      </c>
      <c r="Q174" t="n">
        <v>0</v>
      </c>
      <c r="R174" s="2" t="inlineStr"/>
    </row>
    <row r="175" ht="15" customHeight="1">
      <c r="A175" t="inlineStr">
        <is>
          <t>A 24919-2024</t>
        </is>
      </c>
      <c r="B175" s="1" t="n">
        <v>45461.60636574074</v>
      </c>
      <c r="C175" s="1" t="n">
        <v>45968</v>
      </c>
      <c r="D175" t="inlineStr">
        <is>
          <t>DALARNAS LÄN</t>
        </is>
      </c>
      <c r="E175" t="inlineStr">
        <is>
          <t>LEKSAND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45788-2021</t>
        </is>
      </c>
      <c r="B176" s="1" t="n">
        <v>44441</v>
      </c>
      <c r="C176" s="1" t="n">
        <v>45968</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56211-2023</t>
        </is>
      </c>
      <c r="B177" s="1" t="n">
        <v>45240</v>
      </c>
      <c r="C177" s="1" t="n">
        <v>45968</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24369-2025</t>
        </is>
      </c>
      <c r="B178" s="1" t="n">
        <v>45797.60731481481</v>
      </c>
      <c r="C178" s="1" t="n">
        <v>45968</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52977-2022</t>
        </is>
      </c>
      <c r="B179" s="1" t="n">
        <v>44875</v>
      </c>
      <c r="C179" s="1" t="n">
        <v>45968</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51320-2023</t>
        </is>
      </c>
      <c r="B180" s="1" t="n">
        <v>45219.57456018519</v>
      </c>
      <c r="C180" s="1" t="n">
        <v>45968</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24715-2025</t>
        </is>
      </c>
      <c r="B181" s="1" t="n">
        <v>45798.97899305556</v>
      </c>
      <c r="C181" s="1" t="n">
        <v>45968</v>
      </c>
      <c r="D181" t="inlineStr">
        <is>
          <t>DALARNAS LÄN</t>
        </is>
      </c>
      <c r="E181" t="inlineStr">
        <is>
          <t>LEKSAND</t>
        </is>
      </c>
      <c r="G181" t="n">
        <v>8.4</v>
      </c>
      <c r="H181" t="n">
        <v>0</v>
      </c>
      <c r="I181" t="n">
        <v>0</v>
      </c>
      <c r="J181" t="n">
        <v>0</v>
      </c>
      <c r="K181" t="n">
        <v>0</v>
      </c>
      <c r="L181" t="n">
        <v>0</v>
      </c>
      <c r="M181" t="n">
        <v>0</v>
      </c>
      <c r="N181" t="n">
        <v>0</v>
      </c>
      <c r="O181" t="n">
        <v>0</v>
      </c>
      <c r="P181" t="n">
        <v>0</v>
      </c>
      <c r="Q181" t="n">
        <v>0</v>
      </c>
      <c r="R181" s="2" t="inlineStr"/>
    </row>
    <row r="182" ht="15" customHeight="1">
      <c r="A182" t="inlineStr">
        <is>
          <t>A 11617-2024</t>
        </is>
      </c>
      <c r="B182" s="1" t="n">
        <v>45373.42898148148</v>
      </c>
      <c r="C182" s="1" t="n">
        <v>45968</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28630-2023</t>
        </is>
      </c>
      <c r="B183" s="1" t="n">
        <v>45103.61003472222</v>
      </c>
      <c r="C183" s="1" t="n">
        <v>45968</v>
      </c>
      <c r="D183" t="inlineStr">
        <is>
          <t>DALARNAS LÄN</t>
        </is>
      </c>
      <c r="E183" t="inlineStr">
        <is>
          <t>LEKSAND</t>
        </is>
      </c>
      <c r="F183" t="inlineStr">
        <is>
          <t>Bergvik skog väst AB</t>
        </is>
      </c>
      <c r="G183" t="n">
        <v>0.3</v>
      </c>
      <c r="H183" t="n">
        <v>0</v>
      </c>
      <c r="I183" t="n">
        <v>0</v>
      </c>
      <c r="J183" t="n">
        <v>0</v>
      </c>
      <c r="K183" t="n">
        <v>0</v>
      </c>
      <c r="L183" t="n">
        <v>0</v>
      </c>
      <c r="M183" t="n">
        <v>0</v>
      </c>
      <c r="N183" t="n">
        <v>0</v>
      </c>
      <c r="O183" t="n">
        <v>0</v>
      </c>
      <c r="P183" t="n">
        <v>0</v>
      </c>
      <c r="Q183" t="n">
        <v>0</v>
      </c>
      <c r="R183" s="2" t="inlineStr"/>
    </row>
    <row r="184" ht="15" customHeight="1">
      <c r="A184" t="inlineStr">
        <is>
          <t>A 43221-2024</t>
        </is>
      </c>
      <c r="B184" s="1" t="n">
        <v>45567.86695601852</v>
      </c>
      <c r="C184" s="1" t="n">
        <v>45968</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40868-2024</t>
        </is>
      </c>
      <c r="B185" s="1" t="n">
        <v>45558</v>
      </c>
      <c r="C185" s="1" t="n">
        <v>45968</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30860-2024</t>
        </is>
      </c>
      <c r="B186" s="1" t="n">
        <v>45497.69108796296</v>
      </c>
      <c r="C186" s="1" t="n">
        <v>45968</v>
      </c>
      <c r="D186" t="inlineStr">
        <is>
          <t>DALARNAS LÄN</t>
        </is>
      </c>
      <c r="E186" t="inlineStr">
        <is>
          <t>LEKSAND</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30864-2024</t>
        </is>
      </c>
      <c r="B187" s="1" t="n">
        <v>45497.71550925926</v>
      </c>
      <c r="C187" s="1" t="n">
        <v>45968</v>
      </c>
      <c r="D187" t="inlineStr">
        <is>
          <t>DALARNAS LÄN</t>
        </is>
      </c>
      <c r="E187" t="inlineStr">
        <is>
          <t>LEKSAND</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17589-2025</t>
        </is>
      </c>
      <c r="B188" s="1" t="n">
        <v>45757.67844907408</v>
      </c>
      <c r="C188" s="1" t="n">
        <v>45968</v>
      </c>
      <c r="D188" t="inlineStr">
        <is>
          <t>DALARNAS LÄN</t>
        </is>
      </c>
      <c r="E188" t="inlineStr">
        <is>
          <t>LEKSAND</t>
        </is>
      </c>
      <c r="G188" t="n">
        <v>5.8</v>
      </c>
      <c r="H188" t="n">
        <v>0</v>
      </c>
      <c r="I188" t="n">
        <v>0</v>
      </c>
      <c r="J188" t="n">
        <v>0</v>
      </c>
      <c r="K188" t="n">
        <v>0</v>
      </c>
      <c r="L188" t="n">
        <v>0</v>
      </c>
      <c r="M188" t="n">
        <v>0</v>
      </c>
      <c r="N188" t="n">
        <v>0</v>
      </c>
      <c r="O188" t="n">
        <v>0</v>
      </c>
      <c r="P188" t="n">
        <v>0</v>
      </c>
      <c r="Q188" t="n">
        <v>0</v>
      </c>
      <c r="R188" s="2" t="inlineStr"/>
    </row>
    <row r="189" ht="15" customHeight="1">
      <c r="A189" t="inlineStr">
        <is>
          <t>A 29157-2022</t>
        </is>
      </c>
      <c r="B189" s="1" t="n">
        <v>44750.48355324074</v>
      </c>
      <c r="C189" s="1" t="n">
        <v>45968</v>
      </c>
      <c r="D189" t="inlineStr">
        <is>
          <t>DALARNAS LÄN</t>
        </is>
      </c>
      <c r="E189" t="inlineStr">
        <is>
          <t>LEKSAND</t>
        </is>
      </c>
      <c r="F189" t="inlineStr">
        <is>
          <t>Bergvik skog väst AB</t>
        </is>
      </c>
      <c r="G189" t="n">
        <v>2.7</v>
      </c>
      <c r="H189" t="n">
        <v>0</v>
      </c>
      <c r="I189" t="n">
        <v>0</v>
      </c>
      <c r="J189" t="n">
        <v>0</v>
      </c>
      <c r="K189" t="n">
        <v>0</v>
      </c>
      <c r="L189" t="n">
        <v>0</v>
      </c>
      <c r="M189" t="n">
        <v>0</v>
      </c>
      <c r="N189" t="n">
        <v>0</v>
      </c>
      <c r="O189" t="n">
        <v>0</v>
      </c>
      <c r="P189" t="n">
        <v>0</v>
      </c>
      <c r="Q189" t="n">
        <v>0</v>
      </c>
      <c r="R189" s="2" t="inlineStr"/>
    </row>
    <row r="190" ht="15" customHeight="1">
      <c r="A190" t="inlineStr">
        <is>
          <t>A 11080-2023</t>
        </is>
      </c>
      <c r="B190" s="1" t="n">
        <v>44992</v>
      </c>
      <c r="C190" s="1" t="n">
        <v>45968</v>
      </c>
      <c r="D190" t="inlineStr">
        <is>
          <t>DALARNAS LÄN</t>
        </is>
      </c>
      <c r="E190" t="inlineStr">
        <is>
          <t>LEKSAND</t>
        </is>
      </c>
      <c r="G190" t="n">
        <v>6.9</v>
      </c>
      <c r="H190" t="n">
        <v>0</v>
      </c>
      <c r="I190" t="n">
        <v>0</v>
      </c>
      <c r="J190" t="n">
        <v>0</v>
      </c>
      <c r="K190" t="n">
        <v>0</v>
      </c>
      <c r="L190" t="n">
        <v>0</v>
      </c>
      <c r="M190" t="n">
        <v>0</v>
      </c>
      <c r="N190" t="n">
        <v>0</v>
      </c>
      <c r="O190" t="n">
        <v>0</v>
      </c>
      <c r="P190" t="n">
        <v>0</v>
      </c>
      <c r="Q190" t="n">
        <v>0</v>
      </c>
      <c r="R190" s="2" t="inlineStr"/>
    </row>
    <row r="191" ht="15" customHeight="1">
      <c r="A191" t="inlineStr">
        <is>
          <t>A 320-2023</t>
        </is>
      </c>
      <c r="B191" s="1" t="n">
        <v>44929</v>
      </c>
      <c r="C191" s="1" t="n">
        <v>45968</v>
      </c>
      <c r="D191" t="inlineStr">
        <is>
          <t>DALARNAS LÄN</t>
        </is>
      </c>
      <c r="E191" t="inlineStr">
        <is>
          <t>LEKSAND</t>
        </is>
      </c>
      <c r="F191" t="inlineStr">
        <is>
          <t>Övriga Aktiebolag</t>
        </is>
      </c>
      <c r="G191" t="n">
        <v>5.4</v>
      </c>
      <c r="H191" t="n">
        <v>0</v>
      </c>
      <c r="I191" t="n">
        <v>0</v>
      </c>
      <c r="J191" t="n">
        <v>0</v>
      </c>
      <c r="K191" t="n">
        <v>0</v>
      </c>
      <c r="L191" t="n">
        <v>0</v>
      </c>
      <c r="M191" t="n">
        <v>0</v>
      </c>
      <c r="N191" t="n">
        <v>0</v>
      </c>
      <c r="O191" t="n">
        <v>0</v>
      </c>
      <c r="P191" t="n">
        <v>0</v>
      </c>
      <c r="Q191" t="n">
        <v>0</v>
      </c>
      <c r="R191" s="2" t="inlineStr"/>
    </row>
    <row r="192" ht="15" customHeight="1">
      <c r="A192" t="inlineStr">
        <is>
          <t>A 61252-2023</t>
        </is>
      </c>
      <c r="B192" s="1" t="n">
        <v>45261</v>
      </c>
      <c r="C192" s="1" t="n">
        <v>45968</v>
      </c>
      <c r="D192" t="inlineStr">
        <is>
          <t>DALARNAS LÄN</t>
        </is>
      </c>
      <c r="E192" t="inlineStr">
        <is>
          <t>LEKSAND</t>
        </is>
      </c>
      <c r="G192" t="n">
        <v>1.9</v>
      </c>
      <c r="H192" t="n">
        <v>0</v>
      </c>
      <c r="I192" t="n">
        <v>0</v>
      </c>
      <c r="J192" t="n">
        <v>0</v>
      </c>
      <c r="K192" t="n">
        <v>0</v>
      </c>
      <c r="L192" t="n">
        <v>0</v>
      </c>
      <c r="M192" t="n">
        <v>0</v>
      </c>
      <c r="N192" t="n">
        <v>0</v>
      </c>
      <c r="O192" t="n">
        <v>0</v>
      </c>
      <c r="P192" t="n">
        <v>0</v>
      </c>
      <c r="Q192" t="n">
        <v>0</v>
      </c>
      <c r="R192" s="2" t="inlineStr"/>
    </row>
    <row r="193" ht="15" customHeight="1">
      <c r="A193" t="inlineStr">
        <is>
          <t>A 40181-2023</t>
        </is>
      </c>
      <c r="B193" s="1" t="n">
        <v>45169</v>
      </c>
      <c r="C193" s="1" t="n">
        <v>45968</v>
      </c>
      <c r="D193" t="inlineStr">
        <is>
          <t>DALARNAS LÄN</t>
        </is>
      </c>
      <c r="E193" t="inlineStr">
        <is>
          <t>LEKSAND</t>
        </is>
      </c>
      <c r="G193" t="n">
        <v>2.8</v>
      </c>
      <c r="H193" t="n">
        <v>0</v>
      </c>
      <c r="I193" t="n">
        <v>0</v>
      </c>
      <c r="J193" t="n">
        <v>0</v>
      </c>
      <c r="K193" t="n">
        <v>0</v>
      </c>
      <c r="L193" t="n">
        <v>0</v>
      </c>
      <c r="M193" t="n">
        <v>0</v>
      </c>
      <c r="N193" t="n">
        <v>0</v>
      </c>
      <c r="O193" t="n">
        <v>0</v>
      </c>
      <c r="P193" t="n">
        <v>0</v>
      </c>
      <c r="Q193" t="n">
        <v>0</v>
      </c>
      <c r="R193" s="2" t="inlineStr"/>
    </row>
    <row r="194" ht="15" customHeight="1">
      <c r="A194" t="inlineStr">
        <is>
          <t>A 63544-2023</t>
        </is>
      </c>
      <c r="B194" s="1" t="n">
        <v>45275</v>
      </c>
      <c r="C194" s="1" t="n">
        <v>45968</v>
      </c>
      <c r="D194" t="inlineStr">
        <is>
          <t>DALARNAS LÄN</t>
        </is>
      </c>
      <c r="E194" t="inlineStr">
        <is>
          <t>LEKSAND</t>
        </is>
      </c>
      <c r="G194" t="n">
        <v>0.3</v>
      </c>
      <c r="H194" t="n">
        <v>0</v>
      </c>
      <c r="I194" t="n">
        <v>0</v>
      </c>
      <c r="J194" t="n">
        <v>0</v>
      </c>
      <c r="K194" t="n">
        <v>0</v>
      </c>
      <c r="L194" t="n">
        <v>0</v>
      </c>
      <c r="M194" t="n">
        <v>0</v>
      </c>
      <c r="N194" t="n">
        <v>0</v>
      </c>
      <c r="O194" t="n">
        <v>0</v>
      </c>
      <c r="P194" t="n">
        <v>0</v>
      </c>
      <c r="Q194" t="n">
        <v>0</v>
      </c>
      <c r="R194" s="2" t="inlineStr"/>
    </row>
    <row r="195" ht="15" customHeight="1">
      <c r="A195" t="inlineStr">
        <is>
          <t>A 58877-2023</t>
        </is>
      </c>
      <c r="B195" s="1" t="n">
        <v>45252</v>
      </c>
      <c r="C195" s="1" t="n">
        <v>45968</v>
      </c>
      <c r="D195" t="inlineStr">
        <is>
          <t>DALARNAS LÄN</t>
        </is>
      </c>
      <c r="E195" t="inlineStr">
        <is>
          <t>LEKSAND</t>
        </is>
      </c>
      <c r="G195" t="n">
        <v>1.9</v>
      </c>
      <c r="H195" t="n">
        <v>0</v>
      </c>
      <c r="I195" t="n">
        <v>0</v>
      </c>
      <c r="J195" t="n">
        <v>0</v>
      </c>
      <c r="K195" t="n">
        <v>0</v>
      </c>
      <c r="L195" t="n">
        <v>0</v>
      </c>
      <c r="M195" t="n">
        <v>0</v>
      </c>
      <c r="N195" t="n">
        <v>0</v>
      </c>
      <c r="O195" t="n">
        <v>0</v>
      </c>
      <c r="P195" t="n">
        <v>0</v>
      </c>
      <c r="Q195" t="n">
        <v>0</v>
      </c>
      <c r="R195" s="2" t="inlineStr"/>
    </row>
    <row r="196" ht="15" customHeight="1">
      <c r="A196" t="inlineStr">
        <is>
          <t>A 51377-2023</t>
        </is>
      </c>
      <c r="B196" s="1" t="n">
        <v>45219</v>
      </c>
      <c r="C196" s="1" t="n">
        <v>45968</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25610-2025</t>
        </is>
      </c>
      <c r="B197" s="1" t="n">
        <v>45803.56033564815</v>
      </c>
      <c r="C197" s="1" t="n">
        <v>45968</v>
      </c>
      <c r="D197" t="inlineStr">
        <is>
          <t>DALARNAS LÄN</t>
        </is>
      </c>
      <c r="E197" t="inlineStr">
        <is>
          <t>LEKSAND</t>
        </is>
      </c>
      <c r="G197" t="n">
        <v>5.2</v>
      </c>
      <c r="H197" t="n">
        <v>0</v>
      </c>
      <c r="I197" t="n">
        <v>0</v>
      </c>
      <c r="J197" t="n">
        <v>0</v>
      </c>
      <c r="K197" t="n">
        <v>0</v>
      </c>
      <c r="L197" t="n">
        <v>0</v>
      </c>
      <c r="M197" t="n">
        <v>0</v>
      </c>
      <c r="N197" t="n">
        <v>0</v>
      </c>
      <c r="O197" t="n">
        <v>0</v>
      </c>
      <c r="P197" t="n">
        <v>0</v>
      </c>
      <c r="Q197" t="n">
        <v>0</v>
      </c>
      <c r="R197" s="2" t="inlineStr"/>
    </row>
    <row r="198" ht="15" customHeight="1">
      <c r="A198" t="inlineStr">
        <is>
          <t>A 25105-2025</t>
        </is>
      </c>
      <c r="B198" s="1" t="n">
        <v>45800.34751157407</v>
      </c>
      <c r="C198" s="1" t="n">
        <v>45968</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52572-2024</t>
        </is>
      </c>
      <c r="B199" s="1" t="n">
        <v>45609.66488425926</v>
      </c>
      <c r="C199" s="1" t="n">
        <v>45968</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45512-2023</t>
        </is>
      </c>
      <c r="B200" s="1" t="n">
        <v>45194.49178240741</v>
      </c>
      <c r="C200" s="1" t="n">
        <v>45968</v>
      </c>
      <c r="D200" t="inlineStr">
        <is>
          <t>DALARNAS LÄN</t>
        </is>
      </c>
      <c r="E200" t="inlineStr">
        <is>
          <t>LEKSAND</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41853-2023</t>
        </is>
      </c>
      <c r="B201" s="1" t="n">
        <v>45176.62483796296</v>
      </c>
      <c r="C201" s="1" t="n">
        <v>45968</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25096-2025</t>
        </is>
      </c>
      <c r="B202" s="1" t="n">
        <v>45800.33868055556</v>
      </c>
      <c r="C202" s="1" t="n">
        <v>45968</v>
      </c>
      <c r="D202" t="inlineStr">
        <is>
          <t>DALARNAS LÄN</t>
        </is>
      </c>
      <c r="E202" t="inlineStr">
        <is>
          <t>LEKSAND</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27520-2023</t>
        </is>
      </c>
      <c r="B203" s="1" t="n">
        <v>45097</v>
      </c>
      <c r="C203" s="1" t="n">
        <v>45968</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55926-2024</t>
        </is>
      </c>
      <c r="B204" s="1" t="n">
        <v>45623.601875</v>
      </c>
      <c r="C204" s="1" t="n">
        <v>45968</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31255-2023</t>
        </is>
      </c>
      <c r="B205" s="1" t="n">
        <v>45114.36729166667</v>
      </c>
      <c r="C205" s="1" t="n">
        <v>45968</v>
      </c>
      <c r="D205" t="inlineStr">
        <is>
          <t>DALARNAS LÄN</t>
        </is>
      </c>
      <c r="E205" t="inlineStr">
        <is>
          <t>LEKSAND</t>
        </is>
      </c>
      <c r="G205" t="n">
        <v>1.3</v>
      </c>
      <c r="H205" t="n">
        <v>0</v>
      </c>
      <c r="I205" t="n">
        <v>0</v>
      </c>
      <c r="J205" t="n">
        <v>0</v>
      </c>
      <c r="K205" t="n">
        <v>0</v>
      </c>
      <c r="L205" t="n">
        <v>0</v>
      </c>
      <c r="M205" t="n">
        <v>0</v>
      </c>
      <c r="N205" t="n">
        <v>0</v>
      </c>
      <c r="O205" t="n">
        <v>0</v>
      </c>
      <c r="P205" t="n">
        <v>0</v>
      </c>
      <c r="Q205" t="n">
        <v>0</v>
      </c>
      <c r="R205" s="2" t="inlineStr"/>
    </row>
    <row r="206" ht="15" customHeight="1">
      <c r="A206" t="inlineStr">
        <is>
          <t>A 49405-2024</t>
        </is>
      </c>
      <c r="B206" s="1" t="n">
        <v>45595</v>
      </c>
      <c r="C206" s="1" t="n">
        <v>45968</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38117-2023</t>
        </is>
      </c>
      <c r="B207" s="1" t="n">
        <v>45161</v>
      </c>
      <c r="C207" s="1" t="n">
        <v>45968</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60024-2023</t>
        </is>
      </c>
      <c r="B208" s="1" t="n">
        <v>45258</v>
      </c>
      <c r="C208" s="1" t="n">
        <v>45968</v>
      </c>
      <c r="D208" t="inlineStr">
        <is>
          <t>DALARNAS LÄN</t>
        </is>
      </c>
      <c r="E208" t="inlineStr">
        <is>
          <t>LEKSAND</t>
        </is>
      </c>
      <c r="G208" t="n">
        <v>4.2</v>
      </c>
      <c r="H208" t="n">
        <v>0</v>
      </c>
      <c r="I208" t="n">
        <v>0</v>
      </c>
      <c r="J208" t="n">
        <v>0</v>
      </c>
      <c r="K208" t="n">
        <v>0</v>
      </c>
      <c r="L208" t="n">
        <v>0</v>
      </c>
      <c r="M208" t="n">
        <v>0</v>
      </c>
      <c r="N208" t="n">
        <v>0</v>
      </c>
      <c r="O208" t="n">
        <v>0</v>
      </c>
      <c r="P208" t="n">
        <v>0</v>
      </c>
      <c r="Q208" t="n">
        <v>0</v>
      </c>
      <c r="R208" s="2" t="inlineStr"/>
    </row>
    <row r="209" ht="15" customHeight="1">
      <c r="A209" t="inlineStr">
        <is>
          <t>A 19330-2025</t>
        </is>
      </c>
      <c r="B209" s="1" t="n">
        <v>45769</v>
      </c>
      <c r="C209" s="1" t="n">
        <v>45968</v>
      </c>
      <c r="D209" t="inlineStr">
        <is>
          <t>DALARNAS LÄN</t>
        </is>
      </c>
      <c r="E209" t="inlineStr">
        <is>
          <t>LEKSAND</t>
        </is>
      </c>
      <c r="G209" t="n">
        <v>1.6</v>
      </c>
      <c r="H209" t="n">
        <v>0</v>
      </c>
      <c r="I209" t="n">
        <v>0</v>
      </c>
      <c r="J209" t="n">
        <v>0</v>
      </c>
      <c r="K209" t="n">
        <v>0</v>
      </c>
      <c r="L209" t="n">
        <v>0</v>
      </c>
      <c r="M209" t="n">
        <v>0</v>
      </c>
      <c r="N209" t="n">
        <v>0</v>
      </c>
      <c r="O209" t="n">
        <v>0</v>
      </c>
      <c r="P209" t="n">
        <v>0</v>
      </c>
      <c r="Q209" t="n">
        <v>0</v>
      </c>
      <c r="R209" s="2" t="inlineStr"/>
    </row>
    <row r="210" ht="15" customHeight="1">
      <c r="A210" t="inlineStr">
        <is>
          <t>A 59826-2023</t>
        </is>
      </c>
      <c r="B210" s="1" t="n">
        <v>45254</v>
      </c>
      <c r="C210" s="1" t="n">
        <v>45968</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28913-2024</t>
        </is>
      </c>
      <c r="B211" s="1" t="n">
        <v>45480.75318287037</v>
      </c>
      <c r="C211" s="1" t="n">
        <v>45968</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59763-2023</t>
        </is>
      </c>
      <c r="B212" s="1" t="n">
        <v>45257</v>
      </c>
      <c r="C212" s="1" t="n">
        <v>45968</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33674-2023</t>
        </is>
      </c>
      <c r="B213" s="1" t="n">
        <v>45132</v>
      </c>
      <c r="C213" s="1" t="n">
        <v>45968</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14617-2024</t>
        </is>
      </c>
      <c r="B214" s="1" t="n">
        <v>45397</v>
      </c>
      <c r="C214" s="1" t="n">
        <v>45968</v>
      </c>
      <c r="D214" t="inlineStr">
        <is>
          <t>DALARNAS LÄN</t>
        </is>
      </c>
      <c r="E214" t="inlineStr">
        <is>
          <t>LEKSAND</t>
        </is>
      </c>
      <c r="G214" t="n">
        <v>0.2</v>
      </c>
      <c r="H214" t="n">
        <v>0</v>
      </c>
      <c r="I214" t="n">
        <v>0</v>
      </c>
      <c r="J214" t="n">
        <v>0</v>
      </c>
      <c r="K214" t="n">
        <v>0</v>
      </c>
      <c r="L214" t="n">
        <v>0</v>
      </c>
      <c r="M214" t="n">
        <v>0</v>
      </c>
      <c r="N214" t="n">
        <v>0</v>
      </c>
      <c r="O214" t="n">
        <v>0</v>
      </c>
      <c r="P214" t="n">
        <v>0</v>
      </c>
      <c r="Q214" t="n">
        <v>0</v>
      </c>
      <c r="R214" s="2" t="inlineStr"/>
    </row>
    <row r="215" ht="15" customHeight="1">
      <c r="A215" t="inlineStr">
        <is>
          <t>A 60945-2024</t>
        </is>
      </c>
      <c r="B215" s="1" t="n">
        <v>45645.37893518519</v>
      </c>
      <c r="C215" s="1" t="n">
        <v>45968</v>
      </c>
      <c r="D215" t="inlineStr">
        <is>
          <t>DALARNAS LÄN</t>
        </is>
      </c>
      <c r="E215" t="inlineStr">
        <is>
          <t>LEKSAND</t>
        </is>
      </c>
      <c r="G215" t="n">
        <v>2.2</v>
      </c>
      <c r="H215" t="n">
        <v>0</v>
      </c>
      <c r="I215" t="n">
        <v>0</v>
      </c>
      <c r="J215" t="n">
        <v>0</v>
      </c>
      <c r="K215" t="n">
        <v>0</v>
      </c>
      <c r="L215" t="n">
        <v>0</v>
      </c>
      <c r="M215" t="n">
        <v>0</v>
      </c>
      <c r="N215" t="n">
        <v>0</v>
      </c>
      <c r="O215" t="n">
        <v>0</v>
      </c>
      <c r="P215" t="n">
        <v>0</v>
      </c>
      <c r="Q215" t="n">
        <v>0</v>
      </c>
      <c r="R215" s="2" t="inlineStr"/>
    </row>
    <row r="216" ht="15" customHeight="1">
      <c r="A216" t="inlineStr">
        <is>
          <t>A 60692-2023</t>
        </is>
      </c>
      <c r="B216" s="1" t="n">
        <v>45260.50008101852</v>
      </c>
      <c r="C216" s="1" t="n">
        <v>45968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17078-2023</t>
        </is>
      </c>
      <c r="B217" s="1" t="n">
        <v>45034</v>
      </c>
      <c r="C217" s="1" t="n">
        <v>45968</v>
      </c>
      <c r="D217" t="inlineStr">
        <is>
          <t>DALARNAS LÄN</t>
        </is>
      </c>
      <c r="E217" t="inlineStr">
        <is>
          <t>LEKSAND</t>
        </is>
      </c>
      <c r="G217" t="n">
        <v>0.5</v>
      </c>
      <c r="H217" t="n">
        <v>0</v>
      </c>
      <c r="I217" t="n">
        <v>0</v>
      </c>
      <c r="J217" t="n">
        <v>0</v>
      </c>
      <c r="K217" t="n">
        <v>0</v>
      </c>
      <c r="L217" t="n">
        <v>0</v>
      </c>
      <c r="M217" t="n">
        <v>0</v>
      </c>
      <c r="N217" t="n">
        <v>0</v>
      </c>
      <c r="O217" t="n">
        <v>0</v>
      </c>
      <c r="P217" t="n">
        <v>0</v>
      </c>
      <c r="Q217" t="n">
        <v>0</v>
      </c>
      <c r="R217" s="2" t="inlineStr"/>
    </row>
    <row r="218" ht="15" customHeight="1">
      <c r="A218" t="inlineStr">
        <is>
          <t>A 7467-2023</t>
        </is>
      </c>
      <c r="B218" s="1" t="n">
        <v>44966</v>
      </c>
      <c r="C218" s="1" t="n">
        <v>45968</v>
      </c>
      <c r="D218" t="inlineStr">
        <is>
          <t>DALARNAS LÄN</t>
        </is>
      </c>
      <c r="E218" t="inlineStr">
        <is>
          <t>LEKSAND</t>
        </is>
      </c>
      <c r="G218" t="n">
        <v>2.4</v>
      </c>
      <c r="H218" t="n">
        <v>0</v>
      </c>
      <c r="I218" t="n">
        <v>0</v>
      </c>
      <c r="J218" t="n">
        <v>0</v>
      </c>
      <c r="K218" t="n">
        <v>0</v>
      </c>
      <c r="L218" t="n">
        <v>0</v>
      </c>
      <c r="M218" t="n">
        <v>0</v>
      </c>
      <c r="N218" t="n">
        <v>0</v>
      </c>
      <c r="O218" t="n">
        <v>0</v>
      </c>
      <c r="P218" t="n">
        <v>0</v>
      </c>
      <c r="Q218" t="n">
        <v>0</v>
      </c>
      <c r="R218" s="2" t="inlineStr"/>
    </row>
    <row r="219" ht="15" customHeight="1">
      <c r="A219" t="inlineStr">
        <is>
          <t>A 62306-2023</t>
        </is>
      </c>
      <c r="B219" s="1" t="n">
        <v>45266</v>
      </c>
      <c r="C219" s="1" t="n">
        <v>45968</v>
      </c>
      <c r="D219" t="inlineStr">
        <is>
          <t>DALARNAS LÄN</t>
        </is>
      </c>
      <c r="E219" t="inlineStr">
        <is>
          <t>LEKSAND</t>
        </is>
      </c>
      <c r="G219" t="n">
        <v>1.1</v>
      </c>
      <c r="H219" t="n">
        <v>0</v>
      </c>
      <c r="I219" t="n">
        <v>0</v>
      </c>
      <c r="J219" t="n">
        <v>0</v>
      </c>
      <c r="K219" t="n">
        <v>0</v>
      </c>
      <c r="L219" t="n">
        <v>0</v>
      </c>
      <c r="M219" t="n">
        <v>0</v>
      </c>
      <c r="N219" t="n">
        <v>0</v>
      </c>
      <c r="O219" t="n">
        <v>0</v>
      </c>
      <c r="P219" t="n">
        <v>0</v>
      </c>
      <c r="Q219" t="n">
        <v>0</v>
      </c>
      <c r="R219" s="2" t="inlineStr"/>
    </row>
    <row r="220" ht="15" customHeight="1">
      <c r="A220" t="inlineStr">
        <is>
          <t>A 11110-2023</t>
        </is>
      </c>
      <c r="B220" s="1" t="n">
        <v>44992</v>
      </c>
      <c r="C220" s="1" t="n">
        <v>45968</v>
      </c>
      <c r="D220" t="inlineStr">
        <is>
          <t>DALARNAS LÄN</t>
        </is>
      </c>
      <c r="E220" t="inlineStr">
        <is>
          <t>LEKSAND</t>
        </is>
      </c>
      <c r="G220" t="n">
        <v>11.2</v>
      </c>
      <c r="H220" t="n">
        <v>0</v>
      </c>
      <c r="I220" t="n">
        <v>0</v>
      </c>
      <c r="J220" t="n">
        <v>0</v>
      </c>
      <c r="K220" t="n">
        <v>0</v>
      </c>
      <c r="L220" t="n">
        <v>0</v>
      </c>
      <c r="M220" t="n">
        <v>0</v>
      </c>
      <c r="N220" t="n">
        <v>0</v>
      </c>
      <c r="O220" t="n">
        <v>0</v>
      </c>
      <c r="P220" t="n">
        <v>0</v>
      </c>
      <c r="Q220" t="n">
        <v>0</v>
      </c>
      <c r="R220" s="2" t="inlineStr"/>
    </row>
    <row r="221" ht="15" customHeight="1">
      <c r="A221" t="inlineStr">
        <is>
          <t>A 44491-2023</t>
        </is>
      </c>
      <c r="B221" s="1" t="n">
        <v>45183</v>
      </c>
      <c r="C221" s="1" t="n">
        <v>45968</v>
      </c>
      <c r="D221" t="inlineStr">
        <is>
          <t>DALARNAS LÄN</t>
        </is>
      </c>
      <c r="E221" t="inlineStr">
        <is>
          <t>LEKSAND</t>
        </is>
      </c>
      <c r="G221" t="n">
        <v>2.6</v>
      </c>
      <c r="H221" t="n">
        <v>0</v>
      </c>
      <c r="I221" t="n">
        <v>0</v>
      </c>
      <c r="J221" t="n">
        <v>0</v>
      </c>
      <c r="K221" t="n">
        <v>0</v>
      </c>
      <c r="L221" t="n">
        <v>0</v>
      </c>
      <c r="M221" t="n">
        <v>0</v>
      </c>
      <c r="N221" t="n">
        <v>0</v>
      </c>
      <c r="O221" t="n">
        <v>0</v>
      </c>
      <c r="P221" t="n">
        <v>0</v>
      </c>
      <c r="Q221" t="n">
        <v>0</v>
      </c>
      <c r="R221" s="2" t="inlineStr"/>
    </row>
    <row r="222" ht="15" customHeight="1">
      <c r="A222" t="inlineStr">
        <is>
          <t>A 31971-2024</t>
        </is>
      </c>
      <c r="B222" s="1" t="n">
        <v>45510.55171296297</v>
      </c>
      <c r="C222" s="1" t="n">
        <v>45968</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26423-2025</t>
        </is>
      </c>
      <c r="B223" s="1" t="n">
        <v>45807.37829861111</v>
      </c>
      <c r="C223" s="1" t="n">
        <v>45968</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56059-2024</t>
        </is>
      </c>
      <c r="B224" s="1" t="n">
        <v>45624.36729166667</v>
      </c>
      <c r="C224" s="1" t="n">
        <v>45968</v>
      </c>
      <c r="D224" t="inlineStr">
        <is>
          <t>DALARNAS LÄN</t>
        </is>
      </c>
      <c r="E224" t="inlineStr">
        <is>
          <t>LEKSAND</t>
        </is>
      </c>
      <c r="G224" t="n">
        <v>3.1</v>
      </c>
      <c r="H224" t="n">
        <v>0</v>
      </c>
      <c r="I224" t="n">
        <v>0</v>
      </c>
      <c r="J224" t="n">
        <v>0</v>
      </c>
      <c r="K224" t="n">
        <v>0</v>
      </c>
      <c r="L224" t="n">
        <v>0</v>
      </c>
      <c r="M224" t="n">
        <v>0</v>
      </c>
      <c r="N224" t="n">
        <v>0</v>
      </c>
      <c r="O224" t="n">
        <v>0</v>
      </c>
      <c r="P224" t="n">
        <v>0</v>
      </c>
      <c r="Q224" t="n">
        <v>0</v>
      </c>
      <c r="R224" s="2" t="inlineStr"/>
    </row>
    <row r="225" ht="15" customHeight="1">
      <c r="A225" t="inlineStr">
        <is>
          <t>A 26386-2025</t>
        </is>
      </c>
      <c r="B225" s="1" t="n">
        <v>45806</v>
      </c>
      <c r="C225" s="1" t="n">
        <v>45968</v>
      </c>
      <c r="D225" t="inlineStr">
        <is>
          <t>DALARNAS LÄN</t>
        </is>
      </c>
      <c r="E225" t="inlineStr">
        <is>
          <t>LEKSAND</t>
        </is>
      </c>
      <c r="F225" t="inlineStr">
        <is>
          <t>Bergvik skog väst AB</t>
        </is>
      </c>
      <c r="G225" t="n">
        <v>26.3</v>
      </c>
      <c r="H225" t="n">
        <v>0</v>
      </c>
      <c r="I225" t="n">
        <v>0</v>
      </c>
      <c r="J225" t="n">
        <v>0</v>
      </c>
      <c r="K225" t="n">
        <v>0</v>
      </c>
      <c r="L225" t="n">
        <v>0</v>
      </c>
      <c r="M225" t="n">
        <v>0</v>
      </c>
      <c r="N225" t="n">
        <v>0</v>
      </c>
      <c r="O225" t="n">
        <v>0</v>
      </c>
      <c r="P225" t="n">
        <v>0</v>
      </c>
      <c r="Q225" t="n">
        <v>0</v>
      </c>
      <c r="R225" s="2" t="inlineStr"/>
    </row>
    <row r="226" ht="15" customHeight="1">
      <c r="A226" t="inlineStr">
        <is>
          <t>A 60920-2020</t>
        </is>
      </c>
      <c r="B226" s="1" t="n">
        <v>44153</v>
      </c>
      <c r="C226" s="1" t="n">
        <v>45968</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61614-2023</t>
        </is>
      </c>
      <c r="B227" s="1" t="n">
        <v>45261</v>
      </c>
      <c r="C227" s="1" t="n">
        <v>45968</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45943-2022</t>
        </is>
      </c>
      <c r="B228" s="1" t="n">
        <v>44846.64418981481</v>
      </c>
      <c r="C228" s="1" t="n">
        <v>45968</v>
      </c>
      <c r="D228" t="inlineStr">
        <is>
          <t>DALARNAS LÄN</t>
        </is>
      </c>
      <c r="E228" t="inlineStr">
        <is>
          <t>LEKSAND</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22388-2024</t>
        </is>
      </c>
      <c r="B229" s="1" t="n">
        <v>45446</v>
      </c>
      <c r="C229" s="1" t="n">
        <v>45968</v>
      </c>
      <c r="D229" t="inlineStr">
        <is>
          <t>DALARNAS LÄN</t>
        </is>
      </c>
      <c r="E229" t="inlineStr">
        <is>
          <t>LEKSAND</t>
        </is>
      </c>
      <c r="F229" t="inlineStr">
        <is>
          <t>Bergvik skog väst AB</t>
        </is>
      </c>
      <c r="G229" t="n">
        <v>5.3</v>
      </c>
      <c r="H229" t="n">
        <v>0</v>
      </c>
      <c r="I229" t="n">
        <v>0</v>
      </c>
      <c r="J229" t="n">
        <v>0</v>
      </c>
      <c r="K229" t="n">
        <v>0</v>
      </c>
      <c r="L229" t="n">
        <v>0</v>
      </c>
      <c r="M229" t="n">
        <v>0</v>
      </c>
      <c r="N229" t="n">
        <v>0</v>
      </c>
      <c r="O229" t="n">
        <v>0</v>
      </c>
      <c r="P229" t="n">
        <v>0</v>
      </c>
      <c r="Q229" t="n">
        <v>0</v>
      </c>
      <c r="R229" s="2" t="inlineStr"/>
    </row>
    <row r="230" ht="15" customHeight="1">
      <c r="A230" t="inlineStr">
        <is>
          <t>A 31728-2024</t>
        </is>
      </c>
      <c r="B230" s="1" t="n">
        <v>45509.34517361111</v>
      </c>
      <c r="C230" s="1" t="n">
        <v>45968</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48644-2023</t>
        </is>
      </c>
      <c r="B231" s="1" t="n">
        <v>45208.58997685185</v>
      </c>
      <c r="C231" s="1" t="n">
        <v>45968</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51857-2022</t>
        </is>
      </c>
      <c r="B232" s="1" t="n">
        <v>44867</v>
      </c>
      <c r="C232" s="1" t="n">
        <v>45968</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325-2023</t>
        </is>
      </c>
      <c r="B233" s="1" t="n">
        <v>44929</v>
      </c>
      <c r="C233" s="1" t="n">
        <v>45968</v>
      </c>
      <c r="D233" t="inlineStr">
        <is>
          <t>DALARNAS LÄN</t>
        </is>
      </c>
      <c r="E233" t="inlineStr">
        <is>
          <t>LEKSAND</t>
        </is>
      </c>
      <c r="F233" t="inlineStr">
        <is>
          <t>Övriga Aktiebolag</t>
        </is>
      </c>
      <c r="G233" t="n">
        <v>7.1</v>
      </c>
      <c r="H233" t="n">
        <v>0</v>
      </c>
      <c r="I233" t="n">
        <v>0</v>
      </c>
      <c r="J233" t="n">
        <v>0</v>
      </c>
      <c r="K233" t="n">
        <v>0</v>
      </c>
      <c r="L233" t="n">
        <v>0</v>
      </c>
      <c r="M233" t="n">
        <v>0</v>
      </c>
      <c r="N233" t="n">
        <v>0</v>
      </c>
      <c r="O233" t="n">
        <v>0</v>
      </c>
      <c r="P233" t="n">
        <v>0</v>
      </c>
      <c r="Q233" t="n">
        <v>0</v>
      </c>
      <c r="R233" s="2" t="inlineStr"/>
    </row>
    <row r="234" ht="15" customHeight="1">
      <c r="A234" t="inlineStr">
        <is>
          <t>A 7928-2023</t>
        </is>
      </c>
      <c r="B234" s="1" t="n">
        <v>44973</v>
      </c>
      <c r="C234" s="1" t="n">
        <v>45968</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60113-2022</t>
        </is>
      </c>
      <c r="B235" s="1" t="n">
        <v>44909</v>
      </c>
      <c r="C235" s="1" t="n">
        <v>45968</v>
      </c>
      <c r="D235" t="inlineStr">
        <is>
          <t>DALARNAS LÄN</t>
        </is>
      </c>
      <c r="E235" t="inlineStr">
        <is>
          <t>LEKSAND</t>
        </is>
      </c>
      <c r="G235" t="n">
        <v>3.7</v>
      </c>
      <c r="H235" t="n">
        <v>0</v>
      </c>
      <c r="I235" t="n">
        <v>0</v>
      </c>
      <c r="J235" t="n">
        <v>0</v>
      </c>
      <c r="K235" t="n">
        <v>0</v>
      </c>
      <c r="L235" t="n">
        <v>0</v>
      </c>
      <c r="M235" t="n">
        <v>0</v>
      </c>
      <c r="N235" t="n">
        <v>0</v>
      </c>
      <c r="O235" t="n">
        <v>0</v>
      </c>
      <c r="P235" t="n">
        <v>0</v>
      </c>
      <c r="Q235" t="n">
        <v>0</v>
      </c>
      <c r="R235" s="2" t="inlineStr"/>
    </row>
    <row r="236" ht="15" customHeight="1">
      <c r="A236" t="inlineStr">
        <is>
          <t>A 1267-2025</t>
        </is>
      </c>
      <c r="B236" s="1" t="n">
        <v>45667</v>
      </c>
      <c r="C236" s="1" t="n">
        <v>45968</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19550-2023</t>
        </is>
      </c>
      <c r="B237" s="1" t="n">
        <v>45049</v>
      </c>
      <c r="C237" s="1" t="n">
        <v>45968</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31915-2024</t>
        </is>
      </c>
      <c r="B238" s="1" t="n">
        <v>45510.38956018518</v>
      </c>
      <c r="C238" s="1" t="n">
        <v>45968</v>
      </c>
      <c r="D238" t="inlineStr">
        <is>
          <t>DALARNAS LÄN</t>
        </is>
      </c>
      <c r="E238" t="inlineStr">
        <is>
          <t>LEKSAND</t>
        </is>
      </c>
      <c r="G238" t="n">
        <v>1.9</v>
      </c>
      <c r="H238" t="n">
        <v>0</v>
      </c>
      <c r="I238" t="n">
        <v>0</v>
      </c>
      <c r="J238" t="n">
        <v>0</v>
      </c>
      <c r="K238" t="n">
        <v>0</v>
      </c>
      <c r="L238" t="n">
        <v>0</v>
      </c>
      <c r="M238" t="n">
        <v>0</v>
      </c>
      <c r="N238" t="n">
        <v>0</v>
      </c>
      <c r="O238" t="n">
        <v>0</v>
      </c>
      <c r="P238" t="n">
        <v>0</v>
      </c>
      <c r="Q238" t="n">
        <v>0</v>
      </c>
      <c r="R238" s="2" t="inlineStr"/>
    </row>
    <row r="239" ht="15" customHeight="1">
      <c r="A239" t="inlineStr">
        <is>
          <t>A 51480-2022</t>
        </is>
      </c>
      <c r="B239" s="1" t="n">
        <v>44869.57961805556</v>
      </c>
      <c r="C239" s="1" t="n">
        <v>45968</v>
      </c>
      <c r="D239" t="inlineStr">
        <is>
          <t>DALARNAS LÄN</t>
        </is>
      </c>
      <c r="E239" t="inlineStr">
        <is>
          <t>LEKSAND</t>
        </is>
      </c>
      <c r="F239" t="inlineStr">
        <is>
          <t>Bergvik skog väst AB</t>
        </is>
      </c>
      <c r="G239" t="n">
        <v>1.7</v>
      </c>
      <c r="H239" t="n">
        <v>0</v>
      </c>
      <c r="I239" t="n">
        <v>0</v>
      </c>
      <c r="J239" t="n">
        <v>0</v>
      </c>
      <c r="K239" t="n">
        <v>0</v>
      </c>
      <c r="L239" t="n">
        <v>0</v>
      </c>
      <c r="M239" t="n">
        <v>0</v>
      </c>
      <c r="N239" t="n">
        <v>0</v>
      </c>
      <c r="O239" t="n">
        <v>0</v>
      </c>
      <c r="P239" t="n">
        <v>0</v>
      </c>
      <c r="Q239" t="n">
        <v>0</v>
      </c>
      <c r="R239" s="2" t="inlineStr"/>
    </row>
    <row r="240" ht="15" customHeight="1">
      <c r="A240" t="inlineStr">
        <is>
          <t>A 59236-2024</t>
        </is>
      </c>
      <c r="B240" s="1" t="n">
        <v>45637.58795138889</v>
      </c>
      <c r="C240" s="1" t="n">
        <v>45968</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25329-2022</t>
        </is>
      </c>
      <c r="B241" s="1" t="n">
        <v>44731.8799537037</v>
      </c>
      <c r="C241" s="1" t="n">
        <v>45968</v>
      </c>
      <c r="D241" t="inlineStr">
        <is>
          <t>DALARNAS LÄN</t>
        </is>
      </c>
      <c r="E241" t="inlineStr">
        <is>
          <t>LEKSAND</t>
        </is>
      </c>
      <c r="G241" t="n">
        <v>1.4</v>
      </c>
      <c r="H241" t="n">
        <v>0</v>
      </c>
      <c r="I241" t="n">
        <v>0</v>
      </c>
      <c r="J241" t="n">
        <v>0</v>
      </c>
      <c r="K241" t="n">
        <v>0</v>
      </c>
      <c r="L241" t="n">
        <v>0</v>
      </c>
      <c r="M241" t="n">
        <v>0</v>
      </c>
      <c r="N241" t="n">
        <v>0</v>
      </c>
      <c r="O241" t="n">
        <v>0</v>
      </c>
      <c r="P241" t="n">
        <v>0</v>
      </c>
      <c r="Q241" t="n">
        <v>0</v>
      </c>
      <c r="R241" s="2" t="inlineStr"/>
    </row>
    <row r="242" ht="15" customHeight="1">
      <c r="A242" t="inlineStr">
        <is>
          <t>A 19700-2025</t>
        </is>
      </c>
      <c r="B242" s="1" t="n">
        <v>45771.32445601852</v>
      </c>
      <c r="C242" s="1" t="n">
        <v>45968</v>
      </c>
      <c r="D242" t="inlineStr">
        <is>
          <t>DALARNAS LÄN</t>
        </is>
      </c>
      <c r="E242" t="inlineStr">
        <is>
          <t>LEKSAND</t>
        </is>
      </c>
      <c r="G242" t="n">
        <v>0.9</v>
      </c>
      <c r="H242" t="n">
        <v>0</v>
      </c>
      <c r="I242" t="n">
        <v>0</v>
      </c>
      <c r="J242" t="n">
        <v>0</v>
      </c>
      <c r="K242" t="n">
        <v>0</v>
      </c>
      <c r="L242" t="n">
        <v>0</v>
      </c>
      <c r="M242" t="n">
        <v>0</v>
      </c>
      <c r="N242" t="n">
        <v>0</v>
      </c>
      <c r="O242" t="n">
        <v>0</v>
      </c>
      <c r="P242" t="n">
        <v>0</v>
      </c>
      <c r="Q242" t="n">
        <v>0</v>
      </c>
      <c r="R242" s="2" t="inlineStr"/>
    </row>
    <row r="243" ht="15" customHeight="1">
      <c r="A243" t="inlineStr">
        <is>
          <t>A 43220-2024</t>
        </is>
      </c>
      <c r="B243" s="1" t="n">
        <v>45567.86112268519</v>
      </c>
      <c r="C243" s="1" t="n">
        <v>45968</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27323-2025</t>
        </is>
      </c>
      <c r="B244" s="1" t="n">
        <v>45812.60392361111</v>
      </c>
      <c r="C244" s="1" t="n">
        <v>45968</v>
      </c>
      <c r="D244" t="inlineStr">
        <is>
          <t>DALARNAS LÄN</t>
        </is>
      </c>
      <c r="E244" t="inlineStr">
        <is>
          <t>LEKSAND</t>
        </is>
      </c>
      <c r="F244" t="inlineStr">
        <is>
          <t>Bergvik skog väst AB</t>
        </is>
      </c>
      <c r="G244" t="n">
        <v>1.2</v>
      </c>
      <c r="H244" t="n">
        <v>0</v>
      </c>
      <c r="I244" t="n">
        <v>0</v>
      </c>
      <c r="J244" t="n">
        <v>0</v>
      </c>
      <c r="K244" t="n">
        <v>0</v>
      </c>
      <c r="L244" t="n">
        <v>0</v>
      </c>
      <c r="M244" t="n">
        <v>0</v>
      </c>
      <c r="N244" t="n">
        <v>0</v>
      </c>
      <c r="O244" t="n">
        <v>0</v>
      </c>
      <c r="P244" t="n">
        <v>0</v>
      </c>
      <c r="Q244" t="n">
        <v>0</v>
      </c>
      <c r="R244" s="2" t="inlineStr"/>
    </row>
    <row r="245" ht="15" customHeight="1">
      <c r="A245" t="inlineStr">
        <is>
          <t>A 27262-2025</t>
        </is>
      </c>
      <c r="B245" s="1" t="n">
        <v>45812</v>
      </c>
      <c r="C245" s="1" t="n">
        <v>45968</v>
      </c>
      <c r="D245" t="inlineStr">
        <is>
          <t>DALARNAS LÄN</t>
        </is>
      </c>
      <c r="E245" t="inlineStr">
        <is>
          <t>LEKSAND</t>
        </is>
      </c>
      <c r="F245" t="inlineStr">
        <is>
          <t>Bergvik skog väst AB</t>
        </is>
      </c>
      <c r="G245" t="n">
        <v>7.7</v>
      </c>
      <c r="H245" t="n">
        <v>0</v>
      </c>
      <c r="I245" t="n">
        <v>0</v>
      </c>
      <c r="J245" t="n">
        <v>0</v>
      </c>
      <c r="K245" t="n">
        <v>0</v>
      </c>
      <c r="L245" t="n">
        <v>0</v>
      </c>
      <c r="M245" t="n">
        <v>0</v>
      </c>
      <c r="N245" t="n">
        <v>0</v>
      </c>
      <c r="O245" t="n">
        <v>0</v>
      </c>
      <c r="P245" t="n">
        <v>0</v>
      </c>
      <c r="Q245" t="n">
        <v>0</v>
      </c>
      <c r="R245" s="2" t="inlineStr"/>
    </row>
    <row r="246" ht="15" customHeight="1">
      <c r="A246" t="inlineStr">
        <is>
          <t>A 12582-2025</t>
        </is>
      </c>
      <c r="B246" s="1" t="n">
        <v>45732.62988425926</v>
      </c>
      <c r="C246" s="1" t="n">
        <v>45968</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27332-2025</t>
        </is>
      </c>
      <c r="B247" s="1" t="n">
        <v>45812.61265046296</v>
      </c>
      <c r="C247" s="1" t="n">
        <v>45968</v>
      </c>
      <c r="D247" t="inlineStr">
        <is>
          <t>DALARNAS LÄN</t>
        </is>
      </c>
      <c r="E247" t="inlineStr">
        <is>
          <t>LEKSAND</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27183-2025</t>
        </is>
      </c>
      <c r="B248" s="1" t="n">
        <v>45812.36097222222</v>
      </c>
      <c r="C248" s="1" t="n">
        <v>45968</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27680-2025</t>
        </is>
      </c>
      <c r="B249" s="1" t="n">
        <v>45813.64618055556</v>
      </c>
      <c r="C249" s="1" t="n">
        <v>45968</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49397-2024</t>
        </is>
      </c>
      <c r="B250" s="1" t="n">
        <v>45595</v>
      </c>
      <c r="C250" s="1" t="n">
        <v>45968</v>
      </c>
      <c r="D250" t="inlineStr">
        <is>
          <t>DALARNAS LÄN</t>
        </is>
      </c>
      <c r="E250" t="inlineStr">
        <is>
          <t>LEKSAND</t>
        </is>
      </c>
      <c r="G250" t="n">
        <v>4.3</v>
      </c>
      <c r="H250" t="n">
        <v>0</v>
      </c>
      <c r="I250" t="n">
        <v>0</v>
      </c>
      <c r="J250" t="n">
        <v>0</v>
      </c>
      <c r="K250" t="n">
        <v>0</v>
      </c>
      <c r="L250" t="n">
        <v>0</v>
      </c>
      <c r="M250" t="n">
        <v>0</v>
      </c>
      <c r="N250" t="n">
        <v>0</v>
      </c>
      <c r="O250" t="n">
        <v>0</v>
      </c>
      <c r="P250" t="n">
        <v>0</v>
      </c>
      <c r="Q250" t="n">
        <v>0</v>
      </c>
      <c r="R250" s="2" t="inlineStr"/>
    </row>
    <row r="251" ht="15" customHeight="1">
      <c r="A251" t="inlineStr">
        <is>
          <t>A 27682-2025</t>
        </is>
      </c>
      <c r="B251" s="1" t="n">
        <v>45813.64782407408</v>
      </c>
      <c r="C251" s="1" t="n">
        <v>45968</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57907-2024</t>
        </is>
      </c>
      <c r="B252" s="1" t="n">
        <v>45630</v>
      </c>
      <c r="C252" s="1" t="n">
        <v>45968</v>
      </c>
      <c r="D252" t="inlineStr">
        <is>
          <t>DALARNAS LÄN</t>
        </is>
      </c>
      <c r="E252" t="inlineStr">
        <is>
          <t>LEKSAND</t>
        </is>
      </c>
      <c r="G252" t="n">
        <v>1.4</v>
      </c>
      <c r="H252" t="n">
        <v>0</v>
      </c>
      <c r="I252" t="n">
        <v>0</v>
      </c>
      <c r="J252" t="n">
        <v>0</v>
      </c>
      <c r="K252" t="n">
        <v>0</v>
      </c>
      <c r="L252" t="n">
        <v>0</v>
      </c>
      <c r="M252" t="n">
        <v>0</v>
      </c>
      <c r="N252" t="n">
        <v>0</v>
      </c>
      <c r="O252" t="n">
        <v>0</v>
      </c>
      <c r="P252" t="n">
        <v>0</v>
      </c>
      <c r="Q252" t="n">
        <v>0</v>
      </c>
      <c r="R252" s="2" t="inlineStr"/>
    </row>
    <row r="253" ht="15" customHeight="1">
      <c r="A253" t="inlineStr">
        <is>
          <t>A 27705-2025</t>
        </is>
      </c>
      <c r="B253" s="1" t="n">
        <v>45813</v>
      </c>
      <c r="C253" s="1" t="n">
        <v>45968</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62116-2024</t>
        </is>
      </c>
      <c r="B254" s="1" t="n">
        <v>45646</v>
      </c>
      <c r="C254" s="1" t="n">
        <v>45968</v>
      </c>
      <c r="D254" t="inlineStr">
        <is>
          <t>DALARNAS LÄN</t>
        </is>
      </c>
      <c r="E254" t="inlineStr">
        <is>
          <t>LEKSAND</t>
        </is>
      </c>
      <c r="G254" t="n">
        <v>1.4</v>
      </c>
      <c r="H254" t="n">
        <v>0</v>
      </c>
      <c r="I254" t="n">
        <v>0</v>
      </c>
      <c r="J254" t="n">
        <v>0</v>
      </c>
      <c r="K254" t="n">
        <v>0</v>
      </c>
      <c r="L254" t="n">
        <v>0</v>
      </c>
      <c r="M254" t="n">
        <v>0</v>
      </c>
      <c r="N254" t="n">
        <v>0</v>
      </c>
      <c r="O254" t="n">
        <v>0</v>
      </c>
      <c r="P254" t="n">
        <v>0</v>
      </c>
      <c r="Q254" t="n">
        <v>0</v>
      </c>
      <c r="R254" s="2" t="inlineStr"/>
    </row>
    <row r="255" ht="15" customHeight="1">
      <c r="A255" t="inlineStr">
        <is>
          <t>A 27329-2025</t>
        </is>
      </c>
      <c r="B255" s="1" t="n">
        <v>45812.60864583333</v>
      </c>
      <c r="C255" s="1" t="n">
        <v>45968</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30169-2023</t>
        </is>
      </c>
      <c r="B256" s="1" t="n">
        <v>45110</v>
      </c>
      <c r="C256" s="1" t="n">
        <v>45968</v>
      </c>
      <c r="D256" t="inlineStr">
        <is>
          <t>DALARNAS LÄN</t>
        </is>
      </c>
      <c r="E256" t="inlineStr">
        <is>
          <t>LEKSAND</t>
        </is>
      </c>
      <c r="G256" t="n">
        <v>1.1</v>
      </c>
      <c r="H256" t="n">
        <v>0</v>
      </c>
      <c r="I256" t="n">
        <v>0</v>
      </c>
      <c r="J256" t="n">
        <v>0</v>
      </c>
      <c r="K256" t="n">
        <v>0</v>
      </c>
      <c r="L256" t="n">
        <v>0</v>
      </c>
      <c r="M256" t="n">
        <v>0</v>
      </c>
      <c r="N256" t="n">
        <v>0</v>
      </c>
      <c r="O256" t="n">
        <v>0</v>
      </c>
      <c r="P256" t="n">
        <v>0</v>
      </c>
      <c r="Q256" t="n">
        <v>0</v>
      </c>
      <c r="R256" s="2" t="inlineStr"/>
    </row>
    <row r="257" ht="15" customHeight="1">
      <c r="A257" t="inlineStr">
        <is>
          <t>A 13063-2023</t>
        </is>
      </c>
      <c r="B257" s="1" t="n">
        <v>45001</v>
      </c>
      <c r="C257" s="1" t="n">
        <v>45968</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14943-2023</t>
        </is>
      </c>
      <c r="B258" s="1" t="n">
        <v>45015</v>
      </c>
      <c r="C258" s="1" t="n">
        <v>45968</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27984-2025</t>
        </is>
      </c>
      <c r="B259" s="1" t="n">
        <v>45817.57710648148</v>
      </c>
      <c r="C259" s="1" t="n">
        <v>45968</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54289-2023</t>
        </is>
      </c>
      <c r="B260" s="1" t="n">
        <v>45232.71193287037</v>
      </c>
      <c r="C260" s="1" t="n">
        <v>45968</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28499-2025</t>
        </is>
      </c>
      <c r="B261" s="1" t="n">
        <v>45818</v>
      </c>
      <c r="C261" s="1" t="n">
        <v>45968</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9105-2024</t>
        </is>
      </c>
      <c r="B262" s="1" t="n">
        <v>45357</v>
      </c>
      <c r="C262" s="1" t="n">
        <v>45968</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28483-2025</t>
        </is>
      </c>
      <c r="B263" s="1" t="n">
        <v>45818</v>
      </c>
      <c r="C263" s="1" t="n">
        <v>45968</v>
      </c>
      <c r="D263" t="inlineStr">
        <is>
          <t>DALARNAS LÄN</t>
        </is>
      </c>
      <c r="E263" t="inlineStr">
        <is>
          <t>LEKSAND</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11869-2024</t>
        </is>
      </c>
      <c r="B264" s="1" t="n">
        <v>45376.45800925926</v>
      </c>
      <c r="C264" s="1" t="n">
        <v>45968</v>
      </c>
      <c r="D264" t="inlineStr">
        <is>
          <t>DALARNAS LÄN</t>
        </is>
      </c>
      <c r="E264" t="inlineStr">
        <is>
          <t>LEKSAND</t>
        </is>
      </c>
      <c r="G264" t="n">
        <v>0.5</v>
      </c>
      <c r="H264" t="n">
        <v>0</v>
      </c>
      <c r="I264" t="n">
        <v>0</v>
      </c>
      <c r="J264" t="n">
        <v>0</v>
      </c>
      <c r="K264" t="n">
        <v>0</v>
      </c>
      <c r="L264" t="n">
        <v>0</v>
      </c>
      <c r="M264" t="n">
        <v>0</v>
      </c>
      <c r="N264" t="n">
        <v>0</v>
      </c>
      <c r="O264" t="n">
        <v>0</v>
      </c>
      <c r="P264" t="n">
        <v>0</v>
      </c>
      <c r="Q264" t="n">
        <v>0</v>
      </c>
      <c r="R264" s="2" t="inlineStr"/>
    </row>
    <row r="265" ht="15" customHeight="1">
      <c r="A265" t="inlineStr">
        <is>
          <t>A 28458-2025</t>
        </is>
      </c>
      <c r="B265" s="1" t="n">
        <v>45819.413125</v>
      </c>
      <c r="C265" s="1" t="n">
        <v>45968</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32666-2023</t>
        </is>
      </c>
      <c r="B266" s="1" t="n">
        <v>45121</v>
      </c>
      <c r="C266" s="1" t="n">
        <v>45968</v>
      </c>
      <c r="D266" t="inlineStr">
        <is>
          <t>DALARNAS LÄN</t>
        </is>
      </c>
      <c r="E266" t="inlineStr">
        <is>
          <t>LEKSAND</t>
        </is>
      </c>
      <c r="G266" t="n">
        <v>9.9</v>
      </c>
      <c r="H266" t="n">
        <v>0</v>
      </c>
      <c r="I266" t="n">
        <v>0</v>
      </c>
      <c r="J266" t="n">
        <v>0</v>
      </c>
      <c r="K266" t="n">
        <v>0</v>
      </c>
      <c r="L266" t="n">
        <v>0</v>
      </c>
      <c r="M266" t="n">
        <v>0</v>
      </c>
      <c r="N266" t="n">
        <v>0</v>
      </c>
      <c r="O266" t="n">
        <v>0</v>
      </c>
      <c r="P266" t="n">
        <v>0</v>
      </c>
      <c r="Q266" t="n">
        <v>0</v>
      </c>
      <c r="R266" s="2" t="inlineStr"/>
    </row>
    <row r="267" ht="15" customHeight="1">
      <c r="A267" t="inlineStr">
        <is>
          <t>A 24005-2024</t>
        </is>
      </c>
      <c r="B267" s="1" t="n">
        <v>45456.39239583333</v>
      </c>
      <c r="C267" s="1" t="n">
        <v>45968</v>
      </c>
      <c r="D267" t="inlineStr">
        <is>
          <t>DALARNAS LÄN</t>
        </is>
      </c>
      <c r="E267" t="inlineStr">
        <is>
          <t>LEKSAND</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28505-2025</t>
        </is>
      </c>
      <c r="B268" s="1" t="n">
        <v>45818</v>
      </c>
      <c r="C268" s="1" t="n">
        <v>45968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28488-2025</t>
        </is>
      </c>
      <c r="B269" s="1" t="n">
        <v>45818</v>
      </c>
      <c r="C269" s="1" t="n">
        <v>45968</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61225-2023</t>
        </is>
      </c>
      <c r="B270" s="1" t="n">
        <v>45264</v>
      </c>
      <c r="C270" s="1" t="n">
        <v>45968</v>
      </c>
      <c r="D270" t="inlineStr">
        <is>
          <t>DALARNAS LÄN</t>
        </is>
      </c>
      <c r="E270" t="inlineStr">
        <is>
          <t>LEKSAND</t>
        </is>
      </c>
      <c r="G270" t="n">
        <v>7</v>
      </c>
      <c r="H270" t="n">
        <v>0</v>
      </c>
      <c r="I270" t="n">
        <v>0</v>
      </c>
      <c r="J270" t="n">
        <v>0</v>
      </c>
      <c r="K270" t="n">
        <v>0</v>
      </c>
      <c r="L270" t="n">
        <v>0</v>
      </c>
      <c r="M270" t="n">
        <v>0</v>
      </c>
      <c r="N270" t="n">
        <v>0</v>
      </c>
      <c r="O270" t="n">
        <v>0</v>
      </c>
      <c r="P270" t="n">
        <v>0</v>
      </c>
      <c r="Q270" t="n">
        <v>0</v>
      </c>
      <c r="R270" s="2" t="inlineStr"/>
    </row>
    <row r="271" ht="15" customHeight="1">
      <c r="A271" t="inlineStr">
        <is>
          <t>A 28770-2025</t>
        </is>
      </c>
      <c r="B271" s="1" t="n">
        <v>45820</v>
      </c>
      <c r="C271" s="1" t="n">
        <v>45968</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5231-2024</t>
        </is>
      </c>
      <c r="B272" s="1" t="n">
        <v>45330</v>
      </c>
      <c r="C272" s="1" t="n">
        <v>45968</v>
      </c>
      <c r="D272" t="inlineStr">
        <is>
          <t>DALARNAS LÄN</t>
        </is>
      </c>
      <c r="E272" t="inlineStr">
        <is>
          <t>LEKSAND</t>
        </is>
      </c>
      <c r="F272" t="inlineStr">
        <is>
          <t>Bergvik skog väst AB</t>
        </is>
      </c>
      <c r="G272" t="n">
        <v>11.2</v>
      </c>
      <c r="H272" t="n">
        <v>0</v>
      </c>
      <c r="I272" t="n">
        <v>0</v>
      </c>
      <c r="J272" t="n">
        <v>0</v>
      </c>
      <c r="K272" t="n">
        <v>0</v>
      </c>
      <c r="L272" t="n">
        <v>0</v>
      </c>
      <c r="M272" t="n">
        <v>0</v>
      </c>
      <c r="N272" t="n">
        <v>0</v>
      </c>
      <c r="O272" t="n">
        <v>0</v>
      </c>
      <c r="P272" t="n">
        <v>0</v>
      </c>
      <c r="Q272" t="n">
        <v>0</v>
      </c>
      <c r="R272" s="2" t="inlineStr"/>
    </row>
    <row r="273" ht="15" customHeight="1">
      <c r="A273" t="inlineStr">
        <is>
          <t>A 16137-2023</t>
        </is>
      </c>
      <c r="B273" s="1" t="n">
        <v>45027</v>
      </c>
      <c r="C273" s="1" t="n">
        <v>45968</v>
      </c>
      <c r="D273" t="inlineStr">
        <is>
          <t>DALARNAS LÄN</t>
        </is>
      </c>
      <c r="E273" t="inlineStr">
        <is>
          <t>LEKSAND</t>
        </is>
      </c>
      <c r="G273" t="n">
        <v>1.6</v>
      </c>
      <c r="H273" t="n">
        <v>0</v>
      </c>
      <c r="I273" t="n">
        <v>0</v>
      </c>
      <c r="J273" t="n">
        <v>0</v>
      </c>
      <c r="K273" t="n">
        <v>0</v>
      </c>
      <c r="L273" t="n">
        <v>0</v>
      </c>
      <c r="M273" t="n">
        <v>0</v>
      </c>
      <c r="N273" t="n">
        <v>0</v>
      </c>
      <c r="O273" t="n">
        <v>0</v>
      </c>
      <c r="P273" t="n">
        <v>0</v>
      </c>
      <c r="Q273" t="n">
        <v>0</v>
      </c>
      <c r="R273" s="2" t="inlineStr"/>
    </row>
    <row r="274" ht="15" customHeight="1">
      <c r="A274" t="inlineStr">
        <is>
          <t>A 15968-2025</t>
        </is>
      </c>
      <c r="B274" s="1" t="n">
        <v>45749.54818287037</v>
      </c>
      <c r="C274" s="1" t="n">
        <v>45968</v>
      </c>
      <c r="D274" t="inlineStr">
        <is>
          <t>DALARNAS LÄN</t>
        </is>
      </c>
      <c r="E274" t="inlineStr">
        <is>
          <t>LEKSAND</t>
        </is>
      </c>
      <c r="G274" t="n">
        <v>3.2</v>
      </c>
      <c r="H274" t="n">
        <v>0</v>
      </c>
      <c r="I274" t="n">
        <v>0</v>
      </c>
      <c r="J274" t="n">
        <v>0</v>
      </c>
      <c r="K274" t="n">
        <v>0</v>
      </c>
      <c r="L274" t="n">
        <v>0</v>
      </c>
      <c r="M274" t="n">
        <v>0</v>
      </c>
      <c r="N274" t="n">
        <v>0</v>
      </c>
      <c r="O274" t="n">
        <v>0</v>
      </c>
      <c r="P274" t="n">
        <v>0</v>
      </c>
      <c r="Q274" t="n">
        <v>0</v>
      </c>
      <c r="R274" s="2" t="inlineStr"/>
    </row>
    <row r="275" ht="15" customHeight="1">
      <c r="A275" t="inlineStr">
        <is>
          <t>A 28985-2025</t>
        </is>
      </c>
      <c r="B275" s="1" t="n">
        <v>45821.36862268519</v>
      </c>
      <c r="C275" s="1" t="n">
        <v>45968</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19618-2024</t>
        </is>
      </c>
      <c r="B276" s="1" t="n">
        <v>45432.32896990741</v>
      </c>
      <c r="C276" s="1" t="n">
        <v>45968</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30196-2023</t>
        </is>
      </c>
      <c r="B277" s="1" t="n">
        <v>45110</v>
      </c>
      <c r="C277" s="1" t="n">
        <v>45968</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29553-2025</t>
        </is>
      </c>
      <c r="B278" s="1" t="n">
        <v>45825.35315972222</v>
      </c>
      <c r="C278" s="1" t="n">
        <v>45968</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10833-2023</t>
        </is>
      </c>
      <c r="B279" s="1" t="n">
        <v>44990</v>
      </c>
      <c r="C279" s="1" t="n">
        <v>45968</v>
      </c>
      <c r="D279" t="inlineStr">
        <is>
          <t>DALARNAS LÄN</t>
        </is>
      </c>
      <c r="E279" t="inlineStr">
        <is>
          <t>LEKSAND</t>
        </is>
      </c>
      <c r="G279" t="n">
        <v>1.7</v>
      </c>
      <c r="H279" t="n">
        <v>0</v>
      </c>
      <c r="I279" t="n">
        <v>0</v>
      </c>
      <c r="J279" t="n">
        <v>0</v>
      </c>
      <c r="K279" t="n">
        <v>0</v>
      </c>
      <c r="L279" t="n">
        <v>0</v>
      </c>
      <c r="M279" t="n">
        <v>0</v>
      </c>
      <c r="N279" t="n">
        <v>0</v>
      </c>
      <c r="O279" t="n">
        <v>0</v>
      </c>
      <c r="P279" t="n">
        <v>0</v>
      </c>
      <c r="Q279" t="n">
        <v>0</v>
      </c>
      <c r="R279" s="2" t="inlineStr"/>
    </row>
    <row r="280" ht="15" customHeight="1">
      <c r="A280" t="inlineStr">
        <is>
          <t>A 54682-2023</t>
        </is>
      </c>
      <c r="B280" s="1" t="n">
        <v>45235.90439814814</v>
      </c>
      <c r="C280" s="1" t="n">
        <v>45968</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47121-2021</t>
        </is>
      </c>
      <c r="B281" s="1" t="n">
        <v>44446</v>
      </c>
      <c r="C281" s="1" t="n">
        <v>45968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33317-2023</t>
        </is>
      </c>
      <c r="B282" s="1" t="n">
        <v>45127.84586805556</v>
      </c>
      <c r="C282" s="1" t="n">
        <v>45968</v>
      </c>
      <c r="D282" t="inlineStr">
        <is>
          <t>DALARNAS LÄN</t>
        </is>
      </c>
      <c r="E282" t="inlineStr">
        <is>
          <t>LEKSAND</t>
        </is>
      </c>
      <c r="G282" t="n">
        <v>2.7</v>
      </c>
      <c r="H282" t="n">
        <v>0</v>
      </c>
      <c r="I282" t="n">
        <v>0</v>
      </c>
      <c r="J282" t="n">
        <v>0</v>
      </c>
      <c r="K282" t="n">
        <v>0</v>
      </c>
      <c r="L282" t="n">
        <v>0</v>
      </c>
      <c r="M282" t="n">
        <v>0</v>
      </c>
      <c r="N282" t="n">
        <v>0</v>
      </c>
      <c r="O282" t="n">
        <v>0</v>
      </c>
      <c r="P282" t="n">
        <v>0</v>
      </c>
      <c r="Q282" t="n">
        <v>0</v>
      </c>
      <c r="R282" s="2" t="inlineStr"/>
    </row>
    <row r="283" ht="15" customHeight="1">
      <c r="A283" t="inlineStr">
        <is>
          <t>A 33318-2023</t>
        </is>
      </c>
      <c r="B283" s="1" t="n">
        <v>45127</v>
      </c>
      <c r="C283" s="1" t="n">
        <v>45968</v>
      </c>
      <c r="D283" t="inlineStr">
        <is>
          <t>DALARNAS LÄN</t>
        </is>
      </c>
      <c r="E283" t="inlineStr">
        <is>
          <t>LEKSAND</t>
        </is>
      </c>
      <c r="G283" t="n">
        <v>5.5</v>
      </c>
      <c r="H283" t="n">
        <v>0</v>
      </c>
      <c r="I283" t="n">
        <v>0</v>
      </c>
      <c r="J283" t="n">
        <v>0</v>
      </c>
      <c r="K283" t="n">
        <v>0</v>
      </c>
      <c r="L283" t="n">
        <v>0</v>
      </c>
      <c r="M283" t="n">
        <v>0</v>
      </c>
      <c r="N283" t="n">
        <v>0</v>
      </c>
      <c r="O283" t="n">
        <v>0</v>
      </c>
      <c r="P283" t="n">
        <v>0</v>
      </c>
      <c r="Q283" t="n">
        <v>0</v>
      </c>
      <c r="R283" s="2" t="inlineStr"/>
    </row>
    <row r="284" ht="15" customHeight="1">
      <c r="A284" t="inlineStr">
        <is>
          <t>A 36444-2023</t>
        </is>
      </c>
      <c r="B284" s="1" t="n">
        <v>45152.63138888889</v>
      </c>
      <c r="C284" s="1" t="n">
        <v>45968</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29005-2025</t>
        </is>
      </c>
      <c r="B285" s="1" t="n">
        <v>45821.39326388889</v>
      </c>
      <c r="C285" s="1" t="n">
        <v>45968</v>
      </c>
      <c r="D285" t="inlineStr">
        <is>
          <t>DALARNAS LÄN</t>
        </is>
      </c>
      <c r="E285" t="inlineStr">
        <is>
          <t>LEKSAND</t>
        </is>
      </c>
      <c r="G285" t="n">
        <v>2.1</v>
      </c>
      <c r="H285" t="n">
        <v>0</v>
      </c>
      <c r="I285" t="n">
        <v>0</v>
      </c>
      <c r="J285" t="n">
        <v>0</v>
      </c>
      <c r="K285" t="n">
        <v>0</v>
      </c>
      <c r="L285" t="n">
        <v>0</v>
      </c>
      <c r="M285" t="n">
        <v>0</v>
      </c>
      <c r="N285" t="n">
        <v>0</v>
      </c>
      <c r="O285" t="n">
        <v>0</v>
      </c>
      <c r="P285" t="n">
        <v>0</v>
      </c>
      <c r="Q285" t="n">
        <v>0</v>
      </c>
      <c r="R285" s="2" t="inlineStr"/>
    </row>
    <row r="286" ht="15" customHeight="1">
      <c r="A286" t="inlineStr">
        <is>
          <t>A 21402-2023</t>
        </is>
      </c>
      <c r="B286" s="1" t="n">
        <v>45061</v>
      </c>
      <c r="C286" s="1" t="n">
        <v>45968</v>
      </c>
      <c r="D286" t="inlineStr">
        <is>
          <t>DALARNAS LÄN</t>
        </is>
      </c>
      <c r="E286" t="inlineStr">
        <is>
          <t>LEKSAND</t>
        </is>
      </c>
      <c r="G286" t="n">
        <v>0.7</v>
      </c>
      <c r="H286" t="n">
        <v>0</v>
      </c>
      <c r="I286" t="n">
        <v>0</v>
      </c>
      <c r="J286" t="n">
        <v>0</v>
      </c>
      <c r="K286" t="n">
        <v>0</v>
      </c>
      <c r="L286" t="n">
        <v>0</v>
      </c>
      <c r="M286" t="n">
        <v>0</v>
      </c>
      <c r="N286" t="n">
        <v>0</v>
      </c>
      <c r="O286" t="n">
        <v>0</v>
      </c>
      <c r="P286" t="n">
        <v>0</v>
      </c>
      <c r="Q286" t="n">
        <v>0</v>
      </c>
      <c r="R286" s="2" t="inlineStr"/>
    </row>
    <row r="287" ht="15" customHeight="1">
      <c r="A287" t="inlineStr">
        <is>
          <t>A 61055-2023</t>
        </is>
      </c>
      <c r="B287" s="1" t="n">
        <v>45261</v>
      </c>
      <c r="C287" s="1" t="n">
        <v>45968</v>
      </c>
      <c r="D287" t="inlineStr">
        <is>
          <t>DALARNAS LÄN</t>
        </is>
      </c>
      <c r="E287" t="inlineStr">
        <is>
          <t>LEKSAND</t>
        </is>
      </c>
      <c r="G287" t="n">
        <v>0.3</v>
      </c>
      <c r="H287" t="n">
        <v>0</v>
      </c>
      <c r="I287" t="n">
        <v>0</v>
      </c>
      <c r="J287" t="n">
        <v>0</v>
      </c>
      <c r="K287" t="n">
        <v>0</v>
      </c>
      <c r="L287" t="n">
        <v>0</v>
      </c>
      <c r="M287" t="n">
        <v>0</v>
      </c>
      <c r="N287" t="n">
        <v>0</v>
      </c>
      <c r="O287" t="n">
        <v>0</v>
      </c>
      <c r="P287" t="n">
        <v>0</v>
      </c>
      <c r="Q287" t="n">
        <v>0</v>
      </c>
      <c r="R287" s="2" t="inlineStr"/>
    </row>
    <row r="288" ht="15" customHeight="1">
      <c r="A288" t="inlineStr">
        <is>
          <t>A 31391-2024</t>
        </is>
      </c>
      <c r="B288" s="1" t="n">
        <v>45505.46616898148</v>
      </c>
      <c r="C288" s="1" t="n">
        <v>45968</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167-2023</t>
        </is>
      </c>
      <c r="B289" s="1" t="n">
        <v>44918</v>
      </c>
      <c r="C289" s="1" t="n">
        <v>45968</v>
      </c>
      <c r="D289" t="inlineStr">
        <is>
          <t>DALARNAS LÄN</t>
        </is>
      </c>
      <c r="E289" t="inlineStr">
        <is>
          <t>LEKSAND</t>
        </is>
      </c>
      <c r="G289" t="n">
        <v>0.5</v>
      </c>
      <c r="H289" t="n">
        <v>0</v>
      </c>
      <c r="I289" t="n">
        <v>0</v>
      </c>
      <c r="J289" t="n">
        <v>0</v>
      </c>
      <c r="K289" t="n">
        <v>0</v>
      </c>
      <c r="L289" t="n">
        <v>0</v>
      </c>
      <c r="M289" t="n">
        <v>0</v>
      </c>
      <c r="N289" t="n">
        <v>0</v>
      </c>
      <c r="O289" t="n">
        <v>0</v>
      </c>
      <c r="P289" t="n">
        <v>0</v>
      </c>
      <c r="Q289" t="n">
        <v>0</v>
      </c>
      <c r="R289" s="2" t="inlineStr"/>
    </row>
    <row r="290" ht="15" customHeight="1">
      <c r="A290" t="inlineStr">
        <is>
          <t>A 34038-2024</t>
        </is>
      </c>
      <c r="B290" s="1" t="n">
        <v>45523.59578703704</v>
      </c>
      <c r="C290" s="1" t="n">
        <v>45968</v>
      </c>
      <c r="D290" t="inlineStr">
        <is>
          <t>DALARNAS LÄN</t>
        </is>
      </c>
      <c r="E290" t="inlineStr">
        <is>
          <t>LEKSAND</t>
        </is>
      </c>
      <c r="G290" t="n">
        <v>0.3</v>
      </c>
      <c r="H290" t="n">
        <v>0</v>
      </c>
      <c r="I290" t="n">
        <v>0</v>
      </c>
      <c r="J290" t="n">
        <v>0</v>
      </c>
      <c r="K290" t="n">
        <v>0</v>
      </c>
      <c r="L290" t="n">
        <v>0</v>
      </c>
      <c r="M290" t="n">
        <v>0</v>
      </c>
      <c r="N290" t="n">
        <v>0</v>
      </c>
      <c r="O290" t="n">
        <v>0</v>
      </c>
      <c r="P290" t="n">
        <v>0</v>
      </c>
      <c r="Q290" t="n">
        <v>0</v>
      </c>
      <c r="R290" s="2" t="inlineStr"/>
    </row>
    <row r="291" ht="15" customHeight="1">
      <c r="A291" t="inlineStr">
        <is>
          <t>A 34041-2024</t>
        </is>
      </c>
      <c r="B291" s="1" t="n">
        <v>45523.59895833334</v>
      </c>
      <c r="C291" s="1" t="n">
        <v>45968</v>
      </c>
      <c r="D291" t="inlineStr">
        <is>
          <t>DALARNAS LÄN</t>
        </is>
      </c>
      <c r="E291" t="inlineStr">
        <is>
          <t>LEKSAND</t>
        </is>
      </c>
      <c r="G291" t="n">
        <v>4</v>
      </c>
      <c r="H291" t="n">
        <v>0</v>
      </c>
      <c r="I291" t="n">
        <v>0</v>
      </c>
      <c r="J291" t="n">
        <v>0</v>
      </c>
      <c r="K291" t="n">
        <v>0</v>
      </c>
      <c r="L291" t="n">
        <v>0</v>
      </c>
      <c r="M291" t="n">
        <v>0</v>
      </c>
      <c r="N291" t="n">
        <v>0</v>
      </c>
      <c r="O291" t="n">
        <v>0</v>
      </c>
      <c r="P291" t="n">
        <v>0</v>
      </c>
      <c r="Q291" t="n">
        <v>0</v>
      </c>
      <c r="R291" s="2" t="inlineStr"/>
    </row>
    <row r="292" ht="15" customHeight="1">
      <c r="A292" t="inlineStr">
        <is>
          <t>A 29729-2025</t>
        </is>
      </c>
      <c r="B292" s="1" t="n">
        <v>45825.58077546296</v>
      </c>
      <c r="C292" s="1" t="n">
        <v>45968</v>
      </c>
      <c r="D292" t="inlineStr">
        <is>
          <t>DALARNAS LÄN</t>
        </is>
      </c>
      <c r="E292" t="inlineStr">
        <is>
          <t>LEKSAND</t>
        </is>
      </c>
      <c r="F292" t="inlineStr">
        <is>
          <t>Bergvik skog väst AB</t>
        </is>
      </c>
      <c r="G292" t="n">
        <v>4.3</v>
      </c>
      <c r="H292" t="n">
        <v>0</v>
      </c>
      <c r="I292" t="n">
        <v>0</v>
      </c>
      <c r="J292" t="n">
        <v>0</v>
      </c>
      <c r="K292" t="n">
        <v>0</v>
      </c>
      <c r="L292" t="n">
        <v>0</v>
      </c>
      <c r="M292" t="n">
        <v>0</v>
      </c>
      <c r="N292" t="n">
        <v>0</v>
      </c>
      <c r="O292" t="n">
        <v>0</v>
      </c>
      <c r="P292" t="n">
        <v>0</v>
      </c>
      <c r="Q292" t="n">
        <v>0</v>
      </c>
      <c r="R292" s="2" t="inlineStr"/>
    </row>
    <row r="293" ht="15" customHeight="1">
      <c r="A293" t="inlineStr">
        <is>
          <t>A 5847-2025</t>
        </is>
      </c>
      <c r="B293" s="1" t="n">
        <v>45695.30824074074</v>
      </c>
      <c r="C293" s="1" t="n">
        <v>45968</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30254-2025</t>
        </is>
      </c>
      <c r="B294" s="1" t="n">
        <v>45827.42336805556</v>
      </c>
      <c r="C294" s="1" t="n">
        <v>45968</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60878-2023</t>
        </is>
      </c>
      <c r="B295" s="1" t="n">
        <v>45259</v>
      </c>
      <c r="C295" s="1" t="n">
        <v>45968</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31850-2024</t>
        </is>
      </c>
      <c r="B296" s="1" t="n">
        <v>45509.67334490741</v>
      </c>
      <c r="C296" s="1" t="n">
        <v>45968</v>
      </c>
      <c r="D296" t="inlineStr">
        <is>
          <t>DALARNAS LÄN</t>
        </is>
      </c>
      <c r="E296" t="inlineStr">
        <is>
          <t>LEKSAND</t>
        </is>
      </c>
      <c r="G296" t="n">
        <v>0.5</v>
      </c>
      <c r="H296" t="n">
        <v>0</v>
      </c>
      <c r="I296" t="n">
        <v>0</v>
      </c>
      <c r="J296" t="n">
        <v>0</v>
      </c>
      <c r="K296" t="n">
        <v>0</v>
      </c>
      <c r="L296" t="n">
        <v>0</v>
      </c>
      <c r="M296" t="n">
        <v>0</v>
      </c>
      <c r="N296" t="n">
        <v>0</v>
      </c>
      <c r="O296" t="n">
        <v>0</v>
      </c>
      <c r="P296" t="n">
        <v>0</v>
      </c>
      <c r="Q296" t="n">
        <v>0</v>
      </c>
      <c r="R296" s="2" t="inlineStr"/>
    </row>
    <row r="297" ht="15" customHeight="1">
      <c r="A297" t="inlineStr">
        <is>
          <t>A 36262-2023</t>
        </is>
      </c>
      <c r="B297" s="1" t="n">
        <v>45151.9096875</v>
      </c>
      <c r="C297" s="1" t="n">
        <v>45968</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10367-2023</t>
        </is>
      </c>
      <c r="B298" s="1" t="n">
        <v>44987</v>
      </c>
      <c r="C298" s="1" t="n">
        <v>45968</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27244-2023</t>
        </is>
      </c>
      <c r="B299" s="1" t="n">
        <v>45096</v>
      </c>
      <c r="C299" s="1" t="n">
        <v>45968</v>
      </c>
      <c r="D299" t="inlineStr">
        <is>
          <t>DALARNAS LÄN</t>
        </is>
      </c>
      <c r="E299" t="inlineStr">
        <is>
          <t>LEKSAND</t>
        </is>
      </c>
      <c r="G299" t="n">
        <v>5</v>
      </c>
      <c r="H299" t="n">
        <v>0</v>
      </c>
      <c r="I299" t="n">
        <v>0</v>
      </c>
      <c r="J299" t="n">
        <v>0</v>
      </c>
      <c r="K299" t="n">
        <v>0</v>
      </c>
      <c r="L299" t="n">
        <v>0</v>
      </c>
      <c r="M299" t="n">
        <v>0</v>
      </c>
      <c r="N299" t="n">
        <v>0</v>
      </c>
      <c r="O299" t="n">
        <v>0</v>
      </c>
      <c r="P299" t="n">
        <v>0</v>
      </c>
      <c r="Q299" t="n">
        <v>0</v>
      </c>
      <c r="R299" s="2" t="inlineStr"/>
    </row>
    <row r="300" ht="15" customHeight="1">
      <c r="A300" t="inlineStr">
        <is>
          <t>A 3183-2025</t>
        </is>
      </c>
      <c r="B300" s="1" t="n">
        <v>45679.40298611111</v>
      </c>
      <c r="C300" s="1" t="n">
        <v>45968</v>
      </c>
      <c r="D300" t="inlineStr">
        <is>
          <t>DALARNAS LÄN</t>
        </is>
      </c>
      <c r="E300" t="inlineStr">
        <is>
          <t>LEKSAND</t>
        </is>
      </c>
      <c r="G300" t="n">
        <v>1</v>
      </c>
      <c r="H300" t="n">
        <v>0</v>
      </c>
      <c r="I300" t="n">
        <v>0</v>
      </c>
      <c r="J300" t="n">
        <v>0</v>
      </c>
      <c r="K300" t="n">
        <v>0</v>
      </c>
      <c r="L300" t="n">
        <v>0</v>
      </c>
      <c r="M300" t="n">
        <v>0</v>
      </c>
      <c r="N300" t="n">
        <v>0</v>
      </c>
      <c r="O300" t="n">
        <v>0</v>
      </c>
      <c r="P300" t="n">
        <v>0</v>
      </c>
      <c r="Q300" t="n">
        <v>0</v>
      </c>
      <c r="R300" s="2" t="inlineStr"/>
    </row>
    <row r="301" ht="15" customHeight="1">
      <c r="A301" t="inlineStr">
        <is>
          <t>A 16592-2023</t>
        </is>
      </c>
      <c r="B301" s="1" t="n">
        <v>45030</v>
      </c>
      <c r="C301" s="1" t="n">
        <v>45968</v>
      </c>
      <c r="D301" t="inlineStr">
        <is>
          <t>DALARNAS LÄN</t>
        </is>
      </c>
      <c r="E301" t="inlineStr">
        <is>
          <t>LEKSAND</t>
        </is>
      </c>
      <c r="G301" t="n">
        <v>11.5</v>
      </c>
      <c r="H301" t="n">
        <v>0</v>
      </c>
      <c r="I301" t="n">
        <v>0</v>
      </c>
      <c r="J301" t="n">
        <v>0</v>
      </c>
      <c r="K301" t="n">
        <v>0</v>
      </c>
      <c r="L301" t="n">
        <v>0</v>
      </c>
      <c r="M301" t="n">
        <v>0</v>
      </c>
      <c r="N301" t="n">
        <v>0</v>
      </c>
      <c r="O301" t="n">
        <v>0</v>
      </c>
      <c r="P301" t="n">
        <v>0</v>
      </c>
      <c r="Q301" t="n">
        <v>0</v>
      </c>
      <c r="R301" s="2" t="inlineStr"/>
    </row>
    <row r="302" ht="15" customHeight="1">
      <c r="A302" t="inlineStr">
        <is>
          <t>A 23896-2024</t>
        </is>
      </c>
      <c r="B302" s="1" t="n">
        <v>45455.6758449074</v>
      </c>
      <c r="C302" s="1" t="n">
        <v>45968</v>
      </c>
      <c r="D302" t="inlineStr">
        <is>
          <t>DALARNAS LÄN</t>
        </is>
      </c>
      <c r="E302" t="inlineStr">
        <is>
          <t>LEKSAND</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12290-2024</t>
        </is>
      </c>
      <c r="B303" s="1" t="n">
        <v>45378.57877314815</v>
      </c>
      <c r="C303" s="1" t="n">
        <v>45968</v>
      </c>
      <c r="D303" t="inlineStr">
        <is>
          <t>DALARNAS LÄN</t>
        </is>
      </c>
      <c r="E303" t="inlineStr">
        <is>
          <t>LEKSAND</t>
        </is>
      </c>
      <c r="G303" t="n">
        <v>2.5</v>
      </c>
      <c r="H303" t="n">
        <v>0</v>
      </c>
      <c r="I303" t="n">
        <v>0</v>
      </c>
      <c r="J303" t="n">
        <v>0</v>
      </c>
      <c r="K303" t="n">
        <v>0</v>
      </c>
      <c r="L303" t="n">
        <v>0</v>
      </c>
      <c r="M303" t="n">
        <v>0</v>
      </c>
      <c r="N303" t="n">
        <v>0</v>
      </c>
      <c r="O303" t="n">
        <v>0</v>
      </c>
      <c r="P303" t="n">
        <v>0</v>
      </c>
      <c r="Q303" t="n">
        <v>0</v>
      </c>
      <c r="R303" s="2" t="inlineStr"/>
    </row>
    <row r="304" ht="15" customHeight="1">
      <c r="A304" t="inlineStr">
        <is>
          <t>A 30863-2024</t>
        </is>
      </c>
      <c r="B304" s="1" t="n">
        <v>45497.71074074074</v>
      </c>
      <c r="C304" s="1" t="n">
        <v>45968</v>
      </c>
      <c r="D304" t="inlineStr">
        <is>
          <t>DALARNAS LÄN</t>
        </is>
      </c>
      <c r="E304" t="inlineStr">
        <is>
          <t>LEKSAND</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24481-2024</t>
        </is>
      </c>
      <c r="B305" s="1" t="n">
        <v>45459.36460648148</v>
      </c>
      <c r="C305" s="1" t="n">
        <v>45968</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17606-2024</t>
        </is>
      </c>
      <c r="B306" s="1" t="n">
        <v>45415</v>
      </c>
      <c r="C306" s="1" t="n">
        <v>45968</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39819-2024</t>
        </is>
      </c>
      <c r="B307" s="1" t="n">
        <v>45553.38774305556</v>
      </c>
      <c r="C307" s="1" t="n">
        <v>45968</v>
      </c>
      <c r="D307" t="inlineStr">
        <is>
          <t>DALARNAS LÄN</t>
        </is>
      </c>
      <c r="E307" t="inlineStr">
        <is>
          <t>LEKSAND</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30920-2025</t>
        </is>
      </c>
      <c r="B308" s="1" t="n">
        <v>45832.38484953704</v>
      </c>
      <c r="C308" s="1" t="n">
        <v>45968</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30969-2025</t>
        </is>
      </c>
      <c r="B309" s="1" t="n">
        <v>45832.45914351852</v>
      </c>
      <c r="C309" s="1" t="n">
        <v>45968</v>
      </c>
      <c r="D309" t="inlineStr">
        <is>
          <t>DALARNAS LÄN</t>
        </is>
      </c>
      <c r="E309" t="inlineStr">
        <is>
          <t>LEKSAND</t>
        </is>
      </c>
      <c r="F309" t="inlineStr">
        <is>
          <t>Bergvik skog väst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30917-2025</t>
        </is>
      </c>
      <c r="B310" s="1" t="n">
        <v>45832.37989583334</v>
      </c>
      <c r="C310" s="1" t="n">
        <v>45968</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31619-2025</t>
        </is>
      </c>
      <c r="B311" s="1" t="n">
        <v>45833</v>
      </c>
      <c r="C311" s="1" t="n">
        <v>45968</v>
      </c>
      <c r="D311" t="inlineStr">
        <is>
          <t>DALARNAS LÄN</t>
        </is>
      </c>
      <c r="E311" t="inlineStr">
        <is>
          <t>LEKSAND</t>
        </is>
      </c>
      <c r="G311" t="n">
        <v>2.5</v>
      </c>
      <c r="H311" t="n">
        <v>0</v>
      </c>
      <c r="I311" t="n">
        <v>0</v>
      </c>
      <c r="J311" t="n">
        <v>0</v>
      </c>
      <c r="K311" t="n">
        <v>0</v>
      </c>
      <c r="L311" t="n">
        <v>0</v>
      </c>
      <c r="M311" t="n">
        <v>0</v>
      </c>
      <c r="N311" t="n">
        <v>0</v>
      </c>
      <c r="O311" t="n">
        <v>0</v>
      </c>
      <c r="P311" t="n">
        <v>0</v>
      </c>
      <c r="Q311" t="n">
        <v>0</v>
      </c>
      <c r="R311" s="2" t="inlineStr"/>
    </row>
    <row r="312" ht="15" customHeight="1">
      <c r="A312" t="inlineStr">
        <is>
          <t>A 58495-2023</t>
        </is>
      </c>
      <c r="B312" s="1" t="n">
        <v>45251</v>
      </c>
      <c r="C312" s="1" t="n">
        <v>45968</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30916-2025</t>
        </is>
      </c>
      <c r="B313" s="1" t="n">
        <v>45832.37885416667</v>
      </c>
      <c r="C313" s="1" t="n">
        <v>45968</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31446-2025</t>
        </is>
      </c>
      <c r="B314" s="1" t="n">
        <v>45833</v>
      </c>
      <c r="C314" s="1" t="n">
        <v>45968</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30911-2025</t>
        </is>
      </c>
      <c r="B315" s="1" t="n">
        <v>45832.37547453704</v>
      </c>
      <c r="C315" s="1" t="n">
        <v>45968</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36450-2023</t>
        </is>
      </c>
      <c r="B316" s="1" t="n">
        <v>45152.64842592592</v>
      </c>
      <c r="C316" s="1" t="n">
        <v>45968</v>
      </c>
      <c r="D316" t="inlineStr">
        <is>
          <t>DALARNAS LÄN</t>
        </is>
      </c>
      <c r="E316" t="inlineStr">
        <is>
          <t>LEKSAND</t>
        </is>
      </c>
      <c r="G316" t="n">
        <v>2.4</v>
      </c>
      <c r="H316" t="n">
        <v>0</v>
      </c>
      <c r="I316" t="n">
        <v>0</v>
      </c>
      <c r="J316" t="n">
        <v>0</v>
      </c>
      <c r="K316" t="n">
        <v>0</v>
      </c>
      <c r="L316" t="n">
        <v>0</v>
      </c>
      <c r="M316" t="n">
        <v>0</v>
      </c>
      <c r="N316" t="n">
        <v>0</v>
      </c>
      <c r="O316" t="n">
        <v>0</v>
      </c>
      <c r="P316" t="n">
        <v>0</v>
      </c>
      <c r="Q316" t="n">
        <v>0</v>
      </c>
      <c r="R316" s="2" t="inlineStr"/>
    </row>
    <row r="317" ht="15" customHeight="1">
      <c r="A317" t="inlineStr">
        <is>
          <t>A 19559-2023</t>
        </is>
      </c>
      <c r="B317" s="1" t="n">
        <v>45050</v>
      </c>
      <c r="C317" s="1" t="n">
        <v>45968</v>
      </c>
      <c r="D317" t="inlineStr">
        <is>
          <t>DALARNAS LÄN</t>
        </is>
      </c>
      <c r="E317" t="inlineStr">
        <is>
          <t>LEKSAND</t>
        </is>
      </c>
      <c r="G317" t="n">
        <v>0.1</v>
      </c>
      <c r="H317" t="n">
        <v>0</v>
      </c>
      <c r="I317" t="n">
        <v>0</v>
      </c>
      <c r="J317" t="n">
        <v>0</v>
      </c>
      <c r="K317" t="n">
        <v>0</v>
      </c>
      <c r="L317" t="n">
        <v>0</v>
      </c>
      <c r="M317" t="n">
        <v>0</v>
      </c>
      <c r="N317" t="n">
        <v>0</v>
      </c>
      <c r="O317" t="n">
        <v>0</v>
      </c>
      <c r="P317" t="n">
        <v>0</v>
      </c>
      <c r="Q317" t="n">
        <v>0</v>
      </c>
      <c r="R317" s="2" t="inlineStr"/>
    </row>
    <row r="318" ht="15" customHeight="1">
      <c r="A318" t="inlineStr">
        <is>
          <t>A 31179-2025</t>
        </is>
      </c>
      <c r="B318" s="1" t="n">
        <v>45832.67648148148</v>
      </c>
      <c r="C318" s="1" t="n">
        <v>45968</v>
      </c>
      <c r="D318" t="inlineStr">
        <is>
          <t>DALARNAS LÄN</t>
        </is>
      </c>
      <c r="E318" t="inlineStr">
        <is>
          <t>LEKSAND</t>
        </is>
      </c>
      <c r="G318" t="n">
        <v>4.7</v>
      </c>
      <c r="H318" t="n">
        <v>0</v>
      </c>
      <c r="I318" t="n">
        <v>0</v>
      </c>
      <c r="J318" t="n">
        <v>0</v>
      </c>
      <c r="K318" t="n">
        <v>0</v>
      </c>
      <c r="L318" t="n">
        <v>0</v>
      </c>
      <c r="M318" t="n">
        <v>0</v>
      </c>
      <c r="N318" t="n">
        <v>0</v>
      </c>
      <c r="O318" t="n">
        <v>0</v>
      </c>
      <c r="P318" t="n">
        <v>0</v>
      </c>
      <c r="Q318" t="n">
        <v>0</v>
      </c>
      <c r="R318" s="2" t="inlineStr"/>
    </row>
    <row r="319" ht="15" customHeight="1">
      <c r="A319" t="inlineStr">
        <is>
          <t>A 31189-2025</t>
        </is>
      </c>
      <c r="B319" s="1" t="n">
        <v>45832.6799537037</v>
      </c>
      <c r="C319" s="1" t="n">
        <v>45968</v>
      </c>
      <c r="D319" t="inlineStr">
        <is>
          <t>DALARNAS LÄN</t>
        </is>
      </c>
      <c r="E319" t="inlineStr">
        <is>
          <t>LEKSAND</t>
        </is>
      </c>
      <c r="G319" t="n">
        <v>5</v>
      </c>
      <c r="H319" t="n">
        <v>0</v>
      </c>
      <c r="I319" t="n">
        <v>0</v>
      </c>
      <c r="J319" t="n">
        <v>0</v>
      </c>
      <c r="K319" t="n">
        <v>0</v>
      </c>
      <c r="L319" t="n">
        <v>0</v>
      </c>
      <c r="M319" t="n">
        <v>0</v>
      </c>
      <c r="N319" t="n">
        <v>0</v>
      </c>
      <c r="O319" t="n">
        <v>0</v>
      </c>
      <c r="P319" t="n">
        <v>0</v>
      </c>
      <c r="Q319" t="n">
        <v>0</v>
      </c>
      <c r="R319" s="2" t="inlineStr"/>
    </row>
    <row r="320" ht="15" customHeight="1">
      <c r="A320" t="inlineStr">
        <is>
          <t>A 30973-2025</t>
        </is>
      </c>
      <c r="B320" s="1" t="n">
        <v>45832.46300925926</v>
      </c>
      <c r="C320" s="1" t="n">
        <v>45968</v>
      </c>
      <c r="D320" t="inlineStr">
        <is>
          <t>DALARNAS LÄN</t>
        </is>
      </c>
      <c r="E320" t="inlineStr">
        <is>
          <t>LEKSAND</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48721-2023</t>
        </is>
      </c>
      <c r="B321" s="1" t="n">
        <v>45203</v>
      </c>
      <c r="C321" s="1" t="n">
        <v>45968</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43142-2024</t>
        </is>
      </c>
      <c r="B322" s="1" t="n">
        <v>45567.62144675926</v>
      </c>
      <c r="C322" s="1" t="n">
        <v>45968</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1984-2025</t>
        </is>
      </c>
      <c r="B323" s="1" t="n">
        <v>45670</v>
      </c>
      <c r="C323" s="1" t="n">
        <v>45968</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1443-2024</t>
        </is>
      </c>
      <c r="B324" s="1" t="n">
        <v>45303</v>
      </c>
      <c r="C324" s="1" t="n">
        <v>45968</v>
      </c>
      <c r="D324" t="inlineStr">
        <is>
          <t>DALARNAS LÄN</t>
        </is>
      </c>
      <c r="E324" t="inlineStr">
        <is>
          <t>LEKSAND</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31493-2025</t>
        </is>
      </c>
      <c r="B325" s="1" t="n">
        <v>45833</v>
      </c>
      <c r="C325" s="1" t="n">
        <v>45968</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1519-2024</t>
        </is>
      </c>
      <c r="B326" s="1" t="n">
        <v>45306</v>
      </c>
      <c r="C326" s="1" t="n">
        <v>45968</v>
      </c>
      <c r="D326" t="inlineStr">
        <is>
          <t>DALARNAS LÄN</t>
        </is>
      </c>
      <c r="E326" t="inlineStr">
        <is>
          <t>LEKSAND</t>
        </is>
      </c>
      <c r="G326" t="n">
        <v>3.3</v>
      </c>
      <c r="H326" t="n">
        <v>0</v>
      </c>
      <c r="I326" t="n">
        <v>0</v>
      </c>
      <c r="J326" t="n">
        <v>0</v>
      </c>
      <c r="K326" t="n">
        <v>0</v>
      </c>
      <c r="L326" t="n">
        <v>0</v>
      </c>
      <c r="M326" t="n">
        <v>0</v>
      </c>
      <c r="N326" t="n">
        <v>0</v>
      </c>
      <c r="O326" t="n">
        <v>0</v>
      </c>
      <c r="P326" t="n">
        <v>0</v>
      </c>
      <c r="Q326" t="n">
        <v>0</v>
      </c>
      <c r="R326" s="2" t="inlineStr"/>
    </row>
    <row r="327" ht="15" customHeight="1">
      <c r="A327" t="inlineStr">
        <is>
          <t>A 31945-2025</t>
        </is>
      </c>
      <c r="B327" s="1" t="n">
        <v>45835</v>
      </c>
      <c r="C327" s="1" t="n">
        <v>45968</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24142-2021</t>
        </is>
      </c>
      <c r="B328" s="1" t="n">
        <v>44336</v>
      </c>
      <c r="C328" s="1" t="n">
        <v>45968</v>
      </c>
      <c r="D328" t="inlineStr">
        <is>
          <t>DALARNAS LÄN</t>
        </is>
      </c>
      <c r="E328" t="inlineStr">
        <is>
          <t>LEKSAND</t>
        </is>
      </c>
      <c r="F328" t="inlineStr">
        <is>
          <t>Bergvik skog väst AB</t>
        </is>
      </c>
      <c r="G328" t="n">
        <v>18.9</v>
      </c>
      <c r="H328" t="n">
        <v>0</v>
      </c>
      <c r="I328" t="n">
        <v>0</v>
      </c>
      <c r="J328" t="n">
        <v>0</v>
      </c>
      <c r="K328" t="n">
        <v>0</v>
      </c>
      <c r="L328" t="n">
        <v>0</v>
      </c>
      <c r="M328" t="n">
        <v>0</v>
      </c>
      <c r="N328" t="n">
        <v>0</v>
      </c>
      <c r="O328" t="n">
        <v>0</v>
      </c>
      <c r="P328" t="n">
        <v>0</v>
      </c>
      <c r="Q328" t="n">
        <v>0</v>
      </c>
      <c r="R328" s="2" t="inlineStr"/>
    </row>
    <row r="329" ht="15" customHeight="1">
      <c r="A329" t="inlineStr">
        <is>
          <t>A 32104-2025</t>
        </is>
      </c>
      <c r="B329" s="1" t="n">
        <v>45835</v>
      </c>
      <c r="C329" s="1" t="n">
        <v>45968</v>
      </c>
      <c r="D329" t="inlineStr">
        <is>
          <t>DALARNAS LÄN</t>
        </is>
      </c>
      <c r="E329" t="inlineStr">
        <is>
          <t>LEKSAND</t>
        </is>
      </c>
      <c r="G329" t="n">
        <v>3.1</v>
      </c>
      <c r="H329" t="n">
        <v>0</v>
      </c>
      <c r="I329" t="n">
        <v>0</v>
      </c>
      <c r="J329" t="n">
        <v>0</v>
      </c>
      <c r="K329" t="n">
        <v>0</v>
      </c>
      <c r="L329" t="n">
        <v>0</v>
      </c>
      <c r="M329" t="n">
        <v>0</v>
      </c>
      <c r="N329" t="n">
        <v>0</v>
      </c>
      <c r="O329" t="n">
        <v>0</v>
      </c>
      <c r="P329" t="n">
        <v>0</v>
      </c>
      <c r="Q329" t="n">
        <v>0</v>
      </c>
      <c r="R329" s="2" t="inlineStr"/>
    </row>
    <row r="330" ht="15" customHeight="1">
      <c r="A330" t="inlineStr">
        <is>
          <t>A 2694-2025</t>
        </is>
      </c>
      <c r="B330" s="1" t="n">
        <v>45677.38246527778</v>
      </c>
      <c r="C330" s="1" t="n">
        <v>45968</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28892-2022</t>
        </is>
      </c>
      <c r="B331" s="1" t="n">
        <v>44749</v>
      </c>
      <c r="C331" s="1" t="n">
        <v>45968</v>
      </c>
      <c r="D331" t="inlineStr">
        <is>
          <t>DALARNAS LÄN</t>
        </is>
      </c>
      <c r="E331" t="inlineStr">
        <is>
          <t>LEKSAND</t>
        </is>
      </c>
      <c r="F331" t="inlineStr">
        <is>
          <t>Bergvik skog väst AB</t>
        </is>
      </c>
      <c r="G331" t="n">
        <v>9.1</v>
      </c>
      <c r="H331" t="n">
        <v>0</v>
      </c>
      <c r="I331" t="n">
        <v>0</v>
      </c>
      <c r="J331" t="n">
        <v>0</v>
      </c>
      <c r="K331" t="n">
        <v>0</v>
      </c>
      <c r="L331" t="n">
        <v>0</v>
      </c>
      <c r="M331" t="n">
        <v>0</v>
      </c>
      <c r="N331" t="n">
        <v>0</v>
      </c>
      <c r="O331" t="n">
        <v>0</v>
      </c>
      <c r="P331" t="n">
        <v>0</v>
      </c>
      <c r="Q331" t="n">
        <v>0</v>
      </c>
      <c r="R331" s="2" t="inlineStr"/>
    </row>
    <row r="332" ht="15" customHeight="1">
      <c r="A332" t="inlineStr">
        <is>
          <t>A 27446-2024</t>
        </is>
      </c>
      <c r="B332" s="1" t="n">
        <v>45474.42671296297</v>
      </c>
      <c r="C332" s="1" t="n">
        <v>45968</v>
      </c>
      <c r="D332" t="inlineStr">
        <is>
          <t>DALARNAS LÄN</t>
        </is>
      </c>
      <c r="E332" t="inlineStr">
        <is>
          <t>LEKSAND</t>
        </is>
      </c>
      <c r="G332" t="n">
        <v>2.9</v>
      </c>
      <c r="H332" t="n">
        <v>0</v>
      </c>
      <c r="I332" t="n">
        <v>0</v>
      </c>
      <c r="J332" t="n">
        <v>0</v>
      </c>
      <c r="K332" t="n">
        <v>0</v>
      </c>
      <c r="L332" t="n">
        <v>0</v>
      </c>
      <c r="M332" t="n">
        <v>0</v>
      </c>
      <c r="N332" t="n">
        <v>0</v>
      </c>
      <c r="O332" t="n">
        <v>0</v>
      </c>
      <c r="P332" t="n">
        <v>0</v>
      </c>
      <c r="Q332" t="n">
        <v>0</v>
      </c>
      <c r="R332" s="2" t="inlineStr"/>
    </row>
    <row r="333" ht="15" customHeight="1">
      <c r="A333" t="inlineStr">
        <is>
          <t>A 31787-2025</t>
        </is>
      </c>
      <c r="B333" s="1" t="n">
        <v>45834</v>
      </c>
      <c r="C333" s="1" t="n">
        <v>45968</v>
      </c>
      <c r="D333" t="inlineStr">
        <is>
          <t>DALARNAS LÄN</t>
        </is>
      </c>
      <c r="E333" t="inlineStr">
        <is>
          <t>LEKSAND</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53817-2023</t>
        </is>
      </c>
      <c r="B334" s="1" t="n">
        <v>45231.40488425926</v>
      </c>
      <c r="C334" s="1" t="n">
        <v>45968</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32301-2025</t>
        </is>
      </c>
      <c r="B335" s="1" t="n">
        <v>45835</v>
      </c>
      <c r="C335" s="1" t="n">
        <v>45968</v>
      </c>
      <c r="D335" t="inlineStr">
        <is>
          <t>DALARNAS LÄN</t>
        </is>
      </c>
      <c r="E335" t="inlineStr">
        <is>
          <t>LEKSAND</t>
        </is>
      </c>
      <c r="G335" t="n">
        <v>2.2</v>
      </c>
      <c r="H335" t="n">
        <v>0</v>
      </c>
      <c r="I335" t="n">
        <v>0</v>
      </c>
      <c r="J335" t="n">
        <v>0</v>
      </c>
      <c r="K335" t="n">
        <v>0</v>
      </c>
      <c r="L335" t="n">
        <v>0</v>
      </c>
      <c r="M335" t="n">
        <v>0</v>
      </c>
      <c r="N335" t="n">
        <v>0</v>
      </c>
      <c r="O335" t="n">
        <v>0</v>
      </c>
      <c r="P335" t="n">
        <v>0</v>
      </c>
      <c r="Q335" t="n">
        <v>0</v>
      </c>
      <c r="R335" s="2" t="inlineStr"/>
    </row>
    <row r="336" ht="15" customHeight="1">
      <c r="A336" t="inlineStr">
        <is>
          <t>A 33593-2024</t>
        </is>
      </c>
      <c r="B336" s="1" t="n">
        <v>45520.36055555556</v>
      </c>
      <c r="C336" s="1" t="n">
        <v>45968</v>
      </c>
      <c r="D336" t="inlineStr">
        <is>
          <t>DALARNAS LÄN</t>
        </is>
      </c>
      <c r="E336" t="inlineStr">
        <is>
          <t>LEKSAND</t>
        </is>
      </c>
      <c r="G336" t="n">
        <v>0.3</v>
      </c>
      <c r="H336" t="n">
        <v>0</v>
      </c>
      <c r="I336" t="n">
        <v>0</v>
      </c>
      <c r="J336" t="n">
        <v>0</v>
      </c>
      <c r="K336" t="n">
        <v>0</v>
      </c>
      <c r="L336" t="n">
        <v>0</v>
      </c>
      <c r="M336" t="n">
        <v>0</v>
      </c>
      <c r="N336" t="n">
        <v>0</v>
      </c>
      <c r="O336" t="n">
        <v>0</v>
      </c>
      <c r="P336" t="n">
        <v>0</v>
      </c>
      <c r="Q336" t="n">
        <v>0</v>
      </c>
      <c r="R336" s="2" t="inlineStr"/>
    </row>
    <row r="337" ht="15" customHeight="1">
      <c r="A337" t="inlineStr">
        <is>
          <t>A 7778-2025</t>
        </is>
      </c>
      <c r="B337" s="1" t="n">
        <v>45706</v>
      </c>
      <c r="C337" s="1" t="n">
        <v>45968</v>
      </c>
      <c r="D337" t="inlineStr">
        <is>
          <t>DALARNAS LÄN</t>
        </is>
      </c>
      <c r="E337" t="inlineStr">
        <is>
          <t>LEKSAND</t>
        </is>
      </c>
      <c r="G337" t="n">
        <v>2.2</v>
      </c>
      <c r="H337" t="n">
        <v>0</v>
      </c>
      <c r="I337" t="n">
        <v>0</v>
      </c>
      <c r="J337" t="n">
        <v>0</v>
      </c>
      <c r="K337" t="n">
        <v>0</v>
      </c>
      <c r="L337" t="n">
        <v>0</v>
      </c>
      <c r="M337" t="n">
        <v>0</v>
      </c>
      <c r="N337" t="n">
        <v>0</v>
      </c>
      <c r="O337" t="n">
        <v>0</v>
      </c>
      <c r="P337" t="n">
        <v>0</v>
      </c>
      <c r="Q337" t="n">
        <v>0</v>
      </c>
      <c r="R337" s="2" t="inlineStr"/>
    </row>
    <row r="338" ht="15" customHeight="1">
      <c r="A338" t="inlineStr">
        <is>
          <t>A 62993-2023</t>
        </is>
      </c>
      <c r="B338" s="1" t="n">
        <v>45272</v>
      </c>
      <c r="C338" s="1" t="n">
        <v>45968</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14865-2025</t>
        </is>
      </c>
      <c r="B339" s="1" t="n">
        <v>45743.43929398148</v>
      </c>
      <c r="C339" s="1" t="n">
        <v>45968</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32653-2025</t>
        </is>
      </c>
      <c r="B340" s="1" t="n">
        <v>45838</v>
      </c>
      <c r="C340" s="1" t="n">
        <v>45968</v>
      </c>
      <c r="D340" t="inlineStr">
        <is>
          <t>DALARNAS LÄN</t>
        </is>
      </c>
      <c r="E340" t="inlineStr">
        <is>
          <t>LEKSAND</t>
        </is>
      </c>
      <c r="G340" t="n">
        <v>5.6</v>
      </c>
      <c r="H340" t="n">
        <v>0</v>
      </c>
      <c r="I340" t="n">
        <v>0</v>
      </c>
      <c r="J340" t="n">
        <v>0</v>
      </c>
      <c r="K340" t="n">
        <v>0</v>
      </c>
      <c r="L340" t="n">
        <v>0</v>
      </c>
      <c r="M340" t="n">
        <v>0</v>
      </c>
      <c r="N340" t="n">
        <v>0</v>
      </c>
      <c r="O340" t="n">
        <v>0</v>
      </c>
      <c r="P340" t="n">
        <v>0</v>
      </c>
      <c r="Q340" t="n">
        <v>0</v>
      </c>
      <c r="R340" s="2" t="inlineStr"/>
    </row>
    <row r="341" ht="15" customHeight="1">
      <c r="A341" t="inlineStr">
        <is>
          <t>A 28032-2024</t>
        </is>
      </c>
      <c r="B341" s="1" t="n">
        <v>45476.49346064815</v>
      </c>
      <c r="C341" s="1" t="n">
        <v>45968</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32855-2025</t>
        </is>
      </c>
      <c r="B342" s="1" t="n">
        <v>45839.57643518518</v>
      </c>
      <c r="C342" s="1" t="n">
        <v>45968</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32661-2025</t>
        </is>
      </c>
      <c r="B343" s="1" t="n">
        <v>45838.67953703704</v>
      </c>
      <c r="C343" s="1" t="n">
        <v>45968</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12857-2023</t>
        </is>
      </c>
      <c r="B344" s="1" t="n">
        <v>45001.5000462963</v>
      </c>
      <c r="C344" s="1" t="n">
        <v>45968</v>
      </c>
      <c r="D344" t="inlineStr">
        <is>
          <t>DALARNAS LÄN</t>
        </is>
      </c>
      <c r="E344" t="inlineStr">
        <is>
          <t>LEKSAND</t>
        </is>
      </c>
      <c r="G344" t="n">
        <v>0.2</v>
      </c>
      <c r="H344" t="n">
        <v>0</v>
      </c>
      <c r="I344" t="n">
        <v>0</v>
      </c>
      <c r="J344" t="n">
        <v>0</v>
      </c>
      <c r="K344" t="n">
        <v>0</v>
      </c>
      <c r="L344" t="n">
        <v>0</v>
      </c>
      <c r="M344" t="n">
        <v>0</v>
      </c>
      <c r="N344" t="n">
        <v>0</v>
      </c>
      <c r="O344" t="n">
        <v>0</v>
      </c>
      <c r="P344" t="n">
        <v>0</v>
      </c>
      <c r="Q344" t="n">
        <v>0</v>
      </c>
      <c r="R344" s="2" t="inlineStr"/>
    </row>
    <row r="345" ht="15" customHeight="1">
      <c r="A345" t="inlineStr">
        <is>
          <t>A 32072-2024</t>
        </is>
      </c>
      <c r="B345" s="1" t="n">
        <v>45510.98405092592</v>
      </c>
      <c r="C345" s="1" t="n">
        <v>45968</v>
      </c>
      <c r="D345" t="inlineStr">
        <is>
          <t>DALARNAS LÄN</t>
        </is>
      </c>
      <c r="E345" t="inlineStr">
        <is>
          <t>LEKSAND</t>
        </is>
      </c>
      <c r="G345" t="n">
        <v>1.4</v>
      </c>
      <c r="H345" t="n">
        <v>0</v>
      </c>
      <c r="I345" t="n">
        <v>0</v>
      </c>
      <c r="J345" t="n">
        <v>0</v>
      </c>
      <c r="K345" t="n">
        <v>0</v>
      </c>
      <c r="L345" t="n">
        <v>0</v>
      </c>
      <c r="M345" t="n">
        <v>0</v>
      </c>
      <c r="N345" t="n">
        <v>0</v>
      </c>
      <c r="O345" t="n">
        <v>0</v>
      </c>
      <c r="P345" t="n">
        <v>0</v>
      </c>
      <c r="Q345" t="n">
        <v>0</v>
      </c>
      <c r="R345" s="2" t="inlineStr"/>
    </row>
    <row r="346" ht="15" customHeight="1">
      <c r="A346" t="inlineStr">
        <is>
          <t>A 17455-2022</t>
        </is>
      </c>
      <c r="B346" s="1" t="n">
        <v>44679.3775</v>
      </c>
      <c r="C346" s="1" t="n">
        <v>45968</v>
      </c>
      <c r="D346" t="inlineStr">
        <is>
          <t>DALARNAS LÄN</t>
        </is>
      </c>
      <c r="E346" t="inlineStr">
        <is>
          <t>LEKSAND</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32593-2025</t>
        </is>
      </c>
      <c r="B347" s="1" t="n">
        <v>45838</v>
      </c>
      <c r="C347" s="1" t="n">
        <v>45968</v>
      </c>
      <c r="D347" t="inlineStr">
        <is>
          <t>DALARNAS LÄN</t>
        </is>
      </c>
      <c r="E347" t="inlineStr">
        <is>
          <t>LEKSAND</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56299-2024</t>
        </is>
      </c>
      <c r="B348" s="1" t="n">
        <v>45624.68607638889</v>
      </c>
      <c r="C348" s="1" t="n">
        <v>45968</v>
      </c>
      <c r="D348" t="inlineStr">
        <is>
          <t>DALARNAS LÄN</t>
        </is>
      </c>
      <c r="E348" t="inlineStr">
        <is>
          <t>LEKSAND</t>
        </is>
      </c>
      <c r="G348" t="n">
        <v>1.6</v>
      </c>
      <c r="H348" t="n">
        <v>0</v>
      </c>
      <c r="I348" t="n">
        <v>0</v>
      </c>
      <c r="J348" t="n">
        <v>0</v>
      </c>
      <c r="K348" t="n">
        <v>0</v>
      </c>
      <c r="L348" t="n">
        <v>0</v>
      </c>
      <c r="M348" t="n">
        <v>0</v>
      </c>
      <c r="N348" t="n">
        <v>0</v>
      </c>
      <c r="O348" t="n">
        <v>0</v>
      </c>
      <c r="P348" t="n">
        <v>0</v>
      </c>
      <c r="Q348" t="n">
        <v>0</v>
      </c>
      <c r="R348" s="2" t="inlineStr"/>
    </row>
    <row r="349" ht="15" customHeight="1">
      <c r="A349" t="inlineStr">
        <is>
          <t>A 17483-2025</t>
        </is>
      </c>
      <c r="B349" s="1" t="n">
        <v>45757.49408564815</v>
      </c>
      <c r="C349" s="1" t="n">
        <v>45968</v>
      </c>
      <c r="D349" t="inlineStr">
        <is>
          <t>DALARNAS LÄN</t>
        </is>
      </c>
      <c r="E349" t="inlineStr">
        <is>
          <t>LEKSAND</t>
        </is>
      </c>
      <c r="G349" t="n">
        <v>4.1</v>
      </c>
      <c r="H349" t="n">
        <v>0</v>
      </c>
      <c r="I349" t="n">
        <v>0</v>
      </c>
      <c r="J349" t="n">
        <v>0</v>
      </c>
      <c r="K349" t="n">
        <v>0</v>
      </c>
      <c r="L349" t="n">
        <v>0</v>
      </c>
      <c r="M349" t="n">
        <v>0</v>
      </c>
      <c r="N349" t="n">
        <v>0</v>
      </c>
      <c r="O349" t="n">
        <v>0</v>
      </c>
      <c r="P349" t="n">
        <v>0</v>
      </c>
      <c r="Q349" t="n">
        <v>0</v>
      </c>
      <c r="R349" s="2" t="inlineStr"/>
    </row>
    <row r="350" ht="15" customHeight="1">
      <c r="A350" t="inlineStr">
        <is>
          <t>A 18837-2023</t>
        </is>
      </c>
      <c r="B350" s="1" t="n">
        <v>45044.42940972222</v>
      </c>
      <c r="C350" s="1" t="n">
        <v>45968</v>
      </c>
      <c r="D350" t="inlineStr">
        <is>
          <t>DALARNAS LÄN</t>
        </is>
      </c>
      <c r="E350" t="inlineStr">
        <is>
          <t>LEKSAND</t>
        </is>
      </c>
      <c r="G350" t="n">
        <v>1.5</v>
      </c>
      <c r="H350" t="n">
        <v>0</v>
      </c>
      <c r="I350" t="n">
        <v>0</v>
      </c>
      <c r="J350" t="n">
        <v>0</v>
      </c>
      <c r="K350" t="n">
        <v>0</v>
      </c>
      <c r="L350" t="n">
        <v>0</v>
      </c>
      <c r="M350" t="n">
        <v>0</v>
      </c>
      <c r="N350" t="n">
        <v>0</v>
      </c>
      <c r="O350" t="n">
        <v>0</v>
      </c>
      <c r="P350" t="n">
        <v>0</v>
      </c>
      <c r="Q350" t="n">
        <v>0</v>
      </c>
      <c r="R350" s="2" t="inlineStr"/>
    </row>
    <row r="351" ht="15" customHeight="1">
      <c r="A351" t="inlineStr">
        <is>
          <t>A 32726-2025</t>
        </is>
      </c>
      <c r="B351" s="1" t="n">
        <v>45839.3969212963</v>
      </c>
      <c r="C351" s="1" t="n">
        <v>45968</v>
      </c>
      <c r="D351" t="inlineStr">
        <is>
          <t>DALARNAS LÄN</t>
        </is>
      </c>
      <c r="E351" t="inlineStr">
        <is>
          <t>LEKSAND</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45968</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1215-2024</t>
        </is>
      </c>
      <c r="B353" s="1" t="n">
        <v>45302</v>
      </c>
      <c r="C353" s="1" t="n">
        <v>45968</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33160-2025</t>
        </is>
      </c>
      <c r="B354" s="1" t="n">
        <v>45840</v>
      </c>
      <c r="C354" s="1" t="n">
        <v>45968</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61502-2023</t>
        </is>
      </c>
      <c r="B355" s="1" t="n">
        <v>45264</v>
      </c>
      <c r="C355" s="1" t="n">
        <v>45968</v>
      </c>
      <c r="D355" t="inlineStr">
        <is>
          <t>DALARNAS LÄN</t>
        </is>
      </c>
      <c r="E355" t="inlineStr">
        <is>
          <t>LEKSAND</t>
        </is>
      </c>
      <c r="G355" t="n">
        <v>5.2</v>
      </c>
      <c r="H355" t="n">
        <v>0</v>
      </c>
      <c r="I355" t="n">
        <v>0</v>
      </c>
      <c r="J355" t="n">
        <v>0</v>
      </c>
      <c r="K355" t="n">
        <v>0</v>
      </c>
      <c r="L355" t="n">
        <v>0</v>
      </c>
      <c r="M355" t="n">
        <v>0</v>
      </c>
      <c r="N355" t="n">
        <v>0</v>
      </c>
      <c r="O355" t="n">
        <v>0</v>
      </c>
      <c r="P355" t="n">
        <v>0</v>
      </c>
      <c r="Q355" t="n">
        <v>0</v>
      </c>
      <c r="R355" s="2" t="inlineStr"/>
    </row>
    <row r="356" ht="15" customHeight="1">
      <c r="A356" t="inlineStr">
        <is>
          <t>A 60040-2023</t>
        </is>
      </c>
      <c r="B356" s="1" t="n">
        <v>45256</v>
      </c>
      <c r="C356" s="1" t="n">
        <v>45968</v>
      </c>
      <c r="D356" t="inlineStr">
        <is>
          <t>DALARNAS LÄN</t>
        </is>
      </c>
      <c r="E356" t="inlineStr">
        <is>
          <t>LEKSAND</t>
        </is>
      </c>
      <c r="G356" t="n">
        <v>0.9</v>
      </c>
      <c r="H356" t="n">
        <v>0</v>
      </c>
      <c r="I356" t="n">
        <v>0</v>
      </c>
      <c r="J356" t="n">
        <v>0</v>
      </c>
      <c r="K356" t="n">
        <v>0</v>
      </c>
      <c r="L356" t="n">
        <v>0</v>
      </c>
      <c r="M356" t="n">
        <v>0</v>
      </c>
      <c r="N356" t="n">
        <v>0</v>
      </c>
      <c r="O356" t="n">
        <v>0</v>
      </c>
      <c r="P356" t="n">
        <v>0</v>
      </c>
      <c r="Q356" t="n">
        <v>0</v>
      </c>
      <c r="R356" s="2" t="inlineStr"/>
    </row>
    <row r="357" ht="15" customHeight="1">
      <c r="A357" t="inlineStr">
        <is>
          <t>A 18481-2024</t>
        </is>
      </c>
      <c r="B357" s="1" t="n">
        <v>45425.52193287037</v>
      </c>
      <c r="C357" s="1" t="n">
        <v>45968</v>
      </c>
      <c r="D357" t="inlineStr">
        <is>
          <t>DALARNAS LÄN</t>
        </is>
      </c>
      <c r="E357" t="inlineStr">
        <is>
          <t>LEKSAND</t>
        </is>
      </c>
      <c r="G357" t="n">
        <v>0.9</v>
      </c>
      <c r="H357" t="n">
        <v>0</v>
      </c>
      <c r="I357" t="n">
        <v>0</v>
      </c>
      <c r="J357" t="n">
        <v>0</v>
      </c>
      <c r="K357" t="n">
        <v>0</v>
      </c>
      <c r="L357" t="n">
        <v>0</v>
      </c>
      <c r="M357" t="n">
        <v>0</v>
      </c>
      <c r="N357" t="n">
        <v>0</v>
      </c>
      <c r="O357" t="n">
        <v>0</v>
      </c>
      <c r="P357" t="n">
        <v>0</v>
      </c>
      <c r="Q357" t="n">
        <v>0</v>
      </c>
      <c r="R357" s="2" t="inlineStr"/>
    </row>
    <row r="358" ht="15" customHeight="1">
      <c r="A358" t="inlineStr">
        <is>
          <t>A 7417-2024</t>
        </is>
      </c>
      <c r="B358" s="1" t="n">
        <v>45345.62378472222</v>
      </c>
      <c r="C358" s="1" t="n">
        <v>45968</v>
      </c>
      <c r="D358" t="inlineStr">
        <is>
          <t>DALARNAS LÄN</t>
        </is>
      </c>
      <c r="E358" t="inlineStr">
        <is>
          <t>LEKSAND</t>
        </is>
      </c>
      <c r="G358" t="n">
        <v>2.8</v>
      </c>
      <c r="H358" t="n">
        <v>0</v>
      </c>
      <c r="I358" t="n">
        <v>0</v>
      </c>
      <c r="J358" t="n">
        <v>0</v>
      </c>
      <c r="K358" t="n">
        <v>0</v>
      </c>
      <c r="L358" t="n">
        <v>0</v>
      </c>
      <c r="M358" t="n">
        <v>0</v>
      </c>
      <c r="N358" t="n">
        <v>0</v>
      </c>
      <c r="O358" t="n">
        <v>0</v>
      </c>
      <c r="P358" t="n">
        <v>0</v>
      </c>
      <c r="Q358" t="n">
        <v>0</v>
      </c>
      <c r="R358" s="2" t="inlineStr"/>
    </row>
    <row r="359" ht="15" customHeight="1">
      <c r="A359" t="inlineStr">
        <is>
          <t>A 8046-2024</t>
        </is>
      </c>
      <c r="B359" s="1" t="n">
        <v>45351.31555555556</v>
      </c>
      <c r="C359" s="1" t="n">
        <v>45968</v>
      </c>
      <c r="D359" t="inlineStr">
        <is>
          <t>DALARNAS LÄN</t>
        </is>
      </c>
      <c r="E359" t="inlineStr">
        <is>
          <t>LEKSAND</t>
        </is>
      </c>
      <c r="G359" t="n">
        <v>2.9</v>
      </c>
      <c r="H359" t="n">
        <v>0</v>
      </c>
      <c r="I359" t="n">
        <v>0</v>
      </c>
      <c r="J359" t="n">
        <v>0</v>
      </c>
      <c r="K359" t="n">
        <v>0</v>
      </c>
      <c r="L359" t="n">
        <v>0</v>
      </c>
      <c r="M359" t="n">
        <v>0</v>
      </c>
      <c r="N359" t="n">
        <v>0</v>
      </c>
      <c r="O359" t="n">
        <v>0</v>
      </c>
      <c r="P359" t="n">
        <v>0</v>
      </c>
      <c r="Q359" t="n">
        <v>0</v>
      </c>
      <c r="R359" s="2" t="inlineStr"/>
    </row>
    <row r="360" ht="15" customHeight="1">
      <c r="A360" t="inlineStr">
        <is>
          <t>A 52059-2024</t>
        </is>
      </c>
      <c r="B360" s="1" t="n">
        <v>45608.35609953704</v>
      </c>
      <c r="C360" s="1" t="n">
        <v>45968</v>
      </c>
      <c r="D360" t="inlineStr">
        <is>
          <t>DALARNAS LÄN</t>
        </is>
      </c>
      <c r="E360" t="inlineStr">
        <is>
          <t>LEKSAND</t>
        </is>
      </c>
      <c r="G360" t="n">
        <v>0.8</v>
      </c>
      <c r="H360" t="n">
        <v>0</v>
      </c>
      <c r="I360" t="n">
        <v>0</v>
      </c>
      <c r="J360" t="n">
        <v>0</v>
      </c>
      <c r="K360" t="n">
        <v>0</v>
      </c>
      <c r="L360" t="n">
        <v>0</v>
      </c>
      <c r="M360" t="n">
        <v>0</v>
      </c>
      <c r="N360" t="n">
        <v>0</v>
      </c>
      <c r="O360" t="n">
        <v>0</v>
      </c>
      <c r="P360" t="n">
        <v>0</v>
      </c>
      <c r="Q360" t="n">
        <v>0</v>
      </c>
      <c r="R360" s="2" t="inlineStr"/>
    </row>
    <row r="361" ht="15" customHeight="1">
      <c r="A361" t="inlineStr">
        <is>
          <t>A 21839-2022</t>
        </is>
      </c>
      <c r="B361" s="1" t="n">
        <v>44711</v>
      </c>
      <c r="C361" s="1" t="n">
        <v>45968</v>
      </c>
      <c r="D361" t="inlineStr">
        <is>
          <t>DALARNAS LÄN</t>
        </is>
      </c>
      <c r="E361" t="inlineStr">
        <is>
          <t>LEKSAND</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7827-2024</t>
        </is>
      </c>
      <c r="B362" s="1" t="n">
        <v>45349.7467824074</v>
      </c>
      <c r="C362" s="1" t="n">
        <v>45968</v>
      </c>
      <c r="D362" t="inlineStr">
        <is>
          <t>DALARNAS LÄN</t>
        </is>
      </c>
      <c r="E362" t="inlineStr">
        <is>
          <t>LEKSAND</t>
        </is>
      </c>
      <c r="G362" t="n">
        <v>2.2</v>
      </c>
      <c r="H362" t="n">
        <v>0</v>
      </c>
      <c r="I362" t="n">
        <v>0</v>
      </c>
      <c r="J362" t="n">
        <v>0</v>
      </c>
      <c r="K362" t="n">
        <v>0</v>
      </c>
      <c r="L362" t="n">
        <v>0</v>
      </c>
      <c r="M362" t="n">
        <v>0</v>
      </c>
      <c r="N362" t="n">
        <v>0</v>
      </c>
      <c r="O362" t="n">
        <v>0</v>
      </c>
      <c r="P362" t="n">
        <v>0</v>
      </c>
      <c r="Q362" t="n">
        <v>0</v>
      </c>
      <c r="R362" s="2" t="inlineStr"/>
    </row>
    <row r="363" ht="15" customHeight="1">
      <c r="A363" t="inlineStr">
        <is>
          <t>A 43735-2022</t>
        </is>
      </c>
      <c r="B363" s="1" t="n">
        <v>44837.70210648148</v>
      </c>
      <c r="C363" s="1" t="n">
        <v>45968</v>
      </c>
      <c r="D363" t="inlineStr">
        <is>
          <t>DALARNAS LÄN</t>
        </is>
      </c>
      <c r="E363" t="inlineStr">
        <is>
          <t>LEKSAND</t>
        </is>
      </c>
      <c r="G363" t="n">
        <v>2.9</v>
      </c>
      <c r="H363" t="n">
        <v>0</v>
      </c>
      <c r="I363" t="n">
        <v>0</v>
      </c>
      <c r="J363" t="n">
        <v>0</v>
      </c>
      <c r="K363" t="n">
        <v>0</v>
      </c>
      <c r="L363" t="n">
        <v>0</v>
      </c>
      <c r="M363" t="n">
        <v>0</v>
      </c>
      <c r="N363" t="n">
        <v>0</v>
      </c>
      <c r="O363" t="n">
        <v>0</v>
      </c>
      <c r="P363" t="n">
        <v>0</v>
      </c>
      <c r="Q363" t="n">
        <v>0</v>
      </c>
      <c r="R363" s="2" t="inlineStr"/>
    </row>
    <row r="364" ht="15" customHeight="1">
      <c r="A364" t="inlineStr">
        <is>
          <t>A 20936-2023</t>
        </is>
      </c>
      <c r="B364" s="1" t="n">
        <v>45061</v>
      </c>
      <c r="C364" s="1" t="n">
        <v>45968</v>
      </c>
      <c r="D364" t="inlineStr">
        <is>
          <t>DALARNAS LÄN</t>
        </is>
      </c>
      <c r="E364" t="inlineStr">
        <is>
          <t>LEKSAND</t>
        </is>
      </c>
      <c r="G364" t="n">
        <v>0.3</v>
      </c>
      <c r="H364" t="n">
        <v>0</v>
      </c>
      <c r="I364" t="n">
        <v>0</v>
      </c>
      <c r="J364" t="n">
        <v>0</v>
      </c>
      <c r="K364" t="n">
        <v>0</v>
      </c>
      <c r="L364" t="n">
        <v>0</v>
      </c>
      <c r="M364" t="n">
        <v>0</v>
      </c>
      <c r="N364" t="n">
        <v>0</v>
      </c>
      <c r="O364" t="n">
        <v>0</v>
      </c>
      <c r="P364" t="n">
        <v>0</v>
      </c>
      <c r="Q364" t="n">
        <v>0</v>
      </c>
      <c r="R364" s="2" t="inlineStr"/>
    </row>
    <row r="365" ht="15" customHeight="1">
      <c r="A365" t="inlineStr">
        <is>
          <t>A 44469-2024</t>
        </is>
      </c>
      <c r="B365" s="1" t="n">
        <v>45574</v>
      </c>
      <c r="C365" s="1" t="n">
        <v>45968</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33804-2025</t>
        </is>
      </c>
      <c r="B366" s="1" t="n">
        <v>45842</v>
      </c>
      <c r="C366" s="1" t="n">
        <v>45968</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53464-2024</t>
        </is>
      </c>
      <c r="B367" s="1" t="n">
        <v>45611</v>
      </c>
      <c r="C367" s="1" t="n">
        <v>45968</v>
      </c>
      <c r="D367" t="inlineStr">
        <is>
          <t>DALARNAS LÄN</t>
        </is>
      </c>
      <c r="E367" t="inlineStr">
        <is>
          <t>LEKSAND</t>
        </is>
      </c>
      <c r="G367" t="n">
        <v>1.7</v>
      </c>
      <c r="H367" t="n">
        <v>0</v>
      </c>
      <c r="I367" t="n">
        <v>0</v>
      </c>
      <c r="J367" t="n">
        <v>0</v>
      </c>
      <c r="K367" t="n">
        <v>0</v>
      </c>
      <c r="L367" t="n">
        <v>0</v>
      </c>
      <c r="M367" t="n">
        <v>0</v>
      </c>
      <c r="N367" t="n">
        <v>0</v>
      </c>
      <c r="O367" t="n">
        <v>0</v>
      </c>
      <c r="P367" t="n">
        <v>0</v>
      </c>
      <c r="Q367" t="n">
        <v>0</v>
      </c>
      <c r="R367" s="2" t="inlineStr"/>
    </row>
    <row r="368" ht="15" customHeight="1">
      <c r="A368" t="inlineStr">
        <is>
          <t>A 5574-2024</t>
        </is>
      </c>
      <c r="B368" s="1" t="n">
        <v>45334</v>
      </c>
      <c r="C368" s="1" t="n">
        <v>45968</v>
      </c>
      <c r="D368" t="inlineStr">
        <is>
          <t>DALARNAS LÄN</t>
        </is>
      </c>
      <c r="E368" t="inlineStr">
        <is>
          <t>LEKSAND</t>
        </is>
      </c>
      <c r="G368" t="n">
        <v>0.4</v>
      </c>
      <c r="H368" t="n">
        <v>0</v>
      </c>
      <c r="I368" t="n">
        <v>0</v>
      </c>
      <c r="J368" t="n">
        <v>0</v>
      </c>
      <c r="K368" t="n">
        <v>0</v>
      </c>
      <c r="L368" t="n">
        <v>0</v>
      </c>
      <c r="M368" t="n">
        <v>0</v>
      </c>
      <c r="N368" t="n">
        <v>0</v>
      </c>
      <c r="O368" t="n">
        <v>0</v>
      </c>
      <c r="P368" t="n">
        <v>0</v>
      </c>
      <c r="Q368" t="n">
        <v>0</v>
      </c>
      <c r="R368" s="2" t="inlineStr"/>
    </row>
    <row r="369" ht="15" customHeight="1">
      <c r="A369" t="inlineStr">
        <is>
          <t>A 55268-2024</t>
        </is>
      </c>
      <c r="B369" s="1" t="n">
        <v>45621.61266203703</v>
      </c>
      <c r="C369" s="1" t="n">
        <v>45968</v>
      </c>
      <c r="D369" t="inlineStr">
        <is>
          <t>DALARNAS LÄN</t>
        </is>
      </c>
      <c r="E369" t="inlineStr">
        <is>
          <t>LEKSAND</t>
        </is>
      </c>
      <c r="G369" t="n">
        <v>4.2</v>
      </c>
      <c r="H369" t="n">
        <v>0</v>
      </c>
      <c r="I369" t="n">
        <v>0</v>
      </c>
      <c r="J369" t="n">
        <v>0</v>
      </c>
      <c r="K369" t="n">
        <v>0</v>
      </c>
      <c r="L369" t="n">
        <v>0</v>
      </c>
      <c r="M369" t="n">
        <v>0</v>
      </c>
      <c r="N369" t="n">
        <v>0</v>
      </c>
      <c r="O369" t="n">
        <v>0</v>
      </c>
      <c r="P369" t="n">
        <v>0</v>
      </c>
      <c r="Q369" t="n">
        <v>0</v>
      </c>
      <c r="R369" s="2" t="inlineStr"/>
    </row>
    <row r="370" ht="15" customHeight="1">
      <c r="A370" t="inlineStr">
        <is>
          <t>A 4121-2024</t>
        </is>
      </c>
      <c r="B370" s="1" t="n">
        <v>45323</v>
      </c>
      <c r="C370" s="1" t="n">
        <v>45968</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8743-2023</t>
        </is>
      </c>
      <c r="B371" s="1" t="n">
        <v>44978</v>
      </c>
      <c r="C371" s="1" t="n">
        <v>45968</v>
      </c>
      <c r="D371" t="inlineStr">
        <is>
          <t>DALARNAS LÄN</t>
        </is>
      </c>
      <c r="E371" t="inlineStr">
        <is>
          <t>LEKSAND</t>
        </is>
      </c>
      <c r="G371" t="n">
        <v>3</v>
      </c>
      <c r="H371" t="n">
        <v>0</v>
      </c>
      <c r="I371" t="n">
        <v>0</v>
      </c>
      <c r="J371" t="n">
        <v>0</v>
      </c>
      <c r="K371" t="n">
        <v>0</v>
      </c>
      <c r="L371" t="n">
        <v>0</v>
      </c>
      <c r="M371" t="n">
        <v>0</v>
      </c>
      <c r="N371" t="n">
        <v>0</v>
      </c>
      <c r="O371" t="n">
        <v>0</v>
      </c>
      <c r="P371" t="n">
        <v>0</v>
      </c>
      <c r="Q371" t="n">
        <v>0</v>
      </c>
      <c r="R371" s="2" t="inlineStr"/>
    </row>
    <row r="372" ht="15" customHeight="1">
      <c r="A372" t="inlineStr">
        <is>
          <t>A 15020-2023</t>
        </is>
      </c>
      <c r="B372" s="1" t="n">
        <v>45015.6196412037</v>
      </c>
      <c r="C372" s="1" t="n">
        <v>45968</v>
      </c>
      <c r="D372" t="inlineStr">
        <is>
          <t>DALARNAS LÄN</t>
        </is>
      </c>
      <c r="E372" t="inlineStr">
        <is>
          <t>LEKSAND</t>
        </is>
      </c>
      <c r="G372" t="n">
        <v>2.6</v>
      </c>
      <c r="H372" t="n">
        <v>0</v>
      </c>
      <c r="I372" t="n">
        <v>0</v>
      </c>
      <c r="J372" t="n">
        <v>0</v>
      </c>
      <c r="K372" t="n">
        <v>0</v>
      </c>
      <c r="L372" t="n">
        <v>0</v>
      </c>
      <c r="M372" t="n">
        <v>0</v>
      </c>
      <c r="N372" t="n">
        <v>0</v>
      </c>
      <c r="O372" t="n">
        <v>0</v>
      </c>
      <c r="P372" t="n">
        <v>0</v>
      </c>
      <c r="Q372" t="n">
        <v>0</v>
      </c>
      <c r="R372" s="2" t="inlineStr"/>
    </row>
    <row r="373" ht="15" customHeight="1">
      <c r="A373" t="inlineStr">
        <is>
          <t>A 57665-2023</t>
        </is>
      </c>
      <c r="B373" s="1" t="n">
        <v>45246</v>
      </c>
      <c r="C373" s="1" t="n">
        <v>45968</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30858-2024</t>
        </is>
      </c>
      <c r="B374" s="1" t="n">
        <v>45497.67601851852</v>
      </c>
      <c r="C374" s="1" t="n">
        <v>45968</v>
      </c>
      <c r="D374" t="inlineStr">
        <is>
          <t>DALARNAS LÄN</t>
        </is>
      </c>
      <c r="E374" t="inlineStr">
        <is>
          <t>LEKSAND</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46628-2024</t>
        </is>
      </c>
      <c r="B375" s="1" t="n">
        <v>45583.33195601852</v>
      </c>
      <c r="C375" s="1" t="n">
        <v>45968</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25921-2024</t>
        </is>
      </c>
      <c r="B376" s="1" t="n">
        <v>45467.6053587963</v>
      </c>
      <c r="C376" s="1" t="n">
        <v>45968</v>
      </c>
      <c r="D376" t="inlineStr">
        <is>
          <t>DALARNAS LÄN</t>
        </is>
      </c>
      <c r="E376" t="inlineStr">
        <is>
          <t>LEKSAND</t>
        </is>
      </c>
      <c r="G376" t="n">
        <v>2.8</v>
      </c>
      <c r="H376" t="n">
        <v>0</v>
      </c>
      <c r="I376" t="n">
        <v>0</v>
      </c>
      <c r="J376" t="n">
        <v>0</v>
      </c>
      <c r="K376" t="n">
        <v>0</v>
      </c>
      <c r="L376" t="n">
        <v>0</v>
      </c>
      <c r="M376" t="n">
        <v>0</v>
      </c>
      <c r="N376" t="n">
        <v>0</v>
      </c>
      <c r="O376" t="n">
        <v>0</v>
      </c>
      <c r="P376" t="n">
        <v>0</v>
      </c>
      <c r="Q376" t="n">
        <v>0</v>
      </c>
      <c r="R376" s="2" t="inlineStr"/>
    </row>
    <row r="377" ht="15" customHeight="1">
      <c r="A377" t="inlineStr">
        <is>
          <t>A 41306-2024</t>
        </is>
      </c>
      <c r="B377" s="1" t="n">
        <v>45559.62550925926</v>
      </c>
      <c r="C377" s="1" t="n">
        <v>45968</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43222-2024</t>
        </is>
      </c>
      <c r="B378" s="1" t="n">
        <v>45567.87177083334</v>
      </c>
      <c r="C378" s="1" t="n">
        <v>45968</v>
      </c>
      <c r="D378" t="inlineStr">
        <is>
          <t>DALARNAS LÄN</t>
        </is>
      </c>
      <c r="E378" t="inlineStr">
        <is>
          <t>LEKSAND</t>
        </is>
      </c>
      <c r="F378" t="inlineStr">
        <is>
          <t>Bergvik skog väst AB</t>
        </is>
      </c>
      <c r="G378" t="n">
        <v>8.6</v>
      </c>
      <c r="H378" t="n">
        <v>0</v>
      </c>
      <c r="I378" t="n">
        <v>0</v>
      </c>
      <c r="J378" t="n">
        <v>0</v>
      </c>
      <c r="K378" t="n">
        <v>0</v>
      </c>
      <c r="L378" t="n">
        <v>0</v>
      </c>
      <c r="M378" t="n">
        <v>0</v>
      </c>
      <c r="N378" t="n">
        <v>0</v>
      </c>
      <c r="O378" t="n">
        <v>0</v>
      </c>
      <c r="P378" t="n">
        <v>0</v>
      </c>
      <c r="Q378" t="n">
        <v>0</v>
      </c>
      <c r="R378" s="2" t="inlineStr"/>
    </row>
    <row r="379" ht="15" customHeight="1">
      <c r="A379" t="inlineStr">
        <is>
          <t>A 43231-2024</t>
        </is>
      </c>
      <c r="B379" s="1" t="n">
        <v>45567.89709490741</v>
      </c>
      <c r="C379" s="1" t="n">
        <v>45968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17533-2023</t>
        </is>
      </c>
      <c r="B380" s="1" t="n">
        <v>45036</v>
      </c>
      <c r="C380" s="1" t="n">
        <v>45968</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34537-2025</t>
        </is>
      </c>
      <c r="B381" s="1" t="n">
        <v>45847</v>
      </c>
      <c r="C381" s="1" t="n">
        <v>45968</v>
      </c>
      <c r="D381" t="inlineStr">
        <is>
          <t>DALARNAS LÄN</t>
        </is>
      </c>
      <c r="E381" t="inlineStr">
        <is>
          <t>LEKSAND</t>
        </is>
      </c>
      <c r="G381" t="n">
        <v>1</v>
      </c>
      <c r="H381" t="n">
        <v>0</v>
      </c>
      <c r="I381" t="n">
        <v>0</v>
      </c>
      <c r="J381" t="n">
        <v>0</v>
      </c>
      <c r="K381" t="n">
        <v>0</v>
      </c>
      <c r="L381" t="n">
        <v>0</v>
      </c>
      <c r="M381" t="n">
        <v>0</v>
      </c>
      <c r="N381" t="n">
        <v>0</v>
      </c>
      <c r="O381" t="n">
        <v>0</v>
      </c>
      <c r="P381" t="n">
        <v>0</v>
      </c>
      <c r="Q381" t="n">
        <v>0</v>
      </c>
      <c r="R381" s="2" t="inlineStr"/>
    </row>
    <row r="382" ht="15" customHeight="1">
      <c r="A382" t="inlineStr">
        <is>
          <t>A 17377-2025</t>
        </is>
      </c>
      <c r="B382" s="1" t="n">
        <v>45756.983125</v>
      </c>
      <c r="C382" s="1" t="n">
        <v>45968</v>
      </c>
      <c r="D382" t="inlineStr">
        <is>
          <t>DALARNAS LÄN</t>
        </is>
      </c>
      <c r="E382" t="inlineStr">
        <is>
          <t>LEKSAND</t>
        </is>
      </c>
      <c r="G382" t="n">
        <v>0.9</v>
      </c>
      <c r="H382" t="n">
        <v>0</v>
      </c>
      <c r="I382" t="n">
        <v>0</v>
      </c>
      <c r="J382" t="n">
        <v>0</v>
      </c>
      <c r="K382" t="n">
        <v>0</v>
      </c>
      <c r="L382" t="n">
        <v>0</v>
      </c>
      <c r="M382" t="n">
        <v>0</v>
      </c>
      <c r="N382" t="n">
        <v>0</v>
      </c>
      <c r="O382" t="n">
        <v>0</v>
      </c>
      <c r="P382" t="n">
        <v>0</v>
      </c>
      <c r="Q382" t="n">
        <v>0</v>
      </c>
      <c r="R382" s="2" t="inlineStr"/>
    </row>
    <row r="383" ht="15" customHeight="1">
      <c r="A383" t="inlineStr">
        <is>
          <t>A 54914-2024</t>
        </is>
      </c>
      <c r="B383" s="1" t="n">
        <v>45618.69380787037</v>
      </c>
      <c r="C383" s="1" t="n">
        <v>45968</v>
      </c>
      <c r="D383" t="inlineStr">
        <is>
          <t>DALARNAS LÄN</t>
        </is>
      </c>
      <c r="E383" t="inlineStr">
        <is>
          <t>LEKSAND</t>
        </is>
      </c>
      <c r="G383" t="n">
        <v>1.7</v>
      </c>
      <c r="H383" t="n">
        <v>0</v>
      </c>
      <c r="I383" t="n">
        <v>0</v>
      </c>
      <c r="J383" t="n">
        <v>0</v>
      </c>
      <c r="K383" t="n">
        <v>0</v>
      </c>
      <c r="L383" t="n">
        <v>0</v>
      </c>
      <c r="M383" t="n">
        <v>0</v>
      </c>
      <c r="N383" t="n">
        <v>0</v>
      </c>
      <c r="O383" t="n">
        <v>0</v>
      </c>
      <c r="P383" t="n">
        <v>0</v>
      </c>
      <c r="Q383" t="n">
        <v>0</v>
      </c>
      <c r="R383" s="2" t="inlineStr"/>
    </row>
    <row r="384" ht="15" customHeight="1">
      <c r="A384" t="inlineStr">
        <is>
          <t>A 39921-2024</t>
        </is>
      </c>
      <c r="B384" s="1" t="n">
        <v>45553</v>
      </c>
      <c r="C384" s="1" t="n">
        <v>45968</v>
      </c>
      <c r="D384" t="inlineStr">
        <is>
          <t>DALARNAS LÄN</t>
        </is>
      </c>
      <c r="E384" t="inlineStr">
        <is>
          <t>LEKSAND</t>
        </is>
      </c>
      <c r="G384" t="n">
        <v>1.2</v>
      </c>
      <c r="H384" t="n">
        <v>0</v>
      </c>
      <c r="I384" t="n">
        <v>0</v>
      </c>
      <c r="J384" t="n">
        <v>0</v>
      </c>
      <c r="K384" t="n">
        <v>0</v>
      </c>
      <c r="L384" t="n">
        <v>0</v>
      </c>
      <c r="M384" t="n">
        <v>0</v>
      </c>
      <c r="N384" t="n">
        <v>0</v>
      </c>
      <c r="O384" t="n">
        <v>0</v>
      </c>
      <c r="P384" t="n">
        <v>0</v>
      </c>
      <c r="Q384" t="n">
        <v>0</v>
      </c>
      <c r="R384" s="2" t="inlineStr"/>
    </row>
    <row r="385" ht="15" customHeight="1">
      <c r="A385" t="inlineStr">
        <is>
          <t>A 34965-2025</t>
        </is>
      </c>
      <c r="B385" s="1" t="n">
        <v>45849</v>
      </c>
      <c r="C385" s="1" t="n">
        <v>45968</v>
      </c>
      <c r="D385" t="inlineStr">
        <is>
          <t>DALARNAS LÄN</t>
        </is>
      </c>
      <c r="E385" t="inlineStr">
        <is>
          <t>LEKSAND</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41896-2024</t>
        </is>
      </c>
      <c r="B386" s="1" t="n">
        <v>45561.51310185185</v>
      </c>
      <c r="C386" s="1" t="n">
        <v>45968</v>
      </c>
      <c r="D386" t="inlineStr">
        <is>
          <t>DALARNAS LÄN</t>
        </is>
      </c>
      <c r="E386" t="inlineStr">
        <is>
          <t>LEKSAND</t>
        </is>
      </c>
      <c r="F386" t="inlineStr">
        <is>
          <t>Bergvik skog väst AB</t>
        </is>
      </c>
      <c r="G386" t="n">
        <v>2.8</v>
      </c>
      <c r="H386" t="n">
        <v>0</v>
      </c>
      <c r="I386" t="n">
        <v>0</v>
      </c>
      <c r="J386" t="n">
        <v>0</v>
      </c>
      <c r="K386" t="n">
        <v>0</v>
      </c>
      <c r="L386" t="n">
        <v>0</v>
      </c>
      <c r="M386" t="n">
        <v>0</v>
      </c>
      <c r="N386" t="n">
        <v>0</v>
      </c>
      <c r="O386" t="n">
        <v>0</v>
      </c>
      <c r="P386" t="n">
        <v>0</v>
      </c>
      <c r="Q386" t="n">
        <v>0</v>
      </c>
      <c r="R386" s="2" t="inlineStr"/>
    </row>
    <row r="387" ht="15" customHeight="1">
      <c r="A387" t="inlineStr">
        <is>
          <t>A 58244-2024</t>
        </is>
      </c>
      <c r="B387" s="1" t="n">
        <v>45631</v>
      </c>
      <c r="C387" s="1" t="n">
        <v>45968</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34789-2025</t>
        </is>
      </c>
      <c r="B388" s="1" t="n">
        <v>45848</v>
      </c>
      <c r="C388" s="1" t="n">
        <v>45968</v>
      </c>
      <c r="D388" t="inlineStr">
        <is>
          <t>DALARNAS LÄN</t>
        </is>
      </c>
      <c r="E388" t="inlineStr">
        <is>
          <t>LEKSAND</t>
        </is>
      </c>
      <c r="F388" t="inlineStr">
        <is>
          <t>Bergvik skog väst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13288-2023</t>
        </is>
      </c>
      <c r="B389" s="1" t="n">
        <v>45004.8160300926</v>
      </c>
      <c r="C389" s="1" t="n">
        <v>45968</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34966-2025</t>
        </is>
      </c>
      <c r="B390" s="1" t="n">
        <v>45849</v>
      </c>
      <c r="C390" s="1" t="n">
        <v>45968</v>
      </c>
      <c r="D390" t="inlineStr">
        <is>
          <t>DALARNAS LÄN</t>
        </is>
      </c>
      <c r="E390" t="inlineStr">
        <is>
          <t>LEKSAND</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17233-2023</t>
        </is>
      </c>
      <c r="B391" s="1" t="n">
        <v>45035</v>
      </c>
      <c r="C391" s="1" t="n">
        <v>45968</v>
      </c>
      <c r="D391" t="inlineStr">
        <is>
          <t>DALARNAS LÄN</t>
        </is>
      </c>
      <c r="E391" t="inlineStr">
        <is>
          <t>LEKSAND</t>
        </is>
      </c>
      <c r="G391" t="n">
        <v>1.6</v>
      </c>
      <c r="H391" t="n">
        <v>0</v>
      </c>
      <c r="I391" t="n">
        <v>0</v>
      </c>
      <c r="J391" t="n">
        <v>0</v>
      </c>
      <c r="K391" t="n">
        <v>0</v>
      </c>
      <c r="L391" t="n">
        <v>0</v>
      </c>
      <c r="M391" t="n">
        <v>0</v>
      </c>
      <c r="N391" t="n">
        <v>0</v>
      </c>
      <c r="O391" t="n">
        <v>0</v>
      </c>
      <c r="P391" t="n">
        <v>0</v>
      </c>
      <c r="Q391" t="n">
        <v>0</v>
      </c>
      <c r="R391" s="2" t="inlineStr"/>
    </row>
    <row r="392" ht="15" customHeight="1">
      <c r="A392" t="inlineStr">
        <is>
          <t>A 61546-2021</t>
        </is>
      </c>
      <c r="B392" s="1" t="n">
        <v>44501</v>
      </c>
      <c r="C392" s="1" t="n">
        <v>45968</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41046-2024</t>
        </is>
      </c>
      <c r="B393" s="1" t="n">
        <v>45559.36677083333</v>
      </c>
      <c r="C393" s="1" t="n">
        <v>45968</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46931-2023</t>
        </is>
      </c>
      <c r="B394" s="1" t="n">
        <v>45201</v>
      </c>
      <c r="C394" s="1" t="n">
        <v>45968</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11740-2025</t>
        </is>
      </c>
      <c r="B395" s="1" t="n">
        <v>45727.62582175926</v>
      </c>
      <c r="C395" s="1" t="n">
        <v>45968</v>
      </c>
      <c r="D395" t="inlineStr">
        <is>
          <t>DALARNAS LÄN</t>
        </is>
      </c>
      <c r="E395" t="inlineStr">
        <is>
          <t>LEKSAND</t>
        </is>
      </c>
      <c r="F395" t="inlineStr">
        <is>
          <t>Övriga Aktiebolag</t>
        </is>
      </c>
      <c r="G395" t="n">
        <v>1.3</v>
      </c>
      <c r="H395" t="n">
        <v>0</v>
      </c>
      <c r="I395" t="n">
        <v>0</v>
      </c>
      <c r="J395" t="n">
        <v>0</v>
      </c>
      <c r="K395" t="n">
        <v>0</v>
      </c>
      <c r="L395" t="n">
        <v>0</v>
      </c>
      <c r="M395" t="n">
        <v>0</v>
      </c>
      <c r="N395" t="n">
        <v>0</v>
      </c>
      <c r="O395" t="n">
        <v>0</v>
      </c>
      <c r="P395" t="n">
        <v>0</v>
      </c>
      <c r="Q395" t="n">
        <v>0</v>
      </c>
      <c r="R395" s="2" t="inlineStr"/>
    </row>
    <row r="396" ht="15" customHeight="1">
      <c r="A396" t="inlineStr">
        <is>
          <t>A 35094-2025</t>
        </is>
      </c>
      <c r="B396" s="1" t="n">
        <v>45852</v>
      </c>
      <c r="C396" s="1" t="n">
        <v>45968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27317-2021</t>
        </is>
      </c>
      <c r="B397" s="1" t="n">
        <v>44351</v>
      </c>
      <c r="C397" s="1" t="n">
        <v>45968</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16005-2025</t>
        </is>
      </c>
      <c r="B398" s="1" t="n">
        <v>45749.59765046297</v>
      </c>
      <c r="C398" s="1" t="n">
        <v>45968</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45968</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12923-2025</t>
        </is>
      </c>
      <c r="B400" s="1" t="n">
        <v>45734.29193287037</v>
      </c>
      <c r="C400" s="1" t="n">
        <v>45968</v>
      </c>
      <c r="D400" t="inlineStr">
        <is>
          <t>DALARNAS LÄN</t>
        </is>
      </c>
      <c r="E400" t="inlineStr">
        <is>
          <t>LEKSAND</t>
        </is>
      </c>
      <c r="G400" t="n">
        <v>7.2</v>
      </c>
      <c r="H400" t="n">
        <v>0</v>
      </c>
      <c r="I400" t="n">
        <v>0</v>
      </c>
      <c r="J400" t="n">
        <v>0</v>
      </c>
      <c r="K400" t="n">
        <v>0</v>
      </c>
      <c r="L400" t="n">
        <v>0</v>
      </c>
      <c r="M400" t="n">
        <v>0</v>
      </c>
      <c r="N400" t="n">
        <v>0</v>
      </c>
      <c r="O400" t="n">
        <v>0</v>
      </c>
      <c r="P400" t="n">
        <v>0</v>
      </c>
      <c r="Q400" t="n">
        <v>0</v>
      </c>
      <c r="R400" s="2" t="inlineStr"/>
    </row>
    <row r="401" ht="15" customHeight="1">
      <c r="A401" t="inlineStr">
        <is>
          <t>A 5738-2023</t>
        </is>
      </c>
      <c r="B401" s="1" t="n">
        <v>44962</v>
      </c>
      <c r="C401" s="1" t="n">
        <v>45968</v>
      </c>
      <c r="D401" t="inlineStr">
        <is>
          <t>DALARNAS LÄN</t>
        </is>
      </c>
      <c r="E401" t="inlineStr">
        <is>
          <t>LEKSAND</t>
        </is>
      </c>
      <c r="G401" t="n">
        <v>0.2</v>
      </c>
      <c r="H401" t="n">
        <v>0</v>
      </c>
      <c r="I401" t="n">
        <v>0</v>
      </c>
      <c r="J401" t="n">
        <v>0</v>
      </c>
      <c r="K401" t="n">
        <v>0</v>
      </c>
      <c r="L401" t="n">
        <v>0</v>
      </c>
      <c r="M401" t="n">
        <v>0</v>
      </c>
      <c r="N401" t="n">
        <v>0</v>
      </c>
      <c r="O401" t="n">
        <v>0</v>
      </c>
      <c r="P401" t="n">
        <v>0</v>
      </c>
      <c r="Q401" t="n">
        <v>0</v>
      </c>
      <c r="R401" s="2" t="inlineStr"/>
    </row>
    <row r="402" ht="15" customHeight="1">
      <c r="A402" t="inlineStr">
        <is>
          <t>A 13705-2021</t>
        </is>
      </c>
      <c r="B402" s="1" t="n">
        <v>44274</v>
      </c>
      <c r="C402" s="1" t="n">
        <v>45968</v>
      </c>
      <c r="D402" t="inlineStr">
        <is>
          <t>DALARNAS LÄN</t>
        </is>
      </c>
      <c r="E402" t="inlineStr">
        <is>
          <t>LEKSAND</t>
        </is>
      </c>
      <c r="G402" t="n">
        <v>3.8</v>
      </c>
      <c r="H402" t="n">
        <v>0</v>
      </c>
      <c r="I402" t="n">
        <v>0</v>
      </c>
      <c r="J402" t="n">
        <v>0</v>
      </c>
      <c r="K402" t="n">
        <v>0</v>
      </c>
      <c r="L402" t="n">
        <v>0</v>
      </c>
      <c r="M402" t="n">
        <v>0</v>
      </c>
      <c r="N402" t="n">
        <v>0</v>
      </c>
      <c r="O402" t="n">
        <v>0</v>
      </c>
      <c r="P402" t="n">
        <v>0</v>
      </c>
      <c r="Q402" t="n">
        <v>0</v>
      </c>
      <c r="R402" s="2" t="inlineStr"/>
    </row>
    <row r="403" ht="15" customHeight="1">
      <c r="A403" t="inlineStr">
        <is>
          <t>A 2820-2024</t>
        </is>
      </c>
      <c r="B403" s="1" t="n">
        <v>45314.76287037037</v>
      </c>
      <c r="C403" s="1" t="n">
        <v>45968</v>
      </c>
      <c r="D403" t="inlineStr">
        <is>
          <t>DALARNAS LÄN</t>
        </is>
      </c>
      <c r="E403" t="inlineStr">
        <is>
          <t>LEKSAND</t>
        </is>
      </c>
      <c r="G403" t="n">
        <v>1.7</v>
      </c>
      <c r="H403" t="n">
        <v>0</v>
      </c>
      <c r="I403" t="n">
        <v>0</v>
      </c>
      <c r="J403" t="n">
        <v>0</v>
      </c>
      <c r="K403" t="n">
        <v>0</v>
      </c>
      <c r="L403" t="n">
        <v>0</v>
      </c>
      <c r="M403" t="n">
        <v>0</v>
      </c>
      <c r="N403" t="n">
        <v>0</v>
      </c>
      <c r="O403" t="n">
        <v>0</v>
      </c>
      <c r="P403" t="n">
        <v>0</v>
      </c>
      <c r="Q403" t="n">
        <v>0</v>
      </c>
      <c r="R403" s="2" t="inlineStr"/>
    </row>
    <row r="404" ht="15" customHeight="1">
      <c r="A404" t="inlineStr">
        <is>
          <t>A 2822-2024</t>
        </is>
      </c>
      <c r="B404" s="1" t="n">
        <v>45314.76622685185</v>
      </c>
      <c r="C404" s="1" t="n">
        <v>45968</v>
      </c>
      <c r="D404" t="inlineStr">
        <is>
          <t>DALARNAS LÄN</t>
        </is>
      </c>
      <c r="E404" t="inlineStr">
        <is>
          <t>LEKSAND</t>
        </is>
      </c>
      <c r="G404" t="n">
        <v>1.6</v>
      </c>
      <c r="H404" t="n">
        <v>0</v>
      </c>
      <c r="I404" t="n">
        <v>0</v>
      </c>
      <c r="J404" t="n">
        <v>0</v>
      </c>
      <c r="K404" t="n">
        <v>0</v>
      </c>
      <c r="L404" t="n">
        <v>0</v>
      </c>
      <c r="M404" t="n">
        <v>0</v>
      </c>
      <c r="N404" t="n">
        <v>0</v>
      </c>
      <c r="O404" t="n">
        <v>0</v>
      </c>
      <c r="P404" t="n">
        <v>0</v>
      </c>
      <c r="Q404" t="n">
        <v>0</v>
      </c>
      <c r="R404" s="2" t="inlineStr"/>
    </row>
    <row r="405" ht="15" customHeight="1">
      <c r="A405" t="inlineStr">
        <is>
          <t>A 8940-2023</t>
        </is>
      </c>
      <c r="B405" s="1" t="n">
        <v>44974</v>
      </c>
      <c r="C405" s="1" t="n">
        <v>45968</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11128-2023</t>
        </is>
      </c>
      <c r="B406" s="1" t="n">
        <v>44992</v>
      </c>
      <c r="C406" s="1" t="n">
        <v>45968</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35866-2025</t>
        </is>
      </c>
      <c r="B407" s="1" t="n">
        <v>45861</v>
      </c>
      <c r="C407" s="1" t="n">
        <v>45968</v>
      </c>
      <c r="D407" t="inlineStr">
        <is>
          <t>DALARNAS LÄN</t>
        </is>
      </c>
      <c r="E407" t="inlineStr">
        <is>
          <t>LEKSAND</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35746-2025</t>
        </is>
      </c>
      <c r="B408" s="1" t="n">
        <v>45860</v>
      </c>
      <c r="C408" s="1" t="n">
        <v>45968</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41934-2025</t>
        </is>
      </c>
      <c r="B409" s="1" t="n">
        <v>45903.43556712963</v>
      </c>
      <c r="C409" s="1" t="n">
        <v>45968</v>
      </c>
      <c r="D409" t="inlineStr">
        <is>
          <t>DALARNAS LÄN</t>
        </is>
      </c>
      <c r="E409" t="inlineStr">
        <is>
          <t>LEKSAND</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1458-2024</t>
        </is>
      </c>
      <c r="B410" s="1" t="n">
        <v>45303</v>
      </c>
      <c r="C410" s="1" t="n">
        <v>45968</v>
      </c>
      <c r="D410" t="inlineStr">
        <is>
          <t>DALARNAS LÄN</t>
        </is>
      </c>
      <c r="E410" t="inlineStr">
        <is>
          <t>LEKSAND</t>
        </is>
      </c>
      <c r="G410" t="n">
        <v>2</v>
      </c>
      <c r="H410" t="n">
        <v>0</v>
      </c>
      <c r="I410" t="n">
        <v>0</v>
      </c>
      <c r="J410" t="n">
        <v>0</v>
      </c>
      <c r="K410" t="n">
        <v>0</v>
      </c>
      <c r="L410" t="n">
        <v>0</v>
      </c>
      <c r="M410" t="n">
        <v>0</v>
      </c>
      <c r="N410" t="n">
        <v>0</v>
      </c>
      <c r="O410" t="n">
        <v>0</v>
      </c>
      <c r="P410" t="n">
        <v>0</v>
      </c>
      <c r="Q410" t="n">
        <v>0</v>
      </c>
      <c r="R410" s="2" t="inlineStr"/>
    </row>
    <row r="411" ht="15" customHeight="1">
      <c r="A411" t="inlineStr">
        <is>
          <t>A 1461-2024</t>
        </is>
      </c>
      <c r="B411" s="1" t="n">
        <v>45303</v>
      </c>
      <c r="C411" s="1" t="n">
        <v>45968</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36020-2025</t>
        </is>
      </c>
      <c r="B412" s="1" t="n">
        <v>45863</v>
      </c>
      <c r="C412" s="1" t="n">
        <v>45968</v>
      </c>
      <c r="D412" t="inlineStr">
        <is>
          <t>DALARNAS LÄN</t>
        </is>
      </c>
      <c r="E412" t="inlineStr">
        <is>
          <t>LEKSAND</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37952-2024</t>
        </is>
      </c>
      <c r="B413" s="1" t="n">
        <v>45544.5200462963</v>
      </c>
      <c r="C413" s="1" t="n">
        <v>45968</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36017-2025</t>
        </is>
      </c>
      <c r="B414" s="1" t="n">
        <v>45863</v>
      </c>
      <c r="C414" s="1" t="n">
        <v>45968</v>
      </c>
      <c r="D414" t="inlineStr">
        <is>
          <t>DALARNAS LÄN</t>
        </is>
      </c>
      <c r="E414" t="inlineStr">
        <is>
          <t>LEKSAND</t>
        </is>
      </c>
      <c r="F414" t="inlineStr">
        <is>
          <t>Bergvik skog väst AB</t>
        </is>
      </c>
      <c r="G414" t="n">
        <v>17.9</v>
      </c>
      <c r="H414" t="n">
        <v>0</v>
      </c>
      <c r="I414" t="n">
        <v>0</v>
      </c>
      <c r="J414" t="n">
        <v>0</v>
      </c>
      <c r="K414" t="n">
        <v>0</v>
      </c>
      <c r="L414" t="n">
        <v>0</v>
      </c>
      <c r="M414" t="n">
        <v>0</v>
      </c>
      <c r="N414" t="n">
        <v>0</v>
      </c>
      <c r="O414" t="n">
        <v>0</v>
      </c>
      <c r="P414" t="n">
        <v>0</v>
      </c>
      <c r="Q414" t="n">
        <v>0</v>
      </c>
      <c r="R414" s="2" t="inlineStr"/>
    </row>
    <row r="415" ht="15" customHeight="1">
      <c r="A415" t="inlineStr">
        <is>
          <t>A 38001-2023</t>
        </is>
      </c>
      <c r="B415" s="1" t="n">
        <v>45160</v>
      </c>
      <c r="C415" s="1" t="n">
        <v>45968</v>
      </c>
      <c r="D415" t="inlineStr">
        <is>
          <t>DALARNAS LÄN</t>
        </is>
      </c>
      <c r="E415" t="inlineStr">
        <is>
          <t>LEKSAND</t>
        </is>
      </c>
      <c r="G415" t="n">
        <v>3.6</v>
      </c>
      <c r="H415" t="n">
        <v>0</v>
      </c>
      <c r="I415" t="n">
        <v>0</v>
      </c>
      <c r="J415" t="n">
        <v>0</v>
      </c>
      <c r="K415" t="n">
        <v>0</v>
      </c>
      <c r="L415" t="n">
        <v>0</v>
      </c>
      <c r="M415" t="n">
        <v>0</v>
      </c>
      <c r="N415" t="n">
        <v>0</v>
      </c>
      <c r="O415" t="n">
        <v>0</v>
      </c>
      <c r="P415" t="n">
        <v>0</v>
      </c>
      <c r="Q415" t="n">
        <v>0</v>
      </c>
      <c r="R415" s="2" t="inlineStr"/>
    </row>
    <row r="416" ht="15" customHeight="1">
      <c r="A416" t="inlineStr">
        <is>
          <t>A 47673-2023</t>
        </is>
      </c>
      <c r="B416" s="1" t="n">
        <v>45203</v>
      </c>
      <c r="C416" s="1" t="n">
        <v>45968</v>
      </c>
      <c r="D416" t="inlineStr">
        <is>
          <t>DALARNAS LÄN</t>
        </is>
      </c>
      <c r="E416" t="inlineStr">
        <is>
          <t>LEKSAND</t>
        </is>
      </c>
      <c r="G416" t="n">
        <v>2</v>
      </c>
      <c r="H416" t="n">
        <v>0</v>
      </c>
      <c r="I416" t="n">
        <v>0</v>
      </c>
      <c r="J416" t="n">
        <v>0</v>
      </c>
      <c r="K416" t="n">
        <v>0</v>
      </c>
      <c r="L416" t="n">
        <v>0</v>
      </c>
      <c r="M416" t="n">
        <v>0</v>
      </c>
      <c r="N416" t="n">
        <v>0</v>
      </c>
      <c r="O416" t="n">
        <v>0</v>
      </c>
      <c r="P416" t="n">
        <v>0</v>
      </c>
      <c r="Q416" t="n">
        <v>0</v>
      </c>
      <c r="R416" s="2" t="inlineStr"/>
    </row>
    <row r="417" ht="15" customHeight="1">
      <c r="A417" t="inlineStr">
        <is>
          <t>A 35998-2025</t>
        </is>
      </c>
      <c r="B417" s="1" t="n">
        <v>45863.51550925926</v>
      </c>
      <c r="C417" s="1" t="n">
        <v>45968</v>
      </c>
      <c r="D417" t="inlineStr">
        <is>
          <t>DALARNAS LÄN</t>
        </is>
      </c>
      <c r="E417" t="inlineStr">
        <is>
          <t>LEKSAND</t>
        </is>
      </c>
      <c r="G417" t="n">
        <v>2</v>
      </c>
      <c r="H417" t="n">
        <v>0</v>
      </c>
      <c r="I417" t="n">
        <v>0</v>
      </c>
      <c r="J417" t="n">
        <v>0</v>
      </c>
      <c r="K417" t="n">
        <v>0</v>
      </c>
      <c r="L417" t="n">
        <v>0</v>
      </c>
      <c r="M417" t="n">
        <v>0</v>
      </c>
      <c r="N417" t="n">
        <v>0</v>
      </c>
      <c r="O417" t="n">
        <v>0</v>
      </c>
      <c r="P417" t="n">
        <v>0</v>
      </c>
      <c r="Q417" t="n">
        <v>0</v>
      </c>
      <c r="R417" s="2" t="inlineStr"/>
    </row>
    <row r="418" ht="15" customHeight="1">
      <c r="A418" t="inlineStr">
        <is>
          <t>A 36021-2025</t>
        </is>
      </c>
      <c r="B418" s="1" t="n">
        <v>45863.72346064815</v>
      </c>
      <c r="C418" s="1" t="n">
        <v>45968</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19820-2024</t>
        </is>
      </c>
      <c r="B419" s="1" t="n">
        <v>45433.33907407407</v>
      </c>
      <c r="C419" s="1" t="n">
        <v>45968</v>
      </c>
      <c r="D419" t="inlineStr">
        <is>
          <t>DALARNAS LÄN</t>
        </is>
      </c>
      <c r="E419" t="inlineStr">
        <is>
          <t>LEKSAND</t>
        </is>
      </c>
      <c r="G419" t="n">
        <v>0.7</v>
      </c>
      <c r="H419" t="n">
        <v>0</v>
      </c>
      <c r="I419" t="n">
        <v>0</v>
      </c>
      <c r="J419" t="n">
        <v>0</v>
      </c>
      <c r="K419" t="n">
        <v>0</v>
      </c>
      <c r="L419" t="n">
        <v>0</v>
      </c>
      <c r="M419" t="n">
        <v>0</v>
      </c>
      <c r="N419" t="n">
        <v>0</v>
      </c>
      <c r="O419" t="n">
        <v>0</v>
      </c>
      <c r="P419" t="n">
        <v>0</v>
      </c>
      <c r="Q419" t="n">
        <v>0</v>
      </c>
      <c r="R419" s="2" t="inlineStr"/>
    </row>
    <row r="420" ht="15" customHeight="1">
      <c r="A420" t="inlineStr">
        <is>
          <t>A 19823-2024</t>
        </is>
      </c>
      <c r="B420" s="1" t="n">
        <v>45433.34469907408</v>
      </c>
      <c r="C420" s="1" t="n">
        <v>45968</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7653-2025</t>
        </is>
      </c>
      <c r="B421" s="1" t="n">
        <v>45705.95238425926</v>
      </c>
      <c r="C421" s="1" t="n">
        <v>45968</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6039-2023</t>
        </is>
      </c>
      <c r="B422" s="1" t="n">
        <v>44959</v>
      </c>
      <c r="C422" s="1" t="n">
        <v>45968</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6758-2024</t>
        </is>
      </c>
      <c r="B423" s="1" t="n">
        <v>45342.46857638889</v>
      </c>
      <c r="C423" s="1" t="n">
        <v>45968</v>
      </c>
      <c r="D423" t="inlineStr">
        <is>
          <t>DALARNAS LÄN</t>
        </is>
      </c>
      <c r="E423" t="inlineStr">
        <is>
          <t>LEKSAND</t>
        </is>
      </c>
      <c r="F423" t="inlineStr">
        <is>
          <t>Bergvik skog väst AB</t>
        </is>
      </c>
      <c r="G423" t="n">
        <v>6.2</v>
      </c>
      <c r="H423" t="n">
        <v>0</v>
      </c>
      <c r="I423" t="n">
        <v>0</v>
      </c>
      <c r="J423" t="n">
        <v>0</v>
      </c>
      <c r="K423" t="n">
        <v>0</v>
      </c>
      <c r="L423" t="n">
        <v>0</v>
      </c>
      <c r="M423" t="n">
        <v>0</v>
      </c>
      <c r="N423" t="n">
        <v>0</v>
      </c>
      <c r="O423" t="n">
        <v>0</v>
      </c>
      <c r="P423" t="n">
        <v>0</v>
      </c>
      <c r="Q423" t="n">
        <v>0</v>
      </c>
      <c r="R423" s="2" t="inlineStr"/>
    </row>
    <row r="424" ht="15" customHeight="1">
      <c r="A424" t="inlineStr">
        <is>
          <t>A 36190-2025</t>
        </is>
      </c>
      <c r="B424" s="1" t="n">
        <v>45867</v>
      </c>
      <c r="C424" s="1" t="n">
        <v>45968</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4257-2022</t>
        </is>
      </c>
      <c r="B425" s="1" t="n">
        <v>44588</v>
      </c>
      <c r="C425" s="1" t="n">
        <v>45968</v>
      </c>
      <c r="D425" t="inlineStr">
        <is>
          <t>DALARNAS LÄN</t>
        </is>
      </c>
      <c r="E425" t="inlineStr">
        <is>
          <t>LEKSAND</t>
        </is>
      </c>
      <c r="G425" t="n">
        <v>6.8</v>
      </c>
      <c r="H425" t="n">
        <v>0</v>
      </c>
      <c r="I425" t="n">
        <v>0</v>
      </c>
      <c r="J425" t="n">
        <v>0</v>
      </c>
      <c r="K425" t="n">
        <v>0</v>
      </c>
      <c r="L425" t="n">
        <v>0</v>
      </c>
      <c r="M425" t="n">
        <v>0</v>
      </c>
      <c r="N425" t="n">
        <v>0</v>
      </c>
      <c r="O425" t="n">
        <v>0</v>
      </c>
      <c r="P425" t="n">
        <v>0</v>
      </c>
      <c r="Q425" t="n">
        <v>0</v>
      </c>
      <c r="R425" s="2" t="inlineStr"/>
    </row>
    <row r="426" ht="15" customHeight="1">
      <c r="A426" t="inlineStr">
        <is>
          <t>A 15257-2025</t>
        </is>
      </c>
      <c r="B426" s="1" t="n">
        <v>45744</v>
      </c>
      <c r="C426" s="1" t="n">
        <v>45968</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46834-2023</t>
        </is>
      </c>
      <c r="B427" s="1" t="n">
        <v>45199.35668981481</v>
      </c>
      <c r="C427" s="1" t="n">
        <v>45968</v>
      </c>
      <c r="D427" t="inlineStr">
        <is>
          <t>DALARNAS LÄN</t>
        </is>
      </c>
      <c r="E427" t="inlineStr">
        <is>
          <t>LEKSAND</t>
        </is>
      </c>
      <c r="G427" t="n">
        <v>16.3</v>
      </c>
      <c r="H427" t="n">
        <v>0</v>
      </c>
      <c r="I427" t="n">
        <v>0</v>
      </c>
      <c r="J427" t="n">
        <v>0</v>
      </c>
      <c r="K427" t="n">
        <v>0</v>
      </c>
      <c r="L427" t="n">
        <v>0</v>
      </c>
      <c r="M427" t="n">
        <v>0</v>
      </c>
      <c r="N427" t="n">
        <v>0</v>
      </c>
      <c r="O427" t="n">
        <v>0</v>
      </c>
      <c r="P427" t="n">
        <v>0</v>
      </c>
      <c r="Q427" t="n">
        <v>0</v>
      </c>
      <c r="R427" s="2" t="inlineStr"/>
    </row>
    <row r="428" ht="15" customHeight="1">
      <c r="A428" t="inlineStr">
        <is>
          <t>A 36540-2025</t>
        </is>
      </c>
      <c r="B428" s="1" t="n">
        <v>45869.63885416667</v>
      </c>
      <c r="C428" s="1" t="n">
        <v>45968</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12851-2023</t>
        </is>
      </c>
      <c r="B429" s="1" t="n">
        <v>45001.49347222222</v>
      </c>
      <c r="C429" s="1" t="n">
        <v>45968</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28921-2023</t>
        </is>
      </c>
      <c r="B430" s="1" t="n">
        <v>45104</v>
      </c>
      <c r="C430" s="1" t="n">
        <v>45968</v>
      </c>
      <c r="D430" t="inlineStr">
        <is>
          <t>DALARNAS LÄN</t>
        </is>
      </c>
      <c r="E430" t="inlineStr">
        <is>
          <t>LEKSAND</t>
        </is>
      </c>
      <c r="G430" t="n">
        <v>4.4</v>
      </c>
      <c r="H430" t="n">
        <v>0</v>
      </c>
      <c r="I430" t="n">
        <v>0</v>
      </c>
      <c r="J430" t="n">
        <v>0</v>
      </c>
      <c r="K430" t="n">
        <v>0</v>
      </c>
      <c r="L430" t="n">
        <v>0</v>
      </c>
      <c r="M430" t="n">
        <v>0</v>
      </c>
      <c r="N430" t="n">
        <v>0</v>
      </c>
      <c r="O430" t="n">
        <v>0</v>
      </c>
      <c r="P430" t="n">
        <v>0</v>
      </c>
      <c r="Q430" t="n">
        <v>0</v>
      </c>
      <c r="R430" s="2" t="inlineStr"/>
    </row>
    <row r="431" ht="15" customHeight="1">
      <c r="A431" t="inlineStr">
        <is>
          <t>A 30998-2023</t>
        </is>
      </c>
      <c r="B431" s="1" t="n">
        <v>45113.54193287037</v>
      </c>
      <c r="C431" s="1" t="n">
        <v>45968</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31254-2023</t>
        </is>
      </c>
      <c r="B432" s="1" t="n">
        <v>45114</v>
      </c>
      <c r="C432" s="1" t="n">
        <v>45968</v>
      </c>
      <c r="D432" t="inlineStr">
        <is>
          <t>DALARNAS LÄN</t>
        </is>
      </c>
      <c r="E432" t="inlineStr">
        <is>
          <t>LEKSAND</t>
        </is>
      </c>
      <c r="G432" t="n">
        <v>1.4</v>
      </c>
      <c r="H432" t="n">
        <v>0</v>
      </c>
      <c r="I432" t="n">
        <v>0</v>
      </c>
      <c r="J432" t="n">
        <v>0</v>
      </c>
      <c r="K432" t="n">
        <v>0</v>
      </c>
      <c r="L432" t="n">
        <v>0</v>
      </c>
      <c r="M432" t="n">
        <v>0</v>
      </c>
      <c r="N432" t="n">
        <v>0</v>
      </c>
      <c r="O432" t="n">
        <v>0</v>
      </c>
      <c r="P432" t="n">
        <v>0</v>
      </c>
      <c r="Q432" t="n">
        <v>0</v>
      </c>
      <c r="R432" s="2" t="inlineStr"/>
    </row>
    <row r="433" ht="15" customHeight="1">
      <c r="A433" t="inlineStr">
        <is>
          <t>A 23283-2024</t>
        </is>
      </c>
      <c r="B433" s="1" t="n">
        <v>45453</v>
      </c>
      <c r="C433" s="1" t="n">
        <v>45968</v>
      </c>
      <c r="D433" t="inlineStr">
        <is>
          <t>DALARNAS LÄN</t>
        </is>
      </c>
      <c r="E433" t="inlineStr">
        <is>
          <t>LEKSAND</t>
        </is>
      </c>
      <c r="G433" t="n">
        <v>0.9</v>
      </c>
      <c r="H433" t="n">
        <v>0</v>
      </c>
      <c r="I433" t="n">
        <v>0</v>
      </c>
      <c r="J433" t="n">
        <v>0</v>
      </c>
      <c r="K433" t="n">
        <v>0</v>
      </c>
      <c r="L433" t="n">
        <v>0</v>
      </c>
      <c r="M433" t="n">
        <v>0</v>
      </c>
      <c r="N433" t="n">
        <v>0</v>
      </c>
      <c r="O433" t="n">
        <v>0</v>
      </c>
      <c r="P433" t="n">
        <v>0</v>
      </c>
      <c r="Q433" t="n">
        <v>0</v>
      </c>
      <c r="R433" s="2" t="inlineStr"/>
    </row>
    <row r="434" ht="15" customHeight="1">
      <c r="A434" t="inlineStr">
        <is>
          <t>A 39807-2024</t>
        </is>
      </c>
      <c r="B434" s="1" t="n">
        <v>45553.35763888889</v>
      </c>
      <c r="C434" s="1" t="n">
        <v>45968</v>
      </c>
      <c r="D434" t="inlineStr">
        <is>
          <t>DALARNAS LÄN</t>
        </is>
      </c>
      <c r="E434" t="inlineStr">
        <is>
          <t>LEKSAND</t>
        </is>
      </c>
      <c r="F434" t="inlineStr">
        <is>
          <t>Bergvik skog väst AB</t>
        </is>
      </c>
      <c r="G434" t="n">
        <v>1.2</v>
      </c>
      <c r="H434" t="n">
        <v>0</v>
      </c>
      <c r="I434" t="n">
        <v>0</v>
      </c>
      <c r="J434" t="n">
        <v>0</v>
      </c>
      <c r="K434" t="n">
        <v>0</v>
      </c>
      <c r="L434" t="n">
        <v>0</v>
      </c>
      <c r="M434" t="n">
        <v>0</v>
      </c>
      <c r="N434" t="n">
        <v>0</v>
      </c>
      <c r="O434" t="n">
        <v>0</v>
      </c>
      <c r="P434" t="n">
        <v>0</v>
      </c>
      <c r="Q434" t="n">
        <v>0</v>
      </c>
      <c r="R434" s="2" t="inlineStr"/>
    </row>
    <row r="435" ht="15" customHeight="1">
      <c r="A435" t="inlineStr">
        <is>
          <t>A 1463-2024</t>
        </is>
      </c>
      <c r="B435" s="1" t="n">
        <v>45303</v>
      </c>
      <c r="C435" s="1" t="n">
        <v>45968</v>
      </c>
      <c r="D435" t="inlineStr">
        <is>
          <t>DALARNAS LÄN</t>
        </is>
      </c>
      <c r="E435" t="inlineStr">
        <is>
          <t>LEKSAND</t>
        </is>
      </c>
      <c r="G435" t="n">
        <v>1.5</v>
      </c>
      <c r="H435" t="n">
        <v>0</v>
      </c>
      <c r="I435" t="n">
        <v>0</v>
      </c>
      <c r="J435" t="n">
        <v>0</v>
      </c>
      <c r="K435" t="n">
        <v>0</v>
      </c>
      <c r="L435" t="n">
        <v>0</v>
      </c>
      <c r="M435" t="n">
        <v>0</v>
      </c>
      <c r="N435" t="n">
        <v>0</v>
      </c>
      <c r="O435" t="n">
        <v>0</v>
      </c>
      <c r="P435" t="n">
        <v>0</v>
      </c>
      <c r="Q435" t="n">
        <v>0</v>
      </c>
      <c r="R435" s="2" t="inlineStr"/>
    </row>
    <row r="436" ht="15" customHeight="1">
      <c r="A436" t="inlineStr">
        <is>
          <t>A 16611-2024</t>
        </is>
      </c>
      <c r="B436" s="1" t="n">
        <v>45408.55504629629</v>
      </c>
      <c r="C436" s="1" t="n">
        <v>45968</v>
      </c>
      <c r="D436" t="inlineStr">
        <is>
          <t>DALARNAS LÄN</t>
        </is>
      </c>
      <c r="E436" t="inlineStr">
        <is>
          <t>LEKSAND</t>
        </is>
      </c>
      <c r="G436" t="n">
        <v>5.9</v>
      </c>
      <c r="H436" t="n">
        <v>0</v>
      </c>
      <c r="I436" t="n">
        <v>0</v>
      </c>
      <c r="J436" t="n">
        <v>0</v>
      </c>
      <c r="K436" t="n">
        <v>0</v>
      </c>
      <c r="L436" t="n">
        <v>0</v>
      </c>
      <c r="M436" t="n">
        <v>0</v>
      </c>
      <c r="N436" t="n">
        <v>0</v>
      </c>
      <c r="O436" t="n">
        <v>0</v>
      </c>
      <c r="P436" t="n">
        <v>0</v>
      </c>
      <c r="Q436" t="n">
        <v>0</v>
      </c>
      <c r="R436" s="2" t="inlineStr"/>
    </row>
    <row r="437" ht="15" customHeight="1">
      <c r="A437" t="inlineStr">
        <is>
          <t>A 51677-2024</t>
        </is>
      </c>
      <c r="B437" s="1" t="n">
        <v>45607.30265046296</v>
      </c>
      <c r="C437" s="1" t="n">
        <v>45968</v>
      </c>
      <c r="D437" t="inlineStr">
        <is>
          <t>DALARNAS LÄN</t>
        </is>
      </c>
      <c r="E437" t="inlineStr">
        <is>
          <t>LEKSAND</t>
        </is>
      </c>
      <c r="G437" t="n">
        <v>3.4</v>
      </c>
      <c r="H437" t="n">
        <v>0</v>
      </c>
      <c r="I437" t="n">
        <v>0</v>
      </c>
      <c r="J437" t="n">
        <v>0</v>
      </c>
      <c r="K437" t="n">
        <v>0</v>
      </c>
      <c r="L437" t="n">
        <v>0</v>
      </c>
      <c r="M437" t="n">
        <v>0</v>
      </c>
      <c r="N437" t="n">
        <v>0</v>
      </c>
      <c r="O437" t="n">
        <v>0</v>
      </c>
      <c r="P437" t="n">
        <v>0</v>
      </c>
      <c r="Q437" t="n">
        <v>0</v>
      </c>
      <c r="R437" s="2" t="inlineStr"/>
    </row>
    <row r="438" ht="15" customHeight="1">
      <c r="A438" t="inlineStr">
        <is>
          <t>A 34482-2022</t>
        </is>
      </c>
      <c r="B438" s="1" t="n">
        <v>44792</v>
      </c>
      <c r="C438" s="1" t="n">
        <v>45968</v>
      </c>
      <c r="D438" t="inlineStr">
        <is>
          <t>DALARNAS LÄN</t>
        </is>
      </c>
      <c r="E438" t="inlineStr">
        <is>
          <t>LEKSAND</t>
        </is>
      </c>
      <c r="G438" t="n">
        <v>2.6</v>
      </c>
      <c r="H438" t="n">
        <v>0</v>
      </c>
      <c r="I438" t="n">
        <v>0</v>
      </c>
      <c r="J438" t="n">
        <v>0</v>
      </c>
      <c r="K438" t="n">
        <v>0</v>
      </c>
      <c r="L438" t="n">
        <v>0</v>
      </c>
      <c r="M438" t="n">
        <v>0</v>
      </c>
      <c r="N438" t="n">
        <v>0</v>
      </c>
      <c r="O438" t="n">
        <v>0</v>
      </c>
      <c r="P438" t="n">
        <v>0</v>
      </c>
      <c r="Q438" t="n">
        <v>0</v>
      </c>
      <c r="R438" s="2" t="inlineStr"/>
    </row>
    <row r="439" ht="15" customHeight="1">
      <c r="A439" t="inlineStr">
        <is>
          <t>A 45768-2023</t>
        </is>
      </c>
      <c r="B439" s="1" t="n">
        <v>45195</v>
      </c>
      <c r="C439" s="1" t="n">
        <v>45968</v>
      </c>
      <c r="D439" t="inlineStr">
        <is>
          <t>DALARNAS LÄN</t>
        </is>
      </c>
      <c r="E439" t="inlineStr">
        <is>
          <t>LEKSAND</t>
        </is>
      </c>
      <c r="G439" t="n">
        <v>0.4</v>
      </c>
      <c r="H439" t="n">
        <v>0</v>
      </c>
      <c r="I439" t="n">
        <v>0</v>
      </c>
      <c r="J439" t="n">
        <v>0</v>
      </c>
      <c r="K439" t="n">
        <v>0</v>
      </c>
      <c r="L439" t="n">
        <v>0</v>
      </c>
      <c r="M439" t="n">
        <v>0</v>
      </c>
      <c r="N439" t="n">
        <v>0</v>
      </c>
      <c r="O439" t="n">
        <v>0</v>
      </c>
      <c r="P439" t="n">
        <v>0</v>
      </c>
      <c r="Q439" t="n">
        <v>0</v>
      </c>
      <c r="R439" s="2" t="inlineStr"/>
    </row>
    <row r="440" ht="15" customHeight="1">
      <c r="A440" t="inlineStr">
        <is>
          <t>A 5584-2024</t>
        </is>
      </c>
      <c r="B440" s="1" t="n">
        <v>45334</v>
      </c>
      <c r="C440" s="1" t="n">
        <v>45968</v>
      </c>
      <c r="D440" t="inlineStr">
        <is>
          <t>DALARNAS LÄN</t>
        </is>
      </c>
      <c r="E440" t="inlineStr">
        <is>
          <t>LEKSAND</t>
        </is>
      </c>
      <c r="F440" t="inlineStr">
        <is>
          <t>Kyrkan</t>
        </is>
      </c>
      <c r="G440" t="n">
        <v>0.4</v>
      </c>
      <c r="H440" t="n">
        <v>0</v>
      </c>
      <c r="I440" t="n">
        <v>0</v>
      </c>
      <c r="J440" t="n">
        <v>0</v>
      </c>
      <c r="K440" t="n">
        <v>0</v>
      </c>
      <c r="L440" t="n">
        <v>0</v>
      </c>
      <c r="M440" t="n">
        <v>0</v>
      </c>
      <c r="N440" t="n">
        <v>0</v>
      </c>
      <c r="O440" t="n">
        <v>0</v>
      </c>
      <c r="P440" t="n">
        <v>0</v>
      </c>
      <c r="Q440" t="n">
        <v>0</v>
      </c>
      <c r="R440" s="2" t="inlineStr"/>
    </row>
    <row r="441" ht="15" customHeight="1">
      <c r="A441" t="inlineStr">
        <is>
          <t>A 51860-2024</t>
        </is>
      </c>
      <c r="B441" s="1" t="n">
        <v>45607.54511574074</v>
      </c>
      <c r="C441" s="1" t="n">
        <v>45968</v>
      </c>
      <c r="D441" t="inlineStr">
        <is>
          <t>DALARNAS LÄN</t>
        </is>
      </c>
      <c r="E441" t="inlineStr">
        <is>
          <t>LEKSAND</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22681-2022</t>
        </is>
      </c>
      <c r="B442" s="1" t="n">
        <v>44714.50961805556</v>
      </c>
      <c r="C442" s="1" t="n">
        <v>45968</v>
      </c>
      <c r="D442" t="inlineStr">
        <is>
          <t>DALARNAS LÄN</t>
        </is>
      </c>
      <c r="E442" t="inlineStr">
        <is>
          <t>LEKSAND</t>
        </is>
      </c>
      <c r="F442" t="inlineStr">
        <is>
          <t>Bergvik skog väst AB</t>
        </is>
      </c>
      <c r="G442" t="n">
        <v>2.8</v>
      </c>
      <c r="H442" t="n">
        <v>0</v>
      </c>
      <c r="I442" t="n">
        <v>0</v>
      </c>
      <c r="J442" t="n">
        <v>0</v>
      </c>
      <c r="K442" t="n">
        <v>0</v>
      </c>
      <c r="L442" t="n">
        <v>0</v>
      </c>
      <c r="M442" t="n">
        <v>0</v>
      </c>
      <c r="N442" t="n">
        <v>0</v>
      </c>
      <c r="O442" t="n">
        <v>0</v>
      </c>
      <c r="P442" t="n">
        <v>0</v>
      </c>
      <c r="Q442" t="n">
        <v>0</v>
      </c>
      <c r="R442" s="2" t="inlineStr"/>
    </row>
    <row r="443" ht="15" customHeight="1">
      <c r="A443" t="inlineStr">
        <is>
          <t>A 25025-2023</t>
        </is>
      </c>
      <c r="B443" s="1" t="n">
        <v>45085.92146990741</v>
      </c>
      <c r="C443" s="1" t="n">
        <v>45968</v>
      </c>
      <c r="D443" t="inlineStr">
        <is>
          <t>DALARNAS LÄN</t>
        </is>
      </c>
      <c r="E443" t="inlineStr">
        <is>
          <t>LEKSAND</t>
        </is>
      </c>
      <c r="G443" t="n">
        <v>3</v>
      </c>
      <c r="H443" t="n">
        <v>0</v>
      </c>
      <c r="I443" t="n">
        <v>0</v>
      </c>
      <c r="J443" t="n">
        <v>0</v>
      </c>
      <c r="K443" t="n">
        <v>0</v>
      </c>
      <c r="L443" t="n">
        <v>0</v>
      </c>
      <c r="M443" t="n">
        <v>0</v>
      </c>
      <c r="N443" t="n">
        <v>0</v>
      </c>
      <c r="O443" t="n">
        <v>0</v>
      </c>
      <c r="P443" t="n">
        <v>0</v>
      </c>
      <c r="Q443" t="n">
        <v>0</v>
      </c>
      <c r="R443" s="2" t="inlineStr"/>
    </row>
    <row r="444" ht="15" customHeight="1">
      <c r="A444" t="inlineStr">
        <is>
          <t>A 25038-2023</t>
        </is>
      </c>
      <c r="B444" s="1" t="n">
        <v>45085</v>
      </c>
      <c r="C444" s="1" t="n">
        <v>45968</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17759-2023</t>
        </is>
      </c>
      <c r="B445" s="1" t="n">
        <v>45037.48765046296</v>
      </c>
      <c r="C445" s="1" t="n">
        <v>45968</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1457-2024</t>
        </is>
      </c>
      <c r="B446" s="1" t="n">
        <v>45303</v>
      </c>
      <c r="C446" s="1" t="n">
        <v>45968</v>
      </c>
      <c r="D446" t="inlineStr">
        <is>
          <t>DALARNAS LÄN</t>
        </is>
      </c>
      <c r="E446" t="inlineStr">
        <is>
          <t>LEKSAND</t>
        </is>
      </c>
      <c r="G446" t="n">
        <v>4.4</v>
      </c>
      <c r="H446" t="n">
        <v>0</v>
      </c>
      <c r="I446" t="n">
        <v>0</v>
      </c>
      <c r="J446" t="n">
        <v>0</v>
      </c>
      <c r="K446" t="n">
        <v>0</v>
      </c>
      <c r="L446" t="n">
        <v>0</v>
      </c>
      <c r="M446" t="n">
        <v>0</v>
      </c>
      <c r="N446" t="n">
        <v>0</v>
      </c>
      <c r="O446" t="n">
        <v>0</v>
      </c>
      <c r="P446" t="n">
        <v>0</v>
      </c>
      <c r="Q446" t="n">
        <v>0</v>
      </c>
      <c r="R446" s="2" t="inlineStr"/>
    </row>
    <row r="447" ht="15" customHeight="1">
      <c r="A447" t="inlineStr">
        <is>
          <t>A 11277-2025</t>
        </is>
      </c>
      <c r="B447" s="1" t="n">
        <v>45726.41565972222</v>
      </c>
      <c r="C447" s="1" t="n">
        <v>45968</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164-2023</t>
        </is>
      </c>
      <c r="B448" s="1" t="n">
        <v>44918</v>
      </c>
      <c r="C448" s="1" t="n">
        <v>45968</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5570-2024</t>
        </is>
      </c>
      <c r="B449" s="1" t="n">
        <v>45334</v>
      </c>
      <c r="C449" s="1" t="n">
        <v>45968</v>
      </c>
      <c r="D449" t="inlineStr">
        <is>
          <t>DALARNAS LÄN</t>
        </is>
      </c>
      <c r="E449" t="inlineStr">
        <is>
          <t>LEKSAND</t>
        </is>
      </c>
      <c r="G449" t="n">
        <v>0.3</v>
      </c>
      <c r="H449" t="n">
        <v>0</v>
      </c>
      <c r="I449" t="n">
        <v>0</v>
      </c>
      <c r="J449" t="n">
        <v>0</v>
      </c>
      <c r="K449" t="n">
        <v>0</v>
      </c>
      <c r="L449" t="n">
        <v>0</v>
      </c>
      <c r="M449" t="n">
        <v>0</v>
      </c>
      <c r="N449" t="n">
        <v>0</v>
      </c>
      <c r="O449" t="n">
        <v>0</v>
      </c>
      <c r="P449" t="n">
        <v>0</v>
      </c>
      <c r="Q449" t="n">
        <v>0</v>
      </c>
      <c r="R449" s="2" t="inlineStr"/>
    </row>
    <row r="450" ht="15" customHeight="1">
      <c r="A450" t="inlineStr">
        <is>
          <t>A 54917-2024</t>
        </is>
      </c>
      <c r="B450" s="1" t="n">
        <v>45618.69581018519</v>
      </c>
      <c r="C450" s="1" t="n">
        <v>45968</v>
      </c>
      <c r="D450" t="inlineStr">
        <is>
          <t>DALARNAS LÄN</t>
        </is>
      </c>
      <c r="E450" t="inlineStr">
        <is>
          <t>LEKSAND</t>
        </is>
      </c>
      <c r="G450" t="n">
        <v>1.2</v>
      </c>
      <c r="H450" t="n">
        <v>0</v>
      </c>
      <c r="I450" t="n">
        <v>0</v>
      </c>
      <c r="J450" t="n">
        <v>0</v>
      </c>
      <c r="K450" t="n">
        <v>0</v>
      </c>
      <c r="L450" t="n">
        <v>0</v>
      </c>
      <c r="M450" t="n">
        <v>0</v>
      </c>
      <c r="N450" t="n">
        <v>0</v>
      </c>
      <c r="O450" t="n">
        <v>0</v>
      </c>
      <c r="P450" t="n">
        <v>0</v>
      </c>
      <c r="Q450" t="n">
        <v>0</v>
      </c>
      <c r="R450" s="2" t="inlineStr"/>
    </row>
    <row r="451" ht="15" customHeight="1">
      <c r="A451" t="inlineStr">
        <is>
          <t>A 40007-2024</t>
        </is>
      </c>
      <c r="B451" s="1" t="n">
        <v>45553.6516550926</v>
      </c>
      <c r="C451" s="1" t="n">
        <v>45968</v>
      </c>
      <c r="D451" t="inlineStr">
        <is>
          <t>DALARNAS LÄN</t>
        </is>
      </c>
      <c r="E451" t="inlineStr">
        <is>
          <t>LEKSAND</t>
        </is>
      </c>
      <c r="F451" t="inlineStr">
        <is>
          <t>Bergvik skog väst AB</t>
        </is>
      </c>
      <c r="G451" t="n">
        <v>3.2</v>
      </c>
      <c r="H451" t="n">
        <v>0</v>
      </c>
      <c r="I451" t="n">
        <v>0</v>
      </c>
      <c r="J451" t="n">
        <v>0</v>
      </c>
      <c r="K451" t="n">
        <v>0</v>
      </c>
      <c r="L451" t="n">
        <v>0</v>
      </c>
      <c r="M451" t="n">
        <v>0</v>
      </c>
      <c r="N451" t="n">
        <v>0</v>
      </c>
      <c r="O451" t="n">
        <v>0</v>
      </c>
      <c r="P451" t="n">
        <v>0</v>
      </c>
      <c r="Q451" t="n">
        <v>0</v>
      </c>
      <c r="R451" s="2" t="inlineStr"/>
    </row>
    <row r="452" ht="15" customHeight="1">
      <c r="A452" t="inlineStr">
        <is>
          <t>A 11403-2023</t>
        </is>
      </c>
      <c r="B452" s="1" t="n">
        <v>44993</v>
      </c>
      <c r="C452" s="1" t="n">
        <v>45968</v>
      </c>
      <c r="D452" t="inlineStr">
        <is>
          <t>DALARNAS LÄN</t>
        </is>
      </c>
      <c r="E452" t="inlineStr">
        <is>
          <t>LEKSAND</t>
        </is>
      </c>
      <c r="G452" t="n">
        <v>0.1</v>
      </c>
      <c r="H452" t="n">
        <v>0</v>
      </c>
      <c r="I452" t="n">
        <v>0</v>
      </c>
      <c r="J452" t="n">
        <v>0</v>
      </c>
      <c r="K452" t="n">
        <v>0</v>
      </c>
      <c r="L452" t="n">
        <v>0</v>
      </c>
      <c r="M452" t="n">
        <v>0</v>
      </c>
      <c r="N452" t="n">
        <v>0</v>
      </c>
      <c r="O452" t="n">
        <v>0</v>
      </c>
      <c r="P452" t="n">
        <v>0</v>
      </c>
      <c r="Q452" t="n">
        <v>0</v>
      </c>
      <c r="R452" s="2" t="inlineStr"/>
    </row>
    <row r="453" ht="15" customHeight="1">
      <c r="A453" t="inlineStr">
        <is>
          <t>A 37508-2025</t>
        </is>
      </c>
      <c r="B453" s="1" t="n">
        <v>45877.66282407408</v>
      </c>
      <c r="C453" s="1" t="n">
        <v>45968</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33198-2022</t>
        </is>
      </c>
      <c r="B454" s="1" t="n">
        <v>44785.68597222222</v>
      </c>
      <c r="C454" s="1" t="n">
        <v>45968</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9938-2023</t>
        </is>
      </c>
      <c r="B455" s="1" t="n">
        <v>44985</v>
      </c>
      <c r="C455" s="1" t="n">
        <v>45968</v>
      </c>
      <c r="D455" t="inlineStr">
        <is>
          <t>DALARNAS LÄN</t>
        </is>
      </c>
      <c r="E455" t="inlineStr">
        <is>
          <t>LEKSAND</t>
        </is>
      </c>
      <c r="G455" t="n">
        <v>3.1</v>
      </c>
      <c r="H455" t="n">
        <v>0</v>
      </c>
      <c r="I455" t="n">
        <v>0</v>
      </c>
      <c r="J455" t="n">
        <v>0</v>
      </c>
      <c r="K455" t="n">
        <v>0</v>
      </c>
      <c r="L455" t="n">
        <v>0</v>
      </c>
      <c r="M455" t="n">
        <v>0</v>
      </c>
      <c r="N455" t="n">
        <v>0</v>
      </c>
      <c r="O455" t="n">
        <v>0</v>
      </c>
      <c r="P455" t="n">
        <v>0</v>
      </c>
      <c r="Q455" t="n">
        <v>0</v>
      </c>
      <c r="R455" s="2" t="inlineStr"/>
    </row>
    <row r="456" ht="15" customHeight="1">
      <c r="A456" t="inlineStr">
        <is>
          <t>A 31726-2024</t>
        </is>
      </c>
      <c r="B456" s="1" t="n">
        <v>45509.33908564815</v>
      </c>
      <c r="C456" s="1" t="n">
        <v>45968</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26957-2023</t>
        </is>
      </c>
      <c r="B457" s="1" t="n">
        <v>45093</v>
      </c>
      <c r="C457" s="1" t="n">
        <v>45968</v>
      </c>
      <c r="D457" t="inlineStr">
        <is>
          <t>DALARNAS LÄN</t>
        </is>
      </c>
      <c r="E457" t="inlineStr">
        <is>
          <t>LEKSAND</t>
        </is>
      </c>
      <c r="G457" t="n">
        <v>1.1</v>
      </c>
      <c r="H457" t="n">
        <v>0</v>
      </c>
      <c r="I457" t="n">
        <v>0</v>
      </c>
      <c r="J457" t="n">
        <v>0</v>
      </c>
      <c r="K457" t="n">
        <v>0</v>
      </c>
      <c r="L457" t="n">
        <v>0</v>
      </c>
      <c r="M457" t="n">
        <v>0</v>
      </c>
      <c r="N457" t="n">
        <v>0</v>
      </c>
      <c r="O457" t="n">
        <v>0</v>
      </c>
      <c r="P457" t="n">
        <v>0</v>
      </c>
      <c r="Q457" t="n">
        <v>0</v>
      </c>
      <c r="R457" s="2" t="inlineStr"/>
    </row>
    <row r="458" ht="15" customHeight="1">
      <c r="A458" t="inlineStr">
        <is>
          <t>A 39595-2023</t>
        </is>
      </c>
      <c r="B458" s="1" t="n">
        <v>45167</v>
      </c>
      <c r="C458" s="1" t="n">
        <v>45968</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60129-2023</t>
        </is>
      </c>
      <c r="B459" s="1" t="n">
        <v>45258.49056712963</v>
      </c>
      <c r="C459" s="1" t="n">
        <v>45968</v>
      </c>
      <c r="D459" t="inlineStr">
        <is>
          <t>DALARNAS LÄN</t>
        </is>
      </c>
      <c r="E459" t="inlineStr">
        <is>
          <t>LEKSAND</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3737-2023</t>
        </is>
      </c>
      <c r="B460" s="1" t="n">
        <v>44951.42983796296</v>
      </c>
      <c r="C460" s="1" t="n">
        <v>45968</v>
      </c>
      <c r="D460" t="inlineStr">
        <is>
          <t>DALARNAS LÄN</t>
        </is>
      </c>
      <c r="E460" t="inlineStr">
        <is>
          <t>LEKSAND</t>
        </is>
      </c>
      <c r="G460" t="n">
        <v>3.1</v>
      </c>
      <c r="H460" t="n">
        <v>0</v>
      </c>
      <c r="I460" t="n">
        <v>0</v>
      </c>
      <c r="J460" t="n">
        <v>0</v>
      </c>
      <c r="K460" t="n">
        <v>0</v>
      </c>
      <c r="L460" t="n">
        <v>0</v>
      </c>
      <c r="M460" t="n">
        <v>0</v>
      </c>
      <c r="N460" t="n">
        <v>0</v>
      </c>
      <c r="O460" t="n">
        <v>0</v>
      </c>
      <c r="P460" t="n">
        <v>0</v>
      </c>
      <c r="Q460" t="n">
        <v>0</v>
      </c>
      <c r="R460" s="2" t="inlineStr"/>
    </row>
    <row r="461" ht="15" customHeight="1">
      <c r="A461" t="inlineStr">
        <is>
          <t>A 43237-2024</t>
        </is>
      </c>
      <c r="B461" s="1" t="n">
        <v>45567</v>
      </c>
      <c r="C461" s="1" t="n">
        <v>45968</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40642-2023</t>
        </is>
      </c>
      <c r="B462" s="1" t="n">
        <v>45169</v>
      </c>
      <c r="C462" s="1" t="n">
        <v>45968</v>
      </c>
      <c r="D462" t="inlineStr">
        <is>
          <t>DALARNAS LÄN</t>
        </is>
      </c>
      <c r="E462" t="inlineStr">
        <is>
          <t>LEKSAND</t>
        </is>
      </c>
      <c r="G462" t="n">
        <v>1.9</v>
      </c>
      <c r="H462" t="n">
        <v>0</v>
      </c>
      <c r="I462" t="n">
        <v>0</v>
      </c>
      <c r="J462" t="n">
        <v>0</v>
      </c>
      <c r="K462" t="n">
        <v>0</v>
      </c>
      <c r="L462" t="n">
        <v>0</v>
      </c>
      <c r="M462" t="n">
        <v>0</v>
      </c>
      <c r="N462" t="n">
        <v>0</v>
      </c>
      <c r="O462" t="n">
        <v>0</v>
      </c>
      <c r="P462" t="n">
        <v>0</v>
      </c>
      <c r="Q462" t="n">
        <v>0</v>
      </c>
      <c r="R462" s="2" t="inlineStr"/>
    </row>
    <row r="463" ht="15" customHeight="1">
      <c r="A463" t="inlineStr">
        <is>
          <t>A 23068-2024</t>
        </is>
      </c>
      <c r="B463" s="1" t="n">
        <v>45450.45521990741</v>
      </c>
      <c r="C463" s="1" t="n">
        <v>45968</v>
      </c>
      <c r="D463" t="inlineStr">
        <is>
          <t>DALARNAS LÄN</t>
        </is>
      </c>
      <c r="E463" t="inlineStr">
        <is>
          <t>LEKSAND</t>
        </is>
      </c>
      <c r="G463" t="n">
        <v>2.4</v>
      </c>
      <c r="H463" t="n">
        <v>0</v>
      </c>
      <c r="I463" t="n">
        <v>0</v>
      </c>
      <c r="J463" t="n">
        <v>0</v>
      </c>
      <c r="K463" t="n">
        <v>0</v>
      </c>
      <c r="L463" t="n">
        <v>0</v>
      </c>
      <c r="M463" t="n">
        <v>0</v>
      </c>
      <c r="N463" t="n">
        <v>0</v>
      </c>
      <c r="O463" t="n">
        <v>0</v>
      </c>
      <c r="P463" t="n">
        <v>0</v>
      </c>
      <c r="Q463" t="n">
        <v>0</v>
      </c>
      <c r="R463" s="2" t="inlineStr"/>
    </row>
    <row r="464" ht="15" customHeight="1">
      <c r="A464" t="inlineStr">
        <is>
          <t>A 7894-2025</t>
        </is>
      </c>
      <c r="B464" s="1" t="n">
        <v>45707.30268518518</v>
      </c>
      <c r="C464" s="1" t="n">
        <v>45968</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72575-2021</t>
        </is>
      </c>
      <c r="B465" s="1" t="n">
        <v>44546</v>
      </c>
      <c r="C465" s="1" t="n">
        <v>45968</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72581-2021</t>
        </is>
      </c>
      <c r="B466" s="1" t="n">
        <v>44546.46354166666</v>
      </c>
      <c r="C466" s="1" t="n">
        <v>45968</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33143-2024</t>
        </is>
      </c>
      <c r="B467" s="1" t="n">
        <v>45518</v>
      </c>
      <c r="C467" s="1" t="n">
        <v>45968</v>
      </c>
      <c r="D467" t="inlineStr">
        <is>
          <t>DALARNAS LÄN</t>
        </is>
      </c>
      <c r="E467" t="inlineStr">
        <is>
          <t>LEKSAND</t>
        </is>
      </c>
      <c r="G467" t="n">
        <v>0.6</v>
      </c>
      <c r="H467" t="n">
        <v>0</v>
      </c>
      <c r="I467" t="n">
        <v>0</v>
      </c>
      <c r="J467" t="n">
        <v>0</v>
      </c>
      <c r="K467" t="n">
        <v>0</v>
      </c>
      <c r="L467" t="n">
        <v>0</v>
      </c>
      <c r="M467" t="n">
        <v>0</v>
      </c>
      <c r="N467" t="n">
        <v>0</v>
      </c>
      <c r="O467" t="n">
        <v>0</v>
      </c>
      <c r="P467" t="n">
        <v>0</v>
      </c>
      <c r="Q467" t="n">
        <v>0</v>
      </c>
      <c r="R467" s="2" t="inlineStr"/>
    </row>
    <row r="468" ht="15" customHeight="1">
      <c r="A468" t="inlineStr">
        <is>
          <t>A 37996-2025</t>
        </is>
      </c>
      <c r="B468" s="1" t="n">
        <v>45881.8299537037</v>
      </c>
      <c r="C468" s="1" t="n">
        <v>45968</v>
      </c>
      <c r="D468" t="inlineStr">
        <is>
          <t>DALARNAS LÄN</t>
        </is>
      </c>
      <c r="E468" t="inlineStr">
        <is>
          <t>LEKSAND</t>
        </is>
      </c>
      <c r="G468" t="n">
        <v>4.2</v>
      </c>
      <c r="H468" t="n">
        <v>0</v>
      </c>
      <c r="I468" t="n">
        <v>0</v>
      </c>
      <c r="J468" t="n">
        <v>0</v>
      </c>
      <c r="K468" t="n">
        <v>0</v>
      </c>
      <c r="L468" t="n">
        <v>0</v>
      </c>
      <c r="M468" t="n">
        <v>0</v>
      </c>
      <c r="N468" t="n">
        <v>0</v>
      </c>
      <c r="O468" t="n">
        <v>0</v>
      </c>
      <c r="P468" t="n">
        <v>0</v>
      </c>
      <c r="Q468" t="n">
        <v>0</v>
      </c>
      <c r="R468" s="2" t="inlineStr"/>
    </row>
    <row r="469" ht="15" customHeight="1">
      <c r="A469" t="inlineStr">
        <is>
          <t>A 57933-2024</t>
        </is>
      </c>
      <c r="B469" s="1" t="n">
        <v>45630</v>
      </c>
      <c r="C469" s="1" t="n">
        <v>45968</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19296-2024</t>
        </is>
      </c>
      <c r="B470" s="1" t="n">
        <v>45428.69438657408</v>
      </c>
      <c r="C470" s="1" t="n">
        <v>45968</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28965-2023</t>
        </is>
      </c>
      <c r="B471" s="1" t="n">
        <v>45104</v>
      </c>
      <c r="C471" s="1" t="n">
        <v>45968</v>
      </c>
      <c r="D471" t="inlineStr">
        <is>
          <t>DALARNAS LÄN</t>
        </is>
      </c>
      <c r="E471" t="inlineStr">
        <is>
          <t>LEKSAND</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60095-2022</t>
        </is>
      </c>
      <c r="B472" s="1" t="n">
        <v>44909</v>
      </c>
      <c r="C472" s="1" t="n">
        <v>45968</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16293-2025</t>
        </is>
      </c>
      <c r="B473" s="1" t="n">
        <v>45751.33447916667</v>
      </c>
      <c r="C473" s="1" t="n">
        <v>45968</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30595-2023</t>
        </is>
      </c>
      <c r="B474" s="1" t="n">
        <v>45112</v>
      </c>
      <c r="C474" s="1" t="n">
        <v>45968</v>
      </c>
      <c r="D474" t="inlineStr">
        <is>
          <t>DALARNAS LÄN</t>
        </is>
      </c>
      <c r="E474" t="inlineStr">
        <is>
          <t>LEKSAND</t>
        </is>
      </c>
      <c r="G474" t="n">
        <v>1.1</v>
      </c>
      <c r="H474" t="n">
        <v>0</v>
      </c>
      <c r="I474" t="n">
        <v>0</v>
      </c>
      <c r="J474" t="n">
        <v>0</v>
      </c>
      <c r="K474" t="n">
        <v>0</v>
      </c>
      <c r="L474" t="n">
        <v>0</v>
      </c>
      <c r="M474" t="n">
        <v>0</v>
      </c>
      <c r="N474" t="n">
        <v>0</v>
      </c>
      <c r="O474" t="n">
        <v>0</v>
      </c>
      <c r="P474" t="n">
        <v>0</v>
      </c>
      <c r="Q474" t="n">
        <v>0</v>
      </c>
      <c r="R474" s="2" t="inlineStr"/>
    </row>
    <row r="475" ht="15" customHeight="1">
      <c r="A475" t="inlineStr">
        <is>
          <t>A 6027-2025</t>
        </is>
      </c>
      <c r="B475" s="1" t="n">
        <v>45695</v>
      </c>
      <c r="C475" s="1" t="n">
        <v>45968</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38090-2025</t>
        </is>
      </c>
      <c r="B476" s="1" t="n">
        <v>45882.48440972222</v>
      </c>
      <c r="C476" s="1" t="n">
        <v>45968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6519-2025</t>
        </is>
      </c>
      <c r="B477" s="1" t="n">
        <v>45699</v>
      </c>
      <c r="C477" s="1" t="n">
        <v>45968</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11678-2023</t>
        </is>
      </c>
      <c r="B478" s="1" t="n">
        <v>44994</v>
      </c>
      <c r="C478" s="1" t="n">
        <v>45968</v>
      </c>
      <c r="D478" t="inlineStr">
        <is>
          <t>DALARNAS LÄN</t>
        </is>
      </c>
      <c r="E478" t="inlineStr">
        <is>
          <t>LEKSAND</t>
        </is>
      </c>
      <c r="G478" t="n">
        <v>0.9</v>
      </c>
      <c r="H478" t="n">
        <v>0</v>
      </c>
      <c r="I478" t="n">
        <v>0</v>
      </c>
      <c r="J478" t="n">
        <v>0</v>
      </c>
      <c r="K478" t="n">
        <v>0</v>
      </c>
      <c r="L478" t="n">
        <v>0</v>
      </c>
      <c r="M478" t="n">
        <v>0</v>
      </c>
      <c r="N478" t="n">
        <v>0</v>
      </c>
      <c r="O478" t="n">
        <v>0</v>
      </c>
      <c r="P478" t="n">
        <v>0</v>
      </c>
      <c r="Q478" t="n">
        <v>0</v>
      </c>
      <c r="R478" s="2" t="inlineStr"/>
    </row>
    <row r="479" ht="15" customHeight="1">
      <c r="A479" t="inlineStr">
        <is>
          <t>A 40755-2024</t>
        </is>
      </c>
      <c r="B479" s="1" t="n">
        <v>45558.45815972222</v>
      </c>
      <c r="C479" s="1" t="n">
        <v>45968</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47068-2025</t>
        </is>
      </c>
      <c r="B480" s="1" t="n">
        <v>45929.63511574074</v>
      </c>
      <c r="C480" s="1" t="n">
        <v>45968</v>
      </c>
      <c r="D480" t="inlineStr">
        <is>
          <t>DALARNAS LÄN</t>
        </is>
      </c>
      <c r="E480" t="inlineStr">
        <is>
          <t>LEKSAND</t>
        </is>
      </c>
      <c r="G480" t="n">
        <v>3.4</v>
      </c>
      <c r="H480" t="n">
        <v>0</v>
      </c>
      <c r="I480" t="n">
        <v>0</v>
      </c>
      <c r="J480" t="n">
        <v>0</v>
      </c>
      <c r="K480" t="n">
        <v>0</v>
      </c>
      <c r="L480" t="n">
        <v>0</v>
      </c>
      <c r="M480" t="n">
        <v>0</v>
      </c>
      <c r="N480" t="n">
        <v>0</v>
      </c>
      <c r="O480" t="n">
        <v>0</v>
      </c>
      <c r="P480" t="n">
        <v>0</v>
      </c>
      <c r="Q480" t="n">
        <v>0</v>
      </c>
      <c r="R480" s="2" t="inlineStr"/>
    </row>
    <row r="481" ht="15" customHeight="1">
      <c r="A481" t="inlineStr">
        <is>
          <t>A 38498-2025</t>
        </is>
      </c>
      <c r="B481" s="1" t="n">
        <v>45884.3706712963</v>
      </c>
      <c r="C481" s="1" t="n">
        <v>45968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8755-2023</t>
        </is>
      </c>
      <c r="B482" s="1" t="n">
        <v>44978</v>
      </c>
      <c r="C482" s="1" t="n">
        <v>45968</v>
      </c>
      <c r="D482" t="inlineStr">
        <is>
          <t>DALARNAS LÄN</t>
        </is>
      </c>
      <c r="E482" t="inlineStr">
        <is>
          <t>LEKSAND</t>
        </is>
      </c>
      <c r="G482" t="n">
        <v>2.3</v>
      </c>
      <c r="H482" t="n">
        <v>0</v>
      </c>
      <c r="I482" t="n">
        <v>0</v>
      </c>
      <c r="J482" t="n">
        <v>0</v>
      </c>
      <c r="K482" t="n">
        <v>0</v>
      </c>
      <c r="L482" t="n">
        <v>0</v>
      </c>
      <c r="M482" t="n">
        <v>0</v>
      </c>
      <c r="N482" t="n">
        <v>0</v>
      </c>
      <c r="O482" t="n">
        <v>0</v>
      </c>
      <c r="P482" t="n">
        <v>0</v>
      </c>
      <c r="Q482" t="n">
        <v>0</v>
      </c>
      <c r="R482" s="2" t="inlineStr"/>
    </row>
    <row r="483" ht="15" customHeight="1">
      <c r="A483" t="inlineStr">
        <is>
          <t>A 5582-2024</t>
        </is>
      </c>
      <c r="B483" s="1" t="n">
        <v>45334</v>
      </c>
      <c r="C483" s="1" t="n">
        <v>45968</v>
      </c>
      <c r="D483" t="inlineStr">
        <is>
          <t>DALARNAS LÄN</t>
        </is>
      </c>
      <c r="E483" t="inlineStr">
        <is>
          <t>LEKSAND</t>
        </is>
      </c>
      <c r="G483" t="n">
        <v>0.5</v>
      </c>
      <c r="H483" t="n">
        <v>0</v>
      </c>
      <c r="I483" t="n">
        <v>0</v>
      </c>
      <c r="J483" t="n">
        <v>0</v>
      </c>
      <c r="K483" t="n">
        <v>0</v>
      </c>
      <c r="L483" t="n">
        <v>0</v>
      </c>
      <c r="M483" t="n">
        <v>0</v>
      </c>
      <c r="N483" t="n">
        <v>0</v>
      </c>
      <c r="O483" t="n">
        <v>0</v>
      </c>
      <c r="P483" t="n">
        <v>0</v>
      </c>
      <c r="Q483" t="n">
        <v>0</v>
      </c>
      <c r="R483" s="2" t="inlineStr"/>
    </row>
    <row r="484" ht="15" customHeight="1">
      <c r="A484" t="inlineStr">
        <is>
          <t>A 61680-2024</t>
        </is>
      </c>
      <c r="B484" s="1" t="n">
        <v>45647.42890046296</v>
      </c>
      <c r="C484" s="1" t="n">
        <v>45968</v>
      </c>
      <c r="D484" t="inlineStr">
        <is>
          <t>DALARNAS LÄN</t>
        </is>
      </c>
      <c r="E484" t="inlineStr">
        <is>
          <t>LEKSAND</t>
        </is>
      </c>
      <c r="G484" t="n">
        <v>3.6</v>
      </c>
      <c r="H484" t="n">
        <v>0</v>
      </c>
      <c r="I484" t="n">
        <v>0</v>
      </c>
      <c r="J484" t="n">
        <v>0</v>
      </c>
      <c r="K484" t="n">
        <v>0</v>
      </c>
      <c r="L484" t="n">
        <v>0</v>
      </c>
      <c r="M484" t="n">
        <v>0</v>
      </c>
      <c r="N484" t="n">
        <v>0</v>
      </c>
      <c r="O484" t="n">
        <v>0</v>
      </c>
      <c r="P484" t="n">
        <v>0</v>
      </c>
      <c r="Q484" t="n">
        <v>0</v>
      </c>
      <c r="R484" s="2" t="inlineStr"/>
    </row>
    <row r="485" ht="15" customHeight="1">
      <c r="A485" t="inlineStr">
        <is>
          <t>A 62295-2023</t>
        </is>
      </c>
      <c r="B485" s="1" t="n">
        <v>45267</v>
      </c>
      <c r="C485" s="1" t="n">
        <v>45968</v>
      </c>
      <c r="D485" t="inlineStr">
        <is>
          <t>DALARNAS LÄN</t>
        </is>
      </c>
      <c r="E485" t="inlineStr">
        <is>
          <t>LEKSAND</t>
        </is>
      </c>
      <c r="G485" t="n">
        <v>2.5</v>
      </c>
      <c r="H485" t="n">
        <v>0</v>
      </c>
      <c r="I485" t="n">
        <v>0</v>
      </c>
      <c r="J485" t="n">
        <v>0</v>
      </c>
      <c r="K485" t="n">
        <v>0</v>
      </c>
      <c r="L485" t="n">
        <v>0</v>
      </c>
      <c r="M485" t="n">
        <v>0</v>
      </c>
      <c r="N485" t="n">
        <v>0</v>
      </c>
      <c r="O485" t="n">
        <v>0</v>
      </c>
      <c r="P485" t="n">
        <v>0</v>
      </c>
      <c r="Q485" t="n">
        <v>0</v>
      </c>
      <c r="R485" s="2" t="inlineStr"/>
    </row>
    <row r="486" ht="15" customHeight="1">
      <c r="A486" t="inlineStr">
        <is>
          <t>A 46505-2023</t>
        </is>
      </c>
      <c r="B486" s="1" t="n">
        <v>45197</v>
      </c>
      <c r="C486" s="1" t="n">
        <v>45968</v>
      </c>
      <c r="D486" t="inlineStr">
        <is>
          <t>DALARNAS LÄN</t>
        </is>
      </c>
      <c r="E486" t="inlineStr">
        <is>
          <t>LEKSAND</t>
        </is>
      </c>
      <c r="G486" t="n">
        <v>2.3</v>
      </c>
      <c r="H486" t="n">
        <v>0</v>
      </c>
      <c r="I486" t="n">
        <v>0</v>
      </c>
      <c r="J486" t="n">
        <v>0</v>
      </c>
      <c r="K486" t="n">
        <v>0</v>
      </c>
      <c r="L486" t="n">
        <v>0</v>
      </c>
      <c r="M486" t="n">
        <v>0</v>
      </c>
      <c r="N486" t="n">
        <v>0</v>
      </c>
      <c r="O486" t="n">
        <v>0</v>
      </c>
      <c r="P486" t="n">
        <v>0</v>
      </c>
      <c r="Q486" t="n">
        <v>0</v>
      </c>
      <c r="R486" s="2" t="inlineStr"/>
    </row>
    <row r="487" ht="15" customHeight="1">
      <c r="A487" t="inlineStr">
        <is>
          <t>A 15173-2025</t>
        </is>
      </c>
      <c r="B487" s="1" t="n">
        <v>45744.50858796296</v>
      </c>
      <c r="C487" s="1" t="n">
        <v>45968</v>
      </c>
      <c r="D487" t="inlineStr">
        <is>
          <t>DALARNAS LÄN</t>
        </is>
      </c>
      <c r="E487" t="inlineStr">
        <is>
          <t>LEKSAND</t>
        </is>
      </c>
      <c r="G487" t="n">
        <v>0.3</v>
      </c>
      <c r="H487" t="n">
        <v>0</v>
      </c>
      <c r="I487" t="n">
        <v>0</v>
      </c>
      <c r="J487" t="n">
        <v>0</v>
      </c>
      <c r="K487" t="n">
        <v>0</v>
      </c>
      <c r="L487" t="n">
        <v>0</v>
      </c>
      <c r="M487" t="n">
        <v>0</v>
      </c>
      <c r="N487" t="n">
        <v>0</v>
      </c>
      <c r="O487" t="n">
        <v>0</v>
      </c>
      <c r="P487" t="n">
        <v>0</v>
      </c>
      <c r="Q487" t="n">
        <v>0</v>
      </c>
      <c r="R487" s="2" t="inlineStr"/>
    </row>
    <row r="488" ht="15" customHeight="1">
      <c r="A488" t="inlineStr">
        <is>
          <t>A 58619-2022</t>
        </is>
      </c>
      <c r="B488" s="1" t="n">
        <v>44902.59579861111</v>
      </c>
      <c r="C488" s="1" t="n">
        <v>45968</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61054-2023</t>
        </is>
      </c>
      <c r="B489" s="1" t="n">
        <v>45261</v>
      </c>
      <c r="C489" s="1" t="n">
        <v>45968</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61056-2023</t>
        </is>
      </c>
      <c r="B490" s="1" t="n">
        <v>45261</v>
      </c>
      <c r="C490" s="1" t="n">
        <v>45968</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46978-2025</t>
        </is>
      </c>
      <c r="B491" s="1" t="n">
        <v>45929.51811342593</v>
      </c>
      <c r="C491" s="1" t="n">
        <v>45968</v>
      </c>
      <c r="D491" t="inlineStr">
        <is>
          <t>DALARNAS LÄN</t>
        </is>
      </c>
      <c r="E491" t="inlineStr">
        <is>
          <t>LEKSAND</t>
        </is>
      </c>
      <c r="G491" t="n">
        <v>2</v>
      </c>
      <c r="H491" t="n">
        <v>0</v>
      </c>
      <c r="I491" t="n">
        <v>0</v>
      </c>
      <c r="J491" t="n">
        <v>0</v>
      </c>
      <c r="K491" t="n">
        <v>0</v>
      </c>
      <c r="L491" t="n">
        <v>0</v>
      </c>
      <c r="M491" t="n">
        <v>0</v>
      </c>
      <c r="N491" t="n">
        <v>0</v>
      </c>
      <c r="O491" t="n">
        <v>0</v>
      </c>
      <c r="P491" t="n">
        <v>0</v>
      </c>
      <c r="Q491" t="n">
        <v>0</v>
      </c>
      <c r="R491" s="2" t="inlineStr"/>
    </row>
    <row r="492" ht="15" customHeight="1">
      <c r="A492" t="inlineStr">
        <is>
          <t>A 7897-2025</t>
        </is>
      </c>
      <c r="B492" s="1" t="n">
        <v>45707.30969907407</v>
      </c>
      <c r="C492" s="1" t="n">
        <v>45968</v>
      </c>
      <c r="D492" t="inlineStr">
        <is>
          <t>DALARNAS LÄN</t>
        </is>
      </c>
      <c r="E492" t="inlineStr">
        <is>
          <t>LEKSAND</t>
        </is>
      </c>
      <c r="G492" t="n">
        <v>3.1</v>
      </c>
      <c r="H492" t="n">
        <v>0</v>
      </c>
      <c r="I492" t="n">
        <v>0</v>
      </c>
      <c r="J492" t="n">
        <v>0</v>
      </c>
      <c r="K492" t="n">
        <v>0</v>
      </c>
      <c r="L492" t="n">
        <v>0</v>
      </c>
      <c r="M492" t="n">
        <v>0</v>
      </c>
      <c r="N492" t="n">
        <v>0</v>
      </c>
      <c r="O492" t="n">
        <v>0</v>
      </c>
      <c r="P492" t="n">
        <v>0</v>
      </c>
      <c r="Q492" t="n">
        <v>0</v>
      </c>
      <c r="R492" s="2" t="inlineStr"/>
    </row>
    <row r="493" ht="15" customHeight="1">
      <c r="A493" t="inlineStr">
        <is>
          <t>A 38721-2025</t>
        </is>
      </c>
      <c r="B493" s="1" t="n">
        <v>45886.83605324074</v>
      </c>
      <c r="C493" s="1" t="n">
        <v>45968</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6846-2023</t>
        </is>
      </c>
      <c r="B494" s="1" t="n">
        <v>44967.43953703704</v>
      </c>
      <c r="C494" s="1" t="n">
        <v>45968</v>
      </c>
      <c r="D494" t="inlineStr">
        <is>
          <t>DALARNAS LÄN</t>
        </is>
      </c>
      <c r="E494" t="inlineStr">
        <is>
          <t>LEKSAND</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46949-2025</t>
        </is>
      </c>
      <c r="B495" s="1" t="n">
        <v>45929.46811342592</v>
      </c>
      <c r="C495" s="1" t="n">
        <v>45968</v>
      </c>
      <c r="D495" t="inlineStr">
        <is>
          <t>DALARNAS LÄN</t>
        </is>
      </c>
      <c r="E495" t="inlineStr">
        <is>
          <t>LEKSAND</t>
        </is>
      </c>
      <c r="G495" t="n">
        <v>5</v>
      </c>
      <c r="H495" t="n">
        <v>0</v>
      </c>
      <c r="I495" t="n">
        <v>0</v>
      </c>
      <c r="J495" t="n">
        <v>0</v>
      </c>
      <c r="K495" t="n">
        <v>0</v>
      </c>
      <c r="L495" t="n">
        <v>0</v>
      </c>
      <c r="M495" t="n">
        <v>0</v>
      </c>
      <c r="N495" t="n">
        <v>0</v>
      </c>
      <c r="O495" t="n">
        <v>0</v>
      </c>
      <c r="P495" t="n">
        <v>0</v>
      </c>
      <c r="Q495" t="n">
        <v>0</v>
      </c>
      <c r="R495" s="2" t="inlineStr"/>
    </row>
    <row r="496" ht="15" customHeight="1">
      <c r="A496" t="inlineStr">
        <is>
          <t>A 17413-2023</t>
        </is>
      </c>
      <c r="B496" s="1" t="n">
        <v>45035</v>
      </c>
      <c r="C496" s="1" t="n">
        <v>45968</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776-2021</t>
        </is>
      </c>
      <c r="B497" s="1" t="n">
        <v>44203</v>
      </c>
      <c r="C497" s="1" t="n">
        <v>45968</v>
      </c>
      <c r="D497" t="inlineStr">
        <is>
          <t>DALARNAS LÄN</t>
        </is>
      </c>
      <c r="E497" t="inlineStr">
        <is>
          <t>LEKSAND</t>
        </is>
      </c>
      <c r="G497" t="n">
        <v>21</v>
      </c>
      <c r="H497" t="n">
        <v>0</v>
      </c>
      <c r="I497" t="n">
        <v>0</v>
      </c>
      <c r="J497" t="n">
        <v>0</v>
      </c>
      <c r="K497" t="n">
        <v>0</v>
      </c>
      <c r="L497" t="n">
        <v>0</v>
      </c>
      <c r="M497" t="n">
        <v>0</v>
      </c>
      <c r="N497" t="n">
        <v>0</v>
      </c>
      <c r="O497" t="n">
        <v>0</v>
      </c>
      <c r="P497" t="n">
        <v>0</v>
      </c>
      <c r="Q497" t="n">
        <v>0</v>
      </c>
      <c r="R497" s="2" t="inlineStr"/>
    </row>
    <row r="498" ht="15" customHeight="1">
      <c r="A498" t="inlineStr">
        <is>
          <t>A 1775-2022</t>
        </is>
      </c>
      <c r="B498" s="1" t="n">
        <v>44574</v>
      </c>
      <c r="C498" s="1" t="n">
        <v>45968</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47640-2024</t>
        </is>
      </c>
      <c r="B499" s="1" t="n">
        <v>45588.36508101852</v>
      </c>
      <c r="C499" s="1" t="n">
        <v>45968</v>
      </c>
      <c r="D499" t="inlineStr">
        <is>
          <t>DALARNAS LÄN</t>
        </is>
      </c>
      <c r="E499" t="inlineStr">
        <is>
          <t>LEKSAND</t>
        </is>
      </c>
      <c r="G499" t="n">
        <v>9.1</v>
      </c>
      <c r="H499" t="n">
        <v>0</v>
      </c>
      <c r="I499" t="n">
        <v>0</v>
      </c>
      <c r="J499" t="n">
        <v>0</v>
      </c>
      <c r="K499" t="n">
        <v>0</v>
      </c>
      <c r="L499" t="n">
        <v>0</v>
      </c>
      <c r="M499" t="n">
        <v>0</v>
      </c>
      <c r="N499" t="n">
        <v>0</v>
      </c>
      <c r="O499" t="n">
        <v>0</v>
      </c>
      <c r="P499" t="n">
        <v>0</v>
      </c>
      <c r="Q499" t="n">
        <v>0</v>
      </c>
      <c r="R499" s="2" t="inlineStr"/>
    </row>
    <row r="500" ht="15" customHeight="1">
      <c r="A500" t="inlineStr">
        <is>
          <t>A 56753-2023</t>
        </is>
      </c>
      <c r="B500" s="1" t="n">
        <v>45244.37094907407</v>
      </c>
      <c r="C500" s="1" t="n">
        <v>45968</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402-2024</t>
        </is>
      </c>
      <c r="B501" s="1" t="n">
        <v>45296.45545138889</v>
      </c>
      <c r="C501" s="1" t="n">
        <v>45968</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8045-2024</t>
        </is>
      </c>
      <c r="B502" s="1" t="n">
        <v>45351.31371527778</v>
      </c>
      <c r="C502" s="1" t="n">
        <v>45968</v>
      </c>
      <c r="D502" t="inlineStr">
        <is>
          <t>DALARNAS LÄN</t>
        </is>
      </c>
      <c r="E502" t="inlineStr">
        <is>
          <t>LEKSAND</t>
        </is>
      </c>
      <c r="G502" t="n">
        <v>6.7</v>
      </c>
      <c r="H502" t="n">
        <v>0</v>
      </c>
      <c r="I502" t="n">
        <v>0</v>
      </c>
      <c r="J502" t="n">
        <v>0</v>
      </c>
      <c r="K502" t="n">
        <v>0</v>
      </c>
      <c r="L502" t="n">
        <v>0</v>
      </c>
      <c r="M502" t="n">
        <v>0</v>
      </c>
      <c r="N502" t="n">
        <v>0</v>
      </c>
      <c r="O502" t="n">
        <v>0</v>
      </c>
      <c r="P502" t="n">
        <v>0</v>
      </c>
      <c r="Q502" t="n">
        <v>0</v>
      </c>
      <c r="R502" s="2" t="inlineStr"/>
    </row>
    <row r="503" ht="15" customHeight="1">
      <c r="A503" t="inlineStr">
        <is>
          <t>A 33001-2023</t>
        </is>
      </c>
      <c r="B503" s="1" t="n">
        <v>45125</v>
      </c>
      <c r="C503" s="1" t="n">
        <v>45968</v>
      </c>
      <c r="D503" t="inlineStr">
        <is>
          <t>DALARNAS LÄN</t>
        </is>
      </c>
      <c r="E503" t="inlineStr">
        <is>
          <t>LEKSAND</t>
        </is>
      </c>
      <c r="F503" t="inlineStr">
        <is>
          <t>Bergvik skog väst AB</t>
        </is>
      </c>
      <c r="G503" t="n">
        <v>3</v>
      </c>
      <c r="H503" t="n">
        <v>0</v>
      </c>
      <c r="I503" t="n">
        <v>0</v>
      </c>
      <c r="J503" t="n">
        <v>0</v>
      </c>
      <c r="K503" t="n">
        <v>0</v>
      </c>
      <c r="L503" t="n">
        <v>0</v>
      </c>
      <c r="M503" t="n">
        <v>0</v>
      </c>
      <c r="N503" t="n">
        <v>0</v>
      </c>
      <c r="O503" t="n">
        <v>0</v>
      </c>
      <c r="P503" t="n">
        <v>0</v>
      </c>
      <c r="Q503" t="n">
        <v>0</v>
      </c>
      <c r="R503" s="2" t="inlineStr"/>
    </row>
    <row r="504" ht="15" customHeight="1">
      <c r="A504" t="inlineStr">
        <is>
          <t>A 1946-2024</t>
        </is>
      </c>
      <c r="B504" s="1" t="n">
        <v>45308</v>
      </c>
      <c r="C504" s="1" t="n">
        <v>45968</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43077-2024</t>
        </is>
      </c>
      <c r="B505" s="1" t="n">
        <v>45567.50030092592</v>
      </c>
      <c r="C505" s="1" t="n">
        <v>45968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57899-2024</t>
        </is>
      </c>
      <c r="B506" s="1" t="n">
        <v>45630</v>
      </c>
      <c r="C506" s="1" t="n">
        <v>45968</v>
      </c>
      <c r="D506" t="inlineStr">
        <is>
          <t>DALARNAS LÄN</t>
        </is>
      </c>
      <c r="E506" t="inlineStr">
        <is>
          <t>LEKSAND</t>
        </is>
      </c>
      <c r="G506" t="n">
        <v>0.6</v>
      </c>
      <c r="H506" t="n">
        <v>0</v>
      </c>
      <c r="I506" t="n">
        <v>0</v>
      </c>
      <c r="J506" t="n">
        <v>0</v>
      </c>
      <c r="K506" t="n">
        <v>0</v>
      </c>
      <c r="L506" t="n">
        <v>0</v>
      </c>
      <c r="M506" t="n">
        <v>0</v>
      </c>
      <c r="N506" t="n">
        <v>0</v>
      </c>
      <c r="O506" t="n">
        <v>0</v>
      </c>
      <c r="P506" t="n">
        <v>0</v>
      </c>
      <c r="Q506" t="n">
        <v>0</v>
      </c>
      <c r="R506" s="2" t="inlineStr"/>
    </row>
    <row r="507" ht="15" customHeight="1">
      <c r="A507" t="inlineStr">
        <is>
          <t>A 60873-2023</t>
        </is>
      </c>
      <c r="B507" s="1" t="n">
        <v>45261.03266203704</v>
      </c>
      <c r="C507" s="1" t="n">
        <v>45968</v>
      </c>
      <c r="D507" t="inlineStr">
        <is>
          <t>DALARNAS LÄN</t>
        </is>
      </c>
      <c r="E507" t="inlineStr">
        <is>
          <t>LEKSAND</t>
        </is>
      </c>
      <c r="G507" t="n">
        <v>5.2</v>
      </c>
      <c r="H507" t="n">
        <v>0</v>
      </c>
      <c r="I507" t="n">
        <v>0</v>
      </c>
      <c r="J507" t="n">
        <v>0</v>
      </c>
      <c r="K507" t="n">
        <v>0</v>
      </c>
      <c r="L507" t="n">
        <v>0</v>
      </c>
      <c r="M507" t="n">
        <v>0</v>
      </c>
      <c r="N507" t="n">
        <v>0</v>
      </c>
      <c r="O507" t="n">
        <v>0</v>
      </c>
      <c r="P507" t="n">
        <v>0</v>
      </c>
      <c r="Q507" t="n">
        <v>0</v>
      </c>
      <c r="R507" s="2" t="inlineStr"/>
    </row>
    <row r="508" ht="15" customHeight="1">
      <c r="A508" t="inlineStr">
        <is>
          <t>A 32394-2024</t>
        </is>
      </c>
      <c r="B508" s="1" t="n">
        <v>45512.64349537037</v>
      </c>
      <c r="C508" s="1" t="n">
        <v>45968</v>
      </c>
      <c r="D508" t="inlineStr">
        <is>
          <t>DALARNAS LÄN</t>
        </is>
      </c>
      <c r="E508" t="inlineStr">
        <is>
          <t>LEKSAND</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12581-2025</t>
        </is>
      </c>
      <c r="B509" s="1" t="n">
        <v>45732.62201388889</v>
      </c>
      <c r="C509" s="1" t="n">
        <v>45968</v>
      </c>
      <c r="D509" t="inlineStr">
        <is>
          <t>DALARNAS LÄN</t>
        </is>
      </c>
      <c r="E509" t="inlineStr">
        <is>
          <t>LEKSAND</t>
        </is>
      </c>
      <c r="G509" t="n">
        <v>5.1</v>
      </c>
      <c r="H509" t="n">
        <v>0</v>
      </c>
      <c r="I509" t="n">
        <v>0</v>
      </c>
      <c r="J509" t="n">
        <v>0</v>
      </c>
      <c r="K509" t="n">
        <v>0</v>
      </c>
      <c r="L509" t="n">
        <v>0</v>
      </c>
      <c r="M509" t="n">
        <v>0</v>
      </c>
      <c r="N509" t="n">
        <v>0</v>
      </c>
      <c r="O509" t="n">
        <v>0</v>
      </c>
      <c r="P509" t="n">
        <v>0</v>
      </c>
      <c r="Q509" t="n">
        <v>0</v>
      </c>
      <c r="R509" s="2" t="inlineStr"/>
    </row>
    <row r="510" ht="15" customHeight="1">
      <c r="A510" t="inlineStr">
        <is>
          <t>A 12620-2025</t>
        </is>
      </c>
      <c r="B510" s="1" t="n">
        <v>45733.35498842593</v>
      </c>
      <c r="C510" s="1" t="n">
        <v>45968</v>
      </c>
      <c r="D510" t="inlineStr">
        <is>
          <t>DALARNAS LÄN</t>
        </is>
      </c>
      <c r="E510" t="inlineStr">
        <is>
          <t>LEKSAND</t>
        </is>
      </c>
      <c r="F510" t="inlineStr">
        <is>
          <t>Bergvik skog väst AB</t>
        </is>
      </c>
      <c r="G510" t="n">
        <v>3.9</v>
      </c>
      <c r="H510" t="n">
        <v>0</v>
      </c>
      <c r="I510" t="n">
        <v>0</v>
      </c>
      <c r="J510" t="n">
        <v>0</v>
      </c>
      <c r="K510" t="n">
        <v>0</v>
      </c>
      <c r="L510" t="n">
        <v>0</v>
      </c>
      <c r="M510" t="n">
        <v>0</v>
      </c>
      <c r="N510" t="n">
        <v>0</v>
      </c>
      <c r="O510" t="n">
        <v>0</v>
      </c>
      <c r="P510" t="n">
        <v>0</v>
      </c>
      <c r="Q510" t="n">
        <v>0</v>
      </c>
      <c r="R510" s="2" t="inlineStr"/>
    </row>
    <row r="511" ht="15" customHeight="1">
      <c r="A511" t="inlineStr">
        <is>
          <t>A 12623-2025</t>
        </is>
      </c>
      <c r="B511" s="1" t="n">
        <v>45733.36079861111</v>
      </c>
      <c r="C511" s="1" t="n">
        <v>45968</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11015-2022</t>
        </is>
      </c>
      <c r="B512" s="1" t="n">
        <v>44628.52340277778</v>
      </c>
      <c r="C512" s="1" t="n">
        <v>45968</v>
      </c>
      <c r="D512" t="inlineStr">
        <is>
          <t>DALARNAS LÄN</t>
        </is>
      </c>
      <c r="E512" t="inlineStr">
        <is>
          <t>LEKSAND</t>
        </is>
      </c>
      <c r="G512" t="n">
        <v>1.4</v>
      </c>
      <c r="H512" t="n">
        <v>0</v>
      </c>
      <c r="I512" t="n">
        <v>0</v>
      </c>
      <c r="J512" t="n">
        <v>0</v>
      </c>
      <c r="K512" t="n">
        <v>0</v>
      </c>
      <c r="L512" t="n">
        <v>0</v>
      </c>
      <c r="M512" t="n">
        <v>0</v>
      </c>
      <c r="N512" t="n">
        <v>0</v>
      </c>
      <c r="O512" t="n">
        <v>0</v>
      </c>
      <c r="P512" t="n">
        <v>0</v>
      </c>
      <c r="Q512" t="n">
        <v>0</v>
      </c>
      <c r="R512" s="2" t="inlineStr"/>
    </row>
    <row r="513" ht="15" customHeight="1">
      <c r="A513" t="inlineStr">
        <is>
          <t>A 27445-2024</t>
        </is>
      </c>
      <c r="B513" s="1" t="n">
        <v>45474.42474537037</v>
      </c>
      <c r="C513" s="1" t="n">
        <v>45968</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40752-2024</t>
        </is>
      </c>
      <c r="B514" s="1" t="n">
        <v>45558.45638888889</v>
      </c>
      <c r="C514" s="1" t="n">
        <v>45968</v>
      </c>
      <c r="D514" t="inlineStr">
        <is>
          <t>DALARNAS LÄN</t>
        </is>
      </c>
      <c r="E514" t="inlineStr">
        <is>
          <t>LEKSAND</t>
        </is>
      </c>
      <c r="G514" t="n">
        <v>1</v>
      </c>
      <c r="H514" t="n">
        <v>0</v>
      </c>
      <c r="I514" t="n">
        <v>0</v>
      </c>
      <c r="J514" t="n">
        <v>0</v>
      </c>
      <c r="K514" t="n">
        <v>0</v>
      </c>
      <c r="L514" t="n">
        <v>0</v>
      </c>
      <c r="M514" t="n">
        <v>0</v>
      </c>
      <c r="N514" t="n">
        <v>0</v>
      </c>
      <c r="O514" t="n">
        <v>0</v>
      </c>
      <c r="P514" t="n">
        <v>0</v>
      </c>
      <c r="Q514" t="n">
        <v>0</v>
      </c>
      <c r="R514" s="2" t="inlineStr"/>
    </row>
    <row r="515" ht="15" customHeight="1">
      <c r="A515" t="inlineStr">
        <is>
          <t>A 15882-2023</t>
        </is>
      </c>
      <c r="B515" s="1" t="n">
        <v>45022</v>
      </c>
      <c r="C515" s="1" t="n">
        <v>45968</v>
      </c>
      <c r="D515" t="inlineStr">
        <is>
          <t>DALARNAS LÄN</t>
        </is>
      </c>
      <c r="E515" t="inlineStr">
        <is>
          <t>LEKSAND</t>
        </is>
      </c>
      <c r="G515" t="n">
        <v>0.1</v>
      </c>
      <c r="H515" t="n">
        <v>0</v>
      </c>
      <c r="I515" t="n">
        <v>0</v>
      </c>
      <c r="J515" t="n">
        <v>0</v>
      </c>
      <c r="K515" t="n">
        <v>0</v>
      </c>
      <c r="L515" t="n">
        <v>0</v>
      </c>
      <c r="M515" t="n">
        <v>0</v>
      </c>
      <c r="N515" t="n">
        <v>0</v>
      </c>
      <c r="O515" t="n">
        <v>0</v>
      </c>
      <c r="P515" t="n">
        <v>0</v>
      </c>
      <c r="Q515" t="n">
        <v>0</v>
      </c>
      <c r="R515" s="2" t="inlineStr"/>
    </row>
    <row r="516" ht="15" customHeight="1">
      <c r="A516" t="inlineStr">
        <is>
          <t>A 5583-2024</t>
        </is>
      </c>
      <c r="B516" s="1" t="n">
        <v>45334</v>
      </c>
      <c r="C516" s="1" t="n">
        <v>45968</v>
      </c>
      <c r="D516" t="inlineStr">
        <is>
          <t>DALARNAS LÄN</t>
        </is>
      </c>
      <c r="E516" t="inlineStr">
        <is>
          <t>LEKSAND</t>
        </is>
      </c>
      <c r="F516" t="inlineStr">
        <is>
          <t>Kyrkan</t>
        </is>
      </c>
      <c r="G516" t="n">
        <v>0.4</v>
      </c>
      <c r="H516" t="n">
        <v>0</v>
      </c>
      <c r="I516" t="n">
        <v>0</v>
      </c>
      <c r="J516" t="n">
        <v>0</v>
      </c>
      <c r="K516" t="n">
        <v>0</v>
      </c>
      <c r="L516" t="n">
        <v>0</v>
      </c>
      <c r="M516" t="n">
        <v>0</v>
      </c>
      <c r="N516" t="n">
        <v>0</v>
      </c>
      <c r="O516" t="n">
        <v>0</v>
      </c>
      <c r="P516" t="n">
        <v>0</v>
      </c>
      <c r="Q516" t="n">
        <v>0</v>
      </c>
      <c r="R516" s="2" t="inlineStr"/>
    </row>
    <row r="517" ht="15" customHeight="1">
      <c r="A517" t="inlineStr">
        <is>
          <t>A 56950-2024</t>
        </is>
      </c>
      <c r="B517" s="1" t="n">
        <v>45625</v>
      </c>
      <c r="C517" s="1" t="n">
        <v>45968</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15120-2023</t>
        </is>
      </c>
      <c r="B518" s="1" t="n">
        <v>45016.46484953703</v>
      </c>
      <c r="C518" s="1" t="n">
        <v>45968</v>
      </c>
      <c r="D518" t="inlineStr">
        <is>
          <t>DALARNAS LÄN</t>
        </is>
      </c>
      <c r="E518" t="inlineStr">
        <is>
          <t>LEKSAND</t>
        </is>
      </c>
      <c r="G518" t="n">
        <v>2.7</v>
      </c>
      <c r="H518" t="n">
        <v>0</v>
      </c>
      <c r="I518" t="n">
        <v>0</v>
      </c>
      <c r="J518" t="n">
        <v>0</v>
      </c>
      <c r="K518" t="n">
        <v>0</v>
      </c>
      <c r="L518" t="n">
        <v>0</v>
      </c>
      <c r="M518" t="n">
        <v>0</v>
      </c>
      <c r="N518" t="n">
        <v>0</v>
      </c>
      <c r="O518" t="n">
        <v>0</v>
      </c>
      <c r="P518" t="n">
        <v>0</v>
      </c>
      <c r="Q518" t="n">
        <v>0</v>
      </c>
      <c r="R518" s="2" t="inlineStr"/>
    </row>
    <row r="519" ht="15" customHeight="1">
      <c r="A519" t="inlineStr">
        <is>
          <t>A 43693-2022</t>
        </is>
      </c>
      <c r="B519" s="1" t="n">
        <v>44837.6369212963</v>
      </c>
      <c r="C519" s="1" t="n">
        <v>45968</v>
      </c>
      <c r="D519" t="inlineStr">
        <is>
          <t>DALARNAS LÄN</t>
        </is>
      </c>
      <c r="E519" t="inlineStr">
        <is>
          <t>LEKSAND</t>
        </is>
      </c>
      <c r="G519" t="n">
        <v>2.7</v>
      </c>
      <c r="H519" t="n">
        <v>0</v>
      </c>
      <c r="I519" t="n">
        <v>0</v>
      </c>
      <c r="J519" t="n">
        <v>0</v>
      </c>
      <c r="K519" t="n">
        <v>0</v>
      </c>
      <c r="L519" t="n">
        <v>0</v>
      </c>
      <c r="M519" t="n">
        <v>0</v>
      </c>
      <c r="N519" t="n">
        <v>0</v>
      </c>
      <c r="O519" t="n">
        <v>0</v>
      </c>
      <c r="P519" t="n">
        <v>0</v>
      </c>
      <c r="Q519" t="n">
        <v>0</v>
      </c>
      <c r="R519" s="2" t="inlineStr"/>
    </row>
    <row r="520" ht="15" customHeight="1">
      <c r="A520" t="inlineStr">
        <is>
          <t>A 5453-2025</t>
        </is>
      </c>
      <c r="B520" s="1" t="n">
        <v>45692.95231481481</v>
      </c>
      <c r="C520" s="1" t="n">
        <v>45968</v>
      </c>
      <c r="D520" t="inlineStr">
        <is>
          <t>DALARNAS LÄN</t>
        </is>
      </c>
      <c r="E520" t="inlineStr">
        <is>
          <t>LEKSAND</t>
        </is>
      </c>
      <c r="G520" t="n">
        <v>2.2</v>
      </c>
      <c r="H520" t="n">
        <v>0</v>
      </c>
      <c r="I520" t="n">
        <v>0</v>
      </c>
      <c r="J520" t="n">
        <v>0</v>
      </c>
      <c r="K520" t="n">
        <v>0</v>
      </c>
      <c r="L520" t="n">
        <v>0</v>
      </c>
      <c r="M520" t="n">
        <v>0</v>
      </c>
      <c r="N520" t="n">
        <v>0</v>
      </c>
      <c r="O520" t="n">
        <v>0</v>
      </c>
      <c r="P520" t="n">
        <v>0</v>
      </c>
      <c r="Q520" t="n">
        <v>0</v>
      </c>
      <c r="R520" s="2" t="inlineStr"/>
    </row>
    <row r="521" ht="15" customHeight="1">
      <c r="A521" t="inlineStr">
        <is>
          <t>A 53799-2023</t>
        </is>
      </c>
      <c r="B521" s="1" t="n">
        <v>45231.35564814815</v>
      </c>
      <c r="C521" s="1" t="n">
        <v>45968</v>
      </c>
      <c r="D521" t="inlineStr">
        <is>
          <t>DALARNAS LÄN</t>
        </is>
      </c>
      <c r="E521" t="inlineStr">
        <is>
          <t>LEKSAND</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3352-2024</t>
        </is>
      </c>
      <c r="B522" s="1" t="n">
        <v>45317</v>
      </c>
      <c r="C522" s="1" t="n">
        <v>45968</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52755-2024</t>
        </is>
      </c>
      <c r="B523" s="1" t="n">
        <v>45610.50217592593</v>
      </c>
      <c r="C523" s="1" t="n">
        <v>45968</v>
      </c>
      <c r="D523" t="inlineStr">
        <is>
          <t>DALARNAS LÄN</t>
        </is>
      </c>
      <c r="E523" t="inlineStr">
        <is>
          <t>LEKSAND</t>
        </is>
      </c>
      <c r="G523" t="n">
        <v>1.3</v>
      </c>
      <c r="H523" t="n">
        <v>0</v>
      </c>
      <c r="I523" t="n">
        <v>0</v>
      </c>
      <c r="J523" t="n">
        <v>0</v>
      </c>
      <c r="K523" t="n">
        <v>0</v>
      </c>
      <c r="L523" t="n">
        <v>0</v>
      </c>
      <c r="M523" t="n">
        <v>0</v>
      </c>
      <c r="N523" t="n">
        <v>0</v>
      </c>
      <c r="O523" t="n">
        <v>0</v>
      </c>
      <c r="P523" t="n">
        <v>0</v>
      </c>
      <c r="Q523" t="n">
        <v>0</v>
      </c>
      <c r="R523" s="2" t="inlineStr"/>
    </row>
    <row r="524" ht="15" customHeight="1">
      <c r="A524" t="inlineStr">
        <is>
          <t>A 62130-2024</t>
        </is>
      </c>
      <c r="B524" s="1" t="n">
        <v>45656.61827546296</v>
      </c>
      <c r="C524" s="1" t="n">
        <v>45968</v>
      </c>
      <c r="D524" t="inlineStr">
        <is>
          <t>DALARNAS LÄN</t>
        </is>
      </c>
      <c r="E524" t="inlineStr">
        <is>
          <t>LEKSAND</t>
        </is>
      </c>
      <c r="G524" t="n">
        <v>11.4</v>
      </c>
      <c r="H524" t="n">
        <v>0</v>
      </c>
      <c r="I524" t="n">
        <v>0</v>
      </c>
      <c r="J524" t="n">
        <v>0</v>
      </c>
      <c r="K524" t="n">
        <v>0</v>
      </c>
      <c r="L524" t="n">
        <v>0</v>
      </c>
      <c r="M524" t="n">
        <v>0</v>
      </c>
      <c r="N524" t="n">
        <v>0</v>
      </c>
      <c r="O524" t="n">
        <v>0</v>
      </c>
      <c r="P524" t="n">
        <v>0</v>
      </c>
      <c r="Q524" t="n">
        <v>0</v>
      </c>
      <c r="R524" s="2" t="inlineStr"/>
    </row>
    <row r="525" ht="15" customHeight="1">
      <c r="A525" t="inlineStr">
        <is>
          <t>A 13165-2023</t>
        </is>
      </c>
      <c r="B525" s="1" t="n">
        <v>45002.57731481481</v>
      </c>
      <c r="C525" s="1" t="n">
        <v>45968</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39620-2024</t>
        </is>
      </c>
      <c r="B526" s="1" t="n">
        <v>45552.43163194445</v>
      </c>
      <c r="C526" s="1" t="n">
        <v>45968</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63513-2023</t>
        </is>
      </c>
      <c r="B527" s="1" t="n">
        <v>45274</v>
      </c>
      <c r="C527" s="1" t="n">
        <v>45968</v>
      </c>
      <c r="D527" t="inlineStr">
        <is>
          <t>DALARNAS LÄN</t>
        </is>
      </c>
      <c r="E527" t="inlineStr">
        <is>
          <t>LEKSAND</t>
        </is>
      </c>
      <c r="G527" t="n">
        <v>2.3</v>
      </c>
      <c r="H527" t="n">
        <v>0</v>
      </c>
      <c r="I527" t="n">
        <v>0</v>
      </c>
      <c r="J527" t="n">
        <v>0</v>
      </c>
      <c r="K527" t="n">
        <v>0</v>
      </c>
      <c r="L527" t="n">
        <v>0</v>
      </c>
      <c r="M527" t="n">
        <v>0</v>
      </c>
      <c r="N527" t="n">
        <v>0</v>
      </c>
      <c r="O527" t="n">
        <v>0</v>
      </c>
      <c r="P527" t="n">
        <v>0</v>
      </c>
      <c r="Q527" t="n">
        <v>0</v>
      </c>
      <c r="R527" s="2" t="inlineStr"/>
    </row>
    <row r="528" ht="15" customHeight="1">
      <c r="A528" t="inlineStr">
        <is>
          <t>A 19590-2023</t>
        </is>
      </c>
      <c r="B528" s="1" t="n">
        <v>45049</v>
      </c>
      <c r="C528" s="1" t="n">
        <v>45968</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2517-2024</t>
        </is>
      </c>
      <c r="B529" s="1" t="n">
        <v>45313</v>
      </c>
      <c r="C529" s="1" t="n">
        <v>45968</v>
      </c>
      <c r="D529" t="inlineStr">
        <is>
          <t>DALARNAS LÄN</t>
        </is>
      </c>
      <c r="E529" t="inlineStr">
        <is>
          <t>LEKSAND</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30000-2023</t>
        </is>
      </c>
      <c r="B530" s="1" t="n">
        <v>45109.71128472222</v>
      </c>
      <c r="C530" s="1" t="n">
        <v>45968</v>
      </c>
      <c r="D530" t="inlineStr">
        <is>
          <t>DALARNAS LÄN</t>
        </is>
      </c>
      <c r="E530" t="inlineStr">
        <is>
          <t>LEKSAND</t>
        </is>
      </c>
      <c r="G530" t="n">
        <v>1.1</v>
      </c>
      <c r="H530" t="n">
        <v>0</v>
      </c>
      <c r="I530" t="n">
        <v>0</v>
      </c>
      <c r="J530" t="n">
        <v>0</v>
      </c>
      <c r="K530" t="n">
        <v>0</v>
      </c>
      <c r="L530" t="n">
        <v>0</v>
      </c>
      <c r="M530" t="n">
        <v>0</v>
      </c>
      <c r="N530" t="n">
        <v>0</v>
      </c>
      <c r="O530" t="n">
        <v>0</v>
      </c>
      <c r="P530" t="n">
        <v>0</v>
      </c>
      <c r="Q530" t="n">
        <v>0</v>
      </c>
      <c r="R530" s="2" t="inlineStr"/>
    </row>
    <row r="531" ht="15" customHeight="1">
      <c r="A531" t="inlineStr">
        <is>
          <t>A 61933-2023</t>
        </is>
      </c>
      <c r="B531" s="1" t="n">
        <v>45266</v>
      </c>
      <c r="C531" s="1" t="n">
        <v>45968</v>
      </c>
      <c r="D531" t="inlineStr">
        <is>
          <t>DALARNAS LÄN</t>
        </is>
      </c>
      <c r="E531" t="inlineStr">
        <is>
          <t>LEKSAND</t>
        </is>
      </c>
      <c r="G531" t="n">
        <v>0.2</v>
      </c>
      <c r="H531" t="n">
        <v>0</v>
      </c>
      <c r="I531" t="n">
        <v>0</v>
      </c>
      <c r="J531" t="n">
        <v>0</v>
      </c>
      <c r="K531" t="n">
        <v>0</v>
      </c>
      <c r="L531" t="n">
        <v>0</v>
      </c>
      <c r="M531" t="n">
        <v>0</v>
      </c>
      <c r="N531" t="n">
        <v>0</v>
      </c>
      <c r="O531" t="n">
        <v>0</v>
      </c>
      <c r="P531" t="n">
        <v>0</v>
      </c>
      <c r="Q531" t="n">
        <v>0</v>
      </c>
      <c r="R531" s="2" t="inlineStr"/>
    </row>
    <row r="532" ht="15" customHeight="1">
      <c r="A532" t="inlineStr">
        <is>
          <t>A 41015-2024</t>
        </is>
      </c>
      <c r="B532" s="1" t="n">
        <v>45559.32537037037</v>
      </c>
      <c r="C532" s="1" t="n">
        <v>45968</v>
      </c>
      <c r="D532" t="inlineStr">
        <is>
          <t>DALARNAS LÄN</t>
        </is>
      </c>
      <c r="E532" t="inlineStr">
        <is>
          <t>LEKSAND</t>
        </is>
      </c>
      <c r="G532" t="n">
        <v>1.6</v>
      </c>
      <c r="H532" t="n">
        <v>0</v>
      </c>
      <c r="I532" t="n">
        <v>0</v>
      </c>
      <c r="J532" t="n">
        <v>0</v>
      </c>
      <c r="K532" t="n">
        <v>0</v>
      </c>
      <c r="L532" t="n">
        <v>0</v>
      </c>
      <c r="M532" t="n">
        <v>0</v>
      </c>
      <c r="N532" t="n">
        <v>0</v>
      </c>
      <c r="O532" t="n">
        <v>0</v>
      </c>
      <c r="P532" t="n">
        <v>0</v>
      </c>
      <c r="Q532" t="n">
        <v>0</v>
      </c>
      <c r="R532" s="2" t="inlineStr"/>
    </row>
    <row r="533" ht="15" customHeight="1">
      <c r="A533" t="inlineStr">
        <is>
          <t>A 18107-2025</t>
        </is>
      </c>
      <c r="B533" s="1" t="n">
        <v>45761.55939814815</v>
      </c>
      <c r="C533" s="1" t="n">
        <v>45968</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49395-2024</t>
        </is>
      </c>
      <c r="B534" s="1" t="n">
        <v>45595</v>
      </c>
      <c r="C534" s="1" t="n">
        <v>45968</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30204-2024</t>
        </is>
      </c>
      <c r="B535" s="1" t="n">
        <v>45490.35402777778</v>
      </c>
      <c r="C535" s="1" t="n">
        <v>45968</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6050-2023</t>
        </is>
      </c>
      <c r="B536" s="1" t="n">
        <v>44959</v>
      </c>
      <c r="C536" s="1" t="n">
        <v>45968</v>
      </c>
      <c r="D536" t="inlineStr">
        <is>
          <t>DALARNAS LÄN</t>
        </is>
      </c>
      <c r="E536" t="inlineStr">
        <is>
          <t>LEKSAND</t>
        </is>
      </c>
      <c r="G536" t="n">
        <v>6.2</v>
      </c>
      <c r="H536" t="n">
        <v>0</v>
      </c>
      <c r="I536" t="n">
        <v>0</v>
      </c>
      <c r="J536" t="n">
        <v>0</v>
      </c>
      <c r="K536" t="n">
        <v>0</v>
      </c>
      <c r="L536" t="n">
        <v>0</v>
      </c>
      <c r="M536" t="n">
        <v>0</v>
      </c>
      <c r="N536" t="n">
        <v>0</v>
      </c>
      <c r="O536" t="n">
        <v>0</v>
      </c>
      <c r="P536" t="n">
        <v>0</v>
      </c>
      <c r="Q536" t="n">
        <v>0</v>
      </c>
      <c r="R536" s="2" t="inlineStr"/>
    </row>
    <row r="537" ht="15" customHeight="1">
      <c r="A537" t="inlineStr">
        <is>
          <t>A 17730-2024</t>
        </is>
      </c>
      <c r="B537" s="1" t="n">
        <v>45418</v>
      </c>
      <c r="C537" s="1" t="n">
        <v>45968</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39569-2025</t>
        </is>
      </c>
      <c r="B538" s="1" t="n">
        <v>45890</v>
      </c>
      <c r="C538" s="1" t="n">
        <v>45968</v>
      </c>
      <c r="D538" t="inlineStr">
        <is>
          <t>DALARNAS LÄN</t>
        </is>
      </c>
      <c r="E538" t="inlineStr">
        <is>
          <t>LEKSAND</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481-2024</t>
        </is>
      </c>
      <c r="B539" s="1" t="n">
        <v>45298</v>
      </c>
      <c r="C539" s="1" t="n">
        <v>45968</v>
      </c>
      <c r="D539" t="inlineStr">
        <is>
          <t>DALARNAS LÄN</t>
        </is>
      </c>
      <c r="E539" t="inlineStr">
        <is>
          <t>LEKSAND</t>
        </is>
      </c>
      <c r="G539" t="n">
        <v>7</v>
      </c>
      <c r="H539" t="n">
        <v>0</v>
      </c>
      <c r="I539" t="n">
        <v>0</v>
      </c>
      <c r="J539" t="n">
        <v>0</v>
      </c>
      <c r="K539" t="n">
        <v>0</v>
      </c>
      <c r="L539" t="n">
        <v>0</v>
      </c>
      <c r="M539" t="n">
        <v>0</v>
      </c>
      <c r="N539" t="n">
        <v>0</v>
      </c>
      <c r="O539" t="n">
        <v>0</v>
      </c>
      <c r="P539" t="n">
        <v>0</v>
      </c>
      <c r="Q539" t="n">
        <v>0</v>
      </c>
      <c r="R539" s="2" t="inlineStr"/>
    </row>
    <row r="540" ht="15" customHeight="1">
      <c r="A540" t="inlineStr">
        <is>
          <t>A 6778-2025</t>
        </is>
      </c>
      <c r="B540" s="1" t="n">
        <v>45700.64615740741</v>
      </c>
      <c r="C540" s="1" t="n">
        <v>45968</v>
      </c>
      <c r="D540" t="inlineStr">
        <is>
          <t>DALARNAS LÄN</t>
        </is>
      </c>
      <c r="E540" t="inlineStr">
        <is>
          <t>LEKSAND</t>
        </is>
      </c>
      <c r="G540" t="n">
        <v>2.4</v>
      </c>
      <c r="H540" t="n">
        <v>0</v>
      </c>
      <c r="I540" t="n">
        <v>0</v>
      </c>
      <c r="J540" t="n">
        <v>0</v>
      </c>
      <c r="K540" t="n">
        <v>0</v>
      </c>
      <c r="L540" t="n">
        <v>0</v>
      </c>
      <c r="M540" t="n">
        <v>0</v>
      </c>
      <c r="N540" t="n">
        <v>0</v>
      </c>
      <c r="O540" t="n">
        <v>0</v>
      </c>
      <c r="P540" t="n">
        <v>0</v>
      </c>
      <c r="Q540" t="n">
        <v>0</v>
      </c>
      <c r="R540" s="2" t="inlineStr"/>
    </row>
    <row r="541" ht="15" customHeight="1">
      <c r="A541" t="inlineStr">
        <is>
          <t>A 39572-2025</t>
        </is>
      </c>
      <c r="B541" s="1" t="n">
        <v>45890</v>
      </c>
      <c r="C541" s="1" t="n">
        <v>45968</v>
      </c>
      <c r="D541" t="inlineStr">
        <is>
          <t>DALARNAS LÄN</t>
        </is>
      </c>
      <c r="E541" t="inlineStr">
        <is>
          <t>LEKSAND</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20946-2023</t>
        </is>
      </c>
      <c r="B542" s="1" t="n">
        <v>45061</v>
      </c>
      <c r="C542" s="1" t="n">
        <v>45968</v>
      </c>
      <c r="D542" t="inlineStr">
        <is>
          <t>DALARNAS LÄN</t>
        </is>
      </c>
      <c r="E542" t="inlineStr">
        <is>
          <t>LEKSAND</t>
        </is>
      </c>
      <c r="G542" t="n">
        <v>2.7</v>
      </c>
      <c r="H542" t="n">
        <v>0</v>
      </c>
      <c r="I542" t="n">
        <v>0</v>
      </c>
      <c r="J542" t="n">
        <v>0</v>
      </c>
      <c r="K542" t="n">
        <v>0</v>
      </c>
      <c r="L542" t="n">
        <v>0</v>
      </c>
      <c r="M542" t="n">
        <v>0</v>
      </c>
      <c r="N542" t="n">
        <v>0</v>
      </c>
      <c r="O542" t="n">
        <v>0</v>
      </c>
      <c r="P542" t="n">
        <v>0</v>
      </c>
      <c r="Q542" t="n">
        <v>0</v>
      </c>
      <c r="R542" s="2" t="inlineStr"/>
    </row>
    <row r="543" ht="15" customHeight="1">
      <c r="A543" t="inlineStr">
        <is>
          <t>A 34039-2024</t>
        </is>
      </c>
      <c r="B543" s="1" t="n">
        <v>45523.5974537037</v>
      </c>
      <c r="C543" s="1" t="n">
        <v>45968</v>
      </c>
      <c r="D543" t="inlineStr">
        <is>
          <t>DALARNAS LÄN</t>
        </is>
      </c>
      <c r="E543" t="inlineStr">
        <is>
          <t>LEKSAND</t>
        </is>
      </c>
      <c r="G543" t="n">
        <v>7.1</v>
      </c>
      <c r="H543" t="n">
        <v>0</v>
      </c>
      <c r="I543" t="n">
        <v>0</v>
      </c>
      <c r="J543" t="n">
        <v>0</v>
      </c>
      <c r="K543" t="n">
        <v>0</v>
      </c>
      <c r="L543" t="n">
        <v>0</v>
      </c>
      <c r="M543" t="n">
        <v>0</v>
      </c>
      <c r="N543" t="n">
        <v>0</v>
      </c>
      <c r="O543" t="n">
        <v>0</v>
      </c>
      <c r="P543" t="n">
        <v>0</v>
      </c>
      <c r="Q543" t="n">
        <v>0</v>
      </c>
      <c r="R543" s="2" t="inlineStr"/>
    </row>
    <row r="544" ht="15" customHeight="1">
      <c r="A544" t="inlineStr">
        <is>
          <t>A 7759-2025</t>
        </is>
      </c>
      <c r="B544" s="1" t="n">
        <v>45706.53827546296</v>
      </c>
      <c r="C544" s="1" t="n">
        <v>45968</v>
      </c>
      <c r="D544" t="inlineStr">
        <is>
          <t>DALARNAS LÄN</t>
        </is>
      </c>
      <c r="E544" t="inlineStr">
        <is>
          <t>LEKSAND</t>
        </is>
      </c>
      <c r="G544" t="n">
        <v>3.3</v>
      </c>
      <c r="H544" t="n">
        <v>0</v>
      </c>
      <c r="I544" t="n">
        <v>0</v>
      </c>
      <c r="J544" t="n">
        <v>0</v>
      </c>
      <c r="K544" t="n">
        <v>0</v>
      </c>
      <c r="L544" t="n">
        <v>0</v>
      </c>
      <c r="M544" t="n">
        <v>0</v>
      </c>
      <c r="N544" t="n">
        <v>0</v>
      </c>
      <c r="O544" t="n">
        <v>0</v>
      </c>
      <c r="P544" t="n">
        <v>0</v>
      </c>
      <c r="Q544" t="n">
        <v>0</v>
      </c>
      <c r="R544" s="2" t="inlineStr"/>
    </row>
    <row r="545" ht="15" customHeight="1">
      <c r="A545" t="inlineStr">
        <is>
          <t>A 50278-2023</t>
        </is>
      </c>
      <c r="B545" s="1" t="n">
        <v>45216.43444444444</v>
      </c>
      <c r="C545" s="1" t="n">
        <v>45968</v>
      </c>
      <c r="D545" t="inlineStr">
        <is>
          <t>DALARNAS LÄN</t>
        </is>
      </c>
      <c r="E545" t="inlineStr">
        <is>
          <t>LEKSAND</t>
        </is>
      </c>
      <c r="G545" t="n">
        <v>0.4</v>
      </c>
      <c r="H545" t="n">
        <v>0</v>
      </c>
      <c r="I545" t="n">
        <v>0</v>
      </c>
      <c r="J545" t="n">
        <v>0</v>
      </c>
      <c r="K545" t="n">
        <v>0</v>
      </c>
      <c r="L545" t="n">
        <v>0</v>
      </c>
      <c r="M545" t="n">
        <v>0</v>
      </c>
      <c r="N545" t="n">
        <v>0</v>
      </c>
      <c r="O545" t="n">
        <v>0</v>
      </c>
      <c r="P545" t="n">
        <v>0</v>
      </c>
      <c r="Q545" t="n">
        <v>0</v>
      </c>
      <c r="R545" s="2" t="inlineStr"/>
    </row>
    <row r="546" ht="15" customHeight="1">
      <c r="A546" t="inlineStr">
        <is>
          <t>A 39660-2025</t>
        </is>
      </c>
      <c r="B546" s="1" t="n">
        <v>45890.63006944444</v>
      </c>
      <c r="C546" s="1" t="n">
        <v>45968</v>
      </c>
      <c r="D546" t="inlineStr">
        <is>
          <t>DALARNAS LÄN</t>
        </is>
      </c>
      <c r="E546" t="inlineStr">
        <is>
          <t>LEKSAND</t>
        </is>
      </c>
      <c r="F546" t="inlineStr">
        <is>
          <t>Bergvik skog väst AB</t>
        </is>
      </c>
      <c r="G546" t="n">
        <v>5.8</v>
      </c>
      <c r="H546" t="n">
        <v>0</v>
      </c>
      <c r="I546" t="n">
        <v>0</v>
      </c>
      <c r="J546" t="n">
        <v>0</v>
      </c>
      <c r="K546" t="n">
        <v>0</v>
      </c>
      <c r="L546" t="n">
        <v>0</v>
      </c>
      <c r="M546" t="n">
        <v>0</v>
      </c>
      <c r="N546" t="n">
        <v>0</v>
      </c>
      <c r="O546" t="n">
        <v>0</v>
      </c>
      <c r="P546" t="n">
        <v>0</v>
      </c>
      <c r="Q546" t="n">
        <v>0</v>
      </c>
      <c r="R546" s="2" t="inlineStr"/>
    </row>
    <row r="547" ht="15" customHeight="1">
      <c r="A547" t="inlineStr">
        <is>
          <t>A 39693-2025</t>
        </is>
      </c>
      <c r="B547" s="1" t="n">
        <v>45890.68304398148</v>
      </c>
      <c r="C547" s="1" t="n">
        <v>45968</v>
      </c>
      <c r="D547" t="inlineStr">
        <is>
          <t>DALARNAS LÄN</t>
        </is>
      </c>
      <c r="E547" t="inlineStr">
        <is>
          <t>LEKSAND</t>
        </is>
      </c>
      <c r="G547" t="n">
        <v>3.1</v>
      </c>
      <c r="H547" t="n">
        <v>0</v>
      </c>
      <c r="I547" t="n">
        <v>0</v>
      </c>
      <c r="J547" t="n">
        <v>0</v>
      </c>
      <c r="K547" t="n">
        <v>0</v>
      </c>
      <c r="L547" t="n">
        <v>0</v>
      </c>
      <c r="M547" t="n">
        <v>0</v>
      </c>
      <c r="N547" t="n">
        <v>0</v>
      </c>
      <c r="O547" t="n">
        <v>0</v>
      </c>
      <c r="P547" t="n">
        <v>0</v>
      </c>
      <c r="Q547" t="n">
        <v>0</v>
      </c>
      <c r="R547" s="2" t="inlineStr"/>
    </row>
    <row r="548" ht="15" customHeight="1">
      <c r="A548" t="inlineStr">
        <is>
          <t>A 12356-2023</t>
        </is>
      </c>
      <c r="B548" s="1" t="n">
        <v>44998</v>
      </c>
      <c r="C548" s="1" t="n">
        <v>45968</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12363-2023</t>
        </is>
      </c>
      <c r="B549" s="1" t="n">
        <v>44998</v>
      </c>
      <c r="C549" s="1" t="n">
        <v>45968</v>
      </c>
      <c r="D549" t="inlineStr">
        <is>
          <t>DALARNAS LÄN</t>
        </is>
      </c>
      <c r="E549" t="inlineStr">
        <is>
          <t>LEKSAND</t>
        </is>
      </c>
      <c r="G549" t="n">
        <v>10</v>
      </c>
      <c r="H549" t="n">
        <v>0</v>
      </c>
      <c r="I549" t="n">
        <v>0</v>
      </c>
      <c r="J549" t="n">
        <v>0</v>
      </c>
      <c r="K549" t="n">
        <v>0</v>
      </c>
      <c r="L549" t="n">
        <v>0</v>
      </c>
      <c r="M549" t="n">
        <v>0</v>
      </c>
      <c r="N549" t="n">
        <v>0</v>
      </c>
      <c r="O549" t="n">
        <v>0</v>
      </c>
      <c r="P549" t="n">
        <v>0</v>
      </c>
      <c r="Q549" t="n">
        <v>0</v>
      </c>
      <c r="R549" s="2" t="inlineStr"/>
    </row>
    <row r="550" ht="15" customHeight="1">
      <c r="A550" t="inlineStr">
        <is>
          <t>A 13401-2023</t>
        </is>
      </c>
      <c r="B550" s="1" t="n">
        <v>45005</v>
      </c>
      <c r="C550" s="1" t="n">
        <v>45968</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55015-2024</t>
        </is>
      </c>
      <c r="B551" s="1" t="n">
        <v>45621.35554398148</v>
      </c>
      <c r="C551" s="1" t="n">
        <v>45968</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28674-2024</t>
        </is>
      </c>
      <c r="B552" s="1" t="n">
        <v>45478.47863425926</v>
      </c>
      <c r="C552" s="1" t="n">
        <v>45968</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16231-2021</t>
        </is>
      </c>
      <c r="B553" s="1" t="n">
        <v>44292</v>
      </c>
      <c r="C553" s="1" t="n">
        <v>45968</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23323-2023</t>
        </is>
      </c>
      <c r="B554" s="1" t="n">
        <v>45076</v>
      </c>
      <c r="C554" s="1" t="n">
        <v>45968</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56283-2024</t>
        </is>
      </c>
      <c r="B555" s="1" t="n">
        <v>45624.67864583333</v>
      </c>
      <c r="C555" s="1" t="n">
        <v>45968</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39546-2025</t>
        </is>
      </c>
      <c r="B556" s="1" t="n">
        <v>45890.45706018519</v>
      </c>
      <c r="C556" s="1" t="n">
        <v>45968</v>
      </c>
      <c r="D556" t="inlineStr">
        <is>
          <t>DALARNAS LÄN</t>
        </is>
      </c>
      <c r="E556" t="inlineStr">
        <is>
          <t>LEKSAND</t>
        </is>
      </c>
      <c r="G556" t="n">
        <v>4.6</v>
      </c>
      <c r="H556" t="n">
        <v>0</v>
      </c>
      <c r="I556" t="n">
        <v>0</v>
      </c>
      <c r="J556" t="n">
        <v>0</v>
      </c>
      <c r="K556" t="n">
        <v>0</v>
      </c>
      <c r="L556" t="n">
        <v>0</v>
      </c>
      <c r="M556" t="n">
        <v>0</v>
      </c>
      <c r="N556" t="n">
        <v>0</v>
      </c>
      <c r="O556" t="n">
        <v>0</v>
      </c>
      <c r="P556" t="n">
        <v>0</v>
      </c>
      <c r="Q556" t="n">
        <v>0</v>
      </c>
      <c r="R556" s="2" t="inlineStr"/>
    </row>
    <row r="557" ht="15" customHeight="1">
      <c r="A557" t="inlineStr">
        <is>
          <t>A 17485-2025</t>
        </is>
      </c>
      <c r="B557" s="1" t="n">
        <v>45757.49976851852</v>
      </c>
      <c r="C557" s="1" t="n">
        <v>45968</v>
      </c>
      <c r="D557" t="inlineStr">
        <is>
          <t>DALARNAS LÄN</t>
        </is>
      </c>
      <c r="E557" t="inlineStr">
        <is>
          <t>LEKSAND</t>
        </is>
      </c>
      <c r="G557" t="n">
        <v>3.7</v>
      </c>
      <c r="H557" t="n">
        <v>0</v>
      </c>
      <c r="I557" t="n">
        <v>0</v>
      </c>
      <c r="J557" t="n">
        <v>0</v>
      </c>
      <c r="K557" t="n">
        <v>0</v>
      </c>
      <c r="L557" t="n">
        <v>0</v>
      </c>
      <c r="M557" t="n">
        <v>0</v>
      </c>
      <c r="N557" t="n">
        <v>0</v>
      </c>
      <c r="O557" t="n">
        <v>0</v>
      </c>
      <c r="P557" t="n">
        <v>0</v>
      </c>
      <c r="Q557" t="n">
        <v>0</v>
      </c>
      <c r="R557" s="2" t="inlineStr"/>
    </row>
    <row r="558" ht="15" customHeight="1">
      <c r="A558" t="inlineStr">
        <is>
          <t>A 18176-2024</t>
        </is>
      </c>
      <c r="B558" s="1" t="n">
        <v>45420.63901620371</v>
      </c>
      <c r="C558" s="1" t="n">
        <v>45968</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53122-2023</t>
        </is>
      </c>
      <c r="B559" s="1" t="n">
        <v>45228</v>
      </c>
      <c r="C559" s="1" t="n">
        <v>45968</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39516-2025</t>
        </is>
      </c>
      <c r="B560" s="1" t="n">
        <v>45890.42633101852</v>
      </c>
      <c r="C560" s="1" t="n">
        <v>45968</v>
      </c>
      <c r="D560" t="inlineStr">
        <is>
          <t>DALARNAS LÄN</t>
        </is>
      </c>
      <c r="E560" t="inlineStr">
        <is>
          <t>LEKSAND</t>
        </is>
      </c>
      <c r="G560" t="n">
        <v>3.6</v>
      </c>
      <c r="H560" t="n">
        <v>0</v>
      </c>
      <c r="I560" t="n">
        <v>0</v>
      </c>
      <c r="J560" t="n">
        <v>0</v>
      </c>
      <c r="K560" t="n">
        <v>0</v>
      </c>
      <c r="L560" t="n">
        <v>0</v>
      </c>
      <c r="M560" t="n">
        <v>0</v>
      </c>
      <c r="N560" t="n">
        <v>0</v>
      </c>
      <c r="O560" t="n">
        <v>0</v>
      </c>
      <c r="P560" t="n">
        <v>0</v>
      </c>
      <c r="Q560" t="n">
        <v>0</v>
      </c>
      <c r="R560" s="2" t="inlineStr"/>
    </row>
    <row r="561" ht="15" customHeight="1">
      <c r="A561" t="inlineStr">
        <is>
          <t>A 47976-2025</t>
        </is>
      </c>
      <c r="B561" s="1" t="n">
        <v>45932.60846064815</v>
      </c>
      <c r="C561" s="1" t="n">
        <v>45968</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47977-2025</t>
        </is>
      </c>
      <c r="B562" s="1" t="n">
        <v>45932.60920138889</v>
      </c>
      <c r="C562" s="1" t="n">
        <v>45968</v>
      </c>
      <c r="D562" t="inlineStr">
        <is>
          <t>DALARNAS LÄN</t>
        </is>
      </c>
      <c r="E562" t="inlineStr">
        <is>
          <t>LEKSAND</t>
        </is>
      </c>
      <c r="F562" t="inlineStr">
        <is>
          <t>Bergvik skog väst AB</t>
        </is>
      </c>
      <c r="G562" t="n">
        <v>0.2</v>
      </c>
      <c r="H562" t="n">
        <v>0</v>
      </c>
      <c r="I562" t="n">
        <v>0</v>
      </c>
      <c r="J562" t="n">
        <v>0</v>
      </c>
      <c r="K562" t="n">
        <v>0</v>
      </c>
      <c r="L562" t="n">
        <v>0</v>
      </c>
      <c r="M562" t="n">
        <v>0</v>
      </c>
      <c r="N562" t="n">
        <v>0</v>
      </c>
      <c r="O562" t="n">
        <v>0</v>
      </c>
      <c r="P562" t="n">
        <v>0</v>
      </c>
      <c r="Q562" t="n">
        <v>0</v>
      </c>
      <c r="R562" s="2" t="inlineStr"/>
    </row>
    <row r="563" ht="15" customHeight="1">
      <c r="A563" t="inlineStr">
        <is>
          <t>A 33072-2021</t>
        </is>
      </c>
      <c r="B563" s="1" t="n">
        <v>44375</v>
      </c>
      <c r="C563" s="1" t="n">
        <v>45968</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412-2024</t>
        </is>
      </c>
      <c r="B564" s="1" t="n">
        <v>45296</v>
      </c>
      <c r="C564" s="1" t="n">
        <v>45968</v>
      </c>
      <c r="D564" t="inlineStr">
        <is>
          <t>DALARNAS LÄN</t>
        </is>
      </c>
      <c r="E564" t="inlineStr">
        <is>
          <t>LEKSAND</t>
        </is>
      </c>
      <c r="G564" t="n">
        <v>1.9</v>
      </c>
      <c r="H564" t="n">
        <v>0</v>
      </c>
      <c r="I564" t="n">
        <v>0</v>
      </c>
      <c r="J564" t="n">
        <v>0</v>
      </c>
      <c r="K564" t="n">
        <v>0</v>
      </c>
      <c r="L564" t="n">
        <v>0</v>
      </c>
      <c r="M564" t="n">
        <v>0</v>
      </c>
      <c r="N564" t="n">
        <v>0</v>
      </c>
      <c r="O564" t="n">
        <v>0</v>
      </c>
      <c r="P564" t="n">
        <v>0</v>
      </c>
      <c r="Q564" t="n">
        <v>0</v>
      </c>
      <c r="R564" s="2" t="inlineStr"/>
    </row>
    <row r="565" ht="15" customHeight="1">
      <c r="A565" t="inlineStr">
        <is>
          <t>A 41169-2024</t>
        </is>
      </c>
      <c r="B565" s="1" t="n">
        <v>45559.48637731482</v>
      </c>
      <c r="C565" s="1" t="n">
        <v>45968</v>
      </c>
      <c r="D565" t="inlineStr">
        <is>
          <t>DALARNAS LÄN</t>
        </is>
      </c>
      <c r="E565" t="inlineStr">
        <is>
          <t>LEKSAND</t>
        </is>
      </c>
      <c r="G565" t="n">
        <v>8.9</v>
      </c>
      <c r="H565" t="n">
        <v>0</v>
      </c>
      <c r="I565" t="n">
        <v>0</v>
      </c>
      <c r="J565" t="n">
        <v>0</v>
      </c>
      <c r="K565" t="n">
        <v>0</v>
      </c>
      <c r="L565" t="n">
        <v>0</v>
      </c>
      <c r="M565" t="n">
        <v>0</v>
      </c>
      <c r="N565" t="n">
        <v>0</v>
      </c>
      <c r="O565" t="n">
        <v>0</v>
      </c>
      <c r="P565" t="n">
        <v>0</v>
      </c>
      <c r="Q565" t="n">
        <v>0</v>
      </c>
      <c r="R565" s="2" t="inlineStr"/>
    </row>
    <row r="566" ht="15" customHeight="1">
      <c r="A566" t="inlineStr">
        <is>
          <t>A 56330-2022</t>
        </is>
      </c>
      <c r="B566" s="1" t="n">
        <v>44890.62630787037</v>
      </c>
      <c r="C566" s="1" t="n">
        <v>45968</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49076-2025</t>
        </is>
      </c>
      <c r="B567" s="1" t="n">
        <v>45937.65601851852</v>
      </c>
      <c r="C567" s="1" t="n">
        <v>45968</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48824-2025</t>
        </is>
      </c>
      <c r="B568" s="1" t="n">
        <v>45937.37949074074</v>
      </c>
      <c r="C568" s="1" t="n">
        <v>45968</v>
      </c>
      <c r="D568" t="inlineStr">
        <is>
          <t>DALARNAS LÄN</t>
        </is>
      </c>
      <c r="E568" t="inlineStr">
        <is>
          <t>LEKSAND</t>
        </is>
      </c>
      <c r="G568" t="n">
        <v>6.3</v>
      </c>
      <c r="H568" t="n">
        <v>0</v>
      </c>
      <c r="I568" t="n">
        <v>0</v>
      </c>
      <c r="J568" t="n">
        <v>0</v>
      </c>
      <c r="K568" t="n">
        <v>0</v>
      </c>
      <c r="L568" t="n">
        <v>0</v>
      </c>
      <c r="M568" t="n">
        <v>0</v>
      </c>
      <c r="N568" t="n">
        <v>0</v>
      </c>
      <c r="O568" t="n">
        <v>0</v>
      </c>
      <c r="P568" t="n">
        <v>0</v>
      </c>
      <c r="Q568" t="n">
        <v>0</v>
      </c>
      <c r="R568" s="2" t="inlineStr"/>
    </row>
    <row r="569" ht="15" customHeight="1">
      <c r="A569" t="inlineStr">
        <is>
          <t>A 59673-2023</t>
        </is>
      </c>
      <c r="B569" s="1" t="n">
        <v>45255.44603009259</v>
      </c>
      <c r="C569" s="1" t="n">
        <v>45968</v>
      </c>
      <c r="D569" t="inlineStr">
        <is>
          <t>DALARNAS LÄN</t>
        </is>
      </c>
      <c r="E569" t="inlineStr">
        <is>
          <t>LEKSAND</t>
        </is>
      </c>
      <c r="G569" t="n">
        <v>12.2</v>
      </c>
      <c r="H569" t="n">
        <v>0</v>
      </c>
      <c r="I569" t="n">
        <v>0</v>
      </c>
      <c r="J569" t="n">
        <v>0</v>
      </c>
      <c r="K569" t="n">
        <v>0</v>
      </c>
      <c r="L569" t="n">
        <v>0</v>
      </c>
      <c r="M569" t="n">
        <v>0</v>
      </c>
      <c r="N569" t="n">
        <v>0</v>
      </c>
      <c r="O569" t="n">
        <v>0</v>
      </c>
      <c r="P569" t="n">
        <v>0</v>
      </c>
      <c r="Q569" t="n">
        <v>0</v>
      </c>
      <c r="R569" s="2" t="inlineStr"/>
    </row>
    <row r="570" ht="15" customHeight="1">
      <c r="A570" t="inlineStr">
        <is>
          <t>A 17726-2024</t>
        </is>
      </c>
      <c r="B570" s="1" t="n">
        <v>45418.55609953704</v>
      </c>
      <c r="C570" s="1" t="n">
        <v>45968</v>
      </c>
      <c r="D570" t="inlineStr">
        <is>
          <t>DALARNAS LÄN</t>
        </is>
      </c>
      <c r="E570" t="inlineStr">
        <is>
          <t>LEKSAND</t>
        </is>
      </c>
      <c r="G570" t="n">
        <v>5.2</v>
      </c>
      <c r="H570" t="n">
        <v>0</v>
      </c>
      <c r="I570" t="n">
        <v>0</v>
      </c>
      <c r="J570" t="n">
        <v>0</v>
      </c>
      <c r="K570" t="n">
        <v>0</v>
      </c>
      <c r="L570" t="n">
        <v>0</v>
      </c>
      <c r="M570" t="n">
        <v>0</v>
      </c>
      <c r="N570" t="n">
        <v>0</v>
      </c>
      <c r="O570" t="n">
        <v>0</v>
      </c>
      <c r="P570" t="n">
        <v>0</v>
      </c>
      <c r="Q570" t="n">
        <v>0</v>
      </c>
      <c r="R570" s="2" t="inlineStr"/>
    </row>
    <row r="571" ht="15" customHeight="1">
      <c r="A571" t="inlineStr">
        <is>
          <t>A 32-2024</t>
        </is>
      </c>
      <c r="B571" s="1" t="n">
        <v>45293</v>
      </c>
      <c r="C571" s="1" t="n">
        <v>45968</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11092-2023</t>
        </is>
      </c>
      <c r="B572" s="1" t="n">
        <v>44992</v>
      </c>
      <c r="C572" s="1" t="n">
        <v>45968</v>
      </c>
      <c r="D572" t="inlineStr">
        <is>
          <t>DALARNAS LÄN</t>
        </is>
      </c>
      <c r="E572" t="inlineStr">
        <is>
          <t>LEKSAND</t>
        </is>
      </c>
      <c r="G572" t="n">
        <v>0.5</v>
      </c>
      <c r="H572" t="n">
        <v>0</v>
      </c>
      <c r="I572" t="n">
        <v>0</v>
      </c>
      <c r="J572" t="n">
        <v>0</v>
      </c>
      <c r="K572" t="n">
        <v>0</v>
      </c>
      <c r="L572" t="n">
        <v>0</v>
      </c>
      <c r="M572" t="n">
        <v>0</v>
      </c>
      <c r="N572" t="n">
        <v>0</v>
      </c>
      <c r="O572" t="n">
        <v>0</v>
      </c>
      <c r="P572" t="n">
        <v>0</v>
      </c>
      <c r="Q572" t="n">
        <v>0</v>
      </c>
      <c r="R572" s="2" t="inlineStr"/>
    </row>
    <row r="573" ht="15" customHeight="1">
      <c r="A573" t="inlineStr">
        <is>
          <t>A 28578-2023</t>
        </is>
      </c>
      <c r="B573" s="1" t="n">
        <v>45103</v>
      </c>
      <c r="C573" s="1" t="n">
        <v>45968</v>
      </c>
      <c r="D573" t="inlineStr">
        <is>
          <t>DALARNAS LÄN</t>
        </is>
      </c>
      <c r="E573" t="inlineStr">
        <is>
          <t>LEKSAND</t>
        </is>
      </c>
      <c r="G573" t="n">
        <v>4.4</v>
      </c>
      <c r="H573" t="n">
        <v>0</v>
      </c>
      <c r="I573" t="n">
        <v>0</v>
      </c>
      <c r="J573" t="n">
        <v>0</v>
      </c>
      <c r="K573" t="n">
        <v>0</v>
      </c>
      <c r="L573" t="n">
        <v>0</v>
      </c>
      <c r="M573" t="n">
        <v>0</v>
      </c>
      <c r="N573" t="n">
        <v>0</v>
      </c>
      <c r="O573" t="n">
        <v>0</v>
      </c>
      <c r="P573" t="n">
        <v>0</v>
      </c>
      <c r="Q573" t="n">
        <v>0</v>
      </c>
      <c r="R573" s="2" t="inlineStr"/>
    </row>
    <row r="574" ht="15" customHeight="1">
      <c r="A574" t="inlineStr">
        <is>
          <t>A 48829-2025</t>
        </is>
      </c>
      <c r="B574" s="1" t="n">
        <v>45936</v>
      </c>
      <c r="C574" s="1" t="n">
        <v>45968</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1719-2024</t>
        </is>
      </c>
      <c r="B575" s="1" t="n">
        <v>45307</v>
      </c>
      <c r="C575" s="1" t="n">
        <v>45968</v>
      </c>
      <c r="D575" t="inlineStr">
        <is>
          <t>DALARNAS LÄN</t>
        </is>
      </c>
      <c r="E575" t="inlineStr">
        <is>
          <t>LEKSAND</t>
        </is>
      </c>
      <c r="G575" t="n">
        <v>2.8</v>
      </c>
      <c r="H575" t="n">
        <v>0</v>
      </c>
      <c r="I575" t="n">
        <v>0</v>
      </c>
      <c r="J575" t="n">
        <v>0</v>
      </c>
      <c r="K575" t="n">
        <v>0</v>
      </c>
      <c r="L575" t="n">
        <v>0</v>
      </c>
      <c r="M575" t="n">
        <v>0</v>
      </c>
      <c r="N575" t="n">
        <v>0</v>
      </c>
      <c r="O575" t="n">
        <v>0</v>
      </c>
      <c r="P575" t="n">
        <v>0</v>
      </c>
      <c r="Q575" t="n">
        <v>0</v>
      </c>
      <c r="R575" s="2" t="inlineStr"/>
    </row>
    <row r="576" ht="15" customHeight="1">
      <c r="A576" t="inlineStr">
        <is>
          <t>A 33463-2023</t>
        </is>
      </c>
      <c r="B576" s="1" t="n">
        <v>45131</v>
      </c>
      <c r="C576" s="1" t="n">
        <v>45968</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19371-2024</t>
        </is>
      </c>
      <c r="B577" s="1" t="n">
        <v>45429.34969907408</v>
      </c>
      <c r="C577" s="1" t="n">
        <v>45968</v>
      </c>
      <c r="D577" t="inlineStr">
        <is>
          <t>DALARNAS LÄN</t>
        </is>
      </c>
      <c r="E577" t="inlineStr">
        <is>
          <t>LEKSAND</t>
        </is>
      </c>
      <c r="G577" t="n">
        <v>0.6</v>
      </c>
      <c r="H577" t="n">
        <v>0</v>
      </c>
      <c r="I577" t="n">
        <v>0</v>
      </c>
      <c r="J577" t="n">
        <v>0</v>
      </c>
      <c r="K577" t="n">
        <v>0</v>
      </c>
      <c r="L577" t="n">
        <v>0</v>
      </c>
      <c r="M577" t="n">
        <v>0</v>
      </c>
      <c r="N577" t="n">
        <v>0</v>
      </c>
      <c r="O577" t="n">
        <v>0</v>
      </c>
      <c r="P577" t="n">
        <v>0</v>
      </c>
      <c r="Q577" t="n">
        <v>0</v>
      </c>
      <c r="R577" s="2" t="inlineStr"/>
    </row>
    <row r="578" ht="15" customHeight="1">
      <c r="A578" t="inlineStr">
        <is>
          <t>A 54911-2024</t>
        </is>
      </c>
      <c r="B578" s="1" t="n">
        <v>45618.68929398148</v>
      </c>
      <c r="C578" s="1" t="n">
        <v>45968</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48421-2025</t>
        </is>
      </c>
      <c r="B579" s="1" t="n">
        <v>45934.67564814815</v>
      </c>
      <c r="C579" s="1" t="n">
        <v>45968</v>
      </c>
      <c r="D579" t="inlineStr">
        <is>
          <t>DALARNAS LÄN</t>
        </is>
      </c>
      <c r="E579" t="inlineStr">
        <is>
          <t>LEKSAND</t>
        </is>
      </c>
      <c r="G579" t="n">
        <v>2.2</v>
      </c>
      <c r="H579" t="n">
        <v>0</v>
      </c>
      <c r="I579" t="n">
        <v>0</v>
      </c>
      <c r="J579" t="n">
        <v>0</v>
      </c>
      <c r="K579" t="n">
        <v>0</v>
      </c>
      <c r="L579" t="n">
        <v>0</v>
      </c>
      <c r="M579" t="n">
        <v>0</v>
      </c>
      <c r="N579" t="n">
        <v>0</v>
      </c>
      <c r="O579" t="n">
        <v>0</v>
      </c>
      <c r="P579" t="n">
        <v>0</v>
      </c>
      <c r="Q579" t="n">
        <v>0</v>
      </c>
      <c r="R579" s="2" t="inlineStr"/>
    </row>
    <row r="580" ht="15" customHeight="1">
      <c r="A580" t="inlineStr">
        <is>
          <t>A 40193-2024</t>
        </is>
      </c>
      <c r="B580" s="1" t="n">
        <v>45554.5734375</v>
      </c>
      <c r="C580" s="1" t="n">
        <v>45968</v>
      </c>
      <c r="D580" t="inlineStr">
        <is>
          <t>DALARNAS LÄN</t>
        </is>
      </c>
      <c r="E580" t="inlineStr">
        <is>
          <t>LEKSAND</t>
        </is>
      </c>
      <c r="F580" t="inlineStr">
        <is>
          <t>Övriga statliga verk och myndigheter</t>
        </is>
      </c>
      <c r="G580" t="n">
        <v>1</v>
      </c>
      <c r="H580" t="n">
        <v>0</v>
      </c>
      <c r="I580" t="n">
        <v>0</v>
      </c>
      <c r="J580" t="n">
        <v>0</v>
      </c>
      <c r="K580" t="n">
        <v>0</v>
      </c>
      <c r="L580" t="n">
        <v>0</v>
      </c>
      <c r="M580" t="n">
        <v>0</v>
      </c>
      <c r="N580" t="n">
        <v>0</v>
      </c>
      <c r="O580" t="n">
        <v>0</v>
      </c>
      <c r="P580" t="n">
        <v>0</v>
      </c>
      <c r="Q580" t="n">
        <v>0</v>
      </c>
      <c r="R580" s="2" t="inlineStr"/>
    </row>
    <row r="581" ht="15" customHeight="1">
      <c r="A581" t="inlineStr">
        <is>
          <t>A 55516-2024</t>
        </is>
      </c>
      <c r="B581" s="1" t="n">
        <v>45621</v>
      </c>
      <c r="C581" s="1" t="n">
        <v>45968</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39558-2023</t>
        </is>
      </c>
      <c r="B582" s="1" t="n">
        <v>45167.38664351852</v>
      </c>
      <c r="C582" s="1" t="n">
        <v>45968</v>
      </c>
      <c r="D582" t="inlineStr">
        <is>
          <t>DALARNAS LÄN</t>
        </is>
      </c>
      <c r="E582" t="inlineStr">
        <is>
          <t>LEKSAND</t>
        </is>
      </c>
      <c r="G582" t="n">
        <v>39.9</v>
      </c>
      <c r="H582" t="n">
        <v>0</v>
      </c>
      <c r="I582" t="n">
        <v>0</v>
      </c>
      <c r="J582" t="n">
        <v>0</v>
      </c>
      <c r="K582" t="n">
        <v>0</v>
      </c>
      <c r="L582" t="n">
        <v>0</v>
      </c>
      <c r="M582" t="n">
        <v>0</v>
      </c>
      <c r="N582" t="n">
        <v>0</v>
      </c>
      <c r="O582" t="n">
        <v>0</v>
      </c>
      <c r="P582" t="n">
        <v>0</v>
      </c>
      <c r="Q582" t="n">
        <v>0</v>
      </c>
      <c r="R582" s="2" t="inlineStr"/>
    </row>
    <row r="583" ht="15" customHeight="1">
      <c r="A583" t="inlineStr">
        <is>
          <t>A 12992-2022</t>
        </is>
      </c>
      <c r="B583" s="1" t="n">
        <v>44643</v>
      </c>
      <c r="C583" s="1" t="n">
        <v>45968</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48922-2025</t>
        </is>
      </c>
      <c r="B584" s="1" t="n">
        <v>45937.50077546296</v>
      </c>
      <c r="C584" s="1" t="n">
        <v>45968</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9138-2023</t>
        </is>
      </c>
      <c r="B585" s="1" t="n">
        <v>44974</v>
      </c>
      <c r="C585" s="1" t="n">
        <v>45968</v>
      </c>
      <c r="D585" t="inlineStr">
        <is>
          <t>DALARNAS LÄN</t>
        </is>
      </c>
      <c r="E585" t="inlineStr">
        <is>
          <t>LEKSAND</t>
        </is>
      </c>
      <c r="G585" t="n">
        <v>4.6</v>
      </c>
      <c r="H585" t="n">
        <v>0</v>
      </c>
      <c r="I585" t="n">
        <v>0</v>
      </c>
      <c r="J585" t="n">
        <v>0</v>
      </c>
      <c r="K585" t="n">
        <v>0</v>
      </c>
      <c r="L585" t="n">
        <v>0</v>
      </c>
      <c r="M585" t="n">
        <v>0</v>
      </c>
      <c r="N585" t="n">
        <v>0</v>
      </c>
      <c r="O585" t="n">
        <v>0</v>
      </c>
      <c r="P585" t="n">
        <v>0</v>
      </c>
      <c r="Q585" t="n">
        <v>0</v>
      </c>
      <c r="R585" s="2" t="inlineStr"/>
    </row>
    <row r="586" ht="15" customHeight="1">
      <c r="A586" t="inlineStr">
        <is>
          <t>A 9141-2023</t>
        </is>
      </c>
      <c r="B586" s="1" t="n">
        <v>44974</v>
      </c>
      <c r="C586" s="1" t="n">
        <v>45968</v>
      </c>
      <c r="D586" t="inlineStr">
        <is>
          <t>DALARNAS LÄN</t>
        </is>
      </c>
      <c r="E586" t="inlineStr">
        <is>
          <t>LEKSAND</t>
        </is>
      </c>
      <c r="G586" t="n">
        <v>1.9</v>
      </c>
      <c r="H586" t="n">
        <v>0</v>
      </c>
      <c r="I586" t="n">
        <v>0</v>
      </c>
      <c r="J586" t="n">
        <v>0</v>
      </c>
      <c r="K586" t="n">
        <v>0</v>
      </c>
      <c r="L586" t="n">
        <v>0</v>
      </c>
      <c r="M586" t="n">
        <v>0</v>
      </c>
      <c r="N586" t="n">
        <v>0</v>
      </c>
      <c r="O586" t="n">
        <v>0</v>
      </c>
      <c r="P586" t="n">
        <v>0</v>
      </c>
      <c r="Q586" t="n">
        <v>0</v>
      </c>
      <c r="R586" s="2" t="inlineStr"/>
    </row>
    <row r="587" ht="15" customHeight="1">
      <c r="A587" t="inlineStr">
        <is>
          <t>A 2630-2025</t>
        </is>
      </c>
      <c r="B587" s="1" t="n">
        <v>45675.85865740741</v>
      </c>
      <c r="C587" s="1" t="n">
        <v>45968</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15986-2025</t>
        </is>
      </c>
      <c r="B588" s="1" t="n">
        <v>45749.57331018519</v>
      </c>
      <c r="C588" s="1" t="n">
        <v>45968</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8211-2023</t>
        </is>
      </c>
      <c r="B589" s="1" t="n">
        <v>44974</v>
      </c>
      <c r="C589" s="1" t="n">
        <v>45968</v>
      </c>
      <c r="D589" t="inlineStr">
        <is>
          <t>DALARNAS LÄN</t>
        </is>
      </c>
      <c r="E589" t="inlineStr">
        <is>
          <t>LEKSAND</t>
        </is>
      </c>
      <c r="G589" t="n">
        <v>5.2</v>
      </c>
      <c r="H589" t="n">
        <v>0</v>
      </c>
      <c r="I589" t="n">
        <v>0</v>
      </c>
      <c r="J589" t="n">
        <v>0</v>
      </c>
      <c r="K589" t="n">
        <v>0</v>
      </c>
      <c r="L589" t="n">
        <v>0</v>
      </c>
      <c r="M589" t="n">
        <v>0</v>
      </c>
      <c r="N589" t="n">
        <v>0</v>
      </c>
      <c r="O589" t="n">
        <v>0</v>
      </c>
      <c r="P589" t="n">
        <v>0</v>
      </c>
      <c r="Q589" t="n">
        <v>0</v>
      </c>
      <c r="R589" s="2" t="inlineStr"/>
    </row>
    <row r="590" ht="15" customHeight="1">
      <c r="A590" t="inlineStr">
        <is>
          <t>A 11678-2025</t>
        </is>
      </c>
      <c r="B590" s="1" t="n">
        <v>45726</v>
      </c>
      <c r="C590" s="1" t="n">
        <v>45968</v>
      </c>
      <c r="D590" t="inlineStr">
        <is>
          <t>DALARNAS LÄN</t>
        </is>
      </c>
      <c r="E590" t="inlineStr">
        <is>
          <t>LEKSAND</t>
        </is>
      </c>
      <c r="G590" t="n">
        <v>9.4</v>
      </c>
      <c r="H590" t="n">
        <v>0</v>
      </c>
      <c r="I590" t="n">
        <v>0</v>
      </c>
      <c r="J590" t="n">
        <v>0</v>
      </c>
      <c r="K590" t="n">
        <v>0</v>
      </c>
      <c r="L590" t="n">
        <v>0</v>
      </c>
      <c r="M590" t="n">
        <v>0</v>
      </c>
      <c r="N590" t="n">
        <v>0</v>
      </c>
      <c r="O590" t="n">
        <v>0</v>
      </c>
      <c r="P590" t="n">
        <v>0</v>
      </c>
      <c r="Q590" t="n">
        <v>0</v>
      </c>
      <c r="R590" s="2" t="inlineStr"/>
    </row>
    <row r="591" ht="15" customHeight="1">
      <c r="A591" t="inlineStr">
        <is>
          <t>A 62161-2024</t>
        </is>
      </c>
      <c r="B591" s="1" t="n">
        <v>45656.86009259259</v>
      </c>
      <c r="C591" s="1" t="n">
        <v>45968</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1983-2025</t>
        </is>
      </c>
      <c r="B592" s="1" t="n">
        <v>45670</v>
      </c>
      <c r="C592" s="1" t="n">
        <v>45968</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40513-2025</t>
        </is>
      </c>
      <c r="B593" s="1" t="n">
        <v>45896.35100694445</v>
      </c>
      <c r="C593" s="1" t="n">
        <v>45968</v>
      </c>
      <c r="D593" t="inlineStr">
        <is>
          <t>DALARNAS LÄN</t>
        </is>
      </c>
      <c r="E593" t="inlineStr">
        <is>
          <t>LEKSAND</t>
        </is>
      </c>
      <c r="G593" t="n">
        <v>7.1</v>
      </c>
      <c r="H593" t="n">
        <v>0</v>
      </c>
      <c r="I593" t="n">
        <v>0</v>
      </c>
      <c r="J593" t="n">
        <v>0</v>
      </c>
      <c r="K593" t="n">
        <v>0</v>
      </c>
      <c r="L593" t="n">
        <v>0</v>
      </c>
      <c r="M593" t="n">
        <v>0</v>
      </c>
      <c r="N593" t="n">
        <v>0</v>
      </c>
      <c r="O593" t="n">
        <v>0</v>
      </c>
      <c r="P593" t="n">
        <v>0</v>
      </c>
      <c r="Q593" t="n">
        <v>0</v>
      </c>
      <c r="R593" s="2" t="inlineStr"/>
    </row>
    <row r="594" ht="15" customHeight="1">
      <c r="A594" t="inlineStr">
        <is>
          <t>A 49212-2025</t>
        </is>
      </c>
      <c r="B594" s="1" t="n">
        <v>45938.43855324074</v>
      </c>
      <c r="C594" s="1" t="n">
        <v>45968</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50447-2023</t>
        </is>
      </c>
      <c r="B595" s="1" t="n">
        <v>45216.72185185185</v>
      </c>
      <c r="C595" s="1" t="n">
        <v>45968</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49209-2025</t>
        </is>
      </c>
      <c r="B596" s="1" t="n">
        <v>45938.43589120371</v>
      </c>
      <c r="C596" s="1" t="n">
        <v>45968</v>
      </c>
      <c r="D596" t="inlineStr">
        <is>
          <t>DALARNAS LÄN</t>
        </is>
      </c>
      <c r="E596" t="inlineStr">
        <is>
          <t>LEKSAND</t>
        </is>
      </c>
      <c r="G596" t="n">
        <v>4.8</v>
      </c>
      <c r="H596" t="n">
        <v>0</v>
      </c>
      <c r="I596" t="n">
        <v>0</v>
      </c>
      <c r="J596" t="n">
        <v>0</v>
      </c>
      <c r="K596" t="n">
        <v>0</v>
      </c>
      <c r="L596" t="n">
        <v>0</v>
      </c>
      <c r="M596" t="n">
        <v>0</v>
      </c>
      <c r="N596" t="n">
        <v>0</v>
      </c>
      <c r="O596" t="n">
        <v>0</v>
      </c>
      <c r="P596" t="n">
        <v>0</v>
      </c>
      <c r="Q596" t="n">
        <v>0</v>
      </c>
      <c r="R596" s="2" t="inlineStr"/>
    </row>
    <row r="597" ht="15" customHeight="1">
      <c r="A597" t="inlineStr">
        <is>
          <t>A 40517-2025</t>
        </is>
      </c>
      <c r="B597" s="1" t="n">
        <v>45896.36368055556</v>
      </c>
      <c r="C597" s="1" t="n">
        <v>45968</v>
      </c>
      <c r="D597" t="inlineStr">
        <is>
          <t>DALARNAS LÄN</t>
        </is>
      </c>
      <c r="E597" t="inlineStr">
        <is>
          <t>LEKSAND</t>
        </is>
      </c>
      <c r="G597" t="n">
        <v>1.6</v>
      </c>
      <c r="H597" t="n">
        <v>0</v>
      </c>
      <c r="I597" t="n">
        <v>0</v>
      </c>
      <c r="J597" t="n">
        <v>0</v>
      </c>
      <c r="K597" t="n">
        <v>0</v>
      </c>
      <c r="L597" t="n">
        <v>0</v>
      </c>
      <c r="M597" t="n">
        <v>0</v>
      </c>
      <c r="N597" t="n">
        <v>0</v>
      </c>
      <c r="O597" t="n">
        <v>0</v>
      </c>
      <c r="P597" t="n">
        <v>0</v>
      </c>
      <c r="Q597" t="n">
        <v>0</v>
      </c>
      <c r="R597" s="2" t="inlineStr"/>
    </row>
    <row r="598" ht="15" customHeight="1">
      <c r="A598" t="inlineStr">
        <is>
          <t>A 59840-2024</t>
        </is>
      </c>
      <c r="B598" s="1" t="n">
        <v>45638</v>
      </c>
      <c r="C598" s="1" t="n">
        <v>45968</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46876-2023</t>
        </is>
      </c>
      <c r="B599" s="1" t="n">
        <v>45200</v>
      </c>
      <c r="C599" s="1" t="n">
        <v>45968</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49505-2025</t>
        </is>
      </c>
      <c r="B600" s="1" t="n">
        <v>45939.37564814815</v>
      </c>
      <c r="C600" s="1" t="n">
        <v>45968</v>
      </c>
      <c r="D600" t="inlineStr">
        <is>
          <t>DALARNAS LÄN</t>
        </is>
      </c>
      <c r="E600" t="inlineStr">
        <is>
          <t>LEKSAND</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33566-2023</t>
        </is>
      </c>
      <c r="B601" s="1" t="n">
        <v>45131.64390046296</v>
      </c>
      <c r="C601" s="1" t="n">
        <v>45968</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41487-2025</t>
        </is>
      </c>
      <c r="B602" s="1" t="n">
        <v>45901.4815625</v>
      </c>
      <c r="C602" s="1" t="n">
        <v>45968</v>
      </c>
      <c r="D602" t="inlineStr">
        <is>
          <t>DALARNAS LÄN</t>
        </is>
      </c>
      <c r="E602" t="inlineStr">
        <is>
          <t>LEKSAND</t>
        </is>
      </c>
      <c r="F602" t="inlineStr">
        <is>
          <t>Bergvik skog väst AB</t>
        </is>
      </c>
      <c r="G602" t="n">
        <v>7.3</v>
      </c>
      <c r="H602" t="n">
        <v>0</v>
      </c>
      <c r="I602" t="n">
        <v>0</v>
      </c>
      <c r="J602" t="n">
        <v>0</v>
      </c>
      <c r="K602" t="n">
        <v>0</v>
      </c>
      <c r="L602" t="n">
        <v>0</v>
      </c>
      <c r="M602" t="n">
        <v>0</v>
      </c>
      <c r="N602" t="n">
        <v>0</v>
      </c>
      <c r="O602" t="n">
        <v>0</v>
      </c>
      <c r="P602" t="n">
        <v>0</v>
      </c>
      <c r="Q602" t="n">
        <v>0</v>
      </c>
      <c r="R602" s="2" t="inlineStr"/>
    </row>
    <row r="603" ht="15" customHeight="1">
      <c r="A603" t="inlineStr">
        <is>
          <t>A 30611-2023</t>
        </is>
      </c>
      <c r="B603" s="1" t="n">
        <v>45112</v>
      </c>
      <c r="C603" s="1" t="n">
        <v>45968</v>
      </c>
      <c r="D603" t="inlineStr">
        <is>
          <t>DALARNAS LÄN</t>
        </is>
      </c>
      <c r="E603" t="inlineStr">
        <is>
          <t>LEKSAND</t>
        </is>
      </c>
      <c r="G603" t="n">
        <v>3.1</v>
      </c>
      <c r="H603" t="n">
        <v>0</v>
      </c>
      <c r="I603" t="n">
        <v>0</v>
      </c>
      <c r="J603" t="n">
        <v>0</v>
      </c>
      <c r="K603" t="n">
        <v>0</v>
      </c>
      <c r="L603" t="n">
        <v>0</v>
      </c>
      <c r="M603" t="n">
        <v>0</v>
      </c>
      <c r="N603" t="n">
        <v>0</v>
      </c>
      <c r="O603" t="n">
        <v>0</v>
      </c>
      <c r="P603" t="n">
        <v>0</v>
      </c>
      <c r="Q603" t="n">
        <v>0</v>
      </c>
      <c r="R603" s="2" t="inlineStr"/>
    </row>
    <row r="604" ht="15" customHeight="1">
      <c r="A604" t="inlineStr">
        <is>
          <t>A 55512-2024</t>
        </is>
      </c>
      <c r="B604" s="1" t="n">
        <v>45621</v>
      </c>
      <c r="C604" s="1" t="n">
        <v>45968</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41237-2025</t>
        </is>
      </c>
      <c r="B605" s="1" t="n">
        <v>45898.59570601852</v>
      </c>
      <c r="C605" s="1" t="n">
        <v>45968</v>
      </c>
      <c r="D605" t="inlineStr">
        <is>
          <t>DALARNAS LÄN</t>
        </is>
      </c>
      <c r="E605" t="inlineStr">
        <is>
          <t>LEKSAND</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41248-2025</t>
        </is>
      </c>
      <c r="B606" s="1" t="n">
        <v>45898.60199074074</v>
      </c>
      <c r="C606" s="1" t="n">
        <v>45968</v>
      </c>
      <c r="D606" t="inlineStr">
        <is>
          <t>DALARNAS LÄN</t>
        </is>
      </c>
      <c r="E606" t="inlineStr">
        <is>
          <t>LEKSAND</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43470-2024</t>
        </is>
      </c>
      <c r="B607" s="1" t="n">
        <v>45568</v>
      </c>
      <c r="C607" s="1" t="n">
        <v>45968</v>
      </c>
      <c r="D607" t="inlineStr">
        <is>
          <t>DALARNAS LÄN</t>
        </is>
      </c>
      <c r="E607" t="inlineStr">
        <is>
          <t>LEKSAND</t>
        </is>
      </c>
      <c r="G607" t="n">
        <v>3.1</v>
      </c>
      <c r="H607" t="n">
        <v>0</v>
      </c>
      <c r="I607" t="n">
        <v>0</v>
      </c>
      <c r="J607" t="n">
        <v>0</v>
      </c>
      <c r="K607" t="n">
        <v>0</v>
      </c>
      <c r="L607" t="n">
        <v>0</v>
      </c>
      <c r="M607" t="n">
        <v>0</v>
      </c>
      <c r="N607" t="n">
        <v>0</v>
      </c>
      <c r="O607" t="n">
        <v>0</v>
      </c>
      <c r="P607" t="n">
        <v>0</v>
      </c>
      <c r="Q607" t="n">
        <v>0</v>
      </c>
      <c r="R607" s="2" t="inlineStr"/>
    </row>
    <row r="608" ht="15" customHeight="1">
      <c r="A608" t="inlineStr">
        <is>
          <t>A 12621-2025</t>
        </is>
      </c>
      <c r="B608" s="1" t="n">
        <v>45733.3575</v>
      </c>
      <c r="C608" s="1" t="n">
        <v>45968</v>
      </c>
      <c r="D608" t="inlineStr">
        <is>
          <t>DALARNAS LÄN</t>
        </is>
      </c>
      <c r="E608" t="inlineStr">
        <is>
          <t>LEKSAND</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11606-2025</t>
        </is>
      </c>
      <c r="B609" s="1" t="n">
        <v>45727</v>
      </c>
      <c r="C609" s="1" t="n">
        <v>45968</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41308-2025</t>
        </is>
      </c>
      <c r="B610" s="1" t="n">
        <v>45898</v>
      </c>
      <c r="C610" s="1" t="n">
        <v>45968</v>
      </c>
      <c r="D610" t="inlineStr">
        <is>
          <t>DALARNAS LÄN</t>
        </is>
      </c>
      <c r="E610" t="inlineStr">
        <is>
          <t>LEKSAND</t>
        </is>
      </c>
      <c r="F610" t="inlineStr">
        <is>
          <t>Bergvik skog väst AB</t>
        </is>
      </c>
      <c r="G610" t="n">
        <v>6.7</v>
      </c>
      <c r="H610" t="n">
        <v>0</v>
      </c>
      <c r="I610" t="n">
        <v>0</v>
      </c>
      <c r="J610" t="n">
        <v>0</v>
      </c>
      <c r="K610" t="n">
        <v>0</v>
      </c>
      <c r="L610" t="n">
        <v>0</v>
      </c>
      <c r="M610" t="n">
        <v>0</v>
      </c>
      <c r="N610" t="n">
        <v>0</v>
      </c>
      <c r="O610" t="n">
        <v>0</v>
      </c>
      <c r="P610" t="n">
        <v>0</v>
      </c>
      <c r="Q610" t="n">
        <v>0</v>
      </c>
      <c r="R610" s="2" t="inlineStr"/>
    </row>
    <row r="611" ht="15" customHeight="1">
      <c r="A611" t="inlineStr">
        <is>
          <t>A 22683-2022</t>
        </is>
      </c>
      <c r="B611" s="1" t="n">
        <v>44714</v>
      </c>
      <c r="C611" s="1" t="n">
        <v>45968</v>
      </c>
      <c r="D611" t="inlineStr">
        <is>
          <t>DALARNAS LÄN</t>
        </is>
      </c>
      <c r="E611" t="inlineStr">
        <is>
          <t>LEKSAND</t>
        </is>
      </c>
      <c r="F611" t="inlineStr">
        <is>
          <t>Bergvik skog väst AB</t>
        </is>
      </c>
      <c r="G611" t="n">
        <v>3.4</v>
      </c>
      <c r="H611" t="n">
        <v>0</v>
      </c>
      <c r="I611" t="n">
        <v>0</v>
      </c>
      <c r="J611" t="n">
        <v>0</v>
      </c>
      <c r="K611" t="n">
        <v>0</v>
      </c>
      <c r="L611" t="n">
        <v>0</v>
      </c>
      <c r="M611" t="n">
        <v>0</v>
      </c>
      <c r="N611" t="n">
        <v>0</v>
      </c>
      <c r="O611" t="n">
        <v>0</v>
      </c>
      <c r="P611" t="n">
        <v>0</v>
      </c>
      <c r="Q611" t="n">
        <v>0</v>
      </c>
      <c r="R611" s="2" t="inlineStr"/>
    </row>
    <row r="612" ht="15" customHeight="1">
      <c r="A612" t="inlineStr">
        <is>
          <t>A 13161-2024</t>
        </is>
      </c>
      <c r="B612" s="1" t="n">
        <v>45386.38972222222</v>
      </c>
      <c r="C612" s="1" t="n">
        <v>45968</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61208-2023</t>
        </is>
      </c>
      <c r="B613" s="1" t="n">
        <v>45260</v>
      </c>
      <c r="C613" s="1" t="n">
        <v>45968</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26062-2024</t>
        </is>
      </c>
      <c r="B614" s="1" t="n">
        <v>45468.3509375</v>
      </c>
      <c r="C614" s="1" t="n">
        <v>45968</v>
      </c>
      <c r="D614" t="inlineStr">
        <is>
          <t>DALARNAS LÄN</t>
        </is>
      </c>
      <c r="E614" t="inlineStr">
        <is>
          <t>LEKSAND</t>
        </is>
      </c>
      <c r="F614" t="inlineStr">
        <is>
          <t>Övriga statliga verk och myndigheter</t>
        </is>
      </c>
      <c r="G614" t="n">
        <v>6.4</v>
      </c>
      <c r="H614" t="n">
        <v>0</v>
      </c>
      <c r="I614" t="n">
        <v>0</v>
      </c>
      <c r="J614" t="n">
        <v>0</v>
      </c>
      <c r="K614" t="n">
        <v>0</v>
      </c>
      <c r="L614" t="n">
        <v>0</v>
      </c>
      <c r="M614" t="n">
        <v>0</v>
      </c>
      <c r="N614" t="n">
        <v>0</v>
      </c>
      <c r="O614" t="n">
        <v>0</v>
      </c>
      <c r="P614" t="n">
        <v>0</v>
      </c>
      <c r="Q614" t="n">
        <v>0</v>
      </c>
      <c r="R614" s="2" t="inlineStr"/>
    </row>
    <row r="615" ht="15" customHeight="1">
      <c r="A615" t="inlineStr">
        <is>
          <t>A 22517-2024</t>
        </is>
      </c>
      <c r="B615" s="1" t="n">
        <v>45447.40143518519</v>
      </c>
      <c r="C615" s="1" t="n">
        <v>45968</v>
      </c>
      <c r="D615" t="inlineStr">
        <is>
          <t>DALARNAS LÄN</t>
        </is>
      </c>
      <c r="E615" t="inlineStr">
        <is>
          <t>LEKSAND</t>
        </is>
      </c>
      <c r="G615" t="n">
        <v>0.4</v>
      </c>
      <c r="H615" t="n">
        <v>0</v>
      </c>
      <c r="I615" t="n">
        <v>0</v>
      </c>
      <c r="J615" t="n">
        <v>0</v>
      </c>
      <c r="K615" t="n">
        <v>0</v>
      </c>
      <c r="L615" t="n">
        <v>0</v>
      </c>
      <c r="M615" t="n">
        <v>0</v>
      </c>
      <c r="N615" t="n">
        <v>0</v>
      </c>
      <c r="O615" t="n">
        <v>0</v>
      </c>
      <c r="P615" t="n">
        <v>0</v>
      </c>
      <c r="Q615" t="n">
        <v>0</v>
      </c>
      <c r="R615" s="2" t="inlineStr"/>
    </row>
    <row r="616" ht="15" customHeight="1">
      <c r="A616" t="inlineStr">
        <is>
          <t>A 61953-2023</t>
        </is>
      </c>
      <c r="B616" s="1" t="n">
        <v>45266</v>
      </c>
      <c r="C616" s="1" t="n">
        <v>45968</v>
      </c>
      <c r="D616" t="inlineStr">
        <is>
          <t>DALARNAS LÄN</t>
        </is>
      </c>
      <c r="E616" t="inlineStr">
        <is>
          <t>LEKSAND</t>
        </is>
      </c>
      <c r="G616" t="n">
        <v>0.1</v>
      </c>
      <c r="H616" t="n">
        <v>0</v>
      </c>
      <c r="I616" t="n">
        <v>0</v>
      </c>
      <c r="J616" t="n">
        <v>0</v>
      </c>
      <c r="K616" t="n">
        <v>0</v>
      </c>
      <c r="L616" t="n">
        <v>0</v>
      </c>
      <c r="M616" t="n">
        <v>0</v>
      </c>
      <c r="N616" t="n">
        <v>0</v>
      </c>
      <c r="O616" t="n">
        <v>0</v>
      </c>
      <c r="P616" t="n">
        <v>0</v>
      </c>
      <c r="Q616" t="n">
        <v>0</v>
      </c>
      <c r="R616" s="2" t="inlineStr"/>
    </row>
    <row r="617" ht="15" customHeight="1">
      <c r="A617" t="inlineStr">
        <is>
          <t>A 16815-2025</t>
        </is>
      </c>
      <c r="B617" s="1" t="n">
        <v>45754</v>
      </c>
      <c r="C617" s="1" t="n">
        <v>45968</v>
      </c>
      <c r="D617" t="inlineStr">
        <is>
          <t>DALARNAS LÄN</t>
        </is>
      </c>
      <c r="E617" t="inlineStr">
        <is>
          <t>LEKSAND</t>
        </is>
      </c>
      <c r="G617" t="n">
        <v>2.8</v>
      </c>
      <c r="H617" t="n">
        <v>0</v>
      </c>
      <c r="I617" t="n">
        <v>0</v>
      </c>
      <c r="J617" t="n">
        <v>0</v>
      </c>
      <c r="K617" t="n">
        <v>0</v>
      </c>
      <c r="L617" t="n">
        <v>0</v>
      </c>
      <c r="M617" t="n">
        <v>0</v>
      </c>
      <c r="N617" t="n">
        <v>0</v>
      </c>
      <c r="O617" t="n">
        <v>0</v>
      </c>
      <c r="P617" t="n">
        <v>0</v>
      </c>
      <c r="Q617" t="n">
        <v>0</v>
      </c>
      <c r="R617" s="2" t="inlineStr"/>
    </row>
    <row r="618" ht="15" customHeight="1">
      <c r="A618" t="inlineStr">
        <is>
          <t>A 16854-2025</t>
        </is>
      </c>
      <c r="B618" s="1" t="n">
        <v>45754.72883101852</v>
      </c>
      <c r="C618" s="1" t="n">
        <v>45968</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10299-2024</t>
        </is>
      </c>
      <c r="B619" s="1" t="n">
        <v>45365.50425925926</v>
      </c>
      <c r="C619" s="1" t="n">
        <v>45968</v>
      </c>
      <c r="D619" t="inlineStr">
        <is>
          <t>DALARNAS LÄN</t>
        </is>
      </c>
      <c r="E619" t="inlineStr">
        <is>
          <t>LEKSAND</t>
        </is>
      </c>
      <c r="G619" t="n">
        <v>3.6</v>
      </c>
      <c r="H619" t="n">
        <v>0</v>
      </c>
      <c r="I619" t="n">
        <v>0</v>
      </c>
      <c r="J619" t="n">
        <v>0</v>
      </c>
      <c r="K619" t="n">
        <v>0</v>
      </c>
      <c r="L619" t="n">
        <v>0</v>
      </c>
      <c r="M619" t="n">
        <v>0</v>
      </c>
      <c r="N619" t="n">
        <v>0</v>
      </c>
      <c r="O619" t="n">
        <v>0</v>
      </c>
      <c r="P619" t="n">
        <v>0</v>
      </c>
      <c r="Q619" t="n">
        <v>0</v>
      </c>
      <c r="R619" s="2" t="inlineStr"/>
    </row>
    <row r="620" ht="15" customHeight="1">
      <c r="A620" t="inlineStr">
        <is>
          <t>A 41335-2025</t>
        </is>
      </c>
      <c r="B620" s="1" t="n">
        <v>45899.36747685185</v>
      </c>
      <c r="C620" s="1" t="n">
        <v>45968</v>
      </c>
      <c r="D620" t="inlineStr">
        <is>
          <t>DALARNAS LÄN</t>
        </is>
      </c>
      <c r="E620" t="inlineStr">
        <is>
          <t>LEKSAND</t>
        </is>
      </c>
      <c r="G620" t="n">
        <v>5.9</v>
      </c>
      <c r="H620" t="n">
        <v>0</v>
      </c>
      <c r="I620" t="n">
        <v>0</v>
      </c>
      <c r="J620" t="n">
        <v>0</v>
      </c>
      <c r="K620" t="n">
        <v>0</v>
      </c>
      <c r="L620" t="n">
        <v>0</v>
      </c>
      <c r="M620" t="n">
        <v>0</v>
      </c>
      <c r="N620" t="n">
        <v>0</v>
      </c>
      <c r="O620" t="n">
        <v>0</v>
      </c>
      <c r="P620" t="n">
        <v>0</v>
      </c>
      <c r="Q620" t="n">
        <v>0</v>
      </c>
      <c r="R620" s="2" t="inlineStr"/>
    </row>
    <row r="621" ht="15" customHeight="1">
      <c r="A621" t="inlineStr">
        <is>
          <t>A 62133-2023</t>
        </is>
      </c>
      <c r="B621" s="1" t="n">
        <v>45267.35582175926</v>
      </c>
      <c r="C621" s="1" t="n">
        <v>45968</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40009-2024</t>
        </is>
      </c>
      <c r="B622" s="1" t="n">
        <v>45553.65361111111</v>
      </c>
      <c r="C622" s="1" t="n">
        <v>45968</v>
      </c>
      <c r="D622" t="inlineStr">
        <is>
          <t>DALARNAS LÄN</t>
        </is>
      </c>
      <c r="E622" t="inlineStr">
        <is>
          <t>LEKSAND</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10967-2023</t>
        </is>
      </c>
      <c r="B623" s="1" t="n">
        <v>44991.58001157407</v>
      </c>
      <c r="C623" s="1" t="n">
        <v>45968</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10974-2023</t>
        </is>
      </c>
      <c r="B624" s="1" t="n">
        <v>44991.59049768518</v>
      </c>
      <c r="C624" s="1" t="n">
        <v>45968</v>
      </c>
      <c r="D624" t="inlineStr">
        <is>
          <t>DALARNAS LÄN</t>
        </is>
      </c>
      <c r="E624" t="inlineStr">
        <is>
          <t>LEKSAND</t>
        </is>
      </c>
      <c r="G624" t="n">
        <v>0.3</v>
      </c>
      <c r="H624" t="n">
        <v>0</v>
      </c>
      <c r="I624" t="n">
        <v>0</v>
      </c>
      <c r="J624" t="n">
        <v>0</v>
      </c>
      <c r="K624" t="n">
        <v>0</v>
      </c>
      <c r="L624" t="n">
        <v>0</v>
      </c>
      <c r="M624" t="n">
        <v>0</v>
      </c>
      <c r="N624" t="n">
        <v>0</v>
      </c>
      <c r="O624" t="n">
        <v>0</v>
      </c>
      <c r="P624" t="n">
        <v>0</v>
      </c>
      <c r="Q624" t="n">
        <v>0</v>
      </c>
      <c r="R624" s="2" t="inlineStr"/>
    </row>
    <row r="625" ht="15" customHeight="1">
      <c r="A625" t="inlineStr">
        <is>
          <t>A 47203-2023</t>
        </is>
      </c>
      <c r="B625" s="1" t="n">
        <v>45202</v>
      </c>
      <c r="C625" s="1" t="n">
        <v>45968</v>
      </c>
      <c r="D625" t="inlineStr">
        <is>
          <t>DALARNAS LÄN</t>
        </is>
      </c>
      <c r="E625" t="inlineStr">
        <is>
          <t>LEKSAND</t>
        </is>
      </c>
      <c r="G625" t="n">
        <v>2.1</v>
      </c>
      <c r="H625" t="n">
        <v>0</v>
      </c>
      <c r="I625" t="n">
        <v>0</v>
      </c>
      <c r="J625" t="n">
        <v>0</v>
      </c>
      <c r="K625" t="n">
        <v>0</v>
      </c>
      <c r="L625" t="n">
        <v>0</v>
      </c>
      <c r="M625" t="n">
        <v>0</v>
      </c>
      <c r="N625" t="n">
        <v>0</v>
      </c>
      <c r="O625" t="n">
        <v>0</v>
      </c>
      <c r="P625" t="n">
        <v>0</v>
      </c>
      <c r="Q625" t="n">
        <v>0</v>
      </c>
      <c r="R625" s="2" t="inlineStr"/>
    </row>
    <row r="626" ht="15" customHeight="1">
      <c r="A626" t="inlineStr">
        <is>
          <t>A 16135-2023</t>
        </is>
      </c>
      <c r="B626" s="1" t="n">
        <v>45027.63717592593</v>
      </c>
      <c r="C626" s="1" t="n">
        <v>45968</v>
      </c>
      <c r="D626" t="inlineStr">
        <is>
          <t>DALARNAS LÄN</t>
        </is>
      </c>
      <c r="E626" t="inlineStr">
        <is>
          <t>LEKSAND</t>
        </is>
      </c>
      <c r="G626" t="n">
        <v>4.9</v>
      </c>
      <c r="H626" t="n">
        <v>0</v>
      </c>
      <c r="I626" t="n">
        <v>0</v>
      </c>
      <c r="J626" t="n">
        <v>0</v>
      </c>
      <c r="K626" t="n">
        <v>0</v>
      </c>
      <c r="L626" t="n">
        <v>0</v>
      </c>
      <c r="M626" t="n">
        <v>0</v>
      </c>
      <c r="N626" t="n">
        <v>0</v>
      </c>
      <c r="O626" t="n">
        <v>0</v>
      </c>
      <c r="P626" t="n">
        <v>0</v>
      </c>
      <c r="Q626" t="n">
        <v>0</v>
      </c>
      <c r="R626" s="2" t="inlineStr"/>
    </row>
    <row r="627" ht="15" customHeight="1">
      <c r="A627" t="inlineStr">
        <is>
          <t>A 41380-2025</t>
        </is>
      </c>
      <c r="B627" s="1" t="n">
        <v>45900.92826388889</v>
      </c>
      <c r="C627" s="1" t="n">
        <v>45968</v>
      </c>
      <c r="D627" t="inlineStr">
        <is>
          <t>DALARNAS LÄN</t>
        </is>
      </c>
      <c r="E627" t="inlineStr">
        <is>
          <t>LEKSAND</t>
        </is>
      </c>
      <c r="G627" t="n">
        <v>1.4</v>
      </c>
      <c r="H627" t="n">
        <v>0</v>
      </c>
      <c r="I627" t="n">
        <v>0</v>
      </c>
      <c r="J627" t="n">
        <v>0</v>
      </c>
      <c r="K627" t="n">
        <v>0</v>
      </c>
      <c r="L627" t="n">
        <v>0</v>
      </c>
      <c r="M627" t="n">
        <v>0</v>
      </c>
      <c r="N627" t="n">
        <v>0</v>
      </c>
      <c r="O627" t="n">
        <v>0</v>
      </c>
      <c r="P627" t="n">
        <v>0</v>
      </c>
      <c r="Q627" t="n">
        <v>0</v>
      </c>
      <c r="R627" s="2" t="inlineStr"/>
    </row>
    <row r="628" ht="15" customHeight="1">
      <c r="A628" t="inlineStr">
        <is>
          <t>A 42727-2024</t>
        </is>
      </c>
      <c r="B628" s="1" t="n">
        <v>45566</v>
      </c>
      <c r="C628" s="1" t="n">
        <v>45968</v>
      </c>
      <c r="D628" t="inlineStr">
        <is>
          <t>DALARNAS LÄN</t>
        </is>
      </c>
      <c r="E628" t="inlineStr">
        <is>
          <t>LEKSAND</t>
        </is>
      </c>
      <c r="G628" t="n">
        <v>0.8</v>
      </c>
      <c r="H628" t="n">
        <v>0</v>
      </c>
      <c r="I628" t="n">
        <v>0</v>
      </c>
      <c r="J628" t="n">
        <v>0</v>
      </c>
      <c r="K628" t="n">
        <v>0</v>
      </c>
      <c r="L628" t="n">
        <v>0</v>
      </c>
      <c r="M628" t="n">
        <v>0</v>
      </c>
      <c r="N628" t="n">
        <v>0</v>
      </c>
      <c r="O628" t="n">
        <v>0</v>
      </c>
      <c r="P628" t="n">
        <v>0</v>
      </c>
      <c r="Q628" t="n">
        <v>0</v>
      </c>
      <c r="R628" s="2" t="inlineStr"/>
    </row>
    <row r="629" ht="15" customHeight="1">
      <c r="A629" t="inlineStr">
        <is>
          <t>A 59859-2023</t>
        </is>
      </c>
      <c r="B629" s="1" t="n">
        <v>45257</v>
      </c>
      <c r="C629" s="1" t="n">
        <v>45968</v>
      </c>
      <c r="D629" t="inlineStr">
        <is>
          <t>DALARNAS LÄN</t>
        </is>
      </c>
      <c r="E629" t="inlineStr">
        <is>
          <t>LEKSAND</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19295-2024</t>
        </is>
      </c>
      <c r="B630" s="1" t="n">
        <v>45428.69106481481</v>
      </c>
      <c r="C630" s="1" t="n">
        <v>45968</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45968</v>
      </c>
      <c r="D631" t="inlineStr">
        <is>
          <t>DALARNAS LÄN</t>
        </is>
      </c>
      <c r="E631" t="inlineStr">
        <is>
          <t>LEKSAND</t>
        </is>
      </c>
      <c r="G631" t="n">
        <v>0.3</v>
      </c>
      <c r="H631" t="n">
        <v>0</v>
      </c>
      <c r="I631" t="n">
        <v>0</v>
      </c>
      <c r="J631" t="n">
        <v>0</v>
      </c>
      <c r="K631" t="n">
        <v>0</v>
      </c>
      <c r="L631" t="n">
        <v>0</v>
      </c>
      <c r="M631" t="n">
        <v>0</v>
      </c>
      <c r="N631" t="n">
        <v>0</v>
      </c>
      <c r="O631" t="n">
        <v>0</v>
      </c>
      <c r="P631" t="n">
        <v>0</v>
      </c>
      <c r="Q631" t="n">
        <v>0</v>
      </c>
      <c r="R631" s="2" t="inlineStr"/>
    </row>
    <row r="632" ht="15" customHeight="1">
      <c r="A632" t="inlineStr">
        <is>
          <t>A 16197-2024</t>
        </is>
      </c>
      <c r="B632" s="1" t="n">
        <v>45406.70356481482</v>
      </c>
      <c r="C632" s="1" t="n">
        <v>45968</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53193-2024</t>
        </is>
      </c>
      <c r="B633" s="1" t="n">
        <v>45610</v>
      </c>
      <c r="C633" s="1" t="n">
        <v>45968</v>
      </c>
      <c r="D633" t="inlineStr">
        <is>
          <t>DALARNAS LÄN</t>
        </is>
      </c>
      <c r="E633" t="inlineStr">
        <is>
          <t>LEKSAND</t>
        </is>
      </c>
      <c r="G633" t="n">
        <v>1.4</v>
      </c>
      <c r="H633" t="n">
        <v>0</v>
      </c>
      <c r="I633" t="n">
        <v>0</v>
      </c>
      <c r="J633" t="n">
        <v>0</v>
      </c>
      <c r="K633" t="n">
        <v>0</v>
      </c>
      <c r="L633" t="n">
        <v>0</v>
      </c>
      <c r="M633" t="n">
        <v>0</v>
      </c>
      <c r="N633" t="n">
        <v>0</v>
      </c>
      <c r="O633" t="n">
        <v>0</v>
      </c>
      <c r="P633" t="n">
        <v>0</v>
      </c>
      <c r="Q633" t="n">
        <v>0</v>
      </c>
      <c r="R633" s="2" t="inlineStr"/>
    </row>
    <row r="634" ht="15" customHeight="1">
      <c r="A634" t="inlineStr">
        <is>
          <t>A 14615-2024</t>
        </is>
      </c>
      <c r="B634" s="1" t="n">
        <v>45397.26047453703</v>
      </c>
      <c r="C634" s="1" t="n">
        <v>45968</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23892-2025</t>
        </is>
      </c>
      <c r="B635" s="1" t="n">
        <v>45793</v>
      </c>
      <c r="C635" s="1" t="n">
        <v>45968</v>
      </c>
      <c r="D635" t="inlineStr">
        <is>
          <t>DALARNAS LÄN</t>
        </is>
      </c>
      <c r="E635" t="inlineStr">
        <is>
          <t>LEKSAND</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23663-2024</t>
        </is>
      </c>
      <c r="B636" s="1" t="n">
        <v>45454.57049768518</v>
      </c>
      <c r="C636" s="1" t="n">
        <v>45968</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20937-2025</t>
        </is>
      </c>
      <c r="B637" s="1" t="n">
        <v>45777.42769675926</v>
      </c>
      <c r="C637" s="1" t="n">
        <v>45968</v>
      </c>
      <c r="D637" t="inlineStr">
        <is>
          <t>DALARNAS LÄN</t>
        </is>
      </c>
      <c r="E637" t="inlineStr">
        <is>
          <t>LEKSAND</t>
        </is>
      </c>
      <c r="G637" t="n">
        <v>2.2</v>
      </c>
      <c r="H637" t="n">
        <v>0</v>
      </c>
      <c r="I637" t="n">
        <v>0</v>
      </c>
      <c r="J637" t="n">
        <v>0</v>
      </c>
      <c r="K637" t="n">
        <v>0</v>
      </c>
      <c r="L637" t="n">
        <v>0</v>
      </c>
      <c r="M637" t="n">
        <v>0</v>
      </c>
      <c r="N637" t="n">
        <v>0</v>
      </c>
      <c r="O637" t="n">
        <v>0</v>
      </c>
      <c r="P637" t="n">
        <v>0</v>
      </c>
      <c r="Q637" t="n">
        <v>0</v>
      </c>
      <c r="R637" s="2" t="inlineStr"/>
    </row>
    <row r="638" ht="15" customHeight="1">
      <c r="A638" t="inlineStr">
        <is>
          <t>A 42284-2025</t>
        </is>
      </c>
      <c r="B638" s="1" t="n">
        <v>45903</v>
      </c>
      <c r="C638" s="1" t="n">
        <v>45968</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20683-2025</t>
        </is>
      </c>
      <c r="B639" s="1" t="n">
        <v>45776</v>
      </c>
      <c r="C639" s="1" t="n">
        <v>45968</v>
      </c>
      <c r="D639" t="inlineStr">
        <is>
          <t>DALARNAS LÄN</t>
        </is>
      </c>
      <c r="E639" t="inlineStr">
        <is>
          <t>LEKSAND</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19622-2024</t>
        </is>
      </c>
      <c r="B640" s="1" t="n">
        <v>45432.33592592592</v>
      </c>
      <c r="C640" s="1" t="n">
        <v>45968</v>
      </c>
      <c r="D640" t="inlineStr">
        <is>
          <t>DALARNAS LÄN</t>
        </is>
      </c>
      <c r="E640" t="inlineStr">
        <is>
          <t>LEKSAND</t>
        </is>
      </c>
      <c r="G640" t="n">
        <v>1.3</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45169.46887731482</v>
      </c>
      <c r="C641" s="1" t="n">
        <v>45968</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50332-2025</t>
        </is>
      </c>
      <c r="B642" s="1" t="n">
        <v>45944.47092592593</v>
      </c>
      <c r="C642" s="1" t="n">
        <v>45968</v>
      </c>
      <c r="D642" t="inlineStr">
        <is>
          <t>DALARNAS LÄN</t>
        </is>
      </c>
      <c r="E642" t="inlineStr">
        <is>
          <t>LEKSAND</t>
        </is>
      </c>
      <c r="G642" t="n">
        <v>2.4</v>
      </c>
      <c r="H642" t="n">
        <v>0</v>
      </c>
      <c r="I642" t="n">
        <v>0</v>
      </c>
      <c r="J642" t="n">
        <v>0</v>
      </c>
      <c r="K642" t="n">
        <v>0</v>
      </c>
      <c r="L642" t="n">
        <v>0</v>
      </c>
      <c r="M642" t="n">
        <v>0</v>
      </c>
      <c r="N642" t="n">
        <v>0</v>
      </c>
      <c r="O642" t="n">
        <v>0</v>
      </c>
      <c r="P642" t="n">
        <v>0</v>
      </c>
      <c r="Q642" t="n">
        <v>0</v>
      </c>
      <c r="R642" s="2" t="inlineStr"/>
    </row>
    <row r="643" ht="15" customHeight="1">
      <c r="A643" t="inlineStr">
        <is>
          <t>A 21230-2025</t>
        </is>
      </c>
      <c r="B643" s="1" t="n">
        <v>45779.54589120371</v>
      </c>
      <c r="C643" s="1" t="n">
        <v>45968</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21193-2025</t>
        </is>
      </c>
      <c r="B644" s="1" t="n">
        <v>45779.46675925926</v>
      </c>
      <c r="C644" s="1" t="n">
        <v>45968</v>
      </c>
      <c r="D644" t="inlineStr">
        <is>
          <t>DALARNAS LÄN</t>
        </is>
      </c>
      <c r="E644" t="inlineStr">
        <is>
          <t>LEKSAND</t>
        </is>
      </c>
      <c r="G644" t="n">
        <v>3.7</v>
      </c>
      <c r="H644" t="n">
        <v>0</v>
      </c>
      <c r="I644" t="n">
        <v>0</v>
      </c>
      <c r="J644" t="n">
        <v>0</v>
      </c>
      <c r="K644" t="n">
        <v>0</v>
      </c>
      <c r="L644" t="n">
        <v>0</v>
      </c>
      <c r="M644" t="n">
        <v>0</v>
      </c>
      <c r="N644" t="n">
        <v>0</v>
      </c>
      <c r="O644" t="n">
        <v>0</v>
      </c>
      <c r="P644" t="n">
        <v>0</v>
      </c>
      <c r="Q644" t="n">
        <v>0</v>
      </c>
      <c r="R644" s="2" t="inlineStr"/>
    </row>
    <row r="645" ht="15" customHeight="1">
      <c r="A645" t="inlineStr">
        <is>
          <t>A 11712-2025</t>
        </is>
      </c>
      <c r="B645" s="1" t="n">
        <v>45727</v>
      </c>
      <c r="C645" s="1" t="n">
        <v>45968</v>
      </c>
      <c r="D645" t="inlineStr">
        <is>
          <t>DALARNAS LÄN</t>
        </is>
      </c>
      <c r="E645" t="inlineStr">
        <is>
          <t>LEKSAND</t>
        </is>
      </c>
      <c r="G645" t="n">
        <v>6</v>
      </c>
      <c r="H645" t="n">
        <v>0</v>
      </c>
      <c r="I645" t="n">
        <v>0</v>
      </c>
      <c r="J645" t="n">
        <v>0</v>
      </c>
      <c r="K645" t="n">
        <v>0</v>
      </c>
      <c r="L645" t="n">
        <v>0</v>
      </c>
      <c r="M645" t="n">
        <v>0</v>
      </c>
      <c r="N645" t="n">
        <v>0</v>
      </c>
      <c r="O645" t="n">
        <v>0</v>
      </c>
      <c r="P645" t="n">
        <v>0</v>
      </c>
      <c r="Q645" t="n">
        <v>0</v>
      </c>
      <c r="R645" s="2" t="inlineStr"/>
    </row>
    <row r="646" ht="15" customHeight="1">
      <c r="A646" t="inlineStr">
        <is>
          <t>A 40627-2023</t>
        </is>
      </c>
      <c r="B646" s="1" t="n">
        <v>45170</v>
      </c>
      <c r="C646" s="1" t="n">
        <v>45968</v>
      </c>
      <c r="D646" t="inlineStr">
        <is>
          <t>DALARNAS LÄN</t>
        </is>
      </c>
      <c r="E646" t="inlineStr">
        <is>
          <t>LEKSAND</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6030-2025</t>
        </is>
      </c>
      <c r="B647" s="1" t="n">
        <v>45695</v>
      </c>
      <c r="C647" s="1" t="n">
        <v>45968</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21600-2025</t>
        </is>
      </c>
      <c r="B648" s="1" t="n">
        <v>45783.3521875</v>
      </c>
      <c r="C648" s="1" t="n">
        <v>45968</v>
      </c>
      <c r="D648" t="inlineStr">
        <is>
          <t>DALARNAS LÄN</t>
        </is>
      </c>
      <c r="E648" t="inlineStr">
        <is>
          <t>LEKSAND</t>
        </is>
      </c>
      <c r="G648" t="n">
        <v>7.7</v>
      </c>
      <c r="H648" t="n">
        <v>0</v>
      </c>
      <c r="I648" t="n">
        <v>0</v>
      </c>
      <c r="J648" t="n">
        <v>0</v>
      </c>
      <c r="K648" t="n">
        <v>0</v>
      </c>
      <c r="L648" t="n">
        <v>0</v>
      </c>
      <c r="M648" t="n">
        <v>0</v>
      </c>
      <c r="N648" t="n">
        <v>0</v>
      </c>
      <c r="O648" t="n">
        <v>0</v>
      </c>
      <c r="P648" t="n">
        <v>0</v>
      </c>
      <c r="Q648" t="n">
        <v>0</v>
      </c>
      <c r="R648" s="2" t="inlineStr"/>
    </row>
    <row r="649" ht="15" customHeight="1">
      <c r="A649" t="inlineStr">
        <is>
          <t>A 50704-2025</t>
        </is>
      </c>
      <c r="B649" s="1" t="n">
        <v>45946.27984953704</v>
      </c>
      <c r="C649" s="1" t="n">
        <v>45968</v>
      </c>
      <c r="D649" t="inlineStr">
        <is>
          <t>DALARNAS LÄN</t>
        </is>
      </c>
      <c r="E649" t="inlineStr">
        <is>
          <t>LEKSAND</t>
        </is>
      </c>
      <c r="G649" t="n">
        <v>2.1</v>
      </c>
      <c r="H649" t="n">
        <v>0</v>
      </c>
      <c r="I649" t="n">
        <v>0</v>
      </c>
      <c r="J649" t="n">
        <v>0</v>
      </c>
      <c r="K649" t="n">
        <v>0</v>
      </c>
      <c r="L649" t="n">
        <v>0</v>
      </c>
      <c r="M649" t="n">
        <v>0</v>
      </c>
      <c r="N649" t="n">
        <v>0</v>
      </c>
      <c r="O649" t="n">
        <v>0</v>
      </c>
      <c r="P649" t="n">
        <v>0</v>
      </c>
      <c r="Q649" t="n">
        <v>0</v>
      </c>
      <c r="R649" s="2" t="inlineStr"/>
    </row>
    <row r="650" ht="15" customHeight="1">
      <c r="A650" t="inlineStr">
        <is>
          <t>A 11872-2024</t>
        </is>
      </c>
      <c r="B650" s="1" t="n">
        <v>45376.46833333333</v>
      </c>
      <c r="C650" s="1" t="n">
        <v>45968</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45968</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21457-2025</t>
        </is>
      </c>
      <c r="B652" s="1" t="n">
        <v>45782.55451388889</v>
      </c>
      <c r="C652" s="1" t="n">
        <v>45968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42402-2025</t>
        </is>
      </c>
      <c r="B653" s="1" t="n">
        <v>45905.3753125</v>
      </c>
      <c r="C653" s="1" t="n">
        <v>45968</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61554-2024</t>
        </is>
      </c>
      <c r="B654" s="1" t="n">
        <v>45646.60748842593</v>
      </c>
      <c r="C654" s="1" t="n">
        <v>45968</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22080-2025</t>
        </is>
      </c>
      <c r="B655" s="1" t="n">
        <v>45785</v>
      </c>
      <c r="C655" s="1" t="n">
        <v>45968</v>
      </c>
      <c r="D655" t="inlineStr">
        <is>
          <t>DALARNAS LÄN</t>
        </is>
      </c>
      <c r="E655" t="inlineStr">
        <is>
          <t>LEKSAND</t>
        </is>
      </c>
      <c r="G655" t="n">
        <v>7</v>
      </c>
      <c r="H655" t="n">
        <v>0</v>
      </c>
      <c r="I655" t="n">
        <v>0</v>
      </c>
      <c r="J655" t="n">
        <v>0</v>
      </c>
      <c r="K655" t="n">
        <v>0</v>
      </c>
      <c r="L655" t="n">
        <v>0</v>
      </c>
      <c r="M655" t="n">
        <v>0</v>
      </c>
      <c r="N655" t="n">
        <v>0</v>
      </c>
      <c r="O655" t="n">
        <v>0</v>
      </c>
      <c r="P655" t="n">
        <v>0</v>
      </c>
      <c r="Q655" t="n">
        <v>0</v>
      </c>
      <c r="R655" s="2" t="inlineStr"/>
    </row>
    <row r="656" ht="15" customHeight="1">
      <c r="A656" t="inlineStr">
        <is>
          <t>A 21916-2025</t>
        </is>
      </c>
      <c r="B656" s="1" t="n">
        <v>45784.50115740741</v>
      </c>
      <c r="C656" s="1" t="n">
        <v>45968</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55643-2024</t>
        </is>
      </c>
      <c r="B657" s="1" t="n">
        <v>45621</v>
      </c>
      <c r="C657" s="1" t="n">
        <v>45968</v>
      </c>
      <c r="D657" t="inlineStr">
        <is>
          <t>DALARNAS LÄN</t>
        </is>
      </c>
      <c r="E657" t="inlineStr">
        <is>
          <t>LEKSAND</t>
        </is>
      </c>
      <c r="G657" t="n">
        <v>1.7</v>
      </c>
      <c r="H657" t="n">
        <v>0</v>
      </c>
      <c r="I657" t="n">
        <v>0</v>
      </c>
      <c r="J657" t="n">
        <v>0</v>
      </c>
      <c r="K657" t="n">
        <v>0</v>
      </c>
      <c r="L657" t="n">
        <v>0</v>
      </c>
      <c r="M657" t="n">
        <v>0</v>
      </c>
      <c r="N657" t="n">
        <v>0</v>
      </c>
      <c r="O657" t="n">
        <v>0</v>
      </c>
      <c r="P657" t="n">
        <v>0</v>
      </c>
      <c r="Q657" t="n">
        <v>0</v>
      </c>
      <c r="R657" s="2" t="inlineStr"/>
    </row>
    <row r="658" ht="15" customHeight="1">
      <c r="A658" t="inlineStr">
        <is>
          <t>A 62307-2023</t>
        </is>
      </c>
      <c r="B658" s="1" t="n">
        <v>45266</v>
      </c>
      <c r="C658" s="1" t="n">
        <v>45968</v>
      </c>
      <c r="D658" t="inlineStr">
        <is>
          <t>DALARNAS LÄN</t>
        </is>
      </c>
      <c r="E658" t="inlineStr">
        <is>
          <t>LEKSAND</t>
        </is>
      </c>
      <c r="G658" t="n">
        <v>3.9</v>
      </c>
      <c r="H658" t="n">
        <v>0</v>
      </c>
      <c r="I658" t="n">
        <v>0</v>
      </c>
      <c r="J658" t="n">
        <v>0</v>
      </c>
      <c r="K658" t="n">
        <v>0</v>
      </c>
      <c r="L658" t="n">
        <v>0</v>
      </c>
      <c r="M658" t="n">
        <v>0</v>
      </c>
      <c r="N658" t="n">
        <v>0</v>
      </c>
      <c r="O658" t="n">
        <v>0</v>
      </c>
      <c r="P658" t="n">
        <v>0</v>
      </c>
      <c r="Q658" t="n">
        <v>0</v>
      </c>
      <c r="R658" s="2" t="inlineStr"/>
    </row>
    <row r="659" ht="15" customHeight="1">
      <c r="A659" t="inlineStr">
        <is>
          <t>A 14967-2023</t>
        </is>
      </c>
      <c r="B659" s="1" t="n">
        <v>45015</v>
      </c>
      <c r="C659" s="1" t="n">
        <v>45968</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7861-2024</t>
        </is>
      </c>
      <c r="B660" s="1" t="n">
        <v>45350.30831018519</v>
      </c>
      <c r="C660" s="1" t="n">
        <v>45968</v>
      </c>
      <c r="D660" t="inlineStr">
        <is>
          <t>DALARNAS LÄN</t>
        </is>
      </c>
      <c r="E660" t="inlineStr">
        <is>
          <t>LEKSAND</t>
        </is>
      </c>
      <c r="G660" t="n">
        <v>1.8</v>
      </c>
      <c r="H660" t="n">
        <v>0</v>
      </c>
      <c r="I660" t="n">
        <v>0</v>
      </c>
      <c r="J660" t="n">
        <v>0</v>
      </c>
      <c r="K660" t="n">
        <v>0</v>
      </c>
      <c r="L660" t="n">
        <v>0</v>
      </c>
      <c r="M660" t="n">
        <v>0</v>
      </c>
      <c r="N660" t="n">
        <v>0</v>
      </c>
      <c r="O660" t="n">
        <v>0</v>
      </c>
      <c r="P660" t="n">
        <v>0</v>
      </c>
      <c r="Q660" t="n">
        <v>0</v>
      </c>
      <c r="R660" s="2" t="inlineStr"/>
    </row>
    <row r="661" ht="15" customHeight="1">
      <c r="A661" t="inlineStr">
        <is>
          <t>A 22281-2024</t>
        </is>
      </c>
      <c r="B661" s="1" t="n">
        <v>45446.54756944445</v>
      </c>
      <c r="C661" s="1" t="n">
        <v>45968</v>
      </c>
      <c r="D661" t="inlineStr">
        <is>
          <t>DALARNAS LÄN</t>
        </is>
      </c>
      <c r="E661" t="inlineStr">
        <is>
          <t>LEKSAND</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51663-2025</t>
        </is>
      </c>
      <c r="B662" s="1" t="n">
        <v>45951</v>
      </c>
      <c r="C662" s="1" t="n">
        <v>45968</v>
      </c>
      <c r="D662" t="inlineStr">
        <is>
          <t>DALARNAS LÄN</t>
        </is>
      </c>
      <c r="E662" t="inlineStr">
        <is>
          <t>LEKSAND</t>
        </is>
      </c>
      <c r="F662" t="inlineStr">
        <is>
          <t>Bergvik skog väst AB</t>
        </is>
      </c>
      <c r="G662" t="n">
        <v>3.1</v>
      </c>
      <c r="H662" t="n">
        <v>0</v>
      </c>
      <c r="I662" t="n">
        <v>0</v>
      </c>
      <c r="J662" t="n">
        <v>0</v>
      </c>
      <c r="K662" t="n">
        <v>0</v>
      </c>
      <c r="L662" t="n">
        <v>0</v>
      </c>
      <c r="M662" t="n">
        <v>0</v>
      </c>
      <c r="N662" t="n">
        <v>0</v>
      </c>
      <c r="O662" t="n">
        <v>0</v>
      </c>
      <c r="P662" t="n">
        <v>0</v>
      </c>
      <c r="Q662" t="n">
        <v>0</v>
      </c>
      <c r="R662" s="2" t="inlineStr"/>
    </row>
    <row r="663" ht="15" customHeight="1">
      <c r="A663" t="inlineStr">
        <is>
          <t>A 36534-2024</t>
        </is>
      </c>
      <c r="B663" s="1" t="n">
        <v>45537.45143518518</v>
      </c>
      <c r="C663" s="1" t="n">
        <v>45968</v>
      </c>
      <c r="D663" t="inlineStr">
        <is>
          <t>DALARNAS LÄN</t>
        </is>
      </c>
      <c r="E663" t="inlineStr">
        <is>
          <t>LEKSAND</t>
        </is>
      </c>
      <c r="G663" t="n">
        <v>4</v>
      </c>
      <c r="H663" t="n">
        <v>0</v>
      </c>
      <c r="I663" t="n">
        <v>0</v>
      </c>
      <c r="J663" t="n">
        <v>0</v>
      </c>
      <c r="K663" t="n">
        <v>0</v>
      </c>
      <c r="L663" t="n">
        <v>0</v>
      </c>
      <c r="M663" t="n">
        <v>0</v>
      </c>
      <c r="N663" t="n">
        <v>0</v>
      </c>
      <c r="O663" t="n">
        <v>0</v>
      </c>
      <c r="P663" t="n">
        <v>0</v>
      </c>
      <c r="Q663" t="n">
        <v>0</v>
      </c>
      <c r="R663" s="2" t="inlineStr"/>
    </row>
    <row r="664" ht="15" customHeight="1">
      <c r="A664" t="inlineStr">
        <is>
          <t>A 17282-2025</t>
        </is>
      </c>
      <c r="B664" s="1" t="n">
        <v>45756.57114583333</v>
      </c>
      <c r="C664" s="1" t="n">
        <v>45968</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56016-2024</t>
        </is>
      </c>
      <c r="B665" s="1" t="n">
        <v>45623.87737268519</v>
      </c>
      <c r="C665" s="1" t="n">
        <v>45968</v>
      </c>
      <c r="D665" t="inlineStr">
        <is>
          <t>DALARNAS LÄN</t>
        </is>
      </c>
      <c r="E665" t="inlineStr">
        <is>
          <t>LEKSAND</t>
        </is>
      </c>
      <c r="G665" t="n">
        <v>6.1</v>
      </c>
      <c r="H665" t="n">
        <v>0</v>
      </c>
      <c r="I665" t="n">
        <v>0</v>
      </c>
      <c r="J665" t="n">
        <v>0</v>
      </c>
      <c r="K665" t="n">
        <v>0</v>
      </c>
      <c r="L665" t="n">
        <v>0</v>
      </c>
      <c r="M665" t="n">
        <v>0</v>
      </c>
      <c r="N665" t="n">
        <v>0</v>
      </c>
      <c r="O665" t="n">
        <v>0</v>
      </c>
      <c r="P665" t="n">
        <v>0</v>
      </c>
      <c r="Q665" t="n">
        <v>0</v>
      </c>
      <c r="R665" s="2" t="inlineStr"/>
    </row>
    <row r="666" ht="15" customHeight="1">
      <c r="A666" t="inlineStr">
        <is>
          <t>A 22536-2025</t>
        </is>
      </c>
      <c r="B666" s="1" t="n">
        <v>45787.33037037037</v>
      </c>
      <c r="C666" s="1" t="n">
        <v>45968</v>
      </c>
      <c r="D666" t="inlineStr">
        <is>
          <t>DALARNAS LÄN</t>
        </is>
      </c>
      <c r="E666" t="inlineStr">
        <is>
          <t>LEKSAND</t>
        </is>
      </c>
      <c r="G666" t="n">
        <v>1.8</v>
      </c>
      <c r="H666" t="n">
        <v>0</v>
      </c>
      <c r="I666" t="n">
        <v>0</v>
      </c>
      <c r="J666" t="n">
        <v>0</v>
      </c>
      <c r="K666" t="n">
        <v>0</v>
      </c>
      <c r="L666" t="n">
        <v>0</v>
      </c>
      <c r="M666" t="n">
        <v>0</v>
      </c>
      <c r="N666" t="n">
        <v>0</v>
      </c>
      <c r="O666" t="n">
        <v>0</v>
      </c>
      <c r="P666" t="n">
        <v>0</v>
      </c>
      <c r="Q666" t="n">
        <v>0</v>
      </c>
      <c r="R666" s="2" t="inlineStr"/>
    </row>
    <row r="667" ht="15" customHeight="1">
      <c r="A667" t="inlineStr">
        <is>
          <t>A 9857-2025</t>
        </is>
      </c>
      <c r="B667" s="1" t="n">
        <v>45716.62609953704</v>
      </c>
      <c r="C667" s="1" t="n">
        <v>45968</v>
      </c>
      <c r="D667" t="inlineStr">
        <is>
          <t>DALARNAS LÄN</t>
        </is>
      </c>
      <c r="E667" t="inlineStr">
        <is>
          <t>LEKSAND</t>
        </is>
      </c>
      <c r="G667" t="n">
        <v>1.7</v>
      </c>
      <c r="H667" t="n">
        <v>0</v>
      </c>
      <c r="I667" t="n">
        <v>0</v>
      </c>
      <c r="J667" t="n">
        <v>0</v>
      </c>
      <c r="K667" t="n">
        <v>0</v>
      </c>
      <c r="L667" t="n">
        <v>0</v>
      </c>
      <c r="M667" t="n">
        <v>0</v>
      </c>
      <c r="N667" t="n">
        <v>0</v>
      </c>
      <c r="O667" t="n">
        <v>0</v>
      </c>
      <c r="P667" t="n">
        <v>0</v>
      </c>
      <c r="Q667" t="n">
        <v>0</v>
      </c>
      <c r="R667" s="2" t="inlineStr"/>
    </row>
    <row r="668" ht="15" customHeight="1">
      <c r="A668" t="inlineStr">
        <is>
          <t>A 5873-2025</t>
        </is>
      </c>
      <c r="B668" s="1" t="n">
        <v>45695.36715277778</v>
      </c>
      <c r="C668" s="1" t="n">
        <v>45968</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30994-2023</t>
        </is>
      </c>
      <c r="B669" s="1" t="n">
        <v>45113</v>
      </c>
      <c r="C669" s="1" t="n">
        <v>45968</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60042-2023</t>
        </is>
      </c>
      <c r="B670" s="1" t="n">
        <v>45256</v>
      </c>
      <c r="C670" s="1" t="n">
        <v>45968</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33306-2023</t>
        </is>
      </c>
      <c r="B671" s="1" t="n">
        <v>45127</v>
      </c>
      <c r="C671" s="1" t="n">
        <v>45968</v>
      </c>
      <c r="D671" t="inlineStr">
        <is>
          <t>DALARNAS LÄN</t>
        </is>
      </c>
      <c r="E671" t="inlineStr">
        <is>
          <t>LEKSAND</t>
        </is>
      </c>
      <c r="G671" t="n">
        <v>2.2</v>
      </c>
      <c r="H671" t="n">
        <v>0</v>
      </c>
      <c r="I671" t="n">
        <v>0</v>
      </c>
      <c r="J671" t="n">
        <v>0</v>
      </c>
      <c r="K671" t="n">
        <v>0</v>
      </c>
      <c r="L671" t="n">
        <v>0</v>
      </c>
      <c r="M671" t="n">
        <v>0</v>
      </c>
      <c r="N671" t="n">
        <v>0</v>
      </c>
      <c r="O671" t="n">
        <v>0</v>
      </c>
      <c r="P671" t="n">
        <v>0</v>
      </c>
      <c r="Q671" t="n">
        <v>0</v>
      </c>
      <c r="R671" s="2" t="inlineStr"/>
    </row>
    <row r="672" ht="15" customHeight="1">
      <c r="A672" t="inlineStr">
        <is>
          <t>A 33316-2023</t>
        </is>
      </c>
      <c r="B672" s="1" t="n">
        <v>45127</v>
      </c>
      <c r="C672" s="1" t="n">
        <v>45968</v>
      </c>
      <c r="D672" t="inlineStr">
        <is>
          <t>DALARNAS LÄN</t>
        </is>
      </c>
      <c r="E672" t="inlineStr">
        <is>
          <t>LEKSAND</t>
        </is>
      </c>
      <c r="G672" t="n">
        <v>8.9</v>
      </c>
      <c r="H672" t="n">
        <v>0</v>
      </c>
      <c r="I672" t="n">
        <v>0</v>
      </c>
      <c r="J672" t="n">
        <v>0</v>
      </c>
      <c r="K672" t="n">
        <v>0</v>
      </c>
      <c r="L672" t="n">
        <v>0</v>
      </c>
      <c r="M672" t="n">
        <v>0</v>
      </c>
      <c r="N672" t="n">
        <v>0</v>
      </c>
      <c r="O672" t="n">
        <v>0</v>
      </c>
      <c r="P672" t="n">
        <v>0</v>
      </c>
      <c r="Q672" t="n">
        <v>0</v>
      </c>
      <c r="R672" s="2" t="inlineStr"/>
    </row>
    <row r="673" ht="15" customHeight="1">
      <c r="A673" t="inlineStr">
        <is>
          <t>A 37832-2023</t>
        </is>
      </c>
      <c r="B673" s="1" t="n">
        <v>45160.3479050926</v>
      </c>
      <c r="C673" s="1" t="n">
        <v>45968</v>
      </c>
      <c r="D673" t="inlineStr">
        <is>
          <t>DALARNAS LÄN</t>
        </is>
      </c>
      <c r="E673" t="inlineStr">
        <is>
          <t>LEKSAND</t>
        </is>
      </c>
      <c r="G673" t="n">
        <v>2</v>
      </c>
      <c r="H673" t="n">
        <v>0</v>
      </c>
      <c r="I673" t="n">
        <v>0</v>
      </c>
      <c r="J673" t="n">
        <v>0</v>
      </c>
      <c r="K673" t="n">
        <v>0</v>
      </c>
      <c r="L673" t="n">
        <v>0</v>
      </c>
      <c r="M673" t="n">
        <v>0</v>
      </c>
      <c r="N673" t="n">
        <v>0</v>
      </c>
      <c r="O673" t="n">
        <v>0</v>
      </c>
      <c r="P673" t="n">
        <v>0</v>
      </c>
      <c r="Q673" t="n">
        <v>0</v>
      </c>
      <c r="R673" s="2" t="inlineStr"/>
    </row>
    <row r="674" ht="15" customHeight="1">
      <c r="A674" t="inlineStr">
        <is>
          <t>A 51768-2025</t>
        </is>
      </c>
      <c r="B674" s="1" t="n">
        <v>45951.64041666667</v>
      </c>
      <c r="C674" s="1" t="n">
        <v>45968</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9143-2023</t>
        </is>
      </c>
      <c r="B675" s="1" t="n">
        <v>44974</v>
      </c>
      <c r="C675" s="1" t="n">
        <v>45968</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34244-2024</t>
        </is>
      </c>
      <c r="B676" s="1" t="n">
        <v>45524.58349537037</v>
      </c>
      <c r="C676" s="1" t="n">
        <v>45968</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24714-2025</t>
        </is>
      </c>
      <c r="B677" s="1" t="n">
        <v>45798.96927083333</v>
      </c>
      <c r="C677" s="1" t="n">
        <v>45968</v>
      </c>
      <c r="D677" t="inlineStr">
        <is>
          <t>DALARNAS LÄN</t>
        </is>
      </c>
      <c r="E677" t="inlineStr">
        <is>
          <t>LEKSAND</t>
        </is>
      </c>
      <c r="F677" t="inlineStr">
        <is>
          <t>Bergvik skog väst AB</t>
        </is>
      </c>
      <c r="G677" t="n">
        <v>6.2</v>
      </c>
      <c r="H677" t="n">
        <v>0</v>
      </c>
      <c r="I677" t="n">
        <v>0</v>
      </c>
      <c r="J677" t="n">
        <v>0</v>
      </c>
      <c r="K677" t="n">
        <v>0</v>
      </c>
      <c r="L677" t="n">
        <v>0</v>
      </c>
      <c r="M677" t="n">
        <v>0</v>
      </c>
      <c r="N677" t="n">
        <v>0</v>
      </c>
      <c r="O677" t="n">
        <v>0</v>
      </c>
      <c r="P677" t="n">
        <v>0</v>
      </c>
      <c r="Q677" t="n">
        <v>0</v>
      </c>
      <c r="R677" s="2" t="inlineStr"/>
    </row>
    <row r="678" ht="15" customHeight="1">
      <c r="A678" t="inlineStr">
        <is>
          <t>A 33310-2023</t>
        </is>
      </c>
      <c r="B678" s="1" t="n">
        <v>45127.82231481482</v>
      </c>
      <c r="C678" s="1" t="n">
        <v>45968</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54844-2021</t>
        </is>
      </c>
      <c r="B679" s="1" t="n">
        <v>44474.30614583333</v>
      </c>
      <c r="C679" s="1" t="n">
        <v>45968</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471-2025</t>
        </is>
      </c>
      <c r="B680" s="1" t="n">
        <v>45664.43394675926</v>
      </c>
      <c r="C680" s="1" t="n">
        <v>45968</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57468-2023</t>
        </is>
      </c>
      <c r="B681" s="1" t="n">
        <v>45246</v>
      </c>
      <c r="C681" s="1" t="n">
        <v>45968</v>
      </c>
      <c r="D681" t="inlineStr">
        <is>
          <t>DALARNAS LÄN</t>
        </is>
      </c>
      <c r="E681" t="inlineStr">
        <is>
          <t>LEKSAND</t>
        </is>
      </c>
      <c r="G681" t="n">
        <v>4.6</v>
      </c>
      <c r="H681" t="n">
        <v>0</v>
      </c>
      <c r="I681" t="n">
        <v>0</v>
      </c>
      <c r="J681" t="n">
        <v>0</v>
      </c>
      <c r="K681" t="n">
        <v>0</v>
      </c>
      <c r="L681" t="n">
        <v>0</v>
      </c>
      <c r="M681" t="n">
        <v>0</v>
      </c>
      <c r="N681" t="n">
        <v>0</v>
      </c>
      <c r="O681" t="n">
        <v>0</v>
      </c>
      <c r="P681" t="n">
        <v>0</v>
      </c>
      <c r="Q681" t="n">
        <v>0</v>
      </c>
      <c r="R681" s="2" t="inlineStr"/>
    </row>
    <row r="682" ht="15" customHeight="1">
      <c r="A682" t="inlineStr">
        <is>
          <t>A 43158-2025</t>
        </is>
      </c>
      <c r="B682" s="1" t="n">
        <v>45910.35496527778</v>
      </c>
      <c r="C682" s="1" t="n">
        <v>45968</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43629-2025</t>
        </is>
      </c>
      <c r="B683" s="1" t="n">
        <v>45911.70180555555</v>
      </c>
      <c r="C683" s="1" t="n">
        <v>45968</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52293-2024</t>
        </is>
      </c>
      <c r="B684" s="1" t="n">
        <v>45608.71297453704</v>
      </c>
      <c r="C684" s="1" t="n">
        <v>45968</v>
      </c>
      <c r="D684" t="inlineStr">
        <is>
          <t>DALARNAS LÄN</t>
        </is>
      </c>
      <c r="E684" t="inlineStr">
        <is>
          <t>LEKSAND</t>
        </is>
      </c>
      <c r="G684" t="n">
        <v>1.6</v>
      </c>
      <c r="H684" t="n">
        <v>0</v>
      </c>
      <c r="I684" t="n">
        <v>0</v>
      </c>
      <c r="J684" t="n">
        <v>0</v>
      </c>
      <c r="K684" t="n">
        <v>0</v>
      </c>
      <c r="L684" t="n">
        <v>0</v>
      </c>
      <c r="M684" t="n">
        <v>0</v>
      </c>
      <c r="N684" t="n">
        <v>0</v>
      </c>
      <c r="O684" t="n">
        <v>0</v>
      </c>
      <c r="P684" t="n">
        <v>0</v>
      </c>
      <c r="Q684" t="n">
        <v>0</v>
      </c>
      <c r="R684" s="2" t="inlineStr"/>
    </row>
    <row r="685" ht="15" customHeight="1">
      <c r="A685" t="inlineStr">
        <is>
          <t>A 22876-2025</t>
        </is>
      </c>
      <c r="B685" s="1" t="n">
        <v>45790.3728587963</v>
      </c>
      <c r="C685" s="1" t="n">
        <v>45968</v>
      </c>
      <c r="D685" t="inlineStr">
        <is>
          <t>DALARNAS LÄN</t>
        </is>
      </c>
      <c r="E685" t="inlineStr">
        <is>
          <t>LEKSAND</t>
        </is>
      </c>
      <c r="G685" t="n">
        <v>5.9</v>
      </c>
      <c r="H685" t="n">
        <v>0</v>
      </c>
      <c r="I685" t="n">
        <v>0</v>
      </c>
      <c r="J685" t="n">
        <v>0</v>
      </c>
      <c r="K685" t="n">
        <v>0</v>
      </c>
      <c r="L685" t="n">
        <v>0</v>
      </c>
      <c r="M685" t="n">
        <v>0</v>
      </c>
      <c r="N685" t="n">
        <v>0</v>
      </c>
      <c r="O685" t="n">
        <v>0</v>
      </c>
      <c r="P685" t="n">
        <v>0</v>
      </c>
      <c r="Q685" t="n">
        <v>0</v>
      </c>
      <c r="R685" s="2" t="inlineStr"/>
    </row>
    <row r="686" ht="15" customHeight="1">
      <c r="A686" t="inlineStr">
        <is>
          <t>A 1182-2025</t>
        </is>
      </c>
      <c r="B686" s="1" t="n">
        <v>45667.35712962963</v>
      </c>
      <c r="C686" s="1" t="n">
        <v>45968</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51926-2025</t>
        </is>
      </c>
      <c r="B687" s="1" t="n">
        <v>45952.49537037037</v>
      </c>
      <c r="C687" s="1" t="n">
        <v>45968</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43628-2025</t>
        </is>
      </c>
      <c r="B688" s="1" t="n">
        <v>45911.70060185185</v>
      </c>
      <c r="C688" s="1" t="n">
        <v>45968</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43607-2025</t>
        </is>
      </c>
      <c r="B689" s="1" t="n">
        <v>45911.66873842593</v>
      </c>
      <c r="C689" s="1" t="n">
        <v>45968</v>
      </c>
      <c r="D689" t="inlineStr">
        <is>
          <t>DALARNAS LÄN</t>
        </is>
      </c>
      <c r="E689" t="inlineStr">
        <is>
          <t>LEKSAND</t>
        </is>
      </c>
      <c r="G689" t="n">
        <v>7.3</v>
      </c>
      <c r="H689" t="n">
        <v>0</v>
      </c>
      <c r="I689" t="n">
        <v>0</v>
      </c>
      <c r="J689" t="n">
        <v>0</v>
      </c>
      <c r="K689" t="n">
        <v>0</v>
      </c>
      <c r="L689" t="n">
        <v>0</v>
      </c>
      <c r="M689" t="n">
        <v>0</v>
      </c>
      <c r="N689" t="n">
        <v>0</v>
      </c>
      <c r="O689" t="n">
        <v>0</v>
      </c>
      <c r="P689" t="n">
        <v>0</v>
      </c>
      <c r="Q689" t="n">
        <v>0</v>
      </c>
      <c r="R689" s="2" t="inlineStr"/>
    </row>
    <row r="690" ht="15" customHeight="1">
      <c r="A690" t="inlineStr">
        <is>
          <t>A 43195-2025</t>
        </is>
      </c>
      <c r="B690" s="1" t="n">
        <v>45910.4294212963</v>
      </c>
      <c r="C690" s="1" t="n">
        <v>45968</v>
      </c>
      <c r="D690" t="inlineStr">
        <is>
          <t>DALARNAS LÄN</t>
        </is>
      </c>
      <c r="E690" t="inlineStr">
        <is>
          <t>LEKSAND</t>
        </is>
      </c>
      <c r="G690" t="n">
        <v>2.5</v>
      </c>
      <c r="H690" t="n">
        <v>0</v>
      </c>
      <c r="I690" t="n">
        <v>0</v>
      </c>
      <c r="J690" t="n">
        <v>0</v>
      </c>
      <c r="K690" t="n">
        <v>0</v>
      </c>
      <c r="L690" t="n">
        <v>0</v>
      </c>
      <c r="M690" t="n">
        <v>0</v>
      </c>
      <c r="N690" t="n">
        <v>0</v>
      </c>
      <c r="O690" t="n">
        <v>0</v>
      </c>
      <c r="P690" t="n">
        <v>0</v>
      </c>
      <c r="Q690" t="n">
        <v>0</v>
      </c>
      <c r="R690" s="2" t="inlineStr"/>
    </row>
    <row r="691" ht="15" customHeight="1">
      <c r="A691" t="inlineStr">
        <is>
          <t>A 49499-2024</t>
        </is>
      </c>
      <c r="B691" s="1" t="n">
        <v>45596</v>
      </c>
      <c r="C691" s="1" t="n">
        <v>45968</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43630-2025</t>
        </is>
      </c>
      <c r="B692" s="1" t="n">
        <v>45911.70278935185</v>
      </c>
      <c r="C692" s="1" t="n">
        <v>45968</v>
      </c>
      <c r="D692" t="inlineStr">
        <is>
          <t>DALARNAS LÄN</t>
        </is>
      </c>
      <c r="E692" t="inlineStr">
        <is>
          <t>LEKSAND</t>
        </is>
      </c>
      <c r="G692" t="n">
        <v>4.7</v>
      </c>
      <c r="H692" t="n">
        <v>0</v>
      </c>
      <c r="I692" t="n">
        <v>0</v>
      </c>
      <c r="J692" t="n">
        <v>0</v>
      </c>
      <c r="K692" t="n">
        <v>0</v>
      </c>
      <c r="L692" t="n">
        <v>0</v>
      </c>
      <c r="M692" t="n">
        <v>0</v>
      </c>
      <c r="N692" t="n">
        <v>0</v>
      </c>
      <c r="O692" t="n">
        <v>0</v>
      </c>
      <c r="P692" t="n">
        <v>0</v>
      </c>
      <c r="Q692" t="n">
        <v>0</v>
      </c>
      <c r="R692" s="2" t="inlineStr"/>
    </row>
    <row r="693" ht="15" customHeight="1">
      <c r="A693" t="inlineStr">
        <is>
          <t>A 46665-2023</t>
        </is>
      </c>
      <c r="B693" s="1" t="n">
        <v>45198.47399305556</v>
      </c>
      <c r="C693" s="1" t="n">
        <v>45968</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56943-2024</t>
        </is>
      </c>
      <c r="B694" s="1" t="n">
        <v>45625</v>
      </c>
      <c r="C694" s="1" t="n">
        <v>45968</v>
      </c>
      <c r="D694" t="inlineStr">
        <is>
          <t>DALARNAS LÄN</t>
        </is>
      </c>
      <c r="E694" t="inlineStr">
        <is>
          <t>LEKSAND</t>
        </is>
      </c>
      <c r="G694" t="n">
        <v>0.7</v>
      </c>
      <c r="H694" t="n">
        <v>0</v>
      </c>
      <c r="I694" t="n">
        <v>0</v>
      </c>
      <c r="J694" t="n">
        <v>0</v>
      </c>
      <c r="K694" t="n">
        <v>0</v>
      </c>
      <c r="L694" t="n">
        <v>0</v>
      </c>
      <c r="M694" t="n">
        <v>0</v>
      </c>
      <c r="N694" t="n">
        <v>0</v>
      </c>
      <c r="O694" t="n">
        <v>0</v>
      </c>
      <c r="P694" t="n">
        <v>0</v>
      </c>
      <c r="Q694" t="n">
        <v>0</v>
      </c>
      <c r="R694" s="2" t="inlineStr"/>
    </row>
    <row r="695" ht="15" customHeight="1">
      <c r="A695" t="inlineStr">
        <is>
          <t>A 60715-2022</t>
        </is>
      </c>
      <c r="B695" s="1" t="n">
        <v>44912</v>
      </c>
      <c r="C695" s="1" t="n">
        <v>45968</v>
      </c>
      <c r="D695" t="inlineStr">
        <is>
          <t>DALARNAS LÄN</t>
        </is>
      </c>
      <c r="E695" t="inlineStr">
        <is>
          <t>LEKSAND</t>
        </is>
      </c>
      <c r="G695" t="n">
        <v>1</v>
      </c>
      <c r="H695" t="n">
        <v>0</v>
      </c>
      <c r="I695" t="n">
        <v>0</v>
      </c>
      <c r="J695" t="n">
        <v>0</v>
      </c>
      <c r="K695" t="n">
        <v>0</v>
      </c>
      <c r="L695" t="n">
        <v>0</v>
      </c>
      <c r="M695" t="n">
        <v>0</v>
      </c>
      <c r="N695" t="n">
        <v>0</v>
      </c>
      <c r="O695" t="n">
        <v>0</v>
      </c>
      <c r="P695" t="n">
        <v>0</v>
      </c>
      <c r="Q695" t="n">
        <v>0</v>
      </c>
      <c r="R695" s="2" t="inlineStr"/>
    </row>
    <row r="696" ht="15" customHeight="1">
      <c r="A696" t="inlineStr">
        <is>
          <t>A 51728-2025</t>
        </is>
      </c>
      <c r="B696" s="1" t="n">
        <v>45951</v>
      </c>
      <c r="C696" s="1" t="n">
        <v>45968</v>
      </c>
      <c r="D696" t="inlineStr">
        <is>
          <t>DALARNAS LÄN</t>
        </is>
      </c>
      <c r="E696" t="inlineStr">
        <is>
          <t>LEKSAND</t>
        </is>
      </c>
      <c r="F696" t="inlineStr">
        <is>
          <t>Bergvik skog väst AB</t>
        </is>
      </c>
      <c r="G696" t="n">
        <v>14.2</v>
      </c>
      <c r="H696" t="n">
        <v>0</v>
      </c>
      <c r="I696" t="n">
        <v>0</v>
      </c>
      <c r="J696" t="n">
        <v>0</v>
      </c>
      <c r="K696" t="n">
        <v>0</v>
      </c>
      <c r="L696" t="n">
        <v>0</v>
      </c>
      <c r="M696" t="n">
        <v>0</v>
      </c>
      <c r="N696" t="n">
        <v>0</v>
      </c>
      <c r="O696" t="n">
        <v>0</v>
      </c>
      <c r="P696" t="n">
        <v>0</v>
      </c>
      <c r="Q696" t="n">
        <v>0</v>
      </c>
      <c r="R696" s="2" t="inlineStr"/>
    </row>
    <row r="697" ht="15" customHeight="1">
      <c r="A697" t="inlineStr">
        <is>
          <t>A 15619-2025</t>
        </is>
      </c>
      <c r="B697" s="1" t="n">
        <v>45747</v>
      </c>
      <c r="C697" s="1" t="n">
        <v>45968</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21954-2023</t>
        </is>
      </c>
      <c r="B698" s="1" t="n">
        <v>45068</v>
      </c>
      <c r="C698" s="1" t="n">
        <v>45968</v>
      </c>
      <c r="D698" t="inlineStr">
        <is>
          <t>DALARNAS LÄN</t>
        </is>
      </c>
      <c r="E698" t="inlineStr">
        <is>
          <t>LEKSAND</t>
        </is>
      </c>
      <c r="G698" t="n">
        <v>0.8</v>
      </c>
      <c r="H698" t="n">
        <v>0</v>
      </c>
      <c r="I698" t="n">
        <v>0</v>
      </c>
      <c r="J698" t="n">
        <v>0</v>
      </c>
      <c r="K698" t="n">
        <v>0</v>
      </c>
      <c r="L698" t="n">
        <v>0</v>
      </c>
      <c r="M698" t="n">
        <v>0</v>
      </c>
      <c r="N698" t="n">
        <v>0</v>
      </c>
      <c r="O698" t="n">
        <v>0</v>
      </c>
      <c r="P698" t="n">
        <v>0</v>
      </c>
      <c r="Q698" t="n">
        <v>0</v>
      </c>
      <c r="R698" s="2" t="inlineStr"/>
    </row>
    <row r="699" ht="15" customHeight="1">
      <c r="A699" t="inlineStr">
        <is>
          <t>A 43830-2025</t>
        </is>
      </c>
      <c r="B699" s="1" t="n">
        <v>45912</v>
      </c>
      <c r="C699" s="1" t="n">
        <v>45968</v>
      </c>
      <c r="D699" t="inlineStr">
        <is>
          <t>DALARNAS LÄN</t>
        </is>
      </c>
      <c r="E699" t="inlineStr">
        <is>
          <t>LEKSAND</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43888-2025</t>
        </is>
      </c>
      <c r="B700" s="1" t="n">
        <v>45912</v>
      </c>
      <c r="C700" s="1" t="n">
        <v>45968</v>
      </c>
      <c r="D700" t="inlineStr">
        <is>
          <t>DALARNAS LÄN</t>
        </is>
      </c>
      <c r="E700" t="inlineStr">
        <is>
          <t>LEKSAND</t>
        </is>
      </c>
      <c r="F700" t="inlineStr">
        <is>
          <t>Bergvik skog väst AB</t>
        </is>
      </c>
      <c r="G700" t="n">
        <v>1.6</v>
      </c>
      <c r="H700" t="n">
        <v>0</v>
      </c>
      <c r="I700" t="n">
        <v>0</v>
      </c>
      <c r="J700" t="n">
        <v>0</v>
      </c>
      <c r="K700" t="n">
        <v>0</v>
      </c>
      <c r="L700" t="n">
        <v>0</v>
      </c>
      <c r="M700" t="n">
        <v>0</v>
      </c>
      <c r="N700" t="n">
        <v>0</v>
      </c>
      <c r="O700" t="n">
        <v>0</v>
      </c>
      <c r="P700" t="n">
        <v>0</v>
      </c>
      <c r="Q700" t="n">
        <v>0</v>
      </c>
      <c r="R700" s="2" t="inlineStr"/>
    </row>
    <row r="701" ht="15" customHeight="1">
      <c r="A701" t="inlineStr">
        <is>
          <t>A 43781-2025</t>
        </is>
      </c>
      <c r="B701" s="1" t="n">
        <v>45912.52229166667</v>
      </c>
      <c r="C701" s="1" t="n">
        <v>45968</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14797-2025</t>
        </is>
      </c>
      <c r="B702" s="1" t="n">
        <v>45742.90363425926</v>
      </c>
      <c r="C702" s="1" t="n">
        <v>45968</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52671-2025</t>
        </is>
      </c>
      <c r="B703" s="1" t="n">
        <v>45955.98113425926</v>
      </c>
      <c r="C703" s="1" t="n">
        <v>45968</v>
      </c>
      <c r="D703" t="inlineStr">
        <is>
          <t>DALARNAS LÄN</t>
        </is>
      </c>
      <c r="E703" t="inlineStr">
        <is>
          <t>LEKSAND</t>
        </is>
      </c>
      <c r="G703" t="n">
        <v>0.8</v>
      </c>
      <c r="H703" t="n">
        <v>0</v>
      </c>
      <c r="I703" t="n">
        <v>0</v>
      </c>
      <c r="J703" t="n">
        <v>0</v>
      </c>
      <c r="K703" t="n">
        <v>0</v>
      </c>
      <c r="L703" t="n">
        <v>0</v>
      </c>
      <c r="M703" t="n">
        <v>0</v>
      </c>
      <c r="N703" t="n">
        <v>0</v>
      </c>
      <c r="O703" t="n">
        <v>0</v>
      </c>
      <c r="P703" t="n">
        <v>0</v>
      </c>
      <c r="Q703" t="n">
        <v>0</v>
      </c>
      <c r="R703" s="2" t="inlineStr"/>
    </row>
    <row r="704" ht="15" customHeight="1">
      <c r="A704" t="inlineStr">
        <is>
          <t>A 59751-2024</t>
        </is>
      </c>
      <c r="B704" s="1" t="n">
        <v>45638</v>
      </c>
      <c r="C704" s="1" t="n">
        <v>45968</v>
      </c>
      <c r="D704" t="inlineStr">
        <is>
          <t>DALARNAS LÄN</t>
        </is>
      </c>
      <c r="E704" t="inlineStr">
        <is>
          <t>LEKSAND</t>
        </is>
      </c>
      <c r="G704" t="n">
        <v>5.2</v>
      </c>
      <c r="H704" t="n">
        <v>0</v>
      </c>
      <c r="I704" t="n">
        <v>0</v>
      </c>
      <c r="J704" t="n">
        <v>0</v>
      </c>
      <c r="K704" t="n">
        <v>0</v>
      </c>
      <c r="L704" t="n">
        <v>0</v>
      </c>
      <c r="M704" t="n">
        <v>0</v>
      </c>
      <c r="N704" t="n">
        <v>0</v>
      </c>
      <c r="O704" t="n">
        <v>0</v>
      </c>
      <c r="P704" t="n">
        <v>0</v>
      </c>
      <c r="Q704" t="n">
        <v>0</v>
      </c>
      <c r="R704" s="2" t="inlineStr"/>
    </row>
    <row r="705" ht="15" customHeight="1">
      <c r="A705" t="inlineStr">
        <is>
          <t>A 28128-2022</t>
        </is>
      </c>
      <c r="B705" s="1" t="n">
        <v>44746.50628472222</v>
      </c>
      <c r="C705" s="1" t="n">
        <v>45968</v>
      </c>
      <c r="D705" t="inlineStr">
        <is>
          <t>DALARNAS LÄN</t>
        </is>
      </c>
      <c r="E705" t="inlineStr">
        <is>
          <t>LEKSAND</t>
        </is>
      </c>
      <c r="G705" t="n">
        <v>3.5</v>
      </c>
      <c r="H705" t="n">
        <v>0</v>
      </c>
      <c r="I705" t="n">
        <v>0</v>
      </c>
      <c r="J705" t="n">
        <v>0</v>
      </c>
      <c r="K705" t="n">
        <v>0</v>
      </c>
      <c r="L705" t="n">
        <v>0</v>
      </c>
      <c r="M705" t="n">
        <v>0</v>
      </c>
      <c r="N705" t="n">
        <v>0</v>
      </c>
      <c r="O705" t="n">
        <v>0</v>
      </c>
      <c r="P705" t="n">
        <v>0</v>
      </c>
      <c r="Q705" t="n">
        <v>0</v>
      </c>
      <c r="R705" s="2" t="inlineStr"/>
    </row>
    <row r="706" ht="15" customHeight="1">
      <c r="A706" t="inlineStr">
        <is>
          <t>A 61787-2022</t>
        </is>
      </c>
      <c r="B706" s="1" t="n">
        <v>44917</v>
      </c>
      <c r="C706" s="1" t="n">
        <v>45968</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44237-2025</t>
        </is>
      </c>
      <c r="B707" s="1" t="n">
        <v>45915.6677199074</v>
      </c>
      <c r="C707" s="1" t="n">
        <v>45968</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43875-2025</t>
        </is>
      </c>
      <c r="B708" s="1" t="n">
        <v>45912.67685185185</v>
      </c>
      <c r="C708" s="1" t="n">
        <v>45968</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61269-2022</t>
        </is>
      </c>
      <c r="B709" s="1" t="n">
        <v>44909</v>
      </c>
      <c r="C709" s="1" t="n">
        <v>45968</v>
      </c>
      <c r="D709" t="inlineStr">
        <is>
          <t>DALARNAS LÄN</t>
        </is>
      </c>
      <c r="E709" t="inlineStr">
        <is>
          <t>LEKSAND</t>
        </is>
      </c>
      <c r="G709" t="n">
        <v>4.2</v>
      </c>
      <c r="H709" t="n">
        <v>0</v>
      </c>
      <c r="I709" t="n">
        <v>0</v>
      </c>
      <c r="J709" t="n">
        <v>0</v>
      </c>
      <c r="K709" t="n">
        <v>0</v>
      </c>
      <c r="L709" t="n">
        <v>0</v>
      </c>
      <c r="M709" t="n">
        <v>0</v>
      </c>
      <c r="N709" t="n">
        <v>0</v>
      </c>
      <c r="O709" t="n">
        <v>0</v>
      </c>
      <c r="P709" t="n">
        <v>0</v>
      </c>
      <c r="Q709" t="n">
        <v>0</v>
      </c>
      <c r="R709" s="2" t="inlineStr"/>
    </row>
    <row r="710" ht="15" customHeight="1">
      <c r="A710" t="inlineStr">
        <is>
          <t>A 64933-2023</t>
        </is>
      </c>
      <c r="B710" s="1" t="n">
        <v>45282</v>
      </c>
      <c r="C710" s="1" t="n">
        <v>45968</v>
      </c>
      <c r="D710" t="inlineStr">
        <is>
          <t>DALARNAS LÄN</t>
        </is>
      </c>
      <c r="E710" t="inlineStr">
        <is>
          <t>LEKSAND</t>
        </is>
      </c>
      <c r="G710" t="n">
        <v>2.3</v>
      </c>
      <c r="H710" t="n">
        <v>0</v>
      </c>
      <c r="I710" t="n">
        <v>0</v>
      </c>
      <c r="J710" t="n">
        <v>0</v>
      </c>
      <c r="K710" t="n">
        <v>0</v>
      </c>
      <c r="L710" t="n">
        <v>0</v>
      </c>
      <c r="M710" t="n">
        <v>0</v>
      </c>
      <c r="N710" t="n">
        <v>0</v>
      </c>
      <c r="O710" t="n">
        <v>0</v>
      </c>
      <c r="P710" t="n">
        <v>0</v>
      </c>
      <c r="Q710" t="n">
        <v>0</v>
      </c>
      <c r="R710" s="2" t="inlineStr"/>
    </row>
    <row r="711" ht="15" customHeight="1">
      <c r="A711" t="inlineStr">
        <is>
          <t>A 24003-2024</t>
        </is>
      </c>
      <c r="B711" s="1" t="n">
        <v>45456.39003472222</v>
      </c>
      <c r="C711" s="1" t="n">
        <v>45968</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34585-2024</t>
        </is>
      </c>
      <c r="B712" s="1" t="n">
        <v>45526.37697916666</v>
      </c>
      <c r="C712" s="1" t="n">
        <v>45968</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44519-2025</t>
        </is>
      </c>
      <c r="B713" s="1" t="n">
        <v>45916.71483796297</v>
      </c>
      <c r="C713" s="1" t="n">
        <v>45968</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53438-2025</t>
        </is>
      </c>
      <c r="B714" s="1" t="n">
        <v>45959.63711805556</v>
      </c>
      <c r="C714" s="1" t="n">
        <v>45968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10743-2024</t>
        </is>
      </c>
      <c r="B715" s="1" t="n">
        <v>45369.52167824074</v>
      </c>
      <c r="C715" s="1" t="n">
        <v>45968</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10771-2024</t>
        </is>
      </c>
      <c r="B716" s="1" t="n">
        <v>45369.57342592593</v>
      </c>
      <c r="C716" s="1" t="n">
        <v>45968</v>
      </c>
      <c r="D716" t="inlineStr">
        <is>
          <t>DALARNAS LÄN</t>
        </is>
      </c>
      <c r="E716" t="inlineStr">
        <is>
          <t>LEKSAND</t>
        </is>
      </c>
      <c r="G716" t="n">
        <v>0.4</v>
      </c>
      <c r="H716" t="n">
        <v>0</v>
      </c>
      <c r="I716" t="n">
        <v>0</v>
      </c>
      <c r="J716" t="n">
        <v>0</v>
      </c>
      <c r="K716" t="n">
        <v>0</v>
      </c>
      <c r="L716" t="n">
        <v>0</v>
      </c>
      <c r="M716" t="n">
        <v>0</v>
      </c>
      <c r="N716" t="n">
        <v>0</v>
      </c>
      <c r="O716" t="n">
        <v>0</v>
      </c>
      <c r="P716" t="n">
        <v>0</v>
      </c>
      <c r="Q716" t="n">
        <v>0</v>
      </c>
      <c r="R716" s="2" t="inlineStr"/>
    </row>
    <row r="717" ht="15" customHeight="1">
      <c r="A717" t="inlineStr">
        <is>
          <t>A 53243-2025</t>
        </is>
      </c>
      <c r="B717" s="1" t="n">
        <v>45958.6442824074</v>
      </c>
      <c r="C717" s="1" t="n">
        <v>45968</v>
      </c>
      <c r="D717" t="inlineStr">
        <is>
          <t>DALARNAS LÄN</t>
        </is>
      </c>
      <c r="E717" t="inlineStr">
        <is>
          <t>LEKSAND</t>
        </is>
      </c>
      <c r="G717" t="n">
        <v>1.3</v>
      </c>
      <c r="H717" t="n">
        <v>0</v>
      </c>
      <c r="I717" t="n">
        <v>0</v>
      </c>
      <c r="J717" t="n">
        <v>0</v>
      </c>
      <c r="K717" t="n">
        <v>0</v>
      </c>
      <c r="L717" t="n">
        <v>0</v>
      </c>
      <c r="M717" t="n">
        <v>0</v>
      </c>
      <c r="N717" t="n">
        <v>0</v>
      </c>
      <c r="O717" t="n">
        <v>0</v>
      </c>
      <c r="P717" t="n">
        <v>0</v>
      </c>
      <c r="Q717" t="n">
        <v>0</v>
      </c>
      <c r="R717" s="2" t="inlineStr"/>
    </row>
    <row r="718" ht="15" customHeight="1">
      <c r="A718" t="inlineStr">
        <is>
          <t>A 53041-2025</t>
        </is>
      </c>
      <c r="B718" s="1" t="n">
        <v>45958.35487268519</v>
      </c>
      <c r="C718" s="1" t="n">
        <v>45968</v>
      </c>
      <c r="D718" t="inlineStr">
        <is>
          <t>DALARNAS LÄN</t>
        </is>
      </c>
      <c r="E718" t="inlineStr">
        <is>
          <t>LEKSAND</t>
        </is>
      </c>
      <c r="G718" t="n">
        <v>1.7</v>
      </c>
      <c r="H718" t="n">
        <v>0</v>
      </c>
      <c r="I718" t="n">
        <v>0</v>
      </c>
      <c r="J718" t="n">
        <v>0</v>
      </c>
      <c r="K718" t="n">
        <v>0</v>
      </c>
      <c r="L718" t="n">
        <v>0</v>
      </c>
      <c r="M718" t="n">
        <v>0</v>
      </c>
      <c r="N718" t="n">
        <v>0</v>
      </c>
      <c r="O718" t="n">
        <v>0</v>
      </c>
      <c r="P718" t="n">
        <v>0</v>
      </c>
      <c r="Q718" t="n">
        <v>0</v>
      </c>
      <c r="R718" s="2" t="inlineStr"/>
    </row>
    <row r="719" ht="15" customHeight="1">
      <c r="A719" t="inlineStr">
        <is>
          <t>A 44516-2025</t>
        </is>
      </c>
      <c r="B719" s="1" t="n">
        <v>45916.70982638889</v>
      </c>
      <c r="C719" s="1" t="n">
        <v>45968</v>
      </c>
      <c r="D719" t="inlineStr">
        <is>
          <t>DALARNAS LÄN</t>
        </is>
      </c>
      <c r="E719" t="inlineStr">
        <is>
          <t>LEKSAND</t>
        </is>
      </c>
      <c r="G719" t="n">
        <v>1.8</v>
      </c>
      <c r="H719" t="n">
        <v>0</v>
      </c>
      <c r="I719" t="n">
        <v>0</v>
      </c>
      <c r="J719" t="n">
        <v>0</v>
      </c>
      <c r="K719" t="n">
        <v>0</v>
      </c>
      <c r="L719" t="n">
        <v>0</v>
      </c>
      <c r="M719" t="n">
        <v>0</v>
      </c>
      <c r="N719" t="n">
        <v>0</v>
      </c>
      <c r="O719" t="n">
        <v>0</v>
      </c>
      <c r="P719" t="n">
        <v>0</v>
      </c>
      <c r="Q719" t="n">
        <v>0</v>
      </c>
      <c r="R719" s="2" t="inlineStr"/>
    </row>
    <row r="720" ht="15" customHeight="1">
      <c r="A720" t="inlineStr">
        <is>
          <t>A 53190-2025</t>
        </is>
      </c>
      <c r="B720" s="1" t="n">
        <v>45958.56283564815</v>
      </c>
      <c r="C720" s="1" t="n">
        <v>45968</v>
      </c>
      <c r="D720" t="inlineStr">
        <is>
          <t>DALARNAS LÄN</t>
        </is>
      </c>
      <c r="E720" t="inlineStr">
        <is>
          <t>LEKSAND</t>
        </is>
      </c>
      <c r="G720" t="n">
        <v>0.7</v>
      </c>
      <c r="H720" t="n">
        <v>0</v>
      </c>
      <c r="I720" t="n">
        <v>0</v>
      </c>
      <c r="J720" t="n">
        <v>0</v>
      </c>
      <c r="K720" t="n">
        <v>0</v>
      </c>
      <c r="L720" t="n">
        <v>0</v>
      </c>
      <c r="M720" t="n">
        <v>0</v>
      </c>
      <c r="N720" t="n">
        <v>0</v>
      </c>
      <c r="O720" t="n">
        <v>0</v>
      </c>
      <c r="P720" t="n">
        <v>0</v>
      </c>
      <c r="Q720" t="n">
        <v>0</v>
      </c>
      <c r="R720" s="2" t="inlineStr"/>
    </row>
    <row r="721" ht="15" customHeight="1">
      <c r="A721" t="inlineStr">
        <is>
          <t>A 44672-2025</t>
        </is>
      </c>
      <c r="B721" s="1" t="n">
        <v>45917.56780092593</v>
      </c>
      <c r="C721" s="1" t="n">
        <v>45968</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54015-2025</t>
        </is>
      </c>
      <c r="B722" s="1" t="n">
        <v>45961.64158564815</v>
      </c>
      <c r="C722" s="1" t="n">
        <v>45968</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53804-2025</t>
        </is>
      </c>
      <c r="B723" s="1" t="n">
        <v>45960.83247685185</v>
      </c>
      <c r="C723" s="1" t="n">
        <v>45968</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44948-2025</t>
        </is>
      </c>
      <c r="B724" s="1" t="n">
        <v>45918.60555555556</v>
      </c>
      <c r="C724" s="1" t="n">
        <v>45968</v>
      </c>
      <c r="D724" t="inlineStr">
        <is>
          <t>DALARNAS LÄN</t>
        </is>
      </c>
      <c r="E724" t="inlineStr">
        <is>
          <t>LEKSAND</t>
        </is>
      </c>
      <c r="G724" t="n">
        <v>5.1</v>
      </c>
      <c r="H724" t="n">
        <v>0</v>
      </c>
      <c r="I724" t="n">
        <v>0</v>
      </c>
      <c r="J724" t="n">
        <v>0</v>
      </c>
      <c r="K724" t="n">
        <v>0</v>
      </c>
      <c r="L724" t="n">
        <v>0</v>
      </c>
      <c r="M724" t="n">
        <v>0</v>
      </c>
      <c r="N724" t="n">
        <v>0</v>
      </c>
      <c r="O724" t="n">
        <v>0</v>
      </c>
      <c r="P724" t="n">
        <v>0</v>
      </c>
      <c r="Q724" t="n">
        <v>0</v>
      </c>
      <c r="R724" s="2" t="inlineStr"/>
    </row>
    <row r="725" ht="15" customHeight="1">
      <c r="A725" t="inlineStr">
        <is>
          <t>A 45101-2025</t>
        </is>
      </c>
      <c r="B725" s="1" t="n">
        <v>45919.39679398148</v>
      </c>
      <c r="C725" s="1" t="n">
        <v>45968</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53619-2025</t>
        </is>
      </c>
      <c r="B726" s="1" t="n">
        <v>45960</v>
      </c>
      <c r="C726" s="1" t="n">
        <v>45968</v>
      </c>
      <c r="D726" t="inlineStr">
        <is>
          <t>DALARNAS LÄN</t>
        </is>
      </c>
      <c r="E726" t="inlineStr">
        <is>
          <t>LEKSAND</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53718-2025</t>
        </is>
      </c>
      <c r="B727" s="1" t="n">
        <v>45960.61840277778</v>
      </c>
      <c r="C727" s="1" t="n">
        <v>45968</v>
      </c>
      <c r="D727" t="inlineStr">
        <is>
          <t>DALARNAS LÄN</t>
        </is>
      </c>
      <c r="E727" t="inlineStr">
        <is>
          <t>LEKSAND</t>
        </is>
      </c>
      <c r="G727" t="n">
        <v>7.5</v>
      </c>
      <c r="H727" t="n">
        <v>0</v>
      </c>
      <c r="I727" t="n">
        <v>0</v>
      </c>
      <c r="J727" t="n">
        <v>0</v>
      </c>
      <c r="K727" t="n">
        <v>0</v>
      </c>
      <c r="L727" t="n">
        <v>0</v>
      </c>
      <c r="M727" t="n">
        <v>0</v>
      </c>
      <c r="N727" t="n">
        <v>0</v>
      </c>
      <c r="O727" t="n">
        <v>0</v>
      </c>
      <c r="P727" t="n">
        <v>0</v>
      </c>
      <c r="Q727" t="n">
        <v>0</v>
      </c>
      <c r="R727" s="2" t="inlineStr"/>
    </row>
    <row r="728" ht="15" customHeight="1">
      <c r="A728" t="inlineStr">
        <is>
          <t>A 53836-2025</t>
        </is>
      </c>
      <c r="B728" s="1" t="n">
        <v>45961.3475462963</v>
      </c>
      <c r="C728" s="1" t="n">
        <v>45968</v>
      </c>
      <c r="D728" t="inlineStr">
        <is>
          <t>DALARNAS LÄN</t>
        </is>
      </c>
      <c r="E728" t="inlineStr">
        <is>
          <t>LEKSAND</t>
        </is>
      </c>
      <c r="G728" t="n">
        <v>3.5</v>
      </c>
      <c r="H728" t="n">
        <v>0</v>
      </c>
      <c r="I728" t="n">
        <v>0</v>
      </c>
      <c r="J728" t="n">
        <v>0</v>
      </c>
      <c r="K728" t="n">
        <v>0</v>
      </c>
      <c r="L728" t="n">
        <v>0</v>
      </c>
      <c r="M728" t="n">
        <v>0</v>
      </c>
      <c r="N728" t="n">
        <v>0</v>
      </c>
      <c r="O728" t="n">
        <v>0</v>
      </c>
      <c r="P728" t="n">
        <v>0</v>
      </c>
      <c r="Q728" t="n">
        <v>0</v>
      </c>
      <c r="R728" s="2" t="inlineStr"/>
    </row>
    <row r="729" ht="15" customHeight="1">
      <c r="A729" t="inlineStr">
        <is>
          <t>A 53838-2025</t>
        </is>
      </c>
      <c r="B729" s="1" t="n">
        <v>45961.34895833334</v>
      </c>
      <c r="C729" s="1" t="n">
        <v>45968</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54120-2025</t>
        </is>
      </c>
      <c r="B730" s="1" t="n">
        <v>45964.45040509259</v>
      </c>
      <c r="C730" s="1" t="n">
        <v>45968</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54125-2025</t>
        </is>
      </c>
      <c r="B731" s="1" t="n">
        <v>45964.45671296296</v>
      </c>
      <c r="C731" s="1" t="n">
        <v>45968</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54293-2025</t>
        </is>
      </c>
      <c r="B732" s="1" t="n">
        <v>45964.86651620371</v>
      </c>
      <c r="C732" s="1" t="n">
        <v>45968</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54295-2025</t>
        </is>
      </c>
      <c r="B733" s="1" t="n">
        <v>45964.87122685185</v>
      </c>
      <c r="C733" s="1" t="n">
        <v>45968</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45381-2025</t>
        </is>
      </c>
      <c r="B734" s="1" t="n">
        <v>45922.39989583333</v>
      </c>
      <c r="C734" s="1" t="n">
        <v>45968</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45300-2025</t>
        </is>
      </c>
      <c r="B735" s="1" t="n">
        <v>45921.30490740741</v>
      </c>
      <c r="C735" s="1" t="n">
        <v>45968</v>
      </c>
      <c r="D735" t="inlineStr">
        <is>
          <t>DALARNAS LÄN</t>
        </is>
      </c>
      <c r="E735" t="inlineStr">
        <is>
          <t>LEKSAND</t>
        </is>
      </c>
      <c r="G735" t="n">
        <v>2.3</v>
      </c>
      <c r="H735" t="n">
        <v>0</v>
      </c>
      <c r="I735" t="n">
        <v>0</v>
      </c>
      <c r="J735" t="n">
        <v>0</v>
      </c>
      <c r="K735" t="n">
        <v>0</v>
      </c>
      <c r="L735" t="n">
        <v>0</v>
      </c>
      <c r="M735" t="n">
        <v>0</v>
      </c>
      <c r="N735" t="n">
        <v>0</v>
      </c>
      <c r="O735" t="n">
        <v>0</v>
      </c>
      <c r="P735" t="n">
        <v>0</v>
      </c>
      <c r="Q735" t="n">
        <v>0</v>
      </c>
      <c r="R735" s="2" t="inlineStr"/>
    </row>
    <row r="736" ht="15" customHeight="1">
      <c r="A736" t="inlineStr">
        <is>
          <t>A 45318-2025</t>
        </is>
      </c>
      <c r="B736" s="1" t="n">
        <v>45921.85230324074</v>
      </c>
      <c r="C736" s="1" t="n">
        <v>45968</v>
      </c>
      <c r="D736" t="inlineStr">
        <is>
          <t>DALARNAS LÄN</t>
        </is>
      </c>
      <c r="E736" t="inlineStr">
        <is>
          <t>LEKSAND</t>
        </is>
      </c>
      <c r="G736" t="n">
        <v>0.6</v>
      </c>
      <c r="H736" t="n">
        <v>0</v>
      </c>
      <c r="I736" t="n">
        <v>0</v>
      </c>
      <c r="J736" t="n">
        <v>0</v>
      </c>
      <c r="K736" t="n">
        <v>0</v>
      </c>
      <c r="L736" t="n">
        <v>0</v>
      </c>
      <c r="M736" t="n">
        <v>0</v>
      </c>
      <c r="N736" t="n">
        <v>0</v>
      </c>
      <c r="O736" t="n">
        <v>0</v>
      </c>
      <c r="P736" t="n">
        <v>0</v>
      </c>
      <c r="Q736" t="n">
        <v>0</v>
      </c>
      <c r="R736" s="2" t="inlineStr"/>
    </row>
    <row r="737" ht="15" customHeight="1">
      <c r="A737" t="inlineStr">
        <is>
          <t>A 54440-2025</t>
        </is>
      </c>
      <c r="B737" s="1" t="n">
        <v>45965.50385416667</v>
      </c>
      <c r="C737" s="1" t="n">
        <v>45968</v>
      </c>
      <c r="D737" t="inlineStr">
        <is>
          <t>DALARNAS LÄN</t>
        </is>
      </c>
      <c r="E737" t="inlineStr">
        <is>
          <t>LEKSAND</t>
        </is>
      </c>
      <c r="F737" t="inlineStr">
        <is>
          <t>Bergvik skog väst AB</t>
        </is>
      </c>
      <c r="G737" t="n">
        <v>2.1</v>
      </c>
      <c r="H737" t="n">
        <v>0</v>
      </c>
      <c r="I737" t="n">
        <v>0</v>
      </c>
      <c r="J737" t="n">
        <v>0</v>
      </c>
      <c r="K737" t="n">
        <v>0</v>
      </c>
      <c r="L737" t="n">
        <v>0</v>
      </c>
      <c r="M737" t="n">
        <v>0</v>
      </c>
      <c r="N737" t="n">
        <v>0</v>
      </c>
      <c r="O737" t="n">
        <v>0</v>
      </c>
      <c r="P737" t="n">
        <v>0</v>
      </c>
      <c r="Q737" t="n">
        <v>0</v>
      </c>
      <c r="R737" s="2" t="inlineStr"/>
    </row>
    <row r="738" ht="15" customHeight="1">
      <c r="A738" t="inlineStr">
        <is>
          <t>A 54494-2025</t>
        </is>
      </c>
      <c r="B738" s="1" t="n">
        <v>45965.59965277778</v>
      </c>
      <c r="C738" s="1" t="n">
        <v>45968</v>
      </c>
      <c r="D738" t="inlineStr">
        <is>
          <t>DALARNAS LÄN</t>
        </is>
      </c>
      <c r="E738" t="inlineStr">
        <is>
          <t>LEKSAND</t>
        </is>
      </c>
      <c r="G738" t="n">
        <v>1.3</v>
      </c>
      <c r="H738" t="n">
        <v>0</v>
      </c>
      <c r="I738" t="n">
        <v>0</v>
      </c>
      <c r="J738" t="n">
        <v>0</v>
      </c>
      <c r="K738" t="n">
        <v>0</v>
      </c>
      <c r="L738" t="n">
        <v>0</v>
      </c>
      <c r="M738" t="n">
        <v>0</v>
      </c>
      <c r="N738" t="n">
        <v>0</v>
      </c>
      <c r="O738" t="n">
        <v>0</v>
      </c>
      <c r="P738" t="n">
        <v>0</v>
      </c>
      <c r="Q738" t="n">
        <v>0</v>
      </c>
      <c r="R738" s="2" t="inlineStr"/>
    </row>
    <row r="739" ht="15" customHeight="1">
      <c r="A739" t="inlineStr">
        <is>
          <t>A 46176-2025</t>
        </is>
      </c>
      <c r="B739" s="1" t="n">
        <v>45924.65101851852</v>
      </c>
      <c r="C739" s="1" t="n">
        <v>45968</v>
      </c>
      <c r="D739" t="inlineStr">
        <is>
          <t>DALARNAS LÄN</t>
        </is>
      </c>
      <c r="E739" t="inlineStr">
        <is>
          <t>LEKSAND</t>
        </is>
      </c>
      <c r="G739" t="n">
        <v>2.4</v>
      </c>
      <c r="H739" t="n">
        <v>0</v>
      </c>
      <c r="I739" t="n">
        <v>0</v>
      </c>
      <c r="J739" t="n">
        <v>0</v>
      </c>
      <c r="K739" t="n">
        <v>0</v>
      </c>
      <c r="L739" t="n">
        <v>0</v>
      </c>
      <c r="M739" t="n">
        <v>0</v>
      </c>
      <c r="N739" t="n">
        <v>0</v>
      </c>
      <c r="O739" t="n">
        <v>0</v>
      </c>
      <c r="P739" t="n">
        <v>0</v>
      </c>
      <c r="Q739" t="n">
        <v>0</v>
      </c>
      <c r="R739" s="2" t="inlineStr"/>
    </row>
    <row r="740" ht="15" customHeight="1">
      <c r="A740" t="inlineStr">
        <is>
          <t>A 54779-2025</t>
        </is>
      </c>
      <c r="B740" s="1" t="n">
        <v>45966.61672453704</v>
      </c>
      <c r="C740" s="1" t="n">
        <v>45968</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54815-2025</t>
        </is>
      </c>
      <c r="B741" s="1" t="n">
        <v>45966.65237268519</v>
      </c>
      <c r="C741" s="1" t="n">
        <v>45968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46405-2025</t>
        </is>
      </c>
      <c r="B742" s="1" t="n">
        <v>45925.56306712963</v>
      </c>
      <c r="C742" s="1" t="n">
        <v>45968</v>
      </c>
      <c r="D742" t="inlineStr">
        <is>
          <t>DALARNAS LÄN</t>
        </is>
      </c>
      <c r="E742" t="inlineStr">
        <is>
          <t>LEKSAND</t>
        </is>
      </c>
      <c r="G742" t="n">
        <v>5.7</v>
      </c>
      <c r="H742" t="n">
        <v>0</v>
      </c>
      <c r="I742" t="n">
        <v>0</v>
      </c>
      <c r="J742" t="n">
        <v>0</v>
      </c>
      <c r="K742" t="n">
        <v>0</v>
      </c>
      <c r="L742" t="n">
        <v>0</v>
      </c>
      <c r="M742" t="n">
        <v>0</v>
      </c>
      <c r="N742" t="n">
        <v>0</v>
      </c>
      <c r="O742" t="n">
        <v>0</v>
      </c>
      <c r="P742" t="n">
        <v>0</v>
      </c>
      <c r="Q742" t="n">
        <v>0</v>
      </c>
      <c r="R742" s="2" t="inlineStr"/>
    </row>
    <row r="743" ht="15" customHeight="1">
      <c r="A743" t="inlineStr">
        <is>
          <t>A 46483-2025</t>
        </is>
      </c>
      <c r="B743" s="1" t="n">
        <v>45925.70248842592</v>
      </c>
      <c r="C743" s="1" t="n">
        <v>45968</v>
      </c>
      <c r="D743" t="inlineStr">
        <is>
          <t>DALARNAS LÄN</t>
        </is>
      </c>
      <c r="E743" t="inlineStr">
        <is>
          <t>LEKSAND</t>
        </is>
      </c>
      <c r="G743" t="n">
        <v>3.6</v>
      </c>
      <c r="H743" t="n">
        <v>0</v>
      </c>
      <c r="I743" t="n">
        <v>0</v>
      </c>
      <c r="J743" t="n">
        <v>0</v>
      </c>
      <c r="K743" t="n">
        <v>0</v>
      </c>
      <c r="L743" t="n">
        <v>0</v>
      </c>
      <c r="M743" t="n">
        <v>0</v>
      </c>
      <c r="N743" t="n">
        <v>0</v>
      </c>
      <c r="O743" t="n">
        <v>0</v>
      </c>
      <c r="P743" t="n">
        <v>0</v>
      </c>
      <c r="Q743" t="n">
        <v>0</v>
      </c>
      <c r="R743" s="2" t="inlineStr"/>
    </row>
    <row r="744" ht="15" customHeight="1">
      <c r="A744" t="inlineStr">
        <is>
          <t>A 54677-2025</t>
        </is>
      </c>
      <c r="B744" s="1" t="n">
        <v>45966</v>
      </c>
      <c r="C744" s="1" t="n">
        <v>45968</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54752-2025</t>
        </is>
      </c>
      <c r="B745" s="1" t="n">
        <v>45966.5916087963</v>
      </c>
      <c r="C745" s="1" t="n">
        <v>45968</v>
      </c>
      <c r="D745" t="inlineStr">
        <is>
          <t>DALARNAS LÄN</t>
        </is>
      </c>
      <c r="E745" t="inlineStr">
        <is>
          <t>LEKSAND</t>
        </is>
      </c>
      <c r="G745" t="n">
        <v>0.3</v>
      </c>
      <c r="H745" t="n">
        <v>0</v>
      </c>
      <c r="I745" t="n">
        <v>0</v>
      </c>
      <c r="J745" t="n">
        <v>0</v>
      </c>
      <c r="K745" t="n">
        <v>0</v>
      </c>
      <c r="L745" t="n">
        <v>0</v>
      </c>
      <c r="M745" t="n">
        <v>0</v>
      </c>
      <c r="N745" t="n">
        <v>0</v>
      </c>
      <c r="O745" t="n">
        <v>0</v>
      </c>
      <c r="P745" t="n">
        <v>0</v>
      </c>
      <c r="Q745" t="n">
        <v>0</v>
      </c>
      <c r="R745" s="2" t="inlineStr"/>
    </row>
    <row r="746" ht="15" customHeight="1">
      <c r="A746" t="inlineStr">
        <is>
          <t>A 54767-2025</t>
        </is>
      </c>
      <c r="B746" s="1" t="n">
        <v>45966.60414351852</v>
      </c>
      <c r="C746" s="1" t="n">
        <v>45968</v>
      </c>
      <c r="D746" t="inlineStr">
        <is>
          <t>DALARNAS LÄN</t>
        </is>
      </c>
      <c r="E746" t="inlineStr">
        <is>
          <t>LEKSAND</t>
        </is>
      </c>
      <c r="G746" t="n">
        <v>2.4</v>
      </c>
      <c r="H746" t="n">
        <v>0</v>
      </c>
      <c r="I746" t="n">
        <v>0</v>
      </c>
      <c r="J746" t="n">
        <v>0</v>
      </c>
      <c r="K746" t="n">
        <v>0</v>
      </c>
      <c r="L746" t="n">
        <v>0</v>
      </c>
      <c r="M746" t="n">
        <v>0</v>
      </c>
      <c r="N746" t="n">
        <v>0</v>
      </c>
      <c r="O746" t="n">
        <v>0</v>
      </c>
      <c r="P746" t="n">
        <v>0</v>
      </c>
      <c r="Q746" t="n">
        <v>0</v>
      </c>
      <c r="R746" s="2" t="inlineStr"/>
    </row>
    <row r="747" ht="15" customHeight="1">
      <c r="A747" t="inlineStr">
        <is>
          <t>A 54785-2025</t>
        </is>
      </c>
      <c r="B747" s="1" t="n">
        <v>45966.62619212963</v>
      </c>
      <c r="C747" s="1" t="n">
        <v>45968</v>
      </c>
      <c r="D747" t="inlineStr">
        <is>
          <t>DALARNAS LÄN</t>
        </is>
      </c>
      <c r="E747" t="inlineStr">
        <is>
          <t>LEKSAND</t>
        </is>
      </c>
      <c r="G747" t="n">
        <v>1.2</v>
      </c>
      <c r="H747" t="n">
        <v>0</v>
      </c>
      <c r="I747" t="n">
        <v>0</v>
      </c>
      <c r="J747" t="n">
        <v>0</v>
      </c>
      <c r="K747" t="n">
        <v>0</v>
      </c>
      <c r="L747" t="n">
        <v>0</v>
      </c>
      <c r="M747" t="n">
        <v>0</v>
      </c>
      <c r="N747" t="n">
        <v>0</v>
      </c>
      <c r="O747" t="n">
        <v>0</v>
      </c>
      <c r="P747" t="n">
        <v>0</v>
      </c>
      <c r="Q747" t="n">
        <v>0</v>
      </c>
      <c r="R747" s="2" t="inlineStr"/>
    </row>
    <row r="748">
      <c r="A748" t="inlineStr">
        <is>
          <t>A 54805-2025</t>
        </is>
      </c>
      <c r="B748" s="1" t="n">
        <v>45966.64165509259</v>
      </c>
      <c r="C748" s="1" t="n">
        <v>45968</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2025-11-07T10:11:42Z</dcterms:created>
  <dcterms:modified xmlns:dcterms="http://purl.org/dc/terms/" xmlns:xsi="http://www.w3.org/2001/XMLSchema-instance" xsi:type="dcterms:W3CDTF">2025-11-07T10:11:42Z</dcterms:modified>
</cp:coreProperties>
</file>